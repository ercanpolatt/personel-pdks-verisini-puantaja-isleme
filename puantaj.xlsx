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ylik_Puantaj" sheetId="1" state="visible" r:id="rId1"/>
    <sheet xmlns:r="http://schemas.openxmlformats.org/officeDocument/2006/relationships" name="Eksik_Basim_Raporu" sheetId="2" state="visible" r:id="rId2"/>
    <sheet xmlns:r="http://schemas.openxmlformats.org/officeDocument/2006/relationships" name="Bolum_Prim_Mesai_Raporu" sheetId="3" state="visible" r:id="rId3"/>
    <sheet xmlns:r="http://schemas.openxmlformats.org/officeDocument/2006/relationships" name="PDKS_Hareket_Kayitlari" sheetId="4" state="visible" r:id="rId4"/>
    <sheet xmlns:r="http://schemas.openxmlformats.org/officeDocument/2006/relationships" name="Resmi_Bordro_SGK" sheetId="5" state="visible" r:id="rId5"/>
    <sheet xmlns:r="http://schemas.openxmlformats.org/officeDocument/2006/relationships" name="Icra_Takip" sheetId="6" state="visible" r:id="rId6"/>
    <sheet xmlns:r="http://schemas.openxmlformats.org/officeDocument/2006/relationships" name="SGK_Raporlar" sheetId="7" state="visible" r:id="rId7"/>
    <sheet xmlns:r="http://schemas.openxmlformats.org/officeDocument/2006/relationships" name="Ucretli_Izinler" sheetId="8" state="visible" r:id="rId8"/>
    <sheet xmlns:r="http://schemas.openxmlformats.org/officeDocument/2006/relationships" name="Daimi_Personel_Listesi" sheetId="9" state="visible" r:id="rId9"/>
    <sheet xmlns:r="http://schemas.openxmlformats.org/officeDocument/2006/relationships" name="Elden_Odeme_Farki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7">
    <font>
      <name val="Calibri"/>
      <family val="2"/>
      <color theme="1"/>
      <sz val="11"/>
      <scheme val="minor"/>
    </font>
    <font>
      <name val="Segoe UI"/>
      <b val="1"/>
      <color rgb="001F4E79"/>
      <sz val="13"/>
    </font>
    <font>
      <name val="Segoe UI"/>
      <b val="1"/>
      <color rgb="00FFFFFF"/>
      <sz val="9"/>
    </font>
    <font>
      <name val="Segoe UI"/>
      <b val="1"/>
      <color rgb="007F6000"/>
      <sz val="8"/>
    </font>
    <font>
      <name val="Segoe UI"/>
      <color rgb="00000000"/>
      <sz val="9"/>
    </font>
    <font>
      <name val="Segoe UI"/>
      <b val="1"/>
      <color rgb="00000000"/>
      <sz val="9"/>
    </font>
    <font>
      <name val="Segoe UI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F9FAFB"/>
        <bgColor rgb="00F9FAFB"/>
      </patternFill>
    </fill>
    <fill>
      <patternFill patternType="solid">
        <fgColor rgb="00D9D9D9"/>
        <bgColor rgb="00D9D9D9"/>
      </patternFill>
    </fill>
  </fills>
  <borders count="4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medium">
        <color rgb="001F4E79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00000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49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right" vertical="center"/>
    </xf>
    <xf numFmtId="164" fontId="4" fillId="0" borderId="2" applyAlignment="1" pivotButton="0" quotePrefix="0" xfId="0">
      <alignment horizontal="center" vertical="center" wrapText="1"/>
    </xf>
    <xf numFmtId="164" fontId="4" fillId="3" borderId="2" applyAlignment="1" pivotButton="0" quotePrefix="0" xfId="0">
      <alignment horizontal="center" vertical="center" wrapText="1"/>
    </xf>
    <xf numFmtId="164" fontId="4" fillId="4" borderId="2" applyAlignment="1" pivotButton="0" quotePrefix="0" xfId="0">
      <alignment horizontal="center" vertical="center" wrapText="1"/>
    </xf>
    <xf numFmtId="1" fontId="4" fillId="0" borderId="2" applyAlignment="1" pivotButton="0" quotePrefix="0" xfId="0">
      <alignment horizontal="center" vertical="center" wrapText="1"/>
    </xf>
    <xf numFmtId="1" fontId="4" fillId="3" borderId="2" applyAlignment="1" pivotButton="0" quotePrefix="0" xfId="0">
      <alignment horizontal="center" vertical="center" wrapText="1"/>
    </xf>
    <xf numFmtId="1" fontId="4" fillId="5" borderId="2" applyAlignment="1" pivotButton="0" quotePrefix="0" xfId="0">
      <alignment horizontal="center" vertical="center" wrapText="1"/>
    </xf>
    <xf numFmtId="1" fontId="4" fillId="6" borderId="2" applyAlignment="1" pivotButton="0" quotePrefix="0" xfId="0">
      <alignment horizontal="center" vertical="center" wrapText="1"/>
    </xf>
    <xf numFmtId="4" fontId="4" fillId="4" borderId="2" applyAlignment="1" pivotButton="0" quotePrefix="0" xfId="0">
      <alignment horizontal="right" vertical="center"/>
    </xf>
    <xf numFmtId="4" fontId="4" fillId="3" borderId="2" applyAlignment="1" pivotButton="0" quotePrefix="0" xfId="0">
      <alignment horizontal="right" vertical="center"/>
    </xf>
    <xf numFmtId="4" fontId="4" fillId="5" borderId="2" applyAlignment="1" pivotButton="0" quotePrefix="0" xfId="0">
      <alignment horizontal="right" vertical="center"/>
    </xf>
    <xf numFmtId="4" fontId="4" fillId="6" borderId="2" applyAlignment="1" pivotButton="0" quotePrefix="0" xfId="0">
      <alignment horizontal="right" vertical="center"/>
    </xf>
    <xf numFmtId="164" fontId="4" fillId="7" borderId="2" applyAlignment="1" pivotButton="0" quotePrefix="0" xfId="0">
      <alignment horizontal="center" vertical="center" wrapText="1"/>
    </xf>
    <xf numFmtId="1" fontId="4" fillId="7" borderId="2" applyAlignment="1" pivotButton="0" quotePrefix="0" xfId="0">
      <alignment horizontal="center" vertical="center" wrapText="1"/>
    </xf>
    <xf numFmtId="49" fontId="4" fillId="7" borderId="2" applyAlignment="1" pivotButton="0" quotePrefix="0" xfId="0">
      <alignment horizontal="center" vertical="center" wrapText="1"/>
    </xf>
    <xf numFmtId="4" fontId="4" fillId="7" borderId="2" applyAlignment="1" pivotButton="0" quotePrefix="0" xfId="0">
      <alignment horizontal="right" vertical="center"/>
    </xf>
    <xf numFmtId="164" fontId="4" fillId="6" borderId="2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right" vertical="center"/>
    </xf>
    <xf numFmtId="0" fontId="5" fillId="8" borderId="3" applyAlignment="1" pivotButton="0" quotePrefix="0" xfId="0">
      <alignment horizontal="left" vertical="center"/>
    </xf>
    <xf numFmtId="4" fontId="5" fillId="8" borderId="3" applyAlignment="1" pivotButton="0" quotePrefix="0" xfId="0">
      <alignment horizontal="right" vertical="center"/>
    </xf>
    <xf numFmtId="164" fontId="5" fillId="8" borderId="3" applyAlignment="1" pivotButton="0" quotePrefix="0" xfId="0">
      <alignment horizontal="right" vertical="center"/>
    </xf>
    <xf numFmtId="1" fontId="5" fillId="8" borderId="3" applyAlignment="1" pivotButton="0" quotePrefix="0" xfId="0">
      <alignment horizontal="right" vertical="center"/>
    </xf>
    <xf numFmtId="0" fontId="4" fillId="0" borderId="2" pivotButton="0" quotePrefix="0" xfId="0"/>
    <xf numFmtId="0" fontId="6" fillId="6" borderId="2" applyAlignment="1" pivotButton="0" quotePrefix="0" xfId="0">
      <alignment horizontal="center" vertical="center" wrapText="1"/>
    </xf>
    <xf numFmtId="165" fontId="4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PDKS Sistemi</author>
  </authors>
  <commentList>
    <comment ref="O18" authorId="0" shapeId="0">
      <text>
        <t>Giriş: 18:08 | Çıkış Basılmadı (Girişi var -&gt; 7,5s hak ediş yazıldı - İstisna Onayı Bekliyor)</t>
      </text>
    </comment>
    <comment ref="AI18" authorId="0" shapeId="0">
      <text>
        <t>Giriş: 17:54 | Çıkış Basılmadı (Girişi var -&gt; 7,5s hak ediş yazıldı - İstisna Onayı Bekliyor)</t>
      </text>
    </comment>
    <comment ref="AC22" authorId="0" shapeId="0">
      <text>
        <t>Giriş: 15:55 | Çıkış Basılmadı (Girişi var -&gt; 7,5s hak ediş yazıldı - İstisna Onayı Bekliyor)</t>
      </text>
    </comment>
    <comment ref="AI22" authorId="0" shapeId="0">
      <text>
        <t>Giriş: 15:46 | Çıkış Basılmadı (Girişi var -&gt; 7,5s hak ediş yazıldı - İstisna Onayı Bekliyor)</t>
      </text>
    </comment>
    <comment ref="P35" authorId="0" shapeId="0">
      <text>
        <t>Giriş: 07:50 | Çıkış Basılmadı (Girişi var -&gt; 7,5s hak ediş yazıldı - İstisna Onayı Bekliyor)</t>
      </text>
    </comment>
    <comment ref="P36" authorId="0" shapeId="0">
      <text>
        <t>Parçalı Çalışma: 2 oturum (07:43-12:36, 19:24-08:11) -&gt; Toplam 15,0s</t>
      </text>
    </comment>
    <comment ref="AI48" authorId="0" shapeId="0">
      <text>
        <t>Giriş: 15:53 | Çıkış Basılmadı (Girişi var -&gt; 7,5s hak ediş yazıldı - İstisna Onayı Bekliyor)</t>
      </text>
    </comment>
    <comment ref="P62" authorId="0" shapeId="0">
      <text>
        <t>Çoklu Basım: İlk Giriş 08:05, Son Çıkış 17:40 (8,0s)</t>
      </text>
    </comment>
    <comment ref="Q62" authorId="0" shapeId="0">
      <text>
        <t>Çoklu Basım: İlk Giriş 13:55, Son Çıkış 17:33 (3,0s)</t>
      </text>
    </comment>
    <comment ref="U62" authorId="0" shapeId="0">
      <text>
        <t>Giriş: 07:44 | Çıkış Basılmadı (Girişi var -&gt; 7,5s hak ediş yazıldı - İstisna Onayı Bekliyor)</t>
      </text>
    </comment>
    <comment ref="W62" authorId="0" shapeId="0">
      <text>
        <t>Çıkış: 17:07 | Giriş Basılmadı (08:00 başı ile 7,5s korundu - İstisna Onayı Bekliyor)</t>
      </text>
    </comment>
    <comment ref="X62" authorId="0" shapeId="0">
      <text>
        <t>Çıkış: 18:08 | Giriş Basılmadı (08:00 başı ile 8,5s korundu - İstisna Onayı Bekliyor)</t>
      </text>
    </comment>
    <comment ref="AC62" authorId="0" shapeId="0">
      <text>
        <t>Çıkış: 17:04 | Giriş Basılmadı (08:00 başı ile 7,5s korundu - İstisna Onayı Bekliyor)</t>
      </text>
    </comment>
    <comment ref="AE62" authorId="0" shapeId="0">
      <text>
        <t>Çoklu Basım: İlk Giriş 01:09, Son Çıkış 17:49 (14,5s)</t>
      </text>
    </comment>
    <comment ref="AG62" authorId="0" shapeId="0">
      <text>
        <t>Çoklu Basım: İlk Giriş 08:16, Son Çıkış 18:57 (9,5s)</t>
      </text>
    </comment>
    <comment ref="AA71" authorId="0" shapeId="0">
      <text>
        <t>Giriş: 08:04 | Çıkış Basılmadı (Girişi var -&gt; 7,5s hak ediş yazıldı - İstisna Onayı Bekliyor)</t>
      </text>
    </comment>
    <comment ref="Q79" authorId="0" shapeId="0">
      <text>
        <t>Giriş: 07:50 | Çıkış Basılmadı (Girişi var -&gt; 7,5s hak ediş yazıldı - İstisna Onayı Bekliyor)</t>
      </text>
    </comment>
    <comment ref="AH82" authorId="0" shapeId="0">
      <text>
        <t>Çıkış: 17:04 | Giriş Basılmadı (08:00 başı ile 7,5s korundu - İstisna Onayı Bekliyor)</t>
      </text>
    </comment>
    <comment ref="AI84" authorId="0" shapeId="0">
      <text>
        <t>Giriş: 15:50 | Çıkış Basılmadı (Girişi var -&gt; 7,5s hak ediş yazıldı - İstisna Onayı Bekliyor)</t>
      </text>
    </comment>
    <comment ref="T86" authorId="0" shapeId="0">
      <text>
        <t>Parçalı Çalışma: 2 oturum (07:58-17:10, 22:17-07:56) -&gt; Toplam 15,0s</t>
      </text>
    </comment>
    <comment ref="AI86" authorId="0" shapeId="0">
      <text>
        <t>Giriş: 16:40 | Çıkış Basılmadı (Girişi var -&gt; 7,5s hak ediş yazıldı - İstisna Onayı Bekliyor)</t>
      </text>
    </comment>
    <comment ref="AI90" authorId="0" shapeId="0">
      <text>
        <t>Giriş: 15:46 | Çıkış Basılmadı (Girişi var -&gt; 7,5s hak ediş yazıldı - İstisna Onayı Bekliyor)</t>
      </text>
    </comment>
    <comment ref="W98" authorId="0" shapeId="0">
      <text>
        <t>Giriş: 07:29 | Çıkış Basılmadı (Girişi var -&gt; 7,5s hak ediş yazıldı - İstisna Onayı Bekliyor)</t>
      </text>
    </comment>
    <comment ref="AG107" authorId="0" shapeId="0">
      <text>
        <t>Giriş: 19:57 | Çıkış Basılmadı (Girişi var -&gt; 7,5s hak ediş yazıldı - İstisna Onayı Bekliyor)</t>
      </text>
    </comment>
    <comment ref="AH107" authorId="0" shapeId="0">
      <text>
        <t>Çoklu Basım: İlk Giriş 19:52, Son Çıkış 07:44 (10,0s)</t>
      </text>
    </comment>
    <comment ref="O109" authorId="0" shapeId="0">
      <text>
        <t>Giriş: 07:44 | Çıkış Basılmadı (Girişi var -&gt; 7,5s hak ediş yazıldı - İstisna Onayı Bekliyor)</t>
      </text>
    </comment>
    <comment ref="AC109" authorId="0" shapeId="0">
      <text>
        <t>Giriş: 10:01 | Çıkış Basılmadı (Girişi var -&gt; 7,5s hak ediş yazıldı - İstisna Onayı Bekliyor)</t>
      </text>
    </comment>
    <comment ref="AD109" authorId="0" shapeId="0">
      <text>
        <t>Giriş: 07:41 | Çıkış Basılmadı (Girişi var -&gt; 7,5s hak ediş yazıldı - İstisna Onayı Bekliyor)</t>
      </text>
    </comment>
    <comment ref="AE109" authorId="0" shapeId="0">
      <text>
        <t>Çıkış: 10:28 | Giriş Basılmadı (08:00 başı ile 2,5s korundu - İstisna Onayı Bekliyor)</t>
      </text>
    </comment>
    <comment ref="V110" authorId="0" shapeId="0">
      <text>
        <t>Giriş: 08:22 | Çıkış Basılmadı (Girişi var -&gt; 7,5s hak ediş yazıldı - İstisna Onayı Bekliyor)</t>
      </text>
    </comment>
    <comment ref="AI117" authorId="0" shapeId="0">
      <text>
        <t>Giriş: 19:15 | Çıkış Basılmadı (Girişi var -&gt; 7,5s hak ediş yazıldı - İstisna Onayı Bekliyor)</t>
      </text>
    </comment>
    <comment ref="U120" authorId="0" shapeId="0">
      <text>
        <t>Parçalı Çalışma: 2 oturum (07:49-17:18, 18:58-07:54) -&gt; Toplam 19,0s | PDKS Süre Doğrulaması: Turnike brüt süresi (9,5s) tavan alındı</t>
      </text>
    </comment>
    <comment ref="W120" authorId="0" shapeId="0">
      <text>
        <t>Çoklu Basım: İlk Giriş 08:25, Son Çıkış 17:39 (7,5s)</t>
      </text>
    </comment>
    <comment ref="AI125" authorId="0" shapeId="0">
      <text>
        <t>Giriş: 08:13 | Çıkış Basılmadı (Girişi var -&gt; 7,5s hak ediş yazıldı - İstisna Onayı Bekliyor)</t>
      </text>
    </comment>
    <comment ref="O129" authorId="0" shapeId="0">
      <text>
        <t>Çoklu Basım: İlk Giriş 22:53, Son Çıkış 00:24 (0,5s)</t>
      </text>
    </comment>
    <comment ref="T129" authorId="0" shapeId="0">
      <text>
        <t>Çoklu Basım: İlk Giriş 15:59, Son Çıkış 00:00 (7,5s) | PDKS Süre Doğrulaması: Turnike brüt süresi (6,9s) tavan alındı</t>
      </text>
    </comment>
    <comment ref="V129" authorId="0" shapeId="0">
      <text>
        <t>Giriş: 16:02 | Çıkış Basılmadı (Girişi var -&gt; 7,5s hak ediş yazıldı - İstisna Onayı Bekliyor)</t>
      </text>
    </comment>
    <comment ref="AI129" authorId="0" shapeId="0">
      <text>
        <t>Giriş: 15:46 | Çıkış Basılmadı (Girişi var -&gt; 7,5s hak ediş yazıldı - İstisna Onayı Bekliyor)</t>
      </text>
    </comment>
    <comment ref="O130" authorId="0" shapeId="0">
      <text>
        <t>Çoklu Basım: İlk Giriş 07:41, Son Çıkış 17:33 (8,0s)</t>
      </text>
    </comment>
    <comment ref="AB130" authorId="0" shapeId="0">
      <text>
        <t>Çoklu Basım: İlk Giriş 18:12, Son Çıkış 18:21 (0,5s)</t>
      </text>
    </comment>
    <comment ref="AI147" authorId="0" shapeId="0">
      <text>
        <t>Giriş: 15:51 | Çıkış Basılmadı (Girişi var -&gt; 7,5s hak ediş yazıldı - İstisna Onayı Bekliyor)</t>
      </text>
    </comment>
    <comment ref="O148" authorId="0" shapeId="0">
      <text>
        <t>Giriş: 07:56 | Çıkış Basılmadı (Girişi var -&gt; 7,5s hak ediş yazıldı - İstisna Onayı Bekliyor)</t>
      </text>
    </comment>
    <comment ref="AI150" authorId="0" shapeId="0">
      <text>
        <t>Giriş: 15:51 | Çıkış Basılmadı (Girişi var -&gt; 7,5s hak ediş yazıldı - İstisna Onayı Bekliyor)</t>
      </text>
    </comment>
    <comment ref="AI156" authorId="0" shapeId="0">
      <text>
        <t>Giriş: 15:50 | Çıkış Basılmadı (Girişi var -&gt; 7,5s hak ediş yazıldı - İstisna Onayı Bekliyor)</t>
      </text>
    </comment>
    <comment ref="U159" authorId="0" shapeId="0">
      <text>
        <t>Çoklu Basım: İlk Giriş 07:35, Son Çıkış 17:24 (8,0s)</t>
      </text>
    </comment>
    <comment ref="W159" authorId="0" shapeId="0">
      <text>
        <t>Giriş: 07:30 | Çıkış Basılmadı (Girişi var -&gt; 7,5s hak ediş yazıldı - İstisna Onayı Bekliyor)</t>
      </text>
    </comment>
    <comment ref="O162" authorId="0" shapeId="0">
      <text>
        <t>Çoklu Basım: İlk Giriş 22:47, Son Çıkış 01:08 (1,0s)</t>
      </text>
    </comment>
    <comment ref="AB170" authorId="0" shapeId="0">
      <text>
        <t>Giriş: 07:59 | Çıkış Basılmadı (Girişi var -&gt; 7,5s hak ediş yazıldı - İstisna Onayı Bekliyor)</t>
      </text>
    </comment>
    <comment ref="U176" authorId="0" shapeId="0">
      <text>
        <t>Parçalı Çalışma: 2 oturum (07:47-17:08, 21:55-08:00) -&gt; Toplam 15,0s</t>
      </text>
    </comment>
    <comment ref="AI176" authorId="0" shapeId="0">
      <text>
        <t>Giriş: 16:40 | Çıkış Basılmadı (Girişi var -&gt; 7,5s hak ediş yazıldı - İstisna Onayı Bekliyor)</t>
      </text>
    </comment>
    <comment ref="Q189" authorId="0" shapeId="0">
      <text>
        <t>Parçalı Çalışma: 2 oturum (12:15-17:35, 19:41-22:48) -&gt; Toplam 8,0s</t>
      </text>
    </comment>
    <comment ref="AG189" authorId="0" shapeId="0">
      <text>
        <t>Çoklu Basım: İlk Giriş 10:21, Son Çıkış 20:00 (8,0s)</t>
      </text>
    </comment>
    <comment ref="AI189" authorId="0" shapeId="0">
      <text>
        <t>Giriş: 07:39 | Çıkış Basılmadı (Girişi var -&gt; 7,5s hak ediş yazıldı - İstisna Onayı Bekliyor)</t>
      </text>
    </comment>
    <comment ref="AI194" authorId="0" shapeId="0">
      <text>
        <t>Giriş: 15:52 | Çıkış Basılmadı (Girişi var -&gt; 7,5s hak ediş yazıldı - İstisna Onayı Bekliyor)</t>
      </text>
    </comment>
    <comment ref="Q195" authorId="0" shapeId="0">
      <text>
        <t>Giriş: 07:47 | Çıkış Basılmadı (Girişi var -&gt; 7,5s hak ediş yazıldı - İstisna Onayı Bekliyor)</t>
      </text>
    </comment>
    <comment ref="AA198" authorId="0" shapeId="0">
      <text>
        <t>Giriş: 07:49 | Çıkış Basılmadı (Girişi var -&gt; 7,5s hak ediş yazıldı - İstisna Onayı Bekliyor)</t>
      </text>
    </comment>
    <comment ref="AC205" authorId="0" shapeId="0">
      <text>
        <t>Giriş: 08:01 | Çıkış Basılmadı (Girişi var -&gt; 7,5s hak ediş yazıldı - İstisna Onayı Bekliyor)</t>
      </text>
    </comment>
    <comment ref="V208" authorId="0" shapeId="0">
      <text>
        <t>Giriş: 07:43 | Çıkış Basılmadı (Girişi var -&gt; 7,5s hak ediş yazıldı - İstisna Onayı Bekliyor)</t>
      </text>
    </comment>
    <comment ref="V209" authorId="0" shapeId="0">
      <text>
        <t>Giriş: 07:52 | Çıkış Basılmadı (Girişi var -&gt; 7,5s hak ediş yazıldı - İstisna Onayı Bekliyor)</t>
      </text>
    </comment>
    <comment ref="T211" authorId="0" shapeId="0">
      <text>
        <t>Parçalı Çalışma: 2 oturum (07:59-17:10, 22:17-08:01) -&gt; Toplam 15,0s</t>
      </text>
    </comment>
    <comment ref="AI211" authorId="0" shapeId="0">
      <text>
        <t>Giriş: 16:40 | Çıkış Basılmadı (Girişi var -&gt; 7,5s hak ediş yazıldı - İstisna Onayı Bekliyor)</t>
      </text>
    </comment>
    <comment ref="Q212" authorId="0" shapeId="0">
      <text>
        <t>Giriş: 08:00 | Çıkış Basılmadı (Girişi var -&gt; 7,5s hak ediş yazıldı - İstisna Onayı Bekliyor)</t>
      </text>
    </comment>
    <comment ref="AB212" authorId="0" shapeId="0">
      <text>
        <t>Giriş: 07:44 | Çıkış Basılmadı (Girişi var -&gt; 7,5s hak ediş yazıldı - İstisna Onayı Bekliyor)</t>
      </text>
    </comment>
    <comment ref="AC212" authorId="0" shapeId="0">
      <text>
        <t>Çıkış: 04:07 | Giriş Basılmadı (08:00 başı ile 18,5s korundu - İstisna Onayı Bekliyor)</t>
      </text>
    </comment>
    <comment ref="AE212" authorId="0" shapeId="0">
      <text>
        <t>Giriş: 07:41 | Çıkış Basılmadı (Girişi var -&gt; 7,5s hak ediş yazıldı - İstisna Onayı Bekliyor)</t>
      </text>
    </comment>
    <comment ref="AI212" authorId="0" shapeId="0">
      <text>
        <t>Giriş: 07:38 | Çıkış Basılmadı (Girişi var -&gt; 7,5s hak ediş yazıldı - İstisna Onayı Bekliyor)</t>
      </text>
    </comment>
    <comment ref="AI213" authorId="0" shapeId="0">
      <text>
        <t>Çoklu Basım: İlk Giriş 07:44, Son Çıkış 17:25 (8,0s)</t>
      </text>
    </comment>
    <comment ref="AG222" authorId="0" shapeId="0">
      <text>
        <t>Parçalı Çalışma: 2 oturum (06:25-07:58, 19:57-08:03) -&gt; Toplam 10,5s</t>
      </text>
    </comment>
    <comment ref="AH222" authorId="0" shapeId="0">
      <text>
        <t>Giriş: 19:52 | Çıkış Basılmadı (Girişi var -&gt; 7,5s hak ediş yazıldı - İstisna Onayı Bekliyor)</t>
      </text>
    </comment>
    <comment ref="T234" authorId="0" shapeId="0">
      <text>
        <t>Çoklu Basım: İlk Giriş 07:59, Son Çıkış 17:40 (8,0s)</t>
      </text>
    </comment>
    <comment ref="AC234" authorId="0" shapeId="0">
      <text>
        <t>Giriş: 08:03 | Çıkış Basılmadı (Girişi var -&gt; 7,5s hak ediş yazıldı - İstisna Onayı Bekliyor)</t>
      </text>
    </comment>
    <comment ref="T236" authorId="0" shapeId="0">
      <text>
        <t>Parçalı Çalışma: 2 oturum (07:34-17:10, 22:17-07:56) -&gt; Toplam 15,0s</t>
      </text>
    </comment>
    <comment ref="V236" authorId="0" shapeId="0">
      <text>
        <t>Parçalı Çalışma: 2 oturum (07:33-20:04, 20:09-08:01) -&gt; Toplam 21,0s</t>
      </text>
    </comment>
    <comment ref="AA236" authorId="0" shapeId="0">
      <text>
        <t>Parçalı Çalışma: 2 oturum (08:04-20:01, 20:08-07:56) -&gt; Toplam 21,0s</t>
      </text>
    </comment>
    <comment ref="AI236" authorId="0" shapeId="0">
      <text>
        <t>Giriş: 08:01 | Çıkış Basılmadı (Girişi var -&gt; 7,5s hak ediş yazıldı - İstisna Onayı Bekliyor)</t>
      </text>
    </comment>
    <comment ref="P241" authorId="0" shapeId="0">
      <text>
        <t>Çıkış: 20:03 | Giriş Basılmadı (08:00 başı ile 10,5s korundu - İstisna Onayı Bekliyor)</t>
      </text>
    </comment>
    <comment ref="V243" authorId="0" shapeId="0">
      <text>
        <t>Giriş: 07:43 | Çıkış Basılmadı (Girişi var -&gt; 7,5s hak ediş yazıldı - İstisna Onayı Bekliyor)</t>
      </text>
    </comment>
    <comment ref="AI243" authorId="0" shapeId="0">
      <text>
        <t>Giriş: 07:41 | Çıkış Basılmadı (Girişi var -&gt; 7,5s hak ediş yazıldı - İstisna Onayı Bekliyor)</t>
      </text>
    </comment>
    <comment ref="X253" authorId="0" shapeId="0">
      <text>
        <t>Parçalı Çalışma: 2 oturum (08:18-12:42, 13:43-18:08) -&gt; Toplam 8,0s</t>
      </text>
    </comment>
    <comment ref="O256" authorId="0" shapeId="0">
      <text>
        <t>Giriş: 07:38 | Çıkış Basılmadı (Girişi var -&gt; 7,5s hak ediş yazıldı - İstisna Onayı Bekliyor)</t>
      </text>
    </comment>
    <comment ref="P256" authorId="0" shapeId="0">
      <text>
        <t>Giriş: 07:29 | Çıkış Basılmadı (Girişi var -&gt; 7,5s hak ediş yazıldı - İstisna Onayı Bekliyor)</t>
      </text>
    </comment>
    <comment ref="Q256" authorId="0" shapeId="0">
      <text>
        <t>Giriş: 07:47 | Çıkış Basılmadı (Girişi var -&gt; 7,5s hak ediş yazıldı - İstisna Onayı Bekliyor)</t>
      </text>
    </comment>
    <comment ref="S256" authorId="0" shapeId="0">
      <text>
        <t>Giriş: 07:39 | Çıkış Basılmadı (Girişi var -&gt; 7,5s hak ediş yazıldı - İstisna Onayı Bekliyor)</t>
      </text>
    </comment>
    <comment ref="T256" authorId="0" shapeId="0">
      <text>
        <t>Giriş: 07:43 | Çıkış Basılmadı (Girişi var -&gt; 7,5s hak ediş yazıldı - İstisna Onayı Bekliyor)</t>
      </text>
    </comment>
    <comment ref="U256" authorId="0" shapeId="0">
      <text>
        <t>Giriş: 07:41 | Çıkış Basılmadı (Girişi var -&gt; 7,5s hak ediş yazıldı - İstisna Onayı Bekliyor)</t>
      </text>
    </comment>
    <comment ref="V256" authorId="0" shapeId="0">
      <text>
        <t>Giriş: 07:43 | Çıkış Basılmadı (Girişi var -&gt; 7,5s hak ediş yazıldı - İstisna Onayı Bekliyor)</t>
      </text>
    </comment>
    <comment ref="W256" authorId="0" shapeId="0">
      <text>
        <t>Giriş: 07:31 | Çıkış Basılmadı (Girişi var -&gt; 7,5s hak ediş yazıldı - İstisna Onayı Bekliyor)</t>
      </text>
    </comment>
    <comment ref="X256" authorId="0" shapeId="0">
      <text>
        <t>Giriş: 07:46 | Çıkış Basılmadı (Girişi var -&gt; 7,5s hak ediş yazıldı - İstisna Onayı Bekliyor)</t>
      </text>
    </comment>
    <comment ref="Z256" authorId="0" shapeId="0">
      <text>
        <t>Giriş: 07:30 | Çıkış Basılmadı (Girişi var -&gt; 7,5s hak ediş yazıldı - İstisna Onayı Bekliyor)</t>
      </text>
    </comment>
    <comment ref="AA256" authorId="0" shapeId="0">
      <text>
        <t>Giriş: 07:46 | Çıkış Basılmadı (Girişi var -&gt; 7,5s hak ediş yazıldı - İstisna Onayı Bekliyor)</t>
      </text>
    </comment>
    <comment ref="AB256" authorId="0" shapeId="0">
      <text>
        <t>Giriş: 07:44 | Çıkış Basılmadı (Girişi var -&gt; 7,5s hak ediş yazıldı - İstisna Onayı Bekliyor)</t>
      </text>
    </comment>
    <comment ref="AC256" authorId="0" shapeId="0">
      <text>
        <t>Giriş: 07:47 | Çıkış Basılmadı (Girişi var -&gt; 7,5s hak ediş yazıldı - İstisna Onayı Bekliyor)</t>
      </text>
    </comment>
    <comment ref="AD256" authorId="0" shapeId="0">
      <text>
        <t>Giriş: 07:34 | Çıkış Basılmadı (Girişi var -&gt; 7,5s hak ediş yazıldı - İstisna Onayı Bekliyor)</t>
      </text>
    </comment>
    <comment ref="AE256" authorId="0" shapeId="0">
      <text>
        <t>Giriş: 07:42 | Çıkış Basılmadı (Girişi var -&gt; 7,5s hak ediş yazıldı - İstisna Onayı Bekliyor)</t>
      </text>
    </comment>
    <comment ref="AG256" authorId="0" shapeId="0">
      <text>
        <t>Giriş: 07:38 | Çıkış Basılmadı (Girişi var -&gt; 7,5s hak ediş yazıldı - İstisna Onayı Bekliyor)</t>
      </text>
    </comment>
    <comment ref="AH256" authorId="0" shapeId="0">
      <text>
        <t>Giriş: 07:40 | Çıkış Basılmadı (Girişi var -&gt; 7,5s hak ediş yazıldı - İstisna Onayı Bekliyor)</t>
      </text>
    </comment>
    <comment ref="AI256" authorId="0" shapeId="0">
      <text>
        <t>Giriş: 07:38 | Çıkış Basılmadı (Girişi var -&gt; 7,5s hak ediş yazıldı - İstisna Onayı Bekliyor)</t>
      </text>
    </comment>
    <comment ref="AE258" authorId="0" shapeId="0">
      <text>
        <t>Parçalı Çalışma: 2 oturum (08:34-14:47, 16:30-19:19) -&gt; Toplam 8,0s</t>
      </text>
    </comment>
    <comment ref="P260" authorId="0" shapeId="0">
      <text>
        <t>Giriş: 07:38 | Çıkış Basılmadı (Girişi var -&gt; 7,5s hak ediş yazıldı - İstisna Onayı Bekliyor)</t>
      </text>
    </comment>
    <comment ref="Z260" authorId="0" shapeId="0">
      <text>
        <t>Giriş: 07:46 | Çıkış Basılmadı (Girişi var -&gt; 7,5s hak ediş yazıldı - İstisna Onayı Bekliyor)</t>
      </text>
    </comment>
    <comment ref="AB260" authorId="0" shapeId="0">
      <text>
        <t>Giriş: 07:40 | Çıkış Basılmadı (Girişi var -&gt; 7,5s hak ediş yazıldı - İstisna Onayı Bekliyor)</t>
      </text>
    </comment>
    <comment ref="AC260" authorId="0" shapeId="0">
      <text>
        <t>Giriş: 07:50 | Çıkış Basılmadı (Girişi var -&gt; 7,5s hak ediş yazıldı - İstisna Onayı Bekliyor)</t>
      </text>
    </comment>
    <comment ref="AE260" authorId="0" shapeId="0">
      <text>
        <t>Giriş: 07:46 | Çıkış Basılmadı (Girişi var -&gt; 7,5s hak ediş yazıldı - İstisna Onayı Bekliyor)</t>
      </text>
    </comment>
    <comment ref="AG260" authorId="0" shapeId="0">
      <text>
        <t>Giriş: 07:53 | Çıkış Basılmadı (Girişi var -&gt; 7,5s hak ediş yazıldı - İstisna Onayı Bekliyor)</t>
      </text>
    </comment>
    <comment ref="AI260" authorId="0" shapeId="0">
      <text>
        <t>Giriş: 07:44 | Çıkış Basılmadı (Girişi var -&gt; 7,5s hak ediş yazıldı - İstisna Onayı Bekliyor)</t>
      </text>
    </comment>
    <comment ref="V261" authorId="0" shapeId="0">
      <text>
        <t>Çoklu Basım: İlk Giriş 20:02, Son Çıkış 08:04 (10,5s)</t>
      </text>
    </comment>
    <comment ref="AI264" authorId="0" shapeId="0">
      <text>
        <t>Giriş: 07:38 | Çıkış Basılmadı (Girişi var -&gt; 7,5s hak ediş yazıldı - İstisna Onayı Bekliyor)</t>
      </text>
    </comment>
    <comment ref="AI292" authorId="0" shapeId="0">
      <text>
        <t>Giriş: 15:51 | Çıkış Basılmadı (Girişi var -&gt; 7,5s hak ediş yazıldı - İstisna Onayı Bekliyor)</t>
      </text>
    </comment>
    <comment ref="AI293" authorId="0" shapeId="0">
      <text>
        <t>Giriş: 15:52 | Çıkış Basılmadı (Girişi var -&gt; 7,5s hak ediş yazıldı - İstisna Onayı Bekliyor)</t>
      </text>
    </comment>
    <comment ref="Q295" authorId="0" shapeId="0">
      <text>
        <t>Çoklu Basım: İlk Giriş 07:43, Son Çıkış 15:57 (7,5s)</t>
      </text>
    </comment>
    <comment ref="S295" authorId="0" shapeId="0">
      <text>
        <t>Çoklu Basım: İlk Giriş 13:34, Son Çıkış 15:52 (2,5s)</t>
      </text>
    </comment>
    <comment ref="AB295" authorId="0" shapeId="0">
      <text>
        <t>Çoklu Basım: İlk Giriş 10:04, Son Çıkış 16:00 (7,5s)</t>
      </text>
    </comment>
    <comment ref="AC295" authorId="0" shapeId="0">
      <text>
        <t>Giriş: 07:50 | Çıkış Basılmadı (Girişi var -&gt; 7,5s hak ediş yazıldı - İstisna Onayı Bekliyor)</t>
      </text>
    </comment>
    <comment ref="AH295" authorId="0" shapeId="0">
      <text>
        <t>Giriş: 07:47 | Çıkış Basılmadı (Girişi var -&gt; 7,5s hak ediş yazıldı - İstisna Onayı Bekliyor)</t>
      </text>
    </comment>
    <comment ref="AB305" authorId="0" shapeId="0">
      <text>
        <t>Çoklu Basım: İlk Giriş 15:39, Son Çıkış 00:04 (7,5s) | PDKS Süre Doğrulaması: Turnike brüt süresi (7,3s) tavan alındı</t>
      </text>
    </comment>
    <comment ref="AG305" authorId="0" shapeId="0">
      <text>
        <t>Parçalı Çalışma: 2 oturum (07:54-12:11, 23:28-08:08) -&gt; Toplam 11,4s</t>
      </text>
    </comment>
    <comment ref="Q308" authorId="0" shapeId="0">
      <text>
        <t>Giriş: 07:54 | Çıkış Basılmadı (Girişi var -&gt; 7,5s hak ediş yazıldı - İstisna Onayı Bekliyor)</t>
      </text>
    </comment>
    <comment ref="T308" authorId="0" shapeId="0">
      <text>
        <t>Parçalı Çalışma: 2 oturum (08:01-17:10, 22:29-07:53) -&gt; Toplam 14,0s</t>
      </text>
    </comment>
    <comment ref="P309" authorId="0" shapeId="0">
      <text>
        <t>Giriş: 07:45 | Çıkış Basılmadı (Girişi var -&gt; 7,5s hak ediş yazıldı - İstisna Onayı Bekliyor)</t>
      </text>
    </comment>
    <comment ref="P311" authorId="0" shapeId="0">
      <text>
        <t>Giriş: 17:55 | Çıkış Basılmadı (Girişi var -&gt; 7,5s hak ediş yazıldı - İstisna Onayı Bekliyor)</t>
      </text>
    </comment>
    <comment ref="AI319" authorId="0" shapeId="0">
      <text>
        <t>Giriş: 07:40 | Çıkış Basılmadı (Girişi var -&gt; 7,5s hak ediş yazıldı - İstisna Onayı Bekliyor)</t>
      </text>
    </comment>
    <comment ref="V321" authorId="0" shapeId="0">
      <text>
        <t>Parçalı Çalışma: 2 oturum (00:00-07:44, 23:50-08:10) -&gt; Toplam 14,5s</t>
      </text>
    </comment>
    <comment ref="W321" authorId="0" shapeId="0">
      <text>
        <t>Giriş: 23:57 | Çıkış Basılmadı (Girişi var -&gt; 7,5s hak ediş yazıldı - İstisna Onayı Bekliyor)</t>
      </text>
    </comment>
    <comment ref="AA321" authorId="0" shapeId="0">
      <text>
        <t>Giriş: 15:58 | Çıkış Basılmadı (Girişi var -&gt; 7,5s hak ediş yazıldı - İstisna Onayı Bekliyor)</t>
      </text>
    </comment>
    <comment ref="AG321" authorId="0" shapeId="0">
      <text>
        <t>Giriş: 15:49 | Çıkış Basılmadı (Girişi var -&gt; 7,5s hak ediş yazıldı - İstisna Onayı Bekliyor)</t>
      </text>
    </comment>
    <comment ref="AI321" authorId="0" shapeId="0">
      <text>
        <t>Giriş: 13:50 | Çıkış Basılmadı (Girişi var -&gt; 7,5s hak ediş yazıldı - İstisna Onayı Bekliyor)</t>
      </text>
    </comment>
    <comment ref="O328" authorId="0" shapeId="0">
      <text>
        <t>Giriş: 23:43 | Çıkış Basılmadı (Girişi var -&gt; 7,5s hak ediş yazıldı - İstisna Onayı Bekliyor)</t>
      </text>
    </comment>
    <comment ref="P328" authorId="0" shapeId="0">
      <text>
        <t>Parçalı Çalışma: 2 oturum (00:01-07:54, 23:36-07:55) -&gt; Toplam 14,7s</t>
      </text>
    </comment>
    <comment ref="V328" authorId="0" shapeId="0">
      <text>
        <t>Çoklu Basım: İlk Giriş 23:48, Son Çıkış 07:50 (7,5s)</t>
      </text>
    </comment>
    <comment ref="P330" authorId="0" shapeId="0">
      <text>
        <t>Çoklu Basım: İlk Giriş 18:05, Son Çıkış 01:08 (6,5s)</t>
      </text>
    </comment>
    <comment ref="P332" authorId="0" shapeId="0">
      <text>
        <t>Giriş: 08:00 | Çıkış Basılmadı (Girişi var -&gt; 7,5s hak ediş yazıldı - İstisna Onayı Bekliyor)</t>
      </text>
    </comment>
    <comment ref="AH332" authorId="0" shapeId="0">
      <text>
        <t>Giriş: 07:32 | Çıkış Basılmadı (Girişi var -&gt; 7,5s hak ediş yazıldı - İstisna Onayı Bekliyor)</t>
      </text>
    </comment>
    <comment ref="U338" authorId="0" shapeId="0">
      <text>
        <t>Parçalı Çalışma: 2 oturum (07:50-17:21, 18:58-07:46) -&gt; Toplam 19,5s</t>
      </text>
    </comment>
    <comment ref="P339" authorId="0" shapeId="0">
      <text>
        <t>Çoklu Basım: İlk Giriş 10:06, Son Çıkış 19:29 (8,0s)</t>
      </text>
    </comment>
    <comment ref="AG339" authorId="0" shapeId="0">
      <text>
        <t>Giriş: 08:07 | Çıkış Basılmadı (Girişi var -&gt; 7,5s hak ediş yazıldı - İstisna Onayı Bekliyor)</t>
      </text>
    </comment>
    <comment ref="W340" authorId="0" shapeId="0">
      <text>
        <t>Çıkış: 00:04 | Giriş Basılmadı (08:00 başı ile 14,5s korundu - İstisna Onayı Bekliyor)</t>
      </text>
    </comment>
    <comment ref="AI340" authorId="0" shapeId="0">
      <text>
        <t>Giriş: 15:50 | Çıkış Basılmadı (Girişi var -&gt; 7,5s hak ediş yazıldı - İstisna Onayı Bekliyor)</t>
      </text>
    </comment>
    <comment ref="AI343" authorId="0" shapeId="0">
      <text>
        <t>Çoklu Basım: İlk Giriş 07:44, Son Çıkış 17:25 (8,0s)</t>
      </text>
    </comment>
    <comment ref="AC347" authorId="0" shapeId="0">
      <text>
        <t>Giriş: 08:05 | Çıkış Basılmadı (Girişi var -&gt; 7,5s hak ediş yazıldı - İstisna Onayı Bekliyor)</t>
      </text>
    </comment>
    <comment ref="O348" authorId="0" shapeId="0">
      <text>
        <t>Giriş: 07:51 | Çıkış Basılmadı (Girişi var -&gt; 7,5s hak ediş yazıldı - İstisna Onayı Bekliyor)</t>
      </text>
    </comment>
    <comment ref="Q348" authorId="0" shapeId="0">
      <text>
        <t>Giriş: 07:47 | Çıkış Basılmadı (Girişi var -&gt; 7,5s hak ediş yazıldı - İstisna Onayı Bekliyor)</t>
      </text>
    </comment>
    <comment ref="AI357" authorId="0" shapeId="0">
      <text>
        <t>Giriş: 15:51 | Çıkış Basılmadı (Girişi var -&gt; 7,5s hak ediş yazıldı - İstisna Onayı Bekliyor)</t>
      </text>
    </comment>
    <comment ref="AA363" authorId="0" shapeId="0">
      <text>
        <t>Çoklu Basım: İlk Giriş 15:54, Son Çıkış 00:04 (7,5s)</t>
      </text>
    </comment>
    <comment ref="AI363" authorId="0" shapeId="0">
      <text>
        <t>Giriş: 15:50 | Çıkış Basılmadı (Girişi var -&gt; 7,5s hak ediş yazıldı - İstisna Onayı Bekliyor)</t>
      </text>
    </comment>
    <comment ref="AI368" authorId="0" shapeId="0">
      <text>
        <t>Giriş: 15:57 | Çıkış Basılmadı (Girişi var -&gt; 7,5s hak ediş yazıldı - İstisna Onayı Bekliyor)</t>
      </text>
    </comment>
    <comment ref="Q374" authorId="0" shapeId="0">
      <text>
        <t>Çıkış: 17:07 | Giriş Basılmadı (08:00 başı ile 7,5s korundu - İstisna Onayı Bekliyor)</t>
      </text>
    </comment>
    <comment ref="T374" authorId="0" shapeId="0">
      <text>
        <t>Çıkış: 17:07 | Giriş Basılmadı (08:00 başı ile 7,5s korundu - İstisna Onayı Bekliyor)</t>
      </text>
    </comment>
    <comment ref="Q376" authorId="0" shapeId="0">
      <text>
        <t>Giriş: 19:54 | Çıkış Basılmadı (Girişi var -&gt; 7,5s hak ediş yazıldı - İstisna Onayı Bekliyor)</t>
      </text>
    </comment>
    <comment ref="X376" authorId="0" shapeId="0">
      <text>
        <t>Giriş: 19:52 | Çıkış Basılmadı (Girişi var -&gt; 7,5s hak ediş yazıldı - İstisna Onayı Bekliyor)</t>
      </text>
    </comment>
    <comment ref="AA376" authorId="0" shapeId="0">
      <text>
        <t>Giriş: 19:54 | Çıkış Basılmadı (Girişi var -&gt; 7,5s hak ediş yazıldı - İstisna Onayı Bekliyor)</t>
      </text>
    </comment>
    <comment ref="O385" authorId="0" shapeId="0">
      <text>
        <t>Çoklu Basım: İlk Giriş 07:58, Son Çıkış 10:18 (2,5s) | PDKS Süre Doğrulaması: Turnike brüt süresi (0,0s) tavan alındı</t>
      </text>
    </comment>
    <comment ref="Q385" authorId="0" shapeId="0">
      <text>
        <t>Giriş: 07:43 | Çıkış Basılmadı (Girişi var -&gt; 7,5s hak ediş yazıldı - İstisna Onayı Bekliyor)</t>
      </text>
    </comment>
    <comment ref="AB385" authorId="0" shapeId="0">
      <text>
        <t>Giriş: 07:58 | Çıkış Basılmadı (Girişi var -&gt; 7,5s hak ediş yazıldı - İstisna Onayı Bekliyor)</t>
      </text>
    </comment>
    <comment ref="AC385" authorId="0" shapeId="0">
      <text>
        <t>Çıkış: 04:07 | Giriş Basılmadı (08:00 başı ile 18,5s korundu - İstisna Onayı Bekliyor)</t>
      </text>
    </comment>
    <comment ref="AE385" authorId="0" shapeId="0">
      <text>
        <t>Giriş: 07:49 | Çıkış Basılmadı (Girişi var -&gt; 7,5s hak ediş yazıldı - İstisna Onayı Bekliyor)</t>
      </text>
    </comment>
    <comment ref="AI385" authorId="0" shapeId="0">
      <text>
        <t>Giriş: 07:47 | Çıkış Basılmadı (Girişi var -&gt; 7,5s hak ediş yazıldı - İstisna Onayı Bekliyor)</t>
      </text>
    </comment>
    <comment ref="P390" authorId="0" shapeId="0">
      <text>
        <t>Giriş: 23:46 | Çıkış Basılmadı (Girişi var -&gt; 7,5s hak ediş yazıldı - İstisna Onayı Bekliyor)</t>
      </text>
    </comment>
    <comment ref="V390" authorId="0" shapeId="0">
      <text>
        <t>Giriş: 23:43 | Çıkış Basılmadı (Girişi var -&gt; 7,5s hak ediş yazıldı - İstisna Onayı Bekliyor)</t>
      </text>
    </comment>
    <comment ref="W390" authorId="0" shapeId="0">
      <text>
        <t>Parçalı Çalışma: 2 oturum (00:22-08:02, 23:47-07:59) -&gt; Toplam 14,4s</t>
      </text>
    </comment>
    <comment ref="AE390" authorId="0" shapeId="0">
      <text>
        <t>Çoklu Basım: İlk Giriş 15:49, Son Çıkış 23:59 (7,5s)</t>
      </text>
    </comment>
    <comment ref="Q396" authorId="0" shapeId="0">
      <text>
        <t>Giriş: 07:54 | Çıkış Basılmadı (Girişi var -&gt; 7,5s hak ediş yazıldı - İstisna Onayı Bekliyor)</t>
      </text>
    </comment>
    <comment ref="T396" authorId="0" shapeId="0">
      <text>
        <t>Parçalı Çalışma: 2 oturum (08:01-17:10, 22:29-07:55) -&gt; Toplam 14,0s</t>
      </text>
    </comment>
    <comment ref="P400" authorId="0" shapeId="0">
      <text>
        <t>Çıkış: 20:03 | Giriş Basılmadı (08:00 başı ile 10,5s korundu - İstisna Onayı Bekliyor)</t>
      </text>
    </comment>
    <comment ref="S413" authorId="0" shapeId="0">
      <text>
        <t>Çıkış: 17:10 | Giriş Basılmadı (08:00 başı ile 7,5s korundu - İstisna Onayı Bekliyor)</t>
      </text>
    </comment>
    <comment ref="V418" authorId="0" shapeId="0">
      <text>
        <t>Giriş: 07:49 | Çıkış Basılmadı (Girişi var -&gt; 7,5s hak ediş yazıldı - İstisna Onayı Bekliyor)</t>
      </text>
    </comment>
    <comment ref="W418" authorId="0" shapeId="0">
      <text>
        <t>Giriş: 07:53 | Çıkış Basılmadı (Girişi var -&gt; 7,5s hak ediş yazıldı - İstisna Onayı Bekliyor)</t>
      </text>
    </comment>
    <comment ref="Z418" authorId="0" shapeId="0">
      <text>
        <t>Giriş: 07:59 | Çıkış Basılmadı (Girişi var -&gt; 7,5s hak ediş yazıldı - İstisna Onayı Bekliyor)</t>
      </text>
    </comment>
    <comment ref="AA418" authorId="0" shapeId="0">
      <text>
        <t>Giriş: 07:58 | Çıkış Basılmadı (Girişi var -&gt; 7,5s hak ediş yazıldı - İstisna Onayı Bekliyor)</t>
      </text>
    </comment>
    <comment ref="AC418" authorId="0" shapeId="0">
      <text>
        <t>Giriş: 08:10 | Çıkış Basılmadı (Girişi var -&gt; 7,5s hak ediş yazıldı - İstisna Onayı Bekliyor)</t>
      </text>
    </comment>
    <comment ref="AG418" authorId="0" shapeId="0">
      <text>
        <t>Giriş: 08:05 | Çıkış Basılmadı (Girişi var -&gt; 7,5s hak ediş yazıldı - İstisna Onayı Bekliyor)</t>
      </text>
    </comment>
    <comment ref="AI418" authorId="0" shapeId="0">
      <text>
        <t>Giriş: 07:57 | Çıkış Basılmadı (Girişi var -&gt; 7,5s hak ediş yazıldı - İstisna Onayı Bekliyor)</t>
      </text>
    </comment>
    <comment ref="V422" authorId="0" shapeId="0">
      <text>
        <t>Giriş: 07:50 | Çıkış Basılmadı (Girişi var -&gt; 7,5s hak ediş yazıldı - İstisna Onayı Bekliyor)</t>
      </text>
    </comment>
    <comment ref="W422" authorId="0" shapeId="0">
      <text>
        <t>Çoklu Basım: İlk Giriş 08:57, Son Çıkış 17:38 (7,0s)</t>
      </text>
    </comment>
    <comment ref="Z423" authorId="0" shapeId="0">
      <text>
        <t>Çoklu Basım: İlk Giriş 07:57, Son Çıkış 18:44 (9,0s)</t>
      </text>
    </comment>
    <comment ref="AE423" authorId="0" shapeId="0">
      <text>
        <t>Giriş: 07:59 | Çıkış Basılmadı (Girişi var -&gt; 7,5s hak ediş yazıldı - İstisna Onayı Bekliyor)</t>
      </text>
    </comment>
    <comment ref="P498" authorId="0" shapeId="0">
      <text>
        <t>Çoklu Basım: İlk Giriş 19:45, Son Çıkış 07:55 (10,5s)</t>
      </text>
    </comment>
    <comment ref="V500" authorId="0" shapeId="0">
      <text>
        <t>Çıkış: 03:37 | Giriş Basılmadı (08:00 başı ile 18,0s korundu - İstisna Onayı Bekliyor)</t>
      </text>
    </comment>
    <comment ref="Q501" authorId="0" shapeId="0">
      <text>
        <t>Çoklu Basım: İlk Giriş 19:52, Son Çıkış 08:02 (10,5s)</t>
      </text>
    </comment>
    <comment ref="P502" authorId="0" shapeId="0">
      <text>
        <t>Çoklu Basım: İlk Giriş 19:48, Son Çıkış 07:58 (10,5s)</t>
      </text>
    </comment>
    <comment ref="Q504" authorId="0" shapeId="0">
      <text>
        <t>Çoklu Basım: İlk Giriş 19:51, Son Çıkış 08:06 (10,5s)</t>
      </text>
    </comment>
    <comment ref="AB505" authorId="0" shapeId="0">
      <text>
        <t>Giriş: 08:05 | Çıkış Basılmadı (Girişi var -&gt; 7,5s hak ediş yazıldı - İstisna Onayı Bekliyor)</t>
      </text>
    </comment>
    <comment ref="AD505" authorId="0" shapeId="0">
      <text>
        <t>Giriş: 08:00 | Çıkış Basılmadı (Girişi var -&gt; 7,5s hak ediş yazıldı - İstisna Onayı Bekliyor)</t>
      </text>
    </comment>
    <comment ref="AE505" authorId="0" shapeId="0">
      <text>
        <t>Giriş: 08:02 | Çıkış Basılmadı (Girişi var -&gt; 7,5s hak ediş yazıldı - İstisna Onayı Bekliyor)</t>
      </text>
    </comment>
    <comment ref="AG505" authorId="0" shapeId="0">
      <text>
        <t>Giriş: 07:49 | Çıkış Basılmadı (Girişi var -&gt; 7,5s hak ediş yazıldı - İstisna Onayı Bekliyor)</t>
      </text>
    </comment>
    <comment ref="AH505" authorId="0" shapeId="0">
      <text>
        <t>Giriş: 07:50 | Çıkış Basılmadı (Girişi var -&gt; 7,5s hak ediş yazıldı - İstisna Onayı Bekliyor)</t>
      </text>
    </comment>
    <comment ref="S508" authorId="0" shapeId="0">
      <text>
        <t>Çıkış: 16:59 | Giriş Basılmadı (08:00 başı ile 7,5s korundu - İstisna Onayı Bekliyor)</t>
      </text>
    </comment>
    <comment ref="V510" authorId="0" shapeId="0">
      <text>
        <t>Çoklu Basım: İlk Giriş 20:03, Son Çıkış 07:59 (10,5s)</t>
      </text>
    </comment>
    <comment ref="V512" authorId="0" shapeId="0">
      <text>
        <t>Çoklu Basım: İlk Giriş 20:04, Son Çıkış 08:01 (10,5s)</t>
      </text>
    </comment>
    <comment ref="P514" authorId="0" shapeId="0">
      <text>
        <t>Çıkış: 16:47 | Giriş Basılmadı (08:00 başı ile 7,5s korundu - İstisna Onayı Bekliyor)</t>
      </text>
    </comment>
    <comment ref="S514" authorId="0" shapeId="0">
      <text>
        <t>Çıkış: 17:01 | Giriş Basılmadı (08:00 başı ile 7,5s korundu - İstisna Onayı Bekliyor)</t>
      </text>
    </comment>
    <comment ref="T514" authorId="0" shapeId="0">
      <text>
        <t>Çıkış: 16:49 | Giriş Basılmadı (08:00 başı ile 7,5s korundu - İstisna Onayı Bekliyor)</t>
      </text>
    </comment>
    <comment ref="U514" authorId="0" shapeId="0">
      <text>
        <t>Çıkış: 07:56 | Giriş Basılmadı (08:00 başı ile 22,5s korundu - İstisna Onayı Bekliyor)</t>
      </text>
    </comment>
    <comment ref="V514" authorId="0" shapeId="0">
      <text>
        <t>Çıkış: 07:46 | Giriş Basılmadı (08:00 başı ile 22,5s korundu - İstisna Onayı Bekliyor)</t>
      </text>
    </comment>
    <comment ref="W514" authorId="0" shapeId="0">
      <text>
        <t>Çıkış: 19:51 | Giriş Basılmadı (08:00 başı ile 10,5s korundu - İstisna Onayı Bekliyor)</t>
      </text>
    </comment>
    <comment ref="X514" authorId="0" shapeId="0">
      <text>
        <t>Çıkış: 16:55 | Giriş Basılmadı (08:00 başı ile 7,5s korundu - İstisna Onayı Bekliyor)</t>
      </text>
    </comment>
    <comment ref="AA514" authorId="0" shapeId="0">
      <text>
        <t>Çıkış: 08:00 | Giriş Basılmadı (08:00 başı ile 7,5s korundu - İstisna Onayı Bekliyor)</t>
      </text>
    </comment>
    <comment ref="AC514" authorId="0" shapeId="0">
      <text>
        <t>Çıkış: 17:02 | Giriş Basılmadı (08:00 başı ile 7,5s korundu - İstisna Onayı Bekliyor)</t>
      </text>
    </comment>
    <comment ref="AD514" authorId="0" shapeId="0">
      <text>
        <t>Çıkış: 16:42 | Giriş Basılmadı (08:00 başı ile 7,0s korundu - İstisna Onayı Bekliyor)</t>
      </text>
    </comment>
    <comment ref="AE514" authorId="0" shapeId="0">
      <text>
        <t>Çıkış: 17:03 | Giriş Basılmadı (08:00 başı ile 7,5s korundu - İstisna Onayı Bekliyor)</t>
      </text>
    </comment>
    <comment ref="AG514" authorId="0" shapeId="0">
      <text>
        <t>Çıkış: 09:15 | Giriş Basılmadı (08:00 başı ile 1,0s korundu - İstisna Onayı Bekliyor)</t>
      </text>
    </comment>
    <comment ref="P515" authorId="0" shapeId="0">
      <text>
        <t>Giriş: 12:40 | Çıkış Basılmadı (Girişi var -&gt; 7,5s hak ediş yazıldı - İstisna Onayı Bekliyor)</t>
      </text>
    </comment>
    <comment ref="Q515" authorId="0" shapeId="0">
      <text>
        <t>Giriş: 07:50 | Çıkış Basılmadı (Girişi var -&gt; 7,5s hak ediş yazıldı - İstisna Onayı Bekliyor)</t>
      </text>
    </comment>
    <comment ref="S515" authorId="0" shapeId="0">
      <text>
        <t>Giriş: 07:49 | Çıkış Basılmadı (Girişi var -&gt; 7,5s hak ediş yazıldı - İstisna Onayı Bekliyor)</t>
      </text>
    </comment>
    <comment ref="T515" authorId="0" shapeId="0">
      <text>
        <t>Giriş: 08:03 | Çıkış Basılmadı (Girişi var -&gt; 7,5s hak ediş yazıldı - İstisna Onayı Bekliyor)</t>
      </text>
    </comment>
    <comment ref="U515" authorId="0" shapeId="0">
      <text>
        <t>Giriş: 21:52 | Çıkış Basılmadı (Girişi var -&gt; 7,5s hak ediş yazıldı - İstisna Onayı Bekliyor)</t>
      </text>
    </comment>
    <comment ref="W515" authorId="0" shapeId="0">
      <text>
        <t>Giriş: 07:57 | Çıkış Basılmadı (Girişi var -&gt; 7,5s hak ediş yazıldı - İstisna Onayı Bekliyor)</t>
      </text>
    </comment>
    <comment ref="X515" authorId="0" shapeId="0">
      <text>
        <t>Giriş: 07:55 | Çıkış Basılmadı (Girişi var -&gt; 7,5s hak ediş yazıldı - İstisna Onayı Bekliyor)</t>
      </text>
    </comment>
    <comment ref="Z515" authorId="0" shapeId="0">
      <text>
        <t>Giriş: 07:53 | Çıkış Basılmadı (Girişi var -&gt; 7,5s hak ediş yazıldı - İstisna Onayı Bekliyor)</t>
      </text>
    </comment>
    <comment ref="AA515" authorId="0" shapeId="0">
      <text>
        <t>Giriş: 08:00 | Çıkış Basılmadı (Girişi var -&gt; 7,5s hak ediş yazıldı - İstisna Onayı Bekliyor)</t>
      </text>
    </comment>
    <comment ref="AC515" authorId="0" shapeId="0">
      <text>
        <t>Giriş: 07:55 | Çıkış Basılmadı (Girişi var -&gt; 7,5s hak ediş yazıldı - İstisna Onayı Bekliyor)</t>
      </text>
    </comment>
    <comment ref="AD515" authorId="0" shapeId="0">
      <text>
        <t>Giriş: 08:06 | Çıkış Basılmadı (Girişi var -&gt; 7,5s hak ediş yazıldı - İstisna Onayı Bekliyor)</t>
      </text>
    </comment>
    <comment ref="AE515" authorId="0" shapeId="0">
      <text>
        <t>Giriş: 08:10 | Çıkış Basılmadı (Girişi var -&gt; 7,5s hak ediş yazıldı - İstisna Onayı Bekliyor)</t>
      </text>
    </comment>
    <comment ref="AG515" authorId="0" shapeId="0">
      <text>
        <t>Giriş: 08:35 | Çıkış Basılmadı (Girişi var -&gt; 7,5s hak ediş yazıldı - İstisna Onayı Bekliyor)</t>
      </text>
    </comment>
    <comment ref="P516" authorId="0" shapeId="0">
      <text>
        <t>Çoklu Basım: İlk Giriş 19:46, Son Çıkış 07:53 (10,5s)</t>
      </text>
    </comment>
    <comment ref="Z519" authorId="0" shapeId="0">
      <text>
        <t>Çıkış: 18:01 | Giriş Basılmadı (08:00 başı ile 8,5s korundu - İstisna Onayı Bekliyor)</t>
      </text>
    </comment>
    <comment ref="P520" authorId="0" shapeId="0">
      <text>
        <t>Çıkış: 20:04 | Giriş Basılmadı (08:00 başı ile 10,5s korundu - İstisna Onayı Bekliyor)</t>
      </text>
    </comment>
    <comment ref="P521" authorId="0" shapeId="0">
      <text>
        <t>Çoklu Basım: İlk Giriş 19:45, Son Çıkış 07:53 (10,5s)</t>
      </text>
    </comment>
    <comment ref="S522" authorId="0" shapeId="0">
      <text>
        <t>Giriş: 08:15 | Çıkış Basılmadı (Girişi var -&gt; 7,5s hak ediş yazıldı - İstisna Onayı Bekliyor)</t>
      </text>
    </comment>
    <comment ref="AA524" authorId="0" shapeId="0">
      <text>
        <t>Çıkış: 17:08 | Giriş Basılmadı (08:00 başı ile 7,5s korundu - İstisna Onayı Bekliyor)</t>
      </text>
    </comment>
    <comment ref="P526" authorId="0" shapeId="0">
      <text>
        <t>Çoklu Basım: İlk Giriş 19:45, Son Çıkış 07:54 (10,5s)</t>
      </text>
    </comment>
    <comment ref="AA529" authorId="0" shapeId="0">
      <text>
        <t>Çoklu Basım: İlk Giriş 20:01, Son Çıkış 07:58 (10,5s)</t>
      </text>
    </comment>
    <comment ref="Q530" authorId="0" shapeId="0">
      <text>
        <t>Çıkış: 17:42 | Giriş Basılmadı (08:00 başı ile 8,0s korundu - İstisna Onayı Bekliyor)</t>
      </text>
    </comment>
    <comment ref="W531" authorId="0" shapeId="0">
      <text>
        <t>Çoklu Basım: İlk Giriş 15:05, Son Çıkış 20:01 (4,5s)</t>
      </text>
    </comment>
    <comment ref="P532" authorId="0" shapeId="0">
      <text>
        <t>Çıkış: 17:52 | Giriş Basılmadı (08:00 başı ile 8,5s korundu - İstisna Onayı Bekliyor)</t>
      </text>
    </comment>
    <comment ref="P534" authorId="0" shapeId="0">
      <text>
        <t>Çoklu Basım: İlk Giriş 19:46, Son Çıkış 07:53 (10,5s)</t>
      </text>
    </comment>
    <comment ref="Z534" authorId="0" shapeId="0">
      <text>
        <t>Parçalı Çalışma: 2 oturum (08:10-20:04, 20:06-07:53) -&gt; Toplam 21,0s</t>
      </text>
    </comment>
    <comment ref="AA538" authorId="0" shapeId="0">
      <text>
        <t>Çıkış: 17:07 | Giriş Basılmadı (08:00 başı ile 7,5s korundu - İstisna Onayı Bekliyor)</t>
      </text>
    </comment>
    <comment ref="AG539" authorId="0" shapeId="0">
      <text>
        <t>Giriş: 20:14 | Çıkış Basılmadı (Girişi var -&gt; 7,5s hak ediş yazıldı - İstisna Onayı Bekliyor)</t>
      </text>
    </comment>
    <comment ref="AA541" authorId="0" shapeId="0">
      <text>
        <t>Çıkış: 17:06 | Giriş Basılmadı (08:00 başı ile 7,5s korundu - İstisna Onayı Bekliyor)</t>
      </text>
    </comment>
    <comment ref="P542" authorId="0" shapeId="0">
      <text>
        <t>Çoklu Basım: İlk Giriş 19:45, Son Çıkış 07:52 (10,5s)</t>
      </text>
    </comment>
    <comment ref="AA543" authorId="0" shapeId="0">
      <text>
        <t>Çıkış: 17:06 | Giriş Basılmadı (08:00 başı ile 7,5s korundu - İstisna Onayı Bekliyor)</t>
      </text>
    </comment>
    <comment ref="V544" authorId="0" shapeId="0">
      <text>
        <t>Çıkış: 07:54 | Giriş Basılmadı (08:00 başı ile 22,5s korundu - İstisna Onayı Bekliyor)</t>
      </text>
    </comment>
    <comment ref="AA545" authorId="0" shapeId="0">
      <text>
        <t>Çıkış: 17:07 | Giriş Basılmadı (08:00 başı ile 7,5s korundu - İstisna Onayı Bekliyor)</t>
      </text>
    </comment>
    <comment ref="P546" authorId="0" shapeId="0">
      <text>
        <t>Çoklu Basım: İlk Giriş 19:45, Son Çıkış 07:53 (10,5s)</t>
      </text>
    </comment>
    <comment ref="Q547" authorId="0" shapeId="0">
      <text>
        <t>Çıkış: 20:05 | Giriş Basılmadı (08:00 başı ile 10,5s korundu - İstisna Onayı Bekliyor)</t>
      </text>
    </comment>
    <comment ref="AB548" authorId="0" shapeId="0">
      <text>
        <t>Giriş: 08:00 | Çıkış Basılmadı (Girişi var -&gt; 7,5s hak ediş yazıldı - İstisna Onayı Bekliyor)</t>
      </text>
    </comment>
    <comment ref="AC548" authorId="0" shapeId="0">
      <text>
        <t>Giriş: 08:09 | Çıkış Basılmadı (Girişi var -&gt; 7,5s hak ediş yazıldı - İstisna Onayı Bekliyor)</t>
      </text>
    </comment>
    <comment ref="AE548" authorId="0" shapeId="0">
      <text>
        <t>Giriş: 07:36 | Çıkış Basılmadı (Girişi var -&gt; 7,5s hak ediş yazıldı - İstisna Onayı Bekliyor)</t>
      </text>
    </comment>
    <comment ref="AH548" authorId="0" shapeId="0">
      <text>
        <t>Giriş: 08:01 | Çıkış Basılmadı (Girişi var -&gt; 7,5s hak ediş yazıldı - İstisna Onayı Bekliyor)</t>
      </text>
    </comment>
    <comment ref="Z550" authorId="0" shapeId="0">
      <text>
        <t>Çıkış: 18:01 | Giriş Basılmadı (08:00 başı ile 8,5s korundu - İstisna Onayı Bekliyor)</t>
      </text>
    </comment>
    <comment ref="P552" authorId="0" shapeId="0">
      <text>
        <t>Çıkış: 17:54 | Giriş Basılmadı (08:00 başı ile 8,5s korundu - İstisna Onayı Bekliyor)</t>
      </text>
    </comment>
    <comment ref="P555" authorId="0" shapeId="0">
      <text>
        <t>Çıkış: 20:02 | Giriş Basılmadı (08:00 başı ile 10,5s korundu - İstisna Onayı Bekliyor)</t>
      </text>
    </comment>
    <comment ref="P557" authorId="0" shapeId="0">
      <text>
        <t>Çıkış: 20:03 | Giriş Basılmadı (08:00 başı ile 10,5s korundu - İstisna Onayı Bekliyor)</t>
      </text>
    </comment>
    <comment ref="P558" authorId="0" shapeId="0">
      <text>
        <t>Çoklu Basım: İlk Giriş 19:45, Son Çıkış 07:54 (10,5s)</t>
      </text>
    </comment>
    <comment ref="Q559" authorId="0" shapeId="0">
      <text>
        <t>Çoklu Basım: İlk Giriş 07:49, Son Çıkış 17:38 (8,0s)</t>
      </text>
    </comment>
    <comment ref="P560" authorId="0" shapeId="0">
      <text>
        <t>Çıkış: 20:03 | Giriş Basılmadı (08:00 başı ile 10,5s korundu - İstisna Onayı Bekliyor)</t>
      </text>
    </comment>
    <comment ref="P561" authorId="0" shapeId="0">
      <text>
        <t>Çıkış: 20:02 | Giriş Basılmadı (08:00 başı ile 10,5s korundu - İstisna Onayı Bekliyor)</t>
      </text>
    </comment>
    <comment ref="P562" authorId="0" shapeId="0">
      <text>
        <t>Çoklu Basım: İlk Giriş 19:46, Son Çıkış 07:53 (10,5s)</t>
      </text>
    </comment>
    <comment ref="U563" authorId="0" shapeId="0">
      <text>
        <t>Çıkış: 20:02 | Giriş Basılmadı (08:00 başı ile 10,5s korundu - İstisna Onayı Bekliyor)</t>
      </text>
    </comment>
    <comment ref="W563" authorId="0" shapeId="0">
      <text>
        <t>Çıkış: 20:02 | Giriş Basılmadı (08:00 başı ile 10,5s korundu - İstisna Onayı Bekliyor)</t>
      </text>
    </comment>
    <comment ref="X563" authorId="0" shapeId="0">
      <text>
        <t>Çıkış: 19:59 | Giriş Basılmadı (08:00 başı ile 10,5s korundu - İstisna Onayı Bekliyor)</t>
      </text>
    </comment>
    <comment ref="Z563" authorId="0" shapeId="0">
      <text>
        <t>Çıkış: 17:01 | Giriş Basılmadı (08:00 başı ile 7,5s korundu - İstisna Onayı Bekliyor)</t>
      </text>
    </comment>
    <comment ref="AA563" authorId="0" shapeId="0">
      <text>
        <t>Çıkış: 19:59 | Giriş Basılmadı (08:00 başı ile 10,5s korundu - İstisna Onayı Bekliyor)</t>
      </text>
    </comment>
    <comment ref="AB563" authorId="0" shapeId="0">
      <text>
        <t>Çıkış: 19:58 | Giriş Basılmadı (08:00 başı ile 10,5s korundu - İstisna Onayı Bekliyor)</t>
      </text>
    </comment>
    <comment ref="AC563" authorId="0" shapeId="0">
      <text>
        <t>Çıkış: 19:59 | Giriş Basılmadı (08:00 başı ile 10,5s korundu - İstisna Onayı Bekliyor)</t>
      </text>
    </comment>
    <comment ref="AE563" authorId="0" shapeId="0">
      <text>
        <t>Çıkış: 20:04 | Giriş Basılmadı (08:00 başı ile 10,5s korundu - İstisna Onayı Bekliyor)</t>
      </text>
    </comment>
    <comment ref="AG563" authorId="0" shapeId="0">
      <text>
        <t>Çıkış: 19:59 | Giriş Basılmadı (08:00 başı ile 10,5s korundu - İstisna Onayı Bekliyor)</t>
      </text>
    </comment>
    <comment ref="AH563" authorId="0" shapeId="0">
      <text>
        <t>Çıkış: 17:07 | Giriş Basılmadı (08:00 başı ile 7,5s korundu - İstisna Onayı Bekliyor)</t>
      </text>
    </comment>
    <comment ref="AI563" authorId="0" shapeId="0">
      <text>
        <t>Çıkış: 17:07 | Giriş Basılmadı (08:00 başı ile 7,5s korundu - İstisna Onayı Bekliyor)</t>
      </text>
    </comment>
    <comment ref="P566" authorId="0" shapeId="0">
      <text>
        <t>Çıkış: 07:51 | Giriş Basılmadı (08:00 başı ile 22,5s korundu - İstisna Onayı Bekliyor)</t>
      </text>
    </comment>
    <comment ref="Z566" authorId="0" shapeId="0">
      <text>
        <t>Parçalı Çalışma: 2 oturum (08:10-20:04, 20:06-07:53) -&gt; Toplam 21,0s</t>
      </text>
    </comment>
    <comment ref="P567" authorId="0" shapeId="0">
      <text>
        <t>Çıkış: 20:02 | Giriş Basılmadı (08:00 başı ile 10,5s korundu - İstisna Onayı Bekliyor)</t>
      </text>
    </comment>
    <comment ref="V567" authorId="0" shapeId="0">
      <text>
        <t>Çoklu Basım: İlk Giriş 07:52, Son Çıkış 07:53 (7,5s)</t>
      </text>
    </comment>
    <comment ref="P569" authorId="0" shapeId="0">
      <text>
        <t>Çoklu Basım: İlk Giriş 19:45, Son Çıkış 07:54 (10,5s)</t>
      </text>
    </comment>
    <comment ref="P570" authorId="0" shapeId="0">
      <text>
        <t>Çıkış: 17:52 | Giriş Basılmadı (08:00 başı ile 8,5s korundu - İstisna Onayı Bekliyor)</t>
      </text>
    </comment>
    <comment ref="AA572" authorId="0" shapeId="0">
      <text>
        <t>Çıkış: 17:07 | Giriş Basılmadı (08:00 başı ile 7,5s korundu - İstisna Onayı Bekliyor)</t>
      </text>
    </comment>
    <comment ref="AE572" authorId="0" shapeId="0">
      <text>
        <t>Çoklu Basım: İlk Giriş 08:02, Son Çıkış 17:52 (8,5s)</t>
      </text>
    </comment>
    <comment ref="P574" authorId="0" shapeId="0">
      <text>
        <t>Çoklu Basım: İlk Giriş 19:46, Son Çıkış 07:53 (10,5s)</t>
      </text>
    </comment>
    <comment ref="Z575" authorId="0" shapeId="0">
      <text>
        <t>Parçalı Çalışma: 2 oturum (08:10-20:03, 20:06-07:53) -&gt; Toplam 21,0s</t>
      </text>
    </comment>
    <comment ref="P576" authorId="0" shapeId="0">
      <text>
        <t>Çoklu Basım: İlk Giriş 19:48, Son Çıkış 07:58 (10,5s)</t>
      </text>
    </comment>
    <comment ref="AD577" authorId="0" shapeId="0">
      <text>
        <t>Çıkış: 07:59 | Giriş Basılmadı (08:00 başı ile 7,5s korundu - İstisna Onayı Bekliyor)</t>
      </text>
    </comment>
    <comment ref="P579" authorId="0" shapeId="0">
      <text>
        <t>Çoklu Basım: İlk Giriş 19:46, Son Çıkış 07:53 (10,5s)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580"/>
  <sheetViews>
    <sheetView showGridLines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22" customWidth="1" min="3" max="3"/>
    <col width="7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6" customWidth="1" min="10" max="10"/>
    <col width="15" customWidth="1" min="11" max="11"/>
    <col width="15" customWidth="1" min="12" max="12"/>
    <col width="13" customWidth="1" min="13" max="13"/>
    <col width="11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13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5" customWidth="1" min="53" max="53"/>
    <col width="13" customWidth="1" min="54" max="54"/>
    <col width="12" customWidth="1" min="55" max="55"/>
    <col width="13" customWidth="1" min="56" max="56"/>
    <col width="14" customWidth="1" min="57" max="57"/>
    <col width="15" customWidth="1" min="58" max="58"/>
    <col width="15" customWidth="1" min="59" max="59"/>
    <col width="16" customWidth="1" min="60" max="60"/>
    <col width="16" customWidth="1" min="61" max="61"/>
    <col width="15" customWidth="1" min="62" max="62"/>
    <col width="13" customWidth="1" min="63" max="63"/>
    <col width="15" customWidth="1" min="64" max="64"/>
    <col width="15" customWidth="1" min="65" max="65"/>
  </cols>
  <sheetData>
    <row r="1" ht="24" customHeight="1">
      <c r="A1" s="1" t="inlineStr">
        <is>
          <t>FİDE KONSERVE GIDA SAN. VE TİC. A.Ş. - EKIM 2026 AYLIK PUANTAJ VE HAKEDİŞ CETVELİ</t>
        </is>
      </c>
    </row>
    <row r="3" ht="28" customHeight="1">
      <c r="A3" s="2" t="inlineStr">
        <is>
          <t>Sıra No</t>
        </is>
      </c>
      <c r="B3" s="2" t="inlineStr">
        <is>
          <t>TC Kimlik No</t>
        </is>
      </c>
      <c r="C3" s="2" t="inlineStr">
        <is>
          <t>Adı Soyadı</t>
        </is>
      </c>
      <c r="D3" s="2" t="inlineStr">
        <is>
          <t>Cinsiyet</t>
        </is>
      </c>
      <c r="E3" s="2" t="inlineStr">
        <is>
          <t>İşletme Giriş</t>
        </is>
      </c>
      <c r="F3" s="2" t="inlineStr">
        <is>
          <t>SGK Giriş</t>
        </is>
      </c>
      <c r="G3" s="2" t="inlineStr">
        <is>
          <t>SGK Çıkış</t>
        </is>
      </c>
      <c r="H3" s="2" t="inlineStr">
        <is>
          <t>SGK Statü</t>
        </is>
      </c>
      <c r="I3" s="2" t="inlineStr">
        <is>
          <t>Kadro</t>
        </is>
      </c>
      <c r="J3" s="2" t="inlineStr">
        <is>
          <t>Bölüm / İş</t>
        </is>
      </c>
      <c r="K3" s="2" t="inlineStr">
        <is>
          <t>İkamet / Güzergah</t>
        </is>
      </c>
      <c r="L3" s="2" t="inlineStr">
        <is>
          <t>Anlaşılan Net Maaş (TL)</t>
        </is>
      </c>
      <c r="M3" s="2" t="inlineStr">
        <is>
          <t>Şirket</t>
        </is>
      </c>
      <c r="N3" s="2" t="inlineStr">
        <is>
          <t>Mesai Durumu</t>
        </is>
      </c>
      <c r="O3" s="2" t="inlineStr">
        <is>
          <t>01.10
Per</t>
        </is>
      </c>
      <c r="P3" s="2" t="inlineStr">
        <is>
          <t>02.10
Cum</t>
        </is>
      </c>
      <c r="Q3" s="2" t="inlineStr">
        <is>
          <t>03.10
Cmt</t>
        </is>
      </c>
      <c r="R3" s="3" t="inlineStr">
        <is>
          <t>04.10
PAZAR</t>
        </is>
      </c>
      <c r="S3" s="2" t="inlineStr">
        <is>
          <t>05.10
Pzt</t>
        </is>
      </c>
      <c r="T3" s="2" t="inlineStr">
        <is>
          <t>06.10
Sal</t>
        </is>
      </c>
      <c r="U3" s="2" t="inlineStr">
        <is>
          <t>07.10
Çar</t>
        </is>
      </c>
      <c r="V3" s="2" t="inlineStr">
        <is>
          <t>08.10
Per</t>
        </is>
      </c>
      <c r="W3" s="2" t="inlineStr">
        <is>
          <t>09.10
Cum</t>
        </is>
      </c>
      <c r="X3" s="2" t="inlineStr">
        <is>
          <t>10.10
Cmt</t>
        </is>
      </c>
      <c r="Y3" s="3" t="inlineStr">
        <is>
          <t>11.10
PAZAR</t>
        </is>
      </c>
      <c r="Z3" s="2" t="inlineStr">
        <is>
          <t>12.10
Pzt</t>
        </is>
      </c>
      <c r="AA3" s="2" t="inlineStr">
        <is>
          <t>13.10
Sal</t>
        </is>
      </c>
      <c r="AB3" s="2" t="inlineStr">
        <is>
          <t>14.10
Çar</t>
        </is>
      </c>
      <c r="AC3" s="2" t="inlineStr">
        <is>
          <t>15.10
Per</t>
        </is>
      </c>
      <c r="AD3" s="2" t="inlineStr">
        <is>
          <t>16.10
Cum</t>
        </is>
      </c>
      <c r="AE3" s="2" t="inlineStr">
        <is>
          <t>17.10
Cmt</t>
        </is>
      </c>
      <c r="AF3" s="3" t="inlineStr">
        <is>
          <t>18.10
PAZAR</t>
        </is>
      </c>
      <c r="AG3" s="2" t="inlineStr">
        <is>
          <t>19.10
Pzt</t>
        </is>
      </c>
      <c r="AH3" s="2" t="inlineStr">
        <is>
          <t>20.10
Sal</t>
        </is>
      </c>
      <c r="AI3" s="2" t="inlineStr">
        <is>
          <t>21.10
Çar</t>
        </is>
      </c>
      <c r="AJ3" s="2" t="inlineStr">
        <is>
          <t>22.10
Per</t>
        </is>
      </c>
      <c r="AK3" s="2" t="inlineStr">
        <is>
          <t>23.10
Cum</t>
        </is>
      </c>
      <c r="AL3" s="2" t="inlineStr">
        <is>
          <t>24.10
Cmt</t>
        </is>
      </c>
      <c r="AM3" s="3" t="inlineStr">
        <is>
          <t>25.10
PAZAR</t>
        </is>
      </c>
      <c r="AN3" s="2" t="inlineStr">
        <is>
          <t>26.10
Pzt</t>
        </is>
      </c>
      <c r="AO3" s="2" t="inlineStr">
        <is>
          <t>27.10
Sal</t>
        </is>
      </c>
      <c r="AP3" s="2" t="inlineStr">
        <is>
          <t>28.10
Çar</t>
        </is>
      </c>
      <c r="AQ3" s="2" t="inlineStr">
        <is>
          <t>29.10
Per</t>
        </is>
      </c>
      <c r="AR3" s="2" t="inlineStr">
        <is>
          <t>30.10
Cum</t>
        </is>
      </c>
      <c r="AS3" s="2" t="inlineStr">
        <is>
          <t>31.10
Cmt</t>
        </is>
      </c>
      <c r="AT3" s="2" t="inlineStr">
        <is>
          <t>Toplam Çalışma Saati</t>
        </is>
      </c>
      <c r="AU3" s="2" t="inlineStr">
        <is>
          <t>Fiili Çalışılan Gün</t>
        </is>
      </c>
      <c r="AV3" s="2" t="inlineStr">
        <is>
          <t>Hafta Tatili Günü</t>
        </is>
      </c>
      <c r="AW3" s="2" t="inlineStr">
        <is>
          <t>Ücretli İzin (Gün)</t>
        </is>
      </c>
      <c r="AX3" s="2" t="inlineStr">
        <is>
          <t>Raporlu Gün</t>
        </is>
      </c>
      <c r="AY3" s="2" t="inlineStr">
        <is>
          <t>Toplam SGK Günü</t>
        </is>
      </c>
      <c r="AZ3" s="2" t="inlineStr">
        <is>
          <t>Eksik Gün Sayısı</t>
        </is>
      </c>
      <c r="BA3" s="2" t="inlineStr">
        <is>
          <t>Eksik Gün Nedeni</t>
        </is>
      </c>
      <c r="BB3" s="2" t="inlineStr">
        <is>
          <t>Hafta İçi Fazla Mesai (Saat)</t>
        </is>
      </c>
      <c r="BC3" s="2" t="inlineStr">
        <is>
          <t>Eksik Çalışma (Saat)</t>
        </is>
      </c>
      <c r="BD3" s="2" t="inlineStr">
        <is>
          <t>Pazar Mesai (Saat)</t>
        </is>
      </c>
      <c r="BE3" s="2" t="inlineStr">
        <is>
          <t>Maaş Hakedişi (TL)</t>
        </is>
      </c>
      <c r="BF3" s="2" t="inlineStr">
        <is>
          <t>H.İçi Mesai Tutarı (TL)</t>
        </is>
      </c>
      <c r="BG3" s="2" t="inlineStr">
        <is>
          <t>Pazar Mesai Tutarı (TL)</t>
        </is>
      </c>
      <c r="BH3" s="2" t="inlineStr">
        <is>
          <t>Toplam Mesai Tutarı (TL)</t>
        </is>
      </c>
      <c r="BI3" s="2" t="inlineStr">
        <is>
          <t>Toplam Net Hakediş (TL)</t>
        </is>
      </c>
      <c r="BJ3" s="2" t="inlineStr">
        <is>
          <t>Resmi Bordro SGK Net (TL)</t>
        </is>
      </c>
      <c r="BK3" s="2" t="inlineStr">
        <is>
          <t>İcra Kesintisi (TL)</t>
        </is>
      </c>
      <c r="BL3" s="2" t="inlineStr">
        <is>
          <t>Elden Ödenecek Fark (TL)</t>
        </is>
      </c>
      <c r="BM3" s="2" t="inlineStr">
        <is>
          <t>Ödenecek Net Tutar (TL)</t>
        </is>
      </c>
    </row>
    <row r="4" ht="19" customHeight="1">
      <c r="A4" s="4" t="n">
        <v>1</v>
      </c>
      <c r="B4" s="5" t="inlineStr">
        <is>
          <t>18748661292</t>
        </is>
      </c>
      <c r="C4" s="6" t="inlineStr">
        <is>
          <t>ABDULLAH KAYA</t>
        </is>
      </c>
      <c r="D4" s="4" t="inlineStr">
        <is>
          <t>E</t>
        </is>
      </c>
      <c r="E4" s="4" t="inlineStr"/>
      <c r="F4" s="4" t="inlineStr">
        <is>
          <t>26.07.2026</t>
        </is>
      </c>
      <c r="G4" s="4" t="inlineStr"/>
      <c r="H4" s="4" t="inlineStr">
        <is>
          <t>NORMAL</t>
        </is>
      </c>
      <c r="I4" s="4" t="inlineStr">
        <is>
          <t>MEVSİMLİK</t>
        </is>
      </c>
      <c r="J4" s="6" t="inlineStr">
        <is>
          <t>BALIK TEMİZLEME</t>
        </is>
      </c>
      <c r="K4" s="6" t="inlineStr">
        <is>
          <t>KARACABEY-HALİL</t>
        </is>
      </c>
      <c r="L4" s="7" t="n">
        <v>33000</v>
      </c>
      <c r="M4" s="4" t="inlineStr">
        <is>
          <t>FİDE KONSERVE</t>
        </is>
      </c>
      <c r="N4" s="4" t="inlineStr">
        <is>
          <t>ALIR</t>
        </is>
      </c>
      <c r="O4" s="8" t="n">
        <v>0</v>
      </c>
      <c r="P4" s="8" t="n">
        <v>0</v>
      </c>
      <c r="Q4" s="8" t="n">
        <v>0</v>
      </c>
      <c r="R4" s="9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9" t="n">
        <v>0</v>
      </c>
      <c r="Z4" s="8" t="n">
        <v>0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9" t="n">
        <v>0</v>
      </c>
      <c r="AG4" s="8" t="n">
        <v>0</v>
      </c>
      <c r="AH4" s="8" t="n">
        <v>0</v>
      </c>
      <c r="AI4" s="8" t="n">
        <v>0</v>
      </c>
      <c r="AJ4" s="8" t="n">
        <v>0</v>
      </c>
      <c r="AK4" s="8" t="n">
        <v>0</v>
      </c>
      <c r="AL4" s="8" t="n">
        <v>0</v>
      </c>
      <c r="AM4" s="9" t="n">
        <v>0</v>
      </c>
      <c r="AN4" s="8" t="n">
        <v>0</v>
      </c>
      <c r="AO4" s="8" t="n">
        <v>0</v>
      </c>
      <c r="AP4" s="8" t="n">
        <v>0</v>
      </c>
      <c r="AQ4" s="8" t="n">
        <v>0</v>
      </c>
      <c r="AR4" s="8" t="n">
        <v>0</v>
      </c>
      <c r="AS4" s="8" t="n">
        <v>0</v>
      </c>
      <c r="AT4" s="10">
        <f>SUM(O4:AS4)</f>
        <v/>
      </c>
      <c r="AU4" s="11">
        <f>COUNTIF(O4:AS4, "&gt;0")</f>
        <v/>
      </c>
      <c r="AV4" s="12">
        <f>IF(AU4&gt;=5, 4, IF(AU4&gt;0, INT(AU4/6), 0))</f>
        <v/>
      </c>
      <c r="AW4" s="11" t="n">
        <v>0</v>
      </c>
      <c r="AX4" s="11" t="n">
        <v>0</v>
      </c>
      <c r="AY4" s="13">
        <f>MIN(31, AU4+AV4+AW4+AX4)</f>
        <v/>
      </c>
      <c r="AZ4" s="14">
        <f>31-AY4</f>
        <v/>
      </c>
      <c r="BA4" s="5">
        <f>IF(AX4&gt;0, "01-İstirahat", IF(AZ4&gt;0, "12-Birden Fazla", ""))</f>
        <v/>
      </c>
      <c r="BB4" s="10" t="n">
        <v>0</v>
      </c>
      <c r="BC4" s="8" t="n">
        <v>0</v>
      </c>
      <c r="BD4" s="9" t="n">
        <v>0</v>
      </c>
      <c r="BE4" s="7">
        <f>(L4/30)*AU4</f>
        <v/>
      </c>
      <c r="BF4" s="15">
        <f>(L4/225)*((BB4*1.5)-(BC4*1.0))</f>
        <v/>
      </c>
      <c r="BG4" s="16">
        <f>(L4/225)*1.5*BD4</f>
        <v/>
      </c>
      <c r="BH4" s="15">
        <f>BF4+BG4</f>
        <v/>
      </c>
      <c r="BI4" s="17">
        <f>BE4+BH4</f>
        <v/>
      </c>
      <c r="BJ4" s="7">
        <f>IFERROR(VLOOKUP(B4, Resmi_Bordro_SGK!B:M, 11, FALSE), 0)</f>
        <v/>
      </c>
      <c r="BK4" s="18">
        <f>IFERROR(VLOOKUP(B4, Icra_Takip!A:E, 4, FALSE), 0)</f>
        <v/>
      </c>
      <c r="BL4" s="17">
        <f>IF(BI4&gt;BJ4, BI4-BJ4-BK4, 0)</f>
        <v/>
      </c>
      <c r="BM4" s="17">
        <f>BI4-BK4</f>
        <v/>
      </c>
    </row>
    <row r="5" ht="19" customHeight="1">
      <c r="A5" s="4" t="n">
        <v>2</v>
      </c>
      <c r="B5" s="5" t="inlineStr">
        <is>
          <t>20437654348</t>
        </is>
      </c>
      <c r="C5" s="6" t="inlineStr">
        <is>
          <t>ADALET KALAYCI</t>
        </is>
      </c>
      <c r="D5" s="4" t="inlineStr">
        <is>
          <t>K</t>
        </is>
      </c>
      <c r="E5" s="4" t="inlineStr"/>
      <c r="F5" s="4" t="inlineStr">
        <is>
          <t>10.02.2026</t>
        </is>
      </c>
      <c r="G5" s="4" t="inlineStr"/>
      <c r="H5" s="4" t="inlineStr">
        <is>
          <t>NORMAL</t>
        </is>
      </c>
      <c r="I5" s="4" t="inlineStr">
        <is>
          <t>MEVSİMLİK</t>
        </is>
      </c>
      <c r="J5" s="6" t="inlineStr">
        <is>
          <t>BALIK TEMİZLEME</t>
        </is>
      </c>
      <c r="K5" s="6" t="inlineStr">
        <is>
          <t>BANDIRMA</t>
        </is>
      </c>
      <c r="L5" s="7" t="n">
        <v>33000</v>
      </c>
      <c r="M5" s="4" t="inlineStr">
        <is>
          <t>FİDE KONSERVE</t>
        </is>
      </c>
      <c r="N5" s="4" t="inlineStr">
        <is>
          <t>ALIR</t>
        </is>
      </c>
      <c r="O5" s="19" t="n">
        <v>8</v>
      </c>
      <c r="P5" s="19" t="n">
        <v>8.5</v>
      </c>
      <c r="Q5" s="19" t="n">
        <v>0</v>
      </c>
      <c r="R5" s="9" t="n">
        <v>0</v>
      </c>
      <c r="S5" s="19" t="n">
        <v>0</v>
      </c>
      <c r="T5" s="19" t="n">
        <v>0</v>
      </c>
      <c r="U5" s="19" t="n">
        <v>8</v>
      </c>
      <c r="V5" s="19" t="n">
        <v>8</v>
      </c>
      <c r="W5" s="19" t="n">
        <v>8.5</v>
      </c>
      <c r="X5" s="19" t="n">
        <v>0</v>
      </c>
      <c r="Y5" s="9" t="n">
        <v>0</v>
      </c>
      <c r="Z5" s="19" t="n">
        <v>0</v>
      </c>
      <c r="AA5" s="19" t="n">
        <v>0</v>
      </c>
      <c r="AB5" s="19" t="n">
        <v>8.5</v>
      </c>
      <c r="AC5" s="19" t="n">
        <v>7.5</v>
      </c>
      <c r="AD5" s="19" t="n">
        <v>0</v>
      </c>
      <c r="AE5" s="19" t="n">
        <v>0</v>
      </c>
      <c r="AF5" s="9" t="n">
        <v>0</v>
      </c>
      <c r="AG5" s="19" t="n">
        <v>8.5</v>
      </c>
      <c r="AH5" s="19" t="n">
        <v>7.5</v>
      </c>
      <c r="AI5" s="19" t="n">
        <v>0</v>
      </c>
      <c r="AJ5" s="19" t="n">
        <v>0</v>
      </c>
      <c r="AK5" s="19" t="n">
        <v>0</v>
      </c>
      <c r="AL5" s="19" t="n">
        <v>0</v>
      </c>
      <c r="AM5" s="9" t="n">
        <v>0</v>
      </c>
      <c r="AN5" s="19" t="n">
        <v>0</v>
      </c>
      <c r="AO5" s="19" t="n">
        <v>0</v>
      </c>
      <c r="AP5" s="19" t="n">
        <v>0</v>
      </c>
      <c r="AQ5" s="19" t="n">
        <v>0</v>
      </c>
      <c r="AR5" s="19" t="n">
        <v>0</v>
      </c>
      <c r="AS5" s="19" t="n">
        <v>0</v>
      </c>
      <c r="AT5" s="10">
        <f>SUM(O5:AS5)</f>
        <v/>
      </c>
      <c r="AU5" s="20">
        <f>COUNTIF(O5:AS5, "&gt;0")</f>
        <v/>
      </c>
      <c r="AV5" s="12">
        <f>IF(AU5&gt;=5, 4, IF(AU5&gt;0, INT(AU5/6), 0))</f>
        <v/>
      </c>
      <c r="AW5" s="20" t="n">
        <v>13</v>
      </c>
      <c r="AX5" s="20" t="n">
        <v>0</v>
      </c>
      <c r="AY5" s="13">
        <f>MIN(31, AU5+AV5+AW5+AX5)</f>
        <v/>
      </c>
      <c r="AZ5" s="14">
        <f>31-AY5</f>
        <v/>
      </c>
      <c r="BA5" s="21">
        <f>IF(AX5&gt;0, "01-İstirahat", IF(AZ5&gt;0, "12-Birden Fazla", ""))</f>
        <v/>
      </c>
      <c r="BB5" s="10" t="n">
        <v>5.5</v>
      </c>
      <c r="BC5" s="19" t="n">
        <v>0</v>
      </c>
      <c r="BD5" s="9" t="n">
        <v>0</v>
      </c>
      <c r="BE5" s="22">
        <f>(L5/30)*AU5</f>
        <v/>
      </c>
      <c r="BF5" s="15">
        <f>(L5/225)*((BB5*1.5)-(BC5*1.0))</f>
        <v/>
      </c>
      <c r="BG5" s="16">
        <f>(L5/225)*1.5*BD5</f>
        <v/>
      </c>
      <c r="BH5" s="15">
        <f>BF5+BG5</f>
        <v/>
      </c>
      <c r="BI5" s="17">
        <f>BE5+BH5</f>
        <v/>
      </c>
      <c r="BJ5" s="22">
        <f>IFERROR(VLOOKUP(B5, Resmi_Bordro_SGK!B:M, 11, FALSE), 0)</f>
        <v/>
      </c>
      <c r="BK5" s="18">
        <f>IFERROR(VLOOKUP(B5, Icra_Takip!A:E, 4, FALSE), 0)</f>
        <v/>
      </c>
      <c r="BL5" s="17">
        <f>IF(BI5&gt;BJ5, BI5-BJ5-BK5, 0)</f>
        <v/>
      </c>
      <c r="BM5" s="17">
        <f>BI5-BK5</f>
        <v/>
      </c>
    </row>
    <row r="6" ht="19" customHeight="1">
      <c r="A6" s="4" t="n">
        <v>3</v>
      </c>
      <c r="B6" s="5" t="inlineStr">
        <is>
          <t>20014469792</t>
        </is>
      </c>
      <c r="C6" s="6" t="inlineStr">
        <is>
          <t>ADEM ÇETİN</t>
        </is>
      </c>
      <c r="D6" s="4" t="inlineStr">
        <is>
          <t>K</t>
        </is>
      </c>
      <c r="E6" s="4" t="inlineStr"/>
      <c r="F6" s="4" t="inlineStr">
        <is>
          <t>17.07.2026</t>
        </is>
      </c>
      <c r="G6" s="4" t="inlineStr">
        <is>
          <t>08.08.2026</t>
        </is>
      </c>
      <c r="H6" s="4" t="inlineStr">
        <is>
          <t>NORMAL</t>
        </is>
      </c>
      <c r="I6" s="4" t="inlineStr">
        <is>
          <t>MEVSİMLİK</t>
        </is>
      </c>
      <c r="J6" s="6" t="inlineStr"/>
      <c r="K6" s="6" t="inlineStr">
        <is>
          <t>GÜVEN TURİZM KARACABEY</t>
        </is>
      </c>
      <c r="L6" s="7" t="n">
        <v>33000</v>
      </c>
      <c r="M6" s="4" t="inlineStr">
        <is>
          <t>FİDE KONSERVE</t>
        </is>
      </c>
      <c r="N6" s="4" t="inlineStr">
        <is>
          <t>ALIR</t>
        </is>
      </c>
      <c r="O6" s="8" t="n">
        <v>0</v>
      </c>
      <c r="P6" s="8" t="n">
        <v>0</v>
      </c>
      <c r="Q6" s="8" t="n">
        <v>0</v>
      </c>
      <c r="R6" s="9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9" t="n">
        <v>0</v>
      </c>
      <c r="Z6" s="8" t="n">
        <v>0</v>
      </c>
      <c r="AA6" s="8" t="n">
        <v>0</v>
      </c>
      <c r="AB6" s="8" t="n">
        <v>0</v>
      </c>
      <c r="AC6" s="8" t="n">
        <v>0</v>
      </c>
      <c r="AD6" s="8" t="n">
        <v>0</v>
      </c>
      <c r="AE6" s="8" t="n">
        <v>0</v>
      </c>
      <c r="AF6" s="9" t="n">
        <v>0</v>
      </c>
      <c r="AG6" s="8" t="n">
        <v>0</v>
      </c>
      <c r="AH6" s="8" t="n">
        <v>0</v>
      </c>
      <c r="AI6" s="8" t="n">
        <v>0</v>
      </c>
      <c r="AJ6" s="8" t="n">
        <v>0</v>
      </c>
      <c r="AK6" s="8" t="n">
        <v>0</v>
      </c>
      <c r="AL6" s="8" t="n">
        <v>0</v>
      </c>
      <c r="AM6" s="9" t="n">
        <v>0</v>
      </c>
      <c r="AN6" s="8" t="n">
        <v>0</v>
      </c>
      <c r="AO6" s="8" t="n">
        <v>0</v>
      </c>
      <c r="AP6" s="8" t="n">
        <v>0</v>
      </c>
      <c r="AQ6" s="8" t="n">
        <v>0</v>
      </c>
      <c r="AR6" s="8" t="n">
        <v>0</v>
      </c>
      <c r="AS6" s="8" t="n">
        <v>0</v>
      </c>
      <c r="AT6" s="10">
        <f>SUM(O6:AS6)</f>
        <v/>
      </c>
      <c r="AU6" s="11">
        <f>COUNTIF(O6:AS6, "&gt;0")</f>
        <v/>
      </c>
      <c r="AV6" s="12">
        <f>IF(AU6&gt;=5, 4, IF(AU6&gt;0, INT(AU6/6), 0))</f>
        <v/>
      </c>
      <c r="AW6" s="11" t="n">
        <v>0</v>
      </c>
      <c r="AX6" s="11" t="n">
        <v>0</v>
      </c>
      <c r="AY6" s="13">
        <f>MIN(31, AU6+AV6+AW6+AX6)</f>
        <v/>
      </c>
      <c r="AZ6" s="14">
        <f>31-AY6</f>
        <v/>
      </c>
      <c r="BA6" s="5">
        <f>IF(AX6&gt;0, "01-İstirahat", IF(AZ6&gt;0, "12-Birden Fazla", ""))</f>
        <v/>
      </c>
      <c r="BB6" s="10" t="n">
        <v>0</v>
      </c>
      <c r="BC6" s="8" t="n">
        <v>0</v>
      </c>
      <c r="BD6" s="9" t="n">
        <v>0</v>
      </c>
      <c r="BE6" s="7">
        <f>(L6/30)*AU6</f>
        <v/>
      </c>
      <c r="BF6" s="15">
        <f>(L6/225)*((BB6*1.5)-(BC6*1.0))</f>
        <v/>
      </c>
      <c r="BG6" s="16">
        <f>(L6/225)*1.5*BD6</f>
        <v/>
      </c>
      <c r="BH6" s="15">
        <f>BF6+BG6</f>
        <v/>
      </c>
      <c r="BI6" s="17">
        <f>BE6+BH6</f>
        <v/>
      </c>
      <c r="BJ6" s="7">
        <f>IFERROR(VLOOKUP(B6, Resmi_Bordro_SGK!B:M, 11, FALSE), 0)</f>
        <v/>
      </c>
      <c r="BK6" s="18">
        <f>IFERROR(VLOOKUP(B6, Icra_Takip!A:E, 4, FALSE), 0)</f>
        <v/>
      </c>
      <c r="BL6" s="17">
        <f>IF(BI6&gt;BJ6, BI6-BJ6-BK6, 0)</f>
        <v/>
      </c>
      <c r="BM6" s="17">
        <f>BI6-BK6</f>
        <v/>
      </c>
    </row>
    <row r="7" ht="19" customHeight="1">
      <c r="A7" s="4" t="n">
        <v>4</v>
      </c>
      <c r="B7" s="5" t="inlineStr"/>
      <c r="C7" s="6" t="inlineStr">
        <is>
          <t>ADEM YILDIRIM</t>
        </is>
      </c>
      <c r="D7" s="4" t="inlineStr"/>
      <c r="E7" s="4" t="inlineStr"/>
      <c r="F7" s="4" t="inlineStr"/>
      <c r="G7" s="4" t="inlineStr"/>
      <c r="H7" s="4" t="inlineStr">
        <is>
          <t>NORMAL</t>
        </is>
      </c>
      <c r="I7" s="4" t="inlineStr">
        <is>
          <t>MEVSİMLİK</t>
        </is>
      </c>
      <c r="J7" s="6" t="inlineStr"/>
      <c r="K7" s="6" t="inlineStr"/>
      <c r="L7" s="7" t="n">
        <v>28075.5</v>
      </c>
      <c r="M7" s="4" t="inlineStr">
        <is>
          <t>FİDE KONSERVE</t>
        </is>
      </c>
      <c r="N7" s="4" t="inlineStr">
        <is>
          <t>ALIR</t>
        </is>
      </c>
      <c r="O7" s="19" t="n">
        <v>0</v>
      </c>
      <c r="P7" s="19" t="n">
        <v>0</v>
      </c>
      <c r="Q7" s="19" t="n">
        <v>0</v>
      </c>
      <c r="R7" s="9" t="n">
        <v>0</v>
      </c>
      <c r="S7" s="19" t="n">
        <v>0</v>
      </c>
      <c r="T7" s="19" t="n">
        <v>0</v>
      </c>
      <c r="U7" s="19" t="n">
        <v>0</v>
      </c>
      <c r="V7" s="19" t="n">
        <v>0</v>
      </c>
      <c r="W7" s="19" t="n">
        <v>0</v>
      </c>
      <c r="X7" s="19" t="n">
        <v>0</v>
      </c>
      <c r="Y7" s="9" t="n">
        <v>0</v>
      </c>
      <c r="Z7" s="19" t="n">
        <v>0</v>
      </c>
      <c r="AA7" s="19" t="n">
        <v>0</v>
      </c>
      <c r="AB7" s="19" t="n">
        <v>0</v>
      </c>
      <c r="AC7" s="19" t="n">
        <v>0</v>
      </c>
      <c r="AD7" s="19" t="n">
        <v>0</v>
      </c>
      <c r="AE7" s="19" t="n">
        <v>0</v>
      </c>
      <c r="AF7" s="9" t="n">
        <v>0</v>
      </c>
      <c r="AG7" s="19" t="n">
        <v>0</v>
      </c>
      <c r="AH7" s="19" t="n">
        <v>0</v>
      </c>
      <c r="AI7" s="19" t="n">
        <v>0</v>
      </c>
      <c r="AJ7" s="19" t="n">
        <v>0</v>
      </c>
      <c r="AK7" s="19" t="n">
        <v>0</v>
      </c>
      <c r="AL7" s="19" t="n">
        <v>0</v>
      </c>
      <c r="AM7" s="9" t="n">
        <v>0</v>
      </c>
      <c r="AN7" s="19" t="n">
        <v>0</v>
      </c>
      <c r="AO7" s="19" t="n">
        <v>0</v>
      </c>
      <c r="AP7" s="19" t="n">
        <v>0</v>
      </c>
      <c r="AQ7" s="19" t="n">
        <v>0</v>
      </c>
      <c r="AR7" s="19" t="n">
        <v>0</v>
      </c>
      <c r="AS7" s="19" t="n">
        <v>0</v>
      </c>
      <c r="AT7" s="10">
        <f>SUM(O7:AS7)</f>
        <v/>
      </c>
      <c r="AU7" s="20">
        <f>COUNTIF(O7:AS7, "&gt;0")</f>
        <v/>
      </c>
      <c r="AV7" s="12">
        <f>IF(AU7&gt;=5, 4, IF(AU7&gt;0, INT(AU7/6), 0))</f>
        <v/>
      </c>
      <c r="AW7" s="20" t="n">
        <v>0</v>
      </c>
      <c r="AX7" s="20" t="n">
        <v>0</v>
      </c>
      <c r="AY7" s="13">
        <f>MIN(31, AU7+AV7+AW7+AX7)</f>
        <v/>
      </c>
      <c r="AZ7" s="14">
        <f>31-AY7</f>
        <v/>
      </c>
      <c r="BA7" s="21">
        <f>IF(AX7&gt;0, "01-İstirahat", IF(AZ7&gt;0, "12-Birden Fazla", ""))</f>
        <v/>
      </c>
      <c r="BB7" s="10" t="n">
        <v>0</v>
      </c>
      <c r="BC7" s="19" t="n">
        <v>0</v>
      </c>
      <c r="BD7" s="9" t="n">
        <v>0</v>
      </c>
      <c r="BE7" s="22">
        <f>(L7/30)*AU7</f>
        <v/>
      </c>
      <c r="BF7" s="15">
        <f>(L7/225)*((BB7*1.5)-(BC7*1.0))</f>
        <v/>
      </c>
      <c r="BG7" s="16">
        <f>(L7/225)*1.5*BD7</f>
        <v/>
      </c>
      <c r="BH7" s="15">
        <f>BF7+BG7</f>
        <v/>
      </c>
      <c r="BI7" s="17">
        <f>BE7+BH7</f>
        <v/>
      </c>
      <c r="BJ7" s="22">
        <f>IFERROR(VLOOKUP(B7, Resmi_Bordro_SGK!B:M, 11, FALSE), 0)</f>
        <v/>
      </c>
      <c r="BK7" s="18">
        <f>IFERROR(VLOOKUP(B7, Icra_Takip!A:E, 4, FALSE), 0)</f>
        <v/>
      </c>
      <c r="BL7" s="17">
        <f>IF(BI7&gt;BJ7, BI7-BJ7-BK7, 0)</f>
        <v/>
      </c>
      <c r="BM7" s="17">
        <f>BI7-BK7</f>
        <v/>
      </c>
    </row>
    <row r="8" ht="19" customHeight="1">
      <c r="A8" s="4" t="n">
        <v>5</v>
      </c>
      <c r="B8" s="5" t="inlineStr">
        <is>
          <t>18655664102</t>
        </is>
      </c>
      <c r="C8" s="6" t="inlineStr">
        <is>
          <t>ADVİYE YARICI</t>
        </is>
      </c>
      <c r="D8" s="4" t="inlineStr">
        <is>
          <t>K</t>
        </is>
      </c>
      <c r="E8" s="4" t="inlineStr"/>
      <c r="F8" s="4" t="inlineStr">
        <is>
          <t>06.01.2025</t>
        </is>
      </c>
      <c r="G8" s="4" t="inlineStr"/>
      <c r="H8" s="4" t="inlineStr">
        <is>
          <t>NORMAL</t>
        </is>
      </c>
      <c r="I8" s="4" t="inlineStr">
        <is>
          <t>MEVSİMLİK</t>
        </is>
      </c>
      <c r="J8" s="6" t="inlineStr">
        <is>
          <t>BALIK TEMİZLEME</t>
        </is>
      </c>
      <c r="K8" s="6" t="inlineStr">
        <is>
          <t>KARACABEY-HALİL</t>
        </is>
      </c>
      <c r="L8" s="7" t="n">
        <v>33000</v>
      </c>
      <c r="M8" s="4" t="inlineStr">
        <is>
          <t>FİDE KONSERVE</t>
        </is>
      </c>
      <c r="N8" s="4" t="inlineStr">
        <is>
          <t>ALIR</t>
        </is>
      </c>
      <c r="O8" s="8" t="n">
        <v>8</v>
      </c>
      <c r="P8" s="8" t="n">
        <v>8.5</v>
      </c>
      <c r="Q8" s="8" t="n">
        <v>8</v>
      </c>
      <c r="R8" s="9" t="n">
        <v>0</v>
      </c>
      <c r="S8" s="8" t="n">
        <v>7.5</v>
      </c>
      <c r="T8" s="8" t="n">
        <v>0</v>
      </c>
      <c r="U8" s="8" t="n">
        <v>8</v>
      </c>
      <c r="V8" s="8" t="n">
        <v>8</v>
      </c>
      <c r="W8" s="8" t="n">
        <v>8.5</v>
      </c>
      <c r="X8" s="8" t="n">
        <v>8.5</v>
      </c>
      <c r="Y8" s="9" t="n">
        <v>0</v>
      </c>
      <c r="Z8" s="8" t="n">
        <v>7.5</v>
      </c>
      <c r="AA8" s="8" t="n">
        <v>7.5</v>
      </c>
      <c r="AB8" s="8" t="n">
        <v>8.5</v>
      </c>
      <c r="AC8" s="8" t="n">
        <v>7.5</v>
      </c>
      <c r="AD8" s="8" t="n">
        <v>7.5</v>
      </c>
      <c r="AE8" s="8" t="n">
        <v>8.5</v>
      </c>
      <c r="AF8" s="9" t="n">
        <v>0</v>
      </c>
      <c r="AG8" s="8" t="n">
        <v>8.5</v>
      </c>
      <c r="AH8" s="8" t="n">
        <v>0</v>
      </c>
      <c r="AI8" s="8" t="n">
        <v>0</v>
      </c>
      <c r="AJ8" s="8" t="n">
        <v>0</v>
      </c>
      <c r="AK8" s="8" t="n">
        <v>0</v>
      </c>
      <c r="AL8" s="8" t="n">
        <v>0</v>
      </c>
      <c r="AM8" s="9" t="n">
        <v>0</v>
      </c>
      <c r="AN8" s="8" t="n">
        <v>0</v>
      </c>
      <c r="AO8" s="8" t="n">
        <v>0</v>
      </c>
      <c r="AP8" s="8" t="n">
        <v>0</v>
      </c>
      <c r="AQ8" s="8" t="n">
        <v>0</v>
      </c>
      <c r="AR8" s="8" t="n">
        <v>0</v>
      </c>
      <c r="AS8" s="8" t="n">
        <v>0</v>
      </c>
      <c r="AT8" s="10">
        <f>SUM(O8:AS8)</f>
        <v/>
      </c>
      <c r="AU8" s="11">
        <f>COUNTIF(O8:AS8, "&gt;0")</f>
        <v/>
      </c>
      <c r="AV8" s="12">
        <f>IF(AU8&gt;=5, 4, IF(AU8&gt;0, INT(AU8/6), 0))</f>
        <v/>
      </c>
      <c r="AW8" s="11" t="n">
        <v>7</v>
      </c>
      <c r="AX8" s="11" t="n">
        <v>0</v>
      </c>
      <c r="AY8" s="13">
        <f>MIN(31, AU8+AV8+AW8+AX8)</f>
        <v/>
      </c>
      <c r="AZ8" s="14">
        <f>31-AY8</f>
        <v/>
      </c>
      <c r="BA8" s="5">
        <f>IF(AX8&gt;0, "01-İstirahat", IF(AZ8&gt;0, "12-Birden Fazla", ""))</f>
        <v/>
      </c>
      <c r="BB8" s="10" t="n">
        <v>8</v>
      </c>
      <c r="BC8" s="8" t="n">
        <v>0</v>
      </c>
      <c r="BD8" s="9" t="n">
        <v>0</v>
      </c>
      <c r="BE8" s="7">
        <f>(L8/30)*AU8</f>
        <v/>
      </c>
      <c r="BF8" s="15">
        <f>(L8/225)*((BB8*1.5)-(BC8*1.0))</f>
        <v/>
      </c>
      <c r="BG8" s="16">
        <f>(L8/225)*1.5*BD8</f>
        <v/>
      </c>
      <c r="BH8" s="15">
        <f>BF8+BG8</f>
        <v/>
      </c>
      <c r="BI8" s="17">
        <f>BE8+BH8</f>
        <v/>
      </c>
      <c r="BJ8" s="7">
        <f>IFERROR(VLOOKUP(B8, Resmi_Bordro_SGK!B:M, 11, FALSE), 0)</f>
        <v/>
      </c>
      <c r="BK8" s="18">
        <f>IFERROR(VLOOKUP(B8, Icra_Takip!A:E, 4, FALSE), 0)</f>
        <v/>
      </c>
      <c r="BL8" s="17">
        <f>IF(BI8&gt;BJ8, BI8-BJ8-BK8, 0)</f>
        <v/>
      </c>
      <c r="BM8" s="17">
        <f>BI8-BK8</f>
        <v/>
      </c>
    </row>
    <row r="9" ht="19" customHeight="1">
      <c r="A9" s="4" t="n">
        <v>6</v>
      </c>
      <c r="B9" s="5" t="inlineStr">
        <is>
          <t>29339521420</t>
        </is>
      </c>
      <c r="C9" s="6" t="inlineStr">
        <is>
          <t>AFİFE KÜLTER</t>
        </is>
      </c>
      <c r="D9" s="4" t="inlineStr">
        <is>
          <t>K</t>
        </is>
      </c>
      <c r="E9" s="4" t="inlineStr"/>
      <c r="F9" s="4" t="inlineStr">
        <is>
          <t>19.07.2026</t>
        </is>
      </c>
      <c r="G9" s="4" t="inlineStr"/>
      <c r="H9" s="4" t="inlineStr">
        <is>
          <t>NORMAL</t>
        </is>
      </c>
      <c r="I9" s="4" t="inlineStr">
        <is>
          <t>MEVSİMLİK</t>
        </is>
      </c>
      <c r="J9" s="6" t="inlineStr">
        <is>
          <t>BALIK TEMİZLEME</t>
        </is>
      </c>
      <c r="K9" s="6" t="inlineStr">
        <is>
          <t>GÜVEN TURİZM-MKP</t>
        </is>
      </c>
      <c r="L9" s="7" t="n">
        <v>33000</v>
      </c>
      <c r="M9" s="4" t="inlineStr">
        <is>
          <t>FİDE KONSERVE</t>
        </is>
      </c>
      <c r="N9" s="4" t="inlineStr">
        <is>
          <t>ALIR</t>
        </is>
      </c>
      <c r="O9" s="19" t="n">
        <v>0</v>
      </c>
      <c r="P9" s="19" t="n">
        <v>0</v>
      </c>
      <c r="Q9" s="19" t="n">
        <v>0</v>
      </c>
      <c r="R9" s="9" t="n">
        <v>0</v>
      </c>
      <c r="S9" s="19" t="n">
        <v>0</v>
      </c>
      <c r="T9" s="19" t="n">
        <v>0</v>
      </c>
      <c r="U9" s="19" t="n">
        <v>0</v>
      </c>
      <c r="V9" s="19" t="n">
        <v>0</v>
      </c>
      <c r="W9" s="19" t="n">
        <v>0</v>
      </c>
      <c r="X9" s="19" t="n">
        <v>0</v>
      </c>
      <c r="Y9" s="9" t="n">
        <v>0</v>
      </c>
      <c r="Z9" s="19" t="n">
        <v>0</v>
      </c>
      <c r="AA9" s="19" t="n">
        <v>0</v>
      </c>
      <c r="AB9" s="19" t="n">
        <v>0</v>
      </c>
      <c r="AC9" s="19" t="n">
        <v>0</v>
      </c>
      <c r="AD9" s="19" t="n">
        <v>0</v>
      </c>
      <c r="AE9" s="19" t="n">
        <v>0</v>
      </c>
      <c r="AF9" s="9" t="n">
        <v>0</v>
      </c>
      <c r="AG9" s="19" t="n">
        <v>0</v>
      </c>
      <c r="AH9" s="19" t="n">
        <v>0</v>
      </c>
      <c r="AI9" s="19" t="n">
        <v>0</v>
      </c>
      <c r="AJ9" s="19" t="n">
        <v>0</v>
      </c>
      <c r="AK9" s="19" t="n">
        <v>0</v>
      </c>
      <c r="AL9" s="19" t="n">
        <v>0</v>
      </c>
      <c r="AM9" s="9" t="n">
        <v>0</v>
      </c>
      <c r="AN9" s="19" t="n">
        <v>0</v>
      </c>
      <c r="AO9" s="19" t="n">
        <v>0</v>
      </c>
      <c r="AP9" s="19" t="n">
        <v>0</v>
      </c>
      <c r="AQ9" s="19" t="n">
        <v>0</v>
      </c>
      <c r="AR9" s="19" t="n">
        <v>0</v>
      </c>
      <c r="AS9" s="19" t="n">
        <v>0</v>
      </c>
      <c r="AT9" s="10">
        <f>SUM(O9:AS9)</f>
        <v/>
      </c>
      <c r="AU9" s="20">
        <f>COUNTIF(O9:AS9, "&gt;0")</f>
        <v/>
      </c>
      <c r="AV9" s="12">
        <f>IF(AU9&gt;=5, 4, IF(AU9&gt;0, INT(AU9/6), 0))</f>
        <v/>
      </c>
      <c r="AW9" s="20" t="n">
        <v>0</v>
      </c>
      <c r="AX9" s="20" t="n">
        <v>0</v>
      </c>
      <c r="AY9" s="13">
        <f>MIN(31, AU9+AV9+AW9+AX9)</f>
        <v/>
      </c>
      <c r="AZ9" s="14">
        <f>31-AY9</f>
        <v/>
      </c>
      <c r="BA9" s="21">
        <f>IF(AX9&gt;0, "01-İstirahat", IF(AZ9&gt;0, "12-Birden Fazla", ""))</f>
        <v/>
      </c>
      <c r="BB9" s="10" t="n">
        <v>0</v>
      </c>
      <c r="BC9" s="19" t="n">
        <v>0</v>
      </c>
      <c r="BD9" s="9" t="n">
        <v>0</v>
      </c>
      <c r="BE9" s="22">
        <f>(L9/30)*AU9</f>
        <v/>
      </c>
      <c r="BF9" s="15">
        <f>(L9/225)*((BB9*1.5)-(BC9*1.0))</f>
        <v/>
      </c>
      <c r="BG9" s="16">
        <f>(L9/225)*1.5*BD9</f>
        <v/>
      </c>
      <c r="BH9" s="15">
        <f>BF9+BG9</f>
        <v/>
      </c>
      <c r="BI9" s="17">
        <f>BE9+BH9</f>
        <v/>
      </c>
      <c r="BJ9" s="22">
        <f>IFERROR(VLOOKUP(B9, Resmi_Bordro_SGK!B:M, 11, FALSE), 0)</f>
        <v/>
      </c>
      <c r="BK9" s="18">
        <f>IFERROR(VLOOKUP(B9, Icra_Takip!A:E, 4, FALSE), 0)</f>
        <v/>
      </c>
      <c r="BL9" s="17">
        <f>IF(BI9&gt;BJ9, BI9-BJ9-BK9, 0)</f>
        <v/>
      </c>
      <c r="BM9" s="17">
        <f>BI9-BK9</f>
        <v/>
      </c>
    </row>
    <row r="10" ht="19" customHeight="1">
      <c r="A10" s="4" t="n">
        <v>7</v>
      </c>
      <c r="B10" s="5" t="inlineStr"/>
      <c r="C10" s="6" t="inlineStr">
        <is>
          <t>AHMET ABDULLAH</t>
        </is>
      </c>
      <c r="D10" s="4" t="inlineStr"/>
      <c r="E10" s="4" t="inlineStr"/>
      <c r="F10" s="4" t="inlineStr"/>
      <c r="G10" s="4" t="inlineStr"/>
      <c r="H10" s="4" t="inlineStr">
        <is>
          <t>NORMAL</t>
        </is>
      </c>
      <c r="I10" s="4" t="inlineStr">
        <is>
          <t>MEVSİMLİK</t>
        </is>
      </c>
      <c r="J10" s="6" t="inlineStr"/>
      <c r="K10" s="6" t="inlineStr"/>
      <c r="L10" s="7" t="n">
        <v>28075.5</v>
      </c>
      <c r="M10" s="4" t="inlineStr">
        <is>
          <t>FİDE KONSERVE</t>
        </is>
      </c>
      <c r="N10" s="4" t="inlineStr">
        <is>
          <t>ALIR</t>
        </is>
      </c>
      <c r="O10" s="8" t="n">
        <v>0</v>
      </c>
      <c r="P10" s="8" t="n">
        <v>0</v>
      </c>
      <c r="Q10" s="8" t="n">
        <v>0</v>
      </c>
      <c r="R10" s="9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9" t="n">
        <v>0</v>
      </c>
      <c r="Z10" s="8" t="n">
        <v>0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9" t="n">
        <v>0</v>
      </c>
      <c r="AG10" s="8" t="n">
        <v>0</v>
      </c>
      <c r="AH10" s="8" t="n">
        <v>0</v>
      </c>
      <c r="AI10" s="8" t="n">
        <v>0</v>
      </c>
      <c r="AJ10" s="8" t="n">
        <v>0</v>
      </c>
      <c r="AK10" s="8" t="n">
        <v>0</v>
      </c>
      <c r="AL10" s="8" t="n">
        <v>0</v>
      </c>
      <c r="AM10" s="9" t="n">
        <v>0</v>
      </c>
      <c r="AN10" s="8" t="n">
        <v>0</v>
      </c>
      <c r="AO10" s="8" t="n">
        <v>0</v>
      </c>
      <c r="AP10" s="8" t="n">
        <v>0</v>
      </c>
      <c r="AQ10" s="8" t="n">
        <v>0</v>
      </c>
      <c r="AR10" s="8" t="n">
        <v>0</v>
      </c>
      <c r="AS10" s="8" t="n">
        <v>0</v>
      </c>
      <c r="AT10" s="10">
        <f>SUM(O10:AS10)</f>
        <v/>
      </c>
      <c r="AU10" s="11">
        <f>COUNTIF(O10:AS10, "&gt;0")</f>
        <v/>
      </c>
      <c r="AV10" s="12">
        <f>IF(AU10&gt;=5, 4, IF(AU10&gt;0, INT(AU10/6), 0))</f>
        <v/>
      </c>
      <c r="AW10" s="11" t="n">
        <v>0</v>
      </c>
      <c r="AX10" s="11" t="n">
        <v>0</v>
      </c>
      <c r="AY10" s="13">
        <f>MIN(31, AU10+AV10+AW10+AX10)</f>
        <v/>
      </c>
      <c r="AZ10" s="14">
        <f>31-AY10</f>
        <v/>
      </c>
      <c r="BA10" s="5">
        <f>IF(AX10&gt;0, "01-İstirahat", IF(AZ10&gt;0, "12-Birden Fazla", ""))</f>
        <v/>
      </c>
      <c r="BB10" s="10" t="n">
        <v>0</v>
      </c>
      <c r="BC10" s="8" t="n">
        <v>0</v>
      </c>
      <c r="BD10" s="9" t="n">
        <v>0</v>
      </c>
      <c r="BE10" s="7">
        <f>(L10/30)*AU10</f>
        <v/>
      </c>
      <c r="BF10" s="15">
        <f>(L10/225)*((BB10*1.5)-(BC10*1.0))</f>
        <v/>
      </c>
      <c r="BG10" s="16">
        <f>(L10/225)*1.5*BD10</f>
        <v/>
      </c>
      <c r="BH10" s="15">
        <f>BF10+BG10</f>
        <v/>
      </c>
      <c r="BI10" s="17">
        <f>BE10+BH10</f>
        <v/>
      </c>
      <c r="BJ10" s="7">
        <f>IFERROR(VLOOKUP(B10, Resmi_Bordro_SGK!B:M, 11, FALSE), 0)</f>
        <v/>
      </c>
      <c r="BK10" s="18">
        <f>IFERROR(VLOOKUP(B10, Icra_Takip!A:E, 4, FALSE), 0)</f>
        <v/>
      </c>
      <c r="BL10" s="17">
        <f>IF(BI10&gt;BJ10, BI10-BJ10-BK10, 0)</f>
        <v/>
      </c>
      <c r="BM10" s="17">
        <f>BI10-BK10</f>
        <v/>
      </c>
    </row>
    <row r="11" ht="19" customHeight="1">
      <c r="A11" s="4" t="n">
        <v>8</v>
      </c>
      <c r="B11" s="5" t="inlineStr">
        <is>
          <t>23527501454</t>
        </is>
      </c>
      <c r="C11" s="6" t="inlineStr">
        <is>
          <t>AHMET BEYHAN</t>
        </is>
      </c>
      <c r="D11" s="4" t="inlineStr">
        <is>
          <t>E</t>
        </is>
      </c>
      <c r="E11" s="4" t="inlineStr"/>
      <c r="F11" s="4" t="inlineStr">
        <is>
          <t>16.12.2025</t>
        </is>
      </c>
      <c r="G11" s="4" t="inlineStr"/>
      <c r="H11" s="4" t="inlineStr">
        <is>
          <t>NORMAL</t>
        </is>
      </c>
      <c r="I11" s="4" t="inlineStr">
        <is>
          <t>DAİMİ</t>
        </is>
      </c>
      <c r="J11" s="6" t="inlineStr">
        <is>
          <t>BAKIM</t>
        </is>
      </c>
      <c r="K11" s="6" t="inlineStr">
        <is>
          <t>KARACABEY</t>
        </is>
      </c>
      <c r="L11" s="7" t="n">
        <v>32000</v>
      </c>
      <c r="M11" s="4" t="inlineStr">
        <is>
          <t>FİDE KONSERVE</t>
        </is>
      </c>
      <c r="N11" s="4" t="inlineStr">
        <is>
          <t>ALIR</t>
        </is>
      </c>
      <c r="O11" s="19" t="n">
        <v>9</v>
      </c>
      <c r="P11" s="19" t="n">
        <v>10.5</v>
      </c>
      <c r="Q11" s="19" t="n">
        <v>8.5</v>
      </c>
      <c r="R11" s="9" t="n">
        <v>7</v>
      </c>
      <c r="S11" s="19" t="n">
        <v>10.5</v>
      </c>
      <c r="T11" s="19" t="n">
        <v>5.5</v>
      </c>
      <c r="U11" s="19" t="n">
        <v>10.5</v>
      </c>
      <c r="V11" s="19" t="n">
        <v>10.5</v>
      </c>
      <c r="W11" s="19" t="n">
        <v>10.5</v>
      </c>
      <c r="X11" s="19" t="n">
        <v>10.5</v>
      </c>
      <c r="Y11" s="9" t="n">
        <v>8</v>
      </c>
      <c r="Z11" s="19" t="n">
        <v>9</v>
      </c>
      <c r="AA11" s="19" t="n">
        <v>8.5</v>
      </c>
      <c r="AB11" s="19" t="n">
        <v>10.5</v>
      </c>
      <c r="AC11" s="19" t="n">
        <v>8.5</v>
      </c>
      <c r="AD11" s="19" t="n">
        <v>10.5</v>
      </c>
      <c r="AE11" s="19" t="n">
        <v>10.5</v>
      </c>
      <c r="AF11" s="9" t="n">
        <v>8.5</v>
      </c>
      <c r="AG11" s="19" t="n">
        <v>7.5</v>
      </c>
      <c r="AH11" s="19" t="n">
        <v>8.5</v>
      </c>
      <c r="AI11" s="19" t="n">
        <v>7.5</v>
      </c>
      <c r="AJ11" s="19" t="n">
        <v>0</v>
      </c>
      <c r="AK11" s="19" t="n">
        <v>0</v>
      </c>
      <c r="AL11" s="19" t="n">
        <v>0</v>
      </c>
      <c r="AM11" s="9" t="n">
        <v>0</v>
      </c>
      <c r="AN11" s="19" t="n">
        <v>0</v>
      </c>
      <c r="AO11" s="19" t="n">
        <v>0</v>
      </c>
      <c r="AP11" s="19" t="n">
        <v>0</v>
      </c>
      <c r="AQ11" s="19" t="n">
        <v>0</v>
      </c>
      <c r="AR11" s="19" t="n">
        <v>0</v>
      </c>
      <c r="AS11" s="19" t="n">
        <v>0</v>
      </c>
      <c r="AT11" s="10">
        <f>SUM(O11:AS11)</f>
        <v/>
      </c>
      <c r="AU11" s="20">
        <f>COUNTIF(O11:AS11, "&gt;0")</f>
        <v/>
      </c>
      <c r="AV11" s="12">
        <f>IF(AU11&gt;=5, 4, IF(AU11&gt;0, INT(AU11/6), 0))</f>
        <v/>
      </c>
      <c r="AW11" s="20" t="n">
        <v>0</v>
      </c>
      <c r="AX11" s="20" t="n">
        <v>0</v>
      </c>
      <c r="AY11" s="13">
        <f>MIN(31, AU11+AV11+AW11+AX11)</f>
        <v/>
      </c>
      <c r="AZ11" s="14">
        <f>31-AY11</f>
        <v/>
      </c>
      <c r="BA11" s="21">
        <f>IF(AX11&gt;0, "01-İstirahat", IF(AZ11&gt;0, "12-Birden Fazla", ""))</f>
        <v/>
      </c>
      <c r="BB11" s="10" t="n">
        <v>34</v>
      </c>
      <c r="BC11" s="23" t="n">
        <v>2</v>
      </c>
      <c r="BD11" s="9" t="n">
        <v>23.5</v>
      </c>
      <c r="BE11" s="22">
        <f>(L11/30)*AU11</f>
        <v/>
      </c>
      <c r="BF11" s="15">
        <f>(L11/225)*((BB11*1.5)-(BC11*1.0))</f>
        <v/>
      </c>
      <c r="BG11" s="16">
        <f>(L11/225)*1.5*BD11</f>
        <v/>
      </c>
      <c r="BH11" s="15">
        <f>BF11+BG11</f>
        <v/>
      </c>
      <c r="BI11" s="17">
        <f>BE11+BH11</f>
        <v/>
      </c>
      <c r="BJ11" s="22">
        <f>IFERROR(VLOOKUP(B11, Resmi_Bordro_SGK!B:M, 11, FALSE), 0)</f>
        <v/>
      </c>
      <c r="BK11" s="18">
        <f>IFERROR(VLOOKUP(B11, Icra_Takip!A:E, 4, FALSE), 0)</f>
        <v/>
      </c>
      <c r="BL11" s="17">
        <f>IF(BI11&gt;BJ11, BI11-BJ11-BK11, 0)</f>
        <v/>
      </c>
      <c r="BM11" s="17">
        <f>BI11-BK11</f>
        <v/>
      </c>
    </row>
    <row r="12" ht="19" customHeight="1">
      <c r="A12" s="4" t="n">
        <v>9</v>
      </c>
      <c r="B12" s="5" t="inlineStr">
        <is>
          <t>44626409038</t>
        </is>
      </c>
      <c r="C12" s="6" t="inlineStr">
        <is>
          <t>AHMET ALİ TÜRKMEN</t>
        </is>
      </c>
      <c r="D12" s="4" t="inlineStr">
        <is>
          <t>E</t>
        </is>
      </c>
      <c r="E12" s="4" t="inlineStr"/>
      <c r="F12" s="4" t="inlineStr">
        <is>
          <t>29.06.2026</t>
        </is>
      </c>
      <c r="G12" s="4" t="inlineStr"/>
      <c r="H12" s="4" t="inlineStr">
        <is>
          <t>NORMAL</t>
        </is>
      </c>
      <c r="I12" s="4" t="inlineStr">
        <is>
          <t>MEVSİMLİK</t>
        </is>
      </c>
      <c r="J12" s="6" t="inlineStr">
        <is>
          <t>ÜRETİM</t>
        </is>
      </c>
      <c r="K12" s="6" t="inlineStr">
        <is>
          <t>BİGADİÇ</t>
        </is>
      </c>
      <c r="L12" s="7" t="n">
        <v>28075.5</v>
      </c>
      <c r="M12" s="4" t="inlineStr">
        <is>
          <t>FİDE KONSERVE</t>
        </is>
      </c>
      <c r="N12" s="4" t="inlineStr">
        <is>
          <t>ALIR</t>
        </is>
      </c>
      <c r="O12" s="8" t="n">
        <v>0</v>
      </c>
      <c r="P12" s="8" t="n">
        <v>0</v>
      </c>
      <c r="Q12" s="8" t="n">
        <v>0</v>
      </c>
      <c r="R12" s="9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9" t="n">
        <v>0</v>
      </c>
      <c r="Z12" s="8" t="n">
        <v>0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9" t="n">
        <v>0</v>
      </c>
      <c r="AG12" s="8" t="n">
        <v>0</v>
      </c>
      <c r="AH12" s="8" t="n">
        <v>0</v>
      </c>
      <c r="AI12" s="8" t="n">
        <v>0</v>
      </c>
      <c r="AJ12" s="8" t="n">
        <v>0</v>
      </c>
      <c r="AK12" s="8" t="n">
        <v>0</v>
      </c>
      <c r="AL12" s="8" t="n">
        <v>0</v>
      </c>
      <c r="AM12" s="9" t="n">
        <v>0</v>
      </c>
      <c r="AN12" s="8" t="n">
        <v>0</v>
      </c>
      <c r="AO12" s="8" t="n">
        <v>0</v>
      </c>
      <c r="AP12" s="8" t="n">
        <v>0</v>
      </c>
      <c r="AQ12" s="8" t="n">
        <v>0</v>
      </c>
      <c r="AR12" s="8" t="n">
        <v>0</v>
      </c>
      <c r="AS12" s="8" t="n">
        <v>0</v>
      </c>
      <c r="AT12" s="10">
        <f>SUM(O12:AS12)</f>
        <v/>
      </c>
      <c r="AU12" s="11">
        <f>COUNTIF(O12:AS12, "&gt;0")</f>
        <v/>
      </c>
      <c r="AV12" s="12">
        <f>IF(AU12&gt;=5, 4, IF(AU12&gt;0, INT(AU12/6), 0))</f>
        <v/>
      </c>
      <c r="AW12" s="11" t="n">
        <v>0</v>
      </c>
      <c r="AX12" s="11" t="n">
        <v>0</v>
      </c>
      <c r="AY12" s="13">
        <f>MIN(31, AU12+AV12+AW12+AX12)</f>
        <v/>
      </c>
      <c r="AZ12" s="14">
        <f>31-AY12</f>
        <v/>
      </c>
      <c r="BA12" s="5">
        <f>IF(AX12&gt;0, "01-İstirahat", IF(AZ12&gt;0, "12-Birden Fazla", ""))</f>
        <v/>
      </c>
      <c r="BB12" s="10" t="n">
        <v>0</v>
      </c>
      <c r="BC12" s="8" t="n">
        <v>0</v>
      </c>
      <c r="BD12" s="9" t="n">
        <v>0</v>
      </c>
      <c r="BE12" s="7">
        <f>(L12/30)*AU12</f>
        <v/>
      </c>
      <c r="BF12" s="15">
        <f>(L12/225)*((BB12*1.5)-(BC12*1.0))</f>
        <v/>
      </c>
      <c r="BG12" s="16">
        <f>(L12/225)*1.5*BD12</f>
        <v/>
      </c>
      <c r="BH12" s="15">
        <f>BF12+BG12</f>
        <v/>
      </c>
      <c r="BI12" s="17">
        <f>BE12+BH12</f>
        <v/>
      </c>
      <c r="BJ12" s="7">
        <f>IFERROR(VLOOKUP(B12, Resmi_Bordro_SGK!B:M, 11, FALSE), 0)</f>
        <v/>
      </c>
      <c r="BK12" s="18">
        <f>IFERROR(VLOOKUP(B12, Icra_Takip!A:E, 4, FALSE), 0)</f>
        <v/>
      </c>
      <c r="BL12" s="17">
        <f>IF(BI12&gt;BJ12, BI12-BJ12-BK12, 0)</f>
        <v/>
      </c>
      <c r="BM12" s="17">
        <f>BI12-BK12</f>
        <v/>
      </c>
    </row>
    <row r="13" ht="19" customHeight="1">
      <c r="A13" s="4" t="n">
        <v>10</v>
      </c>
      <c r="B13" s="5" t="inlineStr">
        <is>
          <t>24082483292</t>
        </is>
      </c>
      <c r="C13" s="6" t="inlineStr">
        <is>
          <t>AHMET ÇÇAKICI</t>
        </is>
      </c>
      <c r="D13" s="4" t="inlineStr">
        <is>
          <t>E</t>
        </is>
      </c>
      <c r="E13" s="4" t="inlineStr"/>
      <c r="F13" s="4" t="inlineStr">
        <is>
          <t>26.07.2026</t>
        </is>
      </c>
      <c r="G13" s="4" t="inlineStr"/>
      <c r="H13" s="4" t="inlineStr">
        <is>
          <t>SGDP</t>
        </is>
      </c>
      <c r="I13" s="4" t="inlineStr">
        <is>
          <t>MEVSİMLİK</t>
        </is>
      </c>
      <c r="J13" s="6" t="inlineStr">
        <is>
          <t>ÜRETİM</t>
        </is>
      </c>
      <c r="K13" s="6" t="inlineStr">
        <is>
          <t>KARACABEY-HALİL</t>
        </is>
      </c>
      <c r="L13" s="7" t="n">
        <v>30185</v>
      </c>
      <c r="M13" s="4" t="inlineStr">
        <is>
          <t>FİDE KONSERVE</t>
        </is>
      </c>
      <c r="N13" s="4" t="inlineStr">
        <is>
          <t>ALIR</t>
        </is>
      </c>
      <c r="O13" s="19" t="n">
        <v>0</v>
      </c>
      <c r="P13" s="19" t="n">
        <v>0</v>
      </c>
      <c r="Q13" s="19" t="n">
        <v>0</v>
      </c>
      <c r="R13" s="9" t="n">
        <v>0</v>
      </c>
      <c r="S13" s="19" t="n">
        <v>0</v>
      </c>
      <c r="T13" s="19" t="n">
        <v>0</v>
      </c>
      <c r="U13" s="19" t="n">
        <v>0</v>
      </c>
      <c r="V13" s="19" t="n">
        <v>0</v>
      </c>
      <c r="W13" s="19" t="n">
        <v>0</v>
      </c>
      <c r="X13" s="19" t="n">
        <v>0</v>
      </c>
      <c r="Y13" s="9" t="n">
        <v>0</v>
      </c>
      <c r="Z13" s="19" t="n">
        <v>0</v>
      </c>
      <c r="AA13" s="19" t="n">
        <v>0</v>
      </c>
      <c r="AB13" s="19" t="n">
        <v>0</v>
      </c>
      <c r="AC13" s="19" t="n">
        <v>0</v>
      </c>
      <c r="AD13" s="19" t="n">
        <v>0</v>
      </c>
      <c r="AE13" s="19" t="n">
        <v>0</v>
      </c>
      <c r="AF13" s="9" t="n">
        <v>0</v>
      </c>
      <c r="AG13" s="19" t="n">
        <v>0</v>
      </c>
      <c r="AH13" s="19" t="n">
        <v>0</v>
      </c>
      <c r="AI13" s="19" t="n">
        <v>0</v>
      </c>
      <c r="AJ13" s="19" t="n">
        <v>0</v>
      </c>
      <c r="AK13" s="19" t="n">
        <v>0</v>
      </c>
      <c r="AL13" s="19" t="n">
        <v>0</v>
      </c>
      <c r="AM13" s="9" t="n">
        <v>0</v>
      </c>
      <c r="AN13" s="19" t="n">
        <v>0</v>
      </c>
      <c r="AO13" s="19" t="n">
        <v>0</v>
      </c>
      <c r="AP13" s="19" t="n">
        <v>0</v>
      </c>
      <c r="AQ13" s="19" t="n">
        <v>0</v>
      </c>
      <c r="AR13" s="19" t="n">
        <v>0</v>
      </c>
      <c r="AS13" s="19" t="n">
        <v>0</v>
      </c>
      <c r="AT13" s="10">
        <f>SUM(O13:AS13)</f>
        <v/>
      </c>
      <c r="AU13" s="20">
        <f>COUNTIF(O13:AS13, "&gt;0")</f>
        <v/>
      </c>
      <c r="AV13" s="12">
        <f>IF(AU13&gt;=5, 4, IF(AU13&gt;0, INT(AU13/6), 0))</f>
        <v/>
      </c>
      <c r="AW13" s="20" t="n">
        <v>0</v>
      </c>
      <c r="AX13" s="20" t="n">
        <v>0</v>
      </c>
      <c r="AY13" s="13">
        <f>MIN(31, AU13+AV13+AW13+AX13)</f>
        <v/>
      </c>
      <c r="AZ13" s="14">
        <f>31-AY13</f>
        <v/>
      </c>
      <c r="BA13" s="21">
        <f>IF(AX13&gt;0, "01-İstirahat", IF(AZ13&gt;0, "12-Birden Fazla", ""))</f>
        <v/>
      </c>
      <c r="BB13" s="10" t="n">
        <v>0</v>
      </c>
      <c r="BC13" s="19" t="n">
        <v>0</v>
      </c>
      <c r="BD13" s="9" t="n">
        <v>0</v>
      </c>
      <c r="BE13" s="22">
        <f>(L13/30)*AU13</f>
        <v/>
      </c>
      <c r="BF13" s="15">
        <f>(L13/225)*((BB13*1.5)-(BC13*1.0))</f>
        <v/>
      </c>
      <c r="BG13" s="16">
        <f>(L13/225)*1.5*BD13</f>
        <v/>
      </c>
      <c r="BH13" s="15">
        <f>BF13+BG13</f>
        <v/>
      </c>
      <c r="BI13" s="17">
        <f>BE13+BH13</f>
        <v/>
      </c>
      <c r="BJ13" s="22">
        <f>IFERROR(VLOOKUP(B13, Resmi_Bordro_SGK!B:M, 11, FALSE), 0)</f>
        <v/>
      </c>
      <c r="BK13" s="18">
        <f>IFERROR(VLOOKUP(B13, Icra_Takip!A:E, 4, FALSE), 0)</f>
        <v/>
      </c>
      <c r="BL13" s="17">
        <f>IF(BI13&gt;BJ13, BI13-BJ13-BK13, 0)</f>
        <v/>
      </c>
      <c r="BM13" s="17">
        <f>BI13-BK13</f>
        <v/>
      </c>
    </row>
    <row r="14" ht="19" customHeight="1">
      <c r="A14" s="4" t="n">
        <v>11</v>
      </c>
      <c r="B14" s="5" t="inlineStr">
        <is>
          <t>21925456598</t>
        </is>
      </c>
      <c r="C14" s="6" t="inlineStr">
        <is>
          <t>AHMET ÇÇAYLAK</t>
        </is>
      </c>
      <c r="D14" s="4" t="inlineStr">
        <is>
          <t>E</t>
        </is>
      </c>
      <c r="E14" s="4" t="inlineStr"/>
      <c r="F14" s="4" t="inlineStr">
        <is>
          <t>10.04.2026</t>
        </is>
      </c>
      <c r="G14" s="4" t="inlineStr"/>
      <c r="H14" s="4" t="inlineStr">
        <is>
          <t>NORMAL</t>
        </is>
      </c>
      <c r="I14" s="4" t="inlineStr">
        <is>
          <t>MEVSİMLİK</t>
        </is>
      </c>
      <c r="J14" s="6" t="inlineStr">
        <is>
          <t>AMBAR</t>
        </is>
      </c>
      <c r="K14" s="6" t="inlineStr">
        <is>
          <t>BALIKESİR</t>
        </is>
      </c>
      <c r="L14" s="7" t="n">
        <v>28075.5</v>
      </c>
      <c r="M14" s="4" t="inlineStr">
        <is>
          <t>FİDE KONSERVE</t>
        </is>
      </c>
      <c r="N14" s="4" t="inlineStr">
        <is>
          <t>ALIR</t>
        </is>
      </c>
      <c r="O14" s="8" t="n">
        <v>7.5</v>
      </c>
      <c r="P14" s="8" t="n">
        <v>10.5</v>
      </c>
      <c r="Q14" s="8" t="n">
        <v>7.5</v>
      </c>
      <c r="R14" s="9" t="n">
        <v>0</v>
      </c>
      <c r="S14" s="8" t="n">
        <v>7.5</v>
      </c>
      <c r="T14" s="8" t="n">
        <v>7.5</v>
      </c>
      <c r="U14" s="8" t="n">
        <v>8.5</v>
      </c>
      <c r="V14" s="8" t="n">
        <v>0</v>
      </c>
      <c r="W14" s="8" t="n">
        <v>7.5</v>
      </c>
      <c r="X14" s="8" t="n">
        <v>7.5</v>
      </c>
      <c r="Y14" s="9" t="n">
        <v>7.5</v>
      </c>
      <c r="Z14" s="8" t="n">
        <v>10.5</v>
      </c>
      <c r="AA14" s="8" t="n">
        <v>7.5</v>
      </c>
      <c r="AB14" s="8" t="n">
        <v>7.5</v>
      </c>
      <c r="AC14" s="8" t="n">
        <v>7.5</v>
      </c>
      <c r="AD14" s="8" t="n">
        <v>10.5</v>
      </c>
      <c r="AE14" s="8" t="n">
        <v>7.5</v>
      </c>
      <c r="AF14" s="9" t="n">
        <v>7.5</v>
      </c>
      <c r="AG14" s="8" t="n">
        <v>7.5</v>
      </c>
      <c r="AH14" s="8" t="n">
        <v>7.5</v>
      </c>
      <c r="AI14" s="8" t="n">
        <v>4</v>
      </c>
      <c r="AJ14" s="8" t="n">
        <v>0</v>
      </c>
      <c r="AK14" s="8" t="n">
        <v>0</v>
      </c>
      <c r="AL14" s="8" t="n">
        <v>0</v>
      </c>
      <c r="AM14" s="9" t="n">
        <v>0</v>
      </c>
      <c r="AN14" s="8" t="n">
        <v>0</v>
      </c>
      <c r="AO14" s="8" t="n">
        <v>0</v>
      </c>
      <c r="AP14" s="8" t="n">
        <v>0</v>
      </c>
      <c r="AQ14" s="8" t="n">
        <v>0</v>
      </c>
      <c r="AR14" s="8" t="n">
        <v>0</v>
      </c>
      <c r="AS14" s="8" t="n">
        <v>0</v>
      </c>
      <c r="AT14" s="10">
        <f>SUM(O14:AS14)</f>
        <v/>
      </c>
      <c r="AU14" s="11">
        <f>COUNTIF(O14:AS14, "&gt;0")</f>
        <v/>
      </c>
      <c r="AV14" s="12">
        <f>IF(AU14&gt;=5, 4, IF(AU14&gt;0, INT(AU14/6), 0))</f>
        <v/>
      </c>
      <c r="AW14" s="11" t="n">
        <v>0</v>
      </c>
      <c r="AX14" s="11" t="n">
        <v>0</v>
      </c>
      <c r="AY14" s="13">
        <f>MIN(31, AU14+AV14+AW14+AX14)</f>
        <v/>
      </c>
      <c r="AZ14" s="14">
        <f>31-AY14</f>
        <v/>
      </c>
      <c r="BA14" s="5">
        <f>IF(AX14&gt;0, "01-İstirahat", IF(AZ14&gt;0, "12-Birden Fazla", ""))</f>
        <v/>
      </c>
      <c r="BB14" s="10" t="n">
        <v>10</v>
      </c>
      <c r="BC14" s="23" t="n">
        <v>3.5</v>
      </c>
      <c r="BD14" s="9" t="n">
        <v>15</v>
      </c>
      <c r="BE14" s="7">
        <f>(L14/30)*AU14</f>
        <v/>
      </c>
      <c r="BF14" s="15">
        <f>(L14/225)*((BB14*1.5)-(BC14*1.0))</f>
        <v/>
      </c>
      <c r="BG14" s="16">
        <f>(L14/225)*1.5*BD14</f>
        <v/>
      </c>
      <c r="BH14" s="15">
        <f>BF14+BG14</f>
        <v/>
      </c>
      <c r="BI14" s="17">
        <f>BE14+BH14</f>
        <v/>
      </c>
      <c r="BJ14" s="7">
        <f>IFERROR(VLOOKUP(B14, Resmi_Bordro_SGK!B:M, 11, FALSE), 0)</f>
        <v/>
      </c>
      <c r="BK14" s="18">
        <f>IFERROR(VLOOKUP(B14, Icra_Takip!A:E, 4, FALSE), 0)</f>
        <v/>
      </c>
      <c r="BL14" s="17">
        <f>IF(BI14&gt;BJ14, BI14-BJ14-BK14, 0)</f>
        <v/>
      </c>
      <c r="BM14" s="17">
        <f>BI14-BK14</f>
        <v/>
      </c>
    </row>
    <row r="15" ht="19" customHeight="1">
      <c r="A15" s="4" t="n">
        <v>12</v>
      </c>
      <c r="B15" s="5" t="inlineStr">
        <is>
          <t>62770331784</t>
        </is>
      </c>
      <c r="C15" s="6" t="inlineStr">
        <is>
          <t>AHMET DAĞ</t>
        </is>
      </c>
      <c r="D15" s="4" t="inlineStr">
        <is>
          <t>E</t>
        </is>
      </c>
      <c r="E15" s="4" t="inlineStr"/>
      <c r="F15" s="4" t="inlineStr">
        <is>
          <t>15.07.2026</t>
        </is>
      </c>
      <c r="G15" s="4" t="inlineStr"/>
      <c r="H15" s="4" t="inlineStr">
        <is>
          <t>NORMAL</t>
        </is>
      </c>
      <c r="I15" s="4" t="inlineStr">
        <is>
          <t>MEVSİMLİK</t>
        </is>
      </c>
      <c r="J15" s="6" t="inlineStr">
        <is>
          <t>ÜRETİM</t>
        </is>
      </c>
      <c r="K15" s="6" t="inlineStr">
        <is>
          <t>KARACABEY-HALİL</t>
        </is>
      </c>
      <c r="L15" s="7" t="n">
        <v>28075.5</v>
      </c>
      <c r="M15" s="4" t="inlineStr">
        <is>
          <t>FİDE KONSERVE</t>
        </is>
      </c>
      <c r="N15" s="4" t="inlineStr">
        <is>
          <t>ALIR</t>
        </is>
      </c>
      <c r="O15" s="19" t="n">
        <v>0</v>
      </c>
      <c r="P15" s="19" t="n">
        <v>0</v>
      </c>
      <c r="Q15" s="19" t="n">
        <v>0</v>
      </c>
      <c r="R15" s="9" t="n">
        <v>0</v>
      </c>
      <c r="S15" s="19" t="n">
        <v>0</v>
      </c>
      <c r="T15" s="19" t="n">
        <v>0</v>
      </c>
      <c r="U15" s="19" t="n">
        <v>0</v>
      </c>
      <c r="V15" s="19" t="n">
        <v>0</v>
      </c>
      <c r="W15" s="19" t="n">
        <v>0</v>
      </c>
      <c r="X15" s="19" t="n">
        <v>0</v>
      </c>
      <c r="Y15" s="9" t="n">
        <v>0</v>
      </c>
      <c r="Z15" s="19" t="n">
        <v>0</v>
      </c>
      <c r="AA15" s="1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9" t="n">
        <v>0</v>
      </c>
      <c r="AG15" s="19" t="n">
        <v>0</v>
      </c>
      <c r="AH15" s="1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9" t="n">
        <v>0</v>
      </c>
      <c r="AN15" s="19" t="n">
        <v>0</v>
      </c>
      <c r="AO15" s="19" t="n">
        <v>0</v>
      </c>
      <c r="AP15" s="19" t="n">
        <v>0</v>
      </c>
      <c r="AQ15" s="19" t="n">
        <v>0</v>
      </c>
      <c r="AR15" s="19" t="n">
        <v>0</v>
      </c>
      <c r="AS15" s="19" t="n">
        <v>0</v>
      </c>
      <c r="AT15" s="10">
        <f>SUM(O15:AS15)</f>
        <v/>
      </c>
      <c r="AU15" s="20">
        <f>COUNTIF(O15:AS15, "&gt;0")</f>
        <v/>
      </c>
      <c r="AV15" s="12">
        <f>IF(AU15&gt;=5, 4, IF(AU15&gt;0, INT(AU15/6), 0))</f>
        <v/>
      </c>
      <c r="AW15" s="20" t="n">
        <v>0</v>
      </c>
      <c r="AX15" s="20" t="n">
        <v>0</v>
      </c>
      <c r="AY15" s="13">
        <f>MIN(31, AU15+AV15+AW15+AX15)</f>
        <v/>
      </c>
      <c r="AZ15" s="14">
        <f>31-AY15</f>
        <v/>
      </c>
      <c r="BA15" s="21">
        <f>IF(AX15&gt;0, "01-İstirahat", IF(AZ15&gt;0, "12-Birden Fazla", ""))</f>
        <v/>
      </c>
      <c r="BB15" s="10" t="n">
        <v>0</v>
      </c>
      <c r="BC15" s="19" t="n">
        <v>0</v>
      </c>
      <c r="BD15" s="9" t="n">
        <v>0</v>
      </c>
      <c r="BE15" s="22">
        <f>(L15/30)*AU15</f>
        <v/>
      </c>
      <c r="BF15" s="15">
        <f>(L15/225)*((BB15*1.5)-(BC15*1.0))</f>
        <v/>
      </c>
      <c r="BG15" s="16">
        <f>(L15/225)*1.5*BD15</f>
        <v/>
      </c>
      <c r="BH15" s="15">
        <f>BF15+BG15</f>
        <v/>
      </c>
      <c r="BI15" s="17">
        <f>BE15+BH15</f>
        <v/>
      </c>
      <c r="BJ15" s="22">
        <f>IFERROR(VLOOKUP(B15, Resmi_Bordro_SGK!B:M, 11, FALSE), 0)</f>
        <v/>
      </c>
      <c r="BK15" s="18">
        <f>IFERROR(VLOOKUP(B15, Icra_Takip!A:E, 4, FALSE), 0)</f>
        <v/>
      </c>
      <c r="BL15" s="17">
        <f>IF(BI15&gt;BJ15, BI15-BJ15-BK15, 0)</f>
        <v/>
      </c>
      <c r="BM15" s="17">
        <f>BI15-BK15</f>
        <v/>
      </c>
    </row>
    <row r="16" ht="19" customHeight="1">
      <c r="A16" s="4" t="n">
        <v>13</v>
      </c>
      <c r="B16" s="5" t="inlineStr">
        <is>
          <t>28123249472</t>
        </is>
      </c>
      <c r="C16" s="6" t="inlineStr">
        <is>
          <t>AHMET ŞŞENER</t>
        </is>
      </c>
      <c r="D16" s="4" t="inlineStr">
        <is>
          <t>E</t>
        </is>
      </c>
      <c r="E16" s="4" t="inlineStr"/>
      <c r="F16" s="4" t="inlineStr">
        <is>
          <t>10.02.2026</t>
        </is>
      </c>
      <c r="G16" s="4" t="inlineStr"/>
      <c r="H16" s="4" t="inlineStr">
        <is>
          <t>SGDP-ENGELLİ</t>
        </is>
      </c>
      <c r="I16" s="4" t="inlineStr">
        <is>
          <t>DAİMİ</t>
        </is>
      </c>
      <c r="J16" s="6" t="inlineStr">
        <is>
          <t>MEYDAN</t>
        </is>
      </c>
      <c r="K16" s="6" t="inlineStr">
        <is>
          <t>SUSURLUK</t>
        </is>
      </c>
      <c r="L16" s="7" t="n">
        <v>30185</v>
      </c>
      <c r="M16" s="4" t="inlineStr">
        <is>
          <t>FİDE KONSERVE</t>
        </is>
      </c>
      <c r="N16" s="4" t="inlineStr">
        <is>
          <t>ALIR</t>
        </is>
      </c>
      <c r="O16" s="8" t="n">
        <v>7.5</v>
      </c>
      <c r="P16" s="8" t="n">
        <v>7.5</v>
      </c>
      <c r="Q16" s="8" t="n">
        <v>6.5</v>
      </c>
      <c r="R16" s="9" t="n">
        <v>0</v>
      </c>
      <c r="S16" s="8" t="n">
        <v>7.5</v>
      </c>
      <c r="T16" s="8" t="n">
        <v>7.5</v>
      </c>
      <c r="U16" s="8" t="n">
        <v>7.5</v>
      </c>
      <c r="V16" s="8" t="n">
        <v>7.5</v>
      </c>
      <c r="W16" s="8" t="n">
        <v>0</v>
      </c>
      <c r="X16" s="8" t="n">
        <v>0</v>
      </c>
      <c r="Y16" s="9" t="n">
        <v>0</v>
      </c>
      <c r="Z16" s="8" t="n">
        <v>7.5</v>
      </c>
      <c r="AA16" s="8" t="n">
        <v>7.5</v>
      </c>
      <c r="AB16" s="8" t="n">
        <v>7.5</v>
      </c>
      <c r="AC16" s="8" t="n">
        <v>7.5</v>
      </c>
      <c r="AD16" s="8" t="n">
        <v>7.5</v>
      </c>
      <c r="AE16" s="8" t="n">
        <v>7.5</v>
      </c>
      <c r="AF16" s="9" t="n">
        <v>0</v>
      </c>
      <c r="AG16" s="8" t="n">
        <v>7.5</v>
      </c>
      <c r="AH16" s="8" t="n">
        <v>7.5</v>
      </c>
      <c r="AI16" s="8" t="n">
        <v>7.5</v>
      </c>
      <c r="AJ16" s="8" t="n">
        <v>0</v>
      </c>
      <c r="AK16" s="8" t="n">
        <v>0</v>
      </c>
      <c r="AL16" s="8" t="n">
        <v>0</v>
      </c>
      <c r="AM16" s="9" t="n">
        <v>0</v>
      </c>
      <c r="AN16" s="8" t="n">
        <v>0</v>
      </c>
      <c r="AO16" s="8" t="n">
        <v>0</v>
      </c>
      <c r="AP16" s="8" t="n">
        <v>0</v>
      </c>
      <c r="AQ16" s="8" t="n">
        <v>0</v>
      </c>
      <c r="AR16" s="8" t="n">
        <v>0</v>
      </c>
      <c r="AS16" s="8" t="n">
        <v>0</v>
      </c>
      <c r="AT16" s="10">
        <f>SUM(O16:AS16)</f>
        <v/>
      </c>
      <c r="AU16" s="11">
        <f>COUNTIF(O16:AS16, "&gt;0")</f>
        <v/>
      </c>
      <c r="AV16" s="12">
        <f>IF(AU16&gt;=5, 4, IF(AU16&gt;0, INT(AU16/6), 0))</f>
        <v/>
      </c>
      <c r="AW16" s="11" t="n">
        <v>0</v>
      </c>
      <c r="AX16" s="11" t="n">
        <v>0</v>
      </c>
      <c r="AY16" s="13">
        <f>MIN(31, AU16+AV16+AW16+AX16)</f>
        <v/>
      </c>
      <c r="AZ16" s="14">
        <f>31-AY16</f>
        <v/>
      </c>
      <c r="BA16" s="5">
        <f>IF(AX16&gt;0, "01-İstirahat", IF(AZ16&gt;0, "12-Birden Fazla", ""))</f>
        <v/>
      </c>
      <c r="BB16" s="10" t="n">
        <v>0</v>
      </c>
      <c r="BC16" s="23" t="n">
        <v>1</v>
      </c>
      <c r="BD16" s="9" t="n">
        <v>0</v>
      </c>
      <c r="BE16" s="7">
        <f>(L16/30)*AU16</f>
        <v/>
      </c>
      <c r="BF16" s="15">
        <f>(L16/225)*((BB16*1.5)-(BC16*1.0))</f>
        <v/>
      </c>
      <c r="BG16" s="16">
        <f>(L16/225)*1.5*BD16</f>
        <v/>
      </c>
      <c r="BH16" s="15">
        <f>BF16+BG16</f>
        <v/>
      </c>
      <c r="BI16" s="17">
        <f>BE16+BH16</f>
        <v/>
      </c>
      <c r="BJ16" s="7">
        <f>IFERROR(VLOOKUP(B16, Resmi_Bordro_SGK!B:M, 11, FALSE), 0)</f>
        <v/>
      </c>
      <c r="BK16" s="18">
        <f>IFERROR(VLOOKUP(B16, Icra_Takip!A:E, 4, FALSE), 0)</f>
        <v/>
      </c>
      <c r="BL16" s="17">
        <f>IF(BI16&gt;BJ16, BI16-BJ16-BK16, 0)</f>
        <v/>
      </c>
      <c r="BM16" s="17">
        <f>BI16-BK16</f>
        <v/>
      </c>
    </row>
    <row r="17" ht="19" customHeight="1">
      <c r="A17" s="4" t="n">
        <v>14</v>
      </c>
      <c r="B17" s="5" t="inlineStr"/>
      <c r="C17" s="6" t="inlineStr">
        <is>
          <t>AHMET CAN ABAKAY</t>
        </is>
      </c>
      <c r="D17" s="4" t="inlineStr"/>
      <c r="E17" s="4" t="inlineStr"/>
      <c r="F17" s="4" t="inlineStr"/>
      <c r="G17" s="4" t="inlineStr"/>
      <c r="H17" s="4" t="inlineStr">
        <is>
          <t>NORMAL</t>
        </is>
      </c>
      <c r="I17" s="4" t="inlineStr">
        <is>
          <t>MEVSİMLİK</t>
        </is>
      </c>
      <c r="J17" s="6" t="inlineStr"/>
      <c r="K17" s="6" t="inlineStr"/>
      <c r="L17" s="7" t="n">
        <v>28075.5</v>
      </c>
      <c r="M17" s="4" t="inlineStr">
        <is>
          <t>FİDE KONSERVE</t>
        </is>
      </c>
      <c r="N17" s="4" t="inlineStr">
        <is>
          <t>ALIR</t>
        </is>
      </c>
      <c r="O17" s="19" t="n">
        <v>0</v>
      </c>
      <c r="P17" s="19" t="n">
        <v>10.5</v>
      </c>
      <c r="Q17" s="19" t="n">
        <v>10.5</v>
      </c>
      <c r="R17" s="9" t="n">
        <v>0</v>
      </c>
      <c r="S17" s="19" t="n">
        <v>10.5</v>
      </c>
      <c r="T17" s="19" t="n">
        <v>10.5</v>
      </c>
      <c r="U17" s="19" t="n">
        <v>10.5</v>
      </c>
      <c r="V17" s="19" t="n">
        <v>10.5</v>
      </c>
      <c r="W17" s="19" t="n">
        <v>10.5</v>
      </c>
      <c r="X17" s="19" t="n">
        <v>10.5</v>
      </c>
      <c r="Y17" s="9" t="n">
        <v>0</v>
      </c>
      <c r="Z17" s="19" t="n">
        <v>10.5</v>
      </c>
      <c r="AA17" s="19" t="n">
        <v>0</v>
      </c>
      <c r="AB17" s="19" t="n">
        <v>10.5</v>
      </c>
      <c r="AC17" s="19" t="n">
        <v>10.5</v>
      </c>
      <c r="AD17" s="19" t="n">
        <v>0</v>
      </c>
      <c r="AE17" s="19" t="n">
        <v>0</v>
      </c>
      <c r="AF17" s="9" t="n">
        <v>0</v>
      </c>
      <c r="AG17" s="19" t="n">
        <v>10.5</v>
      </c>
      <c r="AH17" s="1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9" t="n">
        <v>0</v>
      </c>
      <c r="AN17" s="19" t="n">
        <v>0</v>
      </c>
      <c r="AO17" s="19" t="n">
        <v>0</v>
      </c>
      <c r="AP17" s="19" t="n">
        <v>0</v>
      </c>
      <c r="AQ17" s="19" t="n">
        <v>0</v>
      </c>
      <c r="AR17" s="19" t="n">
        <v>0</v>
      </c>
      <c r="AS17" s="19" t="n">
        <v>0</v>
      </c>
      <c r="AT17" s="10">
        <f>SUM(O17:AS17)</f>
        <v/>
      </c>
      <c r="AU17" s="20">
        <f>COUNTIF(O17:AS17, "&gt;0")</f>
        <v/>
      </c>
      <c r="AV17" s="12">
        <f>IF(AU17&gt;=5, 4, IF(AU17&gt;0, INT(AU17/6), 0))</f>
        <v/>
      </c>
      <c r="AW17" s="20" t="n">
        <v>0</v>
      </c>
      <c r="AX17" s="20" t="n">
        <v>0</v>
      </c>
      <c r="AY17" s="13">
        <f>MIN(31, AU17+AV17+AW17+AX17)</f>
        <v/>
      </c>
      <c r="AZ17" s="14">
        <f>31-AY17</f>
        <v/>
      </c>
      <c r="BA17" s="21">
        <f>IF(AX17&gt;0, "01-İstirahat", IF(AZ17&gt;0, "12-Birden Fazla", ""))</f>
        <v/>
      </c>
      <c r="BB17" s="10" t="n">
        <v>36</v>
      </c>
      <c r="BC17" s="19" t="n">
        <v>0</v>
      </c>
      <c r="BD17" s="9" t="n">
        <v>0</v>
      </c>
      <c r="BE17" s="22">
        <f>(L17/30)*AU17</f>
        <v/>
      </c>
      <c r="BF17" s="15">
        <f>(L17/225)*((BB17*1.5)-(BC17*1.0))</f>
        <v/>
      </c>
      <c r="BG17" s="16">
        <f>(L17/225)*1.5*BD17</f>
        <v/>
      </c>
      <c r="BH17" s="15">
        <f>BF17+BG17</f>
        <v/>
      </c>
      <c r="BI17" s="17">
        <f>BE17+BH17</f>
        <v/>
      </c>
      <c r="BJ17" s="22">
        <f>IFERROR(VLOOKUP(B17, Resmi_Bordro_SGK!B:M, 11, FALSE), 0)</f>
        <v/>
      </c>
      <c r="BK17" s="18">
        <f>IFERROR(VLOOKUP(B17, Icra_Takip!A:E, 4, FALSE), 0)</f>
        <v/>
      </c>
      <c r="BL17" s="17">
        <f>IF(BI17&gt;BJ17, BI17-BJ17-BK17, 0)</f>
        <v/>
      </c>
      <c r="BM17" s="17">
        <f>BI17-BK17</f>
        <v/>
      </c>
    </row>
    <row r="18" ht="19" customHeight="1">
      <c r="A18" s="4" t="n">
        <v>15</v>
      </c>
      <c r="B18" s="5" t="inlineStr">
        <is>
          <t>16510742668</t>
        </is>
      </c>
      <c r="C18" s="6" t="inlineStr">
        <is>
          <t>AKİF TÜRKÇÜ</t>
        </is>
      </c>
      <c r="D18" s="4" t="inlineStr">
        <is>
          <t>E</t>
        </is>
      </c>
      <c r="E18" s="4" t="inlineStr"/>
      <c r="F18" s="4" t="inlineStr">
        <is>
          <t>01.07.2026</t>
        </is>
      </c>
      <c r="G18" s="4" t="inlineStr"/>
      <c r="H18" s="4" t="inlineStr">
        <is>
          <t>NORMAL</t>
        </is>
      </c>
      <c r="I18" s="4" t="inlineStr">
        <is>
          <t>MEVSİMLİK</t>
        </is>
      </c>
      <c r="J18" s="6" t="inlineStr">
        <is>
          <t>BALIK TEMİZLİK</t>
        </is>
      </c>
      <c r="K18" s="6" t="inlineStr">
        <is>
          <t>MKP</t>
        </is>
      </c>
      <c r="L18" s="7" t="n">
        <v>33000</v>
      </c>
      <c r="M18" s="4" t="inlineStr">
        <is>
          <t>FİDE KONSERVE</t>
        </is>
      </c>
      <c r="N18" s="4" t="inlineStr">
        <is>
          <t>ALIR</t>
        </is>
      </c>
      <c r="O18" s="23" t="n">
        <v>7.5</v>
      </c>
      <c r="P18" s="8" t="n">
        <v>6.5</v>
      </c>
      <c r="Q18" s="8" t="n">
        <v>6.5</v>
      </c>
      <c r="R18" s="9" t="n">
        <v>0</v>
      </c>
      <c r="S18" s="8" t="n">
        <v>8.5</v>
      </c>
      <c r="T18" s="8" t="n">
        <v>8</v>
      </c>
      <c r="U18" s="8" t="n">
        <v>6.5</v>
      </c>
      <c r="V18" s="8" t="n">
        <v>8</v>
      </c>
      <c r="W18" s="8" t="n">
        <v>8</v>
      </c>
      <c r="X18" s="8" t="n">
        <v>8</v>
      </c>
      <c r="Y18" s="9" t="n">
        <v>0</v>
      </c>
      <c r="Z18" s="8" t="n">
        <v>8</v>
      </c>
      <c r="AA18" s="8" t="n">
        <v>6.5</v>
      </c>
      <c r="AB18" s="8" t="n">
        <v>6.5</v>
      </c>
      <c r="AC18" s="8" t="n">
        <v>6</v>
      </c>
      <c r="AD18" s="8" t="n">
        <v>0</v>
      </c>
      <c r="AE18" s="8" t="n">
        <v>6.5</v>
      </c>
      <c r="AF18" s="9" t="n">
        <v>0</v>
      </c>
      <c r="AG18" s="8" t="n">
        <v>6.5</v>
      </c>
      <c r="AH18" s="8" t="n">
        <v>6</v>
      </c>
      <c r="AI18" s="23" t="n">
        <v>7.5</v>
      </c>
      <c r="AJ18" s="8" t="n">
        <v>0</v>
      </c>
      <c r="AK18" s="8" t="n">
        <v>0</v>
      </c>
      <c r="AL18" s="8" t="n">
        <v>0</v>
      </c>
      <c r="AM18" s="9" t="n">
        <v>0</v>
      </c>
      <c r="AN18" s="8" t="n">
        <v>0</v>
      </c>
      <c r="AO18" s="8" t="n">
        <v>0</v>
      </c>
      <c r="AP18" s="8" t="n">
        <v>0</v>
      </c>
      <c r="AQ18" s="8" t="n">
        <v>0</v>
      </c>
      <c r="AR18" s="8" t="n">
        <v>0</v>
      </c>
      <c r="AS18" s="8" t="n">
        <v>0</v>
      </c>
      <c r="AT18" s="10">
        <f>SUM(O18:AS18)</f>
        <v/>
      </c>
      <c r="AU18" s="11">
        <f>COUNTIF(O18:AS18, "&gt;0")</f>
        <v/>
      </c>
      <c r="AV18" s="12">
        <f>IF(AU18&gt;=5, 4, IF(AU18&gt;0, INT(AU18/6), 0))</f>
        <v/>
      </c>
      <c r="AW18" s="11" t="n">
        <v>0</v>
      </c>
      <c r="AX18" s="11" t="n">
        <v>0</v>
      </c>
      <c r="AY18" s="13">
        <f>MIN(31, AU18+AV18+AW18+AX18)</f>
        <v/>
      </c>
      <c r="AZ18" s="14">
        <f>31-AY18</f>
        <v/>
      </c>
      <c r="BA18" s="5">
        <f>IF(AX18&gt;0, "01-İstirahat", IF(AZ18&gt;0, "12-Birden Fazla", ""))</f>
        <v/>
      </c>
      <c r="BB18" s="10" t="n">
        <v>23.5</v>
      </c>
      <c r="BC18" s="23" t="n">
        <v>10</v>
      </c>
      <c r="BD18" s="9" t="n">
        <v>0</v>
      </c>
      <c r="BE18" s="7">
        <f>(L18/30)*AU18</f>
        <v/>
      </c>
      <c r="BF18" s="15">
        <f>(L18/225)*((BB18*1.5)-(BC18*1.0))</f>
        <v/>
      </c>
      <c r="BG18" s="16">
        <f>(L18/225)*1.5*BD18</f>
        <v/>
      </c>
      <c r="BH18" s="15">
        <f>BF18+BG18</f>
        <v/>
      </c>
      <c r="BI18" s="17">
        <f>BE18+BH18</f>
        <v/>
      </c>
      <c r="BJ18" s="7">
        <f>IFERROR(VLOOKUP(B18, Resmi_Bordro_SGK!B:M, 11, FALSE), 0)</f>
        <v/>
      </c>
      <c r="BK18" s="18">
        <f>IFERROR(VLOOKUP(B18, Icra_Takip!A:E, 4, FALSE), 0)</f>
        <v/>
      </c>
      <c r="BL18" s="17">
        <f>IF(BI18&gt;BJ18, BI18-BJ18-BK18, 0)</f>
        <v/>
      </c>
      <c r="BM18" s="17">
        <f>BI18-BK18</f>
        <v/>
      </c>
    </row>
    <row r="19" ht="19" customHeight="1">
      <c r="A19" s="4" t="n">
        <v>16</v>
      </c>
      <c r="B19" s="5" t="inlineStr">
        <is>
          <t>10672605502</t>
        </is>
      </c>
      <c r="C19" s="6" t="inlineStr">
        <is>
          <t>ALİ ARSLAN</t>
        </is>
      </c>
      <c r="D19" s="4" t="inlineStr">
        <is>
          <t>E</t>
        </is>
      </c>
      <c r="E19" s="4" t="inlineStr"/>
      <c r="F19" s="4" t="inlineStr">
        <is>
          <t>20.06.2026</t>
        </is>
      </c>
      <c r="G19" s="4" t="inlineStr"/>
      <c r="H19" s="4" t="inlineStr">
        <is>
          <t>NORMAL</t>
        </is>
      </c>
      <c r="I19" s="4" t="inlineStr">
        <is>
          <t>MEVSİMLİK</t>
        </is>
      </c>
      <c r="J19" s="6" t="inlineStr">
        <is>
          <t>BALIK KESİM</t>
        </is>
      </c>
      <c r="K19" s="6" t="inlineStr">
        <is>
          <t>KARACABEY-HALİL</t>
        </is>
      </c>
      <c r="L19" s="7" t="n">
        <v>28075.5</v>
      </c>
      <c r="M19" s="4" t="inlineStr">
        <is>
          <t>FİDE KONSERVE</t>
        </is>
      </c>
      <c r="N19" s="4" t="inlineStr">
        <is>
          <t>ALIR</t>
        </is>
      </c>
      <c r="O19" s="19" t="n">
        <v>0</v>
      </c>
      <c r="P19" s="19" t="n">
        <v>0</v>
      </c>
      <c r="Q19" s="19" t="n">
        <v>0</v>
      </c>
      <c r="R19" s="9" t="n">
        <v>0</v>
      </c>
      <c r="S19" s="19" t="n">
        <v>0</v>
      </c>
      <c r="T19" s="19" t="n">
        <v>0</v>
      </c>
      <c r="U19" s="19" t="n">
        <v>0</v>
      </c>
      <c r="V19" s="19" t="n">
        <v>0</v>
      </c>
      <c r="W19" s="19" t="n">
        <v>0</v>
      </c>
      <c r="X19" s="19" t="n">
        <v>0</v>
      </c>
      <c r="Y19" s="9" t="n">
        <v>0</v>
      </c>
      <c r="Z19" s="19" t="n">
        <v>0</v>
      </c>
      <c r="AA19" s="19" t="n">
        <v>0</v>
      </c>
      <c r="AB19" s="19" t="n">
        <v>0</v>
      </c>
      <c r="AC19" s="19" t="n">
        <v>0</v>
      </c>
      <c r="AD19" s="19" t="n">
        <v>0</v>
      </c>
      <c r="AE19" s="19" t="n">
        <v>0</v>
      </c>
      <c r="AF19" s="9" t="n">
        <v>0</v>
      </c>
      <c r="AG19" s="19" t="n">
        <v>0</v>
      </c>
      <c r="AH19" s="19" t="n">
        <v>0</v>
      </c>
      <c r="AI19" s="19" t="n">
        <v>0</v>
      </c>
      <c r="AJ19" s="19" t="n">
        <v>0</v>
      </c>
      <c r="AK19" s="19" t="n">
        <v>0</v>
      </c>
      <c r="AL19" s="19" t="n">
        <v>0</v>
      </c>
      <c r="AM19" s="9" t="n">
        <v>0</v>
      </c>
      <c r="AN19" s="19" t="n">
        <v>0</v>
      </c>
      <c r="AO19" s="19" t="n">
        <v>0</v>
      </c>
      <c r="AP19" s="19" t="n">
        <v>0</v>
      </c>
      <c r="AQ19" s="19" t="n">
        <v>0</v>
      </c>
      <c r="AR19" s="19" t="n">
        <v>0</v>
      </c>
      <c r="AS19" s="19" t="n">
        <v>0</v>
      </c>
      <c r="AT19" s="10">
        <f>SUM(O19:AS19)</f>
        <v/>
      </c>
      <c r="AU19" s="20">
        <f>COUNTIF(O19:AS19, "&gt;0")</f>
        <v/>
      </c>
      <c r="AV19" s="12">
        <f>IF(AU19&gt;=5, 4, IF(AU19&gt;0, INT(AU19/6), 0))</f>
        <v/>
      </c>
      <c r="AW19" s="20" t="n">
        <v>0</v>
      </c>
      <c r="AX19" s="20" t="n">
        <v>0</v>
      </c>
      <c r="AY19" s="13">
        <f>MIN(31, AU19+AV19+AW19+AX19)</f>
        <v/>
      </c>
      <c r="AZ19" s="14">
        <f>31-AY19</f>
        <v/>
      </c>
      <c r="BA19" s="21">
        <f>IF(AX19&gt;0, "01-İstirahat", IF(AZ19&gt;0, "12-Birden Fazla", ""))</f>
        <v/>
      </c>
      <c r="BB19" s="10" t="n">
        <v>0</v>
      </c>
      <c r="BC19" s="19" t="n">
        <v>0</v>
      </c>
      <c r="BD19" s="9" t="n">
        <v>0</v>
      </c>
      <c r="BE19" s="22">
        <f>(L19/30)*AU19</f>
        <v/>
      </c>
      <c r="BF19" s="15">
        <f>(L19/225)*((BB19*1.5)-(BC19*1.0))</f>
        <v/>
      </c>
      <c r="BG19" s="16">
        <f>(L19/225)*1.5*BD19</f>
        <v/>
      </c>
      <c r="BH19" s="15">
        <f>BF19+BG19</f>
        <v/>
      </c>
      <c r="BI19" s="17">
        <f>BE19+BH19</f>
        <v/>
      </c>
      <c r="BJ19" s="22">
        <f>IFERROR(VLOOKUP(B19, Resmi_Bordro_SGK!B:M, 11, FALSE), 0)</f>
        <v/>
      </c>
      <c r="BK19" s="18">
        <f>IFERROR(VLOOKUP(B19, Icra_Takip!A:E, 4, FALSE), 0)</f>
        <v/>
      </c>
      <c r="BL19" s="17">
        <f>IF(BI19&gt;BJ19, BI19-BJ19-BK19, 0)</f>
        <v/>
      </c>
      <c r="BM19" s="17">
        <f>BI19-BK19</f>
        <v/>
      </c>
    </row>
    <row r="20" ht="19" customHeight="1">
      <c r="A20" s="4" t="n">
        <v>17</v>
      </c>
      <c r="B20" s="5" t="inlineStr"/>
      <c r="C20" s="6" t="inlineStr">
        <is>
          <t>ALİ BALTA</t>
        </is>
      </c>
      <c r="D20" s="4" t="inlineStr"/>
      <c r="E20" s="4" t="inlineStr"/>
      <c r="F20" s="4" t="inlineStr"/>
      <c r="G20" s="4" t="inlineStr"/>
      <c r="H20" s="4" t="inlineStr">
        <is>
          <t>NORMAL</t>
        </is>
      </c>
      <c r="I20" s="4" t="inlineStr">
        <is>
          <t>MEVSİMLİK</t>
        </is>
      </c>
      <c r="J20" s="6" t="inlineStr"/>
      <c r="K20" s="6" t="inlineStr"/>
      <c r="L20" s="7" t="n">
        <v>28075.5</v>
      </c>
      <c r="M20" s="4" t="inlineStr">
        <is>
          <t>FİDE KONSERVE</t>
        </is>
      </c>
      <c r="N20" s="4" t="inlineStr">
        <is>
          <t>ALIR</t>
        </is>
      </c>
      <c r="O20" s="8" t="n">
        <v>0</v>
      </c>
      <c r="P20" s="8" t="n">
        <v>0</v>
      </c>
      <c r="Q20" s="8" t="n">
        <v>0</v>
      </c>
      <c r="R20" s="9" t="n">
        <v>0</v>
      </c>
      <c r="S20" s="8" t="n">
        <v>0</v>
      </c>
      <c r="T20" s="8" t="n">
        <v>10.5</v>
      </c>
      <c r="U20" s="8" t="n">
        <v>7.5</v>
      </c>
      <c r="V20" s="8" t="n">
        <v>7.5</v>
      </c>
      <c r="W20" s="8" t="n">
        <v>7.5</v>
      </c>
      <c r="X20" s="8" t="n">
        <v>7.5</v>
      </c>
      <c r="Y20" s="9" t="n">
        <v>10.5</v>
      </c>
      <c r="Z20" s="8" t="n">
        <v>7.5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9" t="n">
        <v>0</v>
      </c>
      <c r="AG20" s="8" t="n">
        <v>0</v>
      </c>
      <c r="AH20" s="8" t="n">
        <v>0</v>
      </c>
      <c r="AI20" s="8" t="n">
        <v>0</v>
      </c>
      <c r="AJ20" s="8" t="n">
        <v>0</v>
      </c>
      <c r="AK20" s="8" t="n">
        <v>0</v>
      </c>
      <c r="AL20" s="8" t="n">
        <v>0</v>
      </c>
      <c r="AM20" s="9" t="n">
        <v>0</v>
      </c>
      <c r="AN20" s="8" t="n">
        <v>0</v>
      </c>
      <c r="AO20" s="8" t="n">
        <v>0</v>
      </c>
      <c r="AP20" s="8" t="n">
        <v>0</v>
      </c>
      <c r="AQ20" s="8" t="n">
        <v>0</v>
      </c>
      <c r="AR20" s="8" t="n">
        <v>0</v>
      </c>
      <c r="AS20" s="8" t="n">
        <v>0</v>
      </c>
      <c r="AT20" s="10">
        <f>SUM(O20:AS20)</f>
        <v/>
      </c>
      <c r="AU20" s="11">
        <f>COUNTIF(O20:AS20, "&gt;0")</f>
        <v/>
      </c>
      <c r="AV20" s="12">
        <f>IF(AU20&gt;=5, 4, IF(AU20&gt;0, INT(AU20/6), 0))</f>
        <v/>
      </c>
      <c r="AW20" s="11" t="n">
        <v>0</v>
      </c>
      <c r="AX20" s="11" t="n">
        <v>0</v>
      </c>
      <c r="AY20" s="13">
        <f>MIN(31, AU20+AV20+AW20+AX20)</f>
        <v/>
      </c>
      <c r="AZ20" s="14">
        <f>31-AY20</f>
        <v/>
      </c>
      <c r="BA20" s="5">
        <f>IF(AX20&gt;0, "01-İstirahat", IF(AZ20&gt;0, "12-Birden Fazla", ""))</f>
        <v/>
      </c>
      <c r="BB20" s="10" t="n">
        <v>3</v>
      </c>
      <c r="BC20" s="8" t="n">
        <v>0</v>
      </c>
      <c r="BD20" s="9" t="n">
        <v>10.5</v>
      </c>
      <c r="BE20" s="7">
        <f>(L20/30)*AU20</f>
        <v/>
      </c>
      <c r="BF20" s="15">
        <f>(L20/225)*((BB20*1.5)-(BC20*1.0))</f>
        <v/>
      </c>
      <c r="BG20" s="16">
        <f>(L20/225)*1.5*BD20</f>
        <v/>
      </c>
      <c r="BH20" s="15">
        <f>BF20+BG20</f>
        <v/>
      </c>
      <c r="BI20" s="17">
        <f>BE20+BH20</f>
        <v/>
      </c>
      <c r="BJ20" s="7">
        <f>IFERROR(VLOOKUP(B20, Resmi_Bordro_SGK!B:M, 11, FALSE), 0)</f>
        <v/>
      </c>
      <c r="BK20" s="18">
        <f>IFERROR(VLOOKUP(B20, Icra_Takip!A:E, 4, FALSE), 0)</f>
        <v/>
      </c>
      <c r="BL20" s="17">
        <f>IF(BI20&gt;BJ20, BI20-BJ20-BK20, 0)</f>
        <v/>
      </c>
      <c r="BM20" s="17">
        <f>BI20-BK20</f>
        <v/>
      </c>
    </row>
    <row r="21" ht="19" customHeight="1">
      <c r="A21" s="4" t="n">
        <v>18</v>
      </c>
      <c r="B21" s="5" t="inlineStr">
        <is>
          <t>13183506030</t>
        </is>
      </c>
      <c r="C21" s="6" t="inlineStr">
        <is>
          <t>ALİ EŞREF AKIN</t>
        </is>
      </c>
      <c r="D21" s="4" t="inlineStr">
        <is>
          <t>E</t>
        </is>
      </c>
      <c r="E21" s="4" t="inlineStr"/>
      <c r="F21" s="4" t="inlineStr">
        <is>
          <t>29.06.2026</t>
        </is>
      </c>
      <c r="G21" s="4" t="inlineStr"/>
      <c r="H21" s="4" t="inlineStr">
        <is>
          <t>NORMAL</t>
        </is>
      </c>
      <c r="I21" s="4" t="inlineStr">
        <is>
          <t>MEVSİMLİK</t>
        </is>
      </c>
      <c r="J21" s="6" t="inlineStr">
        <is>
          <t>ÜRETİM</t>
        </is>
      </c>
      <c r="K21" s="6" t="inlineStr">
        <is>
          <t>KARACABEY-HALİL</t>
        </is>
      </c>
      <c r="L21" s="7" t="n">
        <v>28075.5</v>
      </c>
      <c r="M21" s="4" t="inlineStr">
        <is>
          <t>FİDE KONSERVE</t>
        </is>
      </c>
      <c r="N21" s="4" t="inlineStr">
        <is>
          <t>ALIR</t>
        </is>
      </c>
      <c r="O21" s="19" t="n">
        <v>10.5</v>
      </c>
      <c r="P21" s="19" t="n">
        <v>0</v>
      </c>
      <c r="Q21" s="19" t="n">
        <v>7.5</v>
      </c>
      <c r="R21" s="9" t="n">
        <v>0</v>
      </c>
      <c r="S21" s="19" t="n">
        <v>10.5</v>
      </c>
      <c r="T21" s="19" t="n">
        <v>10.5</v>
      </c>
      <c r="U21" s="19" t="n">
        <v>0</v>
      </c>
      <c r="V21" s="19" t="n">
        <v>0</v>
      </c>
      <c r="W21" s="19" t="n">
        <v>10.5</v>
      </c>
      <c r="X21" s="19" t="n">
        <v>10.5</v>
      </c>
      <c r="Y21" s="9" t="n">
        <v>0</v>
      </c>
      <c r="Z21" s="19" t="n">
        <v>10.5</v>
      </c>
      <c r="AA21" s="19" t="n">
        <v>0</v>
      </c>
      <c r="AB21" s="19" t="n">
        <v>10.5</v>
      </c>
      <c r="AC21" s="19" t="n">
        <v>10.5</v>
      </c>
      <c r="AD21" s="19" t="n">
        <v>0</v>
      </c>
      <c r="AE21" s="19" t="n">
        <v>10.5</v>
      </c>
      <c r="AF21" s="9" t="n">
        <v>0</v>
      </c>
      <c r="AG21" s="19" t="n">
        <v>10.5</v>
      </c>
      <c r="AH21" s="19" t="n">
        <v>0</v>
      </c>
      <c r="AI21" s="19" t="n">
        <v>7.5</v>
      </c>
      <c r="AJ21" s="19" t="n">
        <v>0</v>
      </c>
      <c r="AK21" s="19" t="n">
        <v>0</v>
      </c>
      <c r="AL21" s="19" t="n">
        <v>0</v>
      </c>
      <c r="AM21" s="9" t="n">
        <v>0</v>
      </c>
      <c r="AN21" s="19" t="n">
        <v>0</v>
      </c>
      <c r="AO21" s="19" t="n">
        <v>0</v>
      </c>
      <c r="AP21" s="19" t="n">
        <v>0</v>
      </c>
      <c r="AQ21" s="19" t="n">
        <v>0</v>
      </c>
      <c r="AR21" s="19" t="n">
        <v>0</v>
      </c>
      <c r="AS21" s="19" t="n">
        <v>0</v>
      </c>
      <c r="AT21" s="10">
        <f>SUM(O21:AS21)</f>
        <v/>
      </c>
      <c r="AU21" s="20">
        <f>COUNTIF(O21:AS21, "&gt;0")</f>
        <v/>
      </c>
      <c r="AV21" s="12">
        <f>IF(AU21&gt;=5, 4, IF(AU21&gt;0, INT(AU21/6), 0))</f>
        <v/>
      </c>
      <c r="AW21" s="20" t="n">
        <v>0</v>
      </c>
      <c r="AX21" s="20" t="n">
        <v>0</v>
      </c>
      <c r="AY21" s="13">
        <f>MIN(31, AU21+AV21+AW21+AX21)</f>
        <v/>
      </c>
      <c r="AZ21" s="14">
        <f>31-AY21</f>
        <v/>
      </c>
      <c r="BA21" s="21">
        <f>IF(AX21&gt;0, "01-İstirahat", IF(AZ21&gt;0, "12-Birden Fazla", ""))</f>
        <v/>
      </c>
      <c r="BB21" s="10" t="n">
        <v>30</v>
      </c>
      <c r="BC21" s="19" t="n">
        <v>0</v>
      </c>
      <c r="BD21" s="9" t="n">
        <v>0</v>
      </c>
      <c r="BE21" s="22">
        <f>(L21/30)*AU21</f>
        <v/>
      </c>
      <c r="BF21" s="15">
        <f>(L21/225)*((BB21*1.5)-(BC21*1.0))</f>
        <v/>
      </c>
      <c r="BG21" s="16">
        <f>(L21/225)*1.5*BD21</f>
        <v/>
      </c>
      <c r="BH21" s="15">
        <f>BF21+BG21</f>
        <v/>
      </c>
      <c r="BI21" s="17">
        <f>BE21+BH21</f>
        <v/>
      </c>
      <c r="BJ21" s="22">
        <f>IFERROR(VLOOKUP(B21, Resmi_Bordro_SGK!B:M, 11, FALSE), 0)</f>
        <v/>
      </c>
      <c r="BK21" s="18">
        <f>IFERROR(VLOOKUP(B21, Icra_Takip!A:E, 4, FALSE), 0)</f>
        <v/>
      </c>
      <c r="BL21" s="17">
        <f>IF(BI21&gt;BJ21, BI21-BJ21-BK21, 0)</f>
        <v/>
      </c>
      <c r="BM21" s="17">
        <f>BI21-BK21</f>
        <v/>
      </c>
    </row>
    <row r="22" ht="19" customHeight="1">
      <c r="A22" s="4" t="n">
        <v>19</v>
      </c>
      <c r="B22" s="5" t="inlineStr">
        <is>
          <t>18394573482</t>
        </is>
      </c>
      <c r="C22" s="6" t="inlineStr">
        <is>
          <t>ANIL DEMİRTAŞ</t>
        </is>
      </c>
      <c r="D22" s="4" t="inlineStr">
        <is>
          <t>E</t>
        </is>
      </c>
      <c r="E22" s="4" t="inlineStr"/>
      <c r="F22" s="4" t="inlineStr">
        <is>
          <t>10.02.2026</t>
        </is>
      </c>
      <c r="G22" s="4" t="inlineStr"/>
      <c r="H22" s="4" t="inlineStr">
        <is>
          <t>NORMAL</t>
        </is>
      </c>
      <c r="I22" s="4" t="inlineStr">
        <is>
          <t>DAİMİ</t>
        </is>
      </c>
      <c r="J22" s="6" t="inlineStr">
        <is>
          <t>KONSERVE ÜRETİM ELEMANI</t>
        </is>
      </c>
      <c r="K22" s="6" t="inlineStr">
        <is>
          <t>GÖBEL</t>
        </is>
      </c>
      <c r="L22" s="7" t="n">
        <v>28075.5</v>
      </c>
      <c r="M22" s="4" t="inlineStr">
        <is>
          <t>FİDE KONSERVE</t>
        </is>
      </c>
      <c r="N22" s="4" t="inlineStr">
        <is>
          <t>ALIR</t>
        </is>
      </c>
      <c r="O22" s="8" t="n">
        <v>7.5</v>
      </c>
      <c r="P22" s="8" t="n">
        <v>10.5</v>
      </c>
      <c r="Q22" s="8" t="n">
        <v>3.5</v>
      </c>
      <c r="R22" s="9" t="n">
        <v>7.5</v>
      </c>
      <c r="S22" s="8" t="n">
        <v>7.5</v>
      </c>
      <c r="T22" s="8" t="n">
        <v>7.5</v>
      </c>
      <c r="U22" s="8" t="n">
        <v>7.5</v>
      </c>
      <c r="V22" s="8" t="n">
        <v>7.5</v>
      </c>
      <c r="W22" s="8" t="n">
        <v>7.5</v>
      </c>
      <c r="X22" s="8" t="n">
        <v>0</v>
      </c>
      <c r="Y22" s="9" t="n">
        <v>12.5</v>
      </c>
      <c r="Z22" s="8" t="n">
        <v>7.5</v>
      </c>
      <c r="AA22" s="8" t="n">
        <v>7.5</v>
      </c>
      <c r="AB22" s="8" t="n">
        <v>7.5</v>
      </c>
      <c r="AC22" s="23" t="n">
        <v>7.5</v>
      </c>
      <c r="AD22" s="8" t="n">
        <v>7</v>
      </c>
      <c r="AE22" s="8" t="n">
        <v>0</v>
      </c>
      <c r="AF22" s="9" t="n">
        <v>9</v>
      </c>
      <c r="AG22" s="8" t="n">
        <v>7.5</v>
      </c>
      <c r="AH22" s="8" t="n">
        <v>7.5</v>
      </c>
      <c r="AI22" s="23" t="n">
        <v>7.5</v>
      </c>
      <c r="AJ22" s="8" t="n">
        <v>0</v>
      </c>
      <c r="AK22" s="8" t="n">
        <v>0</v>
      </c>
      <c r="AL22" s="8" t="n">
        <v>0</v>
      </c>
      <c r="AM22" s="9" t="n">
        <v>0</v>
      </c>
      <c r="AN22" s="8" t="n">
        <v>0</v>
      </c>
      <c r="AO22" s="8" t="n">
        <v>0</v>
      </c>
      <c r="AP22" s="8" t="n">
        <v>0</v>
      </c>
      <c r="AQ22" s="8" t="n">
        <v>0</v>
      </c>
      <c r="AR22" s="8" t="n">
        <v>0</v>
      </c>
      <c r="AS22" s="8" t="n">
        <v>0</v>
      </c>
      <c r="AT22" s="10">
        <f>SUM(O22:AS22)</f>
        <v/>
      </c>
      <c r="AU22" s="11">
        <f>COUNTIF(O22:AS22, "&gt;0")</f>
        <v/>
      </c>
      <c r="AV22" s="12">
        <f>IF(AU22&gt;=5, 4, IF(AU22&gt;0, INT(AU22/6), 0))</f>
        <v/>
      </c>
      <c r="AW22" s="11" t="n">
        <v>0</v>
      </c>
      <c r="AX22" s="11" t="n">
        <v>0</v>
      </c>
      <c r="AY22" s="13">
        <f>MIN(31, AU22+AV22+AW22+AX22)</f>
        <v/>
      </c>
      <c r="AZ22" s="14">
        <f>31-AY22</f>
        <v/>
      </c>
      <c r="BA22" s="5">
        <f>IF(AX22&gt;0, "01-İstirahat", IF(AZ22&gt;0, "12-Birden Fazla", ""))</f>
        <v/>
      </c>
      <c r="BB22" s="10" t="n">
        <v>3</v>
      </c>
      <c r="BC22" s="23" t="n">
        <v>4.5</v>
      </c>
      <c r="BD22" s="9" t="n">
        <v>29</v>
      </c>
      <c r="BE22" s="7">
        <f>(L22/30)*AU22</f>
        <v/>
      </c>
      <c r="BF22" s="15">
        <f>(L22/225)*((BB22*1.5)-(BC22*1.0))</f>
        <v/>
      </c>
      <c r="BG22" s="16">
        <f>(L22/225)*1.5*BD22</f>
        <v/>
      </c>
      <c r="BH22" s="15">
        <f>BF22+BG22</f>
        <v/>
      </c>
      <c r="BI22" s="17">
        <f>BE22+BH22</f>
        <v/>
      </c>
      <c r="BJ22" s="7">
        <f>IFERROR(VLOOKUP(B22, Resmi_Bordro_SGK!B:M, 11, FALSE), 0)</f>
        <v/>
      </c>
      <c r="BK22" s="18">
        <f>IFERROR(VLOOKUP(B22, Icra_Takip!A:E, 4, FALSE), 0)</f>
        <v/>
      </c>
      <c r="BL22" s="17">
        <f>IF(BI22&gt;BJ22, BI22-BJ22-BK22, 0)</f>
        <v/>
      </c>
      <c r="BM22" s="17">
        <f>BI22-BK22</f>
        <v/>
      </c>
    </row>
    <row r="23" ht="19" customHeight="1">
      <c r="A23" s="4" t="n">
        <v>20</v>
      </c>
      <c r="B23" s="5" t="inlineStr">
        <is>
          <t>10933965062</t>
        </is>
      </c>
      <c r="C23" s="6" t="inlineStr">
        <is>
          <t>ALPEREN YAĞMUR</t>
        </is>
      </c>
      <c r="D23" s="4" t="inlineStr">
        <is>
          <t>E</t>
        </is>
      </c>
      <c r="E23" s="4" t="inlineStr"/>
      <c r="F23" s="4" t="inlineStr">
        <is>
          <t>12.08.2026</t>
        </is>
      </c>
      <c r="G23" s="4" t="inlineStr"/>
      <c r="H23" s="4" t="inlineStr">
        <is>
          <t>NORMAL</t>
        </is>
      </c>
      <c r="I23" s="4" t="inlineStr">
        <is>
          <t>MEVSİMLİK</t>
        </is>
      </c>
      <c r="J23" s="6" t="inlineStr">
        <is>
          <t>ÜRETİM</t>
        </is>
      </c>
      <c r="K23" s="6" t="inlineStr">
        <is>
          <t>KARACABEY-HALİL</t>
        </is>
      </c>
      <c r="L23" s="7" t="n">
        <v>28075.5</v>
      </c>
      <c r="M23" s="4" t="inlineStr">
        <is>
          <t>FİDE KONSERVE</t>
        </is>
      </c>
      <c r="N23" s="4" t="inlineStr">
        <is>
          <t>ALIR</t>
        </is>
      </c>
      <c r="O23" s="19" t="n">
        <v>0</v>
      </c>
      <c r="P23" s="19" t="n">
        <v>0</v>
      </c>
      <c r="Q23" s="19" t="n">
        <v>0</v>
      </c>
      <c r="R23" s="9" t="n">
        <v>0</v>
      </c>
      <c r="S23" s="19" t="n">
        <v>0</v>
      </c>
      <c r="T23" s="19" t="n">
        <v>0</v>
      </c>
      <c r="U23" s="19" t="n">
        <v>0</v>
      </c>
      <c r="V23" s="19" t="n">
        <v>0</v>
      </c>
      <c r="W23" s="19" t="n">
        <v>0</v>
      </c>
      <c r="X23" s="19" t="n">
        <v>0</v>
      </c>
      <c r="Y23" s="9" t="n">
        <v>0</v>
      </c>
      <c r="Z23" s="19" t="n">
        <v>0</v>
      </c>
      <c r="AA23" s="19" t="n">
        <v>0</v>
      </c>
      <c r="AB23" s="19" t="n">
        <v>0</v>
      </c>
      <c r="AC23" s="19" t="n">
        <v>0</v>
      </c>
      <c r="AD23" s="19" t="n">
        <v>0</v>
      </c>
      <c r="AE23" s="19" t="n">
        <v>0</v>
      </c>
      <c r="AF23" s="9" t="n">
        <v>0</v>
      </c>
      <c r="AG23" s="19" t="n">
        <v>0</v>
      </c>
      <c r="AH23" s="19" t="n">
        <v>0</v>
      </c>
      <c r="AI23" s="19" t="n">
        <v>0</v>
      </c>
      <c r="AJ23" s="19" t="n">
        <v>0</v>
      </c>
      <c r="AK23" s="19" t="n">
        <v>0</v>
      </c>
      <c r="AL23" s="19" t="n">
        <v>0</v>
      </c>
      <c r="AM23" s="9" t="n">
        <v>0</v>
      </c>
      <c r="AN23" s="19" t="n">
        <v>0</v>
      </c>
      <c r="AO23" s="19" t="n">
        <v>0</v>
      </c>
      <c r="AP23" s="19" t="n">
        <v>0</v>
      </c>
      <c r="AQ23" s="19" t="n">
        <v>0</v>
      </c>
      <c r="AR23" s="19" t="n">
        <v>0</v>
      </c>
      <c r="AS23" s="19" t="n">
        <v>0</v>
      </c>
      <c r="AT23" s="10">
        <f>SUM(O23:AS23)</f>
        <v/>
      </c>
      <c r="AU23" s="20">
        <f>COUNTIF(O23:AS23, "&gt;0")</f>
        <v/>
      </c>
      <c r="AV23" s="12">
        <f>IF(AU23&gt;=5, 4, IF(AU23&gt;0, INT(AU23/6), 0))</f>
        <v/>
      </c>
      <c r="AW23" s="20" t="n">
        <v>0</v>
      </c>
      <c r="AX23" s="20" t="n">
        <v>0</v>
      </c>
      <c r="AY23" s="13">
        <f>MIN(31, AU23+AV23+AW23+AX23)</f>
        <v/>
      </c>
      <c r="AZ23" s="14">
        <f>31-AY23</f>
        <v/>
      </c>
      <c r="BA23" s="21">
        <f>IF(AX23&gt;0, "01-İstirahat", IF(AZ23&gt;0, "12-Birden Fazla", ""))</f>
        <v/>
      </c>
      <c r="BB23" s="10" t="n">
        <v>0</v>
      </c>
      <c r="BC23" s="19" t="n">
        <v>0</v>
      </c>
      <c r="BD23" s="9" t="n">
        <v>0</v>
      </c>
      <c r="BE23" s="22">
        <f>(L23/30)*AU23</f>
        <v/>
      </c>
      <c r="BF23" s="15">
        <f>(L23/225)*((BB23*1.5)-(BC23*1.0))</f>
        <v/>
      </c>
      <c r="BG23" s="16">
        <f>(L23/225)*1.5*BD23</f>
        <v/>
      </c>
      <c r="BH23" s="15">
        <f>BF23+BG23</f>
        <v/>
      </c>
      <c r="BI23" s="17">
        <f>BE23+BH23</f>
        <v/>
      </c>
      <c r="BJ23" s="22">
        <f>IFERROR(VLOOKUP(B23, Resmi_Bordro_SGK!B:M, 11, FALSE), 0)</f>
        <v/>
      </c>
      <c r="BK23" s="18">
        <f>IFERROR(VLOOKUP(B23, Icra_Takip!A:E, 4, FALSE), 0)</f>
        <v/>
      </c>
      <c r="BL23" s="17">
        <f>IF(BI23&gt;BJ23, BI23-BJ23-BK23, 0)</f>
        <v/>
      </c>
      <c r="BM23" s="17">
        <f>BI23-BK23</f>
        <v/>
      </c>
    </row>
    <row r="24" ht="19" customHeight="1">
      <c r="A24" s="4" t="n">
        <v>21</v>
      </c>
      <c r="B24" s="5" t="inlineStr">
        <is>
          <t>99320980932</t>
        </is>
      </c>
      <c r="C24" s="6" t="inlineStr">
        <is>
          <t>ANUD ELMEAŞİ</t>
        </is>
      </c>
      <c r="D24" s="4" t="inlineStr">
        <is>
          <t>K</t>
        </is>
      </c>
      <c r="E24" s="4" t="inlineStr"/>
      <c r="F24" s="4" t="inlineStr">
        <is>
          <t>18.04.2026</t>
        </is>
      </c>
      <c r="G24" s="4" t="inlineStr"/>
      <c r="H24" s="4" t="inlineStr">
        <is>
          <t>NORMAL</t>
        </is>
      </c>
      <c r="I24" s="4" t="inlineStr">
        <is>
          <t>MEVSİMLİK</t>
        </is>
      </c>
      <c r="J24" s="6" t="inlineStr">
        <is>
          <t>BALIK TEMİZLEME</t>
        </is>
      </c>
      <c r="K24" s="6" t="inlineStr">
        <is>
          <t>GÜVEN TURİZM KARACABEY</t>
        </is>
      </c>
      <c r="L24" s="7" t="n">
        <v>33000</v>
      </c>
      <c r="M24" s="4" t="inlineStr">
        <is>
          <t>FİDE KONSERVE</t>
        </is>
      </c>
      <c r="N24" s="4" t="inlineStr">
        <is>
          <t>ALIR</t>
        </is>
      </c>
      <c r="O24" s="8" t="n">
        <v>8</v>
      </c>
      <c r="P24" s="8" t="n">
        <v>0</v>
      </c>
      <c r="Q24" s="8" t="n">
        <v>8</v>
      </c>
      <c r="R24" s="9" t="n">
        <v>0</v>
      </c>
      <c r="S24" s="8" t="n">
        <v>7.5</v>
      </c>
      <c r="T24" s="8" t="n">
        <v>8</v>
      </c>
      <c r="U24" s="8" t="n">
        <v>0</v>
      </c>
      <c r="V24" s="8" t="n">
        <v>8</v>
      </c>
      <c r="W24" s="8" t="n">
        <v>8.5</v>
      </c>
      <c r="X24" s="8" t="n">
        <v>0</v>
      </c>
      <c r="Y24" s="9" t="n">
        <v>0</v>
      </c>
      <c r="Z24" s="8" t="n">
        <v>7.5</v>
      </c>
      <c r="AA24" s="8" t="n">
        <v>7.5</v>
      </c>
      <c r="AB24" s="8" t="n">
        <v>0</v>
      </c>
      <c r="AC24" s="8" t="n">
        <v>0</v>
      </c>
      <c r="AD24" s="8" t="n">
        <v>0</v>
      </c>
      <c r="AE24" s="8" t="n">
        <v>8.5</v>
      </c>
      <c r="AF24" s="9" t="n">
        <v>0</v>
      </c>
      <c r="AG24" s="8" t="n">
        <v>8.5</v>
      </c>
      <c r="AH24" s="8" t="n">
        <v>7.5</v>
      </c>
      <c r="AI24" s="8" t="n">
        <v>0</v>
      </c>
      <c r="AJ24" s="8" t="n">
        <v>0</v>
      </c>
      <c r="AK24" s="8" t="n">
        <v>0</v>
      </c>
      <c r="AL24" s="8" t="n">
        <v>0</v>
      </c>
      <c r="AM24" s="9" t="n">
        <v>0</v>
      </c>
      <c r="AN24" s="8" t="n">
        <v>0</v>
      </c>
      <c r="AO24" s="8" t="n">
        <v>0</v>
      </c>
      <c r="AP24" s="8" t="n">
        <v>0</v>
      </c>
      <c r="AQ24" s="8" t="n">
        <v>0</v>
      </c>
      <c r="AR24" s="8" t="n">
        <v>0</v>
      </c>
      <c r="AS24" s="8" t="n">
        <v>0</v>
      </c>
      <c r="AT24" s="10">
        <f>SUM(O24:AS24)</f>
        <v/>
      </c>
      <c r="AU24" s="11">
        <f>COUNTIF(O24:AS24, "&gt;0")</f>
        <v/>
      </c>
      <c r="AV24" s="12">
        <f>IF(AU24&gt;=5, 4, IF(AU24&gt;0, INT(AU24/6), 0))</f>
        <v/>
      </c>
      <c r="AW24" s="11" t="n">
        <v>0</v>
      </c>
      <c r="AX24" s="11" t="n">
        <v>0</v>
      </c>
      <c r="AY24" s="13">
        <f>MIN(31, AU24+AV24+AW24+AX24)</f>
        <v/>
      </c>
      <c r="AZ24" s="14">
        <f>31-AY24</f>
        <v/>
      </c>
      <c r="BA24" s="5">
        <f>IF(AX24&gt;0, "01-İstirahat", IF(AZ24&gt;0, "12-Birden Fazla", ""))</f>
        <v/>
      </c>
      <c r="BB24" s="10" t="n">
        <v>5</v>
      </c>
      <c r="BC24" s="8" t="n">
        <v>0</v>
      </c>
      <c r="BD24" s="9" t="n">
        <v>0</v>
      </c>
      <c r="BE24" s="7">
        <f>(L24/30)*AU24</f>
        <v/>
      </c>
      <c r="BF24" s="15">
        <f>(L24/225)*((BB24*1.5)-(BC24*1.0))</f>
        <v/>
      </c>
      <c r="BG24" s="16">
        <f>(L24/225)*1.5*BD24</f>
        <v/>
      </c>
      <c r="BH24" s="15">
        <f>BF24+BG24</f>
        <v/>
      </c>
      <c r="BI24" s="17">
        <f>BE24+BH24</f>
        <v/>
      </c>
      <c r="BJ24" s="7">
        <f>IFERROR(VLOOKUP(B24, Resmi_Bordro_SGK!B:M, 11, FALSE), 0)</f>
        <v/>
      </c>
      <c r="BK24" s="18">
        <f>IFERROR(VLOOKUP(B24, Icra_Takip!A:E, 4, FALSE), 0)</f>
        <v/>
      </c>
      <c r="BL24" s="17">
        <f>IF(BI24&gt;BJ24, BI24-BJ24-BK24, 0)</f>
        <v/>
      </c>
      <c r="BM24" s="17">
        <f>BI24-BK24</f>
        <v/>
      </c>
    </row>
    <row r="25" ht="19" customHeight="1">
      <c r="A25" s="4" t="n">
        <v>22</v>
      </c>
      <c r="B25" s="5" t="inlineStr">
        <is>
          <t>10474939782</t>
        </is>
      </c>
      <c r="C25" s="6" t="inlineStr">
        <is>
          <t>ARDA EKİCİ</t>
        </is>
      </c>
      <c r="D25" s="4" t="inlineStr">
        <is>
          <t>E</t>
        </is>
      </c>
      <c r="E25" s="4" t="inlineStr"/>
      <c r="F25" s="4" t="inlineStr">
        <is>
          <t>15.07.2026</t>
        </is>
      </c>
      <c r="G25" s="4" t="inlineStr"/>
      <c r="H25" s="4" t="inlineStr">
        <is>
          <t>NORMAL</t>
        </is>
      </c>
      <c r="I25" s="4" t="inlineStr">
        <is>
          <t>MEVSİMLİK</t>
        </is>
      </c>
      <c r="J25" s="6" t="inlineStr">
        <is>
          <t>ÜRETİM</t>
        </is>
      </c>
      <c r="K25" s="6" t="inlineStr">
        <is>
          <t>KARACABEY-HALİL</t>
        </is>
      </c>
      <c r="L25" s="7" t="n">
        <v>28075.5</v>
      </c>
      <c r="M25" s="4" t="inlineStr">
        <is>
          <t>FİDE KONSERVE</t>
        </is>
      </c>
      <c r="N25" s="4" t="inlineStr">
        <is>
          <t>ALIR</t>
        </is>
      </c>
      <c r="O25" s="19" t="n">
        <v>0</v>
      </c>
      <c r="P25" s="19" t="n">
        <v>0</v>
      </c>
      <c r="Q25" s="19" t="n">
        <v>0</v>
      </c>
      <c r="R25" s="9" t="n">
        <v>0</v>
      </c>
      <c r="S25" s="19" t="n">
        <v>0</v>
      </c>
      <c r="T25" s="19" t="n">
        <v>0</v>
      </c>
      <c r="U25" s="19" t="n">
        <v>0</v>
      </c>
      <c r="V25" s="19" t="n">
        <v>0</v>
      </c>
      <c r="W25" s="19" t="n">
        <v>0</v>
      </c>
      <c r="X25" s="19" t="n">
        <v>0</v>
      </c>
      <c r="Y25" s="9" t="n">
        <v>0</v>
      </c>
      <c r="Z25" s="19" t="n">
        <v>0</v>
      </c>
      <c r="AA25" s="19" t="n">
        <v>0</v>
      </c>
      <c r="AB25" s="19" t="n">
        <v>0</v>
      </c>
      <c r="AC25" s="19" t="n">
        <v>0</v>
      </c>
      <c r="AD25" s="19" t="n">
        <v>0</v>
      </c>
      <c r="AE25" s="19" t="n">
        <v>0</v>
      </c>
      <c r="AF25" s="9" t="n">
        <v>0</v>
      </c>
      <c r="AG25" s="19" t="n">
        <v>0</v>
      </c>
      <c r="AH25" s="19" t="n">
        <v>0</v>
      </c>
      <c r="AI25" s="19" t="n">
        <v>0</v>
      </c>
      <c r="AJ25" s="19" t="n">
        <v>0</v>
      </c>
      <c r="AK25" s="19" t="n">
        <v>0</v>
      </c>
      <c r="AL25" s="19" t="n">
        <v>0</v>
      </c>
      <c r="AM25" s="9" t="n">
        <v>0</v>
      </c>
      <c r="AN25" s="19" t="n">
        <v>0</v>
      </c>
      <c r="AO25" s="19" t="n">
        <v>0</v>
      </c>
      <c r="AP25" s="19" t="n">
        <v>0</v>
      </c>
      <c r="AQ25" s="19" t="n">
        <v>0</v>
      </c>
      <c r="AR25" s="19" t="n">
        <v>0</v>
      </c>
      <c r="AS25" s="19" t="n">
        <v>0</v>
      </c>
      <c r="AT25" s="10">
        <f>SUM(O25:AS25)</f>
        <v/>
      </c>
      <c r="AU25" s="20">
        <f>COUNTIF(O25:AS25, "&gt;0")</f>
        <v/>
      </c>
      <c r="AV25" s="12">
        <f>IF(AU25&gt;=5, 4, IF(AU25&gt;0, INT(AU25/6), 0))</f>
        <v/>
      </c>
      <c r="AW25" s="20" t="n">
        <v>0</v>
      </c>
      <c r="AX25" s="20" t="n">
        <v>0</v>
      </c>
      <c r="AY25" s="13">
        <f>MIN(31, AU25+AV25+AW25+AX25)</f>
        <v/>
      </c>
      <c r="AZ25" s="14">
        <f>31-AY25</f>
        <v/>
      </c>
      <c r="BA25" s="21">
        <f>IF(AX25&gt;0, "01-İstirahat", IF(AZ25&gt;0, "12-Birden Fazla", ""))</f>
        <v/>
      </c>
      <c r="BB25" s="10" t="n">
        <v>0</v>
      </c>
      <c r="BC25" s="19" t="n">
        <v>0</v>
      </c>
      <c r="BD25" s="9" t="n">
        <v>0</v>
      </c>
      <c r="BE25" s="22">
        <f>(L25/30)*AU25</f>
        <v/>
      </c>
      <c r="BF25" s="15">
        <f>(L25/225)*((BB25*1.5)-(BC25*1.0))</f>
        <v/>
      </c>
      <c r="BG25" s="16">
        <f>(L25/225)*1.5*BD25</f>
        <v/>
      </c>
      <c r="BH25" s="15">
        <f>BF25+BG25</f>
        <v/>
      </c>
      <c r="BI25" s="17">
        <f>BE25+BH25</f>
        <v/>
      </c>
      <c r="BJ25" s="22">
        <f>IFERROR(VLOOKUP(B25, Resmi_Bordro_SGK!B:M, 11, FALSE), 0)</f>
        <v/>
      </c>
      <c r="BK25" s="18">
        <f>IFERROR(VLOOKUP(B25, Icra_Takip!A:E, 4, FALSE), 0)</f>
        <v/>
      </c>
      <c r="BL25" s="17">
        <f>IF(BI25&gt;BJ25, BI25-BJ25-BK25, 0)</f>
        <v/>
      </c>
      <c r="BM25" s="17">
        <f>BI25-BK25</f>
        <v/>
      </c>
    </row>
    <row r="26" ht="19" customHeight="1">
      <c r="A26" s="4" t="n">
        <v>23</v>
      </c>
      <c r="B26" s="5" t="inlineStr">
        <is>
          <t>28336192374</t>
        </is>
      </c>
      <c r="C26" s="6" t="inlineStr">
        <is>
          <t>ARZU KILA</t>
        </is>
      </c>
      <c r="D26" s="4" t="inlineStr">
        <is>
          <t>K</t>
        </is>
      </c>
      <c r="E26" s="4" t="inlineStr"/>
      <c r="F26" s="4" t="inlineStr">
        <is>
          <t>17.06.2025</t>
        </is>
      </c>
      <c r="G26" s="4" t="inlineStr"/>
      <c r="H26" s="4" t="inlineStr">
        <is>
          <t>NORMAL</t>
        </is>
      </c>
      <c r="I26" s="4" t="inlineStr">
        <is>
          <t>MEVSİMLİK</t>
        </is>
      </c>
      <c r="J26" s="6" t="inlineStr">
        <is>
          <t>AMBAR</t>
        </is>
      </c>
      <c r="K26" s="6" t="inlineStr">
        <is>
          <t>BİGADİÇ</t>
        </is>
      </c>
      <c r="L26" s="7" t="n">
        <v>28075.5</v>
      </c>
      <c r="M26" s="4" t="inlineStr">
        <is>
          <t>FİDE KONSERVE</t>
        </is>
      </c>
      <c r="N26" s="4" t="inlineStr">
        <is>
          <t>ALIR</t>
        </is>
      </c>
      <c r="O26" s="8" t="n">
        <v>7.5</v>
      </c>
      <c r="P26" s="8" t="n">
        <v>7.5</v>
      </c>
      <c r="Q26" s="8" t="n">
        <v>7.5</v>
      </c>
      <c r="R26" s="9" t="n">
        <v>0</v>
      </c>
      <c r="S26" s="8" t="n">
        <v>7.5</v>
      </c>
      <c r="T26" s="8" t="n">
        <v>7.5</v>
      </c>
      <c r="U26" s="8" t="n">
        <v>7.5</v>
      </c>
      <c r="V26" s="8" t="n">
        <v>7.5</v>
      </c>
      <c r="W26" s="8" t="n">
        <v>0</v>
      </c>
      <c r="X26" s="8" t="n">
        <v>7.5</v>
      </c>
      <c r="Y26" s="9" t="n">
        <v>0</v>
      </c>
      <c r="Z26" s="8" t="n">
        <v>8.5</v>
      </c>
      <c r="AA26" s="8" t="n">
        <v>7.5</v>
      </c>
      <c r="AB26" s="8" t="n">
        <v>7.5</v>
      </c>
      <c r="AC26" s="8" t="n">
        <v>7.5</v>
      </c>
      <c r="AD26" s="8" t="n">
        <v>7.5</v>
      </c>
      <c r="AE26" s="8" t="n">
        <v>0</v>
      </c>
      <c r="AF26" s="9" t="n">
        <v>7.5</v>
      </c>
      <c r="AG26" s="8" t="n">
        <v>7.5</v>
      </c>
      <c r="AH26" s="8" t="n">
        <v>7.5</v>
      </c>
      <c r="AI26" s="8" t="n">
        <v>7.5</v>
      </c>
      <c r="AJ26" s="8" t="n">
        <v>0</v>
      </c>
      <c r="AK26" s="8" t="n">
        <v>0</v>
      </c>
      <c r="AL26" s="8" t="n">
        <v>0</v>
      </c>
      <c r="AM26" s="9" t="n">
        <v>0</v>
      </c>
      <c r="AN26" s="8" t="n">
        <v>0</v>
      </c>
      <c r="AO26" s="8" t="n">
        <v>0</v>
      </c>
      <c r="AP26" s="8" t="n">
        <v>0</v>
      </c>
      <c r="AQ26" s="8" t="n">
        <v>0</v>
      </c>
      <c r="AR26" s="8" t="n">
        <v>0</v>
      </c>
      <c r="AS26" s="8" t="n">
        <v>0</v>
      </c>
      <c r="AT26" s="10">
        <f>SUM(O26:AS26)</f>
        <v/>
      </c>
      <c r="AU26" s="11">
        <f>COUNTIF(O26:AS26, "&gt;0")</f>
        <v/>
      </c>
      <c r="AV26" s="12">
        <f>IF(AU26&gt;=5, 4, IF(AU26&gt;0, INT(AU26/6), 0))</f>
        <v/>
      </c>
      <c r="AW26" s="11" t="n">
        <v>0</v>
      </c>
      <c r="AX26" s="11" t="n">
        <v>0</v>
      </c>
      <c r="AY26" s="13">
        <f>MIN(31, AU26+AV26+AW26+AX26)</f>
        <v/>
      </c>
      <c r="AZ26" s="14">
        <f>31-AY26</f>
        <v/>
      </c>
      <c r="BA26" s="5">
        <f>IF(AX26&gt;0, "01-İstirahat", IF(AZ26&gt;0, "12-Birden Fazla", ""))</f>
        <v/>
      </c>
      <c r="BB26" s="10" t="n">
        <v>1</v>
      </c>
      <c r="BC26" s="8" t="n">
        <v>0</v>
      </c>
      <c r="BD26" s="9" t="n">
        <v>7.5</v>
      </c>
      <c r="BE26" s="7">
        <f>(L26/30)*AU26</f>
        <v/>
      </c>
      <c r="BF26" s="15">
        <f>(L26/225)*((BB26*1.5)-(BC26*1.0))</f>
        <v/>
      </c>
      <c r="BG26" s="16">
        <f>(L26/225)*1.5*BD26</f>
        <v/>
      </c>
      <c r="BH26" s="15">
        <f>BF26+BG26</f>
        <v/>
      </c>
      <c r="BI26" s="17">
        <f>BE26+BH26</f>
        <v/>
      </c>
      <c r="BJ26" s="7">
        <f>IFERROR(VLOOKUP(B26, Resmi_Bordro_SGK!B:M, 11, FALSE), 0)</f>
        <v/>
      </c>
      <c r="BK26" s="18">
        <f>IFERROR(VLOOKUP(B26, Icra_Takip!A:E, 4, FALSE), 0)</f>
        <v/>
      </c>
      <c r="BL26" s="17">
        <f>IF(BI26&gt;BJ26, BI26-BJ26-BK26, 0)</f>
        <v/>
      </c>
      <c r="BM26" s="17">
        <f>BI26-BK26</f>
        <v/>
      </c>
    </row>
    <row r="27" ht="19" customHeight="1">
      <c r="A27" s="4" t="n">
        <v>24</v>
      </c>
      <c r="B27" s="5" t="inlineStr">
        <is>
          <t>28033351500</t>
        </is>
      </c>
      <c r="C27" s="6" t="inlineStr">
        <is>
          <t>ARZU ÖZTÜRK</t>
        </is>
      </c>
      <c r="D27" s="4" t="inlineStr">
        <is>
          <t>K</t>
        </is>
      </c>
      <c r="E27" s="4" t="inlineStr"/>
      <c r="F27" s="4" t="inlineStr">
        <is>
          <t>18.08.2026</t>
        </is>
      </c>
      <c r="G27" s="4" t="inlineStr"/>
      <c r="H27" s="4" t="inlineStr">
        <is>
          <t>NORMAL</t>
        </is>
      </c>
      <c r="I27" s="4" t="inlineStr">
        <is>
          <t>MEVSİMLİK</t>
        </is>
      </c>
      <c r="J27" s="6" t="inlineStr">
        <is>
          <t>BALIK TEMİZLEME</t>
        </is>
      </c>
      <c r="K27" s="6" t="inlineStr">
        <is>
          <t>GÜVEN TURİZM MKP</t>
        </is>
      </c>
      <c r="L27" s="7" t="n">
        <v>33000</v>
      </c>
      <c r="M27" s="4" t="inlineStr">
        <is>
          <t>FİDE KONSERVE</t>
        </is>
      </c>
      <c r="N27" s="4" t="inlineStr">
        <is>
          <t>ALIR</t>
        </is>
      </c>
      <c r="O27" s="19" t="n">
        <v>0</v>
      </c>
      <c r="P27" s="19" t="n">
        <v>8.5</v>
      </c>
      <c r="Q27" s="19" t="n">
        <v>8</v>
      </c>
      <c r="R27" s="9" t="n">
        <v>0</v>
      </c>
      <c r="S27" s="19" t="n">
        <v>7.5</v>
      </c>
      <c r="T27" s="19" t="n">
        <v>8.5</v>
      </c>
      <c r="U27" s="19" t="n">
        <v>8</v>
      </c>
      <c r="V27" s="19" t="n">
        <v>8</v>
      </c>
      <c r="W27" s="19" t="n">
        <v>8.5</v>
      </c>
      <c r="X27" s="19" t="n">
        <v>10.5</v>
      </c>
      <c r="Y27" s="9" t="n">
        <v>0</v>
      </c>
      <c r="Z27" s="19" t="n">
        <v>7.5</v>
      </c>
      <c r="AA27" s="19" t="n">
        <v>7.5</v>
      </c>
      <c r="AB27" s="19" t="n">
        <v>8.5</v>
      </c>
      <c r="AC27" s="19" t="n">
        <v>7.5</v>
      </c>
      <c r="AD27" s="19" t="n">
        <v>8</v>
      </c>
      <c r="AE27" s="19" t="n">
        <v>8.5</v>
      </c>
      <c r="AF27" s="9" t="n">
        <v>0</v>
      </c>
      <c r="AG27" s="19" t="n">
        <v>8.5</v>
      </c>
      <c r="AH27" s="19" t="n">
        <v>7.5</v>
      </c>
      <c r="AI27" s="19" t="n">
        <v>7.5</v>
      </c>
      <c r="AJ27" s="19" t="n">
        <v>0</v>
      </c>
      <c r="AK27" s="19" t="n">
        <v>0</v>
      </c>
      <c r="AL27" s="19" t="n">
        <v>0</v>
      </c>
      <c r="AM27" s="9" t="n">
        <v>0</v>
      </c>
      <c r="AN27" s="19" t="n">
        <v>0</v>
      </c>
      <c r="AO27" s="19" t="n">
        <v>0</v>
      </c>
      <c r="AP27" s="19" t="n">
        <v>0</v>
      </c>
      <c r="AQ27" s="19" t="n">
        <v>0</v>
      </c>
      <c r="AR27" s="19" t="n">
        <v>0</v>
      </c>
      <c r="AS27" s="19" t="n">
        <v>0</v>
      </c>
      <c r="AT27" s="10">
        <f>SUM(O27:AS27)</f>
        <v/>
      </c>
      <c r="AU27" s="20">
        <f>COUNTIF(O27:AS27, "&gt;0")</f>
        <v/>
      </c>
      <c r="AV27" s="12">
        <f>IF(AU27&gt;=5, 4, IF(AU27&gt;0, INT(AU27/6), 0))</f>
        <v/>
      </c>
      <c r="AW27" s="20" t="n">
        <v>0</v>
      </c>
      <c r="AX27" s="20" t="n">
        <v>0</v>
      </c>
      <c r="AY27" s="13">
        <f>MIN(31, AU27+AV27+AW27+AX27)</f>
        <v/>
      </c>
      <c r="AZ27" s="14">
        <f>31-AY27</f>
        <v/>
      </c>
      <c r="BA27" s="21">
        <f>IF(AX27&gt;0, "01-İstirahat", IF(AZ27&gt;0, "12-Birden Fazla", ""))</f>
        <v/>
      </c>
      <c r="BB27" s="10" t="n">
        <v>11</v>
      </c>
      <c r="BC27" s="19" t="n">
        <v>0</v>
      </c>
      <c r="BD27" s="9" t="n">
        <v>0</v>
      </c>
      <c r="BE27" s="22">
        <f>(L27/30)*AU27</f>
        <v/>
      </c>
      <c r="BF27" s="15">
        <f>(L27/225)*((BB27*1.5)-(BC27*1.0))</f>
        <v/>
      </c>
      <c r="BG27" s="16">
        <f>(L27/225)*1.5*BD27</f>
        <v/>
      </c>
      <c r="BH27" s="15">
        <f>BF27+BG27</f>
        <v/>
      </c>
      <c r="BI27" s="17">
        <f>BE27+BH27</f>
        <v/>
      </c>
      <c r="BJ27" s="22">
        <f>IFERROR(VLOOKUP(B27, Resmi_Bordro_SGK!B:M, 11, FALSE), 0)</f>
        <v/>
      </c>
      <c r="BK27" s="18">
        <f>IFERROR(VLOOKUP(B27, Icra_Takip!A:E, 4, FALSE), 0)</f>
        <v/>
      </c>
      <c r="BL27" s="17">
        <f>IF(BI27&gt;BJ27, BI27-BJ27-BK27, 0)</f>
        <v/>
      </c>
      <c r="BM27" s="17">
        <f>BI27-BK27</f>
        <v/>
      </c>
    </row>
    <row r="28" ht="19" customHeight="1">
      <c r="A28" s="4" t="n">
        <v>25</v>
      </c>
      <c r="B28" s="5" t="inlineStr">
        <is>
          <t>24709461474</t>
        </is>
      </c>
      <c r="C28" s="6" t="inlineStr">
        <is>
          <t>ASLI BAYRAKTAR</t>
        </is>
      </c>
      <c r="D28" s="4" t="inlineStr">
        <is>
          <t>K</t>
        </is>
      </c>
      <c r="E28" s="4" t="inlineStr"/>
      <c r="F28" s="4" t="inlineStr">
        <is>
          <t>05.05.2026</t>
        </is>
      </c>
      <c r="G28" s="4" t="inlineStr"/>
      <c r="H28" s="4" t="inlineStr">
        <is>
          <t>NORMAL</t>
        </is>
      </c>
      <c r="I28" s="4" t="inlineStr">
        <is>
          <t>MEVSİMLİK</t>
        </is>
      </c>
      <c r="J28" s="6" t="inlineStr">
        <is>
          <t>BALIK DOLUM</t>
        </is>
      </c>
      <c r="K28" s="6" t="inlineStr">
        <is>
          <t>GÜVEN TURİZM KARACABEY</t>
        </is>
      </c>
      <c r="L28" s="7" t="n">
        <v>33000</v>
      </c>
      <c r="M28" s="4" t="inlineStr">
        <is>
          <t>FİDE KONSERVE</t>
        </is>
      </c>
      <c r="N28" s="4" t="inlineStr">
        <is>
          <t>ALIR</t>
        </is>
      </c>
      <c r="O28" s="8" t="n">
        <v>8</v>
      </c>
      <c r="P28" s="8" t="n">
        <v>8.5</v>
      </c>
      <c r="Q28" s="8" t="n">
        <v>8</v>
      </c>
      <c r="R28" s="9" t="n">
        <v>0</v>
      </c>
      <c r="S28" s="8" t="n">
        <v>7.5</v>
      </c>
      <c r="T28" s="8" t="n">
        <v>8.5</v>
      </c>
      <c r="U28" s="8" t="n">
        <v>8</v>
      </c>
      <c r="V28" s="8" t="n">
        <v>8</v>
      </c>
      <c r="W28" s="8" t="n">
        <v>0</v>
      </c>
      <c r="X28" s="8" t="n">
        <v>15.5</v>
      </c>
      <c r="Y28" s="9" t="n">
        <v>0</v>
      </c>
      <c r="Z28" s="8" t="n">
        <v>7.5</v>
      </c>
      <c r="AA28" s="8" t="n">
        <v>7.5</v>
      </c>
      <c r="AB28" s="8" t="n">
        <v>0</v>
      </c>
      <c r="AC28" s="8" t="n">
        <v>7.5</v>
      </c>
      <c r="AD28" s="8" t="n">
        <v>7.5</v>
      </c>
      <c r="AE28" s="8" t="n">
        <v>8.5</v>
      </c>
      <c r="AF28" s="9" t="n">
        <v>0</v>
      </c>
      <c r="AG28" s="8" t="n">
        <v>8.5</v>
      </c>
      <c r="AH28" s="8" t="n">
        <v>7.5</v>
      </c>
      <c r="AI28" s="8" t="n">
        <v>7.5</v>
      </c>
      <c r="AJ28" s="8" t="n">
        <v>0</v>
      </c>
      <c r="AK28" s="8" t="n">
        <v>0</v>
      </c>
      <c r="AL28" s="8" t="n">
        <v>0</v>
      </c>
      <c r="AM28" s="9" t="n">
        <v>0</v>
      </c>
      <c r="AN28" s="8" t="n">
        <v>0</v>
      </c>
      <c r="AO28" s="8" t="n">
        <v>0</v>
      </c>
      <c r="AP28" s="8" t="n">
        <v>0</v>
      </c>
      <c r="AQ28" s="8" t="n">
        <v>0</v>
      </c>
      <c r="AR28" s="8" t="n">
        <v>0</v>
      </c>
      <c r="AS28" s="8" t="n">
        <v>0</v>
      </c>
      <c r="AT28" s="10">
        <f>SUM(O28:AS28)</f>
        <v/>
      </c>
      <c r="AU28" s="11">
        <f>COUNTIF(O28:AS28, "&gt;0")</f>
        <v/>
      </c>
      <c r="AV28" s="12">
        <f>IF(AU28&gt;=5, 4, IF(AU28&gt;0, INT(AU28/6), 0))</f>
        <v/>
      </c>
      <c r="AW28" s="11" t="n">
        <v>0</v>
      </c>
      <c r="AX28" s="11" t="n">
        <v>0</v>
      </c>
      <c r="AY28" s="13">
        <f>MIN(31, AU28+AV28+AW28+AX28)</f>
        <v/>
      </c>
      <c r="AZ28" s="14">
        <f>31-AY28</f>
        <v/>
      </c>
      <c r="BA28" s="5">
        <f>IF(AX28&gt;0, "01-İstirahat", IF(AZ28&gt;0, "12-Birden Fazla", ""))</f>
        <v/>
      </c>
      <c r="BB28" s="10" t="n">
        <v>14</v>
      </c>
      <c r="BC28" s="8" t="n">
        <v>0</v>
      </c>
      <c r="BD28" s="9" t="n">
        <v>0</v>
      </c>
      <c r="BE28" s="7">
        <f>(L28/30)*AU28</f>
        <v/>
      </c>
      <c r="BF28" s="15">
        <f>(L28/225)*((BB28*1.5)-(BC28*1.0))</f>
        <v/>
      </c>
      <c r="BG28" s="16">
        <f>(L28/225)*1.5*BD28</f>
        <v/>
      </c>
      <c r="BH28" s="15">
        <f>BF28+BG28</f>
        <v/>
      </c>
      <c r="BI28" s="17">
        <f>BE28+BH28</f>
        <v/>
      </c>
      <c r="BJ28" s="7">
        <f>IFERROR(VLOOKUP(B28, Resmi_Bordro_SGK!B:M, 11, FALSE), 0)</f>
        <v/>
      </c>
      <c r="BK28" s="18">
        <f>IFERROR(VLOOKUP(B28, Icra_Takip!A:E, 4, FALSE), 0)</f>
        <v/>
      </c>
      <c r="BL28" s="17">
        <f>IF(BI28&gt;BJ28, BI28-BJ28-BK28, 0)</f>
        <v/>
      </c>
      <c r="BM28" s="17">
        <f>BI28-BK28</f>
        <v/>
      </c>
    </row>
    <row r="29" ht="19" customHeight="1">
      <c r="A29" s="4" t="n">
        <v>26</v>
      </c>
      <c r="B29" s="5" t="inlineStr">
        <is>
          <t>15449909326</t>
        </is>
      </c>
      <c r="C29" s="6" t="inlineStr">
        <is>
          <t>ASLI SOLAK</t>
        </is>
      </c>
      <c r="D29" s="4" t="inlineStr">
        <is>
          <t>K</t>
        </is>
      </c>
      <c r="E29" s="4" t="inlineStr"/>
      <c r="F29" s="4" t="inlineStr">
        <is>
          <t>06.08.2026</t>
        </is>
      </c>
      <c r="G29" s="4" t="inlineStr"/>
      <c r="H29" s="4" t="inlineStr">
        <is>
          <t>NORMAL</t>
        </is>
      </c>
      <c r="I29" s="4" t="inlineStr">
        <is>
          <t>MEVSİMLİK</t>
        </is>
      </c>
      <c r="J29" s="6" t="inlineStr">
        <is>
          <t>ÜRETİM</t>
        </is>
      </c>
      <c r="K29" s="6" t="inlineStr">
        <is>
          <t>KARACABEY-HALİL</t>
        </is>
      </c>
      <c r="L29" s="7" t="n">
        <v>28075.5</v>
      </c>
      <c r="M29" s="4" t="inlineStr">
        <is>
          <t>FİDE KONSERVE</t>
        </is>
      </c>
      <c r="N29" s="4" t="inlineStr">
        <is>
          <t>ALIR</t>
        </is>
      </c>
      <c r="O29" s="19" t="n">
        <v>0</v>
      </c>
      <c r="P29" s="19" t="n">
        <v>0</v>
      </c>
      <c r="Q29" s="19" t="n">
        <v>0</v>
      </c>
      <c r="R29" s="9" t="n">
        <v>0</v>
      </c>
      <c r="S29" s="19" t="n">
        <v>0</v>
      </c>
      <c r="T29" s="19" t="n">
        <v>0</v>
      </c>
      <c r="U29" s="19" t="n">
        <v>0</v>
      </c>
      <c r="V29" s="19" t="n">
        <v>0</v>
      </c>
      <c r="W29" s="19" t="n">
        <v>0</v>
      </c>
      <c r="X29" s="19" t="n">
        <v>0</v>
      </c>
      <c r="Y29" s="9" t="n">
        <v>0</v>
      </c>
      <c r="Z29" s="19" t="n">
        <v>0</v>
      </c>
      <c r="AA29" s="19" t="n">
        <v>0</v>
      </c>
      <c r="AB29" s="19" t="n">
        <v>0</v>
      </c>
      <c r="AC29" s="19" t="n">
        <v>0</v>
      </c>
      <c r="AD29" s="19" t="n">
        <v>0</v>
      </c>
      <c r="AE29" s="19" t="n">
        <v>0</v>
      </c>
      <c r="AF29" s="9" t="n">
        <v>0</v>
      </c>
      <c r="AG29" s="19" t="n">
        <v>0</v>
      </c>
      <c r="AH29" s="19" t="n">
        <v>0</v>
      </c>
      <c r="AI29" s="19" t="n">
        <v>0</v>
      </c>
      <c r="AJ29" s="19" t="n">
        <v>0</v>
      </c>
      <c r="AK29" s="19" t="n">
        <v>0</v>
      </c>
      <c r="AL29" s="19" t="n">
        <v>0</v>
      </c>
      <c r="AM29" s="9" t="n">
        <v>0</v>
      </c>
      <c r="AN29" s="19" t="n">
        <v>0</v>
      </c>
      <c r="AO29" s="19" t="n">
        <v>0</v>
      </c>
      <c r="AP29" s="19" t="n">
        <v>0</v>
      </c>
      <c r="AQ29" s="19" t="n">
        <v>0</v>
      </c>
      <c r="AR29" s="19" t="n">
        <v>0</v>
      </c>
      <c r="AS29" s="19" t="n">
        <v>0</v>
      </c>
      <c r="AT29" s="10">
        <f>SUM(O29:AS29)</f>
        <v/>
      </c>
      <c r="AU29" s="20">
        <f>COUNTIF(O29:AS29, "&gt;0")</f>
        <v/>
      </c>
      <c r="AV29" s="12">
        <f>IF(AU29&gt;=5, 4, IF(AU29&gt;0, INT(AU29/6), 0))</f>
        <v/>
      </c>
      <c r="AW29" s="20" t="n">
        <v>0</v>
      </c>
      <c r="AX29" s="20" t="n">
        <v>0</v>
      </c>
      <c r="AY29" s="13">
        <f>MIN(31, AU29+AV29+AW29+AX29)</f>
        <v/>
      </c>
      <c r="AZ29" s="14">
        <f>31-AY29</f>
        <v/>
      </c>
      <c r="BA29" s="21">
        <f>IF(AX29&gt;0, "01-İstirahat", IF(AZ29&gt;0, "12-Birden Fazla", ""))</f>
        <v/>
      </c>
      <c r="BB29" s="10" t="n">
        <v>0</v>
      </c>
      <c r="BC29" s="19" t="n">
        <v>0</v>
      </c>
      <c r="BD29" s="9" t="n">
        <v>0</v>
      </c>
      <c r="BE29" s="22">
        <f>(L29/30)*AU29</f>
        <v/>
      </c>
      <c r="BF29" s="15">
        <f>(L29/225)*((BB29*1.5)-(BC29*1.0))</f>
        <v/>
      </c>
      <c r="BG29" s="16">
        <f>(L29/225)*1.5*BD29</f>
        <v/>
      </c>
      <c r="BH29" s="15">
        <f>BF29+BG29</f>
        <v/>
      </c>
      <c r="BI29" s="17">
        <f>BE29+BH29</f>
        <v/>
      </c>
      <c r="BJ29" s="22">
        <f>IFERROR(VLOOKUP(B29, Resmi_Bordro_SGK!B:M, 11, FALSE), 0)</f>
        <v/>
      </c>
      <c r="BK29" s="18">
        <f>IFERROR(VLOOKUP(B29, Icra_Takip!A:E, 4, FALSE), 0)</f>
        <v/>
      </c>
      <c r="BL29" s="17">
        <f>IF(BI29&gt;BJ29, BI29-BJ29-BK29, 0)</f>
        <v/>
      </c>
      <c r="BM29" s="17">
        <f>BI29-BK29</f>
        <v/>
      </c>
    </row>
    <row r="30" ht="19" customHeight="1">
      <c r="A30" s="4" t="n">
        <v>27</v>
      </c>
      <c r="B30" s="5" t="inlineStr">
        <is>
          <t>37001200856</t>
        </is>
      </c>
      <c r="C30" s="6" t="inlineStr">
        <is>
          <t>AYGÜL DOĞAN</t>
        </is>
      </c>
      <c r="D30" s="4" t="inlineStr">
        <is>
          <t>K</t>
        </is>
      </c>
      <c r="E30" s="4" t="inlineStr"/>
      <c r="F30" s="4" t="inlineStr">
        <is>
          <t>30.06.2026</t>
        </is>
      </c>
      <c r="G30" s="4" t="inlineStr"/>
      <c r="H30" s="4" t="inlineStr">
        <is>
          <t>NORMAL</t>
        </is>
      </c>
      <c r="I30" s="4" t="inlineStr">
        <is>
          <t>MEVSİMLİK</t>
        </is>
      </c>
      <c r="J30" s="6" t="inlineStr">
        <is>
          <t>ÜRETİM</t>
        </is>
      </c>
      <c r="K30" s="6" t="inlineStr">
        <is>
          <t>SEVGİ</t>
        </is>
      </c>
      <c r="L30" s="7" t="n">
        <v>28075.5</v>
      </c>
      <c r="M30" s="4" t="inlineStr">
        <is>
          <t>FİDE KONSERVE</t>
        </is>
      </c>
      <c r="N30" s="4" t="inlineStr">
        <is>
          <t>ALIR</t>
        </is>
      </c>
      <c r="O30" s="8" t="n">
        <v>0</v>
      </c>
      <c r="P30" s="8" t="n">
        <v>0</v>
      </c>
      <c r="Q30" s="8" t="n">
        <v>0</v>
      </c>
      <c r="R30" s="9" t="n">
        <v>0</v>
      </c>
      <c r="S30" s="8" t="n">
        <v>0</v>
      </c>
      <c r="T30" s="8" t="n">
        <v>0</v>
      </c>
      <c r="U30" s="8" t="n">
        <v>0</v>
      </c>
      <c r="V30" s="8" t="n">
        <v>0</v>
      </c>
      <c r="W30" s="8" t="n">
        <v>0</v>
      </c>
      <c r="X30" s="8" t="n">
        <v>0</v>
      </c>
      <c r="Y30" s="9" t="n">
        <v>0</v>
      </c>
      <c r="Z30" s="8" t="n">
        <v>0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9" t="n">
        <v>0</v>
      </c>
      <c r="AG30" s="8" t="n">
        <v>0</v>
      </c>
      <c r="AH30" s="8" t="n">
        <v>0</v>
      </c>
      <c r="AI30" s="8" t="n">
        <v>0</v>
      </c>
      <c r="AJ30" s="8" t="n">
        <v>0</v>
      </c>
      <c r="AK30" s="8" t="n">
        <v>0</v>
      </c>
      <c r="AL30" s="8" t="n">
        <v>0</v>
      </c>
      <c r="AM30" s="9" t="n">
        <v>0</v>
      </c>
      <c r="AN30" s="8" t="n">
        <v>0</v>
      </c>
      <c r="AO30" s="8" t="n">
        <v>0</v>
      </c>
      <c r="AP30" s="8" t="n">
        <v>0</v>
      </c>
      <c r="AQ30" s="8" t="n">
        <v>0</v>
      </c>
      <c r="AR30" s="8" t="n">
        <v>0</v>
      </c>
      <c r="AS30" s="8" t="n">
        <v>0</v>
      </c>
      <c r="AT30" s="10">
        <f>SUM(O30:AS30)</f>
        <v/>
      </c>
      <c r="AU30" s="11">
        <f>COUNTIF(O30:AS30, "&gt;0")</f>
        <v/>
      </c>
      <c r="AV30" s="12">
        <f>IF(AU30&gt;=5, 4, IF(AU30&gt;0, INT(AU30/6), 0))</f>
        <v/>
      </c>
      <c r="AW30" s="11" t="n">
        <v>0</v>
      </c>
      <c r="AX30" s="11" t="n">
        <v>0</v>
      </c>
      <c r="AY30" s="13">
        <f>MIN(31, AU30+AV30+AW30+AX30)</f>
        <v/>
      </c>
      <c r="AZ30" s="14">
        <f>31-AY30</f>
        <v/>
      </c>
      <c r="BA30" s="5">
        <f>IF(AX30&gt;0, "01-İstirahat", IF(AZ30&gt;0, "12-Birden Fazla", ""))</f>
        <v/>
      </c>
      <c r="BB30" s="10" t="n">
        <v>0</v>
      </c>
      <c r="BC30" s="8" t="n">
        <v>0</v>
      </c>
      <c r="BD30" s="9" t="n">
        <v>0</v>
      </c>
      <c r="BE30" s="7">
        <f>(L30/30)*AU30</f>
        <v/>
      </c>
      <c r="BF30" s="15">
        <f>(L30/225)*((BB30*1.5)-(BC30*1.0))</f>
        <v/>
      </c>
      <c r="BG30" s="16">
        <f>(L30/225)*1.5*BD30</f>
        <v/>
      </c>
      <c r="BH30" s="15">
        <f>BF30+BG30</f>
        <v/>
      </c>
      <c r="BI30" s="17">
        <f>BE30+BH30</f>
        <v/>
      </c>
      <c r="BJ30" s="7">
        <f>IFERROR(VLOOKUP(B30, Resmi_Bordro_SGK!B:M, 11, FALSE), 0)</f>
        <v/>
      </c>
      <c r="BK30" s="18">
        <f>IFERROR(VLOOKUP(B30, Icra_Takip!A:E, 4, FALSE), 0)</f>
        <v/>
      </c>
      <c r="BL30" s="17">
        <f>IF(BI30&gt;BJ30, BI30-BJ30-BK30, 0)</f>
        <v/>
      </c>
      <c r="BM30" s="17">
        <f>BI30-BK30</f>
        <v/>
      </c>
    </row>
    <row r="31" ht="19" customHeight="1">
      <c r="A31" s="4" t="n">
        <v>28</v>
      </c>
      <c r="B31" s="5" t="inlineStr">
        <is>
          <t>21089727848</t>
        </is>
      </c>
      <c r="C31" s="6" t="inlineStr">
        <is>
          <t>AYSEL YILMAZ</t>
        </is>
      </c>
      <c r="D31" s="4" t="inlineStr">
        <is>
          <t>K</t>
        </is>
      </c>
      <c r="E31" s="4" t="inlineStr"/>
      <c r="F31" s="4" t="inlineStr">
        <is>
          <t>21.04.2026</t>
        </is>
      </c>
      <c r="G31" s="4" t="inlineStr"/>
      <c r="H31" s="4" t="inlineStr">
        <is>
          <t>NORMAL</t>
        </is>
      </c>
      <c r="I31" s="4" t="inlineStr">
        <is>
          <t>MEVSİMLİK</t>
        </is>
      </c>
      <c r="J31" s="6" t="inlineStr">
        <is>
          <t>BALIK TEMİZLEME</t>
        </is>
      </c>
      <c r="K31" s="6" t="inlineStr">
        <is>
          <t>KARACABEY-HALİL</t>
        </is>
      </c>
      <c r="L31" s="7" t="n">
        <v>33000</v>
      </c>
      <c r="M31" s="4" t="inlineStr">
        <is>
          <t>FİDE KONSERVE</t>
        </is>
      </c>
      <c r="N31" s="4" t="inlineStr">
        <is>
          <t>ALIR</t>
        </is>
      </c>
      <c r="O31" s="19" t="n">
        <v>0</v>
      </c>
      <c r="P31" s="19" t="n">
        <v>0</v>
      </c>
      <c r="Q31" s="19" t="n">
        <v>0</v>
      </c>
      <c r="R31" s="9" t="n">
        <v>0</v>
      </c>
      <c r="S31" s="19" t="n">
        <v>0</v>
      </c>
      <c r="T31" s="19" t="n">
        <v>0</v>
      </c>
      <c r="U31" s="19" t="n">
        <v>0</v>
      </c>
      <c r="V31" s="19" t="n">
        <v>0</v>
      </c>
      <c r="W31" s="19" t="n">
        <v>0</v>
      </c>
      <c r="X31" s="19" t="n">
        <v>0</v>
      </c>
      <c r="Y31" s="9" t="n">
        <v>0</v>
      </c>
      <c r="Z31" s="19" t="n">
        <v>0</v>
      </c>
      <c r="AA31" s="19" t="n">
        <v>0</v>
      </c>
      <c r="AB31" s="19" t="n">
        <v>0</v>
      </c>
      <c r="AC31" s="19" t="n">
        <v>0</v>
      </c>
      <c r="AD31" s="19" t="n">
        <v>0</v>
      </c>
      <c r="AE31" s="19" t="n">
        <v>0</v>
      </c>
      <c r="AF31" s="9" t="n">
        <v>0</v>
      </c>
      <c r="AG31" s="19" t="n">
        <v>0</v>
      </c>
      <c r="AH31" s="19" t="n">
        <v>0</v>
      </c>
      <c r="AI31" s="19" t="n">
        <v>0</v>
      </c>
      <c r="AJ31" s="19" t="n">
        <v>0</v>
      </c>
      <c r="AK31" s="19" t="n">
        <v>0</v>
      </c>
      <c r="AL31" s="19" t="n">
        <v>0</v>
      </c>
      <c r="AM31" s="9" t="n">
        <v>0</v>
      </c>
      <c r="AN31" s="19" t="n">
        <v>0</v>
      </c>
      <c r="AO31" s="19" t="n">
        <v>0</v>
      </c>
      <c r="AP31" s="19" t="n">
        <v>0</v>
      </c>
      <c r="AQ31" s="19" t="n">
        <v>0</v>
      </c>
      <c r="AR31" s="19" t="n">
        <v>0</v>
      </c>
      <c r="AS31" s="19" t="n">
        <v>0</v>
      </c>
      <c r="AT31" s="10">
        <f>SUM(O31:AS31)</f>
        <v/>
      </c>
      <c r="AU31" s="20">
        <f>COUNTIF(O31:AS31, "&gt;0")</f>
        <v/>
      </c>
      <c r="AV31" s="12">
        <f>IF(AU31&gt;=5, 4, IF(AU31&gt;0, INT(AU31/6), 0))</f>
        <v/>
      </c>
      <c r="AW31" s="20" t="n">
        <v>0</v>
      </c>
      <c r="AX31" s="20" t="n">
        <v>0</v>
      </c>
      <c r="AY31" s="13">
        <f>MIN(31, AU31+AV31+AW31+AX31)</f>
        <v/>
      </c>
      <c r="AZ31" s="14">
        <f>31-AY31</f>
        <v/>
      </c>
      <c r="BA31" s="21">
        <f>IF(AX31&gt;0, "01-İstirahat", IF(AZ31&gt;0, "12-Birden Fazla", ""))</f>
        <v/>
      </c>
      <c r="BB31" s="10" t="n">
        <v>0</v>
      </c>
      <c r="BC31" s="19" t="n">
        <v>0</v>
      </c>
      <c r="BD31" s="9" t="n">
        <v>0</v>
      </c>
      <c r="BE31" s="22">
        <f>(L31/30)*AU31</f>
        <v/>
      </c>
      <c r="BF31" s="15">
        <f>(L31/225)*((BB31*1.5)-(BC31*1.0))</f>
        <v/>
      </c>
      <c r="BG31" s="16">
        <f>(L31/225)*1.5*BD31</f>
        <v/>
      </c>
      <c r="BH31" s="15">
        <f>BF31+BG31</f>
        <v/>
      </c>
      <c r="BI31" s="17">
        <f>BE31+BH31</f>
        <v/>
      </c>
      <c r="BJ31" s="22">
        <f>IFERROR(VLOOKUP(B31, Resmi_Bordro_SGK!B:M, 11, FALSE), 0)</f>
        <v/>
      </c>
      <c r="BK31" s="18">
        <f>IFERROR(VLOOKUP(B31, Icra_Takip!A:E, 4, FALSE), 0)</f>
        <v/>
      </c>
      <c r="BL31" s="17">
        <f>IF(BI31&gt;BJ31, BI31-BJ31-BK31, 0)</f>
        <v/>
      </c>
      <c r="BM31" s="17">
        <f>BI31-BK31</f>
        <v/>
      </c>
    </row>
    <row r="32" ht="19" customHeight="1">
      <c r="A32" s="4" t="n">
        <v>29</v>
      </c>
      <c r="B32" s="5" t="inlineStr">
        <is>
          <t>12572550074</t>
        </is>
      </c>
      <c r="C32" s="6" t="inlineStr">
        <is>
          <t>ASYA TİLKİ</t>
        </is>
      </c>
      <c r="D32" s="4" t="inlineStr">
        <is>
          <t>K</t>
        </is>
      </c>
      <c r="E32" s="4" t="inlineStr"/>
      <c r="F32" s="4" t="inlineStr">
        <is>
          <t>10.02.2026</t>
        </is>
      </c>
      <c r="G32" s="4" t="inlineStr"/>
      <c r="H32" s="4" t="inlineStr">
        <is>
          <t>NORMAL</t>
        </is>
      </c>
      <c r="I32" s="4" t="inlineStr">
        <is>
          <t>MEVSİMLİK</t>
        </is>
      </c>
      <c r="J32" s="6" t="inlineStr">
        <is>
          <t>BALIK TEMİZLEME</t>
        </is>
      </c>
      <c r="K32" s="6" t="inlineStr">
        <is>
          <t>KARACABEY</t>
        </is>
      </c>
      <c r="L32" s="7" t="n">
        <v>33000</v>
      </c>
      <c r="M32" s="4" t="inlineStr">
        <is>
          <t>FİDE KONSERVE</t>
        </is>
      </c>
      <c r="N32" s="4" t="inlineStr">
        <is>
          <t>ALIR</t>
        </is>
      </c>
      <c r="O32" s="8" t="n">
        <v>8</v>
      </c>
      <c r="P32" s="8" t="n">
        <v>8.5</v>
      </c>
      <c r="Q32" s="8" t="n">
        <v>8</v>
      </c>
      <c r="R32" s="9" t="n">
        <v>0</v>
      </c>
      <c r="S32" s="8" t="n">
        <v>7.5</v>
      </c>
      <c r="T32" s="8" t="n">
        <v>8</v>
      </c>
      <c r="U32" s="8" t="n">
        <v>8</v>
      </c>
      <c r="V32" s="8" t="n">
        <v>8</v>
      </c>
      <c r="W32" s="8" t="n">
        <v>8.5</v>
      </c>
      <c r="X32" s="8" t="n">
        <v>8.5</v>
      </c>
      <c r="Y32" s="9" t="n">
        <v>0</v>
      </c>
      <c r="Z32" s="8" t="n">
        <v>7.5</v>
      </c>
      <c r="AA32" s="8" t="n">
        <v>7.5</v>
      </c>
      <c r="AB32" s="8" t="n">
        <v>8.5</v>
      </c>
      <c r="AC32" s="8" t="n">
        <v>7.5</v>
      </c>
      <c r="AD32" s="8" t="n">
        <v>7.5</v>
      </c>
      <c r="AE32" s="8" t="n">
        <v>8.5</v>
      </c>
      <c r="AF32" s="9" t="n">
        <v>0</v>
      </c>
      <c r="AG32" s="8" t="n">
        <v>8.5</v>
      </c>
      <c r="AH32" s="8" t="n">
        <v>7.5</v>
      </c>
      <c r="AI32" s="8" t="n">
        <v>7.5</v>
      </c>
      <c r="AJ32" s="8" t="n">
        <v>0</v>
      </c>
      <c r="AK32" s="8" t="n">
        <v>0</v>
      </c>
      <c r="AL32" s="8" t="n">
        <v>0</v>
      </c>
      <c r="AM32" s="9" t="n">
        <v>0</v>
      </c>
      <c r="AN32" s="8" t="n">
        <v>0</v>
      </c>
      <c r="AO32" s="8" t="n">
        <v>0</v>
      </c>
      <c r="AP32" s="8" t="n">
        <v>0</v>
      </c>
      <c r="AQ32" s="8" t="n">
        <v>0</v>
      </c>
      <c r="AR32" s="8" t="n">
        <v>0</v>
      </c>
      <c r="AS32" s="8" t="n">
        <v>0</v>
      </c>
      <c r="AT32" s="10">
        <f>SUM(O32:AS32)</f>
        <v/>
      </c>
      <c r="AU32" s="11">
        <f>COUNTIF(O32:AS32, "&gt;0")</f>
        <v/>
      </c>
      <c r="AV32" s="12">
        <f>IF(AU32&gt;=5, 4, IF(AU32&gt;0, INT(AU32/6), 0))</f>
        <v/>
      </c>
      <c r="AW32" s="11" t="n">
        <v>0</v>
      </c>
      <c r="AX32" s="11" t="n">
        <v>0</v>
      </c>
      <c r="AY32" s="13">
        <f>MIN(31, AU32+AV32+AW32+AX32)</f>
        <v/>
      </c>
      <c r="AZ32" s="14">
        <f>31-AY32</f>
        <v/>
      </c>
      <c r="BA32" s="5">
        <f>IF(AX32&gt;0, "01-İstirahat", IF(AZ32&gt;0, "12-Birden Fazla", ""))</f>
        <v/>
      </c>
      <c r="BB32" s="10" t="n">
        <v>8.5</v>
      </c>
      <c r="BC32" s="8" t="n">
        <v>0</v>
      </c>
      <c r="BD32" s="9" t="n">
        <v>0</v>
      </c>
      <c r="BE32" s="7">
        <f>(L32/30)*AU32</f>
        <v/>
      </c>
      <c r="BF32" s="15">
        <f>(L32/225)*((BB32*1.5)-(BC32*1.0))</f>
        <v/>
      </c>
      <c r="BG32" s="16">
        <f>(L32/225)*1.5*BD32</f>
        <v/>
      </c>
      <c r="BH32" s="15">
        <f>BF32+BG32</f>
        <v/>
      </c>
      <c r="BI32" s="17">
        <f>BE32+BH32</f>
        <v/>
      </c>
      <c r="BJ32" s="7">
        <f>IFERROR(VLOOKUP(B32, Resmi_Bordro_SGK!B:M, 11, FALSE), 0)</f>
        <v/>
      </c>
      <c r="BK32" s="18">
        <f>IFERROR(VLOOKUP(B32, Icra_Takip!A:E, 4, FALSE), 0)</f>
        <v/>
      </c>
      <c r="BL32" s="17">
        <f>IF(BI32&gt;BJ32, BI32-BJ32-BK32, 0)</f>
        <v/>
      </c>
      <c r="BM32" s="17">
        <f>BI32-BK32</f>
        <v/>
      </c>
    </row>
    <row r="33" ht="19" customHeight="1">
      <c r="A33" s="4" t="n">
        <v>30</v>
      </c>
      <c r="B33" s="5" t="inlineStr"/>
      <c r="C33" s="6" t="inlineStr">
        <is>
          <t>ATAKAN KAVRAM</t>
        </is>
      </c>
      <c r="D33" s="4" t="inlineStr"/>
      <c r="E33" s="4" t="inlineStr"/>
      <c r="F33" s="4" t="inlineStr"/>
      <c r="G33" s="4" t="inlineStr"/>
      <c r="H33" s="4" t="inlineStr">
        <is>
          <t>NORMAL</t>
        </is>
      </c>
      <c r="I33" s="4" t="inlineStr">
        <is>
          <t>MEVSİMLİK</t>
        </is>
      </c>
      <c r="J33" s="6" t="inlineStr"/>
      <c r="K33" s="6" t="inlineStr"/>
      <c r="L33" s="7" t="n">
        <v>28075.5</v>
      </c>
      <c r="M33" s="4" t="inlineStr">
        <is>
          <t>FİDE KONSERVE</t>
        </is>
      </c>
      <c r="N33" s="4" t="inlineStr">
        <is>
          <t>ALIR</t>
        </is>
      </c>
      <c r="O33" s="19" t="n">
        <v>0</v>
      </c>
      <c r="P33" s="19" t="n">
        <v>0</v>
      </c>
      <c r="Q33" s="19" t="n">
        <v>0</v>
      </c>
      <c r="R33" s="9" t="n">
        <v>0</v>
      </c>
      <c r="S33" s="19" t="n">
        <v>0</v>
      </c>
      <c r="T33" s="19" t="n">
        <v>0</v>
      </c>
      <c r="U33" s="19" t="n">
        <v>0</v>
      </c>
      <c r="V33" s="19" t="n">
        <v>0</v>
      </c>
      <c r="W33" s="19" t="n">
        <v>0</v>
      </c>
      <c r="X33" s="19" t="n">
        <v>0</v>
      </c>
      <c r="Y33" s="9" t="n">
        <v>0</v>
      </c>
      <c r="Z33" s="19" t="n">
        <v>0</v>
      </c>
      <c r="AA33" s="19" t="n">
        <v>0</v>
      </c>
      <c r="AB33" s="19" t="n">
        <v>0</v>
      </c>
      <c r="AC33" s="19" t="n">
        <v>0</v>
      </c>
      <c r="AD33" s="19" t="n">
        <v>0</v>
      </c>
      <c r="AE33" s="19" t="n">
        <v>0</v>
      </c>
      <c r="AF33" s="9" t="n">
        <v>0</v>
      </c>
      <c r="AG33" s="19" t="n">
        <v>0</v>
      </c>
      <c r="AH33" s="19" t="n">
        <v>0</v>
      </c>
      <c r="AI33" s="19" t="n">
        <v>0</v>
      </c>
      <c r="AJ33" s="19" t="n">
        <v>0</v>
      </c>
      <c r="AK33" s="19" t="n">
        <v>0</v>
      </c>
      <c r="AL33" s="19" t="n">
        <v>0</v>
      </c>
      <c r="AM33" s="9" t="n">
        <v>0</v>
      </c>
      <c r="AN33" s="19" t="n">
        <v>0</v>
      </c>
      <c r="AO33" s="19" t="n">
        <v>0</v>
      </c>
      <c r="AP33" s="19" t="n">
        <v>0</v>
      </c>
      <c r="AQ33" s="19" t="n">
        <v>0</v>
      </c>
      <c r="AR33" s="19" t="n">
        <v>0</v>
      </c>
      <c r="AS33" s="19" t="n">
        <v>0</v>
      </c>
      <c r="AT33" s="10">
        <f>SUM(O33:AS33)</f>
        <v/>
      </c>
      <c r="AU33" s="20">
        <f>COUNTIF(O33:AS33, "&gt;0")</f>
        <v/>
      </c>
      <c r="AV33" s="12">
        <f>IF(AU33&gt;=5, 4, IF(AU33&gt;0, INT(AU33/6), 0))</f>
        <v/>
      </c>
      <c r="AW33" s="20" t="n">
        <v>0</v>
      </c>
      <c r="AX33" s="20" t="n">
        <v>0</v>
      </c>
      <c r="AY33" s="13">
        <f>MIN(31, AU33+AV33+AW33+AX33)</f>
        <v/>
      </c>
      <c r="AZ33" s="14">
        <f>31-AY33</f>
        <v/>
      </c>
      <c r="BA33" s="21">
        <f>IF(AX33&gt;0, "01-İstirahat", IF(AZ33&gt;0, "12-Birden Fazla", ""))</f>
        <v/>
      </c>
      <c r="BB33" s="10" t="n">
        <v>0</v>
      </c>
      <c r="BC33" s="19" t="n">
        <v>0</v>
      </c>
      <c r="BD33" s="9" t="n">
        <v>0</v>
      </c>
      <c r="BE33" s="22">
        <f>(L33/30)*AU33</f>
        <v/>
      </c>
      <c r="BF33" s="15">
        <f>(L33/225)*((BB33*1.5)-(BC33*1.0))</f>
        <v/>
      </c>
      <c r="BG33" s="16">
        <f>(L33/225)*1.5*BD33</f>
        <v/>
      </c>
      <c r="BH33" s="15">
        <f>BF33+BG33</f>
        <v/>
      </c>
      <c r="BI33" s="17">
        <f>BE33+BH33</f>
        <v/>
      </c>
      <c r="BJ33" s="22">
        <f>IFERROR(VLOOKUP(B33, Resmi_Bordro_SGK!B:M, 11, FALSE), 0)</f>
        <v/>
      </c>
      <c r="BK33" s="18">
        <f>IFERROR(VLOOKUP(B33, Icra_Takip!A:E, 4, FALSE), 0)</f>
        <v/>
      </c>
      <c r="BL33" s="17">
        <f>IF(BI33&gt;BJ33, BI33-BJ33-BK33, 0)</f>
        <v/>
      </c>
      <c r="BM33" s="17">
        <f>BI33-BK33</f>
        <v/>
      </c>
    </row>
    <row r="34" ht="19" customHeight="1">
      <c r="A34" s="4" t="n">
        <v>31</v>
      </c>
      <c r="B34" s="5" t="inlineStr"/>
      <c r="C34" s="6" t="inlineStr">
        <is>
          <t>ATAKAN KILIÇ</t>
        </is>
      </c>
      <c r="D34" s="4" t="inlineStr"/>
      <c r="E34" s="4" t="inlineStr"/>
      <c r="F34" s="4" t="inlineStr"/>
      <c r="G34" s="4" t="inlineStr"/>
      <c r="H34" s="4" t="inlineStr">
        <is>
          <t>NORMAL</t>
        </is>
      </c>
      <c r="I34" s="4" t="inlineStr">
        <is>
          <t>MEVSİMLİK</t>
        </is>
      </c>
      <c r="J34" s="6" t="inlineStr"/>
      <c r="K34" s="6" t="inlineStr"/>
      <c r="L34" s="7" t="n">
        <v>28075.5</v>
      </c>
      <c r="M34" s="4" t="inlineStr">
        <is>
          <t>FİDE KONSERVE</t>
        </is>
      </c>
      <c r="N34" s="4" t="inlineStr">
        <is>
          <t>ALIR</t>
        </is>
      </c>
      <c r="O34" s="8" t="n">
        <v>0</v>
      </c>
      <c r="P34" s="8" t="n">
        <v>0</v>
      </c>
      <c r="Q34" s="8" t="n">
        <v>0</v>
      </c>
      <c r="R34" s="9" t="n">
        <v>0</v>
      </c>
      <c r="S34" s="8" t="n">
        <v>0</v>
      </c>
      <c r="T34" s="8" t="n">
        <v>0</v>
      </c>
      <c r="U34" s="8" t="n">
        <v>0</v>
      </c>
      <c r="V34" s="8" t="n">
        <v>0</v>
      </c>
      <c r="W34" s="8" t="n">
        <v>0</v>
      </c>
      <c r="X34" s="8" t="n">
        <v>0</v>
      </c>
      <c r="Y34" s="9" t="n">
        <v>0</v>
      </c>
      <c r="Z34" s="8" t="n">
        <v>0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9" t="n">
        <v>0</v>
      </c>
      <c r="AG34" s="8" t="n">
        <v>0</v>
      </c>
      <c r="AH34" s="8" t="n">
        <v>0</v>
      </c>
      <c r="AI34" s="8" t="n">
        <v>0</v>
      </c>
      <c r="AJ34" s="8" t="n">
        <v>0</v>
      </c>
      <c r="AK34" s="8" t="n">
        <v>0</v>
      </c>
      <c r="AL34" s="8" t="n">
        <v>0</v>
      </c>
      <c r="AM34" s="9" t="n">
        <v>0</v>
      </c>
      <c r="AN34" s="8" t="n">
        <v>0</v>
      </c>
      <c r="AO34" s="8" t="n">
        <v>0</v>
      </c>
      <c r="AP34" s="8" t="n">
        <v>0</v>
      </c>
      <c r="AQ34" s="8" t="n">
        <v>0</v>
      </c>
      <c r="AR34" s="8" t="n">
        <v>0</v>
      </c>
      <c r="AS34" s="8" t="n">
        <v>0</v>
      </c>
      <c r="AT34" s="10">
        <f>SUM(O34:AS34)</f>
        <v/>
      </c>
      <c r="AU34" s="11">
        <f>COUNTIF(O34:AS34, "&gt;0")</f>
        <v/>
      </c>
      <c r="AV34" s="12">
        <f>IF(AU34&gt;=5, 4, IF(AU34&gt;0, INT(AU34/6), 0))</f>
        <v/>
      </c>
      <c r="AW34" s="11" t="n">
        <v>0</v>
      </c>
      <c r="AX34" s="11" t="n">
        <v>0</v>
      </c>
      <c r="AY34" s="13">
        <f>MIN(31, AU34+AV34+AW34+AX34)</f>
        <v/>
      </c>
      <c r="AZ34" s="14">
        <f>31-AY34</f>
        <v/>
      </c>
      <c r="BA34" s="5">
        <f>IF(AX34&gt;0, "01-İstirahat", IF(AZ34&gt;0, "12-Birden Fazla", ""))</f>
        <v/>
      </c>
      <c r="BB34" s="10" t="n">
        <v>0</v>
      </c>
      <c r="BC34" s="8" t="n">
        <v>0</v>
      </c>
      <c r="BD34" s="9" t="n">
        <v>0</v>
      </c>
      <c r="BE34" s="7">
        <f>(L34/30)*AU34</f>
        <v/>
      </c>
      <c r="BF34" s="15">
        <f>(L34/225)*((BB34*1.5)-(BC34*1.0))</f>
        <v/>
      </c>
      <c r="BG34" s="16">
        <f>(L34/225)*1.5*BD34</f>
        <v/>
      </c>
      <c r="BH34" s="15">
        <f>BF34+BG34</f>
        <v/>
      </c>
      <c r="BI34" s="17">
        <f>BE34+BH34</f>
        <v/>
      </c>
      <c r="BJ34" s="7">
        <f>IFERROR(VLOOKUP(B34, Resmi_Bordro_SGK!B:M, 11, FALSE), 0)</f>
        <v/>
      </c>
      <c r="BK34" s="18">
        <f>IFERROR(VLOOKUP(B34, Icra_Takip!A:E, 4, FALSE), 0)</f>
        <v/>
      </c>
      <c r="BL34" s="17">
        <f>IF(BI34&gt;BJ34, BI34-BJ34-BK34, 0)</f>
        <v/>
      </c>
      <c r="BM34" s="17">
        <f>BI34-BK34</f>
        <v/>
      </c>
    </row>
    <row r="35" ht="19" customHeight="1">
      <c r="A35" s="4" t="n">
        <v>32</v>
      </c>
      <c r="B35" s="5" t="inlineStr"/>
      <c r="C35" s="6" t="inlineStr">
        <is>
          <t>AYÇA KARAMAN</t>
        </is>
      </c>
      <c r="D35" s="4" t="inlineStr"/>
      <c r="E35" s="4" t="inlineStr"/>
      <c r="F35" s="4" t="inlineStr"/>
      <c r="G35" s="4" t="inlineStr"/>
      <c r="H35" s="4" t="inlineStr">
        <is>
          <t>NORMAL</t>
        </is>
      </c>
      <c r="I35" s="4" t="inlineStr">
        <is>
          <t>MEVSİMLİK</t>
        </is>
      </c>
      <c r="J35" s="6" t="inlineStr"/>
      <c r="K35" s="6" t="inlineStr"/>
      <c r="L35" s="7" t="n">
        <v>28075.5</v>
      </c>
      <c r="M35" s="4" t="inlineStr">
        <is>
          <t>FİDE KONSERVE</t>
        </is>
      </c>
      <c r="N35" s="4" t="inlineStr">
        <is>
          <t>ALIR</t>
        </is>
      </c>
      <c r="O35" s="19" t="n">
        <v>10.5</v>
      </c>
      <c r="P35" s="23" t="n">
        <v>7.5</v>
      </c>
      <c r="Q35" s="19" t="n">
        <v>10.5</v>
      </c>
      <c r="R35" s="9" t="n">
        <v>7.5</v>
      </c>
      <c r="S35" s="19" t="n">
        <v>10.5</v>
      </c>
      <c r="T35" s="19" t="n">
        <v>7.5</v>
      </c>
      <c r="U35" s="19" t="n">
        <v>0</v>
      </c>
      <c r="V35" s="19" t="n">
        <v>10.5</v>
      </c>
      <c r="W35" s="19" t="n">
        <v>7.5</v>
      </c>
      <c r="X35" s="19" t="n">
        <v>10.5</v>
      </c>
      <c r="Y35" s="9" t="n">
        <v>0</v>
      </c>
      <c r="Z35" s="19" t="n">
        <v>10.5</v>
      </c>
      <c r="AA35" s="19" t="n">
        <v>10.5</v>
      </c>
      <c r="AB35" s="19" t="n">
        <v>10.5</v>
      </c>
      <c r="AC35" s="19" t="n">
        <v>0</v>
      </c>
      <c r="AD35" s="19" t="n">
        <v>10.5</v>
      </c>
      <c r="AE35" s="19" t="n">
        <v>10.5</v>
      </c>
      <c r="AF35" s="9" t="n">
        <v>0</v>
      </c>
      <c r="AG35" s="19" t="n">
        <v>10.5</v>
      </c>
      <c r="AH35" s="19" t="n">
        <v>7.5</v>
      </c>
      <c r="AI35" s="19" t="n">
        <v>0</v>
      </c>
      <c r="AJ35" s="19" t="n">
        <v>0</v>
      </c>
      <c r="AK35" s="19" t="n">
        <v>0</v>
      </c>
      <c r="AL35" s="19" t="n">
        <v>0</v>
      </c>
      <c r="AM35" s="9" t="n">
        <v>0</v>
      </c>
      <c r="AN35" s="19" t="n">
        <v>0</v>
      </c>
      <c r="AO35" s="19" t="n">
        <v>0</v>
      </c>
      <c r="AP35" s="19" t="n">
        <v>0</v>
      </c>
      <c r="AQ35" s="19" t="n">
        <v>0</v>
      </c>
      <c r="AR35" s="19" t="n">
        <v>0</v>
      </c>
      <c r="AS35" s="19" t="n">
        <v>0</v>
      </c>
      <c r="AT35" s="10">
        <f>SUM(O35:AS35)</f>
        <v/>
      </c>
      <c r="AU35" s="20">
        <f>COUNTIF(O35:AS35, "&gt;0")</f>
        <v/>
      </c>
      <c r="AV35" s="12">
        <f>IF(AU35&gt;=5, 4, IF(AU35&gt;0, INT(AU35/6), 0))</f>
        <v/>
      </c>
      <c r="AW35" s="20" t="n">
        <v>0</v>
      </c>
      <c r="AX35" s="20" t="n">
        <v>0</v>
      </c>
      <c r="AY35" s="13">
        <f>MIN(31, AU35+AV35+AW35+AX35)</f>
        <v/>
      </c>
      <c r="AZ35" s="14">
        <f>31-AY35</f>
        <v/>
      </c>
      <c r="BA35" s="21">
        <f>IF(AX35&gt;0, "01-İstirahat", IF(AZ35&gt;0, "12-Birden Fazla", ""))</f>
        <v/>
      </c>
      <c r="BB35" s="10" t="n">
        <v>33</v>
      </c>
      <c r="BC35" s="19" t="n">
        <v>0</v>
      </c>
      <c r="BD35" s="9" t="n">
        <v>7.5</v>
      </c>
      <c r="BE35" s="22">
        <f>(L35/30)*AU35</f>
        <v/>
      </c>
      <c r="BF35" s="15">
        <f>(L35/225)*((BB35*1.5)-(BC35*1.0))</f>
        <v/>
      </c>
      <c r="BG35" s="16">
        <f>(L35/225)*1.5*BD35</f>
        <v/>
      </c>
      <c r="BH35" s="15">
        <f>BF35+BG35</f>
        <v/>
      </c>
      <c r="BI35" s="17">
        <f>BE35+BH35</f>
        <v/>
      </c>
      <c r="BJ35" s="22">
        <f>IFERROR(VLOOKUP(B35, Resmi_Bordro_SGK!B:M, 11, FALSE), 0)</f>
        <v/>
      </c>
      <c r="BK35" s="18">
        <f>IFERROR(VLOOKUP(B35, Icra_Takip!A:E, 4, FALSE), 0)</f>
        <v/>
      </c>
      <c r="BL35" s="17">
        <f>IF(BI35&gt;BJ35, BI35-BJ35-BK35, 0)</f>
        <v/>
      </c>
      <c r="BM35" s="17">
        <f>BI35-BK35</f>
        <v/>
      </c>
    </row>
    <row r="36" ht="19" customHeight="1">
      <c r="A36" s="4" t="n">
        <v>33</v>
      </c>
      <c r="B36" s="5" t="inlineStr">
        <is>
          <t>25567503092</t>
        </is>
      </c>
      <c r="C36" s="6" t="inlineStr">
        <is>
          <t>AYÇA SEZER</t>
        </is>
      </c>
      <c r="D36" s="4" t="inlineStr">
        <is>
          <t>K</t>
        </is>
      </c>
      <c r="E36" s="4" t="inlineStr"/>
      <c r="F36" s="4" t="inlineStr">
        <is>
          <t>10.02.2026</t>
        </is>
      </c>
      <c r="G36" s="4" t="inlineStr"/>
      <c r="H36" s="4" t="inlineStr">
        <is>
          <t>NORMAL</t>
        </is>
      </c>
      <c r="I36" s="4" t="inlineStr">
        <is>
          <t>DAİMİ</t>
        </is>
      </c>
      <c r="J36" s="6" t="inlineStr">
        <is>
          <t>KALİTE</t>
        </is>
      </c>
      <c r="K36" s="6" t="inlineStr">
        <is>
          <t>BANDIRMA</t>
        </is>
      </c>
      <c r="L36" s="7" t="n">
        <v>33000</v>
      </c>
      <c r="M36" s="4" t="inlineStr">
        <is>
          <t>FİDE KONSERVE</t>
        </is>
      </c>
      <c r="N36" s="4" t="inlineStr">
        <is>
          <t>ALIR</t>
        </is>
      </c>
      <c r="O36" s="8" t="n">
        <v>10</v>
      </c>
      <c r="P36" s="23" t="n">
        <v>15</v>
      </c>
      <c r="Q36" s="8" t="n">
        <v>8.5</v>
      </c>
      <c r="R36" s="9" t="n">
        <v>0</v>
      </c>
      <c r="S36" s="8" t="n">
        <v>0</v>
      </c>
      <c r="T36" s="8" t="n">
        <v>0</v>
      </c>
      <c r="U36" s="8" t="n">
        <v>0</v>
      </c>
      <c r="V36" s="8" t="n">
        <v>12.5</v>
      </c>
      <c r="W36" s="8" t="n">
        <v>8.5</v>
      </c>
      <c r="X36" s="8" t="n">
        <v>15.5</v>
      </c>
      <c r="Y36" s="9" t="n">
        <v>0</v>
      </c>
      <c r="Z36" s="8" t="n">
        <v>11.5</v>
      </c>
      <c r="AA36" s="8" t="n">
        <v>7.5</v>
      </c>
      <c r="AB36" s="8" t="n">
        <v>0</v>
      </c>
      <c r="AC36" s="8" t="n">
        <v>7.5</v>
      </c>
      <c r="AD36" s="8" t="n">
        <v>10.5</v>
      </c>
      <c r="AE36" s="8" t="n">
        <v>10.5</v>
      </c>
      <c r="AF36" s="9" t="n">
        <v>0</v>
      </c>
      <c r="AG36" s="8" t="n">
        <v>8.5</v>
      </c>
      <c r="AH36" s="8" t="n">
        <v>7.5</v>
      </c>
      <c r="AI36" s="8" t="n">
        <v>7.5</v>
      </c>
      <c r="AJ36" s="8" t="n">
        <v>0</v>
      </c>
      <c r="AK36" s="8" t="n">
        <v>0</v>
      </c>
      <c r="AL36" s="8" t="n">
        <v>0</v>
      </c>
      <c r="AM36" s="9" t="n">
        <v>0</v>
      </c>
      <c r="AN36" s="8" t="n">
        <v>0</v>
      </c>
      <c r="AO36" s="8" t="n">
        <v>0</v>
      </c>
      <c r="AP36" s="8" t="n">
        <v>0</v>
      </c>
      <c r="AQ36" s="8" t="n">
        <v>0</v>
      </c>
      <c r="AR36" s="8" t="n">
        <v>0</v>
      </c>
      <c r="AS36" s="8" t="n">
        <v>0</v>
      </c>
      <c r="AT36" s="10">
        <f>SUM(O36:AS36)</f>
        <v/>
      </c>
      <c r="AU36" s="11">
        <f>COUNTIF(O36:AS36, "&gt;0")</f>
        <v/>
      </c>
      <c r="AV36" s="12">
        <f>IF(AU36&gt;=5, 4, IF(AU36&gt;0, INT(AU36/6), 0))</f>
        <v/>
      </c>
      <c r="AW36" s="11" t="n">
        <v>0</v>
      </c>
      <c r="AX36" s="11" t="n">
        <v>0</v>
      </c>
      <c r="AY36" s="13">
        <f>MIN(31, AU36+AV36+AW36+AX36)</f>
        <v/>
      </c>
      <c r="AZ36" s="14">
        <f>31-AY36</f>
        <v/>
      </c>
      <c r="BA36" s="5">
        <f>IF(AX36&gt;0, "01-İstirahat", IF(AZ36&gt;0, "12-Birden Fazla", ""))</f>
        <v/>
      </c>
      <c r="BB36" s="10" t="n">
        <v>36</v>
      </c>
      <c r="BC36" s="8" t="n">
        <v>0</v>
      </c>
      <c r="BD36" s="9" t="n">
        <v>0</v>
      </c>
      <c r="BE36" s="7">
        <f>(L36/30)*AU36</f>
        <v/>
      </c>
      <c r="BF36" s="15">
        <f>(L36/225)*((BB36*1.5)-(BC36*1.0))</f>
        <v/>
      </c>
      <c r="BG36" s="16">
        <f>(L36/225)*1.5*BD36</f>
        <v/>
      </c>
      <c r="BH36" s="15">
        <f>BF36+BG36</f>
        <v/>
      </c>
      <c r="BI36" s="17">
        <f>BE36+BH36</f>
        <v/>
      </c>
      <c r="BJ36" s="7">
        <f>IFERROR(VLOOKUP(B36, Resmi_Bordro_SGK!B:M, 11, FALSE), 0)</f>
        <v/>
      </c>
      <c r="BK36" s="18">
        <f>IFERROR(VLOOKUP(B36, Icra_Takip!A:E, 4, FALSE), 0)</f>
        <v/>
      </c>
      <c r="BL36" s="17">
        <f>IF(BI36&gt;BJ36, BI36-BJ36-BK36, 0)</f>
        <v/>
      </c>
      <c r="BM36" s="17">
        <f>BI36-BK36</f>
        <v/>
      </c>
    </row>
    <row r="37" ht="19" customHeight="1">
      <c r="A37" s="4" t="n">
        <v>34</v>
      </c>
      <c r="B37" s="5" t="inlineStr">
        <is>
          <t>22426711476</t>
        </is>
      </c>
      <c r="C37" s="6" t="inlineStr">
        <is>
          <t>AYNUR DEMİRCAN</t>
        </is>
      </c>
      <c r="D37" s="4" t="inlineStr">
        <is>
          <t>K</t>
        </is>
      </c>
      <c r="E37" s="4" t="inlineStr"/>
      <c r="F37" s="4" t="inlineStr">
        <is>
          <t>16.02.2026</t>
        </is>
      </c>
      <c r="G37" s="4" t="inlineStr"/>
      <c r="H37" s="4" t="inlineStr">
        <is>
          <t>NORMAL</t>
        </is>
      </c>
      <c r="I37" s="4" t="inlineStr">
        <is>
          <t>MEVSİMLİK</t>
        </is>
      </c>
      <c r="J37" s="6" t="inlineStr">
        <is>
          <t>BALIK TEMİZLEME</t>
        </is>
      </c>
      <c r="K37" s="6" t="inlineStr">
        <is>
          <t>KARACABEY-HALİL</t>
        </is>
      </c>
      <c r="L37" s="7" t="n">
        <v>33000</v>
      </c>
      <c r="M37" s="4" t="inlineStr">
        <is>
          <t>FİDE KONSERVE</t>
        </is>
      </c>
      <c r="N37" s="4" t="inlineStr">
        <is>
          <t>ALIR</t>
        </is>
      </c>
      <c r="O37" s="19" t="n">
        <v>8</v>
      </c>
      <c r="P37" s="19" t="n">
        <v>8.5</v>
      </c>
      <c r="Q37" s="19" t="n">
        <v>8</v>
      </c>
      <c r="R37" s="9" t="n">
        <v>0</v>
      </c>
      <c r="S37" s="19" t="n">
        <v>7.5</v>
      </c>
      <c r="T37" s="19" t="n">
        <v>8</v>
      </c>
      <c r="U37" s="19" t="n">
        <v>8</v>
      </c>
      <c r="V37" s="19" t="n">
        <v>8</v>
      </c>
      <c r="W37" s="19" t="n">
        <v>8.5</v>
      </c>
      <c r="X37" s="19" t="n">
        <v>8.5</v>
      </c>
      <c r="Y37" s="9" t="n">
        <v>0</v>
      </c>
      <c r="Z37" s="19" t="n">
        <v>7.5</v>
      </c>
      <c r="AA37" s="19" t="n">
        <v>7.5</v>
      </c>
      <c r="AB37" s="19" t="n">
        <v>8.5</v>
      </c>
      <c r="AC37" s="19" t="n">
        <v>7.5</v>
      </c>
      <c r="AD37" s="19" t="n">
        <v>7.5</v>
      </c>
      <c r="AE37" s="19" t="n">
        <v>8.5</v>
      </c>
      <c r="AF37" s="9" t="n">
        <v>0</v>
      </c>
      <c r="AG37" s="19" t="n">
        <v>8.5</v>
      </c>
      <c r="AH37" s="19" t="n">
        <v>7.5</v>
      </c>
      <c r="AI37" s="19" t="n">
        <v>7.5</v>
      </c>
      <c r="AJ37" s="19" t="n">
        <v>0</v>
      </c>
      <c r="AK37" s="19" t="n">
        <v>0</v>
      </c>
      <c r="AL37" s="19" t="n">
        <v>0</v>
      </c>
      <c r="AM37" s="9" t="n">
        <v>0</v>
      </c>
      <c r="AN37" s="19" t="n">
        <v>0</v>
      </c>
      <c r="AO37" s="19" t="n">
        <v>0</v>
      </c>
      <c r="AP37" s="19" t="n">
        <v>0</v>
      </c>
      <c r="AQ37" s="19" t="n">
        <v>0</v>
      </c>
      <c r="AR37" s="19" t="n">
        <v>0</v>
      </c>
      <c r="AS37" s="19" t="n">
        <v>0</v>
      </c>
      <c r="AT37" s="10">
        <f>SUM(O37:AS37)</f>
        <v/>
      </c>
      <c r="AU37" s="20">
        <f>COUNTIF(O37:AS37, "&gt;0")</f>
        <v/>
      </c>
      <c r="AV37" s="12">
        <f>IF(AU37&gt;=5, 4, IF(AU37&gt;0, INT(AU37/6), 0))</f>
        <v/>
      </c>
      <c r="AW37" s="20" t="n">
        <v>0</v>
      </c>
      <c r="AX37" s="20" t="n">
        <v>0</v>
      </c>
      <c r="AY37" s="13">
        <f>MIN(31, AU37+AV37+AW37+AX37)</f>
        <v/>
      </c>
      <c r="AZ37" s="14">
        <f>31-AY37</f>
        <v/>
      </c>
      <c r="BA37" s="21">
        <f>IF(AX37&gt;0, "01-İstirahat", IF(AZ37&gt;0, "12-Birden Fazla", ""))</f>
        <v/>
      </c>
      <c r="BB37" s="10" t="n">
        <v>8.5</v>
      </c>
      <c r="BC37" s="19" t="n">
        <v>0</v>
      </c>
      <c r="BD37" s="9" t="n">
        <v>0</v>
      </c>
      <c r="BE37" s="22">
        <f>(L37/30)*AU37</f>
        <v/>
      </c>
      <c r="BF37" s="15">
        <f>(L37/225)*((BB37*1.5)-(BC37*1.0))</f>
        <v/>
      </c>
      <c r="BG37" s="16">
        <f>(L37/225)*1.5*BD37</f>
        <v/>
      </c>
      <c r="BH37" s="15">
        <f>BF37+BG37</f>
        <v/>
      </c>
      <c r="BI37" s="17">
        <f>BE37+BH37</f>
        <v/>
      </c>
      <c r="BJ37" s="22">
        <f>IFERROR(VLOOKUP(B37, Resmi_Bordro_SGK!B:M, 11, FALSE), 0)</f>
        <v/>
      </c>
      <c r="BK37" s="18">
        <f>IFERROR(VLOOKUP(B37, Icra_Takip!A:E, 4, FALSE), 0)</f>
        <v/>
      </c>
      <c r="BL37" s="17">
        <f>IF(BI37&gt;BJ37, BI37-BJ37-BK37, 0)</f>
        <v/>
      </c>
      <c r="BM37" s="17">
        <f>BI37-BK37</f>
        <v/>
      </c>
    </row>
    <row r="38" ht="19" customHeight="1">
      <c r="A38" s="4" t="n">
        <v>35</v>
      </c>
      <c r="B38" s="5" t="inlineStr"/>
      <c r="C38" s="6" t="inlineStr">
        <is>
          <t>AYNUR KAYRA</t>
        </is>
      </c>
      <c r="D38" s="4" t="inlineStr"/>
      <c r="E38" s="4" t="inlineStr"/>
      <c r="F38" s="4" t="inlineStr"/>
      <c r="G38" s="4" t="inlineStr"/>
      <c r="H38" s="4" t="inlineStr">
        <is>
          <t>NORMAL</t>
        </is>
      </c>
      <c r="I38" s="4" t="inlineStr">
        <is>
          <t>MEVSİMLİK</t>
        </is>
      </c>
      <c r="J38" s="6" t="inlineStr"/>
      <c r="K38" s="6" t="inlineStr"/>
      <c r="L38" s="7" t="n">
        <v>28075.5</v>
      </c>
      <c r="M38" s="4" t="inlineStr">
        <is>
          <t>FİDE KONSERVE</t>
        </is>
      </c>
      <c r="N38" s="4" t="inlineStr">
        <is>
          <t>ALIR</t>
        </is>
      </c>
      <c r="O38" s="8" t="n">
        <v>0</v>
      </c>
      <c r="P38" s="8" t="n">
        <v>0</v>
      </c>
      <c r="Q38" s="8" t="n">
        <v>0</v>
      </c>
      <c r="R38" s="9" t="n">
        <v>0</v>
      </c>
      <c r="S38" s="8" t="n">
        <v>0</v>
      </c>
      <c r="T38" s="8" t="n">
        <v>0</v>
      </c>
      <c r="U38" s="8" t="n">
        <v>0</v>
      </c>
      <c r="V38" s="8" t="n">
        <v>0</v>
      </c>
      <c r="W38" s="8" t="n">
        <v>0</v>
      </c>
      <c r="X38" s="8" t="n">
        <v>0</v>
      </c>
      <c r="Y38" s="9" t="n">
        <v>0</v>
      </c>
      <c r="Z38" s="8" t="n">
        <v>0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9" t="n">
        <v>0</v>
      </c>
      <c r="AG38" s="8" t="n">
        <v>0</v>
      </c>
      <c r="AH38" s="8" t="n">
        <v>0</v>
      </c>
      <c r="AI38" s="8" t="n">
        <v>0</v>
      </c>
      <c r="AJ38" s="8" t="n">
        <v>0</v>
      </c>
      <c r="AK38" s="8" t="n">
        <v>0</v>
      </c>
      <c r="AL38" s="8" t="n">
        <v>0</v>
      </c>
      <c r="AM38" s="9" t="n">
        <v>0</v>
      </c>
      <c r="AN38" s="8" t="n">
        <v>0</v>
      </c>
      <c r="AO38" s="8" t="n">
        <v>0</v>
      </c>
      <c r="AP38" s="8" t="n">
        <v>0</v>
      </c>
      <c r="AQ38" s="8" t="n">
        <v>0</v>
      </c>
      <c r="AR38" s="8" t="n">
        <v>0</v>
      </c>
      <c r="AS38" s="8" t="n">
        <v>0</v>
      </c>
      <c r="AT38" s="10">
        <f>SUM(O38:AS38)</f>
        <v/>
      </c>
      <c r="AU38" s="11">
        <f>COUNTIF(O38:AS38, "&gt;0")</f>
        <v/>
      </c>
      <c r="AV38" s="12">
        <f>IF(AU38&gt;=5, 4, IF(AU38&gt;0, INT(AU38/6), 0))</f>
        <v/>
      </c>
      <c r="AW38" s="11" t="n">
        <v>0</v>
      </c>
      <c r="AX38" s="11" t="n">
        <v>0</v>
      </c>
      <c r="AY38" s="13">
        <f>MIN(31, AU38+AV38+AW38+AX38)</f>
        <v/>
      </c>
      <c r="AZ38" s="14">
        <f>31-AY38</f>
        <v/>
      </c>
      <c r="BA38" s="5">
        <f>IF(AX38&gt;0, "01-İstirahat", IF(AZ38&gt;0, "12-Birden Fazla", ""))</f>
        <v/>
      </c>
      <c r="BB38" s="10" t="n">
        <v>0</v>
      </c>
      <c r="BC38" s="8" t="n">
        <v>0</v>
      </c>
      <c r="BD38" s="9" t="n">
        <v>0</v>
      </c>
      <c r="BE38" s="7">
        <f>(L38/30)*AU38</f>
        <v/>
      </c>
      <c r="BF38" s="15">
        <f>(L38/225)*((BB38*1.5)-(BC38*1.0))</f>
        <v/>
      </c>
      <c r="BG38" s="16">
        <f>(L38/225)*1.5*BD38</f>
        <v/>
      </c>
      <c r="BH38" s="15">
        <f>BF38+BG38</f>
        <v/>
      </c>
      <c r="BI38" s="17">
        <f>BE38+BH38</f>
        <v/>
      </c>
      <c r="BJ38" s="7">
        <f>IFERROR(VLOOKUP(B38, Resmi_Bordro_SGK!B:M, 11, FALSE), 0)</f>
        <v/>
      </c>
      <c r="BK38" s="18">
        <f>IFERROR(VLOOKUP(B38, Icra_Takip!A:E, 4, FALSE), 0)</f>
        <v/>
      </c>
      <c r="BL38" s="17">
        <f>IF(BI38&gt;BJ38, BI38-BJ38-BK38, 0)</f>
        <v/>
      </c>
      <c r="BM38" s="17">
        <f>BI38-BK38</f>
        <v/>
      </c>
    </row>
    <row r="39" ht="19" customHeight="1">
      <c r="A39" s="4" t="n">
        <v>36</v>
      </c>
      <c r="B39" s="5" t="inlineStr">
        <is>
          <t>13543834438</t>
        </is>
      </c>
      <c r="C39" s="6" t="inlineStr">
        <is>
          <t>AYSEL ÇETİNTAŞ</t>
        </is>
      </c>
      <c r="D39" s="4" t="inlineStr">
        <is>
          <t>K</t>
        </is>
      </c>
      <c r="E39" s="4" t="inlineStr"/>
      <c r="F39" s="4" t="inlineStr">
        <is>
          <t>01.07.2026</t>
        </is>
      </c>
      <c r="G39" s="4" t="inlineStr"/>
      <c r="H39" s="4" t="inlineStr">
        <is>
          <t>NORMAL</t>
        </is>
      </c>
      <c r="I39" s="4" t="inlineStr">
        <is>
          <t>MEVSİMLİK</t>
        </is>
      </c>
      <c r="J39" s="6" t="inlineStr">
        <is>
          <t>ÜRETİM</t>
        </is>
      </c>
      <c r="K39" s="6" t="inlineStr">
        <is>
          <t>KARACABEY-HALİL</t>
        </is>
      </c>
      <c r="L39" s="7" t="n">
        <v>28075.5</v>
      </c>
      <c r="M39" s="4" t="inlineStr">
        <is>
          <t>FİDE KONSERVE</t>
        </is>
      </c>
      <c r="N39" s="4" t="inlineStr">
        <is>
          <t>ALIR</t>
        </is>
      </c>
      <c r="O39" s="19" t="n">
        <v>0</v>
      </c>
      <c r="P39" s="19" t="n">
        <v>10.5</v>
      </c>
      <c r="Q39" s="19" t="n">
        <v>10.5</v>
      </c>
      <c r="R39" s="9" t="n">
        <v>0</v>
      </c>
      <c r="S39" s="19" t="n">
        <v>10.5</v>
      </c>
      <c r="T39" s="19" t="n">
        <v>10.5</v>
      </c>
      <c r="U39" s="19" t="n">
        <v>10.5</v>
      </c>
      <c r="V39" s="19" t="n">
        <v>8</v>
      </c>
      <c r="W39" s="19" t="n">
        <v>0</v>
      </c>
      <c r="X39" s="19" t="n">
        <v>10.5</v>
      </c>
      <c r="Y39" s="9" t="n">
        <v>0</v>
      </c>
      <c r="Z39" s="19" t="n">
        <v>10.5</v>
      </c>
      <c r="AA39" s="19" t="n">
        <v>10.5</v>
      </c>
      <c r="AB39" s="19" t="n">
        <v>10.5</v>
      </c>
      <c r="AC39" s="19" t="n">
        <v>10.5</v>
      </c>
      <c r="AD39" s="19" t="n">
        <v>10.5</v>
      </c>
      <c r="AE39" s="19" t="n">
        <v>0</v>
      </c>
      <c r="AF39" s="9" t="n">
        <v>0</v>
      </c>
      <c r="AG39" s="19" t="n">
        <v>10.5</v>
      </c>
      <c r="AH39" s="19" t="n">
        <v>7.5</v>
      </c>
      <c r="AI39" s="19" t="n">
        <v>7.5</v>
      </c>
      <c r="AJ39" s="19" t="n">
        <v>0</v>
      </c>
      <c r="AK39" s="19" t="n">
        <v>0</v>
      </c>
      <c r="AL39" s="19" t="n">
        <v>0</v>
      </c>
      <c r="AM39" s="9" t="n">
        <v>0</v>
      </c>
      <c r="AN39" s="19" t="n">
        <v>0</v>
      </c>
      <c r="AO39" s="19" t="n">
        <v>0</v>
      </c>
      <c r="AP39" s="19" t="n">
        <v>0</v>
      </c>
      <c r="AQ39" s="19" t="n">
        <v>0</v>
      </c>
      <c r="AR39" s="19" t="n">
        <v>0</v>
      </c>
      <c r="AS39" s="19" t="n">
        <v>0</v>
      </c>
      <c r="AT39" s="10">
        <f>SUM(O39:AS39)</f>
        <v/>
      </c>
      <c r="AU39" s="20">
        <f>COUNTIF(O39:AS39, "&gt;0")</f>
        <v/>
      </c>
      <c r="AV39" s="12">
        <f>IF(AU39&gt;=5, 4, IF(AU39&gt;0, INT(AU39/6), 0))</f>
        <v/>
      </c>
      <c r="AW39" s="20" t="n">
        <v>0</v>
      </c>
      <c r="AX39" s="20" t="n">
        <v>0</v>
      </c>
      <c r="AY39" s="13">
        <f>MIN(31, AU39+AV39+AW39+AX39)</f>
        <v/>
      </c>
      <c r="AZ39" s="14">
        <f>31-AY39</f>
        <v/>
      </c>
      <c r="BA39" s="21">
        <f>IF(AX39&gt;0, "01-İstirahat", IF(AZ39&gt;0, "12-Birden Fazla", ""))</f>
        <v/>
      </c>
      <c r="BB39" s="10" t="n">
        <v>36.5</v>
      </c>
      <c r="BC39" s="19" t="n">
        <v>0</v>
      </c>
      <c r="BD39" s="9" t="n">
        <v>0</v>
      </c>
      <c r="BE39" s="22">
        <f>(L39/30)*AU39</f>
        <v/>
      </c>
      <c r="BF39" s="15">
        <f>(L39/225)*((BB39*1.5)-(BC39*1.0))</f>
        <v/>
      </c>
      <c r="BG39" s="16">
        <f>(L39/225)*1.5*BD39</f>
        <v/>
      </c>
      <c r="BH39" s="15">
        <f>BF39+BG39</f>
        <v/>
      </c>
      <c r="BI39" s="17">
        <f>BE39+BH39</f>
        <v/>
      </c>
      <c r="BJ39" s="22">
        <f>IFERROR(VLOOKUP(B39, Resmi_Bordro_SGK!B:M, 11, FALSE), 0)</f>
        <v/>
      </c>
      <c r="BK39" s="18">
        <f>IFERROR(VLOOKUP(B39, Icra_Takip!A:E, 4, FALSE), 0)</f>
        <v/>
      </c>
      <c r="BL39" s="17">
        <f>IF(BI39&gt;BJ39, BI39-BJ39-BK39, 0)</f>
        <v/>
      </c>
      <c r="BM39" s="17">
        <f>BI39-BK39</f>
        <v/>
      </c>
    </row>
    <row r="40" ht="19" customHeight="1">
      <c r="A40" s="4" t="n">
        <v>37</v>
      </c>
      <c r="B40" s="5" t="inlineStr"/>
      <c r="C40" s="6" t="inlineStr">
        <is>
          <t>AYSU SEVEN</t>
        </is>
      </c>
      <c r="D40" s="4" t="inlineStr"/>
      <c r="E40" s="4" t="inlineStr"/>
      <c r="F40" s="4" t="inlineStr"/>
      <c r="G40" s="4" t="inlineStr"/>
      <c r="H40" s="4" t="inlineStr">
        <is>
          <t>NORMAL</t>
        </is>
      </c>
      <c r="I40" s="4" t="inlineStr">
        <is>
          <t>MEVSİMLİK</t>
        </is>
      </c>
      <c r="J40" s="6" t="inlineStr"/>
      <c r="K40" s="6" t="inlineStr"/>
      <c r="L40" s="7" t="n">
        <v>28075.5</v>
      </c>
      <c r="M40" s="4" t="inlineStr">
        <is>
          <t>FİDE KONSERVE</t>
        </is>
      </c>
      <c r="N40" s="4" t="inlineStr">
        <is>
          <t>ALIR</t>
        </is>
      </c>
      <c r="O40" s="8" t="n">
        <v>0</v>
      </c>
      <c r="P40" s="8" t="n">
        <v>0</v>
      </c>
      <c r="Q40" s="8" t="n">
        <v>0</v>
      </c>
      <c r="R40" s="9" t="n">
        <v>0</v>
      </c>
      <c r="S40" s="8" t="n">
        <v>0</v>
      </c>
      <c r="T40" s="8" t="n">
        <v>0</v>
      </c>
      <c r="U40" s="8" t="n">
        <v>0</v>
      </c>
      <c r="V40" s="8" t="n">
        <v>0</v>
      </c>
      <c r="W40" s="8" t="n">
        <v>0</v>
      </c>
      <c r="X40" s="8" t="n">
        <v>0</v>
      </c>
      <c r="Y40" s="9" t="n">
        <v>0</v>
      </c>
      <c r="Z40" s="8" t="n">
        <v>0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9" t="n">
        <v>0</v>
      </c>
      <c r="AG40" s="8" t="n">
        <v>0</v>
      </c>
      <c r="AH40" s="8" t="n">
        <v>0</v>
      </c>
      <c r="AI40" s="8" t="n">
        <v>0</v>
      </c>
      <c r="AJ40" s="8" t="n">
        <v>0</v>
      </c>
      <c r="AK40" s="8" t="n">
        <v>0</v>
      </c>
      <c r="AL40" s="8" t="n">
        <v>0</v>
      </c>
      <c r="AM40" s="9" t="n">
        <v>0</v>
      </c>
      <c r="AN40" s="8" t="n">
        <v>0</v>
      </c>
      <c r="AO40" s="8" t="n">
        <v>0</v>
      </c>
      <c r="AP40" s="8" t="n">
        <v>0</v>
      </c>
      <c r="AQ40" s="8" t="n">
        <v>0</v>
      </c>
      <c r="AR40" s="8" t="n">
        <v>0</v>
      </c>
      <c r="AS40" s="8" t="n">
        <v>0</v>
      </c>
      <c r="AT40" s="10">
        <f>SUM(O40:AS40)</f>
        <v/>
      </c>
      <c r="AU40" s="11">
        <f>COUNTIF(O40:AS40, "&gt;0")</f>
        <v/>
      </c>
      <c r="AV40" s="12">
        <f>IF(AU40&gt;=5, 4, IF(AU40&gt;0, INT(AU40/6), 0))</f>
        <v/>
      </c>
      <c r="AW40" s="11" t="n">
        <v>0</v>
      </c>
      <c r="AX40" s="11" t="n">
        <v>0</v>
      </c>
      <c r="AY40" s="13">
        <f>MIN(31, AU40+AV40+AW40+AX40)</f>
        <v/>
      </c>
      <c r="AZ40" s="14">
        <f>31-AY40</f>
        <v/>
      </c>
      <c r="BA40" s="5">
        <f>IF(AX40&gt;0, "01-İstirahat", IF(AZ40&gt;0, "12-Birden Fazla", ""))</f>
        <v/>
      </c>
      <c r="BB40" s="10" t="n">
        <v>0</v>
      </c>
      <c r="BC40" s="8" t="n">
        <v>0</v>
      </c>
      <c r="BD40" s="9" t="n">
        <v>0</v>
      </c>
      <c r="BE40" s="7">
        <f>(L40/30)*AU40</f>
        <v/>
      </c>
      <c r="BF40" s="15">
        <f>(L40/225)*((BB40*1.5)-(BC40*1.0))</f>
        <v/>
      </c>
      <c r="BG40" s="16">
        <f>(L40/225)*1.5*BD40</f>
        <v/>
      </c>
      <c r="BH40" s="15">
        <f>BF40+BG40</f>
        <v/>
      </c>
      <c r="BI40" s="17">
        <f>BE40+BH40</f>
        <v/>
      </c>
      <c r="BJ40" s="7">
        <f>IFERROR(VLOOKUP(B40, Resmi_Bordro_SGK!B:M, 11, FALSE), 0)</f>
        <v/>
      </c>
      <c r="BK40" s="18">
        <f>IFERROR(VLOOKUP(B40, Icra_Takip!A:E, 4, FALSE), 0)</f>
        <v/>
      </c>
      <c r="BL40" s="17">
        <f>IF(BI40&gt;BJ40, BI40-BJ40-BK40, 0)</f>
        <v/>
      </c>
      <c r="BM40" s="17">
        <f>BI40-BK40</f>
        <v/>
      </c>
    </row>
    <row r="41" ht="19" customHeight="1">
      <c r="A41" s="4" t="n">
        <v>38</v>
      </c>
      <c r="B41" s="5" t="inlineStr">
        <is>
          <t>33103190842</t>
        </is>
      </c>
      <c r="C41" s="6" t="inlineStr">
        <is>
          <t>AYŞE BEYRİ</t>
        </is>
      </c>
      <c r="D41" s="4" t="inlineStr">
        <is>
          <t>K</t>
        </is>
      </c>
      <c r="E41" s="4" t="inlineStr"/>
      <c r="F41" s="4" t="inlineStr">
        <is>
          <t>23.07.2026</t>
        </is>
      </c>
      <c r="G41" s="4" t="inlineStr"/>
      <c r="H41" s="4" t="inlineStr">
        <is>
          <t>NORMAL</t>
        </is>
      </c>
      <c r="I41" s="4" t="inlineStr">
        <is>
          <t>MEVSİMLİK</t>
        </is>
      </c>
      <c r="J41" s="6" t="inlineStr">
        <is>
          <t>BALIK TEMİZLEME</t>
        </is>
      </c>
      <c r="K41" s="6" t="inlineStr">
        <is>
          <t>GÜVEN TURİZM-MKP</t>
        </is>
      </c>
      <c r="L41" s="7" t="n">
        <v>33000</v>
      </c>
      <c r="M41" s="4" t="inlineStr">
        <is>
          <t>FİDE KONSERVE</t>
        </is>
      </c>
      <c r="N41" s="4" t="inlineStr">
        <is>
          <t>ALIR</t>
        </is>
      </c>
      <c r="O41" s="19" t="n">
        <v>0</v>
      </c>
      <c r="P41" s="19" t="n">
        <v>0</v>
      </c>
      <c r="Q41" s="19" t="n">
        <v>0</v>
      </c>
      <c r="R41" s="9" t="n">
        <v>0</v>
      </c>
      <c r="S41" s="19" t="n">
        <v>0</v>
      </c>
      <c r="T41" s="19" t="n">
        <v>0</v>
      </c>
      <c r="U41" s="19" t="n">
        <v>0</v>
      </c>
      <c r="V41" s="19" t="n">
        <v>0</v>
      </c>
      <c r="W41" s="19" t="n">
        <v>0</v>
      </c>
      <c r="X41" s="19" t="n">
        <v>0</v>
      </c>
      <c r="Y41" s="9" t="n">
        <v>0</v>
      </c>
      <c r="Z41" s="19" t="n">
        <v>0</v>
      </c>
      <c r="AA41" s="19" t="n">
        <v>0</v>
      </c>
      <c r="AB41" s="19" t="n">
        <v>0</v>
      </c>
      <c r="AC41" s="19" t="n">
        <v>0</v>
      </c>
      <c r="AD41" s="19" t="n">
        <v>0</v>
      </c>
      <c r="AE41" s="19" t="n">
        <v>0</v>
      </c>
      <c r="AF41" s="9" t="n">
        <v>0</v>
      </c>
      <c r="AG41" s="19" t="n">
        <v>0</v>
      </c>
      <c r="AH41" s="19" t="n">
        <v>0</v>
      </c>
      <c r="AI41" s="19" t="n">
        <v>0</v>
      </c>
      <c r="AJ41" s="19" t="n">
        <v>0</v>
      </c>
      <c r="AK41" s="19" t="n">
        <v>0</v>
      </c>
      <c r="AL41" s="19" t="n">
        <v>0</v>
      </c>
      <c r="AM41" s="9" t="n">
        <v>0</v>
      </c>
      <c r="AN41" s="19" t="n">
        <v>0</v>
      </c>
      <c r="AO41" s="19" t="n">
        <v>0</v>
      </c>
      <c r="AP41" s="19" t="n">
        <v>0</v>
      </c>
      <c r="AQ41" s="19" t="n">
        <v>0</v>
      </c>
      <c r="AR41" s="19" t="n">
        <v>0</v>
      </c>
      <c r="AS41" s="19" t="n">
        <v>0</v>
      </c>
      <c r="AT41" s="10">
        <f>SUM(O41:AS41)</f>
        <v/>
      </c>
      <c r="AU41" s="20">
        <f>COUNTIF(O41:AS41, "&gt;0")</f>
        <v/>
      </c>
      <c r="AV41" s="12">
        <f>IF(AU41&gt;=5, 4, IF(AU41&gt;0, INT(AU41/6), 0))</f>
        <v/>
      </c>
      <c r="AW41" s="20" t="n">
        <v>0</v>
      </c>
      <c r="AX41" s="20" t="n">
        <v>0</v>
      </c>
      <c r="AY41" s="13">
        <f>MIN(31, AU41+AV41+AW41+AX41)</f>
        <v/>
      </c>
      <c r="AZ41" s="14">
        <f>31-AY41</f>
        <v/>
      </c>
      <c r="BA41" s="21">
        <f>IF(AX41&gt;0, "01-İstirahat", IF(AZ41&gt;0, "12-Birden Fazla", ""))</f>
        <v/>
      </c>
      <c r="BB41" s="10" t="n">
        <v>0</v>
      </c>
      <c r="BC41" s="19" t="n">
        <v>0</v>
      </c>
      <c r="BD41" s="9" t="n">
        <v>0</v>
      </c>
      <c r="BE41" s="22">
        <f>(L41/30)*AU41</f>
        <v/>
      </c>
      <c r="BF41" s="15">
        <f>(L41/225)*((BB41*1.5)-(BC41*1.0))</f>
        <v/>
      </c>
      <c r="BG41" s="16">
        <f>(L41/225)*1.5*BD41</f>
        <v/>
      </c>
      <c r="BH41" s="15">
        <f>BF41+BG41</f>
        <v/>
      </c>
      <c r="BI41" s="17">
        <f>BE41+BH41</f>
        <v/>
      </c>
      <c r="BJ41" s="22">
        <f>IFERROR(VLOOKUP(B41, Resmi_Bordro_SGK!B:M, 11, FALSE), 0)</f>
        <v/>
      </c>
      <c r="BK41" s="18">
        <f>IFERROR(VLOOKUP(B41, Icra_Takip!A:E, 4, FALSE), 0)</f>
        <v/>
      </c>
      <c r="BL41" s="17">
        <f>IF(BI41&gt;BJ41, BI41-BJ41-BK41, 0)</f>
        <v/>
      </c>
      <c r="BM41" s="17">
        <f>BI41-BK41</f>
        <v/>
      </c>
    </row>
    <row r="42" ht="19" customHeight="1">
      <c r="A42" s="4" t="n">
        <v>39</v>
      </c>
      <c r="B42" s="5" t="inlineStr">
        <is>
          <t>63388096362</t>
        </is>
      </c>
      <c r="C42" s="6" t="inlineStr">
        <is>
          <t>AYŞE BORA</t>
        </is>
      </c>
      <c r="D42" s="4" t="inlineStr">
        <is>
          <t>K</t>
        </is>
      </c>
      <c r="E42" s="4" t="inlineStr"/>
      <c r="F42" s="4" t="inlineStr">
        <is>
          <t>10.08.2026</t>
        </is>
      </c>
      <c r="G42" s="4" t="inlineStr"/>
      <c r="H42" s="4" t="inlineStr">
        <is>
          <t>NORMAL</t>
        </is>
      </c>
      <c r="I42" s="4" t="inlineStr">
        <is>
          <t>MEVSİMLİK</t>
        </is>
      </c>
      <c r="J42" s="6" t="inlineStr">
        <is>
          <t>BALIK TEMİZLEME</t>
        </is>
      </c>
      <c r="K42" s="6" t="inlineStr">
        <is>
          <t>GÜVEN TURİZM-MKP</t>
        </is>
      </c>
      <c r="L42" s="7" t="n">
        <v>33000</v>
      </c>
      <c r="M42" s="4" t="inlineStr">
        <is>
          <t>FİDE KONSERVE</t>
        </is>
      </c>
      <c r="N42" s="4" t="inlineStr">
        <is>
          <t>ALIR</t>
        </is>
      </c>
      <c r="O42" s="8" t="n">
        <v>0</v>
      </c>
      <c r="P42" s="8" t="n">
        <v>0</v>
      </c>
      <c r="Q42" s="8" t="n">
        <v>0</v>
      </c>
      <c r="R42" s="9" t="n">
        <v>0</v>
      </c>
      <c r="S42" s="8" t="n">
        <v>0</v>
      </c>
      <c r="T42" s="8" t="n">
        <v>0</v>
      </c>
      <c r="U42" s="8" t="n">
        <v>0</v>
      </c>
      <c r="V42" s="8" t="n">
        <v>0</v>
      </c>
      <c r="W42" s="8" t="n">
        <v>0</v>
      </c>
      <c r="X42" s="8" t="n">
        <v>0</v>
      </c>
      <c r="Y42" s="9" t="n">
        <v>0</v>
      </c>
      <c r="Z42" s="8" t="n">
        <v>0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9" t="n">
        <v>0</v>
      </c>
      <c r="AG42" s="8" t="n">
        <v>0</v>
      </c>
      <c r="AH42" s="8" t="n">
        <v>0</v>
      </c>
      <c r="AI42" s="8" t="n">
        <v>0</v>
      </c>
      <c r="AJ42" s="8" t="n">
        <v>0</v>
      </c>
      <c r="AK42" s="8" t="n">
        <v>0</v>
      </c>
      <c r="AL42" s="8" t="n">
        <v>0</v>
      </c>
      <c r="AM42" s="9" t="n">
        <v>0</v>
      </c>
      <c r="AN42" s="8" t="n">
        <v>0</v>
      </c>
      <c r="AO42" s="8" t="n">
        <v>0</v>
      </c>
      <c r="AP42" s="8" t="n">
        <v>0</v>
      </c>
      <c r="AQ42" s="8" t="n">
        <v>0</v>
      </c>
      <c r="AR42" s="8" t="n">
        <v>0</v>
      </c>
      <c r="AS42" s="8" t="n">
        <v>0</v>
      </c>
      <c r="AT42" s="10">
        <f>SUM(O42:AS42)</f>
        <v/>
      </c>
      <c r="AU42" s="11">
        <f>COUNTIF(O42:AS42, "&gt;0")</f>
        <v/>
      </c>
      <c r="AV42" s="12">
        <f>IF(AU42&gt;=5, 4, IF(AU42&gt;0, INT(AU42/6), 0))</f>
        <v/>
      </c>
      <c r="AW42" s="11" t="n">
        <v>0</v>
      </c>
      <c r="AX42" s="11" t="n">
        <v>0</v>
      </c>
      <c r="AY42" s="13">
        <f>MIN(31, AU42+AV42+AW42+AX42)</f>
        <v/>
      </c>
      <c r="AZ42" s="14">
        <f>31-AY42</f>
        <v/>
      </c>
      <c r="BA42" s="5">
        <f>IF(AX42&gt;0, "01-İstirahat", IF(AZ42&gt;0, "12-Birden Fazla", ""))</f>
        <v/>
      </c>
      <c r="BB42" s="10" t="n">
        <v>0</v>
      </c>
      <c r="BC42" s="8" t="n">
        <v>0</v>
      </c>
      <c r="BD42" s="9" t="n">
        <v>0</v>
      </c>
      <c r="BE42" s="7">
        <f>(L42/30)*AU42</f>
        <v/>
      </c>
      <c r="BF42" s="15">
        <f>(L42/225)*((BB42*1.5)-(BC42*1.0))</f>
        <v/>
      </c>
      <c r="BG42" s="16">
        <f>(L42/225)*1.5*BD42</f>
        <v/>
      </c>
      <c r="BH42" s="15">
        <f>BF42+BG42</f>
        <v/>
      </c>
      <c r="BI42" s="17">
        <f>BE42+BH42</f>
        <v/>
      </c>
      <c r="BJ42" s="7">
        <f>IFERROR(VLOOKUP(B42, Resmi_Bordro_SGK!B:M, 11, FALSE), 0)</f>
        <v/>
      </c>
      <c r="BK42" s="18">
        <f>IFERROR(VLOOKUP(B42, Icra_Takip!A:E, 4, FALSE), 0)</f>
        <v/>
      </c>
      <c r="BL42" s="17">
        <f>IF(BI42&gt;BJ42, BI42-BJ42-BK42, 0)</f>
        <v/>
      </c>
      <c r="BM42" s="17">
        <f>BI42-BK42</f>
        <v/>
      </c>
    </row>
    <row r="43" ht="19" customHeight="1">
      <c r="A43" s="4" t="n">
        <v>40</v>
      </c>
      <c r="B43" s="5" t="inlineStr">
        <is>
          <t>33040069454</t>
        </is>
      </c>
      <c r="C43" s="6" t="inlineStr">
        <is>
          <t>AYŞE ÇÇAKICI</t>
        </is>
      </c>
      <c r="D43" s="4" t="inlineStr">
        <is>
          <t>K</t>
        </is>
      </c>
      <c r="E43" s="4" t="inlineStr"/>
      <c r="F43" s="4" t="inlineStr">
        <is>
          <t>21.08.2025</t>
        </is>
      </c>
      <c r="G43" s="4" t="inlineStr"/>
      <c r="H43" s="4" t="inlineStr">
        <is>
          <t>SGDP</t>
        </is>
      </c>
      <c r="I43" s="4" t="inlineStr">
        <is>
          <t>MEVSİMLİK</t>
        </is>
      </c>
      <c r="J43" s="6" t="inlineStr">
        <is>
          <t>AMBAR</t>
        </is>
      </c>
      <c r="K43" s="6" t="inlineStr">
        <is>
          <t>BALIKESİR</t>
        </is>
      </c>
      <c r="L43" s="7" t="n">
        <v>30185</v>
      </c>
      <c r="M43" s="4" t="inlineStr">
        <is>
          <t>FİDE KONSERVE</t>
        </is>
      </c>
      <c r="N43" s="4" t="inlineStr">
        <is>
          <t>ALIR</t>
        </is>
      </c>
      <c r="O43" s="19" t="n">
        <v>0</v>
      </c>
      <c r="P43" s="19" t="n">
        <v>0</v>
      </c>
      <c r="Q43" s="19" t="n">
        <v>0</v>
      </c>
      <c r="R43" s="9" t="n">
        <v>0</v>
      </c>
      <c r="S43" s="19" t="n">
        <v>0</v>
      </c>
      <c r="T43" s="19" t="n">
        <v>0</v>
      </c>
      <c r="U43" s="19" t="n">
        <v>0</v>
      </c>
      <c r="V43" s="19" t="n">
        <v>0</v>
      </c>
      <c r="W43" s="19" t="n">
        <v>0</v>
      </c>
      <c r="X43" s="19" t="n">
        <v>0</v>
      </c>
      <c r="Y43" s="9" t="n">
        <v>0</v>
      </c>
      <c r="Z43" s="19" t="n">
        <v>0</v>
      </c>
      <c r="AA43" s="19" t="n">
        <v>0</v>
      </c>
      <c r="AB43" s="19" t="n">
        <v>0</v>
      </c>
      <c r="AC43" s="19" t="n">
        <v>0</v>
      </c>
      <c r="AD43" s="19" t="n">
        <v>0</v>
      </c>
      <c r="AE43" s="19" t="n">
        <v>0</v>
      </c>
      <c r="AF43" s="9" t="n">
        <v>0</v>
      </c>
      <c r="AG43" s="19" t="n">
        <v>0</v>
      </c>
      <c r="AH43" s="19" t="n">
        <v>0</v>
      </c>
      <c r="AI43" s="19" t="n">
        <v>0</v>
      </c>
      <c r="AJ43" s="19" t="n">
        <v>0</v>
      </c>
      <c r="AK43" s="19" t="n">
        <v>0</v>
      </c>
      <c r="AL43" s="19" t="n">
        <v>0</v>
      </c>
      <c r="AM43" s="9" t="n">
        <v>0</v>
      </c>
      <c r="AN43" s="19" t="n">
        <v>0</v>
      </c>
      <c r="AO43" s="19" t="n">
        <v>0</v>
      </c>
      <c r="AP43" s="19" t="n">
        <v>0</v>
      </c>
      <c r="AQ43" s="19" t="n">
        <v>0</v>
      </c>
      <c r="AR43" s="19" t="n">
        <v>0</v>
      </c>
      <c r="AS43" s="19" t="n">
        <v>0</v>
      </c>
      <c r="AT43" s="10">
        <f>SUM(O43:AS43)</f>
        <v/>
      </c>
      <c r="AU43" s="20">
        <f>COUNTIF(O43:AS43, "&gt;0")</f>
        <v/>
      </c>
      <c r="AV43" s="12">
        <f>IF(AU43&gt;=5, 4, IF(AU43&gt;0, INT(AU43/6), 0))</f>
        <v/>
      </c>
      <c r="AW43" s="20" t="n">
        <v>0</v>
      </c>
      <c r="AX43" s="20" t="n">
        <v>0</v>
      </c>
      <c r="AY43" s="13">
        <f>MIN(31, AU43+AV43+AW43+AX43)</f>
        <v/>
      </c>
      <c r="AZ43" s="14">
        <f>31-AY43</f>
        <v/>
      </c>
      <c r="BA43" s="21">
        <f>IF(AX43&gt;0, "01-İstirahat", IF(AZ43&gt;0, "12-Birden Fazla", ""))</f>
        <v/>
      </c>
      <c r="BB43" s="10" t="n">
        <v>0</v>
      </c>
      <c r="BC43" s="19" t="n">
        <v>0</v>
      </c>
      <c r="BD43" s="9" t="n">
        <v>0</v>
      </c>
      <c r="BE43" s="22">
        <f>(L43/30)*AU43</f>
        <v/>
      </c>
      <c r="BF43" s="15">
        <f>(L43/225)*((BB43*1.5)-(BC43*1.0))</f>
        <v/>
      </c>
      <c r="BG43" s="16">
        <f>(L43/225)*1.5*BD43</f>
        <v/>
      </c>
      <c r="BH43" s="15">
        <f>BF43+BG43</f>
        <v/>
      </c>
      <c r="BI43" s="17">
        <f>BE43+BH43</f>
        <v/>
      </c>
      <c r="BJ43" s="22">
        <f>IFERROR(VLOOKUP(B43, Resmi_Bordro_SGK!B:M, 11, FALSE), 0)</f>
        <v/>
      </c>
      <c r="BK43" s="18">
        <f>IFERROR(VLOOKUP(B43, Icra_Takip!A:E, 4, FALSE), 0)</f>
        <v/>
      </c>
      <c r="BL43" s="17">
        <f>IF(BI43&gt;BJ43, BI43-BJ43-BK43, 0)</f>
        <v/>
      </c>
      <c r="BM43" s="17">
        <f>BI43-BK43</f>
        <v/>
      </c>
    </row>
    <row r="44" ht="19" customHeight="1">
      <c r="A44" s="4" t="n">
        <v>41</v>
      </c>
      <c r="B44" s="5" t="inlineStr">
        <is>
          <t>11284759850</t>
        </is>
      </c>
      <c r="C44" s="6" t="inlineStr">
        <is>
          <t>AYŞE ÇENECİOĞLU</t>
        </is>
      </c>
      <c r="D44" s="4" t="inlineStr">
        <is>
          <t>K</t>
        </is>
      </c>
      <c r="E44" s="4" t="inlineStr"/>
      <c r="F44" s="4" t="inlineStr">
        <is>
          <t>30.08.2023</t>
        </is>
      </c>
      <c r="G44" s="4" t="inlineStr"/>
      <c r="H44" s="4" t="inlineStr">
        <is>
          <t>NORMAL</t>
        </is>
      </c>
      <c r="I44" s="4" t="inlineStr">
        <is>
          <t>MEVSİMLİK</t>
        </is>
      </c>
      <c r="J44" s="6" t="inlineStr">
        <is>
          <t>AMBAR</t>
        </is>
      </c>
      <c r="K44" s="6" t="inlineStr">
        <is>
          <t>BİGADİÇ</t>
        </is>
      </c>
      <c r="L44" s="7" t="n">
        <v>28075.5</v>
      </c>
      <c r="M44" s="4" t="inlineStr">
        <is>
          <t>FİDE KONSERVE</t>
        </is>
      </c>
      <c r="N44" s="4" t="inlineStr">
        <is>
          <t>ALIR</t>
        </is>
      </c>
      <c r="O44" s="8" t="n">
        <v>7.5</v>
      </c>
      <c r="P44" s="8" t="n">
        <v>7.5</v>
      </c>
      <c r="Q44" s="8" t="n">
        <v>7.5</v>
      </c>
      <c r="R44" s="9" t="n">
        <v>0</v>
      </c>
      <c r="S44" s="8" t="n">
        <v>7.5</v>
      </c>
      <c r="T44" s="8" t="n">
        <v>7.5</v>
      </c>
      <c r="U44" s="8" t="n">
        <v>7.5</v>
      </c>
      <c r="V44" s="8" t="n">
        <v>7.5</v>
      </c>
      <c r="W44" s="8" t="n">
        <v>7.5</v>
      </c>
      <c r="X44" s="8" t="n">
        <v>7.5</v>
      </c>
      <c r="Y44" s="9" t="n">
        <v>0</v>
      </c>
      <c r="Z44" s="8" t="n">
        <v>8.5</v>
      </c>
      <c r="AA44" s="8" t="n">
        <v>7.5</v>
      </c>
      <c r="AB44" s="8" t="n">
        <v>7.5</v>
      </c>
      <c r="AC44" s="8" t="n">
        <v>8</v>
      </c>
      <c r="AD44" s="8" t="n">
        <v>7.5</v>
      </c>
      <c r="AE44" s="8" t="n">
        <v>7.5</v>
      </c>
      <c r="AF44" s="9" t="n">
        <v>7.5</v>
      </c>
      <c r="AG44" s="8" t="n">
        <v>7.5</v>
      </c>
      <c r="AH44" s="8" t="n">
        <v>7.5</v>
      </c>
      <c r="AI44" s="8" t="n">
        <v>7.5</v>
      </c>
      <c r="AJ44" s="8" t="n">
        <v>0</v>
      </c>
      <c r="AK44" s="8" t="n">
        <v>0</v>
      </c>
      <c r="AL44" s="8" t="n">
        <v>0</v>
      </c>
      <c r="AM44" s="9" t="n">
        <v>0</v>
      </c>
      <c r="AN44" s="8" t="n">
        <v>0</v>
      </c>
      <c r="AO44" s="8" t="n">
        <v>0</v>
      </c>
      <c r="AP44" s="8" t="n">
        <v>0</v>
      </c>
      <c r="AQ44" s="8" t="n">
        <v>0</v>
      </c>
      <c r="AR44" s="8" t="n">
        <v>0</v>
      </c>
      <c r="AS44" s="8" t="n">
        <v>0</v>
      </c>
      <c r="AT44" s="10">
        <f>SUM(O44:AS44)</f>
        <v/>
      </c>
      <c r="AU44" s="11">
        <f>COUNTIF(O44:AS44, "&gt;0")</f>
        <v/>
      </c>
      <c r="AV44" s="12">
        <f>IF(AU44&gt;=5, 4, IF(AU44&gt;0, INT(AU44/6), 0))</f>
        <v/>
      </c>
      <c r="AW44" s="11" t="n">
        <v>0</v>
      </c>
      <c r="AX44" s="11" t="n">
        <v>0</v>
      </c>
      <c r="AY44" s="13">
        <f>MIN(31, AU44+AV44+AW44+AX44)</f>
        <v/>
      </c>
      <c r="AZ44" s="14">
        <f>31-AY44</f>
        <v/>
      </c>
      <c r="BA44" s="5">
        <f>IF(AX44&gt;0, "01-İstirahat", IF(AZ44&gt;0, "12-Birden Fazla", ""))</f>
        <v/>
      </c>
      <c r="BB44" s="10" t="n">
        <v>1.5</v>
      </c>
      <c r="BC44" s="8" t="n">
        <v>0</v>
      </c>
      <c r="BD44" s="9" t="n">
        <v>7.5</v>
      </c>
      <c r="BE44" s="7">
        <f>(L44/30)*AU44</f>
        <v/>
      </c>
      <c r="BF44" s="15">
        <f>(L44/225)*((BB44*1.5)-(BC44*1.0))</f>
        <v/>
      </c>
      <c r="BG44" s="16">
        <f>(L44/225)*1.5*BD44</f>
        <v/>
      </c>
      <c r="BH44" s="15">
        <f>BF44+BG44</f>
        <v/>
      </c>
      <c r="BI44" s="17">
        <f>BE44+BH44</f>
        <v/>
      </c>
      <c r="BJ44" s="7">
        <f>IFERROR(VLOOKUP(B44, Resmi_Bordro_SGK!B:M, 11, FALSE), 0)</f>
        <v/>
      </c>
      <c r="BK44" s="18">
        <f>IFERROR(VLOOKUP(B44, Icra_Takip!A:E, 4, FALSE), 0)</f>
        <v/>
      </c>
      <c r="BL44" s="17">
        <f>IF(BI44&gt;BJ44, BI44-BJ44-BK44, 0)</f>
        <v/>
      </c>
      <c r="BM44" s="17">
        <f>BI44-BK44</f>
        <v/>
      </c>
    </row>
    <row r="45" ht="19" customHeight="1">
      <c r="A45" s="4" t="n">
        <v>42</v>
      </c>
      <c r="B45" s="5" t="inlineStr">
        <is>
          <t>10322764702</t>
        </is>
      </c>
      <c r="C45" s="6" t="inlineStr">
        <is>
          <t>AYŞE EBÜŞRAR AKKUŞ</t>
        </is>
      </c>
      <c r="D45" s="4" t="inlineStr">
        <is>
          <t>K</t>
        </is>
      </c>
      <c r="E45" s="4" t="inlineStr"/>
      <c r="F45" s="4" t="inlineStr">
        <is>
          <t>21.07.2026</t>
        </is>
      </c>
      <c r="G45" s="4" t="inlineStr"/>
      <c r="H45" s="4" t="inlineStr">
        <is>
          <t>NORMAL</t>
        </is>
      </c>
      <c r="I45" s="4" t="inlineStr">
        <is>
          <t>MEVSİMLİK</t>
        </is>
      </c>
      <c r="J45" s="6" t="inlineStr">
        <is>
          <t>BALIK TEMİZLEME</t>
        </is>
      </c>
      <c r="K45" s="6" t="inlineStr">
        <is>
          <t>GÜVEN TURİZM-MKP</t>
        </is>
      </c>
      <c r="L45" s="7" t="n">
        <v>33000</v>
      </c>
      <c r="M45" s="4" t="inlineStr">
        <is>
          <t>FİDE KONSERVE</t>
        </is>
      </c>
      <c r="N45" s="4" t="inlineStr">
        <is>
          <t>ALIR</t>
        </is>
      </c>
      <c r="O45" s="19" t="n">
        <v>0</v>
      </c>
      <c r="P45" s="19" t="n">
        <v>0</v>
      </c>
      <c r="Q45" s="19" t="n">
        <v>0</v>
      </c>
      <c r="R45" s="9" t="n">
        <v>0</v>
      </c>
      <c r="S45" s="19" t="n">
        <v>0</v>
      </c>
      <c r="T45" s="19" t="n">
        <v>0</v>
      </c>
      <c r="U45" s="19" t="n">
        <v>0</v>
      </c>
      <c r="V45" s="19" t="n">
        <v>0</v>
      </c>
      <c r="W45" s="19" t="n">
        <v>0</v>
      </c>
      <c r="X45" s="19" t="n">
        <v>0</v>
      </c>
      <c r="Y45" s="9" t="n">
        <v>0</v>
      </c>
      <c r="Z45" s="19" t="n">
        <v>0</v>
      </c>
      <c r="AA45" s="19" t="n">
        <v>0</v>
      </c>
      <c r="AB45" s="19" t="n">
        <v>0</v>
      </c>
      <c r="AC45" s="19" t="n">
        <v>0</v>
      </c>
      <c r="AD45" s="19" t="n">
        <v>0</v>
      </c>
      <c r="AE45" s="19" t="n">
        <v>0</v>
      </c>
      <c r="AF45" s="9" t="n">
        <v>0</v>
      </c>
      <c r="AG45" s="19" t="n">
        <v>0</v>
      </c>
      <c r="AH45" s="19" t="n">
        <v>0</v>
      </c>
      <c r="AI45" s="19" t="n">
        <v>0</v>
      </c>
      <c r="AJ45" s="19" t="n">
        <v>0</v>
      </c>
      <c r="AK45" s="19" t="n">
        <v>0</v>
      </c>
      <c r="AL45" s="19" t="n">
        <v>0</v>
      </c>
      <c r="AM45" s="9" t="n">
        <v>0</v>
      </c>
      <c r="AN45" s="19" t="n">
        <v>0</v>
      </c>
      <c r="AO45" s="19" t="n">
        <v>0</v>
      </c>
      <c r="AP45" s="19" t="n">
        <v>0</v>
      </c>
      <c r="AQ45" s="19" t="n">
        <v>0</v>
      </c>
      <c r="AR45" s="19" t="n">
        <v>0</v>
      </c>
      <c r="AS45" s="19" t="n">
        <v>0</v>
      </c>
      <c r="AT45" s="10">
        <f>SUM(O45:AS45)</f>
        <v/>
      </c>
      <c r="AU45" s="20">
        <f>COUNTIF(O45:AS45, "&gt;0")</f>
        <v/>
      </c>
      <c r="AV45" s="12">
        <f>IF(AU45&gt;=5, 4, IF(AU45&gt;0, INT(AU45/6), 0))</f>
        <v/>
      </c>
      <c r="AW45" s="20" t="n">
        <v>0</v>
      </c>
      <c r="AX45" s="20" t="n">
        <v>0</v>
      </c>
      <c r="AY45" s="13">
        <f>MIN(31, AU45+AV45+AW45+AX45)</f>
        <v/>
      </c>
      <c r="AZ45" s="14">
        <f>31-AY45</f>
        <v/>
      </c>
      <c r="BA45" s="21">
        <f>IF(AX45&gt;0, "01-İstirahat", IF(AZ45&gt;0, "12-Birden Fazla", ""))</f>
        <v/>
      </c>
      <c r="BB45" s="10" t="n">
        <v>0</v>
      </c>
      <c r="BC45" s="19" t="n">
        <v>0</v>
      </c>
      <c r="BD45" s="9" t="n">
        <v>0</v>
      </c>
      <c r="BE45" s="22">
        <f>(L45/30)*AU45</f>
        <v/>
      </c>
      <c r="BF45" s="15">
        <f>(L45/225)*((BB45*1.5)-(BC45*1.0))</f>
        <v/>
      </c>
      <c r="BG45" s="16">
        <f>(L45/225)*1.5*BD45</f>
        <v/>
      </c>
      <c r="BH45" s="15">
        <f>BF45+BG45</f>
        <v/>
      </c>
      <c r="BI45" s="17">
        <f>BE45+BH45</f>
        <v/>
      </c>
      <c r="BJ45" s="22">
        <f>IFERROR(VLOOKUP(B45, Resmi_Bordro_SGK!B:M, 11, FALSE), 0)</f>
        <v/>
      </c>
      <c r="BK45" s="18">
        <f>IFERROR(VLOOKUP(B45, Icra_Takip!A:E, 4, FALSE), 0)</f>
        <v/>
      </c>
      <c r="BL45" s="17">
        <f>IF(BI45&gt;BJ45, BI45-BJ45-BK45, 0)</f>
        <v/>
      </c>
      <c r="BM45" s="17">
        <f>BI45-BK45</f>
        <v/>
      </c>
    </row>
    <row r="46" ht="19" customHeight="1">
      <c r="A46" s="4" t="n">
        <v>43</v>
      </c>
      <c r="B46" s="5" t="inlineStr">
        <is>
          <t>21115582342</t>
        </is>
      </c>
      <c r="C46" s="6" t="inlineStr">
        <is>
          <t>AYŞE ERKURAL</t>
        </is>
      </c>
      <c r="D46" s="4" t="inlineStr">
        <is>
          <t>K</t>
        </is>
      </c>
      <c r="E46" s="4" t="inlineStr"/>
      <c r="F46" s="4" t="inlineStr">
        <is>
          <t>05.07.2026</t>
        </is>
      </c>
      <c r="G46" s="4" t="inlineStr"/>
      <c r="H46" s="4" t="inlineStr">
        <is>
          <t>NORMAL</t>
        </is>
      </c>
      <c r="I46" s="4" t="inlineStr">
        <is>
          <t>MEVSİMLİK</t>
        </is>
      </c>
      <c r="J46" s="6" t="inlineStr">
        <is>
          <t>ÜRETİM</t>
        </is>
      </c>
      <c r="K46" s="6" t="inlineStr">
        <is>
          <t>KARACABEY-HALİL</t>
        </is>
      </c>
      <c r="L46" s="7" t="n">
        <v>28075.5</v>
      </c>
      <c r="M46" s="4" t="inlineStr">
        <is>
          <t>FİDE KONSERVE</t>
        </is>
      </c>
      <c r="N46" s="4" t="inlineStr">
        <is>
          <t>ALIR</t>
        </is>
      </c>
      <c r="O46" s="8" t="n">
        <v>0</v>
      </c>
      <c r="P46" s="8" t="n">
        <v>0</v>
      </c>
      <c r="Q46" s="8" t="n">
        <v>0</v>
      </c>
      <c r="R46" s="9" t="n">
        <v>0</v>
      </c>
      <c r="S46" s="8" t="n">
        <v>0</v>
      </c>
      <c r="T46" s="8" t="n">
        <v>0</v>
      </c>
      <c r="U46" s="8" t="n">
        <v>0</v>
      </c>
      <c r="V46" s="8" t="n">
        <v>0</v>
      </c>
      <c r="W46" s="8" t="n">
        <v>0</v>
      </c>
      <c r="X46" s="8" t="n">
        <v>0</v>
      </c>
      <c r="Y46" s="9" t="n">
        <v>0</v>
      </c>
      <c r="Z46" s="8" t="n">
        <v>0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9" t="n">
        <v>0</v>
      </c>
      <c r="AG46" s="8" t="n">
        <v>0</v>
      </c>
      <c r="AH46" s="8" t="n">
        <v>0</v>
      </c>
      <c r="AI46" s="8" t="n">
        <v>0</v>
      </c>
      <c r="AJ46" s="8" t="n">
        <v>0</v>
      </c>
      <c r="AK46" s="8" t="n">
        <v>0</v>
      </c>
      <c r="AL46" s="8" t="n">
        <v>0</v>
      </c>
      <c r="AM46" s="9" t="n">
        <v>0</v>
      </c>
      <c r="AN46" s="8" t="n">
        <v>0</v>
      </c>
      <c r="AO46" s="8" t="n">
        <v>0</v>
      </c>
      <c r="AP46" s="8" t="n">
        <v>0</v>
      </c>
      <c r="AQ46" s="8" t="n">
        <v>0</v>
      </c>
      <c r="AR46" s="8" t="n">
        <v>0</v>
      </c>
      <c r="AS46" s="8" t="n">
        <v>0</v>
      </c>
      <c r="AT46" s="10">
        <f>SUM(O46:AS46)</f>
        <v/>
      </c>
      <c r="AU46" s="11">
        <f>COUNTIF(O46:AS46, "&gt;0")</f>
        <v/>
      </c>
      <c r="AV46" s="12">
        <f>IF(AU46&gt;=5, 4, IF(AU46&gt;0, INT(AU46/6), 0))</f>
        <v/>
      </c>
      <c r="AW46" s="11" t="n">
        <v>0</v>
      </c>
      <c r="AX46" s="11" t="n">
        <v>0</v>
      </c>
      <c r="AY46" s="13">
        <f>MIN(31, AU46+AV46+AW46+AX46)</f>
        <v/>
      </c>
      <c r="AZ46" s="14">
        <f>31-AY46</f>
        <v/>
      </c>
      <c r="BA46" s="5">
        <f>IF(AX46&gt;0, "01-İstirahat", IF(AZ46&gt;0, "12-Birden Fazla", ""))</f>
        <v/>
      </c>
      <c r="BB46" s="10" t="n">
        <v>0</v>
      </c>
      <c r="BC46" s="8" t="n">
        <v>0</v>
      </c>
      <c r="BD46" s="9" t="n">
        <v>0</v>
      </c>
      <c r="BE46" s="7">
        <f>(L46/30)*AU46</f>
        <v/>
      </c>
      <c r="BF46" s="15">
        <f>(L46/225)*((BB46*1.5)-(BC46*1.0))</f>
        <v/>
      </c>
      <c r="BG46" s="16">
        <f>(L46/225)*1.5*BD46</f>
        <v/>
      </c>
      <c r="BH46" s="15">
        <f>BF46+BG46</f>
        <v/>
      </c>
      <c r="BI46" s="17">
        <f>BE46+BH46</f>
        <v/>
      </c>
      <c r="BJ46" s="7">
        <f>IFERROR(VLOOKUP(B46, Resmi_Bordro_SGK!B:M, 11, FALSE), 0)</f>
        <v/>
      </c>
      <c r="BK46" s="18">
        <f>IFERROR(VLOOKUP(B46, Icra_Takip!A:E, 4, FALSE), 0)</f>
        <v/>
      </c>
      <c r="BL46" s="17">
        <f>IF(BI46&gt;BJ46, BI46-BJ46-BK46, 0)</f>
        <v/>
      </c>
      <c r="BM46" s="17">
        <f>BI46-BK46</f>
        <v/>
      </c>
    </row>
    <row r="47" ht="19" customHeight="1">
      <c r="A47" s="4" t="n">
        <v>44</v>
      </c>
      <c r="B47" s="5" t="inlineStr">
        <is>
          <t>24280352994</t>
        </is>
      </c>
      <c r="C47" s="6" t="inlineStr">
        <is>
          <t>AYŞE KARAMAN</t>
        </is>
      </c>
      <c r="D47" s="4" t="inlineStr">
        <is>
          <t>K</t>
        </is>
      </c>
      <c r="E47" s="4" t="inlineStr"/>
      <c r="F47" s="4" t="inlineStr">
        <is>
          <t>10.02.2026</t>
        </is>
      </c>
      <c r="G47" s="4" t="inlineStr"/>
      <c r="H47" s="4" t="inlineStr">
        <is>
          <t>NORMAL</t>
        </is>
      </c>
      <c r="I47" s="4" t="inlineStr">
        <is>
          <t>MEVSİMLİK</t>
        </is>
      </c>
      <c r="J47" s="6" t="inlineStr">
        <is>
          <t>BALIK TEMİZLEME</t>
        </is>
      </c>
      <c r="K47" s="6" t="inlineStr">
        <is>
          <t>BALIKESİR</t>
        </is>
      </c>
      <c r="L47" s="7" t="n">
        <v>33000</v>
      </c>
      <c r="M47" s="4" t="inlineStr">
        <is>
          <t>FİDE KONSERVE</t>
        </is>
      </c>
      <c r="N47" s="4" t="inlineStr">
        <is>
          <t>ALIR</t>
        </is>
      </c>
      <c r="O47" s="19" t="n">
        <v>8</v>
      </c>
      <c r="P47" s="19" t="n">
        <v>8</v>
      </c>
      <c r="Q47" s="19" t="n">
        <v>8</v>
      </c>
      <c r="R47" s="9" t="n">
        <v>0</v>
      </c>
      <c r="S47" s="19" t="n">
        <v>7.5</v>
      </c>
      <c r="T47" s="19" t="n">
        <v>8</v>
      </c>
      <c r="U47" s="19" t="n">
        <v>7.5</v>
      </c>
      <c r="V47" s="19" t="n">
        <v>8</v>
      </c>
      <c r="W47" s="19" t="n">
        <v>8</v>
      </c>
      <c r="X47" s="19" t="n">
        <v>8.5</v>
      </c>
      <c r="Y47" s="9" t="n">
        <v>0</v>
      </c>
      <c r="Z47" s="19" t="n">
        <v>7.5</v>
      </c>
      <c r="AA47" s="19" t="n">
        <v>7.5</v>
      </c>
      <c r="AB47" s="19" t="n">
        <v>8.5</v>
      </c>
      <c r="AC47" s="19" t="n">
        <v>7.5</v>
      </c>
      <c r="AD47" s="19" t="n">
        <v>7.5</v>
      </c>
      <c r="AE47" s="19" t="n">
        <v>8.5</v>
      </c>
      <c r="AF47" s="9" t="n">
        <v>0</v>
      </c>
      <c r="AG47" s="19" t="n">
        <v>8</v>
      </c>
      <c r="AH47" s="19" t="n">
        <v>7.5</v>
      </c>
      <c r="AI47" s="19" t="n">
        <v>7.5</v>
      </c>
      <c r="AJ47" s="19" t="n">
        <v>0</v>
      </c>
      <c r="AK47" s="19" t="n">
        <v>0</v>
      </c>
      <c r="AL47" s="19" t="n">
        <v>0</v>
      </c>
      <c r="AM47" s="9" t="n">
        <v>0</v>
      </c>
      <c r="AN47" s="19" t="n">
        <v>0</v>
      </c>
      <c r="AO47" s="19" t="n">
        <v>0</v>
      </c>
      <c r="AP47" s="19" t="n">
        <v>0</v>
      </c>
      <c r="AQ47" s="19" t="n">
        <v>0</v>
      </c>
      <c r="AR47" s="19" t="n">
        <v>0</v>
      </c>
      <c r="AS47" s="19" t="n">
        <v>0</v>
      </c>
      <c r="AT47" s="10">
        <f>SUM(O47:AS47)</f>
        <v/>
      </c>
      <c r="AU47" s="20">
        <f>COUNTIF(O47:AS47, "&gt;0")</f>
        <v/>
      </c>
      <c r="AV47" s="12">
        <f>IF(AU47&gt;=5, 4, IF(AU47&gt;0, INT(AU47/6), 0))</f>
        <v/>
      </c>
      <c r="AW47" s="20" t="n">
        <v>2</v>
      </c>
      <c r="AX47" s="20" t="n">
        <v>0</v>
      </c>
      <c r="AY47" s="13">
        <f>MIN(31, AU47+AV47+AW47+AX47)</f>
        <v/>
      </c>
      <c r="AZ47" s="14">
        <f>31-AY47</f>
        <v/>
      </c>
      <c r="BA47" s="21">
        <f>IF(AX47&gt;0, "01-İstirahat", IF(AZ47&gt;0, "12-Birden Fazla", ""))</f>
        <v/>
      </c>
      <c r="BB47" s="10" t="n">
        <v>6.5</v>
      </c>
      <c r="BC47" s="19" t="n">
        <v>0</v>
      </c>
      <c r="BD47" s="9" t="n">
        <v>0</v>
      </c>
      <c r="BE47" s="22">
        <f>(L47/30)*AU47</f>
        <v/>
      </c>
      <c r="BF47" s="15">
        <f>(L47/225)*((BB47*1.5)-(BC47*1.0))</f>
        <v/>
      </c>
      <c r="BG47" s="16">
        <f>(L47/225)*1.5*BD47</f>
        <v/>
      </c>
      <c r="BH47" s="15">
        <f>BF47+BG47</f>
        <v/>
      </c>
      <c r="BI47" s="17">
        <f>BE47+BH47</f>
        <v/>
      </c>
      <c r="BJ47" s="22">
        <f>IFERROR(VLOOKUP(B47, Resmi_Bordro_SGK!B:M, 11, FALSE), 0)</f>
        <v/>
      </c>
      <c r="BK47" s="18">
        <f>IFERROR(VLOOKUP(B47, Icra_Takip!A:E, 4, FALSE), 0)</f>
        <v/>
      </c>
      <c r="BL47" s="17">
        <f>IF(BI47&gt;BJ47, BI47-BJ47-BK47, 0)</f>
        <v/>
      </c>
      <c r="BM47" s="17">
        <f>BI47-BK47</f>
        <v/>
      </c>
    </row>
    <row r="48" ht="19" customHeight="1">
      <c r="A48" s="4" t="n">
        <v>45</v>
      </c>
      <c r="B48" s="5" t="inlineStr">
        <is>
          <t>33253033204</t>
        </is>
      </c>
      <c r="C48" s="6" t="inlineStr">
        <is>
          <t>AYŞE KURT</t>
        </is>
      </c>
      <c r="D48" s="4" t="inlineStr">
        <is>
          <t>K</t>
        </is>
      </c>
      <c r="E48" s="4" t="inlineStr"/>
      <c r="F48" s="4" t="inlineStr">
        <is>
          <t>03.12.2021</t>
        </is>
      </c>
      <c r="G48" s="4" t="inlineStr"/>
      <c r="H48" s="4" t="inlineStr">
        <is>
          <t>NORMAL</t>
        </is>
      </c>
      <c r="I48" s="4" t="inlineStr">
        <is>
          <t>MEVSİMLİK</t>
        </is>
      </c>
      <c r="J48" s="6" t="inlineStr">
        <is>
          <t>ÜRETİM</t>
        </is>
      </c>
      <c r="K48" s="6" t="inlineStr">
        <is>
          <t>BİGADİÇ</t>
        </is>
      </c>
      <c r="L48" s="7" t="n">
        <v>28075.5</v>
      </c>
      <c r="M48" s="4" t="inlineStr">
        <is>
          <t>FİDE KONSERVE</t>
        </is>
      </c>
      <c r="N48" s="4" t="inlineStr">
        <is>
          <t>ALIR</t>
        </is>
      </c>
      <c r="O48" s="8" t="n">
        <v>7.5</v>
      </c>
      <c r="P48" s="8" t="n">
        <v>7.5</v>
      </c>
      <c r="Q48" s="8" t="n">
        <v>7.5</v>
      </c>
      <c r="R48" s="9" t="n">
        <v>0</v>
      </c>
      <c r="S48" s="8" t="n">
        <v>7.5</v>
      </c>
      <c r="T48" s="8" t="n">
        <v>7.5</v>
      </c>
      <c r="U48" s="8" t="n">
        <v>7.5</v>
      </c>
      <c r="V48" s="8" t="n">
        <v>7.5</v>
      </c>
      <c r="W48" s="8" t="n">
        <v>7.5</v>
      </c>
      <c r="X48" s="8" t="n">
        <v>7.5</v>
      </c>
      <c r="Y48" s="9" t="n">
        <v>0</v>
      </c>
      <c r="Z48" s="8" t="n">
        <v>7.5</v>
      </c>
      <c r="AA48" s="8" t="n">
        <v>7.5</v>
      </c>
      <c r="AB48" s="8" t="n">
        <v>8</v>
      </c>
      <c r="AC48" s="8" t="n">
        <v>7.5</v>
      </c>
      <c r="AD48" s="8" t="n">
        <v>7.5</v>
      </c>
      <c r="AE48" s="8" t="n">
        <v>7.5</v>
      </c>
      <c r="AF48" s="9" t="n">
        <v>0</v>
      </c>
      <c r="AG48" s="8" t="n">
        <v>7.5</v>
      </c>
      <c r="AH48" s="8" t="n">
        <v>7.5</v>
      </c>
      <c r="AI48" s="23" t="n">
        <v>7.5</v>
      </c>
      <c r="AJ48" s="8" t="n">
        <v>0</v>
      </c>
      <c r="AK48" s="8" t="n">
        <v>0</v>
      </c>
      <c r="AL48" s="8" t="n">
        <v>0</v>
      </c>
      <c r="AM48" s="9" t="n">
        <v>0</v>
      </c>
      <c r="AN48" s="8" t="n">
        <v>0</v>
      </c>
      <c r="AO48" s="8" t="n">
        <v>0</v>
      </c>
      <c r="AP48" s="8" t="n">
        <v>0</v>
      </c>
      <c r="AQ48" s="8" t="n">
        <v>0</v>
      </c>
      <c r="AR48" s="8" t="n">
        <v>0</v>
      </c>
      <c r="AS48" s="8" t="n">
        <v>0</v>
      </c>
      <c r="AT48" s="10">
        <f>SUM(O48:AS48)</f>
        <v/>
      </c>
      <c r="AU48" s="11">
        <f>COUNTIF(O48:AS48, "&gt;0")</f>
        <v/>
      </c>
      <c r="AV48" s="12">
        <f>IF(AU48&gt;=5, 4, IF(AU48&gt;0, INT(AU48/6), 0))</f>
        <v/>
      </c>
      <c r="AW48" s="11" t="n">
        <v>0</v>
      </c>
      <c r="AX48" s="11" t="n">
        <v>0</v>
      </c>
      <c r="AY48" s="13">
        <f>MIN(31, AU48+AV48+AW48+AX48)</f>
        <v/>
      </c>
      <c r="AZ48" s="14">
        <f>31-AY48</f>
        <v/>
      </c>
      <c r="BA48" s="5">
        <f>IF(AX48&gt;0, "01-İstirahat", IF(AZ48&gt;0, "12-Birden Fazla", ""))</f>
        <v/>
      </c>
      <c r="BB48" s="10" t="n">
        <v>0.5</v>
      </c>
      <c r="BC48" s="8" t="n">
        <v>0</v>
      </c>
      <c r="BD48" s="9" t="n">
        <v>0</v>
      </c>
      <c r="BE48" s="7">
        <f>(L48/30)*AU48</f>
        <v/>
      </c>
      <c r="BF48" s="15">
        <f>(L48/225)*((BB48*1.5)-(BC48*1.0))</f>
        <v/>
      </c>
      <c r="BG48" s="16">
        <f>(L48/225)*1.5*BD48</f>
        <v/>
      </c>
      <c r="BH48" s="15">
        <f>BF48+BG48</f>
        <v/>
      </c>
      <c r="BI48" s="17">
        <f>BE48+BH48</f>
        <v/>
      </c>
      <c r="BJ48" s="7">
        <f>IFERROR(VLOOKUP(B48, Resmi_Bordro_SGK!B:M, 11, FALSE), 0)</f>
        <v/>
      </c>
      <c r="BK48" s="18">
        <f>IFERROR(VLOOKUP(B48, Icra_Takip!A:E, 4, FALSE), 0)</f>
        <v/>
      </c>
      <c r="BL48" s="17">
        <f>IF(BI48&gt;BJ48, BI48-BJ48-BK48, 0)</f>
        <v/>
      </c>
      <c r="BM48" s="17">
        <f>BI48-BK48</f>
        <v/>
      </c>
    </row>
    <row r="49" ht="19" customHeight="1">
      <c r="A49" s="4" t="n">
        <v>46</v>
      </c>
      <c r="B49" s="5" t="inlineStr">
        <is>
          <t>34120156552</t>
        </is>
      </c>
      <c r="C49" s="6" t="inlineStr">
        <is>
          <t>AYŞE YILMAZ-MKP</t>
        </is>
      </c>
      <c r="D49" s="4" t="inlineStr">
        <is>
          <t>K</t>
        </is>
      </c>
      <c r="E49" s="4" t="inlineStr"/>
      <c r="F49" s="4" t="inlineStr">
        <is>
          <t>10.02.2026</t>
        </is>
      </c>
      <c r="G49" s="4" t="inlineStr"/>
      <c r="H49" s="4" t="inlineStr">
        <is>
          <t>NORMAL</t>
        </is>
      </c>
      <c r="I49" s="4" t="inlineStr">
        <is>
          <t>MEVSİMLİK</t>
        </is>
      </c>
      <c r="J49" s="6" t="inlineStr">
        <is>
          <t>BALIK DOLUM</t>
        </is>
      </c>
      <c r="K49" s="6" t="inlineStr">
        <is>
          <t>MKP</t>
        </is>
      </c>
      <c r="L49" s="7" t="n">
        <v>33000</v>
      </c>
      <c r="M49" s="4" t="inlineStr">
        <is>
          <t>FİDE KONSERVE</t>
        </is>
      </c>
      <c r="N49" s="4" t="inlineStr">
        <is>
          <t>ALIR</t>
        </is>
      </c>
      <c r="O49" s="19" t="n">
        <v>8.5</v>
      </c>
      <c r="P49" s="19" t="n">
        <v>9</v>
      </c>
      <c r="Q49" s="19" t="n">
        <v>8.5</v>
      </c>
      <c r="R49" s="9" t="n">
        <v>0</v>
      </c>
      <c r="S49" s="19" t="n">
        <v>8</v>
      </c>
      <c r="T49" s="19" t="n">
        <v>8.5</v>
      </c>
      <c r="U49" s="19" t="n">
        <v>6.5</v>
      </c>
      <c r="V49" s="19" t="n">
        <v>10</v>
      </c>
      <c r="W49" s="19" t="n">
        <v>8.5</v>
      </c>
      <c r="X49" s="19" t="n">
        <v>13.5</v>
      </c>
      <c r="Y49" s="9" t="n">
        <v>0</v>
      </c>
      <c r="Z49" s="19" t="n">
        <v>7.5</v>
      </c>
      <c r="AA49" s="19" t="n">
        <v>7.5</v>
      </c>
      <c r="AB49" s="19" t="n">
        <v>9</v>
      </c>
      <c r="AC49" s="19" t="n">
        <v>7.5</v>
      </c>
      <c r="AD49" s="19" t="n">
        <v>9</v>
      </c>
      <c r="AE49" s="19" t="n">
        <v>9</v>
      </c>
      <c r="AF49" s="9" t="n">
        <v>0</v>
      </c>
      <c r="AG49" s="19" t="n">
        <v>7</v>
      </c>
      <c r="AH49" s="19" t="n">
        <v>8</v>
      </c>
      <c r="AI49" s="19" t="n">
        <v>8</v>
      </c>
      <c r="AJ49" s="19" t="n">
        <v>0</v>
      </c>
      <c r="AK49" s="19" t="n">
        <v>0</v>
      </c>
      <c r="AL49" s="19" t="n">
        <v>0</v>
      </c>
      <c r="AM49" s="9" t="n">
        <v>0</v>
      </c>
      <c r="AN49" s="19" t="n">
        <v>0</v>
      </c>
      <c r="AO49" s="19" t="n">
        <v>0</v>
      </c>
      <c r="AP49" s="19" t="n">
        <v>0</v>
      </c>
      <c r="AQ49" s="19" t="n">
        <v>0</v>
      </c>
      <c r="AR49" s="19" t="n">
        <v>0</v>
      </c>
      <c r="AS49" s="19" t="n">
        <v>0</v>
      </c>
      <c r="AT49" s="10">
        <f>SUM(O49:AS49)</f>
        <v/>
      </c>
      <c r="AU49" s="20">
        <f>COUNTIF(O49:AS49, "&gt;0")</f>
        <v/>
      </c>
      <c r="AV49" s="12">
        <f>IF(AU49&gt;=5, 4, IF(AU49&gt;0, INT(AU49/6), 0))</f>
        <v/>
      </c>
      <c r="AW49" s="20" t="n">
        <v>4</v>
      </c>
      <c r="AX49" s="20" t="n">
        <v>0</v>
      </c>
      <c r="AY49" s="13">
        <f>MIN(31, AU49+AV49+AW49+AX49)</f>
        <v/>
      </c>
      <c r="AZ49" s="14">
        <f>31-AY49</f>
        <v/>
      </c>
      <c r="BA49" s="21">
        <f>IF(AX49&gt;0, "01-İstirahat", IF(AZ49&gt;0, "12-Birden Fazla", ""))</f>
        <v/>
      </c>
      <c r="BB49" s="10" t="n">
        <v>41</v>
      </c>
      <c r="BC49" s="23" t="n">
        <v>1.5</v>
      </c>
      <c r="BD49" s="9" t="n">
        <v>0</v>
      </c>
      <c r="BE49" s="22">
        <f>(L49/30)*AU49</f>
        <v/>
      </c>
      <c r="BF49" s="15">
        <f>(L49/225)*((BB49*1.5)-(BC49*1.0))</f>
        <v/>
      </c>
      <c r="BG49" s="16">
        <f>(L49/225)*1.5*BD49</f>
        <v/>
      </c>
      <c r="BH49" s="15">
        <f>BF49+BG49</f>
        <v/>
      </c>
      <c r="BI49" s="17">
        <f>BE49+BH49</f>
        <v/>
      </c>
      <c r="BJ49" s="22">
        <f>IFERROR(VLOOKUP(B49, Resmi_Bordro_SGK!B:M, 11, FALSE), 0)</f>
        <v/>
      </c>
      <c r="BK49" s="18">
        <f>IFERROR(VLOOKUP(B49, Icra_Takip!A:E, 4, FALSE), 0)</f>
        <v/>
      </c>
      <c r="BL49" s="17">
        <f>IF(BI49&gt;BJ49, BI49-BJ49-BK49, 0)</f>
        <v/>
      </c>
      <c r="BM49" s="17">
        <f>BI49-BK49</f>
        <v/>
      </c>
    </row>
    <row r="50" ht="19" customHeight="1">
      <c r="A50" s="4" t="n">
        <v>47</v>
      </c>
      <c r="B50" s="5" t="inlineStr">
        <is>
          <t>10423940036</t>
        </is>
      </c>
      <c r="C50" s="6" t="inlineStr">
        <is>
          <t>AYŞENUR BURAN</t>
        </is>
      </c>
      <c r="D50" s="4" t="inlineStr">
        <is>
          <t>K</t>
        </is>
      </c>
      <c r="E50" s="4" t="inlineStr"/>
      <c r="F50" s="4" t="inlineStr">
        <is>
          <t>29.06.2026</t>
        </is>
      </c>
      <c r="G50" s="4" t="inlineStr"/>
      <c r="H50" s="4" t="inlineStr">
        <is>
          <t>NORMAL</t>
        </is>
      </c>
      <c r="I50" s="4" t="inlineStr">
        <is>
          <t>MEVSİMLİK</t>
        </is>
      </c>
      <c r="J50" s="6" t="inlineStr">
        <is>
          <t>ÜRETİM</t>
        </is>
      </c>
      <c r="K50" s="6" t="inlineStr">
        <is>
          <t>KARACABEY-HALİL</t>
        </is>
      </c>
      <c r="L50" s="7" t="n">
        <v>28075.5</v>
      </c>
      <c r="M50" s="4" t="inlineStr">
        <is>
          <t>FİDE KONSERVE</t>
        </is>
      </c>
      <c r="N50" s="4" t="inlineStr">
        <is>
          <t>ALIR</t>
        </is>
      </c>
      <c r="O50" s="8" t="n">
        <v>0</v>
      </c>
      <c r="P50" s="8" t="n">
        <v>0</v>
      </c>
      <c r="Q50" s="8" t="n">
        <v>0</v>
      </c>
      <c r="R50" s="9" t="n">
        <v>0</v>
      </c>
      <c r="S50" s="8" t="n">
        <v>0</v>
      </c>
      <c r="T50" s="8" t="n">
        <v>0</v>
      </c>
      <c r="U50" s="8" t="n">
        <v>0</v>
      </c>
      <c r="V50" s="8" t="n">
        <v>0</v>
      </c>
      <c r="W50" s="8" t="n">
        <v>0</v>
      </c>
      <c r="X50" s="8" t="n">
        <v>0</v>
      </c>
      <c r="Y50" s="9" t="n">
        <v>0</v>
      </c>
      <c r="Z50" s="8" t="n">
        <v>0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9" t="n">
        <v>0</v>
      </c>
      <c r="AG50" s="8" t="n">
        <v>0</v>
      </c>
      <c r="AH50" s="8" t="n">
        <v>0</v>
      </c>
      <c r="AI50" s="8" t="n">
        <v>0</v>
      </c>
      <c r="AJ50" s="8" t="n">
        <v>0</v>
      </c>
      <c r="AK50" s="8" t="n">
        <v>0</v>
      </c>
      <c r="AL50" s="8" t="n">
        <v>0</v>
      </c>
      <c r="AM50" s="9" t="n">
        <v>0</v>
      </c>
      <c r="AN50" s="8" t="n">
        <v>0</v>
      </c>
      <c r="AO50" s="8" t="n">
        <v>0</v>
      </c>
      <c r="AP50" s="8" t="n">
        <v>0</v>
      </c>
      <c r="AQ50" s="8" t="n">
        <v>0</v>
      </c>
      <c r="AR50" s="8" t="n">
        <v>0</v>
      </c>
      <c r="AS50" s="8" t="n">
        <v>0</v>
      </c>
      <c r="AT50" s="10">
        <f>SUM(O50:AS50)</f>
        <v/>
      </c>
      <c r="AU50" s="11">
        <f>COUNTIF(O50:AS50, "&gt;0")</f>
        <v/>
      </c>
      <c r="AV50" s="12">
        <f>IF(AU50&gt;=5, 4, IF(AU50&gt;0, INT(AU50/6), 0))</f>
        <v/>
      </c>
      <c r="AW50" s="11" t="n">
        <v>0</v>
      </c>
      <c r="AX50" s="11" t="n">
        <v>0</v>
      </c>
      <c r="AY50" s="13">
        <f>MIN(31, AU50+AV50+AW50+AX50)</f>
        <v/>
      </c>
      <c r="AZ50" s="14">
        <f>31-AY50</f>
        <v/>
      </c>
      <c r="BA50" s="5">
        <f>IF(AX50&gt;0, "01-İstirahat", IF(AZ50&gt;0, "12-Birden Fazla", ""))</f>
        <v/>
      </c>
      <c r="BB50" s="10" t="n">
        <v>0</v>
      </c>
      <c r="BC50" s="8" t="n">
        <v>0</v>
      </c>
      <c r="BD50" s="9" t="n">
        <v>0</v>
      </c>
      <c r="BE50" s="7">
        <f>(L50/30)*AU50</f>
        <v/>
      </c>
      <c r="BF50" s="15">
        <f>(L50/225)*((BB50*1.5)-(BC50*1.0))</f>
        <v/>
      </c>
      <c r="BG50" s="16">
        <f>(L50/225)*1.5*BD50</f>
        <v/>
      </c>
      <c r="BH50" s="15">
        <f>BF50+BG50</f>
        <v/>
      </c>
      <c r="BI50" s="17">
        <f>BE50+BH50</f>
        <v/>
      </c>
      <c r="BJ50" s="7">
        <f>IFERROR(VLOOKUP(B50, Resmi_Bordro_SGK!B:M, 11, FALSE), 0)</f>
        <v/>
      </c>
      <c r="BK50" s="18">
        <f>IFERROR(VLOOKUP(B50, Icra_Takip!A:E, 4, FALSE), 0)</f>
        <v/>
      </c>
      <c r="BL50" s="17">
        <f>IF(BI50&gt;BJ50, BI50-BJ50-BK50, 0)</f>
        <v/>
      </c>
      <c r="BM50" s="17">
        <f>BI50-BK50</f>
        <v/>
      </c>
    </row>
    <row r="51" ht="19" customHeight="1">
      <c r="A51" s="4" t="n">
        <v>48</v>
      </c>
      <c r="B51" s="5" t="inlineStr">
        <is>
          <t>49558767270</t>
        </is>
      </c>
      <c r="C51" s="6" t="inlineStr">
        <is>
          <t>AZİZE KAYAR</t>
        </is>
      </c>
      <c r="D51" s="4" t="inlineStr">
        <is>
          <t>K</t>
        </is>
      </c>
      <c r="E51" s="4" t="inlineStr"/>
      <c r="F51" s="4" t="inlineStr">
        <is>
          <t>16.07.2026</t>
        </is>
      </c>
      <c r="G51" s="4" t="inlineStr"/>
      <c r="H51" s="4" t="inlineStr">
        <is>
          <t>NORMAL</t>
        </is>
      </c>
      <c r="I51" s="4" t="inlineStr">
        <is>
          <t>MEVSİMLİK</t>
        </is>
      </c>
      <c r="J51" s="6" t="inlineStr">
        <is>
          <t>ÜRETİM</t>
        </is>
      </c>
      <c r="K51" s="6" t="inlineStr">
        <is>
          <t>KARACABEY-HALİL</t>
        </is>
      </c>
      <c r="L51" s="7" t="n">
        <v>28075.5</v>
      </c>
      <c r="M51" s="4" t="inlineStr">
        <is>
          <t>FİDE KONSERVE</t>
        </is>
      </c>
      <c r="N51" s="4" t="inlineStr">
        <is>
          <t>ALIR</t>
        </is>
      </c>
      <c r="O51" s="19" t="n">
        <v>0</v>
      </c>
      <c r="P51" s="19" t="n">
        <v>0</v>
      </c>
      <c r="Q51" s="19" t="n">
        <v>0</v>
      </c>
      <c r="R51" s="9" t="n">
        <v>0</v>
      </c>
      <c r="S51" s="19" t="n">
        <v>0</v>
      </c>
      <c r="T51" s="19" t="n">
        <v>0</v>
      </c>
      <c r="U51" s="19" t="n">
        <v>0</v>
      </c>
      <c r="V51" s="19" t="n">
        <v>0</v>
      </c>
      <c r="W51" s="19" t="n">
        <v>0</v>
      </c>
      <c r="X51" s="19" t="n">
        <v>0</v>
      </c>
      <c r="Y51" s="9" t="n">
        <v>0</v>
      </c>
      <c r="Z51" s="19" t="n">
        <v>0</v>
      </c>
      <c r="AA51" s="19" t="n">
        <v>0</v>
      </c>
      <c r="AB51" s="19" t="n">
        <v>0</v>
      </c>
      <c r="AC51" s="19" t="n">
        <v>0</v>
      </c>
      <c r="AD51" s="19" t="n">
        <v>0</v>
      </c>
      <c r="AE51" s="19" t="n">
        <v>0</v>
      </c>
      <c r="AF51" s="9" t="n">
        <v>0</v>
      </c>
      <c r="AG51" s="19" t="n">
        <v>0</v>
      </c>
      <c r="AH51" s="19" t="n">
        <v>0</v>
      </c>
      <c r="AI51" s="19" t="n">
        <v>0</v>
      </c>
      <c r="AJ51" s="19" t="n">
        <v>0</v>
      </c>
      <c r="AK51" s="19" t="n">
        <v>0</v>
      </c>
      <c r="AL51" s="19" t="n">
        <v>0</v>
      </c>
      <c r="AM51" s="9" t="n">
        <v>0</v>
      </c>
      <c r="AN51" s="19" t="n">
        <v>0</v>
      </c>
      <c r="AO51" s="19" t="n">
        <v>0</v>
      </c>
      <c r="AP51" s="19" t="n">
        <v>0</v>
      </c>
      <c r="AQ51" s="19" t="n">
        <v>0</v>
      </c>
      <c r="AR51" s="19" t="n">
        <v>0</v>
      </c>
      <c r="AS51" s="19" t="n">
        <v>0</v>
      </c>
      <c r="AT51" s="10">
        <f>SUM(O51:AS51)</f>
        <v/>
      </c>
      <c r="AU51" s="20">
        <f>COUNTIF(O51:AS51, "&gt;0")</f>
        <v/>
      </c>
      <c r="AV51" s="12">
        <f>IF(AU51&gt;=5, 4, IF(AU51&gt;0, INT(AU51/6), 0))</f>
        <v/>
      </c>
      <c r="AW51" s="20" t="n">
        <v>0</v>
      </c>
      <c r="AX51" s="20" t="n">
        <v>0</v>
      </c>
      <c r="AY51" s="13">
        <f>MIN(31, AU51+AV51+AW51+AX51)</f>
        <v/>
      </c>
      <c r="AZ51" s="14">
        <f>31-AY51</f>
        <v/>
      </c>
      <c r="BA51" s="21">
        <f>IF(AX51&gt;0, "01-İstirahat", IF(AZ51&gt;0, "12-Birden Fazla", ""))</f>
        <v/>
      </c>
      <c r="BB51" s="10" t="n">
        <v>0</v>
      </c>
      <c r="BC51" s="19" t="n">
        <v>0</v>
      </c>
      <c r="BD51" s="9" t="n">
        <v>0</v>
      </c>
      <c r="BE51" s="22">
        <f>(L51/30)*AU51</f>
        <v/>
      </c>
      <c r="BF51" s="15">
        <f>(L51/225)*((BB51*1.5)-(BC51*1.0))</f>
        <v/>
      </c>
      <c r="BG51" s="16">
        <f>(L51/225)*1.5*BD51</f>
        <v/>
      </c>
      <c r="BH51" s="15">
        <f>BF51+BG51</f>
        <v/>
      </c>
      <c r="BI51" s="17">
        <f>BE51+BH51</f>
        <v/>
      </c>
      <c r="BJ51" s="22">
        <f>IFERROR(VLOOKUP(B51, Resmi_Bordro_SGK!B:M, 11, FALSE), 0)</f>
        <v/>
      </c>
      <c r="BK51" s="18">
        <f>IFERROR(VLOOKUP(B51, Icra_Takip!A:E, 4, FALSE), 0)</f>
        <v/>
      </c>
      <c r="BL51" s="17">
        <f>IF(BI51&gt;BJ51, BI51-BJ51-BK51, 0)</f>
        <v/>
      </c>
      <c r="BM51" s="17">
        <f>BI51-BK51</f>
        <v/>
      </c>
    </row>
    <row r="52" ht="19" customHeight="1">
      <c r="A52" s="4" t="n">
        <v>49</v>
      </c>
      <c r="B52" s="5" t="inlineStr"/>
      <c r="C52" s="6" t="inlineStr">
        <is>
          <t>BAHADIR BAKAR</t>
        </is>
      </c>
      <c r="D52" s="4" t="inlineStr"/>
      <c r="E52" s="4" t="inlineStr"/>
      <c r="F52" s="4" t="inlineStr"/>
      <c r="G52" s="4" t="inlineStr"/>
      <c r="H52" s="4" t="inlineStr">
        <is>
          <t>NORMAL</t>
        </is>
      </c>
      <c r="I52" s="4" t="inlineStr">
        <is>
          <t>MEVSİMLİK</t>
        </is>
      </c>
      <c r="J52" s="6" t="inlineStr"/>
      <c r="K52" s="6" t="inlineStr"/>
      <c r="L52" s="7" t="n">
        <v>28075.5</v>
      </c>
      <c r="M52" s="4" t="inlineStr">
        <is>
          <t>FİDE KONSERVE</t>
        </is>
      </c>
      <c r="N52" s="4" t="inlineStr">
        <is>
          <t>ALIR</t>
        </is>
      </c>
      <c r="O52" s="8" t="n">
        <v>0</v>
      </c>
      <c r="P52" s="8" t="n">
        <v>0</v>
      </c>
      <c r="Q52" s="8" t="n">
        <v>0</v>
      </c>
      <c r="R52" s="9" t="n">
        <v>0</v>
      </c>
      <c r="S52" s="8" t="n">
        <v>0</v>
      </c>
      <c r="T52" s="8" t="n">
        <v>0</v>
      </c>
      <c r="U52" s="8" t="n">
        <v>0</v>
      </c>
      <c r="V52" s="8" t="n">
        <v>0</v>
      </c>
      <c r="W52" s="8" t="n">
        <v>0</v>
      </c>
      <c r="X52" s="8" t="n">
        <v>0</v>
      </c>
      <c r="Y52" s="9" t="n">
        <v>0</v>
      </c>
      <c r="Z52" s="8" t="n">
        <v>0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9" t="n">
        <v>0</v>
      </c>
      <c r="AG52" s="8" t="n">
        <v>0</v>
      </c>
      <c r="AH52" s="8" t="n">
        <v>0</v>
      </c>
      <c r="AI52" s="8" t="n">
        <v>0</v>
      </c>
      <c r="AJ52" s="8" t="n">
        <v>0</v>
      </c>
      <c r="AK52" s="8" t="n">
        <v>0</v>
      </c>
      <c r="AL52" s="8" t="n">
        <v>0</v>
      </c>
      <c r="AM52" s="9" t="n">
        <v>0</v>
      </c>
      <c r="AN52" s="8" t="n">
        <v>0</v>
      </c>
      <c r="AO52" s="8" t="n">
        <v>0</v>
      </c>
      <c r="AP52" s="8" t="n">
        <v>0</v>
      </c>
      <c r="AQ52" s="8" t="n">
        <v>0</v>
      </c>
      <c r="AR52" s="8" t="n">
        <v>0</v>
      </c>
      <c r="AS52" s="8" t="n">
        <v>0</v>
      </c>
      <c r="AT52" s="10">
        <f>SUM(O52:AS52)</f>
        <v/>
      </c>
      <c r="AU52" s="11">
        <f>COUNTIF(O52:AS52, "&gt;0")</f>
        <v/>
      </c>
      <c r="AV52" s="12">
        <f>IF(AU52&gt;=5, 4, IF(AU52&gt;0, INT(AU52/6), 0))</f>
        <v/>
      </c>
      <c r="AW52" s="11" t="n">
        <v>0</v>
      </c>
      <c r="AX52" s="11" t="n">
        <v>0</v>
      </c>
      <c r="AY52" s="13">
        <f>MIN(31, AU52+AV52+AW52+AX52)</f>
        <v/>
      </c>
      <c r="AZ52" s="14">
        <f>31-AY52</f>
        <v/>
      </c>
      <c r="BA52" s="5">
        <f>IF(AX52&gt;0, "01-İstirahat", IF(AZ52&gt;0, "12-Birden Fazla", ""))</f>
        <v/>
      </c>
      <c r="BB52" s="10" t="n">
        <v>0</v>
      </c>
      <c r="BC52" s="8" t="n">
        <v>0</v>
      </c>
      <c r="BD52" s="9" t="n">
        <v>0</v>
      </c>
      <c r="BE52" s="7">
        <f>(L52/30)*AU52</f>
        <v/>
      </c>
      <c r="BF52" s="15">
        <f>(L52/225)*((BB52*1.5)-(BC52*1.0))</f>
        <v/>
      </c>
      <c r="BG52" s="16">
        <f>(L52/225)*1.5*BD52</f>
        <v/>
      </c>
      <c r="BH52" s="15">
        <f>BF52+BG52</f>
        <v/>
      </c>
      <c r="BI52" s="17">
        <f>BE52+BH52</f>
        <v/>
      </c>
      <c r="BJ52" s="7">
        <f>IFERROR(VLOOKUP(B52, Resmi_Bordro_SGK!B:M, 11, FALSE), 0)</f>
        <v/>
      </c>
      <c r="BK52" s="18">
        <f>IFERROR(VLOOKUP(B52, Icra_Takip!A:E, 4, FALSE), 0)</f>
        <v/>
      </c>
      <c r="BL52" s="17">
        <f>IF(BI52&gt;BJ52, BI52-BJ52-BK52, 0)</f>
        <v/>
      </c>
      <c r="BM52" s="17">
        <f>BI52-BK52</f>
        <v/>
      </c>
    </row>
    <row r="53" ht="19" customHeight="1">
      <c r="A53" s="4" t="n">
        <v>50</v>
      </c>
      <c r="B53" s="5" t="inlineStr">
        <is>
          <t>10429939782</t>
        </is>
      </c>
      <c r="C53" s="6" t="inlineStr">
        <is>
          <t>BAHAR ÇERİ</t>
        </is>
      </c>
      <c r="D53" s="4" t="inlineStr">
        <is>
          <t>K</t>
        </is>
      </c>
      <c r="E53" s="4" t="inlineStr"/>
      <c r="F53" s="4" t="inlineStr">
        <is>
          <t>26.06.2026</t>
        </is>
      </c>
      <c r="G53" s="4" t="inlineStr"/>
      <c r="H53" s="4" t="inlineStr">
        <is>
          <t>NORMAL</t>
        </is>
      </c>
      <c r="I53" s="4" t="inlineStr">
        <is>
          <t>MEVSİMLİK</t>
        </is>
      </c>
      <c r="J53" s="6" t="inlineStr">
        <is>
          <t>ÜRETİM</t>
        </is>
      </c>
      <c r="K53" s="6" t="inlineStr">
        <is>
          <t>SEVGİ</t>
        </is>
      </c>
      <c r="L53" s="7" t="n">
        <v>28075.5</v>
      </c>
      <c r="M53" s="4" t="inlineStr">
        <is>
          <t>FİDE KONSERVE</t>
        </is>
      </c>
      <c r="N53" s="4" t="inlineStr">
        <is>
          <t>ALIR</t>
        </is>
      </c>
      <c r="O53" s="19" t="n">
        <v>0</v>
      </c>
      <c r="P53" s="19" t="n">
        <v>0</v>
      </c>
      <c r="Q53" s="19" t="n">
        <v>0</v>
      </c>
      <c r="R53" s="9" t="n">
        <v>0</v>
      </c>
      <c r="S53" s="19" t="n">
        <v>0</v>
      </c>
      <c r="T53" s="19" t="n">
        <v>0</v>
      </c>
      <c r="U53" s="19" t="n">
        <v>0</v>
      </c>
      <c r="V53" s="19" t="n">
        <v>0</v>
      </c>
      <c r="W53" s="19" t="n">
        <v>0</v>
      </c>
      <c r="X53" s="19" t="n">
        <v>0</v>
      </c>
      <c r="Y53" s="9" t="n">
        <v>0</v>
      </c>
      <c r="Z53" s="19" t="n">
        <v>0</v>
      </c>
      <c r="AA53" s="19" t="n">
        <v>0</v>
      </c>
      <c r="AB53" s="19" t="n">
        <v>0</v>
      </c>
      <c r="AC53" s="19" t="n">
        <v>0</v>
      </c>
      <c r="AD53" s="19" t="n">
        <v>0</v>
      </c>
      <c r="AE53" s="19" t="n">
        <v>0</v>
      </c>
      <c r="AF53" s="9" t="n">
        <v>0</v>
      </c>
      <c r="AG53" s="19" t="n">
        <v>0</v>
      </c>
      <c r="AH53" s="19" t="n">
        <v>0</v>
      </c>
      <c r="AI53" s="19" t="n">
        <v>0</v>
      </c>
      <c r="AJ53" s="19" t="n">
        <v>0</v>
      </c>
      <c r="AK53" s="19" t="n">
        <v>0</v>
      </c>
      <c r="AL53" s="19" t="n">
        <v>0</v>
      </c>
      <c r="AM53" s="9" t="n">
        <v>0</v>
      </c>
      <c r="AN53" s="19" t="n">
        <v>0</v>
      </c>
      <c r="AO53" s="19" t="n">
        <v>0</v>
      </c>
      <c r="AP53" s="19" t="n">
        <v>0</v>
      </c>
      <c r="AQ53" s="19" t="n">
        <v>0</v>
      </c>
      <c r="AR53" s="19" t="n">
        <v>0</v>
      </c>
      <c r="AS53" s="19" t="n">
        <v>0</v>
      </c>
      <c r="AT53" s="10">
        <f>SUM(O53:AS53)</f>
        <v/>
      </c>
      <c r="AU53" s="20">
        <f>COUNTIF(O53:AS53, "&gt;0")</f>
        <v/>
      </c>
      <c r="AV53" s="12">
        <f>IF(AU53&gt;=5, 4, IF(AU53&gt;0, INT(AU53/6), 0))</f>
        <v/>
      </c>
      <c r="AW53" s="20" t="n">
        <v>0</v>
      </c>
      <c r="AX53" s="20" t="n">
        <v>0</v>
      </c>
      <c r="AY53" s="13">
        <f>MIN(31, AU53+AV53+AW53+AX53)</f>
        <v/>
      </c>
      <c r="AZ53" s="14">
        <f>31-AY53</f>
        <v/>
      </c>
      <c r="BA53" s="21">
        <f>IF(AX53&gt;0, "01-İstirahat", IF(AZ53&gt;0, "12-Birden Fazla", ""))</f>
        <v/>
      </c>
      <c r="BB53" s="10" t="n">
        <v>0</v>
      </c>
      <c r="BC53" s="19" t="n">
        <v>0</v>
      </c>
      <c r="BD53" s="9" t="n">
        <v>0</v>
      </c>
      <c r="BE53" s="22">
        <f>(L53/30)*AU53</f>
        <v/>
      </c>
      <c r="BF53" s="15">
        <f>(L53/225)*((BB53*1.5)-(BC53*1.0))</f>
        <v/>
      </c>
      <c r="BG53" s="16">
        <f>(L53/225)*1.5*BD53</f>
        <v/>
      </c>
      <c r="BH53" s="15">
        <f>BF53+BG53</f>
        <v/>
      </c>
      <c r="BI53" s="17">
        <f>BE53+BH53</f>
        <v/>
      </c>
      <c r="BJ53" s="22">
        <f>IFERROR(VLOOKUP(B53, Resmi_Bordro_SGK!B:M, 11, FALSE), 0)</f>
        <v/>
      </c>
      <c r="BK53" s="18">
        <f>IFERROR(VLOOKUP(B53, Icra_Takip!A:E, 4, FALSE), 0)</f>
        <v/>
      </c>
      <c r="BL53" s="17">
        <f>IF(BI53&gt;BJ53, BI53-BJ53-BK53, 0)</f>
        <v/>
      </c>
      <c r="BM53" s="17">
        <f>BI53-BK53</f>
        <v/>
      </c>
    </row>
    <row r="54" ht="19" customHeight="1">
      <c r="A54" s="4" t="n">
        <v>51</v>
      </c>
      <c r="B54" s="5" t="inlineStr">
        <is>
          <t>25610607388</t>
        </is>
      </c>
      <c r="C54" s="6" t="inlineStr">
        <is>
          <t>BAHAR FİDAN</t>
        </is>
      </c>
      <c r="D54" s="4" t="inlineStr">
        <is>
          <t>K</t>
        </is>
      </c>
      <c r="E54" s="4" t="inlineStr"/>
      <c r="F54" s="4" t="inlineStr">
        <is>
          <t>17.08.2026</t>
        </is>
      </c>
      <c r="G54" s="4" t="inlineStr"/>
      <c r="H54" s="4" t="inlineStr">
        <is>
          <t>NORMAL</t>
        </is>
      </c>
      <c r="I54" s="4" t="inlineStr">
        <is>
          <t>MEVSİMLİK</t>
        </is>
      </c>
      <c r="J54" s="6" t="inlineStr">
        <is>
          <t>ÜRETİM</t>
        </is>
      </c>
      <c r="K54" s="6" t="inlineStr">
        <is>
          <t>SEVGİ</t>
        </is>
      </c>
      <c r="L54" s="7" t="n">
        <v>28075.5</v>
      </c>
      <c r="M54" s="4" t="inlineStr">
        <is>
          <t>FİDE KONSERVE</t>
        </is>
      </c>
      <c r="N54" s="4" t="inlineStr">
        <is>
          <t>ALIR</t>
        </is>
      </c>
      <c r="O54" s="8" t="n">
        <v>0</v>
      </c>
      <c r="P54" s="8" t="n">
        <v>0</v>
      </c>
      <c r="Q54" s="8" t="n">
        <v>0</v>
      </c>
      <c r="R54" s="9" t="n">
        <v>0</v>
      </c>
      <c r="S54" s="8" t="n">
        <v>0</v>
      </c>
      <c r="T54" s="8" t="n">
        <v>0</v>
      </c>
      <c r="U54" s="8" t="n">
        <v>0</v>
      </c>
      <c r="V54" s="8" t="n">
        <v>0</v>
      </c>
      <c r="W54" s="8" t="n">
        <v>0</v>
      </c>
      <c r="X54" s="8" t="n">
        <v>0</v>
      </c>
      <c r="Y54" s="9" t="n">
        <v>0</v>
      </c>
      <c r="Z54" s="8" t="n">
        <v>0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9" t="n">
        <v>0</v>
      </c>
      <c r="AG54" s="8" t="n">
        <v>0</v>
      </c>
      <c r="AH54" s="8" t="n">
        <v>0</v>
      </c>
      <c r="AI54" s="8" t="n">
        <v>0</v>
      </c>
      <c r="AJ54" s="8" t="n">
        <v>0</v>
      </c>
      <c r="AK54" s="8" t="n">
        <v>0</v>
      </c>
      <c r="AL54" s="8" t="n">
        <v>0</v>
      </c>
      <c r="AM54" s="9" t="n">
        <v>0</v>
      </c>
      <c r="AN54" s="8" t="n">
        <v>0</v>
      </c>
      <c r="AO54" s="8" t="n">
        <v>0</v>
      </c>
      <c r="AP54" s="8" t="n">
        <v>0</v>
      </c>
      <c r="AQ54" s="8" t="n">
        <v>0</v>
      </c>
      <c r="AR54" s="8" t="n">
        <v>0</v>
      </c>
      <c r="AS54" s="8" t="n">
        <v>0</v>
      </c>
      <c r="AT54" s="10">
        <f>SUM(O54:AS54)</f>
        <v/>
      </c>
      <c r="AU54" s="11">
        <f>COUNTIF(O54:AS54, "&gt;0")</f>
        <v/>
      </c>
      <c r="AV54" s="12">
        <f>IF(AU54&gt;=5, 4, IF(AU54&gt;0, INT(AU54/6), 0))</f>
        <v/>
      </c>
      <c r="AW54" s="11" t="n">
        <v>0</v>
      </c>
      <c r="AX54" s="11" t="n">
        <v>0</v>
      </c>
      <c r="AY54" s="13">
        <f>MIN(31, AU54+AV54+AW54+AX54)</f>
        <v/>
      </c>
      <c r="AZ54" s="14">
        <f>31-AY54</f>
        <v/>
      </c>
      <c r="BA54" s="5">
        <f>IF(AX54&gt;0, "01-İstirahat", IF(AZ54&gt;0, "12-Birden Fazla", ""))</f>
        <v/>
      </c>
      <c r="BB54" s="10" t="n">
        <v>0</v>
      </c>
      <c r="BC54" s="8" t="n">
        <v>0</v>
      </c>
      <c r="BD54" s="9" t="n">
        <v>0</v>
      </c>
      <c r="BE54" s="7">
        <f>(L54/30)*AU54</f>
        <v/>
      </c>
      <c r="BF54" s="15">
        <f>(L54/225)*((BB54*1.5)-(BC54*1.0))</f>
        <v/>
      </c>
      <c r="BG54" s="16">
        <f>(L54/225)*1.5*BD54</f>
        <v/>
      </c>
      <c r="BH54" s="15">
        <f>BF54+BG54</f>
        <v/>
      </c>
      <c r="BI54" s="17">
        <f>BE54+BH54</f>
        <v/>
      </c>
      <c r="BJ54" s="7">
        <f>IFERROR(VLOOKUP(B54, Resmi_Bordro_SGK!B:M, 11, FALSE), 0)</f>
        <v/>
      </c>
      <c r="BK54" s="18">
        <f>IFERROR(VLOOKUP(B54, Icra_Takip!A:E, 4, FALSE), 0)</f>
        <v/>
      </c>
      <c r="BL54" s="17">
        <f>IF(BI54&gt;BJ54, BI54-BJ54-BK54, 0)</f>
        <v/>
      </c>
      <c r="BM54" s="17">
        <f>BI54-BK54</f>
        <v/>
      </c>
    </row>
    <row r="55" ht="19" customHeight="1">
      <c r="A55" s="4" t="n">
        <v>52</v>
      </c>
      <c r="B55" s="5" t="inlineStr"/>
      <c r="C55" s="6" t="inlineStr">
        <is>
          <t>BARAN ŞÇIKCAN</t>
        </is>
      </c>
      <c r="D55" s="4" t="inlineStr"/>
      <c r="E55" s="4" t="inlineStr"/>
      <c r="F55" s="4" t="inlineStr"/>
      <c r="G55" s="4" t="inlineStr"/>
      <c r="H55" s="4" t="inlineStr">
        <is>
          <t>NORMAL</t>
        </is>
      </c>
      <c r="I55" s="4" t="inlineStr">
        <is>
          <t>MEVSİMLİK</t>
        </is>
      </c>
      <c r="J55" s="6" t="inlineStr"/>
      <c r="K55" s="6" t="inlineStr"/>
      <c r="L55" s="7" t="n">
        <v>28075.5</v>
      </c>
      <c r="M55" s="4" t="inlineStr">
        <is>
          <t>FİDE KONSERVE</t>
        </is>
      </c>
      <c r="N55" s="4" t="inlineStr">
        <is>
          <t>ALIR</t>
        </is>
      </c>
      <c r="O55" s="19" t="n">
        <v>0</v>
      </c>
      <c r="P55" s="19" t="n">
        <v>0</v>
      </c>
      <c r="Q55" s="19" t="n">
        <v>0</v>
      </c>
      <c r="R55" s="9" t="n">
        <v>0</v>
      </c>
      <c r="S55" s="19" t="n">
        <v>0</v>
      </c>
      <c r="T55" s="19" t="n">
        <v>0</v>
      </c>
      <c r="U55" s="19" t="n">
        <v>0</v>
      </c>
      <c r="V55" s="19" t="n">
        <v>0</v>
      </c>
      <c r="W55" s="19" t="n">
        <v>0</v>
      </c>
      <c r="X55" s="19" t="n">
        <v>0</v>
      </c>
      <c r="Y55" s="9" t="n">
        <v>0</v>
      </c>
      <c r="Z55" s="19" t="n">
        <v>0</v>
      </c>
      <c r="AA55" s="19" t="n">
        <v>0</v>
      </c>
      <c r="AB55" s="19" t="n">
        <v>0</v>
      </c>
      <c r="AC55" s="19" t="n">
        <v>0</v>
      </c>
      <c r="AD55" s="19" t="n">
        <v>0</v>
      </c>
      <c r="AE55" s="19" t="n">
        <v>0</v>
      </c>
      <c r="AF55" s="9" t="n">
        <v>0</v>
      </c>
      <c r="AG55" s="19" t="n">
        <v>0</v>
      </c>
      <c r="AH55" s="19" t="n">
        <v>0</v>
      </c>
      <c r="AI55" s="19" t="n">
        <v>0</v>
      </c>
      <c r="AJ55" s="19" t="n">
        <v>0</v>
      </c>
      <c r="AK55" s="19" t="n">
        <v>0</v>
      </c>
      <c r="AL55" s="19" t="n">
        <v>0</v>
      </c>
      <c r="AM55" s="9" t="n">
        <v>0</v>
      </c>
      <c r="AN55" s="19" t="n">
        <v>0</v>
      </c>
      <c r="AO55" s="19" t="n">
        <v>0</v>
      </c>
      <c r="AP55" s="19" t="n">
        <v>0</v>
      </c>
      <c r="AQ55" s="19" t="n">
        <v>0</v>
      </c>
      <c r="AR55" s="19" t="n">
        <v>0</v>
      </c>
      <c r="AS55" s="19" t="n">
        <v>0</v>
      </c>
      <c r="AT55" s="10">
        <f>SUM(O55:AS55)</f>
        <v/>
      </c>
      <c r="AU55" s="20">
        <f>COUNTIF(O55:AS55, "&gt;0")</f>
        <v/>
      </c>
      <c r="AV55" s="12">
        <f>IF(AU55&gt;=5, 4, IF(AU55&gt;0, INT(AU55/6), 0))</f>
        <v/>
      </c>
      <c r="AW55" s="20" t="n">
        <v>0</v>
      </c>
      <c r="AX55" s="20" t="n">
        <v>0</v>
      </c>
      <c r="AY55" s="13">
        <f>MIN(31, AU55+AV55+AW55+AX55)</f>
        <v/>
      </c>
      <c r="AZ55" s="14">
        <f>31-AY55</f>
        <v/>
      </c>
      <c r="BA55" s="21">
        <f>IF(AX55&gt;0, "01-İstirahat", IF(AZ55&gt;0, "12-Birden Fazla", ""))</f>
        <v/>
      </c>
      <c r="BB55" s="10" t="n">
        <v>0</v>
      </c>
      <c r="BC55" s="19" t="n">
        <v>0</v>
      </c>
      <c r="BD55" s="9" t="n">
        <v>0</v>
      </c>
      <c r="BE55" s="22">
        <f>(L55/30)*AU55</f>
        <v/>
      </c>
      <c r="BF55" s="15">
        <f>(L55/225)*((BB55*1.5)-(BC55*1.0))</f>
        <v/>
      </c>
      <c r="BG55" s="16">
        <f>(L55/225)*1.5*BD55</f>
        <v/>
      </c>
      <c r="BH55" s="15">
        <f>BF55+BG55</f>
        <v/>
      </c>
      <c r="BI55" s="17">
        <f>BE55+BH55</f>
        <v/>
      </c>
      <c r="BJ55" s="22">
        <f>IFERROR(VLOOKUP(B55, Resmi_Bordro_SGK!B:M, 11, FALSE), 0)</f>
        <v/>
      </c>
      <c r="BK55" s="18">
        <f>IFERROR(VLOOKUP(B55, Icra_Takip!A:E, 4, FALSE), 0)</f>
        <v/>
      </c>
      <c r="BL55" s="17">
        <f>IF(BI55&gt;BJ55, BI55-BJ55-BK55, 0)</f>
        <v/>
      </c>
      <c r="BM55" s="17">
        <f>BI55-BK55</f>
        <v/>
      </c>
    </row>
    <row r="56" ht="19" customHeight="1">
      <c r="A56" s="4" t="n">
        <v>53</v>
      </c>
      <c r="B56" s="5" t="inlineStr"/>
      <c r="C56" s="6" t="inlineStr">
        <is>
          <t>BARIŞ DİĞRENCİ</t>
        </is>
      </c>
      <c r="D56" s="4" t="inlineStr"/>
      <c r="E56" s="4" t="inlineStr"/>
      <c r="F56" s="4" t="inlineStr"/>
      <c r="G56" s="4" t="inlineStr"/>
      <c r="H56" s="4" t="inlineStr">
        <is>
          <t>NORMAL</t>
        </is>
      </c>
      <c r="I56" s="4" t="inlineStr">
        <is>
          <t>MEVSİMLİK</t>
        </is>
      </c>
      <c r="J56" s="6" t="inlineStr"/>
      <c r="K56" s="6" t="inlineStr"/>
      <c r="L56" s="7" t="n">
        <v>28075.5</v>
      </c>
      <c r="M56" s="4" t="inlineStr">
        <is>
          <t>FİDE KONSERVE</t>
        </is>
      </c>
      <c r="N56" s="4" t="inlineStr">
        <is>
          <t>ALIR</t>
        </is>
      </c>
      <c r="O56" s="8" t="n">
        <v>0</v>
      </c>
      <c r="P56" s="8" t="n">
        <v>0</v>
      </c>
      <c r="Q56" s="8" t="n">
        <v>0</v>
      </c>
      <c r="R56" s="9" t="n">
        <v>0</v>
      </c>
      <c r="S56" s="8" t="n">
        <v>0</v>
      </c>
      <c r="T56" s="8" t="n">
        <v>0</v>
      </c>
      <c r="U56" s="8" t="n">
        <v>0</v>
      </c>
      <c r="V56" s="8" t="n">
        <v>0</v>
      </c>
      <c r="W56" s="8" t="n">
        <v>0</v>
      </c>
      <c r="X56" s="8" t="n">
        <v>0</v>
      </c>
      <c r="Y56" s="9" t="n">
        <v>0</v>
      </c>
      <c r="Z56" s="8" t="n">
        <v>0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9" t="n">
        <v>0</v>
      </c>
      <c r="AG56" s="8" t="n">
        <v>0</v>
      </c>
      <c r="AH56" s="8" t="n">
        <v>0</v>
      </c>
      <c r="AI56" s="8" t="n">
        <v>0</v>
      </c>
      <c r="AJ56" s="8" t="n">
        <v>0</v>
      </c>
      <c r="AK56" s="8" t="n">
        <v>0</v>
      </c>
      <c r="AL56" s="8" t="n">
        <v>0</v>
      </c>
      <c r="AM56" s="9" t="n">
        <v>0</v>
      </c>
      <c r="AN56" s="8" t="n">
        <v>0</v>
      </c>
      <c r="AO56" s="8" t="n">
        <v>0</v>
      </c>
      <c r="AP56" s="8" t="n">
        <v>0</v>
      </c>
      <c r="AQ56" s="8" t="n">
        <v>0</v>
      </c>
      <c r="AR56" s="8" t="n">
        <v>0</v>
      </c>
      <c r="AS56" s="8" t="n">
        <v>0</v>
      </c>
      <c r="AT56" s="10">
        <f>SUM(O56:AS56)</f>
        <v/>
      </c>
      <c r="AU56" s="11">
        <f>COUNTIF(O56:AS56, "&gt;0")</f>
        <v/>
      </c>
      <c r="AV56" s="12">
        <f>IF(AU56&gt;=5, 4, IF(AU56&gt;0, INT(AU56/6), 0))</f>
        <v/>
      </c>
      <c r="AW56" s="11" t="n">
        <v>0</v>
      </c>
      <c r="AX56" s="11" t="n">
        <v>0</v>
      </c>
      <c r="AY56" s="13">
        <f>MIN(31, AU56+AV56+AW56+AX56)</f>
        <v/>
      </c>
      <c r="AZ56" s="14">
        <f>31-AY56</f>
        <v/>
      </c>
      <c r="BA56" s="5">
        <f>IF(AX56&gt;0, "01-İstirahat", IF(AZ56&gt;0, "12-Birden Fazla", ""))</f>
        <v/>
      </c>
      <c r="BB56" s="10" t="n">
        <v>0</v>
      </c>
      <c r="BC56" s="8" t="n">
        <v>0</v>
      </c>
      <c r="BD56" s="9" t="n">
        <v>0</v>
      </c>
      <c r="BE56" s="7">
        <f>(L56/30)*AU56</f>
        <v/>
      </c>
      <c r="BF56" s="15">
        <f>(L56/225)*((BB56*1.5)-(BC56*1.0))</f>
        <v/>
      </c>
      <c r="BG56" s="16">
        <f>(L56/225)*1.5*BD56</f>
        <v/>
      </c>
      <c r="BH56" s="15">
        <f>BF56+BG56</f>
        <v/>
      </c>
      <c r="BI56" s="17">
        <f>BE56+BH56</f>
        <v/>
      </c>
      <c r="BJ56" s="7">
        <f>IFERROR(VLOOKUP(B56, Resmi_Bordro_SGK!B:M, 11, FALSE), 0)</f>
        <v/>
      </c>
      <c r="BK56" s="18">
        <f>IFERROR(VLOOKUP(B56, Icra_Takip!A:E, 4, FALSE), 0)</f>
        <v/>
      </c>
      <c r="BL56" s="17">
        <f>IF(BI56&gt;BJ56, BI56-BJ56-BK56, 0)</f>
        <v/>
      </c>
      <c r="BM56" s="17">
        <f>BI56-BK56</f>
        <v/>
      </c>
    </row>
    <row r="57" ht="19" customHeight="1">
      <c r="A57" s="4" t="n">
        <v>54</v>
      </c>
      <c r="B57" s="5" t="inlineStr">
        <is>
          <t>12496719380</t>
        </is>
      </c>
      <c r="C57" s="6" t="inlineStr">
        <is>
          <t>BEDİA KAYMAZ</t>
        </is>
      </c>
      <c r="D57" s="4" t="inlineStr">
        <is>
          <t>K</t>
        </is>
      </c>
      <c r="E57" s="4" t="inlineStr"/>
      <c r="F57" s="4" t="inlineStr">
        <is>
          <t>01.07.2026</t>
        </is>
      </c>
      <c r="G57" s="4" t="inlineStr"/>
      <c r="H57" s="4" t="inlineStr">
        <is>
          <t>NORMAL</t>
        </is>
      </c>
      <c r="I57" s="4" t="inlineStr">
        <is>
          <t>MEVSİMLİK</t>
        </is>
      </c>
      <c r="J57" s="6" t="inlineStr">
        <is>
          <t>AMBAR</t>
        </is>
      </c>
      <c r="K57" s="6" t="inlineStr">
        <is>
          <t>BİGADİÇ</t>
        </is>
      </c>
      <c r="L57" s="7" t="n">
        <v>28075.5</v>
      </c>
      <c r="M57" s="4" t="inlineStr">
        <is>
          <t>FİDE KONSERVE</t>
        </is>
      </c>
      <c r="N57" s="4" t="inlineStr">
        <is>
          <t>ALIR</t>
        </is>
      </c>
      <c r="O57" s="19" t="n">
        <v>7.5</v>
      </c>
      <c r="P57" s="19" t="n">
        <v>7.5</v>
      </c>
      <c r="Q57" s="19" t="n">
        <v>7.5</v>
      </c>
      <c r="R57" s="9" t="n">
        <v>0</v>
      </c>
      <c r="S57" s="19" t="n">
        <v>7.5</v>
      </c>
      <c r="T57" s="19" t="n">
        <v>7.5</v>
      </c>
      <c r="U57" s="19" t="n">
        <v>7.5</v>
      </c>
      <c r="V57" s="19" t="n">
        <v>7.5</v>
      </c>
      <c r="W57" s="19" t="n">
        <v>7.5</v>
      </c>
      <c r="X57" s="19" t="n">
        <v>7.5</v>
      </c>
      <c r="Y57" s="9" t="n">
        <v>0</v>
      </c>
      <c r="Z57" s="19" t="n">
        <v>8.5</v>
      </c>
      <c r="AA57" s="19" t="n">
        <v>7.5</v>
      </c>
      <c r="AB57" s="19" t="n">
        <v>7.5</v>
      </c>
      <c r="AC57" s="19" t="n">
        <v>8</v>
      </c>
      <c r="AD57" s="19" t="n">
        <v>7.5</v>
      </c>
      <c r="AE57" s="19" t="n">
        <v>7.5</v>
      </c>
      <c r="AF57" s="9" t="n">
        <v>7.5</v>
      </c>
      <c r="AG57" s="19" t="n">
        <v>7.5</v>
      </c>
      <c r="AH57" s="19" t="n">
        <v>7.5</v>
      </c>
      <c r="AI57" s="19" t="n">
        <v>7.5</v>
      </c>
      <c r="AJ57" s="19" t="n">
        <v>0</v>
      </c>
      <c r="AK57" s="19" t="n">
        <v>0</v>
      </c>
      <c r="AL57" s="19" t="n">
        <v>0</v>
      </c>
      <c r="AM57" s="9" t="n">
        <v>0</v>
      </c>
      <c r="AN57" s="19" t="n">
        <v>0</v>
      </c>
      <c r="AO57" s="19" t="n">
        <v>0</v>
      </c>
      <c r="AP57" s="19" t="n">
        <v>0</v>
      </c>
      <c r="AQ57" s="19" t="n">
        <v>0</v>
      </c>
      <c r="AR57" s="19" t="n">
        <v>0</v>
      </c>
      <c r="AS57" s="19" t="n">
        <v>0</v>
      </c>
      <c r="AT57" s="10">
        <f>SUM(O57:AS57)</f>
        <v/>
      </c>
      <c r="AU57" s="20">
        <f>COUNTIF(O57:AS57, "&gt;0")</f>
        <v/>
      </c>
      <c r="AV57" s="12">
        <f>IF(AU57&gt;=5, 4, IF(AU57&gt;0, INT(AU57/6), 0))</f>
        <v/>
      </c>
      <c r="AW57" s="20" t="n">
        <v>0</v>
      </c>
      <c r="AX57" s="20" t="n">
        <v>0</v>
      </c>
      <c r="AY57" s="13">
        <f>MIN(31, AU57+AV57+AW57+AX57)</f>
        <v/>
      </c>
      <c r="AZ57" s="14">
        <f>31-AY57</f>
        <v/>
      </c>
      <c r="BA57" s="21">
        <f>IF(AX57&gt;0, "01-İstirahat", IF(AZ57&gt;0, "12-Birden Fazla", ""))</f>
        <v/>
      </c>
      <c r="BB57" s="10" t="n">
        <v>1.5</v>
      </c>
      <c r="BC57" s="19" t="n">
        <v>0</v>
      </c>
      <c r="BD57" s="9" t="n">
        <v>7.5</v>
      </c>
      <c r="BE57" s="22">
        <f>(L57/30)*AU57</f>
        <v/>
      </c>
      <c r="BF57" s="15">
        <f>(L57/225)*((BB57*1.5)-(BC57*1.0))</f>
        <v/>
      </c>
      <c r="BG57" s="16">
        <f>(L57/225)*1.5*BD57</f>
        <v/>
      </c>
      <c r="BH57" s="15">
        <f>BF57+BG57</f>
        <v/>
      </c>
      <c r="BI57" s="17">
        <f>BE57+BH57</f>
        <v/>
      </c>
      <c r="BJ57" s="22">
        <f>IFERROR(VLOOKUP(B57, Resmi_Bordro_SGK!B:M, 11, FALSE), 0)</f>
        <v/>
      </c>
      <c r="BK57" s="18">
        <f>IFERROR(VLOOKUP(B57, Icra_Takip!A:E, 4, FALSE), 0)</f>
        <v/>
      </c>
      <c r="BL57" s="17">
        <f>IF(BI57&gt;BJ57, BI57-BJ57-BK57, 0)</f>
        <v/>
      </c>
      <c r="BM57" s="17">
        <f>BI57-BK57</f>
        <v/>
      </c>
    </row>
    <row r="58" ht="19" customHeight="1">
      <c r="A58" s="4" t="n">
        <v>55</v>
      </c>
      <c r="B58" s="5" t="inlineStr"/>
      <c r="C58" s="6" t="inlineStr">
        <is>
          <t>BEDİA YILMAZ</t>
        </is>
      </c>
      <c r="D58" s="4" t="inlineStr"/>
      <c r="E58" s="4" t="inlineStr"/>
      <c r="F58" s="4" t="inlineStr"/>
      <c r="G58" s="4" t="inlineStr"/>
      <c r="H58" s="4" t="inlineStr">
        <is>
          <t>NORMAL</t>
        </is>
      </c>
      <c r="I58" s="4" t="inlineStr">
        <is>
          <t>MEVSİMLİK</t>
        </is>
      </c>
      <c r="J58" s="6" t="inlineStr"/>
      <c r="K58" s="6" t="inlineStr"/>
      <c r="L58" s="7" t="n">
        <v>28075.5</v>
      </c>
      <c r="M58" s="4" t="inlineStr">
        <is>
          <t>FİDE KONSERVE</t>
        </is>
      </c>
      <c r="N58" s="4" t="inlineStr">
        <is>
          <t>ALIR</t>
        </is>
      </c>
      <c r="O58" s="8" t="n">
        <v>0</v>
      </c>
      <c r="P58" s="8" t="n">
        <v>0</v>
      </c>
      <c r="Q58" s="8" t="n">
        <v>0</v>
      </c>
      <c r="R58" s="9" t="n">
        <v>0</v>
      </c>
      <c r="S58" s="8" t="n">
        <v>0</v>
      </c>
      <c r="T58" s="8" t="n">
        <v>0</v>
      </c>
      <c r="U58" s="8" t="n">
        <v>0</v>
      </c>
      <c r="V58" s="8" t="n">
        <v>0</v>
      </c>
      <c r="W58" s="8" t="n">
        <v>0</v>
      </c>
      <c r="X58" s="8" t="n">
        <v>0</v>
      </c>
      <c r="Y58" s="9" t="n">
        <v>0</v>
      </c>
      <c r="Z58" s="8" t="n">
        <v>0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9" t="n">
        <v>0</v>
      </c>
      <c r="AG58" s="8" t="n">
        <v>0</v>
      </c>
      <c r="AH58" s="8" t="n">
        <v>0</v>
      </c>
      <c r="AI58" s="8" t="n">
        <v>0</v>
      </c>
      <c r="AJ58" s="8" t="n">
        <v>0</v>
      </c>
      <c r="AK58" s="8" t="n">
        <v>0</v>
      </c>
      <c r="AL58" s="8" t="n">
        <v>0</v>
      </c>
      <c r="AM58" s="9" t="n">
        <v>0</v>
      </c>
      <c r="AN58" s="8" t="n">
        <v>0</v>
      </c>
      <c r="AO58" s="8" t="n">
        <v>0</v>
      </c>
      <c r="AP58" s="8" t="n">
        <v>0</v>
      </c>
      <c r="AQ58" s="8" t="n">
        <v>0</v>
      </c>
      <c r="AR58" s="8" t="n">
        <v>0</v>
      </c>
      <c r="AS58" s="8" t="n">
        <v>0</v>
      </c>
      <c r="AT58" s="10">
        <f>SUM(O58:AS58)</f>
        <v/>
      </c>
      <c r="AU58" s="11">
        <f>COUNTIF(O58:AS58, "&gt;0")</f>
        <v/>
      </c>
      <c r="AV58" s="12">
        <f>IF(AU58&gt;=5, 4, IF(AU58&gt;0, INT(AU58/6), 0))</f>
        <v/>
      </c>
      <c r="AW58" s="11" t="n">
        <v>0</v>
      </c>
      <c r="AX58" s="11" t="n">
        <v>0</v>
      </c>
      <c r="AY58" s="13">
        <f>MIN(31, AU58+AV58+AW58+AX58)</f>
        <v/>
      </c>
      <c r="AZ58" s="14">
        <f>31-AY58</f>
        <v/>
      </c>
      <c r="BA58" s="5">
        <f>IF(AX58&gt;0, "01-İstirahat", IF(AZ58&gt;0, "12-Birden Fazla", ""))</f>
        <v/>
      </c>
      <c r="BB58" s="10" t="n">
        <v>0</v>
      </c>
      <c r="BC58" s="8" t="n">
        <v>0</v>
      </c>
      <c r="BD58" s="9" t="n">
        <v>0</v>
      </c>
      <c r="BE58" s="7">
        <f>(L58/30)*AU58</f>
        <v/>
      </c>
      <c r="BF58" s="15">
        <f>(L58/225)*((BB58*1.5)-(BC58*1.0))</f>
        <v/>
      </c>
      <c r="BG58" s="16">
        <f>(L58/225)*1.5*BD58</f>
        <v/>
      </c>
      <c r="BH58" s="15">
        <f>BF58+BG58</f>
        <v/>
      </c>
      <c r="BI58" s="17">
        <f>BE58+BH58</f>
        <v/>
      </c>
      <c r="BJ58" s="7">
        <f>IFERROR(VLOOKUP(B58, Resmi_Bordro_SGK!B:M, 11, FALSE), 0)</f>
        <v/>
      </c>
      <c r="BK58" s="18">
        <f>IFERROR(VLOOKUP(B58, Icra_Takip!A:E, 4, FALSE), 0)</f>
        <v/>
      </c>
      <c r="BL58" s="17">
        <f>IF(BI58&gt;BJ58, BI58-BJ58-BK58, 0)</f>
        <v/>
      </c>
      <c r="BM58" s="17">
        <f>BI58-BK58</f>
        <v/>
      </c>
    </row>
    <row r="59" ht="19" customHeight="1">
      <c r="A59" s="4" t="n">
        <v>56</v>
      </c>
      <c r="B59" s="5" t="inlineStr">
        <is>
          <t>14725695762</t>
        </is>
      </c>
      <c r="C59" s="6" t="inlineStr">
        <is>
          <t>BEHİCE YALMAN</t>
        </is>
      </c>
      <c r="D59" s="4" t="inlineStr">
        <is>
          <t>K</t>
        </is>
      </c>
      <c r="E59" s="4" t="inlineStr"/>
      <c r="F59" s="4" t="inlineStr">
        <is>
          <t>06.01.2025</t>
        </is>
      </c>
      <c r="G59" s="4" t="inlineStr"/>
      <c r="H59" s="4" t="inlineStr">
        <is>
          <t>NORMAL</t>
        </is>
      </c>
      <c r="I59" s="4" t="inlineStr">
        <is>
          <t>MEVSİMLİK</t>
        </is>
      </c>
      <c r="J59" s="6" t="inlineStr">
        <is>
          <t>BALIK DOLUM</t>
        </is>
      </c>
      <c r="K59" s="6" t="inlineStr">
        <is>
          <t>GÖBEL</t>
        </is>
      </c>
      <c r="L59" s="7" t="n">
        <v>33000</v>
      </c>
      <c r="M59" s="4" t="inlineStr">
        <is>
          <t>FİDE KONSERVE</t>
        </is>
      </c>
      <c r="N59" s="4" t="inlineStr">
        <is>
          <t>ALIR</t>
        </is>
      </c>
      <c r="O59" s="19" t="n">
        <v>0</v>
      </c>
      <c r="P59" s="19" t="n">
        <v>0</v>
      </c>
      <c r="Q59" s="19" t="n">
        <v>8.5</v>
      </c>
      <c r="R59" s="9" t="n">
        <v>0</v>
      </c>
      <c r="S59" s="19" t="n">
        <v>8</v>
      </c>
      <c r="T59" s="19" t="n">
        <v>8.5</v>
      </c>
      <c r="U59" s="19" t="n">
        <v>6</v>
      </c>
      <c r="V59" s="19" t="n">
        <v>0</v>
      </c>
      <c r="W59" s="19" t="n">
        <v>0</v>
      </c>
      <c r="X59" s="19" t="n">
        <v>0</v>
      </c>
      <c r="Y59" s="9" t="n">
        <v>0</v>
      </c>
      <c r="Z59" s="19" t="n">
        <v>7.5</v>
      </c>
      <c r="AA59" s="19" t="n">
        <v>7.5</v>
      </c>
      <c r="AB59" s="19" t="n">
        <v>9</v>
      </c>
      <c r="AC59" s="19" t="n">
        <v>7.5</v>
      </c>
      <c r="AD59" s="19" t="n">
        <v>9</v>
      </c>
      <c r="AE59" s="19" t="n">
        <v>9</v>
      </c>
      <c r="AF59" s="9" t="n">
        <v>0</v>
      </c>
      <c r="AG59" s="19" t="n">
        <v>5.5</v>
      </c>
      <c r="AH59" s="19" t="n">
        <v>8</v>
      </c>
      <c r="AI59" s="19" t="n">
        <v>8</v>
      </c>
      <c r="AJ59" s="19" t="n">
        <v>0</v>
      </c>
      <c r="AK59" s="19" t="n">
        <v>0</v>
      </c>
      <c r="AL59" s="19" t="n">
        <v>0</v>
      </c>
      <c r="AM59" s="9" t="n">
        <v>0</v>
      </c>
      <c r="AN59" s="19" t="n">
        <v>0</v>
      </c>
      <c r="AO59" s="19" t="n">
        <v>0</v>
      </c>
      <c r="AP59" s="19" t="n">
        <v>0</v>
      </c>
      <c r="AQ59" s="19" t="n">
        <v>0</v>
      </c>
      <c r="AR59" s="19" t="n">
        <v>0</v>
      </c>
      <c r="AS59" s="19" t="n">
        <v>0</v>
      </c>
      <c r="AT59" s="10">
        <f>SUM(O59:AS59)</f>
        <v/>
      </c>
      <c r="AU59" s="20">
        <f>COUNTIF(O59:AS59, "&gt;0")</f>
        <v/>
      </c>
      <c r="AV59" s="12">
        <f>IF(AU59&gt;=5, 4, IF(AU59&gt;0, INT(AU59/6), 0))</f>
        <v/>
      </c>
      <c r="AW59" s="20" t="n">
        <v>0</v>
      </c>
      <c r="AX59" s="20" t="n">
        <v>0</v>
      </c>
      <c r="AY59" s="13">
        <f>MIN(31, AU59+AV59+AW59+AX59)</f>
        <v/>
      </c>
      <c r="AZ59" s="14">
        <f>31-AY59</f>
        <v/>
      </c>
      <c r="BA59" s="21">
        <f>IF(AX59&gt;0, "01-İstirahat", IF(AZ59&gt;0, "12-Birden Fazla", ""))</f>
        <v/>
      </c>
      <c r="BB59" s="10" t="n">
        <v>24.5</v>
      </c>
      <c r="BC59" s="23" t="n">
        <v>3.5</v>
      </c>
      <c r="BD59" s="9" t="n">
        <v>0</v>
      </c>
      <c r="BE59" s="22">
        <f>(L59/30)*AU59</f>
        <v/>
      </c>
      <c r="BF59" s="15">
        <f>(L59/225)*((BB59*1.5)-(BC59*1.0))</f>
        <v/>
      </c>
      <c r="BG59" s="16">
        <f>(L59/225)*1.5*BD59</f>
        <v/>
      </c>
      <c r="BH59" s="15">
        <f>BF59+BG59</f>
        <v/>
      </c>
      <c r="BI59" s="17">
        <f>BE59+BH59</f>
        <v/>
      </c>
      <c r="BJ59" s="22">
        <f>IFERROR(VLOOKUP(B59, Resmi_Bordro_SGK!B:M, 11, FALSE), 0)</f>
        <v/>
      </c>
      <c r="BK59" s="18">
        <f>IFERROR(VLOOKUP(B59, Icra_Takip!A:E, 4, FALSE), 0)</f>
        <v/>
      </c>
      <c r="BL59" s="17">
        <f>IF(BI59&gt;BJ59, BI59-BJ59-BK59, 0)</f>
        <v/>
      </c>
      <c r="BM59" s="17">
        <f>BI59-BK59</f>
        <v/>
      </c>
    </row>
    <row r="60" ht="19" customHeight="1">
      <c r="A60" s="4" t="n">
        <v>57</v>
      </c>
      <c r="B60" s="5" t="inlineStr"/>
      <c r="C60" s="6" t="inlineStr">
        <is>
          <t>BEHİCE YILMAZ</t>
        </is>
      </c>
      <c r="D60" s="4" t="inlineStr"/>
      <c r="E60" s="4" t="inlineStr"/>
      <c r="F60" s="4" t="inlineStr"/>
      <c r="G60" s="4" t="inlineStr"/>
      <c r="H60" s="4" t="inlineStr">
        <is>
          <t>NORMAL</t>
        </is>
      </c>
      <c r="I60" s="4" t="inlineStr">
        <is>
          <t>MEVSİMLİK</t>
        </is>
      </c>
      <c r="J60" s="6" t="inlineStr"/>
      <c r="K60" s="6" t="inlineStr"/>
      <c r="L60" s="7" t="n">
        <v>28075.5</v>
      </c>
      <c r="M60" s="4" t="inlineStr">
        <is>
          <t>FİDE KONSERVE</t>
        </is>
      </c>
      <c r="N60" s="4" t="inlineStr">
        <is>
          <t>ALIR</t>
        </is>
      </c>
      <c r="O60" s="8" t="n">
        <v>0</v>
      </c>
      <c r="P60" s="8" t="n">
        <v>0</v>
      </c>
      <c r="Q60" s="8" t="n">
        <v>0</v>
      </c>
      <c r="R60" s="9" t="n">
        <v>0</v>
      </c>
      <c r="S60" s="8" t="n">
        <v>0</v>
      </c>
      <c r="T60" s="8" t="n">
        <v>0</v>
      </c>
      <c r="U60" s="8" t="n">
        <v>0</v>
      </c>
      <c r="V60" s="8" t="n">
        <v>0</v>
      </c>
      <c r="W60" s="8" t="n">
        <v>0</v>
      </c>
      <c r="X60" s="8" t="n">
        <v>0</v>
      </c>
      <c r="Y60" s="9" t="n">
        <v>0</v>
      </c>
      <c r="Z60" s="8" t="n">
        <v>0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9" t="n">
        <v>0</v>
      </c>
      <c r="AG60" s="8" t="n">
        <v>0</v>
      </c>
      <c r="AH60" s="8" t="n">
        <v>0</v>
      </c>
      <c r="AI60" s="8" t="n">
        <v>0</v>
      </c>
      <c r="AJ60" s="8" t="n">
        <v>0</v>
      </c>
      <c r="AK60" s="8" t="n">
        <v>0</v>
      </c>
      <c r="AL60" s="8" t="n">
        <v>0</v>
      </c>
      <c r="AM60" s="9" t="n">
        <v>0</v>
      </c>
      <c r="AN60" s="8" t="n">
        <v>0</v>
      </c>
      <c r="AO60" s="8" t="n">
        <v>0</v>
      </c>
      <c r="AP60" s="8" t="n">
        <v>0</v>
      </c>
      <c r="AQ60" s="8" t="n">
        <v>0</v>
      </c>
      <c r="AR60" s="8" t="n">
        <v>0</v>
      </c>
      <c r="AS60" s="8" t="n">
        <v>0</v>
      </c>
      <c r="AT60" s="10">
        <f>SUM(O60:AS60)</f>
        <v/>
      </c>
      <c r="AU60" s="11">
        <f>COUNTIF(O60:AS60, "&gt;0")</f>
        <v/>
      </c>
      <c r="AV60" s="12">
        <f>IF(AU60&gt;=5, 4, IF(AU60&gt;0, INT(AU60/6), 0))</f>
        <v/>
      </c>
      <c r="AW60" s="11" t="n">
        <v>0</v>
      </c>
      <c r="AX60" s="11" t="n">
        <v>0</v>
      </c>
      <c r="AY60" s="13">
        <f>MIN(31, AU60+AV60+AW60+AX60)</f>
        <v/>
      </c>
      <c r="AZ60" s="14">
        <f>31-AY60</f>
        <v/>
      </c>
      <c r="BA60" s="5">
        <f>IF(AX60&gt;0, "01-İstirahat", IF(AZ60&gt;0, "12-Birden Fazla", ""))</f>
        <v/>
      </c>
      <c r="BB60" s="10" t="n">
        <v>0</v>
      </c>
      <c r="BC60" s="8" t="n">
        <v>0</v>
      </c>
      <c r="BD60" s="9" t="n">
        <v>0</v>
      </c>
      <c r="BE60" s="7">
        <f>(L60/30)*AU60</f>
        <v/>
      </c>
      <c r="BF60" s="15">
        <f>(L60/225)*((BB60*1.5)-(BC60*1.0))</f>
        <v/>
      </c>
      <c r="BG60" s="16">
        <f>(L60/225)*1.5*BD60</f>
        <v/>
      </c>
      <c r="BH60" s="15">
        <f>BF60+BG60</f>
        <v/>
      </c>
      <c r="BI60" s="17">
        <f>BE60+BH60</f>
        <v/>
      </c>
      <c r="BJ60" s="7">
        <f>IFERROR(VLOOKUP(B60, Resmi_Bordro_SGK!B:M, 11, FALSE), 0)</f>
        <v/>
      </c>
      <c r="BK60" s="18">
        <f>IFERROR(VLOOKUP(B60, Icra_Takip!A:E, 4, FALSE), 0)</f>
        <v/>
      </c>
      <c r="BL60" s="17">
        <f>IF(BI60&gt;BJ60, BI60-BJ60-BK60, 0)</f>
        <v/>
      </c>
      <c r="BM60" s="17">
        <f>BI60-BK60</f>
        <v/>
      </c>
    </row>
    <row r="61" ht="19" customHeight="1">
      <c r="A61" s="4" t="n">
        <v>58</v>
      </c>
      <c r="B61" s="5" t="inlineStr">
        <is>
          <t>10075851872</t>
        </is>
      </c>
      <c r="C61" s="6" t="inlineStr">
        <is>
          <t>BERAT DAĞCI</t>
        </is>
      </c>
      <c r="D61" s="4" t="inlineStr">
        <is>
          <t>E</t>
        </is>
      </c>
      <c r="E61" s="4" t="inlineStr"/>
      <c r="F61" s="4" t="inlineStr">
        <is>
          <t>20.07.2026</t>
        </is>
      </c>
      <c r="G61" s="4" t="inlineStr"/>
      <c r="H61" s="4" t="inlineStr">
        <is>
          <t>NORMAL</t>
        </is>
      </c>
      <c r="I61" s="4" t="inlineStr">
        <is>
          <t>MEVSİMLİK</t>
        </is>
      </c>
      <c r="J61" s="6" t="inlineStr">
        <is>
          <t>BALIK</t>
        </is>
      </c>
      <c r="K61" s="6" t="inlineStr">
        <is>
          <t>GÖBEL</t>
        </is>
      </c>
      <c r="L61" s="7" t="n">
        <v>33000</v>
      </c>
      <c r="M61" s="4" t="inlineStr">
        <is>
          <t>FİDE KONSERVE</t>
        </is>
      </c>
      <c r="N61" s="4" t="inlineStr">
        <is>
          <t>ALIR</t>
        </is>
      </c>
      <c r="O61" s="19" t="n">
        <v>0</v>
      </c>
      <c r="P61" s="19" t="n">
        <v>0</v>
      </c>
      <c r="Q61" s="19" t="n">
        <v>0</v>
      </c>
      <c r="R61" s="9" t="n">
        <v>0</v>
      </c>
      <c r="S61" s="19" t="n">
        <v>0</v>
      </c>
      <c r="T61" s="19" t="n">
        <v>0</v>
      </c>
      <c r="U61" s="19" t="n">
        <v>0</v>
      </c>
      <c r="V61" s="19" t="n">
        <v>0</v>
      </c>
      <c r="W61" s="19" t="n">
        <v>0</v>
      </c>
      <c r="X61" s="19" t="n">
        <v>0</v>
      </c>
      <c r="Y61" s="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9" t="n">
        <v>0</v>
      </c>
      <c r="AG61" s="19" t="n">
        <v>0</v>
      </c>
      <c r="AH61" s="1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9" t="n">
        <v>0</v>
      </c>
      <c r="AN61" s="19" t="n">
        <v>0</v>
      </c>
      <c r="AO61" s="19" t="n">
        <v>0</v>
      </c>
      <c r="AP61" s="19" t="n">
        <v>0</v>
      </c>
      <c r="AQ61" s="19" t="n">
        <v>0</v>
      </c>
      <c r="AR61" s="19" t="n">
        <v>0</v>
      </c>
      <c r="AS61" s="19" t="n">
        <v>0</v>
      </c>
      <c r="AT61" s="10">
        <f>SUM(O61:AS61)</f>
        <v/>
      </c>
      <c r="AU61" s="20">
        <f>COUNTIF(O61:AS61, "&gt;0")</f>
        <v/>
      </c>
      <c r="AV61" s="12">
        <f>IF(AU61&gt;=5, 4, IF(AU61&gt;0, INT(AU61/6), 0))</f>
        <v/>
      </c>
      <c r="AW61" s="20" t="n">
        <v>0</v>
      </c>
      <c r="AX61" s="20" t="n">
        <v>0</v>
      </c>
      <c r="AY61" s="13">
        <f>MIN(31, AU61+AV61+AW61+AX61)</f>
        <v/>
      </c>
      <c r="AZ61" s="14">
        <f>31-AY61</f>
        <v/>
      </c>
      <c r="BA61" s="21">
        <f>IF(AX61&gt;0, "01-İstirahat", IF(AZ61&gt;0, "12-Birden Fazla", ""))</f>
        <v/>
      </c>
      <c r="BB61" s="10" t="n">
        <v>0</v>
      </c>
      <c r="BC61" s="19" t="n">
        <v>0</v>
      </c>
      <c r="BD61" s="9" t="n">
        <v>0</v>
      </c>
      <c r="BE61" s="22">
        <f>(L61/30)*AU61</f>
        <v/>
      </c>
      <c r="BF61" s="15">
        <f>(L61/225)*((BB61*1.5)-(BC61*1.0))</f>
        <v/>
      </c>
      <c r="BG61" s="16">
        <f>(L61/225)*1.5*BD61</f>
        <v/>
      </c>
      <c r="BH61" s="15">
        <f>BF61+BG61</f>
        <v/>
      </c>
      <c r="BI61" s="17">
        <f>BE61+BH61</f>
        <v/>
      </c>
      <c r="BJ61" s="22">
        <f>IFERROR(VLOOKUP(B61, Resmi_Bordro_SGK!B:M, 11, FALSE), 0)</f>
        <v/>
      </c>
      <c r="BK61" s="18">
        <f>IFERROR(VLOOKUP(B61, Icra_Takip!A:E, 4, FALSE), 0)</f>
        <v/>
      </c>
      <c r="BL61" s="17">
        <f>IF(BI61&gt;BJ61, BI61-BJ61-BK61, 0)</f>
        <v/>
      </c>
      <c r="BM61" s="17">
        <f>BI61-BK61</f>
        <v/>
      </c>
    </row>
    <row r="62" ht="19" customHeight="1">
      <c r="A62" s="4" t="n">
        <v>59</v>
      </c>
      <c r="B62" s="5" t="inlineStr">
        <is>
          <t>11206757414</t>
        </is>
      </c>
      <c r="C62" s="6" t="inlineStr">
        <is>
          <t>BERK BERBER</t>
        </is>
      </c>
      <c r="D62" s="4" t="inlineStr">
        <is>
          <t>E</t>
        </is>
      </c>
      <c r="E62" s="4" t="inlineStr"/>
      <c r="F62" s="4" t="inlineStr">
        <is>
          <t>06.05.2026</t>
        </is>
      </c>
      <c r="G62" s="4" t="inlineStr"/>
      <c r="H62" s="4" t="inlineStr">
        <is>
          <t>NORMAL</t>
        </is>
      </c>
      <c r="I62" s="4" t="inlineStr">
        <is>
          <t>DAİMİ</t>
        </is>
      </c>
      <c r="J62" s="6" t="inlineStr">
        <is>
          <t>ÇEVRE MÜHENDİSİ</t>
        </is>
      </c>
      <c r="K62" s="6" t="inlineStr">
        <is>
          <t>BANDIRMA</t>
        </is>
      </c>
      <c r="L62" s="7" t="n">
        <v>50000</v>
      </c>
      <c r="M62" s="4" t="inlineStr">
        <is>
          <t>FİDE KONSERVE</t>
        </is>
      </c>
      <c r="N62" s="4" t="inlineStr">
        <is>
          <t>ALIR</t>
        </is>
      </c>
      <c r="O62" s="8" t="n">
        <v>0</v>
      </c>
      <c r="P62" s="23" t="n">
        <v>8</v>
      </c>
      <c r="Q62" s="23" t="n">
        <v>3</v>
      </c>
      <c r="R62" s="9" t="n">
        <v>0</v>
      </c>
      <c r="S62" s="8" t="n">
        <v>7.5</v>
      </c>
      <c r="T62" s="8" t="n">
        <v>7.5</v>
      </c>
      <c r="U62" s="23" t="n">
        <v>7.5</v>
      </c>
      <c r="V62" s="8" t="n">
        <v>0</v>
      </c>
      <c r="W62" s="23" t="n">
        <v>7.5</v>
      </c>
      <c r="X62" s="23" t="n">
        <v>8.5</v>
      </c>
      <c r="Y62" s="9" t="n">
        <v>0</v>
      </c>
      <c r="Z62" s="8" t="n">
        <v>7.5</v>
      </c>
      <c r="AA62" s="8" t="n">
        <v>7.5</v>
      </c>
      <c r="AB62" s="8" t="n">
        <v>8.5</v>
      </c>
      <c r="AC62" s="23" t="n">
        <v>7.5</v>
      </c>
      <c r="AD62" s="8" t="n">
        <v>0</v>
      </c>
      <c r="AE62" s="23" t="n">
        <v>14.5</v>
      </c>
      <c r="AF62" s="9" t="n">
        <v>0</v>
      </c>
      <c r="AG62" s="23" t="n">
        <v>9.5</v>
      </c>
      <c r="AH62" s="8" t="n">
        <v>5.5</v>
      </c>
      <c r="AI62" s="8" t="n">
        <v>6.5</v>
      </c>
      <c r="AJ62" s="8" t="n">
        <v>0</v>
      </c>
      <c r="AK62" s="8" t="n">
        <v>0</v>
      </c>
      <c r="AL62" s="8" t="n">
        <v>0</v>
      </c>
      <c r="AM62" s="9" t="n">
        <v>0</v>
      </c>
      <c r="AN62" s="8" t="n">
        <v>0</v>
      </c>
      <c r="AO62" s="8" t="n">
        <v>0</v>
      </c>
      <c r="AP62" s="8" t="n">
        <v>0</v>
      </c>
      <c r="AQ62" s="8" t="n">
        <v>0</v>
      </c>
      <c r="AR62" s="8" t="n">
        <v>0</v>
      </c>
      <c r="AS62" s="8" t="n">
        <v>0</v>
      </c>
      <c r="AT62" s="10">
        <f>SUM(O62:AS62)</f>
        <v/>
      </c>
      <c r="AU62" s="11">
        <f>COUNTIF(O62:AS62, "&gt;0")</f>
        <v/>
      </c>
      <c r="AV62" s="12">
        <f>IF(AU62&gt;=5, 4, IF(AU62&gt;0, INT(AU62/6), 0))</f>
        <v/>
      </c>
      <c r="AW62" s="11" t="n">
        <v>0</v>
      </c>
      <c r="AX62" s="11" t="n">
        <v>0</v>
      </c>
      <c r="AY62" s="13">
        <f>MIN(31, AU62+AV62+AW62+AX62)</f>
        <v/>
      </c>
      <c r="AZ62" s="14">
        <f>31-AY62</f>
        <v/>
      </c>
      <c r="BA62" s="5">
        <f>IF(AX62&gt;0, "01-İstirahat", IF(AZ62&gt;0, "12-Birden Fazla", ""))</f>
        <v/>
      </c>
      <c r="BB62" s="10" t="n">
        <v>13.5</v>
      </c>
      <c r="BC62" s="23" t="n">
        <v>7.5</v>
      </c>
      <c r="BD62" s="9" t="n">
        <v>0</v>
      </c>
      <c r="BE62" s="7">
        <f>(L62/30)*AU62</f>
        <v/>
      </c>
      <c r="BF62" s="15">
        <f>(L62/225)*((BB62*1.5)-(BC62*1.0))</f>
        <v/>
      </c>
      <c r="BG62" s="16">
        <f>(L62/225)*1.5*BD62</f>
        <v/>
      </c>
      <c r="BH62" s="15">
        <f>BF62+BG62</f>
        <v/>
      </c>
      <c r="BI62" s="17">
        <f>BE62+BH62</f>
        <v/>
      </c>
      <c r="BJ62" s="7">
        <f>IFERROR(VLOOKUP(B62, Resmi_Bordro_SGK!B:M, 11, FALSE), 0)</f>
        <v/>
      </c>
      <c r="BK62" s="18">
        <f>IFERROR(VLOOKUP(B62, Icra_Takip!A:E, 4, FALSE), 0)</f>
        <v/>
      </c>
      <c r="BL62" s="17">
        <f>IF(BI62&gt;BJ62, BI62-BJ62-BK62, 0)</f>
        <v/>
      </c>
      <c r="BM62" s="17">
        <f>BI62-BK62</f>
        <v/>
      </c>
    </row>
    <row r="63" ht="19" customHeight="1">
      <c r="A63" s="4" t="n">
        <v>60</v>
      </c>
      <c r="B63" s="5" t="inlineStr">
        <is>
          <t>25297298992</t>
        </is>
      </c>
      <c r="C63" s="6" t="inlineStr">
        <is>
          <t>BETÜL TUNÇ</t>
        </is>
      </c>
      <c r="D63" s="4" t="inlineStr">
        <is>
          <t>K</t>
        </is>
      </c>
      <c r="E63" s="4" t="inlineStr"/>
      <c r="F63" s="4" t="inlineStr">
        <is>
          <t>04.11.2025</t>
        </is>
      </c>
      <c r="G63" s="4" t="inlineStr"/>
      <c r="H63" s="4" t="inlineStr">
        <is>
          <t>NORMAL</t>
        </is>
      </c>
      <c r="I63" s="4" t="inlineStr">
        <is>
          <t>MEVSİMLİK</t>
        </is>
      </c>
      <c r="J63" s="6" t="inlineStr">
        <is>
          <t>BALIK TEMİZLEME</t>
        </is>
      </c>
      <c r="K63" s="6" t="inlineStr">
        <is>
          <t>BANDIRMA</t>
        </is>
      </c>
      <c r="L63" s="7" t="n">
        <v>33000</v>
      </c>
      <c r="M63" s="4" t="inlineStr">
        <is>
          <t>FİDE KONSERVE</t>
        </is>
      </c>
      <c r="N63" s="4" t="inlineStr">
        <is>
          <t>ALIR</t>
        </is>
      </c>
      <c r="O63" s="19" t="n">
        <v>8</v>
      </c>
      <c r="P63" s="19" t="n">
        <v>8.5</v>
      </c>
      <c r="Q63" s="19" t="n">
        <v>8</v>
      </c>
      <c r="R63" s="9" t="n">
        <v>0</v>
      </c>
      <c r="S63" s="19" t="n">
        <v>7.5</v>
      </c>
      <c r="T63" s="19" t="n">
        <v>8</v>
      </c>
      <c r="U63" s="19" t="n">
        <v>8</v>
      </c>
      <c r="V63" s="19" t="n">
        <v>8</v>
      </c>
      <c r="W63" s="19" t="n">
        <v>8.5</v>
      </c>
      <c r="X63" s="19" t="n">
        <v>8.5</v>
      </c>
      <c r="Y63" s="9" t="n">
        <v>0</v>
      </c>
      <c r="Z63" s="19" t="n">
        <v>0</v>
      </c>
      <c r="AA63" s="19" t="n">
        <v>0</v>
      </c>
      <c r="AB63" s="19" t="n">
        <v>0</v>
      </c>
      <c r="AC63" s="19" t="n">
        <v>0</v>
      </c>
      <c r="AD63" s="19" t="n">
        <v>8</v>
      </c>
      <c r="AE63" s="19" t="n">
        <v>0</v>
      </c>
      <c r="AF63" s="9" t="n">
        <v>0</v>
      </c>
      <c r="AG63" s="19" t="n">
        <v>8.5</v>
      </c>
      <c r="AH63" s="19" t="n">
        <v>7.5</v>
      </c>
      <c r="AI63" s="19" t="n">
        <v>7.5</v>
      </c>
      <c r="AJ63" s="19" t="n">
        <v>0</v>
      </c>
      <c r="AK63" s="19" t="n">
        <v>0</v>
      </c>
      <c r="AL63" s="19" t="n">
        <v>0</v>
      </c>
      <c r="AM63" s="9" t="n">
        <v>0</v>
      </c>
      <c r="AN63" s="19" t="n">
        <v>0</v>
      </c>
      <c r="AO63" s="19" t="n">
        <v>0</v>
      </c>
      <c r="AP63" s="19" t="n">
        <v>0</v>
      </c>
      <c r="AQ63" s="19" t="n">
        <v>0</v>
      </c>
      <c r="AR63" s="19" t="n">
        <v>0</v>
      </c>
      <c r="AS63" s="19" t="n">
        <v>0</v>
      </c>
      <c r="AT63" s="10">
        <f>SUM(O63:AS63)</f>
        <v/>
      </c>
      <c r="AU63" s="20">
        <f>COUNTIF(O63:AS63, "&gt;0")</f>
        <v/>
      </c>
      <c r="AV63" s="12">
        <f>IF(AU63&gt;=5, 4, IF(AU63&gt;0, INT(AU63/6), 0))</f>
        <v/>
      </c>
      <c r="AW63" s="20" t="n">
        <v>0</v>
      </c>
      <c r="AX63" s="20" t="n">
        <v>0</v>
      </c>
      <c r="AY63" s="13">
        <f>MIN(31, AU63+AV63+AW63+AX63)</f>
        <v/>
      </c>
      <c r="AZ63" s="14">
        <f>31-AY63</f>
        <v/>
      </c>
      <c r="BA63" s="21">
        <f>IF(AX63&gt;0, "01-İstirahat", IF(AZ63&gt;0, "12-Birden Fazla", ""))</f>
        <v/>
      </c>
      <c r="BB63" s="10" t="n">
        <v>7</v>
      </c>
      <c r="BC63" s="19" t="n">
        <v>0</v>
      </c>
      <c r="BD63" s="9" t="n">
        <v>0</v>
      </c>
      <c r="BE63" s="22">
        <f>(L63/30)*AU63</f>
        <v/>
      </c>
      <c r="BF63" s="15">
        <f>(L63/225)*((BB63*1.5)-(BC63*1.0))</f>
        <v/>
      </c>
      <c r="BG63" s="16">
        <f>(L63/225)*1.5*BD63</f>
        <v/>
      </c>
      <c r="BH63" s="15">
        <f>BF63+BG63</f>
        <v/>
      </c>
      <c r="BI63" s="17">
        <f>BE63+BH63</f>
        <v/>
      </c>
      <c r="BJ63" s="22">
        <f>IFERROR(VLOOKUP(B63, Resmi_Bordro_SGK!B:M, 11, FALSE), 0)</f>
        <v/>
      </c>
      <c r="BK63" s="18">
        <f>IFERROR(VLOOKUP(B63, Icra_Takip!A:E, 4, FALSE), 0)</f>
        <v/>
      </c>
      <c r="BL63" s="17">
        <f>IF(BI63&gt;BJ63, BI63-BJ63-BK63, 0)</f>
        <v/>
      </c>
      <c r="BM63" s="17">
        <f>BI63-BK63</f>
        <v/>
      </c>
    </row>
    <row r="64" ht="19" customHeight="1">
      <c r="A64" s="4" t="n">
        <v>61</v>
      </c>
      <c r="B64" s="5" t="inlineStr">
        <is>
          <t>13741828666</t>
        </is>
      </c>
      <c r="C64" s="6" t="inlineStr">
        <is>
          <t>BEYZA YAĞMUR HAN</t>
        </is>
      </c>
      <c r="D64" s="4" t="inlineStr">
        <is>
          <t>K</t>
        </is>
      </c>
      <c r="E64" s="4" t="inlineStr"/>
      <c r="F64" s="4" t="inlineStr">
        <is>
          <t>15.07.2026</t>
        </is>
      </c>
      <c r="G64" s="4" t="inlineStr"/>
      <c r="H64" s="4" t="inlineStr">
        <is>
          <t>NORMAL</t>
        </is>
      </c>
      <c r="I64" s="4" t="inlineStr">
        <is>
          <t>MEVSİMLİK</t>
        </is>
      </c>
      <c r="J64" s="6" t="inlineStr">
        <is>
          <t>ÜRETİM</t>
        </is>
      </c>
      <c r="K64" s="6" t="inlineStr">
        <is>
          <t>KARACABEY-HALİL</t>
        </is>
      </c>
      <c r="L64" s="7" t="n">
        <v>28075.5</v>
      </c>
      <c r="M64" s="4" t="inlineStr">
        <is>
          <t>FİDE KONSERVE</t>
        </is>
      </c>
      <c r="N64" s="4" t="inlineStr">
        <is>
          <t>ALIR</t>
        </is>
      </c>
      <c r="O64" s="8" t="n">
        <v>10.5</v>
      </c>
      <c r="P64" s="8" t="n">
        <v>10.5</v>
      </c>
      <c r="Q64" s="8" t="n">
        <v>10.5</v>
      </c>
      <c r="R64" s="9" t="n">
        <v>0</v>
      </c>
      <c r="S64" s="8" t="n">
        <v>10.5</v>
      </c>
      <c r="T64" s="8" t="n">
        <v>10.5</v>
      </c>
      <c r="U64" s="8" t="n">
        <v>0</v>
      </c>
      <c r="V64" s="8" t="n">
        <v>10.5</v>
      </c>
      <c r="W64" s="8" t="n">
        <v>10.5</v>
      </c>
      <c r="X64" s="8" t="n">
        <v>10.5</v>
      </c>
      <c r="Y64" s="9" t="n">
        <v>0</v>
      </c>
      <c r="Z64" s="8" t="n">
        <v>10.5</v>
      </c>
      <c r="AA64" s="8" t="n">
        <v>0</v>
      </c>
      <c r="AB64" s="8" t="n">
        <v>10.5</v>
      </c>
      <c r="AC64" s="8" t="n">
        <v>10.5</v>
      </c>
      <c r="AD64" s="8" t="n">
        <v>0</v>
      </c>
      <c r="AE64" s="8" t="n">
        <v>0</v>
      </c>
      <c r="AF64" s="9" t="n">
        <v>0</v>
      </c>
      <c r="AG64" s="8" t="n">
        <v>10.5</v>
      </c>
      <c r="AH64" s="8" t="n">
        <v>0</v>
      </c>
      <c r="AI64" s="8" t="n">
        <v>0</v>
      </c>
      <c r="AJ64" s="8" t="n">
        <v>0</v>
      </c>
      <c r="AK64" s="8" t="n">
        <v>0</v>
      </c>
      <c r="AL64" s="8" t="n">
        <v>0</v>
      </c>
      <c r="AM64" s="9" t="n">
        <v>0</v>
      </c>
      <c r="AN64" s="8" t="n">
        <v>0</v>
      </c>
      <c r="AO64" s="8" t="n">
        <v>0</v>
      </c>
      <c r="AP64" s="8" t="n">
        <v>0</v>
      </c>
      <c r="AQ64" s="8" t="n">
        <v>0</v>
      </c>
      <c r="AR64" s="8" t="n">
        <v>0</v>
      </c>
      <c r="AS64" s="8" t="n">
        <v>0</v>
      </c>
      <c r="AT64" s="10">
        <f>SUM(O64:AS64)</f>
        <v/>
      </c>
      <c r="AU64" s="11">
        <f>COUNTIF(O64:AS64, "&gt;0")</f>
        <v/>
      </c>
      <c r="AV64" s="12">
        <f>IF(AU64&gt;=5, 4, IF(AU64&gt;0, INT(AU64/6), 0))</f>
        <v/>
      </c>
      <c r="AW64" s="11" t="n">
        <v>0</v>
      </c>
      <c r="AX64" s="11" t="n">
        <v>0</v>
      </c>
      <c r="AY64" s="13">
        <f>MIN(31, AU64+AV64+AW64+AX64)</f>
        <v/>
      </c>
      <c r="AZ64" s="14">
        <f>31-AY64</f>
        <v/>
      </c>
      <c r="BA64" s="5">
        <f>IF(AX64&gt;0, "01-İstirahat", IF(AZ64&gt;0, "12-Birden Fazla", ""))</f>
        <v/>
      </c>
      <c r="BB64" s="10" t="n">
        <v>36</v>
      </c>
      <c r="BC64" s="8" t="n">
        <v>0</v>
      </c>
      <c r="BD64" s="9" t="n">
        <v>0</v>
      </c>
      <c r="BE64" s="7">
        <f>(L64/30)*AU64</f>
        <v/>
      </c>
      <c r="BF64" s="15">
        <f>(L64/225)*((BB64*1.5)-(BC64*1.0))</f>
        <v/>
      </c>
      <c r="BG64" s="16">
        <f>(L64/225)*1.5*BD64</f>
        <v/>
      </c>
      <c r="BH64" s="15">
        <f>BF64+BG64</f>
        <v/>
      </c>
      <c r="BI64" s="17">
        <f>BE64+BH64</f>
        <v/>
      </c>
      <c r="BJ64" s="7">
        <f>IFERROR(VLOOKUP(B64, Resmi_Bordro_SGK!B:M, 11, FALSE), 0)</f>
        <v/>
      </c>
      <c r="BK64" s="18">
        <f>IFERROR(VLOOKUP(B64, Icra_Takip!A:E, 4, FALSE), 0)</f>
        <v/>
      </c>
      <c r="BL64" s="17">
        <f>IF(BI64&gt;BJ64, BI64-BJ64-BK64, 0)</f>
        <v/>
      </c>
      <c r="BM64" s="17">
        <f>BI64-BK64</f>
        <v/>
      </c>
    </row>
    <row r="65" ht="19" customHeight="1">
      <c r="A65" s="4" t="n">
        <v>62</v>
      </c>
      <c r="B65" s="5" t="inlineStr">
        <is>
          <t>21703561926</t>
        </is>
      </c>
      <c r="C65" s="6" t="inlineStr">
        <is>
          <t>BİLGİ GÜVENİLİR</t>
        </is>
      </c>
      <c r="D65" s="4" t="inlineStr">
        <is>
          <t>K</t>
        </is>
      </c>
      <c r="E65" s="4" t="inlineStr"/>
      <c r="F65" s="4" t="inlineStr">
        <is>
          <t>18.06.2026</t>
        </is>
      </c>
      <c r="G65" s="4" t="inlineStr"/>
      <c r="H65" s="4" t="inlineStr">
        <is>
          <t>NORMAL</t>
        </is>
      </c>
      <c r="I65" s="4" t="inlineStr">
        <is>
          <t>MEVSİMLİK</t>
        </is>
      </c>
      <c r="J65" s="6" t="inlineStr">
        <is>
          <t>BALIK TEMİZLEME</t>
        </is>
      </c>
      <c r="K65" s="6" t="inlineStr">
        <is>
          <t>KARACABEY-HALİL</t>
        </is>
      </c>
      <c r="L65" s="7" t="n">
        <v>33000</v>
      </c>
      <c r="M65" s="4" t="inlineStr">
        <is>
          <t>FİDE KONSERVE</t>
        </is>
      </c>
      <c r="N65" s="4" t="inlineStr">
        <is>
          <t>ALIR</t>
        </is>
      </c>
      <c r="O65" s="19" t="n">
        <v>0</v>
      </c>
      <c r="P65" s="19" t="n">
        <v>0</v>
      </c>
      <c r="Q65" s="19" t="n">
        <v>0</v>
      </c>
      <c r="R65" s="9" t="n">
        <v>0</v>
      </c>
      <c r="S65" s="19" t="n">
        <v>0</v>
      </c>
      <c r="T65" s="19" t="n">
        <v>0</v>
      </c>
      <c r="U65" s="19" t="n">
        <v>0</v>
      </c>
      <c r="V65" s="19" t="n">
        <v>0</v>
      </c>
      <c r="W65" s="19" t="n">
        <v>0</v>
      </c>
      <c r="X65" s="19" t="n">
        <v>0</v>
      </c>
      <c r="Y65" s="9" t="n">
        <v>0</v>
      </c>
      <c r="Z65" s="19" t="n">
        <v>0</v>
      </c>
      <c r="AA65" s="19" t="n">
        <v>0</v>
      </c>
      <c r="AB65" s="19" t="n">
        <v>0</v>
      </c>
      <c r="AC65" s="19" t="n">
        <v>0</v>
      </c>
      <c r="AD65" s="19" t="n">
        <v>0</v>
      </c>
      <c r="AE65" s="19" t="n">
        <v>0</v>
      </c>
      <c r="AF65" s="9" t="n">
        <v>0</v>
      </c>
      <c r="AG65" s="19" t="n">
        <v>0</v>
      </c>
      <c r="AH65" s="19" t="n">
        <v>0</v>
      </c>
      <c r="AI65" s="19" t="n">
        <v>0</v>
      </c>
      <c r="AJ65" s="19" t="n">
        <v>0</v>
      </c>
      <c r="AK65" s="19" t="n">
        <v>0</v>
      </c>
      <c r="AL65" s="19" t="n">
        <v>0</v>
      </c>
      <c r="AM65" s="9" t="n">
        <v>0</v>
      </c>
      <c r="AN65" s="19" t="n">
        <v>0</v>
      </c>
      <c r="AO65" s="19" t="n">
        <v>0</v>
      </c>
      <c r="AP65" s="19" t="n">
        <v>0</v>
      </c>
      <c r="AQ65" s="19" t="n">
        <v>0</v>
      </c>
      <c r="AR65" s="19" t="n">
        <v>0</v>
      </c>
      <c r="AS65" s="19" t="n">
        <v>0</v>
      </c>
      <c r="AT65" s="10">
        <f>SUM(O65:AS65)</f>
        <v/>
      </c>
      <c r="AU65" s="20">
        <f>COUNTIF(O65:AS65, "&gt;0")</f>
        <v/>
      </c>
      <c r="AV65" s="12">
        <f>IF(AU65&gt;=5, 4, IF(AU65&gt;0, INT(AU65/6), 0))</f>
        <v/>
      </c>
      <c r="AW65" s="20" t="n">
        <v>0</v>
      </c>
      <c r="AX65" s="20" t="n">
        <v>0</v>
      </c>
      <c r="AY65" s="13">
        <f>MIN(31, AU65+AV65+AW65+AX65)</f>
        <v/>
      </c>
      <c r="AZ65" s="14">
        <f>31-AY65</f>
        <v/>
      </c>
      <c r="BA65" s="21">
        <f>IF(AX65&gt;0, "01-İstirahat", IF(AZ65&gt;0, "12-Birden Fazla", ""))</f>
        <v/>
      </c>
      <c r="BB65" s="10" t="n">
        <v>0</v>
      </c>
      <c r="BC65" s="19" t="n">
        <v>0</v>
      </c>
      <c r="BD65" s="9" t="n">
        <v>0</v>
      </c>
      <c r="BE65" s="22">
        <f>(L65/30)*AU65</f>
        <v/>
      </c>
      <c r="BF65" s="15">
        <f>(L65/225)*((BB65*1.5)-(BC65*1.0))</f>
        <v/>
      </c>
      <c r="BG65" s="16">
        <f>(L65/225)*1.5*BD65</f>
        <v/>
      </c>
      <c r="BH65" s="15">
        <f>BF65+BG65</f>
        <v/>
      </c>
      <c r="BI65" s="17">
        <f>BE65+BH65</f>
        <v/>
      </c>
      <c r="BJ65" s="22">
        <f>IFERROR(VLOOKUP(B65, Resmi_Bordro_SGK!B:M, 11, FALSE), 0)</f>
        <v/>
      </c>
      <c r="BK65" s="18">
        <f>IFERROR(VLOOKUP(B65, Icra_Takip!A:E, 4, FALSE), 0)</f>
        <v/>
      </c>
      <c r="BL65" s="17">
        <f>IF(BI65&gt;BJ65, BI65-BJ65-BK65, 0)</f>
        <v/>
      </c>
      <c r="BM65" s="17">
        <f>BI65-BK65</f>
        <v/>
      </c>
    </row>
    <row r="66" ht="19" customHeight="1">
      <c r="A66" s="4" t="n">
        <v>63</v>
      </c>
      <c r="B66" s="5" t="inlineStr">
        <is>
          <t>33316051664</t>
        </is>
      </c>
      <c r="C66" s="6" t="inlineStr">
        <is>
          <t>BİLGİNUR SÜMER</t>
        </is>
      </c>
      <c r="D66" s="4" t="inlineStr">
        <is>
          <t>K</t>
        </is>
      </c>
      <c r="E66" s="4" t="inlineStr">
        <is>
          <t>11.08.2026</t>
        </is>
      </c>
      <c r="F66" s="4" t="inlineStr">
        <is>
          <t>12.08.2026</t>
        </is>
      </c>
      <c r="G66" s="4" t="inlineStr"/>
      <c r="H66" s="4" t="inlineStr">
        <is>
          <t>NORMAL</t>
        </is>
      </c>
      <c r="I66" s="4" t="inlineStr">
        <is>
          <t>MEVSİMLİK</t>
        </is>
      </c>
      <c r="J66" s="6" t="inlineStr">
        <is>
          <t>BALIK TEMİZLEME</t>
        </is>
      </c>
      <c r="K66" s="6" t="inlineStr">
        <is>
          <t>BALIKESİR</t>
        </is>
      </c>
      <c r="L66" s="7" t="n">
        <v>33000</v>
      </c>
      <c r="M66" s="4" t="inlineStr">
        <is>
          <t>FİDE KONSERVE</t>
        </is>
      </c>
      <c r="N66" s="4" t="inlineStr">
        <is>
          <t>ALIR</t>
        </is>
      </c>
      <c r="O66" s="8" t="n">
        <v>8</v>
      </c>
      <c r="P66" s="8" t="n">
        <v>0</v>
      </c>
      <c r="Q66" s="8" t="n">
        <v>8</v>
      </c>
      <c r="R66" s="9" t="n">
        <v>0</v>
      </c>
      <c r="S66" s="8" t="n">
        <v>7.5</v>
      </c>
      <c r="T66" s="8" t="n">
        <v>8</v>
      </c>
      <c r="U66" s="8" t="n">
        <v>0</v>
      </c>
      <c r="V66" s="8" t="n">
        <v>0</v>
      </c>
      <c r="W66" s="8" t="n">
        <v>0</v>
      </c>
      <c r="X66" s="8" t="n">
        <v>8.5</v>
      </c>
      <c r="Y66" s="9" t="n">
        <v>0</v>
      </c>
      <c r="Z66" s="8" t="n">
        <v>7.5</v>
      </c>
      <c r="AA66" s="8" t="n">
        <v>7.5</v>
      </c>
      <c r="AB66" s="8" t="n">
        <v>8.5</v>
      </c>
      <c r="AC66" s="8" t="n">
        <v>7.5</v>
      </c>
      <c r="AD66" s="8" t="n">
        <v>8</v>
      </c>
      <c r="AE66" s="8" t="n">
        <v>8.5</v>
      </c>
      <c r="AF66" s="9" t="n">
        <v>0</v>
      </c>
      <c r="AG66" s="8" t="n">
        <v>0</v>
      </c>
      <c r="AH66" s="8" t="n">
        <v>0</v>
      </c>
      <c r="AI66" s="8" t="n">
        <v>0</v>
      </c>
      <c r="AJ66" s="8" t="n">
        <v>0</v>
      </c>
      <c r="AK66" s="8" t="n">
        <v>0</v>
      </c>
      <c r="AL66" s="8" t="n">
        <v>0</v>
      </c>
      <c r="AM66" s="9" t="n">
        <v>0</v>
      </c>
      <c r="AN66" s="8" t="n">
        <v>0</v>
      </c>
      <c r="AO66" s="8" t="n">
        <v>0</v>
      </c>
      <c r="AP66" s="8" t="n">
        <v>0</v>
      </c>
      <c r="AQ66" s="8" t="n">
        <v>0</v>
      </c>
      <c r="AR66" s="8" t="n">
        <v>0</v>
      </c>
      <c r="AS66" s="8" t="n">
        <v>0</v>
      </c>
      <c r="AT66" s="10">
        <f>SUM(O66:AS66)</f>
        <v/>
      </c>
      <c r="AU66" s="11">
        <f>COUNTIF(O66:AS66, "&gt;0")</f>
        <v/>
      </c>
      <c r="AV66" s="12">
        <f>IF(AU66&gt;=5, 4, IF(AU66&gt;0, INT(AU66/6), 0))</f>
        <v/>
      </c>
      <c r="AW66" s="11" t="n">
        <v>0</v>
      </c>
      <c r="AX66" s="11" t="n">
        <v>0</v>
      </c>
      <c r="AY66" s="13">
        <f>MIN(31, AU66+AV66+AW66+AX66)</f>
        <v/>
      </c>
      <c r="AZ66" s="14">
        <f>31-AY66</f>
        <v/>
      </c>
      <c r="BA66" s="5">
        <f>IF(AX66&gt;0, "01-İstirahat", IF(AZ66&gt;0, "12-Birden Fazla", ""))</f>
        <v/>
      </c>
      <c r="BB66" s="10" t="n">
        <v>5</v>
      </c>
      <c r="BC66" s="8" t="n">
        <v>0</v>
      </c>
      <c r="BD66" s="9" t="n">
        <v>0</v>
      </c>
      <c r="BE66" s="7">
        <f>(L66/30)*AU66</f>
        <v/>
      </c>
      <c r="BF66" s="15">
        <f>(L66/225)*((BB66*1.5)-(BC66*1.0))</f>
        <v/>
      </c>
      <c r="BG66" s="16">
        <f>(L66/225)*1.5*BD66</f>
        <v/>
      </c>
      <c r="BH66" s="15">
        <f>BF66+BG66</f>
        <v/>
      </c>
      <c r="BI66" s="17">
        <f>BE66+BH66</f>
        <v/>
      </c>
      <c r="BJ66" s="7">
        <f>IFERROR(VLOOKUP(B66, Resmi_Bordro_SGK!B:M, 11, FALSE), 0)</f>
        <v/>
      </c>
      <c r="BK66" s="18">
        <f>IFERROR(VLOOKUP(B66, Icra_Takip!A:E, 4, FALSE), 0)</f>
        <v/>
      </c>
      <c r="BL66" s="17">
        <f>IF(BI66&gt;BJ66, BI66-BJ66-BK66, 0)</f>
        <v/>
      </c>
      <c r="BM66" s="17">
        <f>BI66-BK66</f>
        <v/>
      </c>
    </row>
    <row r="67" ht="19" customHeight="1">
      <c r="A67" s="4" t="n">
        <v>64</v>
      </c>
      <c r="B67" s="5" t="inlineStr">
        <is>
          <t>11950763822</t>
        </is>
      </c>
      <c r="C67" s="6" t="inlineStr">
        <is>
          <t>BİLGİYE TOPAL</t>
        </is>
      </c>
      <c r="D67" s="4" t="inlineStr">
        <is>
          <t>K</t>
        </is>
      </c>
      <c r="E67" s="4" t="inlineStr"/>
      <c r="F67" s="4" t="inlineStr">
        <is>
          <t>17.08.2026</t>
        </is>
      </c>
      <c r="G67" s="4" t="inlineStr"/>
      <c r="H67" s="4" t="inlineStr">
        <is>
          <t>NORMAL</t>
        </is>
      </c>
      <c r="I67" s="4" t="inlineStr">
        <is>
          <t>MEVSİMLİK</t>
        </is>
      </c>
      <c r="J67" s="6" t="inlineStr">
        <is>
          <t>BALIK TEMİZLEME</t>
        </is>
      </c>
      <c r="K67" s="6" t="inlineStr">
        <is>
          <t>GÜVEN TURİZM MKP</t>
        </is>
      </c>
      <c r="L67" s="7" t="n">
        <v>33000</v>
      </c>
      <c r="M67" s="4" t="inlineStr">
        <is>
          <t>FİDE KONSERVE</t>
        </is>
      </c>
      <c r="N67" s="4" t="inlineStr">
        <is>
          <t>ALIR</t>
        </is>
      </c>
      <c r="O67" s="19" t="n">
        <v>8</v>
      </c>
      <c r="P67" s="19" t="n">
        <v>8</v>
      </c>
      <c r="Q67" s="19" t="n">
        <v>8</v>
      </c>
      <c r="R67" s="9" t="n">
        <v>0</v>
      </c>
      <c r="S67" s="19" t="n">
        <v>0</v>
      </c>
      <c r="T67" s="19" t="n">
        <v>8</v>
      </c>
      <c r="U67" s="19" t="n">
        <v>7.5</v>
      </c>
      <c r="V67" s="19" t="n">
        <v>8</v>
      </c>
      <c r="W67" s="19" t="n">
        <v>8</v>
      </c>
      <c r="X67" s="19" t="n">
        <v>8.5</v>
      </c>
      <c r="Y67" s="9" t="n">
        <v>0</v>
      </c>
      <c r="Z67" s="19" t="n">
        <v>7.5</v>
      </c>
      <c r="AA67" s="19" t="n">
        <v>7.5</v>
      </c>
      <c r="AB67" s="19" t="n">
        <v>8.5</v>
      </c>
      <c r="AC67" s="19" t="n">
        <v>7.5</v>
      </c>
      <c r="AD67" s="19" t="n">
        <v>7.5</v>
      </c>
      <c r="AE67" s="19" t="n">
        <v>8.5</v>
      </c>
      <c r="AF67" s="9" t="n">
        <v>0</v>
      </c>
      <c r="AG67" s="19" t="n">
        <v>8</v>
      </c>
      <c r="AH67" s="19" t="n">
        <v>7.5</v>
      </c>
      <c r="AI67" s="19" t="n">
        <v>0</v>
      </c>
      <c r="AJ67" s="19" t="n">
        <v>0</v>
      </c>
      <c r="AK67" s="19" t="n">
        <v>0</v>
      </c>
      <c r="AL67" s="19" t="n">
        <v>0</v>
      </c>
      <c r="AM67" s="9" t="n">
        <v>0</v>
      </c>
      <c r="AN67" s="19" t="n">
        <v>0</v>
      </c>
      <c r="AO67" s="19" t="n">
        <v>0</v>
      </c>
      <c r="AP67" s="19" t="n">
        <v>0</v>
      </c>
      <c r="AQ67" s="19" t="n">
        <v>0</v>
      </c>
      <c r="AR67" s="19" t="n">
        <v>0</v>
      </c>
      <c r="AS67" s="19" t="n">
        <v>0</v>
      </c>
      <c r="AT67" s="10">
        <f>SUM(O67:AS67)</f>
        <v/>
      </c>
      <c r="AU67" s="20">
        <f>COUNTIF(O67:AS67, "&gt;0")</f>
        <v/>
      </c>
      <c r="AV67" s="12">
        <f>IF(AU67&gt;=5, 4, IF(AU67&gt;0, INT(AU67/6), 0))</f>
        <v/>
      </c>
      <c r="AW67" s="20" t="n">
        <v>0</v>
      </c>
      <c r="AX67" s="20" t="n">
        <v>0</v>
      </c>
      <c r="AY67" s="13">
        <f>MIN(31, AU67+AV67+AW67+AX67)</f>
        <v/>
      </c>
      <c r="AZ67" s="14">
        <f>31-AY67</f>
        <v/>
      </c>
      <c r="BA67" s="21">
        <f>IF(AX67&gt;0, "01-İstirahat", IF(AZ67&gt;0, "12-Birden Fazla", ""))</f>
        <v/>
      </c>
      <c r="BB67" s="10" t="n">
        <v>6.5</v>
      </c>
      <c r="BC67" s="19" t="n">
        <v>0</v>
      </c>
      <c r="BD67" s="9" t="n">
        <v>0</v>
      </c>
      <c r="BE67" s="22">
        <f>(L67/30)*AU67</f>
        <v/>
      </c>
      <c r="BF67" s="15">
        <f>(L67/225)*((BB67*1.5)-(BC67*1.0))</f>
        <v/>
      </c>
      <c r="BG67" s="16">
        <f>(L67/225)*1.5*BD67</f>
        <v/>
      </c>
      <c r="BH67" s="15">
        <f>BF67+BG67</f>
        <v/>
      </c>
      <c r="BI67" s="17">
        <f>BE67+BH67</f>
        <v/>
      </c>
      <c r="BJ67" s="22">
        <f>IFERROR(VLOOKUP(B67, Resmi_Bordro_SGK!B:M, 11, FALSE), 0)</f>
        <v/>
      </c>
      <c r="BK67" s="18">
        <f>IFERROR(VLOOKUP(B67, Icra_Takip!A:E, 4, FALSE), 0)</f>
        <v/>
      </c>
      <c r="BL67" s="17">
        <f>IF(BI67&gt;BJ67, BI67-BJ67-BK67, 0)</f>
        <v/>
      </c>
      <c r="BM67" s="17">
        <f>BI67-BK67</f>
        <v/>
      </c>
    </row>
    <row r="68" ht="19" customHeight="1">
      <c r="A68" s="4" t="n">
        <v>65</v>
      </c>
      <c r="B68" s="5" t="inlineStr">
        <is>
          <t>23263184324</t>
        </is>
      </c>
      <c r="C68" s="6" t="inlineStr">
        <is>
          <t>BİRSEN ALPARSLAN</t>
        </is>
      </c>
      <c r="D68" s="4" t="inlineStr">
        <is>
          <t>K</t>
        </is>
      </c>
      <c r="E68" s="4" t="inlineStr"/>
      <c r="F68" s="4" t="inlineStr">
        <is>
          <t>19.07.2026</t>
        </is>
      </c>
      <c r="G68" s="4" t="inlineStr"/>
      <c r="H68" s="4" t="inlineStr">
        <is>
          <t>NORMAL</t>
        </is>
      </c>
      <c r="I68" s="4" t="inlineStr">
        <is>
          <t>MEVSİMLİK</t>
        </is>
      </c>
      <c r="J68" s="6" t="inlineStr">
        <is>
          <t>ÜRETİM</t>
        </is>
      </c>
      <c r="K68" s="6" t="inlineStr">
        <is>
          <t>KARACABEY-HALİL</t>
        </is>
      </c>
      <c r="L68" s="7" t="n">
        <v>28075.5</v>
      </c>
      <c r="M68" s="4" t="inlineStr">
        <is>
          <t>FİDE KONSERVE</t>
        </is>
      </c>
      <c r="N68" s="4" t="inlineStr">
        <is>
          <t>ALIR</t>
        </is>
      </c>
      <c r="O68" s="8" t="n">
        <v>0</v>
      </c>
      <c r="P68" s="8" t="n">
        <v>0</v>
      </c>
      <c r="Q68" s="8" t="n">
        <v>0</v>
      </c>
      <c r="R68" s="9" t="n">
        <v>0</v>
      </c>
      <c r="S68" s="8" t="n">
        <v>0</v>
      </c>
      <c r="T68" s="8" t="n">
        <v>0</v>
      </c>
      <c r="U68" s="8" t="n">
        <v>0</v>
      </c>
      <c r="V68" s="8" t="n">
        <v>0</v>
      </c>
      <c r="W68" s="8" t="n">
        <v>0</v>
      </c>
      <c r="X68" s="8" t="n">
        <v>0</v>
      </c>
      <c r="Y68" s="9" t="n">
        <v>0</v>
      </c>
      <c r="Z68" s="8" t="n">
        <v>0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9" t="n">
        <v>0</v>
      </c>
      <c r="AG68" s="8" t="n">
        <v>0</v>
      </c>
      <c r="AH68" s="8" t="n">
        <v>0</v>
      </c>
      <c r="AI68" s="8" t="n">
        <v>0</v>
      </c>
      <c r="AJ68" s="8" t="n">
        <v>0</v>
      </c>
      <c r="AK68" s="8" t="n">
        <v>0</v>
      </c>
      <c r="AL68" s="8" t="n">
        <v>0</v>
      </c>
      <c r="AM68" s="9" t="n">
        <v>0</v>
      </c>
      <c r="AN68" s="8" t="n">
        <v>0</v>
      </c>
      <c r="AO68" s="8" t="n">
        <v>0</v>
      </c>
      <c r="AP68" s="8" t="n">
        <v>0</v>
      </c>
      <c r="AQ68" s="8" t="n">
        <v>0</v>
      </c>
      <c r="AR68" s="8" t="n">
        <v>0</v>
      </c>
      <c r="AS68" s="8" t="n">
        <v>0</v>
      </c>
      <c r="AT68" s="10">
        <f>SUM(O68:AS68)</f>
        <v/>
      </c>
      <c r="AU68" s="11">
        <f>COUNTIF(O68:AS68, "&gt;0")</f>
        <v/>
      </c>
      <c r="AV68" s="12">
        <f>IF(AU68&gt;=5, 4, IF(AU68&gt;0, INT(AU68/6), 0))</f>
        <v/>
      </c>
      <c r="AW68" s="11" t="n">
        <v>0</v>
      </c>
      <c r="AX68" s="11" t="n">
        <v>0</v>
      </c>
      <c r="AY68" s="13">
        <f>MIN(31, AU68+AV68+AW68+AX68)</f>
        <v/>
      </c>
      <c r="AZ68" s="14">
        <f>31-AY68</f>
        <v/>
      </c>
      <c r="BA68" s="5">
        <f>IF(AX68&gt;0, "01-İstirahat", IF(AZ68&gt;0, "12-Birden Fazla", ""))</f>
        <v/>
      </c>
      <c r="BB68" s="10" t="n">
        <v>0</v>
      </c>
      <c r="BC68" s="8" t="n">
        <v>0</v>
      </c>
      <c r="BD68" s="9" t="n">
        <v>0</v>
      </c>
      <c r="BE68" s="7">
        <f>(L68/30)*AU68</f>
        <v/>
      </c>
      <c r="BF68" s="15">
        <f>(L68/225)*((BB68*1.5)-(BC68*1.0))</f>
        <v/>
      </c>
      <c r="BG68" s="16">
        <f>(L68/225)*1.5*BD68</f>
        <v/>
      </c>
      <c r="BH68" s="15">
        <f>BF68+BG68</f>
        <v/>
      </c>
      <c r="BI68" s="17">
        <f>BE68+BH68</f>
        <v/>
      </c>
      <c r="BJ68" s="7">
        <f>IFERROR(VLOOKUP(B68, Resmi_Bordro_SGK!B:M, 11, FALSE), 0)</f>
        <v/>
      </c>
      <c r="BK68" s="18">
        <f>IFERROR(VLOOKUP(B68, Icra_Takip!A:E, 4, FALSE), 0)</f>
        <v/>
      </c>
      <c r="BL68" s="17">
        <f>IF(BI68&gt;BJ68, BI68-BJ68-BK68, 0)</f>
        <v/>
      </c>
      <c r="BM68" s="17">
        <f>BI68-BK68</f>
        <v/>
      </c>
    </row>
    <row r="69" ht="19" customHeight="1">
      <c r="A69" s="4" t="n">
        <v>66</v>
      </c>
      <c r="B69" s="5" t="inlineStr">
        <is>
          <t>10240797066</t>
        </is>
      </c>
      <c r="C69" s="6" t="inlineStr">
        <is>
          <t>BUĞRA KURT</t>
        </is>
      </c>
      <c r="D69" s="4" t="inlineStr">
        <is>
          <t>E</t>
        </is>
      </c>
      <c r="E69" s="4" t="inlineStr"/>
      <c r="F69" s="4" t="inlineStr">
        <is>
          <t>29.06.2026</t>
        </is>
      </c>
      <c r="G69" s="4" t="inlineStr"/>
      <c r="H69" s="4" t="inlineStr">
        <is>
          <t>NORMAL</t>
        </is>
      </c>
      <c r="I69" s="4" t="inlineStr">
        <is>
          <t>MEVSİMLİK</t>
        </is>
      </c>
      <c r="J69" s="6" t="inlineStr">
        <is>
          <t>ÜRETİM</t>
        </is>
      </c>
      <c r="K69" s="6" t="inlineStr">
        <is>
          <t>BİGADİÇ</t>
        </is>
      </c>
      <c r="L69" s="7" t="n">
        <v>28075.5</v>
      </c>
      <c r="M69" s="4" t="inlineStr">
        <is>
          <t>FİDE KONSERVE</t>
        </is>
      </c>
      <c r="N69" s="4" t="inlineStr">
        <is>
          <t>ALIR</t>
        </is>
      </c>
      <c r="O69" s="19" t="n">
        <v>0</v>
      </c>
      <c r="P69" s="19" t="n">
        <v>0</v>
      </c>
      <c r="Q69" s="19" t="n">
        <v>0</v>
      </c>
      <c r="R69" s="9" t="n">
        <v>0</v>
      </c>
      <c r="S69" s="19" t="n">
        <v>0</v>
      </c>
      <c r="T69" s="19" t="n">
        <v>0</v>
      </c>
      <c r="U69" s="19" t="n">
        <v>0</v>
      </c>
      <c r="V69" s="19" t="n">
        <v>0</v>
      </c>
      <c r="W69" s="19" t="n">
        <v>0</v>
      </c>
      <c r="X69" s="19" t="n">
        <v>0</v>
      </c>
      <c r="Y69" s="9" t="n">
        <v>0</v>
      </c>
      <c r="Z69" s="19" t="n">
        <v>0</v>
      </c>
      <c r="AA69" s="19" t="n">
        <v>0</v>
      </c>
      <c r="AB69" s="19" t="n">
        <v>0</v>
      </c>
      <c r="AC69" s="19" t="n">
        <v>0</v>
      </c>
      <c r="AD69" s="19" t="n">
        <v>0</v>
      </c>
      <c r="AE69" s="19" t="n">
        <v>0</v>
      </c>
      <c r="AF69" s="9" t="n">
        <v>0</v>
      </c>
      <c r="AG69" s="19" t="n">
        <v>0</v>
      </c>
      <c r="AH69" s="19" t="n">
        <v>0</v>
      </c>
      <c r="AI69" s="19" t="n">
        <v>0</v>
      </c>
      <c r="AJ69" s="19" t="n">
        <v>0</v>
      </c>
      <c r="AK69" s="19" t="n">
        <v>0</v>
      </c>
      <c r="AL69" s="19" t="n">
        <v>0</v>
      </c>
      <c r="AM69" s="9" t="n">
        <v>0</v>
      </c>
      <c r="AN69" s="19" t="n">
        <v>0</v>
      </c>
      <c r="AO69" s="19" t="n">
        <v>0</v>
      </c>
      <c r="AP69" s="19" t="n">
        <v>0</v>
      </c>
      <c r="AQ69" s="19" t="n">
        <v>0</v>
      </c>
      <c r="AR69" s="19" t="n">
        <v>0</v>
      </c>
      <c r="AS69" s="19" t="n">
        <v>0</v>
      </c>
      <c r="AT69" s="10">
        <f>SUM(O69:AS69)</f>
        <v/>
      </c>
      <c r="AU69" s="20">
        <f>COUNTIF(O69:AS69, "&gt;0")</f>
        <v/>
      </c>
      <c r="AV69" s="12">
        <f>IF(AU69&gt;=5, 4, IF(AU69&gt;0, INT(AU69/6), 0))</f>
        <v/>
      </c>
      <c r="AW69" s="20" t="n">
        <v>0</v>
      </c>
      <c r="AX69" s="20" t="n">
        <v>0</v>
      </c>
      <c r="AY69" s="13">
        <f>MIN(31, AU69+AV69+AW69+AX69)</f>
        <v/>
      </c>
      <c r="AZ69" s="14">
        <f>31-AY69</f>
        <v/>
      </c>
      <c r="BA69" s="21">
        <f>IF(AX69&gt;0, "01-İstirahat", IF(AZ69&gt;0, "12-Birden Fazla", ""))</f>
        <v/>
      </c>
      <c r="BB69" s="10" t="n">
        <v>0</v>
      </c>
      <c r="BC69" s="19" t="n">
        <v>0</v>
      </c>
      <c r="BD69" s="9" t="n">
        <v>0</v>
      </c>
      <c r="BE69" s="22">
        <f>(L69/30)*AU69</f>
        <v/>
      </c>
      <c r="BF69" s="15">
        <f>(L69/225)*((BB69*1.5)-(BC69*1.0))</f>
        <v/>
      </c>
      <c r="BG69" s="16">
        <f>(L69/225)*1.5*BD69</f>
        <v/>
      </c>
      <c r="BH69" s="15">
        <f>BF69+BG69</f>
        <v/>
      </c>
      <c r="BI69" s="17">
        <f>BE69+BH69</f>
        <v/>
      </c>
      <c r="BJ69" s="22">
        <f>IFERROR(VLOOKUP(B69, Resmi_Bordro_SGK!B:M, 11, FALSE), 0)</f>
        <v/>
      </c>
      <c r="BK69" s="18">
        <f>IFERROR(VLOOKUP(B69, Icra_Takip!A:E, 4, FALSE), 0)</f>
        <v/>
      </c>
      <c r="BL69" s="17">
        <f>IF(BI69&gt;BJ69, BI69-BJ69-BK69, 0)</f>
        <v/>
      </c>
      <c r="BM69" s="17">
        <f>BI69-BK69</f>
        <v/>
      </c>
    </row>
    <row r="70" ht="19" customHeight="1">
      <c r="A70" s="4" t="n">
        <v>67</v>
      </c>
      <c r="B70" s="5" t="inlineStr">
        <is>
          <t>36388061296</t>
        </is>
      </c>
      <c r="C70" s="6" t="inlineStr">
        <is>
          <t>BUKET SARİBAL</t>
        </is>
      </c>
      <c r="D70" s="4" t="inlineStr">
        <is>
          <t>K</t>
        </is>
      </c>
      <c r="E70" s="4" t="inlineStr"/>
      <c r="F70" s="4" t="inlineStr">
        <is>
          <t>21.07.2026</t>
        </is>
      </c>
      <c r="G70" s="4" t="inlineStr"/>
      <c r="H70" s="4" t="inlineStr">
        <is>
          <t>NORMAL</t>
        </is>
      </c>
      <c r="I70" s="4" t="inlineStr">
        <is>
          <t>MEVSİMLİK</t>
        </is>
      </c>
      <c r="J70" s="6" t="inlineStr">
        <is>
          <t>BALIK TEMİZLEME</t>
        </is>
      </c>
      <c r="K70" s="6" t="inlineStr">
        <is>
          <t>GÜVEN TURİZM KARACABEY</t>
        </is>
      </c>
      <c r="L70" s="7" t="n">
        <v>33000</v>
      </c>
      <c r="M70" s="4" t="inlineStr">
        <is>
          <t>FİDE KONSERVE</t>
        </is>
      </c>
      <c r="N70" s="4" t="inlineStr">
        <is>
          <t>ALIR</t>
        </is>
      </c>
      <c r="O70" s="8" t="n">
        <v>0</v>
      </c>
      <c r="P70" s="8" t="n">
        <v>0</v>
      </c>
      <c r="Q70" s="8" t="n">
        <v>0</v>
      </c>
      <c r="R70" s="9" t="n">
        <v>0</v>
      </c>
      <c r="S70" s="8" t="n">
        <v>0</v>
      </c>
      <c r="T70" s="8" t="n">
        <v>0</v>
      </c>
      <c r="U70" s="8" t="n">
        <v>0</v>
      </c>
      <c r="V70" s="8" t="n">
        <v>0</v>
      </c>
      <c r="W70" s="8" t="n">
        <v>0</v>
      </c>
      <c r="X70" s="8" t="n">
        <v>0</v>
      </c>
      <c r="Y70" s="9" t="n">
        <v>0</v>
      </c>
      <c r="Z70" s="8" t="n">
        <v>0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9" t="n">
        <v>0</v>
      </c>
      <c r="AG70" s="8" t="n">
        <v>0</v>
      </c>
      <c r="AH70" s="8" t="n">
        <v>0</v>
      </c>
      <c r="AI70" s="8" t="n">
        <v>0</v>
      </c>
      <c r="AJ70" s="8" t="n">
        <v>0</v>
      </c>
      <c r="AK70" s="8" t="n">
        <v>0</v>
      </c>
      <c r="AL70" s="8" t="n">
        <v>0</v>
      </c>
      <c r="AM70" s="9" t="n">
        <v>0</v>
      </c>
      <c r="AN70" s="8" t="n">
        <v>0</v>
      </c>
      <c r="AO70" s="8" t="n">
        <v>0</v>
      </c>
      <c r="AP70" s="8" t="n">
        <v>0</v>
      </c>
      <c r="AQ70" s="8" t="n">
        <v>0</v>
      </c>
      <c r="AR70" s="8" t="n">
        <v>0</v>
      </c>
      <c r="AS70" s="8" t="n">
        <v>0</v>
      </c>
      <c r="AT70" s="10">
        <f>SUM(O70:AS70)</f>
        <v/>
      </c>
      <c r="AU70" s="11">
        <f>COUNTIF(O70:AS70, "&gt;0")</f>
        <v/>
      </c>
      <c r="AV70" s="12">
        <f>IF(AU70&gt;=5, 4, IF(AU70&gt;0, INT(AU70/6), 0))</f>
        <v/>
      </c>
      <c r="AW70" s="11" t="n">
        <v>0</v>
      </c>
      <c r="AX70" s="11" t="n">
        <v>0</v>
      </c>
      <c r="AY70" s="13">
        <f>MIN(31, AU70+AV70+AW70+AX70)</f>
        <v/>
      </c>
      <c r="AZ70" s="14">
        <f>31-AY70</f>
        <v/>
      </c>
      <c r="BA70" s="5">
        <f>IF(AX70&gt;0, "01-İstirahat", IF(AZ70&gt;0, "12-Birden Fazla", ""))</f>
        <v/>
      </c>
      <c r="BB70" s="10" t="n">
        <v>0</v>
      </c>
      <c r="BC70" s="8" t="n">
        <v>0</v>
      </c>
      <c r="BD70" s="9" t="n">
        <v>0</v>
      </c>
      <c r="BE70" s="7">
        <f>(L70/30)*AU70</f>
        <v/>
      </c>
      <c r="BF70" s="15">
        <f>(L70/225)*((BB70*1.5)-(BC70*1.0))</f>
        <v/>
      </c>
      <c r="BG70" s="16">
        <f>(L70/225)*1.5*BD70</f>
        <v/>
      </c>
      <c r="BH70" s="15">
        <f>BF70+BG70</f>
        <v/>
      </c>
      <c r="BI70" s="17">
        <f>BE70+BH70</f>
        <v/>
      </c>
      <c r="BJ70" s="7">
        <f>IFERROR(VLOOKUP(B70, Resmi_Bordro_SGK!B:M, 11, FALSE), 0)</f>
        <v/>
      </c>
      <c r="BK70" s="18">
        <f>IFERROR(VLOOKUP(B70, Icra_Takip!A:E, 4, FALSE), 0)</f>
        <v/>
      </c>
      <c r="BL70" s="17">
        <f>IF(BI70&gt;BJ70, BI70-BJ70-BK70, 0)</f>
        <v/>
      </c>
      <c r="BM70" s="17">
        <f>BI70-BK70</f>
        <v/>
      </c>
    </row>
    <row r="71" ht="19" customHeight="1">
      <c r="A71" s="4" t="n">
        <v>68</v>
      </c>
      <c r="B71" s="5" t="inlineStr">
        <is>
          <t>10201948476</t>
        </is>
      </c>
      <c r="C71" s="6" t="inlineStr">
        <is>
          <t>BUKET DÖNMEZ</t>
        </is>
      </c>
      <c r="D71" s="4" t="inlineStr">
        <is>
          <t>K</t>
        </is>
      </c>
      <c r="E71" s="4" t="inlineStr"/>
      <c r="F71" s="4" t="inlineStr">
        <is>
          <t>06.07.2026</t>
        </is>
      </c>
      <c r="G71" s="4" t="inlineStr"/>
      <c r="H71" s="4" t="inlineStr">
        <is>
          <t>NORMAL</t>
        </is>
      </c>
      <c r="I71" s="4" t="inlineStr">
        <is>
          <t>DAİMİ</t>
        </is>
      </c>
      <c r="J71" s="6" t="inlineStr">
        <is>
          <t>KALİTE</t>
        </is>
      </c>
      <c r="K71" s="6" t="inlineStr">
        <is>
          <t>KARACABEY</t>
        </is>
      </c>
      <c r="L71" s="7" t="n">
        <v>28075.5</v>
      </c>
      <c r="M71" s="4" t="inlineStr">
        <is>
          <t>FİDE KONSERVE</t>
        </is>
      </c>
      <c r="N71" s="4" t="inlineStr">
        <is>
          <t>ALIR</t>
        </is>
      </c>
      <c r="O71" s="19" t="n">
        <v>7.5</v>
      </c>
      <c r="P71" s="19" t="n">
        <v>10.5</v>
      </c>
      <c r="Q71" s="19" t="n">
        <v>7.5</v>
      </c>
      <c r="R71" s="9" t="n">
        <v>0</v>
      </c>
      <c r="S71" s="19" t="n">
        <v>7.5</v>
      </c>
      <c r="T71" s="19" t="n">
        <v>7.5</v>
      </c>
      <c r="U71" s="19" t="n">
        <v>8</v>
      </c>
      <c r="V71" s="19" t="n">
        <v>8</v>
      </c>
      <c r="W71" s="19" t="n">
        <v>7.5</v>
      </c>
      <c r="X71" s="19" t="n">
        <v>0</v>
      </c>
      <c r="Y71" s="9" t="n">
        <v>10.5</v>
      </c>
      <c r="Z71" s="19" t="n">
        <v>7.5</v>
      </c>
      <c r="AA71" s="23" t="n">
        <v>7.5</v>
      </c>
      <c r="AB71" s="19" t="n">
        <v>7.5</v>
      </c>
      <c r="AC71" s="19" t="n">
        <v>7.5</v>
      </c>
      <c r="AD71" s="19" t="n">
        <v>0</v>
      </c>
      <c r="AE71" s="19" t="n">
        <v>7.5</v>
      </c>
      <c r="AF71" s="9" t="n">
        <v>8</v>
      </c>
      <c r="AG71" s="19" t="n">
        <v>0</v>
      </c>
      <c r="AH71" s="19" t="n">
        <v>0</v>
      </c>
      <c r="AI71" s="19" t="n">
        <v>0</v>
      </c>
      <c r="AJ71" s="19" t="n">
        <v>0</v>
      </c>
      <c r="AK71" s="19" t="n">
        <v>0</v>
      </c>
      <c r="AL71" s="19" t="n">
        <v>0</v>
      </c>
      <c r="AM71" s="9" t="n">
        <v>0</v>
      </c>
      <c r="AN71" s="19" t="n">
        <v>0</v>
      </c>
      <c r="AO71" s="19" t="n">
        <v>0</v>
      </c>
      <c r="AP71" s="19" t="n">
        <v>0</v>
      </c>
      <c r="AQ71" s="19" t="n">
        <v>0</v>
      </c>
      <c r="AR71" s="19" t="n">
        <v>0</v>
      </c>
      <c r="AS71" s="19" t="n">
        <v>0</v>
      </c>
      <c r="AT71" s="10">
        <f>SUM(O71:AS71)</f>
        <v/>
      </c>
      <c r="AU71" s="20">
        <f>COUNTIF(O71:AS71, "&gt;0")</f>
        <v/>
      </c>
      <c r="AV71" s="12">
        <f>IF(AU71&gt;=5, 4, IF(AU71&gt;0, INT(AU71/6), 0))</f>
        <v/>
      </c>
      <c r="AW71" s="20" t="n">
        <v>0</v>
      </c>
      <c r="AX71" s="20" t="n">
        <v>0</v>
      </c>
      <c r="AY71" s="13">
        <f>MIN(31, AU71+AV71+AW71+AX71)</f>
        <v/>
      </c>
      <c r="AZ71" s="14">
        <f>31-AY71</f>
        <v/>
      </c>
      <c r="BA71" s="21">
        <f>IF(AX71&gt;0, "01-İstirahat", IF(AZ71&gt;0, "12-Birden Fazla", ""))</f>
        <v/>
      </c>
      <c r="BB71" s="10" t="n">
        <v>4</v>
      </c>
      <c r="BC71" s="19" t="n">
        <v>0</v>
      </c>
      <c r="BD71" s="9" t="n">
        <v>18.5</v>
      </c>
      <c r="BE71" s="22">
        <f>(L71/30)*AU71</f>
        <v/>
      </c>
      <c r="BF71" s="15">
        <f>(L71/225)*((BB71*1.5)-(BC71*1.0))</f>
        <v/>
      </c>
      <c r="BG71" s="16">
        <f>(L71/225)*1.5*BD71</f>
        <v/>
      </c>
      <c r="BH71" s="15">
        <f>BF71+BG71</f>
        <v/>
      </c>
      <c r="BI71" s="17">
        <f>BE71+BH71</f>
        <v/>
      </c>
      <c r="BJ71" s="22">
        <f>IFERROR(VLOOKUP(B71, Resmi_Bordro_SGK!B:M, 11, FALSE), 0)</f>
        <v/>
      </c>
      <c r="BK71" s="18">
        <f>IFERROR(VLOOKUP(B71, Icra_Takip!A:E, 4, FALSE), 0)</f>
        <v/>
      </c>
      <c r="BL71" s="17">
        <f>IF(BI71&gt;BJ71, BI71-BJ71-BK71, 0)</f>
        <v/>
      </c>
      <c r="BM71" s="17">
        <f>BI71-BK71</f>
        <v/>
      </c>
    </row>
    <row r="72" ht="19" customHeight="1">
      <c r="A72" s="4" t="n">
        <v>69</v>
      </c>
      <c r="B72" s="5" t="inlineStr"/>
      <c r="C72" s="6" t="inlineStr">
        <is>
          <t>BÜNYAMİN AKBESAN</t>
        </is>
      </c>
      <c r="D72" s="4" t="inlineStr"/>
      <c r="E72" s="4" t="inlineStr"/>
      <c r="F72" s="4" t="inlineStr"/>
      <c r="G72" s="4" t="inlineStr"/>
      <c r="H72" s="4" t="inlineStr">
        <is>
          <t>NORMAL</t>
        </is>
      </c>
      <c r="I72" s="4" t="inlineStr">
        <is>
          <t>MEVSİMLİK</t>
        </is>
      </c>
      <c r="J72" s="6" t="inlineStr"/>
      <c r="K72" s="6" t="inlineStr"/>
      <c r="L72" s="7" t="n">
        <v>28075.5</v>
      </c>
      <c r="M72" s="4" t="inlineStr">
        <is>
          <t>FİDE KONSERVE</t>
        </is>
      </c>
      <c r="N72" s="4" t="inlineStr">
        <is>
          <t>ALIR</t>
        </is>
      </c>
      <c r="O72" s="8" t="n">
        <v>0</v>
      </c>
      <c r="P72" s="8" t="n">
        <v>0</v>
      </c>
      <c r="Q72" s="8" t="n">
        <v>0</v>
      </c>
      <c r="R72" s="9" t="n">
        <v>0</v>
      </c>
      <c r="S72" s="8" t="n">
        <v>0</v>
      </c>
      <c r="T72" s="8" t="n">
        <v>0</v>
      </c>
      <c r="U72" s="8" t="n">
        <v>0</v>
      </c>
      <c r="V72" s="8" t="n">
        <v>0</v>
      </c>
      <c r="W72" s="8" t="n">
        <v>0</v>
      </c>
      <c r="X72" s="8" t="n">
        <v>0</v>
      </c>
      <c r="Y72" s="9" t="n">
        <v>0</v>
      </c>
      <c r="Z72" s="8" t="n">
        <v>0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9" t="n">
        <v>0</v>
      </c>
      <c r="AG72" s="8" t="n">
        <v>0</v>
      </c>
      <c r="AH72" s="8" t="n">
        <v>0</v>
      </c>
      <c r="AI72" s="8" t="n">
        <v>0</v>
      </c>
      <c r="AJ72" s="8" t="n">
        <v>0</v>
      </c>
      <c r="AK72" s="8" t="n">
        <v>0</v>
      </c>
      <c r="AL72" s="8" t="n">
        <v>0</v>
      </c>
      <c r="AM72" s="9" t="n">
        <v>0</v>
      </c>
      <c r="AN72" s="8" t="n">
        <v>0</v>
      </c>
      <c r="AO72" s="8" t="n">
        <v>0</v>
      </c>
      <c r="AP72" s="8" t="n">
        <v>0</v>
      </c>
      <c r="AQ72" s="8" t="n">
        <v>0</v>
      </c>
      <c r="AR72" s="8" t="n">
        <v>0</v>
      </c>
      <c r="AS72" s="8" t="n">
        <v>0</v>
      </c>
      <c r="AT72" s="10">
        <f>SUM(O72:AS72)</f>
        <v/>
      </c>
      <c r="AU72" s="11">
        <f>COUNTIF(O72:AS72, "&gt;0")</f>
        <v/>
      </c>
      <c r="AV72" s="12">
        <f>IF(AU72&gt;=5, 4, IF(AU72&gt;0, INT(AU72/6), 0))</f>
        <v/>
      </c>
      <c r="AW72" s="11" t="n">
        <v>0</v>
      </c>
      <c r="AX72" s="11" t="n">
        <v>0</v>
      </c>
      <c r="AY72" s="13">
        <f>MIN(31, AU72+AV72+AW72+AX72)</f>
        <v/>
      </c>
      <c r="AZ72" s="14">
        <f>31-AY72</f>
        <v/>
      </c>
      <c r="BA72" s="5">
        <f>IF(AX72&gt;0, "01-İstirahat", IF(AZ72&gt;0, "12-Birden Fazla", ""))</f>
        <v/>
      </c>
      <c r="BB72" s="10" t="n">
        <v>0</v>
      </c>
      <c r="BC72" s="8" t="n">
        <v>0</v>
      </c>
      <c r="BD72" s="9" t="n">
        <v>0</v>
      </c>
      <c r="BE72" s="7">
        <f>(L72/30)*AU72</f>
        <v/>
      </c>
      <c r="BF72" s="15">
        <f>(L72/225)*((BB72*1.5)-(BC72*1.0))</f>
        <v/>
      </c>
      <c r="BG72" s="16">
        <f>(L72/225)*1.5*BD72</f>
        <v/>
      </c>
      <c r="BH72" s="15">
        <f>BF72+BG72</f>
        <v/>
      </c>
      <c r="BI72" s="17">
        <f>BE72+BH72</f>
        <v/>
      </c>
      <c r="BJ72" s="7">
        <f>IFERROR(VLOOKUP(B72, Resmi_Bordro_SGK!B:M, 11, FALSE), 0)</f>
        <v/>
      </c>
      <c r="BK72" s="18">
        <f>IFERROR(VLOOKUP(B72, Icra_Takip!A:E, 4, FALSE), 0)</f>
        <v/>
      </c>
      <c r="BL72" s="17">
        <f>IF(BI72&gt;BJ72, BI72-BJ72-BK72, 0)</f>
        <v/>
      </c>
      <c r="BM72" s="17">
        <f>BI72-BK72</f>
        <v/>
      </c>
    </row>
    <row r="73" ht="19" customHeight="1">
      <c r="A73" s="4" t="n">
        <v>70</v>
      </c>
      <c r="B73" s="5" t="inlineStr">
        <is>
          <t>10508456896</t>
        </is>
      </c>
      <c r="C73" s="6" t="inlineStr">
        <is>
          <t>BÜŞRA POLAT</t>
        </is>
      </c>
      <c r="D73" s="4" t="inlineStr">
        <is>
          <t>K</t>
        </is>
      </c>
      <c r="E73" s="4" t="inlineStr"/>
      <c r="F73" s="4" t="inlineStr">
        <is>
          <t>20.07.2026</t>
        </is>
      </c>
      <c r="G73" s="4" t="inlineStr"/>
      <c r="H73" s="4" t="inlineStr">
        <is>
          <t>NORMAL</t>
        </is>
      </c>
      <c r="I73" s="4" t="inlineStr">
        <is>
          <t>MEVSİMLİK</t>
        </is>
      </c>
      <c r="J73" s="6" t="inlineStr">
        <is>
          <t>BALIK TEMİZLEME</t>
        </is>
      </c>
      <c r="K73" s="6" t="inlineStr">
        <is>
          <t>GÜVEN TURİZM-MKP</t>
        </is>
      </c>
      <c r="L73" s="7" t="n">
        <v>33000</v>
      </c>
      <c r="M73" s="4" t="inlineStr">
        <is>
          <t>FİDE KONSERVE</t>
        </is>
      </c>
      <c r="N73" s="4" t="inlineStr">
        <is>
          <t>ALIR</t>
        </is>
      </c>
      <c r="O73" s="19" t="n">
        <v>0</v>
      </c>
      <c r="P73" s="19" t="n">
        <v>10.5</v>
      </c>
      <c r="Q73" s="19" t="n">
        <v>10.5</v>
      </c>
      <c r="R73" s="9" t="n">
        <v>0</v>
      </c>
      <c r="S73" s="19" t="n">
        <v>10.5</v>
      </c>
      <c r="T73" s="19" t="n">
        <v>10.5</v>
      </c>
      <c r="U73" s="19" t="n">
        <v>10.5</v>
      </c>
      <c r="V73" s="19" t="n">
        <v>10.5</v>
      </c>
      <c r="W73" s="19" t="n">
        <v>0</v>
      </c>
      <c r="X73" s="19" t="n">
        <v>0</v>
      </c>
      <c r="Y73" s="9" t="n">
        <v>0</v>
      </c>
      <c r="Z73" s="19" t="n">
        <v>10.5</v>
      </c>
      <c r="AA73" s="19" t="n">
        <v>10.5</v>
      </c>
      <c r="AB73" s="19" t="n">
        <v>10.5</v>
      </c>
      <c r="AC73" s="19" t="n">
        <v>10.5</v>
      </c>
      <c r="AD73" s="19" t="n">
        <v>0</v>
      </c>
      <c r="AE73" s="19" t="n">
        <v>0</v>
      </c>
      <c r="AF73" s="9" t="n">
        <v>0</v>
      </c>
      <c r="AG73" s="19" t="n">
        <v>10.5</v>
      </c>
      <c r="AH73" s="19" t="n">
        <v>0</v>
      </c>
      <c r="AI73" s="19" t="n">
        <v>0</v>
      </c>
      <c r="AJ73" s="19" t="n">
        <v>0</v>
      </c>
      <c r="AK73" s="19" t="n">
        <v>0</v>
      </c>
      <c r="AL73" s="19" t="n">
        <v>0</v>
      </c>
      <c r="AM73" s="9" t="n">
        <v>0</v>
      </c>
      <c r="AN73" s="19" t="n">
        <v>0</v>
      </c>
      <c r="AO73" s="19" t="n">
        <v>0</v>
      </c>
      <c r="AP73" s="19" t="n">
        <v>0</v>
      </c>
      <c r="AQ73" s="19" t="n">
        <v>0</v>
      </c>
      <c r="AR73" s="19" t="n">
        <v>0</v>
      </c>
      <c r="AS73" s="19" t="n">
        <v>0</v>
      </c>
      <c r="AT73" s="10">
        <f>SUM(O73:AS73)</f>
        <v/>
      </c>
      <c r="AU73" s="20">
        <f>COUNTIF(O73:AS73, "&gt;0")</f>
        <v/>
      </c>
      <c r="AV73" s="12">
        <f>IF(AU73&gt;=5, 4, IF(AU73&gt;0, INT(AU73/6), 0))</f>
        <v/>
      </c>
      <c r="AW73" s="20" t="n">
        <v>0</v>
      </c>
      <c r="AX73" s="20" t="n">
        <v>0</v>
      </c>
      <c r="AY73" s="13">
        <f>MIN(31, AU73+AV73+AW73+AX73)</f>
        <v/>
      </c>
      <c r="AZ73" s="14">
        <f>31-AY73</f>
        <v/>
      </c>
      <c r="BA73" s="21">
        <f>IF(AX73&gt;0, "01-İstirahat", IF(AZ73&gt;0, "12-Birden Fazla", ""))</f>
        <v/>
      </c>
      <c r="BB73" s="10" t="n">
        <v>33</v>
      </c>
      <c r="BC73" s="19" t="n">
        <v>0</v>
      </c>
      <c r="BD73" s="9" t="n">
        <v>0</v>
      </c>
      <c r="BE73" s="22">
        <f>(L73/30)*AU73</f>
        <v/>
      </c>
      <c r="BF73" s="15">
        <f>(L73/225)*((BB73*1.5)-(BC73*1.0))</f>
        <v/>
      </c>
      <c r="BG73" s="16">
        <f>(L73/225)*1.5*BD73</f>
        <v/>
      </c>
      <c r="BH73" s="15">
        <f>BF73+BG73</f>
        <v/>
      </c>
      <c r="BI73" s="17">
        <f>BE73+BH73</f>
        <v/>
      </c>
      <c r="BJ73" s="22">
        <f>IFERROR(VLOOKUP(B73, Resmi_Bordro_SGK!B:M, 11, FALSE), 0)</f>
        <v/>
      </c>
      <c r="BK73" s="18">
        <f>IFERROR(VLOOKUP(B73, Icra_Takip!A:E, 4, FALSE), 0)</f>
        <v/>
      </c>
      <c r="BL73" s="17">
        <f>IF(BI73&gt;BJ73, BI73-BJ73-BK73, 0)</f>
        <v/>
      </c>
      <c r="BM73" s="17">
        <f>BI73-BK73</f>
        <v/>
      </c>
    </row>
    <row r="74" ht="19" customHeight="1">
      <c r="A74" s="4" t="n">
        <v>71</v>
      </c>
      <c r="B74" s="5" t="inlineStr">
        <is>
          <t>28103495080</t>
        </is>
      </c>
      <c r="C74" s="6" t="inlineStr">
        <is>
          <t>BÜŞRA YAVRUKURT</t>
        </is>
      </c>
      <c r="D74" s="4" t="inlineStr">
        <is>
          <t>K</t>
        </is>
      </c>
      <c r="E74" s="4" t="inlineStr">
        <is>
          <t>11.08.2026</t>
        </is>
      </c>
      <c r="F74" s="4" t="inlineStr">
        <is>
          <t>12.08.2026</t>
        </is>
      </c>
      <c r="G74" s="4" t="inlineStr"/>
      <c r="H74" s="4" t="inlineStr">
        <is>
          <t>NORMAL</t>
        </is>
      </c>
      <c r="I74" s="4" t="inlineStr">
        <is>
          <t>MEVSİMLİK</t>
        </is>
      </c>
      <c r="J74" s="6" t="inlineStr">
        <is>
          <t>ÜRETİM</t>
        </is>
      </c>
      <c r="K74" s="6" t="inlineStr">
        <is>
          <t>SEVGİ</t>
        </is>
      </c>
      <c r="L74" s="7" t="n">
        <v>28075.5</v>
      </c>
      <c r="M74" s="4" t="inlineStr">
        <is>
          <t>FİDE KONSERVE</t>
        </is>
      </c>
      <c r="N74" s="4" t="inlineStr">
        <is>
          <t>ALIR</t>
        </is>
      </c>
      <c r="O74" s="8" t="n">
        <v>0</v>
      </c>
      <c r="P74" s="8" t="n">
        <v>0</v>
      </c>
      <c r="Q74" s="8" t="n">
        <v>0</v>
      </c>
      <c r="R74" s="9" t="n">
        <v>0</v>
      </c>
      <c r="S74" s="8" t="n">
        <v>0</v>
      </c>
      <c r="T74" s="8" t="n">
        <v>0</v>
      </c>
      <c r="U74" s="8" t="n">
        <v>0</v>
      </c>
      <c r="V74" s="8" t="n">
        <v>0</v>
      </c>
      <c r="W74" s="8" t="n">
        <v>0</v>
      </c>
      <c r="X74" s="8" t="n">
        <v>0</v>
      </c>
      <c r="Y74" s="9" t="n">
        <v>0</v>
      </c>
      <c r="Z74" s="8" t="n">
        <v>0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9" t="n">
        <v>0</v>
      </c>
      <c r="AG74" s="8" t="n">
        <v>0</v>
      </c>
      <c r="AH74" s="8" t="n">
        <v>0</v>
      </c>
      <c r="AI74" s="8" t="n">
        <v>0</v>
      </c>
      <c r="AJ74" s="8" t="n">
        <v>0</v>
      </c>
      <c r="AK74" s="8" t="n">
        <v>0</v>
      </c>
      <c r="AL74" s="8" t="n">
        <v>0</v>
      </c>
      <c r="AM74" s="9" t="n">
        <v>0</v>
      </c>
      <c r="AN74" s="8" t="n">
        <v>0</v>
      </c>
      <c r="AO74" s="8" t="n">
        <v>0</v>
      </c>
      <c r="AP74" s="8" t="n">
        <v>0</v>
      </c>
      <c r="AQ74" s="8" t="n">
        <v>0</v>
      </c>
      <c r="AR74" s="8" t="n">
        <v>0</v>
      </c>
      <c r="AS74" s="8" t="n">
        <v>0</v>
      </c>
      <c r="AT74" s="10">
        <f>SUM(O74:AS74)</f>
        <v/>
      </c>
      <c r="AU74" s="11">
        <f>COUNTIF(O74:AS74, "&gt;0")</f>
        <v/>
      </c>
      <c r="AV74" s="12">
        <f>IF(AU74&gt;=5, 4, IF(AU74&gt;0, INT(AU74/6), 0))</f>
        <v/>
      </c>
      <c r="AW74" s="11" t="n">
        <v>0</v>
      </c>
      <c r="AX74" s="11" t="n">
        <v>0</v>
      </c>
      <c r="AY74" s="13">
        <f>MIN(31, AU74+AV74+AW74+AX74)</f>
        <v/>
      </c>
      <c r="AZ74" s="14">
        <f>31-AY74</f>
        <v/>
      </c>
      <c r="BA74" s="5">
        <f>IF(AX74&gt;0, "01-İstirahat", IF(AZ74&gt;0, "12-Birden Fazla", ""))</f>
        <v/>
      </c>
      <c r="BB74" s="10" t="n">
        <v>0</v>
      </c>
      <c r="BC74" s="8" t="n">
        <v>0</v>
      </c>
      <c r="BD74" s="9" t="n">
        <v>0</v>
      </c>
      <c r="BE74" s="7">
        <f>(L74/30)*AU74</f>
        <v/>
      </c>
      <c r="BF74" s="15">
        <f>(L74/225)*((BB74*1.5)-(BC74*1.0))</f>
        <v/>
      </c>
      <c r="BG74" s="16">
        <f>(L74/225)*1.5*BD74</f>
        <v/>
      </c>
      <c r="BH74" s="15">
        <f>BF74+BG74</f>
        <v/>
      </c>
      <c r="BI74" s="17">
        <f>BE74+BH74</f>
        <v/>
      </c>
      <c r="BJ74" s="7">
        <f>IFERROR(VLOOKUP(B74, Resmi_Bordro_SGK!B:M, 11, FALSE), 0)</f>
        <v/>
      </c>
      <c r="BK74" s="18">
        <f>IFERROR(VLOOKUP(B74, Icra_Takip!A:E, 4, FALSE), 0)</f>
        <v/>
      </c>
      <c r="BL74" s="17">
        <f>IF(BI74&gt;BJ74, BI74-BJ74-BK74, 0)</f>
        <v/>
      </c>
      <c r="BM74" s="17">
        <f>BI74-BK74</f>
        <v/>
      </c>
    </row>
    <row r="75" ht="19" customHeight="1">
      <c r="A75" s="4" t="n">
        <v>72</v>
      </c>
      <c r="B75" s="5" t="inlineStr">
        <is>
          <t>18844853416</t>
        </is>
      </c>
      <c r="C75" s="6" t="inlineStr">
        <is>
          <t>CANER BALABAN</t>
        </is>
      </c>
      <c r="D75" s="4" t="inlineStr">
        <is>
          <t>E</t>
        </is>
      </c>
      <c r="E75" s="4" t="inlineStr"/>
      <c r="F75" s="4" t="inlineStr"/>
      <c r="G75" s="4" t="inlineStr"/>
      <c r="H75" s="4" t="inlineStr">
        <is>
          <t>NORMAL</t>
        </is>
      </c>
      <c r="I75" s="4" t="inlineStr">
        <is>
          <t>MEVSİMLİK</t>
        </is>
      </c>
      <c r="J75" s="6" t="inlineStr"/>
      <c r="K75" s="6" t="inlineStr"/>
      <c r="L75" s="7" t="n">
        <v>28075.5</v>
      </c>
      <c r="M75" s="4" t="inlineStr">
        <is>
          <t>FİDE KONSERVE</t>
        </is>
      </c>
      <c r="N75" s="4" t="inlineStr">
        <is>
          <t>ALIR</t>
        </is>
      </c>
      <c r="O75" s="19" t="n">
        <v>0</v>
      </c>
      <c r="P75" s="19" t="n">
        <v>0</v>
      </c>
      <c r="Q75" s="19" t="n">
        <v>0</v>
      </c>
      <c r="R75" s="9" t="n">
        <v>0</v>
      </c>
      <c r="S75" s="19" t="n">
        <v>0</v>
      </c>
      <c r="T75" s="19" t="n">
        <v>0</v>
      </c>
      <c r="U75" s="19" t="n">
        <v>0</v>
      </c>
      <c r="V75" s="19" t="n">
        <v>0</v>
      </c>
      <c r="W75" s="19" t="n">
        <v>0</v>
      </c>
      <c r="X75" s="19" t="n">
        <v>0</v>
      </c>
      <c r="Y75" s="9" t="n">
        <v>0</v>
      </c>
      <c r="Z75" s="19" t="n">
        <v>0</v>
      </c>
      <c r="AA75" s="19" t="n">
        <v>0</v>
      </c>
      <c r="AB75" s="19" t="n">
        <v>0</v>
      </c>
      <c r="AC75" s="19" t="n">
        <v>0</v>
      </c>
      <c r="AD75" s="19" t="n">
        <v>0</v>
      </c>
      <c r="AE75" s="19" t="n">
        <v>0</v>
      </c>
      <c r="AF75" s="9" t="n">
        <v>0</v>
      </c>
      <c r="AG75" s="19" t="n">
        <v>0</v>
      </c>
      <c r="AH75" s="19" t="n">
        <v>0</v>
      </c>
      <c r="AI75" s="19" t="n">
        <v>0</v>
      </c>
      <c r="AJ75" s="19" t="n">
        <v>0</v>
      </c>
      <c r="AK75" s="19" t="n">
        <v>0</v>
      </c>
      <c r="AL75" s="19" t="n">
        <v>0</v>
      </c>
      <c r="AM75" s="9" t="n">
        <v>0</v>
      </c>
      <c r="AN75" s="19" t="n">
        <v>0</v>
      </c>
      <c r="AO75" s="19" t="n">
        <v>0</v>
      </c>
      <c r="AP75" s="19" t="n">
        <v>0</v>
      </c>
      <c r="AQ75" s="19" t="n">
        <v>0</v>
      </c>
      <c r="AR75" s="19" t="n">
        <v>0</v>
      </c>
      <c r="AS75" s="19" t="n">
        <v>0</v>
      </c>
      <c r="AT75" s="10">
        <f>SUM(O75:AS75)</f>
        <v/>
      </c>
      <c r="AU75" s="20">
        <f>COUNTIF(O75:AS75, "&gt;0")</f>
        <v/>
      </c>
      <c r="AV75" s="12">
        <f>IF(AU75&gt;=5, 4, IF(AU75&gt;0, INT(AU75/6), 0))</f>
        <v/>
      </c>
      <c r="AW75" s="20" t="n">
        <v>0</v>
      </c>
      <c r="AX75" s="20" t="n">
        <v>0</v>
      </c>
      <c r="AY75" s="13">
        <f>MIN(31, AU75+AV75+AW75+AX75)</f>
        <v/>
      </c>
      <c r="AZ75" s="14">
        <f>31-AY75</f>
        <v/>
      </c>
      <c r="BA75" s="21">
        <f>IF(AX75&gt;0, "01-İstirahat", IF(AZ75&gt;0, "12-Birden Fazla", ""))</f>
        <v/>
      </c>
      <c r="BB75" s="10" t="n">
        <v>0</v>
      </c>
      <c r="BC75" s="19" t="n">
        <v>0</v>
      </c>
      <c r="BD75" s="9" t="n">
        <v>0</v>
      </c>
      <c r="BE75" s="22">
        <f>(L75/30)*AU75</f>
        <v/>
      </c>
      <c r="BF75" s="15">
        <f>(L75/225)*((BB75*1.5)-(BC75*1.0))</f>
        <v/>
      </c>
      <c r="BG75" s="16">
        <f>(L75/225)*1.5*BD75</f>
        <v/>
      </c>
      <c r="BH75" s="15">
        <f>BF75+BG75</f>
        <v/>
      </c>
      <c r="BI75" s="17">
        <f>BE75+BH75</f>
        <v/>
      </c>
      <c r="BJ75" s="22">
        <f>IFERROR(VLOOKUP(B75, Resmi_Bordro_SGK!B:M, 11, FALSE), 0)</f>
        <v/>
      </c>
      <c r="BK75" s="18">
        <f>IFERROR(VLOOKUP(B75, Icra_Takip!A:E, 4, FALSE), 0)</f>
        <v/>
      </c>
      <c r="BL75" s="17">
        <f>IF(BI75&gt;BJ75, BI75-BJ75-BK75, 0)</f>
        <v/>
      </c>
      <c r="BM75" s="17">
        <f>BI75-BK75</f>
        <v/>
      </c>
    </row>
    <row r="76" ht="19" customHeight="1">
      <c r="A76" s="4" t="n">
        <v>73</v>
      </c>
      <c r="B76" s="5" t="inlineStr">
        <is>
          <t>31678238334</t>
        </is>
      </c>
      <c r="C76" s="6" t="inlineStr">
        <is>
          <t>CANSEL AKCAN</t>
        </is>
      </c>
      <c r="D76" s="4" t="inlineStr">
        <is>
          <t>K</t>
        </is>
      </c>
      <c r="E76" s="4" t="inlineStr"/>
      <c r="F76" s="4" t="inlineStr">
        <is>
          <t>08.05.2026</t>
        </is>
      </c>
      <c r="G76" s="4" t="inlineStr"/>
      <c r="H76" s="4" t="inlineStr">
        <is>
          <t>NORMAL</t>
        </is>
      </c>
      <c r="I76" s="4" t="inlineStr">
        <is>
          <t>MEVSİMLİK</t>
        </is>
      </c>
      <c r="J76" s="6" t="inlineStr">
        <is>
          <t>BALIK TEMİZLEME</t>
        </is>
      </c>
      <c r="K76" s="6" t="inlineStr">
        <is>
          <t>GÜVEN TURİZM-MKP</t>
        </is>
      </c>
      <c r="L76" s="7" t="n">
        <v>33000</v>
      </c>
      <c r="M76" s="4" t="inlineStr">
        <is>
          <t>FİDE KONSERVE</t>
        </is>
      </c>
      <c r="N76" s="4" t="inlineStr">
        <is>
          <t>ALIR</t>
        </is>
      </c>
      <c r="O76" s="8" t="n">
        <v>8</v>
      </c>
      <c r="P76" s="8" t="n">
        <v>8.5</v>
      </c>
      <c r="Q76" s="8" t="n">
        <v>8</v>
      </c>
      <c r="R76" s="9" t="n">
        <v>0</v>
      </c>
      <c r="S76" s="8" t="n">
        <v>7.5</v>
      </c>
      <c r="T76" s="8" t="n">
        <v>8</v>
      </c>
      <c r="U76" s="8" t="n">
        <v>8</v>
      </c>
      <c r="V76" s="8" t="n">
        <v>8</v>
      </c>
      <c r="W76" s="8" t="n">
        <v>8.5</v>
      </c>
      <c r="X76" s="8" t="n">
        <v>8.5</v>
      </c>
      <c r="Y76" s="9" t="n">
        <v>0</v>
      </c>
      <c r="Z76" s="8" t="n">
        <v>7.5</v>
      </c>
      <c r="AA76" s="8" t="n">
        <v>7.5</v>
      </c>
      <c r="AB76" s="8" t="n">
        <v>8.5</v>
      </c>
      <c r="AC76" s="8" t="n">
        <v>0</v>
      </c>
      <c r="AD76" s="8" t="n">
        <v>7.5</v>
      </c>
      <c r="AE76" s="8" t="n">
        <v>8.5</v>
      </c>
      <c r="AF76" s="9" t="n">
        <v>0</v>
      </c>
      <c r="AG76" s="8" t="n">
        <v>8.5</v>
      </c>
      <c r="AH76" s="8" t="n">
        <v>7.5</v>
      </c>
      <c r="AI76" s="8" t="n">
        <v>7.5</v>
      </c>
      <c r="AJ76" s="8" t="n">
        <v>0</v>
      </c>
      <c r="AK76" s="8" t="n">
        <v>0</v>
      </c>
      <c r="AL76" s="8" t="n">
        <v>0</v>
      </c>
      <c r="AM76" s="9" t="n">
        <v>0</v>
      </c>
      <c r="AN76" s="8" t="n">
        <v>0</v>
      </c>
      <c r="AO76" s="8" t="n">
        <v>0</v>
      </c>
      <c r="AP76" s="8" t="n">
        <v>0</v>
      </c>
      <c r="AQ76" s="8" t="n">
        <v>0</v>
      </c>
      <c r="AR76" s="8" t="n">
        <v>0</v>
      </c>
      <c r="AS76" s="8" t="n">
        <v>0</v>
      </c>
      <c r="AT76" s="10">
        <f>SUM(O76:AS76)</f>
        <v/>
      </c>
      <c r="AU76" s="11">
        <f>COUNTIF(O76:AS76, "&gt;0")</f>
        <v/>
      </c>
      <c r="AV76" s="12">
        <f>IF(AU76&gt;=5, 4, IF(AU76&gt;0, INT(AU76/6), 0))</f>
        <v/>
      </c>
      <c r="AW76" s="11" t="n">
        <v>0</v>
      </c>
      <c r="AX76" s="11" t="n">
        <v>0</v>
      </c>
      <c r="AY76" s="13">
        <f>MIN(31, AU76+AV76+AW76+AX76)</f>
        <v/>
      </c>
      <c r="AZ76" s="14">
        <f>31-AY76</f>
        <v/>
      </c>
      <c r="BA76" s="5">
        <f>IF(AX76&gt;0, "01-İstirahat", IF(AZ76&gt;0, "12-Birden Fazla", ""))</f>
        <v/>
      </c>
      <c r="BB76" s="10" t="n">
        <v>8.5</v>
      </c>
      <c r="BC76" s="8" t="n">
        <v>0</v>
      </c>
      <c r="BD76" s="9" t="n">
        <v>0</v>
      </c>
      <c r="BE76" s="7">
        <f>(L76/30)*AU76</f>
        <v/>
      </c>
      <c r="BF76" s="15">
        <f>(L76/225)*((BB76*1.5)-(BC76*1.0))</f>
        <v/>
      </c>
      <c r="BG76" s="16">
        <f>(L76/225)*1.5*BD76</f>
        <v/>
      </c>
      <c r="BH76" s="15">
        <f>BF76+BG76</f>
        <v/>
      </c>
      <c r="BI76" s="17">
        <f>BE76+BH76</f>
        <v/>
      </c>
      <c r="BJ76" s="7">
        <f>IFERROR(VLOOKUP(B76, Resmi_Bordro_SGK!B:M, 11, FALSE), 0)</f>
        <v/>
      </c>
      <c r="BK76" s="18">
        <f>IFERROR(VLOOKUP(B76, Icra_Takip!A:E, 4, FALSE), 0)</f>
        <v/>
      </c>
      <c r="BL76" s="17">
        <f>IF(BI76&gt;BJ76, BI76-BJ76-BK76, 0)</f>
        <v/>
      </c>
      <c r="BM76" s="17">
        <f>BI76-BK76</f>
        <v/>
      </c>
    </row>
    <row r="77" ht="19" customHeight="1">
      <c r="A77" s="4" t="n">
        <v>74</v>
      </c>
      <c r="B77" s="5" t="inlineStr">
        <is>
          <t>16933572286</t>
        </is>
      </c>
      <c r="C77" s="6" t="inlineStr">
        <is>
          <t>CANSEVER ÇÇAKMAK</t>
        </is>
      </c>
      <c r="D77" s="4" t="inlineStr">
        <is>
          <t>K</t>
        </is>
      </c>
      <c r="E77" s="4" t="inlineStr"/>
      <c r="F77" s="4" t="inlineStr">
        <is>
          <t>15.01.2023</t>
        </is>
      </c>
      <c r="G77" s="4" t="inlineStr"/>
      <c r="H77" s="4" t="inlineStr">
        <is>
          <t>NORMAL</t>
        </is>
      </c>
      <c r="I77" s="4" t="inlineStr">
        <is>
          <t>MEVSİMLİK</t>
        </is>
      </c>
      <c r="J77" s="6" t="inlineStr">
        <is>
          <t>AMBAR</t>
        </is>
      </c>
      <c r="K77" s="6" t="inlineStr">
        <is>
          <t>BİGADİÇ</t>
        </is>
      </c>
      <c r="L77" s="7" t="n">
        <v>28075.5</v>
      </c>
      <c r="M77" s="4" t="inlineStr">
        <is>
          <t>FİDE KONSERVE</t>
        </is>
      </c>
      <c r="N77" s="4" t="inlineStr">
        <is>
          <t>ALIR</t>
        </is>
      </c>
      <c r="O77" s="19" t="n">
        <v>7.5</v>
      </c>
      <c r="P77" s="19" t="n">
        <v>7.5</v>
      </c>
      <c r="Q77" s="19" t="n">
        <v>7.5</v>
      </c>
      <c r="R77" s="9" t="n">
        <v>0</v>
      </c>
      <c r="S77" s="19" t="n">
        <v>7.5</v>
      </c>
      <c r="T77" s="19" t="n">
        <v>7.5</v>
      </c>
      <c r="U77" s="19" t="n">
        <v>7.5</v>
      </c>
      <c r="V77" s="19" t="n">
        <v>7.5</v>
      </c>
      <c r="W77" s="19" t="n">
        <v>7.5</v>
      </c>
      <c r="X77" s="19" t="n">
        <v>7.5</v>
      </c>
      <c r="Y77" s="9" t="n">
        <v>0</v>
      </c>
      <c r="Z77" s="19" t="n">
        <v>0</v>
      </c>
      <c r="AA77" s="19" t="n">
        <v>7.5</v>
      </c>
      <c r="AB77" s="19" t="n">
        <v>7.5</v>
      </c>
      <c r="AC77" s="19" t="n">
        <v>7.5</v>
      </c>
      <c r="AD77" s="19" t="n">
        <v>7.5</v>
      </c>
      <c r="AE77" s="19" t="n">
        <v>7.5</v>
      </c>
      <c r="AF77" s="9" t="n">
        <v>7.5</v>
      </c>
      <c r="AG77" s="19" t="n">
        <v>7.5</v>
      </c>
      <c r="AH77" s="19" t="n">
        <v>7.5</v>
      </c>
      <c r="AI77" s="19" t="n">
        <v>7.5</v>
      </c>
      <c r="AJ77" s="19" t="n">
        <v>0</v>
      </c>
      <c r="AK77" s="19" t="n">
        <v>0</v>
      </c>
      <c r="AL77" s="19" t="n">
        <v>0</v>
      </c>
      <c r="AM77" s="9" t="n">
        <v>0</v>
      </c>
      <c r="AN77" s="19" t="n">
        <v>0</v>
      </c>
      <c r="AO77" s="19" t="n">
        <v>0</v>
      </c>
      <c r="AP77" s="19" t="n">
        <v>0</v>
      </c>
      <c r="AQ77" s="19" t="n">
        <v>0</v>
      </c>
      <c r="AR77" s="19" t="n">
        <v>0</v>
      </c>
      <c r="AS77" s="19" t="n">
        <v>0</v>
      </c>
      <c r="AT77" s="10">
        <f>SUM(O77:AS77)</f>
        <v/>
      </c>
      <c r="AU77" s="20">
        <f>COUNTIF(O77:AS77, "&gt;0")</f>
        <v/>
      </c>
      <c r="AV77" s="12">
        <f>IF(AU77&gt;=5, 4, IF(AU77&gt;0, INT(AU77/6), 0))</f>
        <v/>
      </c>
      <c r="AW77" s="20" t="n">
        <v>3</v>
      </c>
      <c r="AX77" s="20" t="n">
        <v>0</v>
      </c>
      <c r="AY77" s="13">
        <f>MIN(31, AU77+AV77+AW77+AX77)</f>
        <v/>
      </c>
      <c r="AZ77" s="14">
        <f>31-AY77</f>
        <v/>
      </c>
      <c r="BA77" s="21">
        <f>IF(AX77&gt;0, "01-İstirahat", IF(AZ77&gt;0, "12-Birden Fazla", ""))</f>
        <v/>
      </c>
      <c r="BB77" s="10" t="n">
        <v>0</v>
      </c>
      <c r="BC77" s="19" t="n">
        <v>0</v>
      </c>
      <c r="BD77" s="9" t="n">
        <v>7.5</v>
      </c>
      <c r="BE77" s="22">
        <f>(L77/30)*AU77</f>
        <v/>
      </c>
      <c r="BF77" s="15">
        <f>(L77/225)*((BB77*1.5)-(BC77*1.0))</f>
        <v/>
      </c>
      <c r="BG77" s="16">
        <f>(L77/225)*1.5*BD77</f>
        <v/>
      </c>
      <c r="BH77" s="15">
        <f>BF77+BG77</f>
        <v/>
      </c>
      <c r="BI77" s="17">
        <f>BE77+BH77</f>
        <v/>
      </c>
      <c r="BJ77" s="22">
        <f>IFERROR(VLOOKUP(B77, Resmi_Bordro_SGK!B:M, 11, FALSE), 0)</f>
        <v/>
      </c>
      <c r="BK77" s="18">
        <f>IFERROR(VLOOKUP(B77, Icra_Takip!A:E, 4, FALSE), 0)</f>
        <v/>
      </c>
      <c r="BL77" s="17">
        <f>IF(BI77&gt;BJ77, BI77-BJ77-BK77, 0)</f>
        <v/>
      </c>
      <c r="BM77" s="17">
        <f>BI77-BK77</f>
        <v/>
      </c>
    </row>
    <row r="78" ht="19" customHeight="1">
      <c r="A78" s="4" t="n">
        <v>75</v>
      </c>
      <c r="B78" s="5" t="inlineStr">
        <is>
          <t>17659696560</t>
        </is>
      </c>
      <c r="C78" s="6" t="inlineStr">
        <is>
          <t>CELAL ÖZER</t>
        </is>
      </c>
      <c r="D78" s="4" t="inlineStr">
        <is>
          <t>E</t>
        </is>
      </c>
      <c r="E78" s="4" t="inlineStr">
        <is>
          <t>13.08.2026</t>
        </is>
      </c>
      <c r="F78" s="4" t="inlineStr">
        <is>
          <t>14.08.2026</t>
        </is>
      </c>
      <c r="G78" s="4" t="inlineStr"/>
      <c r="H78" s="4" t="inlineStr">
        <is>
          <t>NORMAL</t>
        </is>
      </c>
      <c r="I78" s="4" t="inlineStr">
        <is>
          <t>MEVSİMLİK</t>
        </is>
      </c>
      <c r="J78" s="6" t="inlineStr">
        <is>
          <t>ÜRETİM</t>
        </is>
      </c>
      <c r="K78" s="6" t="inlineStr">
        <is>
          <t>KARACABEY-HALİL</t>
        </is>
      </c>
      <c r="L78" s="7" t="n">
        <v>28075.5</v>
      </c>
      <c r="M78" s="4" t="inlineStr">
        <is>
          <t>FİDE KONSERVE</t>
        </is>
      </c>
      <c r="N78" s="4" t="inlineStr">
        <is>
          <t>ALIR</t>
        </is>
      </c>
      <c r="O78" s="8" t="n">
        <v>0</v>
      </c>
      <c r="P78" s="8" t="n">
        <v>0</v>
      </c>
      <c r="Q78" s="8" t="n">
        <v>0</v>
      </c>
      <c r="R78" s="9" t="n">
        <v>0</v>
      </c>
      <c r="S78" s="8" t="n">
        <v>0</v>
      </c>
      <c r="T78" s="8" t="n">
        <v>0</v>
      </c>
      <c r="U78" s="8" t="n">
        <v>0</v>
      </c>
      <c r="V78" s="8" t="n">
        <v>0</v>
      </c>
      <c r="W78" s="8" t="n">
        <v>0</v>
      </c>
      <c r="X78" s="8" t="n">
        <v>0</v>
      </c>
      <c r="Y78" s="9" t="n">
        <v>0</v>
      </c>
      <c r="Z78" s="8" t="n">
        <v>0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9" t="n">
        <v>0</v>
      </c>
      <c r="AG78" s="8" t="n">
        <v>0</v>
      </c>
      <c r="AH78" s="8" t="n">
        <v>0</v>
      </c>
      <c r="AI78" s="8" t="n">
        <v>0</v>
      </c>
      <c r="AJ78" s="8" t="n">
        <v>0</v>
      </c>
      <c r="AK78" s="8" t="n">
        <v>0</v>
      </c>
      <c r="AL78" s="8" t="n">
        <v>0</v>
      </c>
      <c r="AM78" s="9" t="n">
        <v>0</v>
      </c>
      <c r="AN78" s="8" t="n">
        <v>0</v>
      </c>
      <c r="AO78" s="8" t="n">
        <v>0</v>
      </c>
      <c r="AP78" s="8" t="n">
        <v>0</v>
      </c>
      <c r="AQ78" s="8" t="n">
        <v>0</v>
      </c>
      <c r="AR78" s="8" t="n">
        <v>0</v>
      </c>
      <c r="AS78" s="8" t="n">
        <v>0</v>
      </c>
      <c r="AT78" s="10">
        <f>SUM(O78:AS78)</f>
        <v/>
      </c>
      <c r="AU78" s="11">
        <f>COUNTIF(O78:AS78, "&gt;0")</f>
        <v/>
      </c>
      <c r="AV78" s="12">
        <f>IF(AU78&gt;=5, 4, IF(AU78&gt;0, INT(AU78/6), 0))</f>
        <v/>
      </c>
      <c r="AW78" s="11" t="n">
        <v>0</v>
      </c>
      <c r="AX78" s="11" t="n">
        <v>0</v>
      </c>
      <c r="AY78" s="13">
        <f>MIN(31, AU78+AV78+AW78+AX78)</f>
        <v/>
      </c>
      <c r="AZ78" s="14">
        <f>31-AY78</f>
        <v/>
      </c>
      <c r="BA78" s="5">
        <f>IF(AX78&gt;0, "01-İstirahat", IF(AZ78&gt;0, "12-Birden Fazla", ""))</f>
        <v/>
      </c>
      <c r="BB78" s="10" t="n">
        <v>0</v>
      </c>
      <c r="BC78" s="8" t="n">
        <v>0</v>
      </c>
      <c r="BD78" s="9" t="n">
        <v>0</v>
      </c>
      <c r="BE78" s="7">
        <f>(L78/30)*AU78</f>
        <v/>
      </c>
      <c r="BF78" s="15">
        <f>(L78/225)*((BB78*1.5)-(BC78*1.0))</f>
        <v/>
      </c>
      <c r="BG78" s="16">
        <f>(L78/225)*1.5*BD78</f>
        <v/>
      </c>
      <c r="BH78" s="15">
        <f>BF78+BG78</f>
        <v/>
      </c>
      <c r="BI78" s="17">
        <f>BE78+BH78</f>
        <v/>
      </c>
      <c r="BJ78" s="7">
        <f>IFERROR(VLOOKUP(B78, Resmi_Bordro_SGK!B:M, 11, FALSE), 0)</f>
        <v/>
      </c>
      <c r="BK78" s="18">
        <f>IFERROR(VLOOKUP(B78, Icra_Takip!A:E, 4, FALSE), 0)</f>
        <v/>
      </c>
      <c r="BL78" s="17">
        <f>IF(BI78&gt;BJ78, BI78-BJ78-BK78, 0)</f>
        <v/>
      </c>
      <c r="BM78" s="17">
        <f>BI78-BK78</f>
        <v/>
      </c>
    </row>
    <row r="79" ht="19" customHeight="1">
      <c r="A79" s="4" t="n">
        <v>76</v>
      </c>
      <c r="B79" s="5" t="inlineStr">
        <is>
          <t>33154180038</t>
        </is>
      </c>
      <c r="C79" s="6" t="inlineStr">
        <is>
          <t>CEMALETTİN BEDİZCİ</t>
        </is>
      </c>
      <c r="D79" s="4" t="inlineStr">
        <is>
          <t>E</t>
        </is>
      </c>
      <c r="E79" s="4" t="inlineStr"/>
      <c r="F79" s="4" t="inlineStr">
        <is>
          <t>01.05.2021</t>
        </is>
      </c>
      <c r="G79" s="4" t="inlineStr"/>
      <c r="H79" s="4" t="inlineStr">
        <is>
          <t>SGDP</t>
        </is>
      </c>
      <c r="I79" s="4" t="inlineStr">
        <is>
          <t>DAİMİ</t>
        </is>
      </c>
      <c r="J79" s="6" t="inlineStr">
        <is>
          <t>BAKIM</t>
        </is>
      </c>
      <c r="K79" s="6" t="inlineStr">
        <is>
          <t>KARACABEY</t>
        </is>
      </c>
      <c r="L79" s="7" t="n">
        <v>60000</v>
      </c>
      <c r="M79" s="4" t="inlineStr">
        <is>
          <t>FİDE KONSERVE</t>
        </is>
      </c>
      <c r="N79" s="4" t="inlineStr">
        <is>
          <t>ALIR</t>
        </is>
      </c>
      <c r="O79" s="19" t="n">
        <v>9.5</v>
      </c>
      <c r="P79" s="19" t="n">
        <v>10.5</v>
      </c>
      <c r="Q79" s="23" t="n">
        <v>7.5</v>
      </c>
      <c r="R79" s="9" t="n">
        <v>0</v>
      </c>
      <c r="S79" s="19" t="n">
        <v>9.5</v>
      </c>
      <c r="T79" s="19" t="n">
        <v>10.5</v>
      </c>
      <c r="U79" s="19" t="n">
        <v>10.5</v>
      </c>
      <c r="V79" s="19" t="n">
        <v>13.5</v>
      </c>
      <c r="W79" s="19" t="n">
        <v>10</v>
      </c>
      <c r="X79" s="19" t="n">
        <v>10.5</v>
      </c>
      <c r="Y79" s="9" t="n">
        <v>7</v>
      </c>
      <c r="Z79" s="19" t="n">
        <v>9.5</v>
      </c>
      <c r="AA79" s="19" t="n">
        <v>9.5</v>
      </c>
      <c r="AB79" s="19" t="n">
        <v>8</v>
      </c>
      <c r="AC79" s="19" t="n">
        <v>7.5</v>
      </c>
      <c r="AD79" s="19" t="n">
        <v>10.5</v>
      </c>
      <c r="AE79" s="19" t="n">
        <v>10.5</v>
      </c>
      <c r="AF79" s="9" t="n">
        <v>0</v>
      </c>
      <c r="AG79" s="19" t="n">
        <v>9</v>
      </c>
      <c r="AH79" s="19" t="n">
        <v>9.5</v>
      </c>
      <c r="AI79" s="19" t="n">
        <v>4.5</v>
      </c>
      <c r="AJ79" s="19" t="n">
        <v>0</v>
      </c>
      <c r="AK79" s="19" t="n">
        <v>0</v>
      </c>
      <c r="AL79" s="19" t="n">
        <v>0</v>
      </c>
      <c r="AM79" s="9" t="n">
        <v>0</v>
      </c>
      <c r="AN79" s="19" t="n">
        <v>0</v>
      </c>
      <c r="AO79" s="19" t="n">
        <v>0</v>
      </c>
      <c r="AP79" s="19" t="n">
        <v>0</v>
      </c>
      <c r="AQ79" s="19" t="n">
        <v>0</v>
      </c>
      <c r="AR79" s="19" t="n">
        <v>0</v>
      </c>
      <c r="AS79" s="19" t="n">
        <v>0</v>
      </c>
      <c r="AT79" s="10">
        <f>SUM(O79:AS79)</f>
        <v/>
      </c>
      <c r="AU79" s="20">
        <f>COUNTIF(O79:AS79, "&gt;0")</f>
        <v/>
      </c>
      <c r="AV79" s="12">
        <f>IF(AU79&gt;=5, 4, IF(AU79&gt;0, INT(AU79/6), 0))</f>
        <v/>
      </c>
      <c r="AW79" s="20" t="n">
        <v>0</v>
      </c>
      <c r="AX79" s="20" t="n">
        <v>0</v>
      </c>
      <c r="AY79" s="13">
        <f>MIN(31, AU79+AV79+AW79+AX79)</f>
        <v/>
      </c>
      <c r="AZ79" s="14">
        <f>31-AY79</f>
        <v/>
      </c>
      <c r="BA79" s="21">
        <f>IF(AX79&gt;0, "01-İstirahat", IF(AZ79&gt;0, "12-Birden Fazla", ""))</f>
        <v/>
      </c>
      <c r="BB79" s="10" t="n">
        <v>38.5</v>
      </c>
      <c r="BC79" s="23" t="n">
        <v>3</v>
      </c>
      <c r="BD79" s="9" t="n">
        <v>7</v>
      </c>
      <c r="BE79" s="22">
        <f>(L79/30)*AU79</f>
        <v/>
      </c>
      <c r="BF79" s="15">
        <f>(L79/225)*((BB79*1.5)-(BC79*1.0))</f>
        <v/>
      </c>
      <c r="BG79" s="16">
        <f>(L79/225)*1.5*BD79</f>
        <v/>
      </c>
      <c r="BH79" s="15">
        <f>BF79+BG79</f>
        <v/>
      </c>
      <c r="BI79" s="17">
        <f>BE79+BH79</f>
        <v/>
      </c>
      <c r="BJ79" s="22">
        <f>IFERROR(VLOOKUP(B79, Resmi_Bordro_SGK!B:M, 11, FALSE), 0)</f>
        <v/>
      </c>
      <c r="BK79" s="18">
        <f>IFERROR(VLOOKUP(B79, Icra_Takip!A:E, 4, FALSE), 0)</f>
        <v/>
      </c>
      <c r="BL79" s="17">
        <f>IF(BI79&gt;BJ79, BI79-BJ79-BK79, 0)</f>
        <v/>
      </c>
      <c r="BM79" s="17">
        <f>BI79-BK79</f>
        <v/>
      </c>
    </row>
    <row r="80" ht="19" customHeight="1">
      <c r="A80" s="4" t="n">
        <v>77</v>
      </c>
      <c r="B80" s="5" t="inlineStr">
        <is>
          <t>17488585028</t>
        </is>
      </c>
      <c r="C80" s="6" t="inlineStr">
        <is>
          <t>CEMİLE KARAN</t>
        </is>
      </c>
      <c r="D80" s="4" t="inlineStr">
        <is>
          <t>K</t>
        </is>
      </c>
      <c r="E80" s="4" t="inlineStr"/>
      <c r="F80" s="4" t="inlineStr">
        <is>
          <t>10.02.2026</t>
        </is>
      </c>
      <c r="G80" s="4" t="inlineStr"/>
      <c r="H80" s="4" t="inlineStr">
        <is>
          <t>NORMAL</t>
        </is>
      </c>
      <c r="I80" s="4" t="inlineStr">
        <is>
          <t>MEVSİMLİK</t>
        </is>
      </c>
      <c r="J80" s="6" t="inlineStr">
        <is>
          <t>BALIK TEMİZLEME</t>
        </is>
      </c>
      <c r="K80" s="6" t="inlineStr">
        <is>
          <t>BALIKESİR</t>
        </is>
      </c>
      <c r="L80" s="7" t="n">
        <v>33000</v>
      </c>
      <c r="M80" s="4" t="inlineStr">
        <is>
          <t>FİDE KONSERVE</t>
        </is>
      </c>
      <c r="N80" s="4" t="inlineStr">
        <is>
          <t>ALIR</t>
        </is>
      </c>
      <c r="O80" s="8" t="n">
        <v>8</v>
      </c>
      <c r="P80" s="8" t="n">
        <v>8</v>
      </c>
      <c r="Q80" s="8" t="n">
        <v>8</v>
      </c>
      <c r="R80" s="9" t="n">
        <v>0</v>
      </c>
      <c r="S80" s="8" t="n">
        <v>7.5</v>
      </c>
      <c r="T80" s="8" t="n">
        <v>8</v>
      </c>
      <c r="U80" s="8" t="n">
        <v>7.5</v>
      </c>
      <c r="V80" s="8" t="n">
        <v>8</v>
      </c>
      <c r="W80" s="8" t="n">
        <v>8</v>
      </c>
      <c r="X80" s="8" t="n">
        <v>8.5</v>
      </c>
      <c r="Y80" s="9" t="n">
        <v>0</v>
      </c>
      <c r="Z80" s="8" t="n">
        <v>7.5</v>
      </c>
      <c r="AA80" s="8" t="n">
        <v>7.5</v>
      </c>
      <c r="AB80" s="8" t="n">
        <v>8.5</v>
      </c>
      <c r="AC80" s="8" t="n">
        <v>7.5</v>
      </c>
      <c r="AD80" s="8" t="n">
        <v>7.5</v>
      </c>
      <c r="AE80" s="8" t="n">
        <v>8.5</v>
      </c>
      <c r="AF80" s="9" t="n">
        <v>0</v>
      </c>
      <c r="AG80" s="8" t="n">
        <v>8</v>
      </c>
      <c r="AH80" s="8" t="n">
        <v>7.5</v>
      </c>
      <c r="AI80" s="8" t="n">
        <v>7.5</v>
      </c>
      <c r="AJ80" s="8" t="n">
        <v>0</v>
      </c>
      <c r="AK80" s="8" t="n">
        <v>0</v>
      </c>
      <c r="AL80" s="8" t="n">
        <v>0</v>
      </c>
      <c r="AM80" s="9" t="n">
        <v>0</v>
      </c>
      <c r="AN80" s="8" t="n">
        <v>0</v>
      </c>
      <c r="AO80" s="8" t="n">
        <v>0</v>
      </c>
      <c r="AP80" s="8" t="n">
        <v>0</v>
      </c>
      <c r="AQ80" s="8" t="n">
        <v>0</v>
      </c>
      <c r="AR80" s="8" t="n">
        <v>0</v>
      </c>
      <c r="AS80" s="8" t="n">
        <v>0</v>
      </c>
      <c r="AT80" s="10">
        <f>SUM(O80:AS80)</f>
        <v/>
      </c>
      <c r="AU80" s="11">
        <f>COUNTIF(O80:AS80, "&gt;0")</f>
        <v/>
      </c>
      <c r="AV80" s="12">
        <f>IF(AU80&gt;=5, 4, IF(AU80&gt;0, INT(AU80/6), 0))</f>
        <v/>
      </c>
      <c r="AW80" s="11" t="n">
        <v>0</v>
      </c>
      <c r="AX80" s="11" t="n">
        <v>0</v>
      </c>
      <c r="AY80" s="13">
        <f>MIN(31, AU80+AV80+AW80+AX80)</f>
        <v/>
      </c>
      <c r="AZ80" s="14">
        <f>31-AY80</f>
        <v/>
      </c>
      <c r="BA80" s="5">
        <f>IF(AX80&gt;0, "01-İstirahat", IF(AZ80&gt;0, "12-Birden Fazla", ""))</f>
        <v/>
      </c>
      <c r="BB80" s="10" t="n">
        <v>6.5</v>
      </c>
      <c r="BC80" s="8" t="n">
        <v>0</v>
      </c>
      <c r="BD80" s="9" t="n">
        <v>0</v>
      </c>
      <c r="BE80" s="7">
        <f>(L80/30)*AU80</f>
        <v/>
      </c>
      <c r="BF80" s="15">
        <f>(L80/225)*((BB80*1.5)-(BC80*1.0))</f>
        <v/>
      </c>
      <c r="BG80" s="16">
        <f>(L80/225)*1.5*BD80</f>
        <v/>
      </c>
      <c r="BH80" s="15">
        <f>BF80+BG80</f>
        <v/>
      </c>
      <c r="BI80" s="17">
        <f>BE80+BH80</f>
        <v/>
      </c>
      <c r="BJ80" s="7">
        <f>IFERROR(VLOOKUP(B80, Resmi_Bordro_SGK!B:M, 11, FALSE), 0)</f>
        <v/>
      </c>
      <c r="BK80" s="18">
        <f>IFERROR(VLOOKUP(B80, Icra_Takip!A:E, 4, FALSE), 0)</f>
        <v/>
      </c>
      <c r="BL80" s="17">
        <f>IF(BI80&gt;BJ80, BI80-BJ80-BK80, 0)</f>
        <v/>
      </c>
      <c r="BM80" s="17">
        <f>BI80-BK80</f>
        <v/>
      </c>
    </row>
    <row r="81" ht="19" customHeight="1">
      <c r="A81" s="4" t="n">
        <v>78</v>
      </c>
      <c r="B81" s="5" t="inlineStr">
        <is>
          <t>29009301048</t>
        </is>
      </c>
      <c r="C81" s="6" t="inlineStr">
        <is>
          <t>CEMİLE ÖZTÜRK</t>
        </is>
      </c>
      <c r="D81" s="4" t="inlineStr">
        <is>
          <t>K</t>
        </is>
      </c>
      <c r="E81" s="4" t="inlineStr"/>
      <c r="F81" s="4" t="inlineStr">
        <is>
          <t>08.07.2026</t>
        </is>
      </c>
      <c r="G81" s="4" t="inlineStr"/>
      <c r="H81" s="4" t="inlineStr">
        <is>
          <t>NORMAL</t>
        </is>
      </c>
      <c r="I81" s="4" t="inlineStr">
        <is>
          <t>MEVSİMLİK</t>
        </is>
      </c>
      <c r="J81" s="6" t="inlineStr">
        <is>
          <t>BALIK TEMİZLEME</t>
        </is>
      </c>
      <c r="K81" s="6" t="inlineStr">
        <is>
          <t>KARACABEY-HALİL</t>
        </is>
      </c>
      <c r="L81" s="7" t="n">
        <v>33000</v>
      </c>
      <c r="M81" s="4" t="inlineStr">
        <is>
          <t>FİDE KONSERVE</t>
        </is>
      </c>
      <c r="N81" s="4" t="inlineStr">
        <is>
          <t>ALIR</t>
        </is>
      </c>
      <c r="O81" s="19" t="n">
        <v>0</v>
      </c>
      <c r="P81" s="19" t="n">
        <v>0</v>
      </c>
      <c r="Q81" s="19" t="n">
        <v>0</v>
      </c>
      <c r="R81" s="9" t="n">
        <v>0</v>
      </c>
      <c r="S81" s="19" t="n">
        <v>0</v>
      </c>
      <c r="T81" s="19" t="n">
        <v>0</v>
      </c>
      <c r="U81" s="19" t="n">
        <v>0</v>
      </c>
      <c r="V81" s="19" t="n">
        <v>0</v>
      </c>
      <c r="W81" s="19" t="n">
        <v>0</v>
      </c>
      <c r="X81" s="19" t="n">
        <v>0</v>
      </c>
      <c r="Y81" s="9" t="n">
        <v>0</v>
      </c>
      <c r="Z81" s="19" t="n">
        <v>0</v>
      </c>
      <c r="AA81" s="19" t="n">
        <v>0</v>
      </c>
      <c r="AB81" s="19" t="n">
        <v>0</v>
      </c>
      <c r="AC81" s="19" t="n">
        <v>0</v>
      </c>
      <c r="AD81" s="19" t="n">
        <v>0</v>
      </c>
      <c r="AE81" s="19" t="n">
        <v>0</v>
      </c>
      <c r="AF81" s="9" t="n">
        <v>0</v>
      </c>
      <c r="AG81" s="19" t="n">
        <v>0</v>
      </c>
      <c r="AH81" s="19" t="n">
        <v>0</v>
      </c>
      <c r="AI81" s="19" t="n">
        <v>0</v>
      </c>
      <c r="AJ81" s="19" t="n">
        <v>0</v>
      </c>
      <c r="AK81" s="19" t="n">
        <v>0</v>
      </c>
      <c r="AL81" s="19" t="n">
        <v>0</v>
      </c>
      <c r="AM81" s="9" t="n">
        <v>0</v>
      </c>
      <c r="AN81" s="19" t="n">
        <v>0</v>
      </c>
      <c r="AO81" s="19" t="n">
        <v>0</v>
      </c>
      <c r="AP81" s="19" t="n">
        <v>0</v>
      </c>
      <c r="AQ81" s="19" t="n">
        <v>0</v>
      </c>
      <c r="AR81" s="19" t="n">
        <v>0</v>
      </c>
      <c r="AS81" s="19" t="n">
        <v>0</v>
      </c>
      <c r="AT81" s="10">
        <f>SUM(O81:AS81)</f>
        <v/>
      </c>
      <c r="AU81" s="20">
        <f>COUNTIF(O81:AS81, "&gt;0")</f>
        <v/>
      </c>
      <c r="AV81" s="12">
        <f>IF(AU81&gt;=5, 4, IF(AU81&gt;0, INT(AU81/6), 0))</f>
        <v/>
      </c>
      <c r="AW81" s="20" t="n">
        <v>0</v>
      </c>
      <c r="AX81" s="20" t="n">
        <v>0</v>
      </c>
      <c r="AY81" s="13">
        <f>MIN(31, AU81+AV81+AW81+AX81)</f>
        <v/>
      </c>
      <c r="AZ81" s="14">
        <f>31-AY81</f>
        <v/>
      </c>
      <c r="BA81" s="21">
        <f>IF(AX81&gt;0, "01-İstirahat", IF(AZ81&gt;0, "12-Birden Fazla", ""))</f>
        <v/>
      </c>
      <c r="BB81" s="10" t="n">
        <v>0</v>
      </c>
      <c r="BC81" s="19" t="n">
        <v>0</v>
      </c>
      <c r="BD81" s="9" t="n">
        <v>0</v>
      </c>
      <c r="BE81" s="22">
        <f>(L81/30)*AU81</f>
        <v/>
      </c>
      <c r="BF81" s="15">
        <f>(L81/225)*((BB81*1.5)-(BC81*1.0))</f>
        <v/>
      </c>
      <c r="BG81" s="16">
        <f>(L81/225)*1.5*BD81</f>
        <v/>
      </c>
      <c r="BH81" s="15">
        <f>BF81+BG81</f>
        <v/>
      </c>
      <c r="BI81" s="17">
        <f>BE81+BH81</f>
        <v/>
      </c>
      <c r="BJ81" s="22">
        <f>IFERROR(VLOOKUP(B81, Resmi_Bordro_SGK!B:M, 11, FALSE), 0)</f>
        <v/>
      </c>
      <c r="BK81" s="18">
        <f>IFERROR(VLOOKUP(B81, Icra_Takip!A:E, 4, FALSE), 0)</f>
        <v/>
      </c>
      <c r="BL81" s="17">
        <f>IF(BI81&gt;BJ81, BI81-BJ81-BK81, 0)</f>
        <v/>
      </c>
      <c r="BM81" s="17">
        <f>BI81-BK81</f>
        <v/>
      </c>
    </row>
    <row r="82" ht="19" customHeight="1">
      <c r="A82" s="4" t="n">
        <v>79</v>
      </c>
      <c r="B82" s="5" t="inlineStr"/>
      <c r="C82" s="6" t="inlineStr">
        <is>
          <t>CEMİLE TER</t>
        </is>
      </c>
      <c r="D82" s="4" t="inlineStr"/>
      <c r="E82" s="4" t="inlineStr"/>
      <c r="F82" s="4" t="inlineStr"/>
      <c r="G82" s="4" t="inlineStr"/>
      <c r="H82" s="4" t="inlineStr">
        <is>
          <t>NORMAL</t>
        </is>
      </c>
      <c r="I82" s="4" t="inlineStr">
        <is>
          <t>MEVSİMLİK</t>
        </is>
      </c>
      <c r="J82" s="6" t="inlineStr"/>
      <c r="K82" s="6" t="inlineStr"/>
      <c r="L82" s="7" t="n">
        <v>28075.5</v>
      </c>
      <c r="M82" s="4" t="inlineStr">
        <is>
          <t>FİDE KONSERVE</t>
        </is>
      </c>
      <c r="N82" s="4" t="inlineStr">
        <is>
          <t>ALIR</t>
        </is>
      </c>
      <c r="O82" s="8" t="n">
        <v>0</v>
      </c>
      <c r="P82" s="8" t="n">
        <v>0</v>
      </c>
      <c r="Q82" s="8" t="n">
        <v>10.5</v>
      </c>
      <c r="R82" s="9" t="n">
        <v>7.5</v>
      </c>
      <c r="S82" s="8" t="n">
        <v>10.5</v>
      </c>
      <c r="T82" s="8" t="n">
        <v>0</v>
      </c>
      <c r="U82" s="8" t="n">
        <v>10.5</v>
      </c>
      <c r="V82" s="8" t="n">
        <v>0</v>
      </c>
      <c r="W82" s="8" t="n">
        <v>10.5</v>
      </c>
      <c r="X82" s="8" t="n">
        <v>10.5</v>
      </c>
      <c r="Y82" s="9" t="n">
        <v>0</v>
      </c>
      <c r="Z82" s="8" t="n">
        <v>7.5</v>
      </c>
      <c r="AA82" s="8" t="n">
        <v>10.5</v>
      </c>
      <c r="AB82" s="8" t="n">
        <v>0</v>
      </c>
      <c r="AC82" s="8" t="n">
        <v>10.5</v>
      </c>
      <c r="AD82" s="8" t="n">
        <v>10.5</v>
      </c>
      <c r="AE82" s="8" t="n">
        <v>0</v>
      </c>
      <c r="AF82" s="9" t="n">
        <v>0</v>
      </c>
      <c r="AG82" s="8" t="n">
        <v>10.5</v>
      </c>
      <c r="AH82" s="23" t="n">
        <v>7.5</v>
      </c>
      <c r="AI82" s="8" t="n">
        <v>7.5</v>
      </c>
      <c r="AJ82" s="8" t="n">
        <v>0</v>
      </c>
      <c r="AK82" s="8" t="n">
        <v>0</v>
      </c>
      <c r="AL82" s="8" t="n">
        <v>0</v>
      </c>
      <c r="AM82" s="9" t="n">
        <v>0</v>
      </c>
      <c r="AN82" s="8" t="n">
        <v>0</v>
      </c>
      <c r="AO82" s="8" t="n">
        <v>0</v>
      </c>
      <c r="AP82" s="8" t="n">
        <v>0</v>
      </c>
      <c r="AQ82" s="8" t="n">
        <v>0</v>
      </c>
      <c r="AR82" s="8" t="n">
        <v>0</v>
      </c>
      <c r="AS82" s="8" t="n">
        <v>0</v>
      </c>
      <c r="AT82" s="10">
        <f>SUM(O82:AS82)</f>
        <v/>
      </c>
      <c r="AU82" s="11">
        <f>COUNTIF(O82:AS82, "&gt;0")</f>
        <v/>
      </c>
      <c r="AV82" s="12">
        <f>IF(AU82&gt;=5, 4, IF(AU82&gt;0, INT(AU82/6), 0))</f>
        <v/>
      </c>
      <c r="AW82" s="11" t="n">
        <v>0</v>
      </c>
      <c r="AX82" s="11" t="n">
        <v>0</v>
      </c>
      <c r="AY82" s="13">
        <f>MIN(31, AU82+AV82+AW82+AX82)</f>
        <v/>
      </c>
      <c r="AZ82" s="14">
        <f>31-AY82</f>
        <v/>
      </c>
      <c r="BA82" s="5">
        <f>IF(AX82&gt;0, "01-İstirahat", IF(AZ82&gt;0, "12-Birden Fazla", ""))</f>
        <v/>
      </c>
      <c r="BB82" s="10" t="n">
        <v>27</v>
      </c>
      <c r="BC82" s="8" t="n">
        <v>0</v>
      </c>
      <c r="BD82" s="9" t="n">
        <v>7.5</v>
      </c>
      <c r="BE82" s="7">
        <f>(L82/30)*AU82</f>
        <v/>
      </c>
      <c r="BF82" s="15">
        <f>(L82/225)*((BB82*1.5)-(BC82*1.0))</f>
        <v/>
      </c>
      <c r="BG82" s="16">
        <f>(L82/225)*1.5*BD82</f>
        <v/>
      </c>
      <c r="BH82" s="15">
        <f>BF82+BG82</f>
        <v/>
      </c>
      <c r="BI82" s="17">
        <f>BE82+BH82</f>
        <v/>
      </c>
      <c r="BJ82" s="7">
        <f>IFERROR(VLOOKUP(B82, Resmi_Bordro_SGK!B:M, 11, FALSE), 0)</f>
        <v/>
      </c>
      <c r="BK82" s="18">
        <f>IFERROR(VLOOKUP(B82, Icra_Takip!A:E, 4, FALSE), 0)</f>
        <v/>
      </c>
      <c r="BL82" s="17">
        <f>IF(BI82&gt;BJ82, BI82-BJ82-BK82, 0)</f>
        <v/>
      </c>
      <c r="BM82" s="17">
        <f>BI82-BK82</f>
        <v/>
      </c>
    </row>
    <row r="83" ht="19" customHeight="1">
      <c r="A83" s="4" t="n">
        <v>80</v>
      </c>
      <c r="B83" s="5" t="inlineStr"/>
      <c r="C83" s="6" t="inlineStr">
        <is>
          <t>CENNET ŞENOL</t>
        </is>
      </c>
      <c r="D83" s="4" t="inlineStr"/>
      <c r="E83" s="4" t="inlineStr"/>
      <c r="F83" s="4" t="inlineStr"/>
      <c r="G83" s="4" t="inlineStr"/>
      <c r="H83" s="4" t="inlineStr">
        <is>
          <t>NORMAL</t>
        </is>
      </c>
      <c r="I83" s="4" t="inlineStr">
        <is>
          <t>MEVSİMLİK</t>
        </is>
      </c>
      <c r="J83" s="6" t="inlineStr"/>
      <c r="K83" s="6" t="inlineStr"/>
      <c r="L83" s="7" t="n">
        <v>28075.5</v>
      </c>
      <c r="M83" s="4" t="inlineStr">
        <is>
          <t>FİDE KONSERVE</t>
        </is>
      </c>
      <c r="N83" s="4" t="inlineStr">
        <is>
          <t>ALIR</t>
        </is>
      </c>
      <c r="O83" s="19" t="n">
        <v>0</v>
      </c>
      <c r="P83" s="19" t="n">
        <v>0</v>
      </c>
      <c r="Q83" s="19" t="n">
        <v>0</v>
      </c>
      <c r="R83" s="9" t="n">
        <v>0</v>
      </c>
      <c r="S83" s="19" t="n">
        <v>0</v>
      </c>
      <c r="T83" s="19" t="n">
        <v>0</v>
      </c>
      <c r="U83" s="19" t="n">
        <v>0</v>
      </c>
      <c r="V83" s="19" t="n">
        <v>0</v>
      </c>
      <c r="W83" s="19" t="n">
        <v>0</v>
      </c>
      <c r="X83" s="19" t="n">
        <v>0</v>
      </c>
      <c r="Y83" s="9" t="n">
        <v>0</v>
      </c>
      <c r="Z83" s="19" t="n">
        <v>0</v>
      </c>
      <c r="AA83" s="19" t="n">
        <v>0</v>
      </c>
      <c r="AB83" s="19" t="n">
        <v>0</v>
      </c>
      <c r="AC83" s="19" t="n">
        <v>0</v>
      </c>
      <c r="AD83" s="19" t="n">
        <v>0</v>
      </c>
      <c r="AE83" s="19" t="n">
        <v>0</v>
      </c>
      <c r="AF83" s="9" t="n">
        <v>0</v>
      </c>
      <c r="AG83" s="19" t="n">
        <v>0</v>
      </c>
      <c r="AH83" s="19" t="n">
        <v>0</v>
      </c>
      <c r="AI83" s="19" t="n">
        <v>0</v>
      </c>
      <c r="AJ83" s="19" t="n">
        <v>0</v>
      </c>
      <c r="AK83" s="19" t="n">
        <v>0</v>
      </c>
      <c r="AL83" s="19" t="n">
        <v>0</v>
      </c>
      <c r="AM83" s="9" t="n">
        <v>0</v>
      </c>
      <c r="AN83" s="19" t="n">
        <v>0</v>
      </c>
      <c r="AO83" s="19" t="n">
        <v>0</v>
      </c>
      <c r="AP83" s="19" t="n">
        <v>0</v>
      </c>
      <c r="AQ83" s="19" t="n">
        <v>0</v>
      </c>
      <c r="AR83" s="19" t="n">
        <v>0</v>
      </c>
      <c r="AS83" s="19" t="n">
        <v>0</v>
      </c>
      <c r="AT83" s="10">
        <f>SUM(O83:AS83)</f>
        <v/>
      </c>
      <c r="AU83" s="20">
        <f>COUNTIF(O83:AS83, "&gt;0")</f>
        <v/>
      </c>
      <c r="AV83" s="12">
        <f>IF(AU83&gt;=5, 4, IF(AU83&gt;0, INT(AU83/6), 0))</f>
        <v/>
      </c>
      <c r="AW83" s="20" t="n">
        <v>0</v>
      </c>
      <c r="AX83" s="20" t="n">
        <v>0</v>
      </c>
      <c r="AY83" s="13">
        <f>MIN(31, AU83+AV83+AW83+AX83)</f>
        <v/>
      </c>
      <c r="AZ83" s="14">
        <f>31-AY83</f>
        <v/>
      </c>
      <c r="BA83" s="21">
        <f>IF(AX83&gt;0, "01-İstirahat", IF(AZ83&gt;0, "12-Birden Fazla", ""))</f>
        <v/>
      </c>
      <c r="BB83" s="10" t="n">
        <v>0</v>
      </c>
      <c r="BC83" s="19" t="n">
        <v>0</v>
      </c>
      <c r="BD83" s="9" t="n">
        <v>0</v>
      </c>
      <c r="BE83" s="22">
        <f>(L83/30)*AU83</f>
        <v/>
      </c>
      <c r="BF83" s="15">
        <f>(L83/225)*((BB83*1.5)-(BC83*1.0))</f>
        <v/>
      </c>
      <c r="BG83" s="16">
        <f>(L83/225)*1.5*BD83</f>
        <v/>
      </c>
      <c r="BH83" s="15">
        <f>BF83+BG83</f>
        <v/>
      </c>
      <c r="BI83" s="17">
        <f>BE83+BH83</f>
        <v/>
      </c>
      <c r="BJ83" s="22">
        <f>IFERROR(VLOOKUP(B83, Resmi_Bordro_SGK!B:M, 11, FALSE), 0)</f>
        <v/>
      </c>
      <c r="BK83" s="18">
        <f>IFERROR(VLOOKUP(B83, Icra_Takip!A:E, 4, FALSE), 0)</f>
        <v/>
      </c>
      <c r="BL83" s="17">
        <f>IF(BI83&gt;BJ83, BI83-BJ83-BK83, 0)</f>
        <v/>
      </c>
      <c r="BM83" s="17">
        <f>BI83-BK83</f>
        <v/>
      </c>
    </row>
    <row r="84" ht="19" customHeight="1">
      <c r="A84" s="4" t="n">
        <v>81</v>
      </c>
      <c r="B84" s="5" t="inlineStr">
        <is>
          <t>23083367440</t>
        </is>
      </c>
      <c r="C84" s="6" t="inlineStr">
        <is>
          <t>CEYDA ÖZ</t>
        </is>
      </c>
      <c r="D84" s="4" t="inlineStr">
        <is>
          <t>K</t>
        </is>
      </c>
      <c r="E84" s="4" t="inlineStr"/>
      <c r="F84" s="4" t="inlineStr">
        <is>
          <t>23.06.2026</t>
        </is>
      </c>
      <c r="G84" s="4" t="inlineStr"/>
      <c r="H84" s="4" t="inlineStr">
        <is>
          <t>NORMAL</t>
        </is>
      </c>
      <c r="I84" s="4" t="inlineStr">
        <is>
          <t>DAİMİ</t>
        </is>
      </c>
      <c r="J84" s="6" t="inlineStr">
        <is>
          <t>KALİTE</t>
        </is>
      </c>
      <c r="K84" s="6" t="inlineStr">
        <is>
          <t>BİGADİÇ</t>
        </is>
      </c>
      <c r="L84" s="7" t="n">
        <v>28075.5</v>
      </c>
      <c r="M84" s="4" t="inlineStr">
        <is>
          <t>FİDE KONSERVE</t>
        </is>
      </c>
      <c r="N84" s="4" t="inlineStr">
        <is>
          <t>ALIR</t>
        </is>
      </c>
      <c r="O84" s="8" t="n">
        <v>7.5</v>
      </c>
      <c r="P84" s="8" t="n">
        <v>7.5</v>
      </c>
      <c r="Q84" s="8" t="n">
        <v>7.5</v>
      </c>
      <c r="R84" s="9" t="n">
        <v>0</v>
      </c>
      <c r="S84" s="8" t="n">
        <v>7.5</v>
      </c>
      <c r="T84" s="8" t="n">
        <v>7.5</v>
      </c>
      <c r="U84" s="8" t="n">
        <v>7.5</v>
      </c>
      <c r="V84" s="8" t="n">
        <v>7.5</v>
      </c>
      <c r="W84" s="8" t="n">
        <v>7.5</v>
      </c>
      <c r="X84" s="8" t="n">
        <v>7.5</v>
      </c>
      <c r="Y84" s="9" t="n">
        <v>0</v>
      </c>
      <c r="Z84" s="8" t="n">
        <v>8</v>
      </c>
      <c r="AA84" s="8" t="n">
        <v>7.5</v>
      </c>
      <c r="AB84" s="8" t="n">
        <v>8</v>
      </c>
      <c r="AC84" s="8" t="n">
        <v>7.5</v>
      </c>
      <c r="AD84" s="8" t="n">
        <v>7.5</v>
      </c>
      <c r="AE84" s="8" t="n">
        <v>7.5</v>
      </c>
      <c r="AF84" s="9" t="n">
        <v>0</v>
      </c>
      <c r="AG84" s="8" t="n">
        <v>7.5</v>
      </c>
      <c r="AH84" s="8" t="n">
        <v>7.5</v>
      </c>
      <c r="AI84" s="23" t="n">
        <v>7.5</v>
      </c>
      <c r="AJ84" s="8" t="n">
        <v>0</v>
      </c>
      <c r="AK84" s="8" t="n">
        <v>0</v>
      </c>
      <c r="AL84" s="8" t="n">
        <v>0</v>
      </c>
      <c r="AM84" s="9" t="n">
        <v>0</v>
      </c>
      <c r="AN84" s="8" t="n">
        <v>0</v>
      </c>
      <c r="AO84" s="8" t="n">
        <v>0</v>
      </c>
      <c r="AP84" s="8" t="n">
        <v>0</v>
      </c>
      <c r="AQ84" s="8" t="n">
        <v>0</v>
      </c>
      <c r="AR84" s="8" t="n">
        <v>0</v>
      </c>
      <c r="AS84" s="8" t="n">
        <v>0</v>
      </c>
      <c r="AT84" s="10">
        <f>SUM(O84:AS84)</f>
        <v/>
      </c>
      <c r="AU84" s="11">
        <f>COUNTIF(O84:AS84, "&gt;0")</f>
        <v/>
      </c>
      <c r="AV84" s="12">
        <f>IF(AU84&gt;=5, 4, IF(AU84&gt;0, INT(AU84/6), 0))</f>
        <v/>
      </c>
      <c r="AW84" s="11" t="n">
        <v>0</v>
      </c>
      <c r="AX84" s="11" t="n">
        <v>0</v>
      </c>
      <c r="AY84" s="13">
        <f>MIN(31, AU84+AV84+AW84+AX84)</f>
        <v/>
      </c>
      <c r="AZ84" s="14">
        <f>31-AY84</f>
        <v/>
      </c>
      <c r="BA84" s="5">
        <f>IF(AX84&gt;0, "01-İstirahat", IF(AZ84&gt;0, "12-Birden Fazla", ""))</f>
        <v/>
      </c>
      <c r="BB84" s="10" t="n">
        <v>0.5</v>
      </c>
      <c r="BC84" s="8" t="n">
        <v>0</v>
      </c>
      <c r="BD84" s="9" t="n">
        <v>0</v>
      </c>
      <c r="BE84" s="7">
        <f>(L84/30)*AU84</f>
        <v/>
      </c>
      <c r="BF84" s="15">
        <f>(L84/225)*((BB84*1.5)-(BC84*1.0))</f>
        <v/>
      </c>
      <c r="BG84" s="16">
        <f>(L84/225)*1.5*BD84</f>
        <v/>
      </c>
      <c r="BH84" s="15">
        <f>BF84+BG84</f>
        <v/>
      </c>
      <c r="BI84" s="17">
        <f>BE84+BH84</f>
        <v/>
      </c>
      <c r="BJ84" s="7">
        <f>IFERROR(VLOOKUP(B84, Resmi_Bordro_SGK!B:M, 11, FALSE), 0)</f>
        <v/>
      </c>
      <c r="BK84" s="18">
        <f>IFERROR(VLOOKUP(B84, Icra_Takip!A:E, 4, FALSE), 0)</f>
        <v/>
      </c>
      <c r="BL84" s="17">
        <f>IF(BI84&gt;BJ84, BI84-BJ84-BK84, 0)</f>
        <v/>
      </c>
      <c r="BM84" s="17">
        <f>BI84-BK84</f>
        <v/>
      </c>
    </row>
    <row r="85" ht="19" customHeight="1">
      <c r="A85" s="4" t="n">
        <v>82</v>
      </c>
      <c r="B85" s="5" t="inlineStr">
        <is>
          <t>16699736366</t>
        </is>
      </c>
      <c r="C85" s="6" t="inlineStr">
        <is>
          <t>CEYLAN BATAN</t>
        </is>
      </c>
      <c r="D85" s="4" t="inlineStr">
        <is>
          <t>K</t>
        </is>
      </c>
      <c r="E85" s="4" t="inlineStr"/>
      <c r="F85" s="4" t="inlineStr">
        <is>
          <t>10.08.2026</t>
        </is>
      </c>
      <c r="G85" s="4" t="inlineStr"/>
      <c r="H85" s="4" t="inlineStr">
        <is>
          <t>NORMAL</t>
        </is>
      </c>
      <c r="I85" s="4" t="inlineStr">
        <is>
          <t>MEVSİMLİK</t>
        </is>
      </c>
      <c r="J85" s="6" t="inlineStr">
        <is>
          <t>BALIK TEMİZLEME</t>
        </is>
      </c>
      <c r="K85" s="6" t="inlineStr">
        <is>
          <t>GÜVEN TURİZM-MKP</t>
        </is>
      </c>
      <c r="L85" s="7" t="n">
        <v>33000</v>
      </c>
      <c r="M85" s="4" t="inlineStr">
        <is>
          <t>FİDE KONSERVE</t>
        </is>
      </c>
      <c r="N85" s="4" t="inlineStr">
        <is>
          <t>ALIR</t>
        </is>
      </c>
      <c r="O85" s="19" t="n">
        <v>8</v>
      </c>
      <c r="P85" s="19" t="n">
        <v>8.5</v>
      </c>
      <c r="Q85" s="19" t="n">
        <v>8</v>
      </c>
      <c r="R85" s="9" t="n">
        <v>0</v>
      </c>
      <c r="S85" s="19" t="n">
        <v>7.5</v>
      </c>
      <c r="T85" s="19" t="n">
        <v>8.5</v>
      </c>
      <c r="U85" s="19" t="n">
        <v>8</v>
      </c>
      <c r="V85" s="19" t="n">
        <v>8</v>
      </c>
      <c r="W85" s="19" t="n">
        <v>8.5</v>
      </c>
      <c r="X85" s="19" t="n">
        <v>0</v>
      </c>
      <c r="Y85" s="9" t="n">
        <v>0</v>
      </c>
      <c r="Z85" s="19" t="n">
        <v>7.5</v>
      </c>
      <c r="AA85" s="19" t="n">
        <v>0</v>
      </c>
      <c r="AB85" s="19" t="n">
        <v>8.5</v>
      </c>
      <c r="AC85" s="19" t="n">
        <v>7.5</v>
      </c>
      <c r="AD85" s="19" t="n">
        <v>8</v>
      </c>
      <c r="AE85" s="19" t="n">
        <v>8.5</v>
      </c>
      <c r="AF85" s="9" t="n">
        <v>0</v>
      </c>
      <c r="AG85" s="19" t="n">
        <v>8.5</v>
      </c>
      <c r="AH85" s="19" t="n">
        <v>7.5</v>
      </c>
      <c r="AI85" s="19" t="n">
        <v>7.5</v>
      </c>
      <c r="AJ85" s="19" t="n">
        <v>0</v>
      </c>
      <c r="AK85" s="19" t="n">
        <v>0</v>
      </c>
      <c r="AL85" s="19" t="n">
        <v>0</v>
      </c>
      <c r="AM85" s="9" t="n">
        <v>0</v>
      </c>
      <c r="AN85" s="19" t="n">
        <v>0</v>
      </c>
      <c r="AO85" s="19" t="n">
        <v>0</v>
      </c>
      <c r="AP85" s="19" t="n">
        <v>0</v>
      </c>
      <c r="AQ85" s="19" t="n">
        <v>0</v>
      </c>
      <c r="AR85" s="19" t="n">
        <v>0</v>
      </c>
      <c r="AS85" s="19" t="n">
        <v>0</v>
      </c>
      <c r="AT85" s="10">
        <f>SUM(O85:AS85)</f>
        <v/>
      </c>
      <c r="AU85" s="20">
        <f>COUNTIF(O85:AS85, "&gt;0")</f>
        <v/>
      </c>
      <c r="AV85" s="12">
        <f>IF(AU85&gt;=5, 4, IF(AU85&gt;0, INT(AU85/6), 0))</f>
        <v/>
      </c>
      <c r="AW85" s="20" t="n">
        <v>0</v>
      </c>
      <c r="AX85" s="20" t="n">
        <v>0</v>
      </c>
      <c r="AY85" s="13">
        <f>MIN(31, AU85+AV85+AW85+AX85)</f>
        <v/>
      </c>
      <c r="AZ85" s="14">
        <f>31-AY85</f>
        <v/>
      </c>
      <c r="BA85" s="21">
        <f>IF(AX85&gt;0, "01-İstirahat", IF(AZ85&gt;0, "12-Birden Fazla", ""))</f>
        <v/>
      </c>
      <c r="BB85" s="10" t="n">
        <v>8.5</v>
      </c>
      <c r="BC85" s="19" t="n">
        <v>0</v>
      </c>
      <c r="BD85" s="9" t="n">
        <v>0</v>
      </c>
      <c r="BE85" s="22">
        <f>(L85/30)*AU85</f>
        <v/>
      </c>
      <c r="BF85" s="15">
        <f>(L85/225)*((BB85*1.5)-(BC85*1.0))</f>
        <v/>
      </c>
      <c r="BG85" s="16">
        <f>(L85/225)*1.5*BD85</f>
        <v/>
      </c>
      <c r="BH85" s="15">
        <f>BF85+BG85</f>
        <v/>
      </c>
      <c r="BI85" s="17">
        <f>BE85+BH85</f>
        <v/>
      </c>
      <c r="BJ85" s="22">
        <f>IFERROR(VLOOKUP(B85, Resmi_Bordro_SGK!B:M, 11, FALSE), 0)</f>
        <v/>
      </c>
      <c r="BK85" s="18">
        <f>IFERROR(VLOOKUP(B85, Icra_Takip!A:E, 4, FALSE), 0)</f>
        <v/>
      </c>
      <c r="BL85" s="17">
        <f>IF(BI85&gt;BJ85, BI85-BJ85-BK85, 0)</f>
        <v/>
      </c>
      <c r="BM85" s="17">
        <f>BI85-BK85</f>
        <v/>
      </c>
    </row>
    <row r="86" ht="19" customHeight="1">
      <c r="A86" s="4" t="n">
        <v>83</v>
      </c>
      <c r="B86" s="5" t="inlineStr">
        <is>
          <t>19313787324</t>
        </is>
      </c>
      <c r="C86" s="6" t="inlineStr">
        <is>
          <t>CİHAN YILMAZ</t>
        </is>
      </c>
      <c r="D86" s="4" t="inlineStr">
        <is>
          <t>E</t>
        </is>
      </c>
      <c r="E86" s="4" t="inlineStr"/>
      <c r="F86" s="4" t="inlineStr">
        <is>
          <t>11.05.2026</t>
        </is>
      </c>
      <c r="G86" s="4" t="inlineStr"/>
      <c r="H86" s="4" t="inlineStr">
        <is>
          <t>NORMAL</t>
        </is>
      </c>
      <c r="I86" s="4" t="inlineStr">
        <is>
          <t>MEVSİMLİK</t>
        </is>
      </c>
      <c r="J86" s="6" t="inlineStr">
        <is>
          <t>BALIK</t>
        </is>
      </c>
      <c r="K86" s="6" t="inlineStr">
        <is>
          <t>KARACABEY-HALİL</t>
        </is>
      </c>
      <c r="L86" s="7" t="n">
        <v>33000</v>
      </c>
      <c r="M86" s="4" t="inlineStr">
        <is>
          <t>FİDE KONSERVE</t>
        </is>
      </c>
      <c r="N86" s="4" t="inlineStr">
        <is>
          <t>ALIR</t>
        </is>
      </c>
      <c r="O86" s="8" t="n">
        <v>10.5</v>
      </c>
      <c r="P86" s="8" t="n">
        <v>7.5</v>
      </c>
      <c r="Q86" s="8" t="n">
        <v>0</v>
      </c>
      <c r="R86" s="9" t="n">
        <v>7.5</v>
      </c>
      <c r="S86" s="8" t="n">
        <v>10.5</v>
      </c>
      <c r="T86" s="23" t="n">
        <v>15</v>
      </c>
      <c r="U86" s="8" t="n">
        <v>7.5</v>
      </c>
      <c r="V86" s="8" t="n">
        <v>10.5</v>
      </c>
      <c r="W86" s="8" t="n">
        <v>7.5</v>
      </c>
      <c r="X86" s="8" t="n">
        <v>0</v>
      </c>
      <c r="Y86" s="9" t="n">
        <v>10.5</v>
      </c>
      <c r="Z86" s="8" t="n">
        <v>7.5</v>
      </c>
      <c r="AA86" s="8" t="n">
        <v>7.5</v>
      </c>
      <c r="AB86" s="8" t="n">
        <v>10.5</v>
      </c>
      <c r="AC86" s="8" t="n">
        <v>7.5</v>
      </c>
      <c r="AD86" s="8" t="n">
        <v>7.5</v>
      </c>
      <c r="AE86" s="8" t="n">
        <v>0</v>
      </c>
      <c r="AF86" s="9" t="n">
        <v>18.5</v>
      </c>
      <c r="AG86" s="8" t="n">
        <v>11.5</v>
      </c>
      <c r="AH86" s="8" t="n">
        <v>8.5</v>
      </c>
      <c r="AI86" s="23" t="n">
        <v>7.5</v>
      </c>
      <c r="AJ86" s="8" t="n">
        <v>0</v>
      </c>
      <c r="AK86" s="8" t="n">
        <v>0</v>
      </c>
      <c r="AL86" s="8" t="n">
        <v>0</v>
      </c>
      <c r="AM86" s="9" t="n">
        <v>0</v>
      </c>
      <c r="AN86" s="8" t="n">
        <v>0</v>
      </c>
      <c r="AO86" s="8" t="n">
        <v>0</v>
      </c>
      <c r="AP86" s="8" t="n">
        <v>0</v>
      </c>
      <c r="AQ86" s="8" t="n">
        <v>0</v>
      </c>
      <c r="AR86" s="8" t="n">
        <v>0</v>
      </c>
      <c r="AS86" s="8" t="n">
        <v>0</v>
      </c>
      <c r="AT86" s="10">
        <f>SUM(O86:AS86)</f>
        <v/>
      </c>
      <c r="AU86" s="11">
        <f>COUNTIF(O86:AS86, "&gt;0")</f>
        <v/>
      </c>
      <c r="AV86" s="12">
        <f>IF(AU86&gt;=5, 4, IF(AU86&gt;0, INT(AU86/6), 0))</f>
        <v/>
      </c>
      <c r="AW86" s="11" t="n">
        <v>0</v>
      </c>
      <c r="AX86" s="11" t="n">
        <v>0</v>
      </c>
      <c r="AY86" s="13">
        <f>MIN(31, AU86+AV86+AW86+AX86)</f>
        <v/>
      </c>
      <c r="AZ86" s="14">
        <f>31-AY86</f>
        <v/>
      </c>
      <c r="BA86" s="5">
        <f>IF(AX86&gt;0, "01-İstirahat", IF(AZ86&gt;0, "12-Birden Fazla", ""))</f>
        <v/>
      </c>
      <c r="BB86" s="10" t="n">
        <v>36</v>
      </c>
      <c r="BC86" s="8" t="n">
        <v>0</v>
      </c>
      <c r="BD86" s="9" t="n">
        <v>36.5</v>
      </c>
      <c r="BE86" s="7">
        <f>(L86/30)*AU86</f>
        <v/>
      </c>
      <c r="BF86" s="15">
        <f>(L86/225)*((BB86*1.5)-(BC86*1.0))</f>
        <v/>
      </c>
      <c r="BG86" s="16">
        <f>(L86/225)*1.5*BD86</f>
        <v/>
      </c>
      <c r="BH86" s="15">
        <f>BF86+BG86</f>
        <v/>
      </c>
      <c r="BI86" s="17">
        <f>BE86+BH86</f>
        <v/>
      </c>
      <c r="BJ86" s="7">
        <f>IFERROR(VLOOKUP(B86, Resmi_Bordro_SGK!B:M, 11, FALSE), 0)</f>
        <v/>
      </c>
      <c r="BK86" s="18">
        <f>IFERROR(VLOOKUP(B86, Icra_Takip!A:E, 4, FALSE), 0)</f>
        <v/>
      </c>
      <c r="BL86" s="17">
        <f>IF(BI86&gt;BJ86, BI86-BJ86-BK86, 0)</f>
        <v/>
      </c>
      <c r="BM86" s="17">
        <f>BI86-BK86</f>
        <v/>
      </c>
    </row>
    <row r="87" ht="19" customHeight="1">
      <c r="A87" s="4" t="n">
        <v>84</v>
      </c>
      <c r="B87" s="5" t="inlineStr">
        <is>
          <t>10240956142</t>
        </is>
      </c>
      <c r="C87" s="6" t="inlineStr">
        <is>
          <t>ÇETİN BEYGİRCİLER</t>
        </is>
      </c>
      <c r="D87" s="4" t="inlineStr">
        <is>
          <t>E</t>
        </is>
      </c>
      <c r="E87" s="4" t="inlineStr"/>
      <c r="F87" s="4" t="inlineStr">
        <is>
          <t>02.07.2026</t>
        </is>
      </c>
      <c r="G87" s="4" t="inlineStr"/>
      <c r="H87" s="4" t="inlineStr">
        <is>
          <t>NORMAL</t>
        </is>
      </c>
      <c r="I87" s="4" t="inlineStr">
        <is>
          <t>MEVSİMLİK</t>
        </is>
      </c>
      <c r="J87" s="6" t="inlineStr">
        <is>
          <t>ÜRETİM</t>
        </is>
      </c>
      <c r="K87" s="6" t="inlineStr">
        <is>
          <t>GÜVEN TURİZM-MKP</t>
        </is>
      </c>
      <c r="L87" s="7" t="n">
        <v>28075.5</v>
      </c>
      <c r="M87" s="4" t="inlineStr">
        <is>
          <t>FİDE KONSERVE</t>
        </is>
      </c>
      <c r="N87" s="4" t="inlineStr">
        <is>
          <t>ALIR</t>
        </is>
      </c>
      <c r="O87" s="19" t="n">
        <v>0</v>
      </c>
      <c r="P87" s="19" t="n">
        <v>0</v>
      </c>
      <c r="Q87" s="19" t="n">
        <v>0</v>
      </c>
      <c r="R87" s="9" t="n">
        <v>0</v>
      </c>
      <c r="S87" s="19" t="n">
        <v>0</v>
      </c>
      <c r="T87" s="19" t="n">
        <v>0</v>
      </c>
      <c r="U87" s="19" t="n">
        <v>0</v>
      </c>
      <c r="V87" s="19" t="n">
        <v>0</v>
      </c>
      <c r="W87" s="19" t="n">
        <v>0</v>
      </c>
      <c r="X87" s="19" t="n">
        <v>0</v>
      </c>
      <c r="Y87" s="9" t="n">
        <v>0</v>
      </c>
      <c r="Z87" s="19" t="n">
        <v>0</v>
      </c>
      <c r="AA87" s="19" t="n">
        <v>0</v>
      </c>
      <c r="AB87" s="19" t="n">
        <v>0</v>
      </c>
      <c r="AC87" s="19" t="n">
        <v>0</v>
      </c>
      <c r="AD87" s="19" t="n">
        <v>0</v>
      </c>
      <c r="AE87" s="19" t="n">
        <v>0</v>
      </c>
      <c r="AF87" s="9" t="n">
        <v>0</v>
      </c>
      <c r="AG87" s="19" t="n">
        <v>0</v>
      </c>
      <c r="AH87" s="19" t="n">
        <v>0</v>
      </c>
      <c r="AI87" s="19" t="n">
        <v>0</v>
      </c>
      <c r="AJ87" s="19" t="n">
        <v>0</v>
      </c>
      <c r="AK87" s="19" t="n">
        <v>0</v>
      </c>
      <c r="AL87" s="19" t="n">
        <v>0</v>
      </c>
      <c r="AM87" s="9" t="n">
        <v>0</v>
      </c>
      <c r="AN87" s="19" t="n">
        <v>0</v>
      </c>
      <c r="AO87" s="19" t="n">
        <v>0</v>
      </c>
      <c r="AP87" s="19" t="n">
        <v>0</v>
      </c>
      <c r="AQ87" s="19" t="n">
        <v>0</v>
      </c>
      <c r="AR87" s="19" t="n">
        <v>0</v>
      </c>
      <c r="AS87" s="19" t="n">
        <v>0</v>
      </c>
      <c r="AT87" s="10">
        <f>SUM(O87:AS87)</f>
        <v/>
      </c>
      <c r="AU87" s="20">
        <f>COUNTIF(O87:AS87, "&gt;0")</f>
        <v/>
      </c>
      <c r="AV87" s="12">
        <f>IF(AU87&gt;=5, 4, IF(AU87&gt;0, INT(AU87/6), 0))</f>
        <v/>
      </c>
      <c r="AW87" s="20" t="n">
        <v>0</v>
      </c>
      <c r="AX87" s="20" t="n">
        <v>0</v>
      </c>
      <c r="AY87" s="13">
        <f>MIN(31, AU87+AV87+AW87+AX87)</f>
        <v/>
      </c>
      <c r="AZ87" s="14">
        <f>31-AY87</f>
        <v/>
      </c>
      <c r="BA87" s="21">
        <f>IF(AX87&gt;0, "01-İstirahat", IF(AZ87&gt;0, "12-Birden Fazla", ""))</f>
        <v/>
      </c>
      <c r="BB87" s="10" t="n">
        <v>0</v>
      </c>
      <c r="BC87" s="19" t="n">
        <v>0</v>
      </c>
      <c r="BD87" s="9" t="n">
        <v>0</v>
      </c>
      <c r="BE87" s="22">
        <f>(L87/30)*AU87</f>
        <v/>
      </c>
      <c r="BF87" s="15">
        <f>(L87/225)*((BB87*1.5)-(BC87*1.0))</f>
        <v/>
      </c>
      <c r="BG87" s="16">
        <f>(L87/225)*1.5*BD87</f>
        <v/>
      </c>
      <c r="BH87" s="15">
        <f>BF87+BG87</f>
        <v/>
      </c>
      <c r="BI87" s="17">
        <f>BE87+BH87</f>
        <v/>
      </c>
      <c r="BJ87" s="22">
        <f>IFERROR(VLOOKUP(B87, Resmi_Bordro_SGK!B:M, 11, FALSE), 0)</f>
        <v/>
      </c>
      <c r="BK87" s="18">
        <f>IFERROR(VLOOKUP(B87, Icra_Takip!A:E, 4, FALSE), 0)</f>
        <v/>
      </c>
      <c r="BL87" s="17">
        <f>IF(BI87&gt;BJ87, BI87-BJ87-BK87, 0)</f>
        <v/>
      </c>
      <c r="BM87" s="17">
        <f>BI87-BK87</f>
        <v/>
      </c>
    </row>
    <row r="88" ht="19" customHeight="1">
      <c r="A88" s="4" t="n">
        <v>85</v>
      </c>
      <c r="B88" s="5" t="inlineStr">
        <is>
          <t>22319750032</t>
        </is>
      </c>
      <c r="C88" s="6" t="inlineStr">
        <is>
          <t>ÇİDEM FİDAN</t>
        </is>
      </c>
      <c r="D88" s="4" t="inlineStr">
        <is>
          <t>K</t>
        </is>
      </c>
      <c r="E88" s="4" t="inlineStr"/>
      <c r="F88" s="4" t="inlineStr">
        <is>
          <t>01.04.2026</t>
        </is>
      </c>
      <c r="G88" s="4" t="inlineStr"/>
      <c r="H88" s="4" t="inlineStr">
        <is>
          <t>NORMAL</t>
        </is>
      </c>
      <c r="I88" s="4" t="inlineStr">
        <is>
          <t>MEVSİMLİK</t>
        </is>
      </c>
      <c r="J88" s="6" t="inlineStr">
        <is>
          <t>BALIK TEMİZLEME</t>
        </is>
      </c>
      <c r="K88" s="6" t="inlineStr">
        <is>
          <t>BANDIRMA</t>
        </is>
      </c>
      <c r="L88" s="7" t="n">
        <v>33000</v>
      </c>
      <c r="M88" s="4" t="inlineStr">
        <is>
          <t>FİDE KONSERVE</t>
        </is>
      </c>
      <c r="N88" s="4" t="inlineStr">
        <is>
          <t>ALIR</t>
        </is>
      </c>
      <c r="O88" s="8" t="n">
        <v>8</v>
      </c>
      <c r="P88" s="8" t="n">
        <v>8.5</v>
      </c>
      <c r="Q88" s="8" t="n">
        <v>8</v>
      </c>
      <c r="R88" s="9" t="n">
        <v>0</v>
      </c>
      <c r="S88" s="8" t="n">
        <v>7.5</v>
      </c>
      <c r="T88" s="8" t="n">
        <v>8</v>
      </c>
      <c r="U88" s="8" t="n">
        <v>8</v>
      </c>
      <c r="V88" s="8" t="n">
        <v>8</v>
      </c>
      <c r="W88" s="8" t="n">
        <v>8.5</v>
      </c>
      <c r="X88" s="8" t="n">
        <v>8.5</v>
      </c>
      <c r="Y88" s="9" t="n">
        <v>0</v>
      </c>
      <c r="Z88" s="8" t="n">
        <v>0</v>
      </c>
      <c r="AA88" s="8" t="n">
        <v>7.5</v>
      </c>
      <c r="AB88" s="8" t="n">
        <v>8.5</v>
      </c>
      <c r="AC88" s="8" t="n">
        <v>0</v>
      </c>
      <c r="AD88" s="8" t="n">
        <v>7.5</v>
      </c>
      <c r="AE88" s="8" t="n">
        <v>8.5</v>
      </c>
      <c r="AF88" s="9" t="n">
        <v>0</v>
      </c>
      <c r="AG88" s="8" t="n">
        <v>8.5</v>
      </c>
      <c r="AH88" s="8" t="n">
        <v>7.5</v>
      </c>
      <c r="AI88" s="8" t="n">
        <v>7.5</v>
      </c>
      <c r="AJ88" s="8" t="n">
        <v>0</v>
      </c>
      <c r="AK88" s="8" t="n">
        <v>0</v>
      </c>
      <c r="AL88" s="8" t="n">
        <v>0</v>
      </c>
      <c r="AM88" s="9" t="n">
        <v>0</v>
      </c>
      <c r="AN88" s="8" t="n">
        <v>0</v>
      </c>
      <c r="AO88" s="8" t="n">
        <v>0</v>
      </c>
      <c r="AP88" s="8" t="n">
        <v>0</v>
      </c>
      <c r="AQ88" s="8" t="n">
        <v>0</v>
      </c>
      <c r="AR88" s="8" t="n">
        <v>0</v>
      </c>
      <c r="AS88" s="8" t="n">
        <v>0</v>
      </c>
      <c r="AT88" s="10">
        <f>SUM(O88:AS88)</f>
        <v/>
      </c>
      <c r="AU88" s="11">
        <f>COUNTIF(O88:AS88, "&gt;0")</f>
        <v/>
      </c>
      <c r="AV88" s="12">
        <f>IF(AU88&gt;=5, 4, IF(AU88&gt;0, INT(AU88/6), 0))</f>
        <v/>
      </c>
      <c r="AW88" s="11" t="n">
        <v>0</v>
      </c>
      <c r="AX88" s="11" t="n">
        <v>0</v>
      </c>
      <c r="AY88" s="13">
        <f>MIN(31, AU88+AV88+AW88+AX88)</f>
        <v/>
      </c>
      <c r="AZ88" s="14">
        <f>31-AY88</f>
        <v/>
      </c>
      <c r="BA88" s="5">
        <f>IF(AX88&gt;0, "01-İstirahat", IF(AZ88&gt;0, "12-Birden Fazla", ""))</f>
        <v/>
      </c>
      <c r="BB88" s="10" t="n">
        <v>8.5</v>
      </c>
      <c r="BC88" s="8" t="n">
        <v>0</v>
      </c>
      <c r="BD88" s="9" t="n">
        <v>0</v>
      </c>
      <c r="BE88" s="7">
        <f>(L88/30)*AU88</f>
        <v/>
      </c>
      <c r="BF88" s="15">
        <f>(L88/225)*((BB88*1.5)-(BC88*1.0))</f>
        <v/>
      </c>
      <c r="BG88" s="16">
        <f>(L88/225)*1.5*BD88</f>
        <v/>
      </c>
      <c r="BH88" s="15">
        <f>BF88+BG88</f>
        <v/>
      </c>
      <c r="BI88" s="17">
        <f>BE88+BH88</f>
        <v/>
      </c>
      <c r="BJ88" s="7">
        <f>IFERROR(VLOOKUP(B88, Resmi_Bordro_SGK!B:M, 11, FALSE), 0)</f>
        <v/>
      </c>
      <c r="BK88" s="18">
        <f>IFERROR(VLOOKUP(B88, Icra_Takip!A:E, 4, FALSE), 0)</f>
        <v/>
      </c>
      <c r="BL88" s="17">
        <f>IF(BI88&gt;BJ88, BI88-BJ88-BK88, 0)</f>
        <v/>
      </c>
      <c r="BM88" s="17">
        <f>BI88-BK88</f>
        <v/>
      </c>
    </row>
    <row r="89" ht="19" customHeight="1">
      <c r="A89" s="4" t="n">
        <v>86</v>
      </c>
      <c r="B89" s="5" t="inlineStr">
        <is>
          <t>22993528088</t>
        </is>
      </c>
      <c r="C89" s="6" t="inlineStr">
        <is>
          <t>ÇİĞDEM KOCÇAKIRAY</t>
        </is>
      </c>
      <c r="D89" s="4" t="inlineStr">
        <is>
          <t>K</t>
        </is>
      </c>
      <c r="E89" s="4" t="inlineStr"/>
      <c r="F89" s="4" t="inlineStr">
        <is>
          <t>10.08.2026</t>
        </is>
      </c>
      <c r="G89" s="4" t="inlineStr"/>
      <c r="H89" s="4" t="inlineStr">
        <is>
          <t>NORMAL</t>
        </is>
      </c>
      <c r="I89" s="4" t="inlineStr">
        <is>
          <t>MEVSİMLİK</t>
        </is>
      </c>
      <c r="J89" s="6" t="inlineStr">
        <is>
          <t>BALIK TEMİZLEME</t>
        </is>
      </c>
      <c r="K89" s="6" t="inlineStr">
        <is>
          <t>GÜVEN TURİZM-MKP</t>
        </is>
      </c>
      <c r="L89" s="7" t="n">
        <v>33000</v>
      </c>
      <c r="M89" s="4" t="inlineStr">
        <is>
          <t>FİDE KONSERVE</t>
        </is>
      </c>
      <c r="N89" s="4" t="inlineStr">
        <is>
          <t>ALIR</t>
        </is>
      </c>
      <c r="O89" s="19" t="n">
        <v>0</v>
      </c>
      <c r="P89" s="19" t="n">
        <v>0</v>
      </c>
      <c r="Q89" s="19" t="n">
        <v>0</v>
      </c>
      <c r="R89" s="9" t="n">
        <v>0</v>
      </c>
      <c r="S89" s="19" t="n">
        <v>0</v>
      </c>
      <c r="T89" s="19" t="n">
        <v>0</v>
      </c>
      <c r="U89" s="19" t="n">
        <v>0</v>
      </c>
      <c r="V89" s="19" t="n">
        <v>0</v>
      </c>
      <c r="W89" s="19" t="n">
        <v>0</v>
      </c>
      <c r="X89" s="19" t="n">
        <v>0</v>
      </c>
      <c r="Y89" s="9" t="n">
        <v>0</v>
      </c>
      <c r="Z89" s="19" t="n">
        <v>0</v>
      </c>
      <c r="AA89" s="19" t="n">
        <v>0</v>
      </c>
      <c r="AB89" s="19" t="n">
        <v>0</v>
      </c>
      <c r="AC89" s="19" t="n">
        <v>0</v>
      </c>
      <c r="AD89" s="19" t="n">
        <v>0</v>
      </c>
      <c r="AE89" s="19" t="n">
        <v>0</v>
      </c>
      <c r="AF89" s="9" t="n">
        <v>0</v>
      </c>
      <c r="AG89" s="19" t="n">
        <v>0</v>
      </c>
      <c r="AH89" s="19" t="n">
        <v>0</v>
      </c>
      <c r="AI89" s="19" t="n">
        <v>0</v>
      </c>
      <c r="AJ89" s="19" t="n">
        <v>0</v>
      </c>
      <c r="AK89" s="19" t="n">
        <v>0</v>
      </c>
      <c r="AL89" s="19" t="n">
        <v>0</v>
      </c>
      <c r="AM89" s="9" t="n">
        <v>0</v>
      </c>
      <c r="AN89" s="19" t="n">
        <v>0</v>
      </c>
      <c r="AO89" s="19" t="n">
        <v>0</v>
      </c>
      <c r="AP89" s="19" t="n">
        <v>0</v>
      </c>
      <c r="AQ89" s="19" t="n">
        <v>0</v>
      </c>
      <c r="AR89" s="19" t="n">
        <v>0</v>
      </c>
      <c r="AS89" s="19" t="n">
        <v>0</v>
      </c>
      <c r="AT89" s="10">
        <f>SUM(O89:AS89)</f>
        <v/>
      </c>
      <c r="AU89" s="20">
        <f>COUNTIF(O89:AS89, "&gt;0")</f>
        <v/>
      </c>
      <c r="AV89" s="12">
        <f>IF(AU89&gt;=5, 4, IF(AU89&gt;0, INT(AU89/6), 0))</f>
        <v/>
      </c>
      <c r="AW89" s="20" t="n">
        <v>0</v>
      </c>
      <c r="AX89" s="20" t="n">
        <v>0</v>
      </c>
      <c r="AY89" s="13">
        <f>MIN(31, AU89+AV89+AW89+AX89)</f>
        <v/>
      </c>
      <c r="AZ89" s="14">
        <f>31-AY89</f>
        <v/>
      </c>
      <c r="BA89" s="21">
        <f>IF(AX89&gt;0, "01-İstirahat", IF(AZ89&gt;0, "12-Birden Fazla", ""))</f>
        <v/>
      </c>
      <c r="BB89" s="10" t="n">
        <v>0</v>
      </c>
      <c r="BC89" s="19" t="n">
        <v>0</v>
      </c>
      <c r="BD89" s="9" t="n">
        <v>0</v>
      </c>
      <c r="BE89" s="22">
        <f>(L89/30)*AU89</f>
        <v/>
      </c>
      <c r="BF89" s="15">
        <f>(L89/225)*((BB89*1.5)-(BC89*1.0))</f>
        <v/>
      </c>
      <c r="BG89" s="16">
        <f>(L89/225)*1.5*BD89</f>
        <v/>
      </c>
      <c r="BH89" s="15">
        <f>BF89+BG89</f>
        <v/>
      </c>
      <c r="BI89" s="17">
        <f>BE89+BH89</f>
        <v/>
      </c>
      <c r="BJ89" s="22">
        <f>IFERROR(VLOOKUP(B89, Resmi_Bordro_SGK!B:M, 11, FALSE), 0)</f>
        <v/>
      </c>
      <c r="BK89" s="18">
        <f>IFERROR(VLOOKUP(B89, Icra_Takip!A:E, 4, FALSE), 0)</f>
        <v/>
      </c>
      <c r="BL89" s="17">
        <f>IF(BI89&gt;BJ89, BI89-BJ89-BK89, 0)</f>
        <v/>
      </c>
      <c r="BM89" s="17">
        <f>BI89-BK89</f>
        <v/>
      </c>
    </row>
    <row r="90" ht="19" customHeight="1">
      <c r="A90" s="4" t="n">
        <v>87</v>
      </c>
      <c r="B90" s="5" t="inlineStr">
        <is>
          <t>17749594400</t>
        </is>
      </c>
      <c r="C90" s="6" t="inlineStr">
        <is>
          <t>ÇİSEM BÇAKIR</t>
        </is>
      </c>
      <c r="D90" s="4" t="inlineStr">
        <is>
          <t>K</t>
        </is>
      </c>
      <c r="E90" s="4" t="inlineStr"/>
      <c r="F90" s="4" t="inlineStr">
        <is>
          <t>19.10.2023</t>
        </is>
      </c>
      <c r="G90" s="4" t="inlineStr"/>
      <c r="H90" s="4" t="inlineStr">
        <is>
          <t>NORMAL</t>
        </is>
      </c>
      <c r="I90" s="4" t="inlineStr">
        <is>
          <t>DAİMİ</t>
        </is>
      </c>
      <c r="J90" s="6" t="inlineStr">
        <is>
          <t>KALİTE</t>
        </is>
      </c>
      <c r="K90" s="6" t="inlineStr">
        <is>
          <t>SUSURLUK</t>
        </is>
      </c>
      <c r="L90" s="7" t="n">
        <v>35000</v>
      </c>
      <c r="M90" s="4" t="inlineStr">
        <is>
          <t>FİDE KONSERVE</t>
        </is>
      </c>
      <c r="N90" s="4" t="inlineStr">
        <is>
          <t>ALIR</t>
        </is>
      </c>
      <c r="O90" s="8" t="n">
        <v>7.5</v>
      </c>
      <c r="P90" s="8" t="n">
        <v>7.5</v>
      </c>
      <c r="Q90" s="8" t="n">
        <v>7.5</v>
      </c>
      <c r="R90" s="9" t="n">
        <v>7.5</v>
      </c>
      <c r="S90" s="8" t="n">
        <v>7.5</v>
      </c>
      <c r="T90" s="8" t="n">
        <v>7.5</v>
      </c>
      <c r="U90" s="8" t="n">
        <v>7.5</v>
      </c>
      <c r="V90" s="8" t="n">
        <v>7.5</v>
      </c>
      <c r="W90" s="8" t="n">
        <v>7.5</v>
      </c>
      <c r="X90" s="8" t="n">
        <v>7.5</v>
      </c>
      <c r="Y90" s="9" t="n">
        <v>7.5</v>
      </c>
      <c r="Z90" s="8" t="n">
        <v>7.5</v>
      </c>
      <c r="AA90" s="8" t="n">
        <v>7.5</v>
      </c>
      <c r="AB90" s="8" t="n">
        <v>7.5</v>
      </c>
      <c r="AC90" s="8" t="n">
        <v>7.5</v>
      </c>
      <c r="AD90" s="8" t="n">
        <v>7</v>
      </c>
      <c r="AE90" s="8" t="n">
        <v>7.5</v>
      </c>
      <c r="AF90" s="9" t="n">
        <v>0</v>
      </c>
      <c r="AG90" s="8" t="n">
        <v>7.5</v>
      </c>
      <c r="AH90" s="8" t="n">
        <v>8</v>
      </c>
      <c r="AI90" s="23" t="n">
        <v>7.5</v>
      </c>
      <c r="AJ90" s="8" t="n">
        <v>0</v>
      </c>
      <c r="AK90" s="8" t="n">
        <v>0</v>
      </c>
      <c r="AL90" s="8" t="n">
        <v>0</v>
      </c>
      <c r="AM90" s="9" t="n">
        <v>0</v>
      </c>
      <c r="AN90" s="8" t="n">
        <v>0</v>
      </c>
      <c r="AO90" s="8" t="n">
        <v>0</v>
      </c>
      <c r="AP90" s="8" t="n">
        <v>0</v>
      </c>
      <c r="AQ90" s="8" t="n">
        <v>0</v>
      </c>
      <c r="AR90" s="8" t="n">
        <v>0</v>
      </c>
      <c r="AS90" s="8" t="n">
        <v>0</v>
      </c>
      <c r="AT90" s="10">
        <f>SUM(O90:AS90)</f>
        <v/>
      </c>
      <c r="AU90" s="11">
        <f>COUNTIF(O90:AS90, "&gt;0")</f>
        <v/>
      </c>
      <c r="AV90" s="12">
        <f>IF(AU90&gt;=5, 4, IF(AU90&gt;0, INT(AU90/6), 0))</f>
        <v/>
      </c>
      <c r="AW90" s="11" t="n">
        <v>0</v>
      </c>
      <c r="AX90" s="11" t="n">
        <v>0</v>
      </c>
      <c r="AY90" s="13">
        <f>MIN(31, AU90+AV90+AW90+AX90)</f>
        <v/>
      </c>
      <c r="AZ90" s="14">
        <f>31-AY90</f>
        <v/>
      </c>
      <c r="BA90" s="5">
        <f>IF(AX90&gt;0, "01-İstirahat", IF(AZ90&gt;0, "12-Birden Fazla", ""))</f>
        <v/>
      </c>
      <c r="BB90" s="10" t="n">
        <v>0</v>
      </c>
      <c r="BC90" s="23" t="n">
        <v>0.5</v>
      </c>
      <c r="BD90" s="9" t="n">
        <v>15</v>
      </c>
      <c r="BE90" s="7">
        <f>(L90/30)*AU90</f>
        <v/>
      </c>
      <c r="BF90" s="15">
        <f>(L90/225)*((BB90*1.5)-(BC90*1.0))</f>
        <v/>
      </c>
      <c r="BG90" s="16">
        <f>(L90/225)*1.5*BD90</f>
        <v/>
      </c>
      <c r="BH90" s="15">
        <f>BF90+BG90</f>
        <v/>
      </c>
      <c r="BI90" s="17">
        <f>BE90+BH90</f>
        <v/>
      </c>
      <c r="BJ90" s="7">
        <f>IFERROR(VLOOKUP(B90, Resmi_Bordro_SGK!B:M, 11, FALSE), 0)</f>
        <v/>
      </c>
      <c r="BK90" s="18">
        <f>IFERROR(VLOOKUP(B90, Icra_Takip!A:E, 4, FALSE), 0)</f>
        <v/>
      </c>
      <c r="BL90" s="17">
        <f>IF(BI90&gt;BJ90, BI90-BJ90-BK90, 0)</f>
        <v/>
      </c>
      <c r="BM90" s="17">
        <f>BI90-BK90</f>
        <v/>
      </c>
    </row>
    <row r="91" ht="19" customHeight="1">
      <c r="A91" s="4" t="n">
        <v>88</v>
      </c>
      <c r="B91" s="5" t="inlineStr">
        <is>
          <t>22634353154</t>
        </is>
      </c>
      <c r="C91" s="6" t="inlineStr">
        <is>
          <t>DAİMİLA GÖKÇE</t>
        </is>
      </c>
      <c r="D91" s="4" t="inlineStr">
        <is>
          <t>K</t>
        </is>
      </c>
      <c r="E91" s="4" t="inlineStr"/>
      <c r="F91" s="4" t="inlineStr">
        <is>
          <t>25.06.2026</t>
        </is>
      </c>
      <c r="G91" s="4" t="inlineStr"/>
      <c r="H91" s="4" t="inlineStr">
        <is>
          <t>NORMAL</t>
        </is>
      </c>
      <c r="I91" s="4" t="inlineStr">
        <is>
          <t>MEVSİMLİK</t>
        </is>
      </c>
      <c r="J91" s="6" t="inlineStr">
        <is>
          <t>ÜRETİM</t>
        </is>
      </c>
      <c r="K91" s="6" t="inlineStr">
        <is>
          <t>KARACABEY-HALİL</t>
        </is>
      </c>
      <c r="L91" s="7" t="n">
        <v>28075.5</v>
      </c>
      <c r="M91" s="4" t="inlineStr">
        <is>
          <t>FİDE KONSERVE</t>
        </is>
      </c>
      <c r="N91" s="4" t="inlineStr">
        <is>
          <t>ALIR</t>
        </is>
      </c>
      <c r="O91" s="19" t="n">
        <v>0</v>
      </c>
      <c r="P91" s="19" t="n">
        <v>0</v>
      </c>
      <c r="Q91" s="19" t="n">
        <v>0</v>
      </c>
      <c r="R91" s="9" t="n">
        <v>0</v>
      </c>
      <c r="S91" s="19" t="n">
        <v>0</v>
      </c>
      <c r="T91" s="19" t="n">
        <v>0</v>
      </c>
      <c r="U91" s="19" t="n">
        <v>0</v>
      </c>
      <c r="V91" s="19" t="n">
        <v>0</v>
      </c>
      <c r="W91" s="19" t="n">
        <v>0</v>
      </c>
      <c r="X91" s="19" t="n">
        <v>0</v>
      </c>
      <c r="Y91" s="9" t="n">
        <v>0</v>
      </c>
      <c r="Z91" s="19" t="n">
        <v>0</v>
      </c>
      <c r="AA91" s="19" t="n">
        <v>0</v>
      </c>
      <c r="AB91" s="19" t="n">
        <v>0</v>
      </c>
      <c r="AC91" s="19" t="n">
        <v>0</v>
      </c>
      <c r="AD91" s="19" t="n">
        <v>0</v>
      </c>
      <c r="AE91" s="19" t="n">
        <v>0</v>
      </c>
      <c r="AF91" s="9" t="n">
        <v>0</v>
      </c>
      <c r="AG91" s="19" t="n">
        <v>0</v>
      </c>
      <c r="AH91" s="19" t="n">
        <v>0</v>
      </c>
      <c r="AI91" s="19" t="n">
        <v>0</v>
      </c>
      <c r="AJ91" s="19" t="n">
        <v>0</v>
      </c>
      <c r="AK91" s="19" t="n">
        <v>0</v>
      </c>
      <c r="AL91" s="19" t="n">
        <v>0</v>
      </c>
      <c r="AM91" s="9" t="n">
        <v>0</v>
      </c>
      <c r="AN91" s="19" t="n">
        <v>0</v>
      </c>
      <c r="AO91" s="19" t="n">
        <v>0</v>
      </c>
      <c r="AP91" s="19" t="n">
        <v>0</v>
      </c>
      <c r="AQ91" s="19" t="n">
        <v>0</v>
      </c>
      <c r="AR91" s="19" t="n">
        <v>0</v>
      </c>
      <c r="AS91" s="19" t="n">
        <v>0</v>
      </c>
      <c r="AT91" s="10">
        <f>SUM(O91:AS91)</f>
        <v/>
      </c>
      <c r="AU91" s="20">
        <f>COUNTIF(O91:AS91, "&gt;0")</f>
        <v/>
      </c>
      <c r="AV91" s="12">
        <f>IF(AU91&gt;=5, 4, IF(AU91&gt;0, INT(AU91/6), 0))</f>
        <v/>
      </c>
      <c r="AW91" s="20" t="n">
        <v>0</v>
      </c>
      <c r="AX91" s="20" t="n">
        <v>0</v>
      </c>
      <c r="AY91" s="13">
        <f>MIN(31, AU91+AV91+AW91+AX91)</f>
        <v/>
      </c>
      <c r="AZ91" s="14">
        <f>31-AY91</f>
        <v/>
      </c>
      <c r="BA91" s="21">
        <f>IF(AX91&gt;0, "01-İstirahat", IF(AZ91&gt;0, "12-Birden Fazla", ""))</f>
        <v/>
      </c>
      <c r="BB91" s="10" t="n">
        <v>0</v>
      </c>
      <c r="BC91" s="19" t="n">
        <v>0</v>
      </c>
      <c r="BD91" s="9" t="n">
        <v>0</v>
      </c>
      <c r="BE91" s="22">
        <f>(L91/30)*AU91</f>
        <v/>
      </c>
      <c r="BF91" s="15">
        <f>(L91/225)*((BB91*1.5)-(BC91*1.0))</f>
        <v/>
      </c>
      <c r="BG91" s="16">
        <f>(L91/225)*1.5*BD91</f>
        <v/>
      </c>
      <c r="BH91" s="15">
        <f>BF91+BG91</f>
        <v/>
      </c>
      <c r="BI91" s="17">
        <f>BE91+BH91</f>
        <v/>
      </c>
      <c r="BJ91" s="22">
        <f>IFERROR(VLOOKUP(B91, Resmi_Bordro_SGK!B:M, 11, FALSE), 0)</f>
        <v/>
      </c>
      <c r="BK91" s="18">
        <f>IFERROR(VLOOKUP(B91, Icra_Takip!A:E, 4, FALSE), 0)</f>
        <v/>
      </c>
      <c r="BL91" s="17">
        <f>IF(BI91&gt;BJ91, BI91-BJ91-BK91, 0)</f>
        <v/>
      </c>
      <c r="BM91" s="17">
        <f>BI91-BK91</f>
        <v/>
      </c>
    </row>
    <row r="92" ht="19" customHeight="1">
      <c r="A92" s="4" t="n">
        <v>89</v>
      </c>
      <c r="B92" s="5" t="inlineStr"/>
      <c r="C92" s="6" t="inlineStr">
        <is>
          <t>DEMİRHAN GÖKGÖZ</t>
        </is>
      </c>
      <c r="D92" s="4" t="inlineStr"/>
      <c r="E92" s="4" t="inlineStr"/>
      <c r="F92" s="4" t="inlineStr"/>
      <c r="G92" s="4" t="inlineStr"/>
      <c r="H92" s="4" t="inlineStr">
        <is>
          <t>NORMAL</t>
        </is>
      </c>
      <c r="I92" s="4" t="inlineStr">
        <is>
          <t>MEVSİMLİK</t>
        </is>
      </c>
      <c r="J92" s="6" t="inlineStr"/>
      <c r="K92" s="6" t="inlineStr"/>
      <c r="L92" s="7" t="n">
        <v>28075.5</v>
      </c>
      <c r="M92" s="4" t="inlineStr">
        <is>
          <t>FİDE KONSERVE</t>
        </is>
      </c>
      <c r="N92" s="4" t="inlineStr">
        <is>
          <t>ALIR</t>
        </is>
      </c>
      <c r="O92" s="8" t="n">
        <v>8</v>
      </c>
      <c r="P92" s="8" t="n">
        <v>10.5</v>
      </c>
      <c r="Q92" s="8" t="n">
        <v>10.5</v>
      </c>
      <c r="R92" s="9" t="n">
        <v>0</v>
      </c>
      <c r="S92" s="8" t="n">
        <v>10.5</v>
      </c>
      <c r="T92" s="8" t="n">
        <v>10.5</v>
      </c>
      <c r="U92" s="8" t="n">
        <v>10.5</v>
      </c>
      <c r="V92" s="8" t="n">
        <v>10.5</v>
      </c>
      <c r="W92" s="8" t="n">
        <v>10.5</v>
      </c>
      <c r="X92" s="8" t="n">
        <v>10.5</v>
      </c>
      <c r="Y92" s="9" t="n">
        <v>0</v>
      </c>
      <c r="Z92" s="8" t="n">
        <v>7.5</v>
      </c>
      <c r="AA92" s="8" t="n">
        <v>0</v>
      </c>
      <c r="AB92" s="8" t="n">
        <v>10.5</v>
      </c>
      <c r="AC92" s="8" t="n">
        <v>10.5</v>
      </c>
      <c r="AD92" s="8" t="n">
        <v>0</v>
      </c>
      <c r="AE92" s="8" t="n">
        <v>0</v>
      </c>
      <c r="AF92" s="9" t="n">
        <v>0</v>
      </c>
      <c r="AG92" s="8" t="n">
        <v>0</v>
      </c>
      <c r="AH92" s="8" t="n">
        <v>0</v>
      </c>
      <c r="AI92" s="8" t="n">
        <v>0</v>
      </c>
      <c r="AJ92" s="8" t="n">
        <v>0</v>
      </c>
      <c r="AK92" s="8" t="n">
        <v>0</v>
      </c>
      <c r="AL92" s="8" t="n">
        <v>0</v>
      </c>
      <c r="AM92" s="9" t="n">
        <v>0</v>
      </c>
      <c r="AN92" s="8" t="n">
        <v>0</v>
      </c>
      <c r="AO92" s="8" t="n">
        <v>0</v>
      </c>
      <c r="AP92" s="8" t="n">
        <v>0</v>
      </c>
      <c r="AQ92" s="8" t="n">
        <v>0</v>
      </c>
      <c r="AR92" s="8" t="n">
        <v>0</v>
      </c>
      <c r="AS92" s="8" t="n">
        <v>0</v>
      </c>
      <c r="AT92" s="10">
        <f>SUM(O92:AS92)</f>
        <v/>
      </c>
      <c r="AU92" s="11">
        <f>COUNTIF(O92:AS92, "&gt;0")</f>
        <v/>
      </c>
      <c r="AV92" s="12">
        <f>IF(AU92&gt;=5, 4, IF(AU92&gt;0, INT(AU92/6), 0))</f>
        <v/>
      </c>
      <c r="AW92" s="11" t="n">
        <v>0</v>
      </c>
      <c r="AX92" s="11" t="n">
        <v>0</v>
      </c>
      <c r="AY92" s="13">
        <f>MIN(31, AU92+AV92+AW92+AX92)</f>
        <v/>
      </c>
      <c r="AZ92" s="14">
        <f>31-AY92</f>
        <v/>
      </c>
      <c r="BA92" s="5">
        <f>IF(AX92&gt;0, "01-İstirahat", IF(AZ92&gt;0, "12-Birden Fazla", ""))</f>
        <v/>
      </c>
      <c r="BB92" s="10" t="n">
        <v>30.5</v>
      </c>
      <c r="BC92" s="8" t="n">
        <v>0</v>
      </c>
      <c r="BD92" s="9" t="n">
        <v>0</v>
      </c>
      <c r="BE92" s="7">
        <f>(L92/30)*AU92</f>
        <v/>
      </c>
      <c r="BF92" s="15">
        <f>(L92/225)*((BB92*1.5)-(BC92*1.0))</f>
        <v/>
      </c>
      <c r="BG92" s="16">
        <f>(L92/225)*1.5*BD92</f>
        <v/>
      </c>
      <c r="BH92" s="15">
        <f>BF92+BG92</f>
        <v/>
      </c>
      <c r="BI92" s="17">
        <f>BE92+BH92</f>
        <v/>
      </c>
      <c r="BJ92" s="7">
        <f>IFERROR(VLOOKUP(B92, Resmi_Bordro_SGK!B:M, 11, FALSE), 0)</f>
        <v/>
      </c>
      <c r="BK92" s="18">
        <f>IFERROR(VLOOKUP(B92, Icra_Takip!A:E, 4, FALSE), 0)</f>
        <v/>
      </c>
      <c r="BL92" s="17">
        <f>IF(BI92&gt;BJ92, BI92-BJ92-BK92, 0)</f>
        <v/>
      </c>
      <c r="BM92" s="17">
        <f>BI92-BK92</f>
        <v/>
      </c>
    </row>
    <row r="93" ht="19" customHeight="1">
      <c r="A93" s="4" t="n">
        <v>90</v>
      </c>
      <c r="B93" s="5" t="inlineStr">
        <is>
          <t>18364574570</t>
        </is>
      </c>
      <c r="C93" s="6" t="inlineStr">
        <is>
          <t>DERYA AVCI</t>
        </is>
      </c>
      <c r="D93" s="4" t="inlineStr">
        <is>
          <t>K</t>
        </is>
      </c>
      <c r="E93" s="4" t="inlineStr"/>
      <c r="F93" s="4" t="inlineStr">
        <is>
          <t>01.07.2026</t>
        </is>
      </c>
      <c r="G93" s="4" t="inlineStr"/>
      <c r="H93" s="4" t="inlineStr">
        <is>
          <t>NORMAL</t>
        </is>
      </c>
      <c r="I93" s="4" t="inlineStr">
        <is>
          <t>DAİMİ</t>
        </is>
      </c>
      <c r="J93" s="6" t="inlineStr">
        <is>
          <t>İNSAN KAYNAKLARI</t>
        </is>
      </c>
      <c r="K93" s="6" t="inlineStr">
        <is>
          <t>SUSURLUK</t>
        </is>
      </c>
      <c r="L93" s="7" t="n">
        <v>30000</v>
      </c>
      <c r="M93" s="4" t="inlineStr">
        <is>
          <t>FİDE KONSERVE</t>
        </is>
      </c>
      <c r="N93" s="4" t="inlineStr">
        <is>
          <t>ALIR</t>
        </is>
      </c>
      <c r="O93" s="19" t="n">
        <v>0</v>
      </c>
      <c r="P93" s="19" t="n">
        <v>0</v>
      </c>
      <c r="Q93" s="19" t="n">
        <v>0</v>
      </c>
      <c r="R93" s="9" t="n">
        <v>0</v>
      </c>
      <c r="S93" s="19" t="n">
        <v>0</v>
      </c>
      <c r="T93" s="19" t="n">
        <v>0</v>
      </c>
      <c r="U93" s="19" t="n">
        <v>0</v>
      </c>
      <c r="V93" s="19" t="n">
        <v>0</v>
      </c>
      <c r="W93" s="19" t="n">
        <v>0</v>
      </c>
      <c r="X93" s="19" t="n">
        <v>0</v>
      </c>
      <c r="Y93" s="9" t="n">
        <v>0</v>
      </c>
      <c r="Z93" s="19" t="n">
        <v>0</v>
      </c>
      <c r="AA93" s="19" t="n">
        <v>0</v>
      </c>
      <c r="AB93" s="19" t="n">
        <v>0</v>
      </c>
      <c r="AC93" s="19" t="n">
        <v>0</v>
      </c>
      <c r="AD93" s="19" t="n">
        <v>0</v>
      </c>
      <c r="AE93" s="19" t="n">
        <v>0</v>
      </c>
      <c r="AF93" s="9" t="n">
        <v>0</v>
      </c>
      <c r="AG93" s="19" t="n">
        <v>0</v>
      </c>
      <c r="AH93" s="19" t="n">
        <v>0</v>
      </c>
      <c r="AI93" s="19" t="n">
        <v>0</v>
      </c>
      <c r="AJ93" s="19" t="n">
        <v>0</v>
      </c>
      <c r="AK93" s="19" t="n">
        <v>0</v>
      </c>
      <c r="AL93" s="19" t="n">
        <v>0</v>
      </c>
      <c r="AM93" s="9" t="n">
        <v>0</v>
      </c>
      <c r="AN93" s="19" t="n">
        <v>0</v>
      </c>
      <c r="AO93" s="19" t="n">
        <v>0</v>
      </c>
      <c r="AP93" s="19" t="n">
        <v>0</v>
      </c>
      <c r="AQ93" s="19" t="n">
        <v>0</v>
      </c>
      <c r="AR93" s="19" t="n">
        <v>0</v>
      </c>
      <c r="AS93" s="19" t="n">
        <v>0</v>
      </c>
      <c r="AT93" s="10">
        <f>SUM(O93:AS93)</f>
        <v/>
      </c>
      <c r="AU93" s="20">
        <f>COUNTIF(O93:AS93, "&gt;0")</f>
        <v/>
      </c>
      <c r="AV93" s="12">
        <f>IF(AU93&gt;=5, 4, IF(AU93&gt;0, INT(AU93/6), 0))</f>
        <v/>
      </c>
      <c r="AW93" s="20" t="n">
        <v>0</v>
      </c>
      <c r="AX93" s="20" t="n">
        <v>0</v>
      </c>
      <c r="AY93" s="13">
        <f>MIN(31, AU93+AV93+AW93+AX93)</f>
        <v/>
      </c>
      <c r="AZ93" s="14">
        <f>31-AY93</f>
        <v/>
      </c>
      <c r="BA93" s="21">
        <f>IF(AX93&gt;0, "01-İstirahat", IF(AZ93&gt;0, "12-Birden Fazla", ""))</f>
        <v/>
      </c>
      <c r="BB93" s="10" t="n">
        <v>0</v>
      </c>
      <c r="BC93" s="19" t="n">
        <v>0</v>
      </c>
      <c r="BD93" s="9" t="n">
        <v>0</v>
      </c>
      <c r="BE93" s="22">
        <f>(L93/30)*AU93</f>
        <v/>
      </c>
      <c r="BF93" s="15">
        <f>(L93/225)*((BB93*1.5)-(BC93*1.0))</f>
        <v/>
      </c>
      <c r="BG93" s="16">
        <f>(L93/225)*1.5*BD93</f>
        <v/>
      </c>
      <c r="BH93" s="15">
        <f>BF93+BG93</f>
        <v/>
      </c>
      <c r="BI93" s="17">
        <f>BE93+BH93</f>
        <v/>
      </c>
      <c r="BJ93" s="22">
        <f>IFERROR(VLOOKUP(B93, Resmi_Bordro_SGK!B:M, 11, FALSE), 0)</f>
        <v/>
      </c>
      <c r="BK93" s="18">
        <f>IFERROR(VLOOKUP(B93, Icra_Takip!A:E, 4, FALSE), 0)</f>
        <v/>
      </c>
      <c r="BL93" s="17">
        <f>IF(BI93&gt;BJ93, BI93-BJ93-BK93, 0)</f>
        <v/>
      </c>
      <c r="BM93" s="17">
        <f>BI93-BK93</f>
        <v/>
      </c>
    </row>
    <row r="94" ht="19" customHeight="1">
      <c r="A94" s="4" t="n">
        <v>91</v>
      </c>
      <c r="B94" s="5" t="inlineStr">
        <is>
          <t>17309221128</t>
        </is>
      </c>
      <c r="C94" s="6" t="inlineStr">
        <is>
          <t>DERYA ARSLAN</t>
        </is>
      </c>
      <c r="D94" s="4" t="inlineStr">
        <is>
          <t>K</t>
        </is>
      </c>
      <c r="E94" s="4" t="inlineStr"/>
      <c r="F94" s="4" t="inlineStr">
        <is>
          <t>13.05.2026</t>
        </is>
      </c>
      <c r="G94" s="4" t="inlineStr"/>
      <c r="H94" s="4" t="inlineStr">
        <is>
          <t>NORMAL</t>
        </is>
      </c>
      <c r="I94" s="4" t="inlineStr">
        <is>
          <t>MEVSİMLİK</t>
        </is>
      </c>
      <c r="J94" s="6" t="inlineStr">
        <is>
          <t>BALIK TEMİZLEME</t>
        </is>
      </c>
      <c r="K94" s="6" t="inlineStr">
        <is>
          <t>KARACABEY-HALİL</t>
        </is>
      </c>
      <c r="L94" s="7" t="n">
        <v>33000</v>
      </c>
      <c r="M94" s="4" t="inlineStr">
        <is>
          <t>FİDE KONSERVE</t>
        </is>
      </c>
      <c r="N94" s="4" t="inlineStr">
        <is>
          <t>ALIR</t>
        </is>
      </c>
      <c r="O94" s="8" t="n">
        <v>0</v>
      </c>
      <c r="P94" s="8" t="n">
        <v>0</v>
      </c>
      <c r="Q94" s="8" t="n">
        <v>0</v>
      </c>
      <c r="R94" s="9" t="n">
        <v>0</v>
      </c>
      <c r="S94" s="8" t="n">
        <v>0</v>
      </c>
      <c r="T94" s="8" t="n">
        <v>0</v>
      </c>
      <c r="U94" s="8" t="n">
        <v>0</v>
      </c>
      <c r="V94" s="8" t="n">
        <v>0</v>
      </c>
      <c r="W94" s="8" t="n">
        <v>0</v>
      </c>
      <c r="X94" s="8" t="n">
        <v>0</v>
      </c>
      <c r="Y94" s="9" t="n">
        <v>0</v>
      </c>
      <c r="Z94" s="8" t="n">
        <v>0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9" t="n">
        <v>0</v>
      </c>
      <c r="AG94" s="8" t="n">
        <v>0</v>
      </c>
      <c r="AH94" s="8" t="n">
        <v>0</v>
      </c>
      <c r="AI94" s="8" t="n">
        <v>0</v>
      </c>
      <c r="AJ94" s="8" t="n">
        <v>0</v>
      </c>
      <c r="AK94" s="8" t="n">
        <v>0</v>
      </c>
      <c r="AL94" s="8" t="n">
        <v>0</v>
      </c>
      <c r="AM94" s="9" t="n">
        <v>0</v>
      </c>
      <c r="AN94" s="8" t="n">
        <v>0</v>
      </c>
      <c r="AO94" s="8" t="n">
        <v>0</v>
      </c>
      <c r="AP94" s="8" t="n">
        <v>0</v>
      </c>
      <c r="AQ94" s="8" t="n">
        <v>0</v>
      </c>
      <c r="AR94" s="8" t="n">
        <v>0</v>
      </c>
      <c r="AS94" s="8" t="n">
        <v>0</v>
      </c>
      <c r="AT94" s="10">
        <f>SUM(O94:AS94)</f>
        <v/>
      </c>
      <c r="AU94" s="11">
        <f>COUNTIF(O94:AS94, "&gt;0")</f>
        <v/>
      </c>
      <c r="AV94" s="12">
        <f>IF(AU94&gt;=5, 4, IF(AU94&gt;0, INT(AU94/6), 0))</f>
        <v/>
      </c>
      <c r="AW94" s="11" t="n">
        <v>0</v>
      </c>
      <c r="AX94" s="11" t="n">
        <v>0</v>
      </c>
      <c r="AY94" s="13">
        <f>MIN(31, AU94+AV94+AW94+AX94)</f>
        <v/>
      </c>
      <c r="AZ94" s="14">
        <f>31-AY94</f>
        <v/>
      </c>
      <c r="BA94" s="5">
        <f>IF(AX94&gt;0, "01-İstirahat", IF(AZ94&gt;0, "12-Birden Fazla", ""))</f>
        <v/>
      </c>
      <c r="BB94" s="10" t="n">
        <v>0</v>
      </c>
      <c r="BC94" s="8" t="n">
        <v>0</v>
      </c>
      <c r="BD94" s="9" t="n">
        <v>0</v>
      </c>
      <c r="BE94" s="7">
        <f>(L94/30)*AU94</f>
        <v/>
      </c>
      <c r="BF94" s="15">
        <f>(L94/225)*((BB94*1.5)-(BC94*1.0))</f>
        <v/>
      </c>
      <c r="BG94" s="16">
        <f>(L94/225)*1.5*BD94</f>
        <v/>
      </c>
      <c r="BH94" s="15">
        <f>BF94+BG94</f>
        <v/>
      </c>
      <c r="BI94" s="17">
        <f>BE94+BH94</f>
        <v/>
      </c>
      <c r="BJ94" s="7">
        <f>IFERROR(VLOOKUP(B94, Resmi_Bordro_SGK!B:M, 11, FALSE), 0)</f>
        <v/>
      </c>
      <c r="BK94" s="18">
        <f>IFERROR(VLOOKUP(B94, Icra_Takip!A:E, 4, FALSE), 0)</f>
        <v/>
      </c>
      <c r="BL94" s="17">
        <f>IF(BI94&gt;BJ94, BI94-BJ94-BK94, 0)</f>
        <v/>
      </c>
      <c r="BM94" s="17">
        <f>BI94-BK94</f>
        <v/>
      </c>
    </row>
    <row r="95" ht="19" customHeight="1">
      <c r="A95" s="4" t="n">
        <v>92</v>
      </c>
      <c r="B95" s="5" t="inlineStr">
        <is>
          <t>37525041782</t>
        </is>
      </c>
      <c r="C95" s="6" t="inlineStr">
        <is>
          <t>DERYA SEVİNÇ</t>
        </is>
      </c>
      <c r="D95" s="4" t="inlineStr">
        <is>
          <t>K</t>
        </is>
      </c>
      <c r="E95" s="4" t="inlineStr"/>
      <c r="F95" s="4" t="inlineStr">
        <is>
          <t>10.02.2026</t>
        </is>
      </c>
      <c r="G95" s="4" t="inlineStr"/>
      <c r="H95" s="4" t="inlineStr">
        <is>
          <t>NORMAL</t>
        </is>
      </c>
      <c r="I95" s="4" t="inlineStr">
        <is>
          <t>DAİMİ</t>
        </is>
      </c>
      <c r="J95" s="6" t="inlineStr">
        <is>
          <t>FORMEN</t>
        </is>
      </c>
      <c r="K95" s="6" t="inlineStr">
        <is>
          <t>MKP</t>
        </is>
      </c>
      <c r="L95" s="7" t="n">
        <v>35000</v>
      </c>
      <c r="M95" s="4" t="inlineStr">
        <is>
          <t>FİDE KONSERVE</t>
        </is>
      </c>
      <c r="N95" s="4" t="inlineStr">
        <is>
          <t>ALIR</t>
        </is>
      </c>
      <c r="O95" s="19" t="n">
        <v>8</v>
      </c>
      <c r="P95" s="19" t="n">
        <v>8.5</v>
      </c>
      <c r="Q95" s="19" t="n">
        <v>8</v>
      </c>
      <c r="R95" s="9" t="n">
        <v>0</v>
      </c>
      <c r="S95" s="19" t="n">
        <v>7.5</v>
      </c>
      <c r="T95" s="19" t="n">
        <v>8</v>
      </c>
      <c r="U95" s="19" t="n">
        <v>8</v>
      </c>
      <c r="V95" s="19" t="n">
        <v>8</v>
      </c>
      <c r="W95" s="19" t="n">
        <v>8.5</v>
      </c>
      <c r="X95" s="19" t="n">
        <v>8.5</v>
      </c>
      <c r="Y95" s="9" t="n">
        <v>0</v>
      </c>
      <c r="Z95" s="19" t="n">
        <v>7.5</v>
      </c>
      <c r="AA95" s="19" t="n">
        <v>7.5</v>
      </c>
      <c r="AB95" s="19" t="n">
        <v>9</v>
      </c>
      <c r="AC95" s="19" t="n">
        <v>7.5</v>
      </c>
      <c r="AD95" s="19" t="n">
        <v>8</v>
      </c>
      <c r="AE95" s="19" t="n">
        <v>8.5</v>
      </c>
      <c r="AF95" s="9" t="n">
        <v>0</v>
      </c>
      <c r="AG95" s="19" t="n">
        <v>8.5</v>
      </c>
      <c r="AH95" s="19" t="n">
        <v>7.5</v>
      </c>
      <c r="AI95" s="19" t="n">
        <v>7.5</v>
      </c>
      <c r="AJ95" s="19" t="n">
        <v>0</v>
      </c>
      <c r="AK95" s="19" t="n">
        <v>0</v>
      </c>
      <c r="AL95" s="19" t="n">
        <v>0</v>
      </c>
      <c r="AM95" s="9" t="n">
        <v>0</v>
      </c>
      <c r="AN95" s="19" t="n">
        <v>0</v>
      </c>
      <c r="AO95" s="19" t="n">
        <v>0</v>
      </c>
      <c r="AP95" s="19" t="n">
        <v>0</v>
      </c>
      <c r="AQ95" s="19" t="n">
        <v>0</v>
      </c>
      <c r="AR95" s="19" t="n">
        <v>0</v>
      </c>
      <c r="AS95" s="19" t="n">
        <v>0</v>
      </c>
      <c r="AT95" s="10">
        <f>SUM(O95:AS95)</f>
        <v/>
      </c>
      <c r="AU95" s="20">
        <f>COUNTIF(O95:AS95, "&gt;0")</f>
        <v/>
      </c>
      <c r="AV95" s="12">
        <f>IF(AU95&gt;=5, 4, IF(AU95&gt;0, INT(AU95/6), 0))</f>
        <v/>
      </c>
      <c r="AW95" s="20" t="n">
        <v>1</v>
      </c>
      <c r="AX95" s="20" t="n">
        <v>0</v>
      </c>
      <c r="AY95" s="13">
        <f>MIN(31, AU95+AV95+AW95+AX95)</f>
        <v/>
      </c>
      <c r="AZ95" s="14">
        <f>31-AY95</f>
        <v/>
      </c>
      <c r="BA95" s="21">
        <f>IF(AX95&gt;0, "01-İstirahat", IF(AZ95&gt;0, "12-Birden Fazla", ""))</f>
        <v/>
      </c>
      <c r="BB95" s="10" t="n">
        <v>9.5</v>
      </c>
      <c r="BC95" s="19" t="n">
        <v>0</v>
      </c>
      <c r="BD95" s="9" t="n">
        <v>0</v>
      </c>
      <c r="BE95" s="22">
        <f>(L95/30)*AU95</f>
        <v/>
      </c>
      <c r="BF95" s="15">
        <f>(L95/225)*((BB95*1.5)-(BC95*1.0))</f>
        <v/>
      </c>
      <c r="BG95" s="16">
        <f>(L95/225)*1.5*BD95</f>
        <v/>
      </c>
      <c r="BH95" s="15">
        <f>BF95+BG95</f>
        <v/>
      </c>
      <c r="BI95" s="17">
        <f>BE95+BH95</f>
        <v/>
      </c>
      <c r="BJ95" s="22">
        <f>IFERROR(VLOOKUP(B95, Resmi_Bordro_SGK!B:M, 11, FALSE), 0)</f>
        <v/>
      </c>
      <c r="BK95" s="18">
        <f>IFERROR(VLOOKUP(B95, Icra_Takip!A:E, 4, FALSE), 0)</f>
        <v/>
      </c>
      <c r="BL95" s="17">
        <f>IF(BI95&gt;BJ95, BI95-BJ95-BK95, 0)</f>
        <v/>
      </c>
      <c r="BM95" s="17">
        <f>BI95-BK95</f>
        <v/>
      </c>
    </row>
    <row r="96" ht="19" customHeight="1">
      <c r="A96" s="4" t="n">
        <v>93</v>
      </c>
      <c r="B96" s="5" t="inlineStr"/>
      <c r="C96" s="6" t="inlineStr">
        <is>
          <t>DERYA ZEHRA ORUÇ</t>
        </is>
      </c>
      <c r="D96" s="4" t="inlineStr"/>
      <c r="E96" s="4" t="inlineStr"/>
      <c r="F96" s="4" t="inlineStr"/>
      <c r="G96" s="4" t="inlineStr"/>
      <c r="H96" s="4" t="inlineStr">
        <is>
          <t>NORMAL</t>
        </is>
      </c>
      <c r="I96" s="4" t="inlineStr">
        <is>
          <t>MEVSİMLİK</t>
        </is>
      </c>
      <c r="J96" s="6" t="inlineStr"/>
      <c r="K96" s="6" t="inlineStr"/>
      <c r="L96" s="7" t="n">
        <v>28075.5</v>
      </c>
      <c r="M96" s="4" t="inlineStr">
        <is>
          <t>FİDE KONSERVE</t>
        </is>
      </c>
      <c r="N96" s="4" t="inlineStr">
        <is>
          <t>ALIR</t>
        </is>
      </c>
      <c r="O96" s="8" t="n">
        <v>0</v>
      </c>
      <c r="P96" s="8" t="n">
        <v>0</v>
      </c>
      <c r="Q96" s="8" t="n">
        <v>0</v>
      </c>
      <c r="R96" s="9" t="n">
        <v>0</v>
      </c>
      <c r="S96" s="8" t="n">
        <v>0</v>
      </c>
      <c r="T96" s="8" t="n">
        <v>0</v>
      </c>
      <c r="U96" s="8" t="n">
        <v>0</v>
      </c>
      <c r="V96" s="8" t="n">
        <v>0</v>
      </c>
      <c r="W96" s="8" t="n">
        <v>0</v>
      </c>
      <c r="X96" s="8" t="n">
        <v>0</v>
      </c>
      <c r="Y96" s="9" t="n">
        <v>0</v>
      </c>
      <c r="Z96" s="8" t="n">
        <v>0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9" t="n">
        <v>0</v>
      </c>
      <c r="AG96" s="8" t="n">
        <v>0</v>
      </c>
      <c r="AH96" s="8" t="n">
        <v>0</v>
      </c>
      <c r="AI96" s="8" t="n">
        <v>0</v>
      </c>
      <c r="AJ96" s="8" t="n">
        <v>0</v>
      </c>
      <c r="AK96" s="8" t="n">
        <v>0</v>
      </c>
      <c r="AL96" s="8" t="n">
        <v>0</v>
      </c>
      <c r="AM96" s="9" t="n">
        <v>0</v>
      </c>
      <c r="AN96" s="8" t="n">
        <v>0</v>
      </c>
      <c r="AO96" s="8" t="n">
        <v>0</v>
      </c>
      <c r="AP96" s="8" t="n">
        <v>0</v>
      </c>
      <c r="AQ96" s="8" t="n">
        <v>0</v>
      </c>
      <c r="AR96" s="8" t="n">
        <v>0</v>
      </c>
      <c r="AS96" s="8" t="n">
        <v>0</v>
      </c>
      <c r="AT96" s="10">
        <f>SUM(O96:AS96)</f>
        <v/>
      </c>
      <c r="AU96" s="11">
        <f>COUNTIF(O96:AS96, "&gt;0")</f>
        <v/>
      </c>
      <c r="AV96" s="12">
        <f>IF(AU96&gt;=5, 4, IF(AU96&gt;0, INT(AU96/6), 0))</f>
        <v/>
      </c>
      <c r="AW96" s="11" t="n">
        <v>0</v>
      </c>
      <c r="AX96" s="11" t="n">
        <v>0</v>
      </c>
      <c r="AY96" s="13">
        <f>MIN(31, AU96+AV96+AW96+AX96)</f>
        <v/>
      </c>
      <c r="AZ96" s="14">
        <f>31-AY96</f>
        <v/>
      </c>
      <c r="BA96" s="5">
        <f>IF(AX96&gt;0, "01-İstirahat", IF(AZ96&gt;0, "12-Birden Fazla", ""))</f>
        <v/>
      </c>
      <c r="BB96" s="10" t="n">
        <v>0</v>
      </c>
      <c r="BC96" s="8" t="n">
        <v>0</v>
      </c>
      <c r="BD96" s="9" t="n">
        <v>0</v>
      </c>
      <c r="BE96" s="7">
        <f>(L96/30)*AU96</f>
        <v/>
      </c>
      <c r="BF96" s="15">
        <f>(L96/225)*((BB96*1.5)-(BC96*1.0))</f>
        <v/>
      </c>
      <c r="BG96" s="16">
        <f>(L96/225)*1.5*BD96</f>
        <v/>
      </c>
      <c r="BH96" s="15">
        <f>BF96+BG96</f>
        <v/>
      </c>
      <c r="BI96" s="17">
        <f>BE96+BH96</f>
        <v/>
      </c>
      <c r="BJ96" s="7">
        <f>IFERROR(VLOOKUP(B96, Resmi_Bordro_SGK!B:M, 11, FALSE), 0)</f>
        <v/>
      </c>
      <c r="BK96" s="18">
        <f>IFERROR(VLOOKUP(B96, Icra_Takip!A:E, 4, FALSE), 0)</f>
        <v/>
      </c>
      <c r="BL96" s="17">
        <f>IF(BI96&gt;BJ96, BI96-BJ96-BK96, 0)</f>
        <v/>
      </c>
      <c r="BM96" s="17">
        <f>BI96-BK96</f>
        <v/>
      </c>
    </row>
    <row r="97" ht="19" customHeight="1">
      <c r="A97" s="4" t="n">
        <v>94</v>
      </c>
      <c r="B97" s="5" t="inlineStr">
        <is>
          <t>17329708456</t>
        </is>
      </c>
      <c r="C97" s="6" t="inlineStr">
        <is>
          <t>DİLEK ÇEKİN</t>
        </is>
      </c>
      <c r="D97" s="4" t="inlineStr">
        <is>
          <t>K</t>
        </is>
      </c>
      <c r="E97" s="4" t="inlineStr"/>
      <c r="F97" s="4" t="inlineStr">
        <is>
          <t>21.07.2026</t>
        </is>
      </c>
      <c r="G97" s="4" t="inlineStr"/>
      <c r="H97" s="4" t="inlineStr">
        <is>
          <t>NORMAL</t>
        </is>
      </c>
      <c r="I97" s="4" t="inlineStr">
        <is>
          <t>MEVSİMLİK</t>
        </is>
      </c>
      <c r="J97" s="6" t="inlineStr">
        <is>
          <t>BALIK TEMİZLEME</t>
        </is>
      </c>
      <c r="K97" s="6" t="inlineStr">
        <is>
          <t>GÜVEN TURİZM KARACABEY</t>
        </is>
      </c>
      <c r="L97" s="7" t="n">
        <v>33000</v>
      </c>
      <c r="M97" s="4" t="inlineStr">
        <is>
          <t>FİDE KONSERVE</t>
        </is>
      </c>
      <c r="N97" s="4" t="inlineStr">
        <is>
          <t>ALIR</t>
        </is>
      </c>
      <c r="O97" s="19" t="n">
        <v>0</v>
      </c>
      <c r="P97" s="19" t="n">
        <v>0</v>
      </c>
      <c r="Q97" s="19" t="n">
        <v>0</v>
      </c>
      <c r="R97" s="9" t="n">
        <v>0</v>
      </c>
      <c r="S97" s="19" t="n">
        <v>0</v>
      </c>
      <c r="T97" s="19" t="n">
        <v>0</v>
      </c>
      <c r="U97" s="19" t="n">
        <v>0</v>
      </c>
      <c r="V97" s="19" t="n">
        <v>0</v>
      </c>
      <c r="W97" s="19" t="n">
        <v>0</v>
      </c>
      <c r="X97" s="19" t="n">
        <v>0</v>
      </c>
      <c r="Y97" s="9" t="n">
        <v>0</v>
      </c>
      <c r="Z97" s="19" t="n">
        <v>0</v>
      </c>
      <c r="AA97" s="19" t="n">
        <v>0</v>
      </c>
      <c r="AB97" s="19" t="n">
        <v>0</v>
      </c>
      <c r="AC97" s="19" t="n">
        <v>0</v>
      </c>
      <c r="AD97" s="19" t="n">
        <v>0</v>
      </c>
      <c r="AE97" s="19" t="n">
        <v>0</v>
      </c>
      <c r="AF97" s="9" t="n">
        <v>0</v>
      </c>
      <c r="AG97" s="19" t="n">
        <v>0</v>
      </c>
      <c r="AH97" s="19" t="n">
        <v>0</v>
      </c>
      <c r="AI97" s="19" t="n">
        <v>0</v>
      </c>
      <c r="AJ97" s="19" t="n">
        <v>0</v>
      </c>
      <c r="AK97" s="19" t="n">
        <v>0</v>
      </c>
      <c r="AL97" s="19" t="n">
        <v>0</v>
      </c>
      <c r="AM97" s="9" t="n">
        <v>0</v>
      </c>
      <c r="AN97" s="19" t="n">
        <v>0</v>
      </c>
      <c r="AO97" s="19" t="n">
        <v>0</v>
      </c>
      <c r="AP97" s="19" t="n">
        <v>0</v>
      </c>
      <c r="AQ97" s="19" t="n">
        <v>0</v>
      </c>
      <c r="AR97" s="19" t="n">
        <v>0</v>
      </c>
      <c r="AS97" s="19" t="n">
        <v>0</v>
      </c>
      <c r="AT97" s="10">
        <f>SUM(O97:AS97)</f>
        <v/>
      </c>
      <c r="AU97" s="20">
        <f>COUNTIF(O97:AS97, "&gt;0")</f>
        <v/>
      </c>
      <c r="AV97" s="12">
        <f>IF(AU97&gt;=5, 4, IF(AU97&gt;0, INT(AU97/6), 0))</f>
        <v/>
      </c>
      <c r="AW97" s="20" t="n">
        <v>0</v>
      </c>
      <c r="AX97" s="20" t="n">
        <v>0</v>
      </c>
      <c r="AY97" s="13">
        <f>MIN(31, AU97+AV97+AW97+AX97)</f>
        <v/>
      </c>
      <c r="AZ97" s="14">
        <f>31-AY97</f>
        <v/>
      </c>
      <c r="BA97" s="21">
        <f>IF(AX97&gt;0, "01-İstirahat", IF(AZ97&gt;0, "12-Birden Fazla", ""))</f>
        <v/>
      </c>
      <c r="BB97" s="10" t="n">
        <v>0</v>
      </c>
      <c r="BC97" s="19" t="n">
        <v>0</v>
      </c>
      <c r="BD97" s="9" t="n">
        <v>0</v>
      </c>
      <c r="BE97" s="22">
        <f>(L97/30)*AU97</f>
        <v/>
      </c>
      <c r="BF97" s="15">
        <f>(L97/225)*((BB97*1.5)-(BC97*1.0))</f>
        <v/>
      </c>
      <c r="BG97" s="16">
        <f>(L97/225)*1.5*BD97</f>
        <v/>
      </c>
      <c r="BH97" s="15">
        <f>BF97+BG97</f>
        <v/>
      </c>
      <c r="BI97" s="17">
        <f>BE97+BH97</f>
        <v/>
      </c>
      <c r="BJ97" s="22">
        <f>IFERROR(VLOOKUP(B97, Resmi_Bordro_SGK!B:M, 11, FALSE), 0)</f>
        <v/>
      </c>
      <c r="BK97" s="18">
        <f>IFERROR(VLOOKUP(B97, Icra_Takip!A:E, 4, FALSE), 0)</f>
        <v/>
      </c>
      <c r="BL97" s="17">
        <f>IF(BI97&gt;BJ97, BI97-BJ97-BK97, 0)</f>
        <v/>
      </c>
      <c r="BM97" s="17">
        <f>BI97-BK97</f>
        <v/>
      </c>
    </row>
    <row r="98" ht="19" customHeight="1">
      <c r="A98" s="4" t="n">
        <v>95</v>
      </c>
      <c r="B98" s="5" t="inlineStr">
        <is>
          <t>10456937386</t>
        </is>
      </c>
      <c r="C98" s="6" t="inlineStr">
        <is>
          <t>DİLEK ÇETİN</t>
        </is>
      </c>
      <c r="D98" s="4" t="inlineStr">
        <is>
          <t>K</t>
        </is>
      </c>
      <c r="E98" s="4" t="inlineStr"/>
      <c r="F98" s="4" t="inlineStr">
        <is>
          <t>21.08.2026</t>
        </is>
      </c>
      <c r="G98" s="4" t="inlineStr"/>
      <c r="H98" s="4" t="inlineStr">
        <is>
          <t>NORMAL</t>
        </is>
      </c>
      <c r="I98" s="4" t="inlineStr">
        <is>
          <t>MEVSİMLİK</t>
        </is>
      </c>
      <c r="J98" s="6" t="inlineStr"/>
      <c r="K98" s="6" t="inlineStr"/>
      <c r="L98" s="7" t="n">
        <v>28075.5</v>
      </c>
      <c r="M98" s="4" t="inlineStr">
        <is>
          <t>FİDE KONSERVE</t>
        </is>
      </c>
      <c r="N98" s="4" t="inlineStr">
        <is>
          <t>ALIR</t>
        </is>
      </c>
      <c r="O98" s="8" t="n">
        <v>10.5</v>
      </c>
      <c r="P98" s="8" t="n">
        <v>10.5</v>
      </c>
      <c r="Q98" s="8" t="n">
        <v>0</v>
      </c>
      <c r="R98" s="9" t="n">
        <v>0</v>
      </c>
      <c r="S98" s="8" t="n">
        <v>0</v>
      </c>
      <c r="T98" s="8" t="n">
        <v>10.5</v>
      </c>
      <c r="U98" s="8" t="n">
        <v>10.5</v>
      </c>
      <c r="V98" s="8" t="n">
        <v>10.5</v>
      </c>
      <c r="W98" s="23" t="n">
        <v>7.5</v>
      </c>
      <c r="X98" s="8" t="n">
        <v>0</v>
      </c>
      <c r="Y98" s="9" t="n">
        <v>0</v>
      </c>
      <c r="Z98" s="8" t="n">
        <v>10.5</v>
      </c>
      <c r="AA98" s="8" t="n">
        <v>7.5</v>
      </c>
      <c r="AB98" s="8" t="n">
        <v>10.5</v>
      </c>
      <c r="AC98" s="8" t="n">
        <v>10.5</v>
      </c>
      <c r="AD98" s="8" t="n">
        <v>10.5</v>
      </c>
      <c r="AE98" s="8" t="n">
        <v>0</v>
      </c>
      <c r="AF98" s="9" t="n">
        <v>0</v>
      </c>
      <c r="AG98" s="8" t="n">
        <v>10.5</v>
      </c>
      <c r="AH98" s="8" t="n">
        <v>7.5</v>
      </c>
      <c r="AI98" s="8" t="n">
        <v>7.5</v>
      </c>
      <c r="AJ98" s="8" t="n">
        <v>0</v>
      </c>
      <c r="AK98" s="8" t="n">
        <v>0</v>
      </c>
      <c r="AL98" s="8" t="n">
        <v>0</v>
      </c>
      <c r="AM98" s="9" t="n">
        <v>0</v>
      </c>
      <c r="AN98" s="8" t="n">
        <v>0</v>
      </c>
      <c r="AO98" s="8" t="n">
        <v>0</v>
      </c>
      <c r="AP98" s="8" t="n">
        <v>0</v>
      </c>
      <c r="AQ98" s="8" t="n">
        <v>0</v>
      </c>
      <c r="AR98" s="8" t="n">
        <v>0</v>
      </c>
      <c r="AS98" s="8" t="n">
        <v>0</v>
      </c>
      <c r="AT98" s="10">
        <f>SUM(O98:AS98)</f>
        <v/>
      </c>
      <c r="AU98" s="11">
        <f>COUNTIF(O98:AS98, "&gt;0")</f>
        <v/>
      </c>
      <c r="AV98" s="12">
        <f>IF(AU98&gt;=5, 4, IF(AU98&gt;0, INT(AU98/6), 0))</f>
        <v/>
      </c>
      <c r="AW98" s="11" t="n">
        <v>0</v>
      </c>
      <c r="AX98" s="11" t="n">
        <v>0</v>
      </c>
      <c r="AY98" s="13">
        <f>MIN(31, AU98+AV98+AW98+AX98)</f>
        <v/>
      </c>
      <c r="AZ98" s="14">
        <f>31-AY98</f>
        <v/>
      </c>
      <c r="BA98" s="5">
        <f>IF(AX98&gt;0, "01-İstirahat", IF(AZ98&gt;0, "12-Birden Fazla", ""))</f>
        <v/>
      </c>
      <c r="BB98" s="10" t="n">
        <v>30</v>
      </c>
      <c r="BC98" s="8" t="n">
        <v>0</v>
      </c>
      <c r="BD98" s="9" t="n">
        <v>0</v>
      </c>
      <c r="BE98" s="7">
        <f>(L98/30)*AU98</f>
        <v/>
      </c>
      <c r="BF98" s="15">
        <f>(L98/225)*((BB98*1.5)-(BC98*1.0))</f>
        <v/>
      </c>
      <c r="BG98" s="16">
        <f>(L98/225)*1.5*BD98</f>
        <v/>
      </c>
      <c r="BH98" s="15">
        <f>BF98+BG98</f>
        <v/>
      </c>
      <c r="BI98" s="17">
        <f>BE98+BH98</f>
        <v/>
      </c>
      <c r="BJ98" s="7">
        <f>IFERROR(VLOOKUP(B98, Resmi_Bordro_SGK!B:M, 11, FALSE), 0)</f>
        <v/>
      </c>
      <c r="BK98" s="18">
        <f>IFERROR(VLOOKUP(B98, Icra_Takip!A:E, 4, FALSE), 0)</f>
        <v/>
      </c>
      <c r="BL98" s="17">
        <f>IF(BI98&gt;BJ98, BI98-BJ98-BK98, 0)</f>
        <v/>
      </c>
      <c r="BM98" s="17">
        <f>BI98-BK98</f>
        <v/>
      </c>
    </row>
    <row r="99" ht="19" customHeight="1">
      <c r="A99" s="4" t="n">
        <v>96</v>
      </c>
      <c r="B99" s="5" t="inlineStr"/>
      <c r="C99" s="6" t="inlineStr">
        <is>
          <t>DİLOROM PULOTOVA</t>
        </is>
      </c>
      <c r="D99" s="4" t="inlineStr"/>
      <c r="E99" s="4" t="inlineStr"/>
      <c r="F99" s="4" t="inlineStr"/>
      <c r="G99" s="4" t="inlineStr"/>
      <c r="H99" s="4" t="inlineStr">
        <is>
          <t>NORMAL</t>
        </is>
      </c>
      <c r="I99" s="4" t="inlineStr">
        <is>
          <t>MEVSİMLİK</t>
        </is>
      </c>
      <c r="J99" s="6" t="inlineStr"/>
      <c r="K99" s="6" t="inlineStr"/>
      <c r="L99" s="7" t="n">
        <v>28075.5</v>
      </c>
      <c r="M99" s="4" t="inlineStr">
        <is>
          <t>FİDE KONSERVE</t>
        </is>
      </c>
      <c r="N99" s="4" t="inlineStr">
        <is>
          <t>ALIR</t>
        </is>
      </c>
      <c r="O99" s="19" t="n">
        <v>0</v>
      </c>
      <c r="P99" s="19" t="n">
        <v>0</v>
      </c>
      <c r="Q99" s="19" t="n">
        <v>0</v>
      </c>
      <c r="R99" s="9" t="n">
        <v>0</v>
      </c>
      <c r="S99" s="19" t="n">
        <v>0</v>
      </c>
      <c r="T99" s="19" t="n">
        <v>0</v>
      </c>
      <c r="U99" s="19" t="n">
        <v>0</v>
      </c>
      <c r="V99" s="19" t="n">
        <v>0</v>
      </c>
      <c r="W99" s="19" t="n">
        <v>0</v>
      </c>
      <c r="X99" s="19" t="n">
        <v>0</v>
      </c>
      <c r="Y99" s="9" t="n">
        <v>0</v>
      </c>
      <c r="Z99" s="19" t="n">
        <v>0</v>
      </c>
      <c r="AA99" s="19" t="n">
        <v>0</v>
      </c>
      <c r="AB99" s="19" t="n">
        <v>0</v>
      </c>
      <c r="AC99" s="19" t="n">
        <v>0</v>
      </c>
      <c r="AD99" s="19" t="n">
        <v>0</v>
      </c>
      <c r="AE99" s="19" t="n">
        <v>0</v>
      </c>
      <c r="AF99" s="9" t="n">
        <v>0</v>
      </c>
      <c r="AG99" s="19" t="n">
        <v>0</v>
      </c>
      <c r="AH99" s="19" t="n">
        <v>0</v>
      </c>
      <c r="AI99" s="19" t="n">
        <v>0</v>
      </c>
      <c r="AJ99" s="19" t="n">
        <v>0</v>
      </c>
      <c r="AK99" s="19" t="n">
        <v>0</v>
      </c>
      <c r="AL99" s="19" t="n">
        <v>0</v>
      </c>
      <c r="AM99" s="9" t="n">
        <v>0</v>
      </c>
      <c r="AN99" s="19" t="n">
        <v>0</v>
      </c>
      <c r="AO99" s="19" t="n">
        <v>0</v>
      </c>
      <c r="AP99" s="19" t="n">
        <v>0</v>
      </c>
      <c r="AQ99" s="19" t="n">
        <v>0</v>
      </c>
      <c r="AR99" s="19" t="n">
        <v>0</v>
      </c>
      <c r="AS99" s="19" t="n">
        <v>0</v>
      </c>
      <c r="AT99" s="10">
        <f>SUM(O99:AS99)</f>
        <v/>
      </c>
      <c r="AU99" s="20">
        <f>COUNTIF(O99:AS99, "&gt;0")</f>
        <v/>
      </c>
      <c r="AV99" s="12">
        <f>IF(AU99&gt;=5, 4, IF(AU99&gt;0, INT(AU99/6), 0))</f>
        <v/>
      </c>
      <c r="AW99" s="20" t="n">
        <v>0</v>
      </c>
      <c r="AX99" s="20" t="n">
        <v>0</v>
      </c>
      <c r="AY99" s="13">
        <f>MIN(31, AU99+AV99+AW99+AX99)</f>
        <v/>
      </c>
      <c r="AZ99" s="14">
        <f>31-AY99</f>
        <v/>
      </c>
      <c r="BA99" s="21">
        <f>IF(AX99&gt;0, "01-İstirahat", IF(AZ99&gt;0, "12-Birden Fazla", ""))</f>
        <v/>
      </c>
      <c r="BB99" s="10" t="n">
        <v>0</v>
      </c>
      <c r="BC99" s="19" t="n">
        <v>0</v>
      </c>
      <c r="BD99" s="9" t="n">
        <v>0</v>
      </c>
      <c r="BE99" s="22">
        <f>(L99/30)*AU99</f>
        <v/>
      </c>
      <c r="BF99" s="15">
        <f>(L99/225)*((BB99*1.5)-(BC99*1.0))</f>
        <v/>
      </c>
      <c r="BG99" s="16">
        <f>(L99/225)*1.5*BD99</f>
        <v/>
      </c>
      <c r="BH99" s="15">
        <f>BF99+BG99</f>
        <v/>
      </c>
      <c r="BI99" s="17">
        <f>BE99+BH99</f>
        <v/>
      </c>
      <c r="BJ99" s="22">
        <f>IFERROR(VLOOKUP(B99, Resmi_Bordro_SGK!B:M, 11, FALSE), 0)</f>
        <v/>
      </c>
      <c r="BK99" s="18">
        <f>IFERROR(VLOOKUP(B99, Icra_Takip!A:E, 4, FALSE), 0)</f>
        <v/>
      </c>
      <c r="BL99" s="17">
        <f>IF(BI99&gt;BJ99, BI99-BJ99-BK99, 0)</f>
        <v/>
      </c>
      <c r="BM99" s="17">
        <f>BI99-BK99</f>
        <v/>
      </c>
    </row>
    <row r="100" ht="19" customHeight="1">
      <c r="A100" s="4" t="n">
        <v>97</v>
      </c>
      <c r="B100" s="5" t="inlineStr">
        <is>
          <t>23509358892</t>
        </is>
      </c>
      <c r="C100" s="6" t="inlineStr">
        <is>
          <t>DÖNDÜ ŞAHİN</t>
        </is>
      </c>
      <c r="D100" s="4" t="inlineStr">
        <is>
          <t>K</t>
        </is>
      </c>
      <c r="E100" s="4" t="inlineStr"/>
      <c r="F100" s="4" t="inlineStr">
        <is>
          <t>02.06.2026</t>
        </is>
      </c>
      <c r="G100" s="4" t="inlineStr"/>
      <c r="H100" s="4" t="inlineStr">
        <is>
          <t>NORMAL</t>
        </is>
      </c>
      <c r="I100" s="4" t="inlineStr">
        <is>
          <t>DAİMİ</t>
        </is>
      </c>
      <c r="J100" s="6" t="inlineStr">
        <is>
          <t>KALİTE</t>
        </is>
      </c>
      <c r="K100" s="6" t="inlineStr">
        <is>
          <t>BANDIRMA</t>
        </is>
      </c>
      <c r="L100" s="7" t="n">
        <v>28075.5</v>
      </c>
      <c r="M100" s="4" t="inlineStr">
        <is>
          <t>FİDE KONSERVE</t>
        </is>
      </c>
      <c r="N100" s="4" t="inlineStr">
        <is>
          <t>ALIR</t>
        </is>
      </c>
      <c r="O100" s="8" t="n">
        <v>7.5</v>
      </c>
      <c r="P100" s="8" t="n">
        <v>7.5</v>
      </c>
      <c r="Q100" s="8" t="n">
        <v>4.5</v>
      </c>
      <c r="R100" s="9" t="n">
        <v>8</v>
      </c>
      <c r="S100" s="8" t="n">
        <v>7.5</v>
      </c>
      <c r="T100" s="8" t="n">
        <v>8</v>
      </c>
      <c r="U100" s="8" t="n">
        <v>7.5</v>
      </c>
      <c r="V100" s="8" t="n">
        <v>8</v>
      </c>
      <c r="W100" s="8" t="n">
        <v>8</v>
      </c>
      <c r="X100" s="8" t="n">
        <v>8.5</v>
      </c>
      <c r="Y100" s="9" t="n">
        <v>7.5</v>
      </c>
      <c r="Z100" s="8" t="n">
        <v>7.5</v>
      </c>
      <c r="AA100" s="8" t="n">
        <v>7.5</v>
      </c>
      <c r="AB100" s="8" t="n">
        <v>8</v>
      </c>
      <c r="AC100" s="8" t="n">
        <v>8</v>
      </c>
      <c r="AD100" s="8" t="n">
        <v>0</v>
      </c>
      <c r="AE100" s="8" t="n">
        <v>0</v>
      </c>
      <c r="AF100" s="9" t="n">
        <v>0</v>
      </c>
      <c r="AG100" s="8" t="n">
        <v>7.5</v>
      </c>
      <c r="AH100" s="8" t="n">
        <v>0</v>
      </c>
      <c r="AI100" s="8" t="n">
        <v>0</v>
      </c>
      <c r="AJ100" s="8" t="n">
        <v>0</v>
      </c>
      <c r="AK100" s="8" t="n">
        <v>0</v>
      </c>
      <c r="AL100" s="8" t="n">
        <v>0</v>
      </c>
      <c r="AM100" s="9" t="n">
        <v>0</v>
      </c>
      <c r="AN100" s="8" t="n">
        <v>0</v>
      </c>
      <c r="AO100" s="8" t="n">
        <v>0</v>
      </c>
      <c r="AP100" s="8" t="n">
        <v>0</v>
      </c>
      <c r="AQ100" s="8" t="n">
        <v>0</v>
      </c>
      <c r="AR100" s="8" t="n">
        <v>0</v>
      </c>
      <c r="AS100" s="8" t="n">
        <v>0</v>
      </c>
      <c r="AT100" s="10">
        <f>SUM(O100:AS100)</f>
        <v/>
      </c>
      <c r="AU100" s="11">
        <f>COUNTIF(O100:AS100, "&gt;0")</f>
        <v/>
      </c>
      <c r="AV100" s="12">
        <f>IF(AU100&gt;=5, 4, IF(AU100&gt;0, INT(AU100/6), 0))</f>
        <v/>
      </c>
      <c r="AW100" s="11" t="n">
        <v>0</v>
      </c>
      <c r="AX100" s="11" t="n">
        <v>0</v>
      </c>
      <c r="AY100" s="13">
        <f>MIN(31, AU100+AV100+AW100+AX100)</f>
        <v/>
      </c>
      <c r="AZ100" s="14">
        <f>31-AY100</f>
        <v/>
      </c>
      <c r="BA100" s="5">
        <f>IF(AX100&gt;0, "01-İstirahat", IF(AZ100&gt;0, "12-Birden Fazla", ""))</f>
        <v/>
      </c>
      <c r="BB100" s="10" t="n">
        <v>3.5</v>
      </c>
      <c r="BC100" s="23" t="n">
        <v>3</v>
      </c>
      <c r="BD100" s="9" t="n">
        <v>15.5</v>
      </c>
      <c r="BE100" s="7">
        <f>(L100/30)*AU100</f>
        <v/>
      </c>
      <c r="BF100" s="15">
        <f>(L100/225)*((BB100*1.5)-(BC100*1.0))</f>
        <v/>
      </c>
      <c r="BG100" s="16">
        <f>(L100/225)*1.5*BD100</f>
        <v/>
      </c>
      <c r="BH100" s="15">
        <f>BF100+BG100</f>
        <v/>
      </c>
      <c r="BI100" s="17">
        <f>BE100+BH100</f>
        <v/>
      </c>
      <c r="BJ100" s="7">
        <f>IFERROR(VLOOKUP(B100, Resmi_Bordro_SGK!B:M, 11, FALSE), 0)</f>
        <v/>
      </c>
      <c r="BK100" s="18">
        <f>IFERROR(VLOOKUP(B100, Icra_Takip!A:E, 4, FALSE), 0)</f>
        <v/>
      </c>
      <c r="BL100" s="17">
        <f>IF(BI100&gt;BJ100, BI100-BJ100-BK100, 0)</f>
        <v/>
      </c>
      <c r="BM100" s="17">
        <f>BI100-BK100</f>
        <v/>
      </c>
    </row>
    <row r="101" ht="19" customHeight="1">
      <c r="A101" s="4" t="n">
        <v>98</v>
      </c>
      <c r="B101" s="5" t="inlineStr">
        <is>
          <t>24961035246</t>
        </is>
      </c>
      <c r="C101" s="6" t="inlineStr">
        <is>
          <t>DUDU ÖRENGÜL</t>
        </is>
      </c>
      <c r="D101" s="4" t="inlineStr">
        <is>
          <t>K</t>
        </is>
      </c>
      <c r="E101" s="4" t="inlineStr"/>
      <c r="F101" s="4" t="inlineStr">
        <is>
          <t>27.06.2026</t>
        </is>
      </c>
      <c r="G101" s="4" t="inlineStr"/>
      <c r="H101" s="4" t="inlineStr">
        <is>
          <t>NORMAL</t>
        </is>
      </c>
      <c r="I101" s="4" t="inlineStr">
        <is>
          <t>DAİMİ</t>
        </is>
      </c>
      <c r="J101" s="6" t="inlineStr">
        <is>
          <t>KALİTE</t>
        </is>
      </c>
      <c r="K101" s="6" t="inlineStr">
        <is>
          <t>GÜVEN TURİZM-MKP</t>
        </is>
      </c>
      <c r="L101" s="7" t="n">
        <v>28075.5</v>
      </c>
      <c r="M101" s="4" t="inlineStr">
        <is>
          <t>FİDE KONSERVE</t>
        </is>
      </c>
      <c r="N101" s="4" t="inlineStr">
        <is>
          <t>ALIR</t>
        </is>
      </c>
      <c r="O101" s="19" t="n">
        <v>8</v>
      </c>
      <c r="P101" s="19" t="n">
        <v>10.5</v>
      </c>
      <c r="Q101" s="19" t="n">
        <v>10.5</v>
      </c>
      <c r="R101" s="9" t="n">
        <v>0</v>
      </c>
      <c r="S101" s="19" t="n">
        <v>9.5</v>
      </c>
      <c r="T101" s="19" t="n">
        <v>10</v>
      </c>
      <c r="U101" s="19" t="n">
        <v>8</v>
      </c>
      <c r="V101" s="19" t="n">
        <v>8</v>
      </c>
      <c r="W101" s="19" t="n">
        <v>8.5</v>
      </c>
      <c r="X101" s="19" t="n">
        <v>8.5</v>
      </c>
      <c r="Y101" s="9" t="n">
        <v>0</v>
      </c>
      <c r="Z101" s="19" t="n">
        <v>5.5</v>
      </c>
      <c r="AA101" s="19" t="n">
        <v>7.5</v>
      </c>
      <c r="AB101" s="19" t="n">
        <v>9</v>
      </c>
      <c r="AC101" s="19" t="n">
        <v>7.5</v>
      </c>
      <c r="AD101" s="19" t="n">
        <v>8</v>
      </c>
      <c r="AE101" s="19" t="n">
        <v>8.5</v>
      </c>
      <c r="AF101" s="9" t="n">
        <v>0</v>
      </c>
      <c r="AG101" s="19" t="n">
        <v>7</v>
      </c>
      <c r="AH101" s="19" t="n">
        <v>9.5</v>
      </c>
      <c r="AI101" s="19" t="n">
        <v>7.5</v>
      </c>
      <c r="AJ101" s="19" t="n">
        <v>0</v>
      </c>
      <c r="AK101" s="19" t="n">
        <v>0</v>
      </c>
      <c r="AL101" s="19" t="n">
        <v>0</v>
      </c>
      <c r="AM101" s="9" t="n">
        <v>0</v>
      </c>
      <c r="AN101" s="19" t="n">
        <v>0</v>
      </c>
      <c r="AO101" s="19" t="n">
        <v>0</v>
      </c>
      <c r="AP101" s="19" t="n">
        <v>0</v>
      </c>
      <c r="AQ101" s="19" t="n">
        <v>0</v>
      </c>
      <c r="AR101" s="19" t="n">
        <v>0</v>
      </c>
      <c r="AS101" s="19" t="n">
        <v>0</v>
      </c>
      <c r="AT101" s="10">
        <f>SUM(O101:AS101)</f>
        <v/>
      </c>
      <c r="AU101" s="20">
        <f>COUNTIF(O101:AS101, "&gt;0")</f>
        <v/>
      </c>
      <c r="AV101" s="12">
        <f>IF(AU101&gt;=5, 4, IF(AU101&gt;0, INT(AU101/6), 0))</f>
        <v/>
      </c>
      <c r="AW101" s="20" t="n">
        <v>0</v>
      </c>
      <c r="AX101" s="20" t="n">
        <v>0</v>
      </c>
      <c r="AY101" s="13">
        <f>MIN(31, AU101+AV101+AW101+AX101)</f>
        <v/>
      </c>
      <c r="AZ101" s="14">
        <f>31-AY101</f>
        <v/>
      </c>
      <c r="BA101" s="21">
        <f>IF(AX101&gt;0, "01-İstirahat", IF(AZ101&gt;0, "12-Birden Fazla", ""))</f>
        <v/>
      </c>
      <c r="BB101" s="10" t="n">
        <v>19</v>
      </c>
      <c r="BC101" s="23" t="n">
        <v>2.5</v>
      </c>
      <c r="BD101" s="9" t="n">
        <v>0</v>
      </c>
      <c r="BE101" s="22">
        <f>(L101/30)*AU101</f>
        <v/>
      </c>
      <c r="BF101" s="15">
        <f>(L101/225)*((BB101*1.5)-(BC101*1.0))</f>
        <v/>
      </c>
      <c r="BG101" s="16">
        <f>(L101/225)*1.5*BD101</f>
        <v/>
      </c>
      <c r="BH101" s="15">
        <f>BF101+BG101</f>
        <v/>
      </c>
      <c r="BI101" s="17">
        <f>BE101+BH101</f>
        <v/>
      </c>
      <c r="BJ101" s="22">
        <f>IFERROR(VLOOKUP(B101, Resmi_Bordro_SGK!B:M, 11, FALSE), 0)</f>
        <v/>
      </c>
      <c r="BK101" s="18">
        <f>IFERROR(VLOOKUP(B101, Icra_Takip!A:E, 4, FALSE), 0)</f>
        <v/>
      </c>
      <c r="BL101" s="17">
        <f>IF(BI101&gt;BJ101, BI101-BJ101-BK101, 0)</f>
        <v/>
      </c>
      <c r="BM101" s="17">
        <f>BI101-BK101</f>
        <v/>
      </c>
    </row>
    <row r="102" ht="19" customHeight="1">
      <c r="A102" s="4" t="n">
        <v>99</v>
      </c>
      <c r="B102" s="5" t="inlineStr">
        <is>
          <t>99848635024</t>
        </is>
      </c>
      <c r="C102" s="6" t="inlineStr">
        <is>
          <t>DUHA EL MUFADDİ</t>
        </is>
      </c>
      <c r="D102" s="4" t="inlineStr">
        <is>
          <t>K</t>
        </is>
      </c>
      <c r="E102" s="4" t="inlineStr"/>
      <c r="F102" s="4" t="inlineStr">
        <is>
          <t>18.04.2026</t>
        </is>
      </c>
      <c r="G102" s="4" t="inlineStr"/>
      <c r="H102" s="4" t="inlineStr">
        <is>
          <t>NORMAL</t>
        </is>
      </c>
      <c r="I102" s="4" t="inlineStr">
        <is>
          <t>MEVSİMLİK</t>
        </is>
      </c>
      <c r="J102" s="6" t="inlineStr">
        <is>
          <t>BALIK TEMİZLEME</t>
        </is>
      </c>
      <c r="K102" s="6" t="inlineStr">
        <is>
          <t>MKP</t>
        </is>
      </c>
      <c r="L102" s="7" t="n">
        <v>33000</v>
      </c>
      <c r="M102" s="4" t="inlineStr">
        <is>
          <t>FİDE KONSERVE</t>
        </is>
      </c>
      <c r="N102" s="4" t="inlineStr">
        <is>
          <t>ALIR</t>
        </is>
      </c>
      <c r="O102" s="8" t="n">
        <v>0</v>
      </c>
      <c r="P102" s="8" t="n">
        <v>0</v>
      </c>
      <c r="Q102" s="8" t="n">
        <v>0</v>
      </c>
      <c r="R102" s="9" t="n">
        <v>0</v>
      </c>
      <c r="S102" s="8" t="n">
        <v>0</v>
      </c>
      <c r="T102" s="8" t="n">
        <v>0</v>
      </c>
      <c r="U102" s="8" t="n">
        <v>0</v>
      </c>
      <c r="V102" s="8" t="n">
        <v>0</v>
      </c>
      <c r="W102" s="8" t="n">
        <v>0</v>
      </c>
      <c r="X102" s="8" t="n">
        <v>0</v>
      </c>
      <c r="Y102" s="9" t="n">
        <v>0</v>
      </c>
      <c r="Z102" s="8" t="n">
        <v>0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9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  <c r="AK102" s="8" t="n">
        <v>0</v>
      </c>
      <c r="AL102" s="8" t="n">
        <v>0</v>
      </c>
      <c r="AM102" s="9" t="n">
        <v>0</v>
      </c>
      <c r="AN102" s="8" t="n">
        <v>0</v>
      </c>
      <c r="AO102" s="8" t="n">
        <v>0</v>
      </c>
      <c r="AP102" s="8" t="n">
        <v>0</v>
      </c>
      <c r="AQ102" s="8" t="n">
        <v>0</v>
      </c>
      <c r="AR102" s="8" t="n">
        <v>0</v>
      </c>
      <c r="AS102" s="8" t="n">
        <v>0</v>
      </c>
      <c r="AT102" s="10">
        <f>SUM(O102:AS102)</f>
        <v/>
      </c>
      <c r="AU102" s="11">
        <f>COUNTIF(O102:AS102, "&gt;0")</f>
        <v/>
      </c>
      <c r="AV102" s="12">
        <f>IF(AU102&gt;=5, 4, IF(AU102&gt;0, INT(AU102/6), 0))</f>
        <v/>
      </c>
      <c r="AW102" s="11" t="n">
        <v>0</v>
      </c>
      <c r="AX102" s="11" t="n">
        <v>0</v>
      </c>
      <c r="AY102" s="13">
        <f>MIN(31, AU102+AV102+AW102+AX102)</f>
        <v/>
      </c>
      <c r="AZ102" s="14">
        <f>31-AY102</f>
        <v/>
      </c>
      <c r="BA102" s="5">
        <f>IF(AX102&gt;0, "01-İstirahat", IF(AZ102&gt;0, "12-Birden Fazla", ""))</f>
        <v/>
      </c>
      <c r="BB102" s="10" t="n">
        <v>0</v>
      </c>
      <c r="BC102" s="8" t="n">
        <v>0</v>
      </c>
      <c r="BD102" s="9" t="n">
        <v>0</v>
      </c>
      <c r="BE102" s="7">
        <f>(L102/30)*AU102</f>
        <v/>
      </c>
      <c r="BF102" s="15">
        <f>(L102/225)*((BB102*1.5)-(BC102*1.0))</f>
        <v/>
      </c>
      <c r="BG102" s="16">
        <f>(L102/225)*1.5*BD102</f>
        <v/>
      </c>
      <c r="BH102" s="15">
        <f>BF102+BG102</f>
        <v/>
      </c>
      <c r="BI102" s="17">
        <f>BE102+BH102</f>
        <v/>
      </c>
      <c r="BJ102" s="7">
        <f>IFERROR(VLOOKUP(B102, Resmi_Bordro_SGK!B:M, 11, FALSE), 0)</f>
        <v/>
      </c>
      <c r="BK102" s="18">
        <f>IFERROR(VLOOKUP(B102, Icra_Takip!A:E, 4, FALSE), 0)</f>
        <v/>
      </c>
      <c r="BL102" s="17">
        <f>IF(BI102&gt;BJ102, BI102-BJ102-BK102, 0)</f>
        <v/>
      </c>
      <c r="BM102" s="17">
        <f>BI102-BK102</f>
        <v/>
      </c>
    </row>
    <row r="103" ht="19" customHeight="1">
      <c r="A103" s="4" t="n">
        <v>100</v>
      </c>
      <c r="B103" s="5" t="inlineStr">
        <is>
          <t>12562741222</t>
        </is>
      </c>
      <c r="C103" s="6" t="inlineStr">
        <is>
          <t>EBRU ÖÖZALP</t>
        </is>
      </c>
      <c r="D103" s="4" t="inlineStr">
        <is>
          <t>K</t>
        </is>
      </c>
      <c r="E103" s="4" t="inlineStr"/>
      <c r="F103" s="4" t="inlineStr">
        <is>
          <t>21.04.2026</t>
        </is>
      </c>
      <c r="G103" s="4" t="inlineStr"/>
      <c r="H103" s="4" t="inlineStr">
        <is>
          <t>NORMAL</t>
        </is>
      </c>
      <c r="I103" s="4" t="inlineStr">
        <is>
          <t>MEVSİMLİK</t>
        </is>
      </c>
      <c r="J103" s="6" t="inlineStr">
        <is>
          <t>BALIK TEMİZLEME</t>
        </is>
      </c>
      <c r="K103" s="6" t="inlineStr">
        <is>
          <t>BALIKESİR</t>
        </is>
      </c>
      <c r="L103" s="7" t="n">
        <v>33000</v>
      </c>
      <c r="M103" s="4" t="inlineStr">
        <is>
          <t>FİDE KONSERVE</t>
        </is>
      </c>
      <c r="N103" s="4" t="inlineStr">
        <is>
          <t>ALIR</t>
        </is>
      </c>
      <c r="O103" s="19" t="n">
        <v>8</v>
      </c>
      <c r="P103" s="19" t="n">
        <v>8.5</v>
      </c>
      <c r="Q103" s="19" t="n">
        <v>8</v>
      </c>
      <c r="R103" s="9" t="n">
        <v>0</v>
      </c>
      <c r="S103" s="19" t="n">
        <v>7.5</v>
      </c>
      <c r="T103" s="19" t="n">
        <v>8</v>
      </c>
      <c r="U103" s="19" t="n">
        <v>8</v>
      </c>
      <c r="V103" s="19" t="n">
        <v>8</v>
      </c>
      <c r="W103" s="19" t="n">
        <v>8</v>
      </c>
      <c r="X103" s="19" t="n">
        <v>8.5</v>
      </c>
      <c r="Y103" s="9" t="n">
        <v>0</v>
      </c>
      <c r="Z103" s="19" t="n">
        <v>7.5</v>
      </c>
      <c r="AA103" s="19" t="n">
        <v>7.5</v>
      </c>
      <c r="AB103" s="19" t="n">
        <v>8.5</v>
      </c>
      <c r="AC103" s="19" t="n">
        <v>7.5</v>
      </c>
      <c r="AD103" s="19" t="n">
        <v>7.5</v>
      </c>
      <c r="AE103" s="19" t="n">
        <v>8.5</v>
      </c>
      <c r="AF103" s="9" t="n">
        <v>0</v>
      </c>
      <c r="AG103" s="19" t="n">
        <v>8</v>
      </c>
      <c r="AH103" s="19" t="n">
        <v>7.5</v>
      </c>
      <c r="AI103" s="19" t="n">
        <v>7.5</v>
      </c>
      <c r="AJ103" s="19" t="n">
        <v>0</v>
      </c>
      <c r="AK103" s="19" t="n">
        <v>0</v>
      </c>
      <c r="AL103" s="19" t="n">
        <v>0</v>
      </c>
      <c r="AM103" s="9" t="n">
        <v>0</v>
      </c>
      <c r="AN103" s="19" t="n">
        <v>0</v>
      </c>
      <c r="AO103" s="19" t="n">
        <v>0</v>
      </c>
      <c r="AP103" s="19" t="n">
        <v>0</v>
      </c>
      <c r="AQ103" s="19" t="n">
        <v>0</v>
      </c>
      <c r="AR103" s="19" t="n">
        <v>0</v>
      </c>
      <c r="AS103" s="19" t="n">
        <v>0</v>
      </c>
      <c r="AT103" s="10">
        <f>SUM(O103:AS103)</f>
        <v/>
      </c>
      <c r="AU103" s="20">
        <f>COUNTIF(O103:AS103, "&gt;0")</f>
        <v/>
      </c>
      <c r="AV103" s="12">
        <f>IF(AU103&gt;=5, 4, IF(AU103&gt;0, INT(AU103/6), 0))</f>
        <v/>
      </c>
      <c r="AW103" s="20" t="n">
        <v>0</v>
      </c>
      <c r="AX103" s="20" t="n">
        <v>0</v>
      </c>
      <c r="AY103" s="13">
        <f>MIN(31, AU103+AV103+AW103+AX103)</f>
        <v/>
      </c>
      <c r="AZ103" s="14">
        <f>31-AY103</f>
        <v/>
      </c>
      <c r="BA103" s="21">
        <f>IF(AX103&gt;0, "01-İstirahat", IF(AZ103&gt;0, "12-Birden Fazla", ""))</f>
        <v/>
      </c>
      <c r="BB103" s="10" t="n">
        <v>7.5</v>
      </c>
      <c r="BC103" s="19" t="n">
        <v>0</v>
      </c>
      <c r="BD103" s="9" t="n">
        <v>0</v>
      </c>
      <c r="BE103" s="22">
        <f>(L103/30)*AU103</f>
        <v/>
      </c>
      <c r="BF103" s="15">
        <f>(L103/225)*((BB103*1.5)-(BC103*1.0))</f>
        <v/>
      </c>
      <c r="BG103" s="16">
        <f>(L103/225)*1.5*BD103</f>
        <v/>
      </c>
      <c r="BH103" s="15">
        <f>BF103+BG103</f>
        <v/>
      </c>
      <c r="BI103" s="17">
        <f>BE103+BH103</f>
        <v/>
      </c>
      <c r="BJ103" s="22">
        <f>IFERROR(VLOOKUP(B103, Resmi_Bordro_SGK!B:M, 11, FALSE), 0)</f>
        <v/>
      </c>
      <c r="BK103" s="18">
        <f>IFERROR(VLOOKUP(B103, Icra_Takip!A:E, 4, FALSE), 0)</f>
        <v/>
      </c>
      <c r="BL103" s="17">
        <f>IF(BI103&gt;BJ103, BI103-BJ103-BK103, 0)</f>
        <v/>
      </c>
      <c r="BM103" s="17">
        <f>BI103-BK103</f>
        <v/>
      </c>
    </row>
    <row r="104" ht="19" customHeight="1">
      <c r="A104" s="4" t="n">
        <v>101</v>
      </c>
      <c r="B104" s="5" t="inlineStr">
        <is>
          <t>18370524392</t>
        </is>
      </c>
      <c r="C104" s="6" t="inlineStr">
        <is>
          <t>EDA ELBİ</t>
        </is>
      </c>
      <c r="D104" s="4" t="inlineStr">
        <is>
          <t>K</t>
        </is>
      </c>
      <c r="E104" s="4" t="inlineStr"/>
      <c r="F104" s="4" t="inlineStr">
        <is>
          <t>10.06.2023</t>
        </is>
      </c>
      <c r="G104" s="4" t="inlineStr"/>
      <c r="H104" s="4" t="inlineStr">
        <is>
          <t>NORMAL</t>
        </is>
      </c>
      <c r="I104" s="4" t="inlineStr">
        <is>
          <t>MEVSİMLİK</t>
        </is>
      </c>
      <c r="J104" s="6" t="inlineStr">
        <is>
          <t>AMBAR</t>
        </is>
      </c>
      <c r="K104" s="6" t="inlineStr">
        <is>
          <t>BİGADİÇ</t>
        </is>
      </c>
      <c r="L104" s="7" t="n">
        <v>28075.5</v>
      </c>
      <c r="M104" s="4" t="inlineStr">
        <is>
          <t>FİDE KONSERVE</t>
        </is>
      </c>
      <c r="N104" s="4" t="inlineStr">
        <is>
          <t>ALIR</t>
        </is>
      </c>
      <c r="O104" s="8" t="n">
        <v>0</v>
      </c>
      <c r="P104" s="8" t="n">
        <v>0</v>
      </c>
      <c r="Q104" s="8" t="n">
        <v>0</v>
      </c>
      <c r="R104" s="9" t="n">
        <v>0</v>
      </c>
      <c r="S104" s="8" t="n">
        <v>0</v>
      </c>
      <c r="T104" s="8" t="n">
        <v>0</v>
      </c>
      <c r="U104" s="8" t="n">
        <v>0</v>
      </c>
      <c r="V104" s="8" t="n">
        <v>0</v>
      </c>
      <c r="W104" s="8" t="n">
        <v>0</v>
      </c>
      <c r="X104" s="8" t="n">
        <v>0</v>
      </c>
      <c r="Y104" s="9" t="n">
        <v>0</v>
      </c>
      <c r="Z104" s="8" t="n">
        <v>0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9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  <c r="AK104" s="8" t="n">
        <v>0</v>
      </c>
      <c r="AL104" s="8" t="n">
        <v>0</v>
      </c>
      <c r="AM104" s="9" t="n">
        <v>0</v>
      </c>
      <c r="AN104" s="8" t="n">
        <v>0</v>
      </c>
      <c r="AO104" s="8" t="n">
        <v>0</v>
      </c>
      <c r="AP104" s="8" t="n">
        <v>0</v>
      </c>
      <c r="AQ104" s="8" t="n">
        <v>0</v>
      </c>
      <c r="AR104" s="8" t="n">
        <v>0</v>
      </c>
      <c r="AS104" s="8" t="n">
        <v>0</v>
      </c>
      <c r="AT104" s="10">
        <f>SUM(O104:AS104)</f>
        <v/>
      </c>
      <c r="AU104" s="11">
        <f>COUNTIF(O104:AS104, "&gt;0")</f>
        <v/>
      </c>
      <c r="AV104" s="12">
        <f>IF(AU104&gt;=5, 4, IF(AU104&gt;0, INT(AU104/6), 0))</f>
        <v/>
      </c>
      <c r="AW104" s="11" t="n">
        <v>2</v>
      </c>
      <c r="AX104" s="11" t="n">
        <v>0</v>
      </c>
      <c r="AY104" s="13">
        <f>MIN(31, AU104+AV104+AW104+AX104)</f>
        <v/>
      </c>
      <c r="AZ104" s="14">
        <f>31-AY104</f>
        <v/>
      </c>
      <c r="BA104" s="5">
        <f>IF(AX104&gt;0, "01-İstirahat", IF(AZ104&gt;0, "12-Birden Fazla", ""))</f>
        <v/>
      </c>
      <c r="BB104" s="10" t="n">
        <v>0</v>
      </c>
      <c r="BC104" s="8" t="n">
        <v>0</v>
      </c>
      <c r="BD104" s="9" t="n">
        <v>0</v>
      </c>
      <c r="BE104" s="7">
        <f>(L104/30)*AU104</f>
        <v/>
      </c>
      <c r="BF104" s="15">
        <f>(L104/225)*((BB104*1.5)-(BC104*1.0))</f>
        <v/>
      </c>
      <c r="BG104" s="16">
        <f>(L104/225)*1.5*BD104</f>
        <v/>
      </c>
      <c r="BH104" s="15">
        <f>BF104+BG104</f>
        <v/>
      </c>
      <c r="BI104" s="17">
        <f>BE104+BH104</f>
        <v/>
      </c>
      <c r="BJ104" s="7">
        <f>IFERROR(VLOOKUP(B104, Resmi_Bordro_SGK!B:M, 11, FALSE), 0)</f>
        <v/>
      </c>
      <c r="BK104" s="18">
        <f>IFERROR(VLOOKUP(B104, Icra_Takip!A:E, 4, FALSE), 0)</f>
        <v/>
      </c>
      <c r="BL104" s="17">
        <f>IF(BI104&gt;BJ104, BI104-BJ104-BK104, 0)</f>
        <v/>
      </c>
      <c r="BM104" s="17">
        <f>BI104-BK104</f>
        <v/>
      </c>
    </row>
    <row r="105" ht="19" customHeight="1">
      <c r="A105" s="4" t="n">
        <v>102</v>
      </c>
      <c r="B105" s="5" t="inlineStr">
        <is>
          <t>29563469352</t>
        </is>
      </c>
      <c r="C105" s="6" t="inlineStr">
        <is>
          <t>EDİP EKİNCİ</t>
        </is>
      </c>
      <c r="D105" s="4" t="inlineStr">
        <is>
          <t>E</t>
        </is>
      </c>
      <c r="E105" s="4" t="inlineStr"/>
      <c r="F105" s="4" t="inlineStr">
        <is>
          <t>07.11.2025</t>
        </is>
      </c>
      <c r="G105" s="4" t="inlineStr"/>
      <c r="H105" s="4" t="inlineStr">
        <is>
          <t>SGDP</t>
        </is>
      </c>
      <c r="I105" s="4" t="inlineStr">
        <is>
          <t>DAİMİ</t>
        </is>
      </c>
      <c r="J105" s="6" t="inlineStr">
        <is>
          <t>KAZAN</t>
        </is>
      </c>
      <c r="K105" s="6" t="inlineStr">
        <is>
          <t>SUSURLUK</t>
        </is>
      </c>
      <c r="L105" s="7" t="n">
        <v>32000</v>
      </c>
      <c r="M105" s="4" t="inlineStr">
        <is>
          <t>FİDE KONSERVE</t>
        </is>
      </c>
      <c r="N105" s="4" t="inlineStr">
        <is>
          <t>ALIR</t>
        </is>
      </c>
      <c r="O105" s="19" t="n">
        <v>10.5</v>
      </c>
      <c r="P105" s="19" t="n">
        <v>10.5</v>
      </c>
      <c r="Q105" s="19" t="n">
        <v>10.5</v>
      </c>
      <c r="R105" s="9" t="n">
        <v>10.5</v>
      </c>
      <c r="S105" s="19" t="n">
        <v>10.5</v>
      </c>
      <c r="T105" s="19" t="n">
        <v>10.5</v>
      </c>
      <c r="U105" s="19" t="n">
        <v>10.5</v>
      </c>
      <c r="V105" s="19" t="n">
        <v>10.5</v>
      </c>
      <c r="W105" s="19" t="n">
        <v>10.5</v>
      </c>
      <c r="X105" s="19" t="n">
        <v>12.5</v>
      </c>
      <c r="Y105" s="9" t="n">
        <v>10.5</v>
      </c>
      <c r="Z105" s="19" t="n">
        <v>10.5</v>
      </c>
      <c r="AA105" s="19" t="n">
        <v>10.5</v>
      </c>
      <c r="AB105" s="19" t="n">
        <v>10.5</v>
      </c>
      <c r="AC105" s="19" t="n">
        <v>10.5</v>
      </c>
      <c r="AD105" s="19" t="n">
        <v>10.5</v>
      </c>
      <c r="AE105" s="19" t="n">
        <v>6</v>
      </c>
      <c r="AF105" s="9" t="n">
        <v>10.5</v>
      </c>
      <c r="AG105" s="19" t="n">
        <v>10</v>
      </c>
      <c r="AH105" s="19" t="n">
        <v>10</v>
      </c>
      <c r="AI105" s="19" t="n">
        <v>0</v>
      </c>
      <c r="AJ105" s="19" t="n">
        <v>0</v>
      </c>
      <c r="AK105" s="19" t="n">
        <v>0</v>
      </c>
      <c r="AL105" s="19" t="n">
        <v>0</v>
      </c>
      <c r="AM105" s="9" t="n">
        <v>0</v>
      </c>
      <c r="AN105" s="19" t="n">
        <v>0</v>
      </c>
      <c r="AO105" s="19" t="n">
        <v>0</v>
      </c>
      <c r="AP105" s="19" t="n">
        <v>0</v>
      </c>
      <c r="AQ105" s="19" t="n">
        <v>0</v>
      </c>
      <c r="AR105" s="19" t="n">
        <v>0</v>
      </c>
      <c r="AS105" s="19" t="n">
        <v>0</v>
      </c>
      <c r="AT105" s="10">
        <f>SUM(O105:AS105)</f>
        <v/>
      </c>
      <c r="AU105" s="20">
        <f>COUNTIF(O105:AS105, "&gt;0")</f>
        <v/>
      </c>
      <c r="AV105" s="12">
        <f>IF(AU105&gt;=5, 4, IF(AU105&gt;0, INT(AU105/6), 0))</f>
        <v/>
      </c>
      <c r="AW105" s="20" t="n">
        <v>0</v>
      </c>
      <c r="AX105" s="20" t="n">
        <v>0</v>
      </c>
      <c r="AY105" s="13">
        <f>MIN(31, AU105+AV105+AW105+AX105)</f>
        <v/>
      </c>
      <c r="AZ105" s="14">
        <f>31-AY105</f>
        <v/>
      </c>
      <c r="BA105" s="21">
        <f>IF(AX105&gt;0, "01-İstirahat", IF(AZ105&gt;0, "12-Birden Fazla", ""))</f>
        <v/>
      </c>
      <c r="BB105" s="10" t="n">
        <v>49</v>
      </c>
      <c r="BC105" s="23" t="n">
        <v>1.5</v>
      </c>
      <c r="BD105" s="9" t="n">
        <v>31.5</v>
      </c>
      <c r="BE105" s="22">
        <f>(L105/30)*AU105</f>
        <v/>
      </c>
      <c r="BF105" s="15">
        <f>(L105/225)*((BB105*1.5)-(BC105*1.0))</f>
        <v/>
      </c>
      <c r="BG105" s="16">
        <f>(L105/225)*1.5*BD105</f>
        <v/>
      </c>
      <c r="BH105" s="15">
        <f>BF105+BG105</f>
        <v/>
      </c>
      <c r="BI105" s="17">
        <f>BE105+BH105</f>
        <v/>
      </c>
      <c r="BJ105" s="22">
        <f>IFERROR(VLOOKUP(B105, Resmi_Bordro_SGK!B:M, 11, FALSE), 0)</f>
        <v/>
      </c>
      <c r="BK105" s="18">
        <f>IFERROR(VLOOKUP(B105, Icra_Takip!A:E, 4, FALSE), 0)</f>
        <v/>
      </c>
      <c r="BL105" s="17">
        <f>IF(BI105&gt;BJ105, BI105-BJ105-BK105, 0)</f>
        <v/>
      </c>
      <c r="BM105" s="17">
        <f>BI105-BK105</f>
        <v/>
      </c>
    </row>
    <row r="106" ht="19" customHeight="1">
      <c r="A106" s="4" t="n">
        <v>103</v>
      </c>
      <c r="B106" s="5" t="inlineStr">
        <is>
          <t>10066843626</t>
        </is>
      </c>
      <c r="C106" s="6" t="inlineStr">
        <is>
          <t>EFE EVİM</t>
        </is>
      </c>
      <c r="D106" s="4" t="inlineStr">
        <is>
          <t>E</t>
        </is>
      </c>
      <c r="E106" s="4" t="inlineStr"/>
      <c r="F106" s="4" t="inlineStr">
        <is>
          <t>23.06.2025</t>
        </is>
      </c>
      <c r="G106" s="4" t="inlineStr"/>
      <c r="H106" s="4" t="inlineStr">
        <is>
          <t>NORMAL</t>
        </is>
      </c>
      <c r="I106" s="4" t="inlineStr">
        <is>
          <t>MEVSİMLİK</t>
        </is>
      </c>
      <c r="J106" s="6" t="inlineStr">
        <is>
          <t>AMBAR</t>
        </is>
      </c>
      <c r="K106" s="6" t="inlineStr">
        <is>
          <t>BİGADİÇ</t>
        </is>
      </c>
      <c r="L106" s="7" t="n">
        <v>28075.5</v>
      </c>
      <c r="M106" s="4" t="inlineStr">
        <is>
          <t>FİDE KONSERVE</t>
        </is>
      </c>
      <c r="N106" s="4" t="inlineStr">
        <is>
          <t>ALIR</t>
        </is>
      </c>
      <c r="O106" s="8" t="n">
        <v>7.5</v>
      </c>
      <c r="P106" s="8" t="n">
        <v>7.5</v>
      </c>
      <c r="Q106" s="8" t="n">
        <v>7.5</v>
      </c>
      <c r="R106" s="9" t="n">
        <v>0</v>
      </c>
      <c r="S106" s="8" t="n">
        <v>7.5</v>
      </c>
      <c r="T106" s="8" t="n">
        <v>7.5</v>
      </c>
      <c r="U106" s="8" t="n">
        <v>7.5</v>
      </c>
      <c r="V106" s="8" t="n">
        <v>7.5</v>
      </c>
      <c r="W106" s="8" t="n">
        <v>7.5</v>
      </c>
      <c r="X106" s="8" t="n">
        <v>7.5</v>
      </c>
      <c r="Y106" s="9" t="n">
        <v>0</v>
      </c>
      <c r="Z106" s="8" t="n">
        <v>8.5</v>
      </c>
      <c r="AA106" s="8" t="n">
        <v>7.5</v>
      </c>
      <c r="AB106" s="8" t="n">
        <v>7.5</v>
      </c>
      <c r="AC106" s="8" t="n">
        <v>8</v>
      </c>
      <c r="AD106" s="8" t="n">
        <v>7.5</v>
      </c>
      <c r="AE106" s="8" t="n">
        <v>7.5</v>
      </c>
      <c r="AF106" s="9" t="n">
        <v>0</v>
      </c>
      <c r="AG106" s="8" t="n">
        <v>7.5</v>
      </c>
      <c r="AH106" s="8" t="n">
        <v>7.5</v>
      </c>
      <c r="AI106" s="8" t="n">
        <v>7.5</v>
      </c>
      <c r="AJ106" s="8" t="n">
        <v>0</v>
      </c>
      <c r="AK106" s="8" t="n">
        <v>0</v>
      </c>
      <c r="AL106" s="8" t="n">
        <v>0</v>
      </c>
      <c r="AM106" s="9" t="n">
        <v>0</v>
      </c>
      <c r="AN106" s="8" t="n">
        <v>0</v>
      </c>
      <c r="AO106" s="8" t="n">
        <v>0</v>
      </c>
      <c r="AP106" s="8" t="n">
        <v>0</v>
      </c>
      <c r="AQ106" s="8" t="n">
        <v>0</v>
      </c>
      <c r="AR106" s="8" t="n">
        <v>0</v>
      </c>
      <c r="AS106" s="8" t="n">
        <v>0</v>
      </c>
      <c r="AT106" s="10">
        <f>SUM(O106:AS106)</f>
        <v/>
      </c>
      <c r="AU106" s="11">
        <f>COUNTIF(O106:AS106, "&gt;0")</f>
        <v/>
      </c>
      <c r="AV106" s="12">
        <f>IF(AU106&gt;=5, 4, IF(AU106&gt;0, INT(AU106/6), 0))</f>
        <v/>
      </c>
      <c r="AW106" s="11" t="n">
        <v>0</v>
      </c>
      <c r="AX106" s="11" t="n">
        <v>0</v>
      </c>
      <c r="AY106" s="13">
        <f>MIN(31, AU106+AV106+AW106+AX106)</f>
        <v/>
      </c>
      <c r="AZ106" s="14">
        <f>31-AY106</f>
        <v/>
      </c>
      <c r="BA106" s="5">
        <f>IF(AX106&gt;0, "01-İstirahat", IF(AZ106&gt;0, "12-Birden Fazla", ""))</f>
        <v/>
      </c>
      <c r="BB106" s="10" t="n">
        <v>1.5</v>
      </c>
      <c r="BC106" s="8" t="n">
        <v>0</v>
      </c>
      <c r="BD106" s="9" t="n">
        <v>0</v>
      </c>
      <c r="BE106" s="7">
        <f>(L106/30)*AU106</f>
        <v/>
      </c>
      <c r="BF106" s="15">
        <f>(L106/225)*((BB106*1.5)-(BC106*1.0))</f>
        <v/>
      </c>
      <c r="BG106" s="16">
        <f>(L106/225)*1.5*BD106</f>
        <v/>
      </c>
      <c r="BH106" s="15">
        <f>BF106+BG106</f>
        <v/>
      </c>
      <c r="BI106" s="17">
        <f>BE106+BH106</f>
        <v/>
      </c>
      <c r="BJ106" s="7">
        <f>IFERROR(VLOOKUP(B106, Resmi_Bordro_SGK!B:M, 11, FALSE), 0)</f>
        <v/>
      </c>
      <c r="BK106" s="18">
        <f>IFERROR(VLOOKUP(B106, Icra_Takip!A:E, 4, FALSE), 0)</f>
        <v/>
      </c>
      <c r="BL106" s="17">
        <f>IF(BI106&gt;BJ106, BI106-BJ106-BK106, 0)</f>
        <v/>
      </c>
      <c r="BM106" s="17">
        <f>BI106-BK106</f>
        <v/>
      </c>
    </row>
    <row r="107" ht="19" customHeight="1">
      <c r="A107" s="4" t="n">
        <v>104</v>
      </c>
      <c r="B107" s="5" t="inlineStr">
        <is>
          <t>14266711334</t>
        </is>
      </c>
      <c r="C107" s="6" t="inlineStr">
        <is>
          <t>EFRAİM DUMAN</t>
        </is>
      </c>
      <c r="D107" s="4" t="inlineStr">
        <is>
          <t>E</t>
        </is>
      </c>
      <c r="E107" s="4" t="inlineStr"/>
      <c r="F107" s="4" t="inlineStr">
        <is>
          <t>06.05.2023</t>
        </is>
      </c>
      <c r="G107" s="4" t="inlineStr"/>
      <c r="H107" s="4" t="inlineStr">
        <is>
          <t>SGDP</t>
        </is>
      </c>
      <c r="I107" s="4" t="inlineStr">
        <is>
          <t>DAİMİ</t>
        </is>
      </c>
      <c r="J107" s="6" t="inlineStr">
        <is>
          <t>AMBAR</t>
        </is>
      </c>
      <c r="K107" s="6" t="inlineStr">
        <is>
          <t>SUSURLUK</t>
        </is>
      </c>
      <c r="L107" s="7" t="n">
        <v>36000</v>
      </c>
      <c r="M107" s="4" t="inlineStr">
        <is>
          <t>FİDE KONSERVE</t>
        </is>
      </c>
      <c r="N107" s="4" t="inlineStr">
        <is>
          <t>ALIR</t>
        </is>
      </c>
      <c r="O107" s="19" t="n">
        <v>10.5</v>
      </c>
      <c r="P107" s="19" t="n">
        <v>10.5</v>
      </c>
      <c r="Q107" s="19" t="n">
        <v>0</v>
      </c>
      <c r="R107" s="9" t="n">
        <v>0</v>
      </c>
      <c r="S107" s="19" t="n">
        <v>10.5</v>
      </c>
      <c r="T107" s="19" t="n">
        <v>10.5</v>
      </c>
      <c r="U107" s="19" t="n">
        <v>10.5</v>
      </c>
      <c r="V107" s="19" t="n">
        <v>10.5</v>
      </c>
      <c r="W107" s="19" t="n">
        <v>10.5</v>
      </c>
      <c r="X107" s="19" t="n">
        <v>10.5</v>
      </c>
      <c r="Y107" s="9" t="n">
        <v>10.5</v>
      </c>
      <c r="Z107" s="19" t="n">
        <v>10.5</v>
      </c>
      <c r="AA107" s="19" t="n">
        <v>10.5</v>
      </c>
      <c r="AB107" s="19" t="n">
        <v>10.5</v>
      </c>
      <c r="AC107" s="19" t="n">
        <v>10.5</v>
      </c>
      <c r="AD107" s="19" t="n">
        <v>7.5</v>
      </c>
      <c r="AE107" s="19" t="n">
        <v>6</v>
      </c>
      <c r="AF107" s="9" t="n">
        <v>0</v>
      </c>
      <c r="AG107" s="23" t="n">
        <v>7.5</v>
      </c>
      <c r="AH107" s="23" t="n">
        <v>10</v>
      </c>
      <c r="AI107" s="19" t="n">
        <v>0</v>
      </c>
      <c r="AJ107" s="19" t="n">
        <v>0</v>
      </c>
      <c r="AK107" s="19" t="n">
        <v>0</v>
      </c>
      <c r="AL107" s="19" t="n">
        <v>0</v>
      </c>
      <c r="AM107" s="9" t="n">
        <v>0</v>
      </c>
      <c r="AN107" s="19" t="n">
        <v>0</v>
      </c>
      <c r="AO107" s="19" t="n">
        <v>0</v>
      </c>
      <c r="AP107" s="19" t="n">
        <v>0</v>
      </c>
      <c r="AQ107" s="19" t="n">
        <v>0</v>
      </c>
      <c r="AR107" s="19" t="n">
        <v>0</v>
      </c>
      <c r="AS107" s="19" t="n">
        <v>0</v>
      </c>
      <c r="AT107" s="10">
        <f>SUM(O107:AS107)</f>
        <v/>
      </c>
      <c r="AU107" s="20">
        <f>COUNTIF(O107:AS107, "&gt;0")</f>
        <v/>
      </c>
      <c r="AV107" s="12">
        <f>IF(AU107&gt;=5, 4, IF(AU107&gt;0, INT(AU107/6), 0))</f>
        <v/>
      </c>
      <c r="AW107" s="20" t="n">
        <v>0</v>
      </c>
      <c r="AX107" s="20" t="n">
        <v>0</v>
      </c>
      <c r="AY107" s="13">
        <f>MIN(31, AU107+AV107+AW107+AX107)</f>
        <v/>
      </c>
      <c r="AZ107" s="14">
        <f>31-AY107</f>
        <v/>
      </c>
      <c r="BA107" s="21">
        <f>IF(AX107&gt;0, "01-İstirahat", IF(AZ107&gt;0, "12-Birden Fazla", ""))</f>
        <v/>
      </c>
      <c r="BB107" s="10" t="n">
        <v>38.5</v>
      </c>
      <c r="BC107" s="23" t="n">
        <v>1.5</v>
      </c>
      <c r="BD107" s="9" t="n">
        <v>10.5</v>
      </c>
      <c r="BE107" s="22">
        <f>(L107/30)*AU107</f>
        <v/>
      </c>
      <c r="BF107" s="15">
        <f>(L107/225)*((BB107*1.5)-(BC107*1.0))</f>
        <v/>
      </c>
      <c r="BG107" s="16">
        <f>(L107/225)*1.5*BD107</f>
        <v/>
      </c>
      <c r="BH107" s="15">
        <f>BF107+BG107</f>
        <v/>
      </c>
      <c r="BI107" s="17">
        <f>BE107+BH107</f>
        <v/>
      </c>
      <c r="BJ107" s="22">
        <f>IFERROR(VLOOKUP(B107, Resmi_Bordro_SGK!B:M, 11, FALSE), 0)</f>
        <v/>
      </c>
      <c r="BK107" s="18">
        <f>IFERROR(VLOOKUP(B107, Icra_Takip!A:E, 4, FALSE), 0)</f>
        <v/>
      </c>
      <c r="BL107" s="17">
        <f>IF(BI107&gt;BJ107, BI107-BJ107-BK107, 0)</f>
        <v/>
      </c>
      <c r="BM107" s="17">
        <f>BI107-BK107</f>
        <v/>
      </c>
    </row>
    <row r="108" ht="19" customHeight="1">
      <c r="A108" s="4" t="n">
        <v>105</v>
      </c>
      <c r="B108" s="5" t="inlineStr"/>
      <c r="C108" s="6" t="inlineStr">
        <is>
          <t>EGEMEN TARLI</t>
        </is>
      </c>
      <c r="D108" s="4" t="inlineStr"/>
      <c r="E108" s="4" t="inlineStr"/>
      <c r="F108" s="4" t="inlineStr"/>
      <c r="G108" s="4" t="inlineStr"/>
      <c r="H108" s="4" t="inlineStr">
        <is>
          <t>NORMAL</t>
        </is>
      </c>
      <c r="I108" s="4" t="inlineStr">
        <is>
          <t>MEVSİMLİK</t>
        </is>
      </c>
      <c r="J108" s="6" t="inlineStr"/>
      <c r="K108" s="6" t="inlineStr"/>
      <c r="L108" s="7" t="n">
        <v>28075.5</v>
      </c>
      <c r="M108" s="4" t="inlineStr">
        <is>
          <t>FİDE KONSERVE</t>
        </is>
      </c>
      <c r="N108" s="4" t="inlineStr">
        <is>
          <t>ALIR</t>
        </is>
      </c>
      <c r="O108" s="8" t="n">
        <v>0</v>
      </c>
      <c r="P108" s="8" t="n">
        <v>0</v>
      </c>
      <c r="Q108" s="8" t="n">
        <v>0</v>
      </c>
      <c r="R108" s="9" t="n">
        <v>0</v>
      </c>
      <c r="S108" s="8" t="n">
        <v>0</v>
      </c>
      <c r="T108" s="8" t="n">
        <v>0</v>
      </c>
      <c r="U108" s="8" t="n">
        <v>0</v>
      </c>
      <c r="V108" s="8" t="n">
        <v>0</v>
      </c>
      <c r="W108" s="8" t="n">
        <v>0</v>
      </c>
      <c r="X108" s="8" t="n">
        <v>0</v>
      </c>
      <c r="Y108" s="9" t="n">
        <v>0</v>
      </c>
      <c r="Z108" s="8" t="n">
        <v>0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9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  <c r="AK108" s="8" t="n">
        <v>0</v>
      </c>
      <c r="AL108" s="8" t="n">
        <v>0</v>
      </c>
      <c r="AM108" s="9" t="n">
        <v>0</v>
      </c>
      <c r="AN108" s="8" t="n">
        <v>0</v>
      </c>
      <c r="AO108" s="8" t="n">
        <v>0</v>
      </c>
      <c r="AP108" s="8" t="n">
        <v>0</v>
      </c>
      <c r="AQ108" s="8" t="n">
        <v>0</v>
      </c>
      <c r="AR108" s="8" t="n">
        <v>0</v>
      </c>
      <c r="AS108" s="8" t="n">
        <v>0</v>
      </c>
      <c r="AT108" s="10">
        <f>SUM(O108:AS108)</f>
        <v/>
      </c>
      <c r="AU108" s="11">
        <f>COUNTIF(O108:AS108, "&gt;0")</f>
        <v/>
      </c>
      <c r="AV108" s="12">
        <f>IF(AU108&gt;=5, 4, IF(AU108&gt;0, INT(AU108/6), 0))</f>
        <v/>
      </c>
      <c r="AW108" s="11" t="n">
        <v>0</v>
      </c>
      <c r="AX108" s="11" t="n">
        <v>0</v>
      </c>
      <c r="AY108" s="13">
        <f>MIN(31, AU108+AV108+AW108+AX108)</f>
        <v/>
      </c>
      <c r="AZ108" s="14">
        <f>31-AY108</f>
        <v/>
      </c>
      <c r="BA108" s="5">
        <f>IF(AX108&gt;0, "01-İstirahat", IF(AZ108&gt;0, "12-Birden Fazla", ""))</f>
        <v/>
      </c>
      <c r="BB108" s="10" t="n">
        <v>0</v>
      </c>
      <c r="BC108" s="8" t="n">
        <v>0</v>
      </c>
      <c r="BD108" s="9" t="n">
        <v>0</v>
      </c>
      <c r="BE108" s="7">
        <f>(L108/30)*AU108</f>
        <v/>
      </c>
      <c r="BF108" s="15">
        <f>(L108/225)*((BB108*1.5)-(BC108*1.0))</f>
        <v/>
      </c>
      <c r="BG108" s="16">
        <f>(L108/225)*1.5*BD108</f>
        <v/>
      </c>
      <c r="BH108" s="15">
        <f>BF108+BG108</f>
        <v/>
      </c>
      <c r="BI108" s="17">
        <f>BE108+BH108</f>
        <v/>
      </c>
      <c r="BJ108" s="7">
        <f>IFERROR(VLOOKUP(B108, Resmi_Bordro_SGK!B:M, 11, FALSE), 0)</f>
        <v/>
      </c>
      <c r="BK108" s="18">
        <f>IFERROR(VLOOKUP(B108, Icra_Takip!A:E, 4, FALSE), 0)</f>
        <v/>
      </c>
      <c r="BL108" s="17">
        <f>IF(BI108&gt;BJ108, BI108-BJ108-BK108, 0)</f>
        <v/>
      </c>
      <c r="BM108" s="17">
        <f>BI108-BK108</f>
        <v/>
      </c>
    </row>
    <row r="109" ht="19" customHeight="1">
      <c r="A109" s="4" t="n">
        <v>106</v>
      </c>
      <c r="B109" s="5" t="inlineStr">
        <is>
          <t>16591633060</t>
        </is>
      </c>
      <c r="C109" s="6" t="inlineStr">
        <is>
          <t>ELİF TUNÇ</t>
        </is>
      </c>
      <c r="D109" s="4" t="inlineStr">
        <is>
          <t>K</t>
        </is>
      </c>
      <c r="E109" s="4" t="inlineStr"/>
      <c r="F109" s="4" t="inlineStr">
        <is>
          <t>03.07.2023</t>
        </is>
      </c>
      <c r="G109" s="4" t="inlineStr"/>
      <c r="H109" s="4" t="inlineStr">
        <is>
          <t>NORMAL</t>
        </is>
      </c>
      <c r="I109" s="4" t="inlineStr">
        <is>
          <t>DAİMİ</t>
        </is>
      </c>
      <c r="J109" s="6" t="inlineStr">
        <is>
          <t>KALİTE</t>
        </is>
      </c>
      <c r="K109" s="6" t="inlineStr">
        <is>
          <t>BANDIRMA</t>
        </is>
      </c>
      <c r="L109" s="7" t="n">
        <v>87500</v>
      </c>
      <c r="M109" s="4" t="inlineStr">
        <is>
          <t>FİDE KONSERVE</t>
        </is>
      </c>
      <c r="N109" s="4" t="inlineStr">
        <is>
          <t>ALMAZ</t>
        </is>
      </c>
      <c r="O109" s="23" t="n">
        <v>7.5</v>
      </c>
      <c r="P109" s="19" t="n">
        <v>8</v>
      </c>
      <c r="Q109" s="19" t="n">
        <v>0</v>
      </c>
      <c r="R109" s="9" t="n">
        <v>0</v>
      </c>
      <c r="S109" s="19" t="n">
        <v>7.5</v>
      </c>
      <c r="T109" s="19" t="n">
        <v>8.5</v>
      </c>
      <c r="U109" s="19" t="n">
        <v>3</v>
      </c>
      <c r="V109" s="19" t="n">
        <v>8</v>
      </c>
      <c r="W109" s="19" t="n">
        <v>5.5</v>
      </c>
      <c r="X109" s="19" t="n">
        <v>0</v>
      </c>
      <c r="Y109" s="9" t="n">
        <v>0</v>
      </c>
      <c r="Z109" s="19" t="n">
        <v>7.5</v>
      </c>
      <c r="AA109" s="19" t="n">
        <v>7.5</v>
      </c>
      <c r="AB109" s="19" t="n">
        <v>8.5</v>
      </c>
      <c r="AC109" s="23" t="n">
        <v>7.5</v>
      </c>
      <c r="AD109" s="23" t="n">
        <v>7.5</v>
      </c>
      <c r="AE109" s="23" t="n">
        <v>2.5</v>
      </c>
      <c r="AF109" s="9" t="n">
        <v>0</v>
      </c>
      <c r="AG109" s="19" t="n">
        <v>7.5</v>
      </c>
      <c r="AH109" s="19" t="n">
        <v>7.5</v>
      </c>
      <c r="AI109" s="19" t="n">
        <v>5</v>
      </c>
      <c r="AJ109" s="19" t="n">
        <v>0</v>
      </c>
      <c r="AK109" s="19" t="n">
        <v>0</v>
      </c>
      <c r="AL109" s="19" t="n">
        <v>0</v>
      </c>
      <c r="AM109" s="9" t="n">
        <v>0</v>
      </c>
      <c r="AN109" s="19" t="n">
        <v>0</v>
      </c>
      <c r="AO109" s="19" t="n">
        <v>0</v>
      </c>
      <c r="AP109" s="19" t="n">
        <v>0</v>
      </c>
      <c r="AQ109" s="19" t="n">
        <v>0</v>
      </c>
      <c r="AR109" s="19" t="n">
        <v>0</v>
      </c>
      <c r="AS109" s="19" t="n">
        <v>0</v>
      </c>
      <c r="AT109" s="10">
        <f>SUM(O109:AS109)</f>
        <v/>
      </c>
      <c r="AU109" s="20">
        <f>COUNTIF(O109:AS109, "&gt;0")</f>
        <v/>
      </c>
      <c r="AV109" s="12">
        <f>IF(AU109&gt;=5, 4, IF(AU109&gt;0, INT(AU109/6), 0))</f>
        <v/>
      </c>
      <c r="AW109" s="20" t="n">
        <v>0</v>
      </c>
      <c r="AX109" s="20" t="n">
        <v>0</v>
      </c>
      <c r="AY109" s="13">
        <f>MIN(31, AU109+AV109+AW109+AX109)</f>
        <v/>
      </c>
      <c r="AZ109" s="14">
        <f>31-AY109</f>
        <v/>
      </c>
      <c r="BA109" s="21">
        <f>IF(AX109&gt;0, "01-İstirahat", IF(AZ109&gt;0, "12-Birden Fazla", ""))</f>
        <v/>
      </c>
      <c r="BB109" s="10" t="n">
        <v>3.5</v>
      </c>
      <c r="BC109" s="23" t="n">
        <v>14</v>
      </c>
      <c r="BD109" s="9" t="n">
        <v>0</v>
      </c>
      <c r="BE109" s="22">
        <f>(L109/30)*AU109</f>
        <v/>
      </c>
      <c r="BF109" s="15">
        <f>(L109/225)*((BB109*1.5)-(BC109*1.0))</f>
        <v/>
      </c>
      <c r="BG109" s="16">
        <f>(L109/225)*1.5*BD109</f>
        <v/>
      </c>
      <c r="BH109" s="15">
        <f>BF109+BG109</f>
        <v/>
      </c>
      <c r="BI109" s="17">
        <f>BE109+BH109</f>
        <v/>
      </c>
      <c r="BJ109" s="22">
        <f>IFERROR(VLOOKUP(B109, Resmi_Bordro_SGK!B:M, 11, FALSE), 0)</f>
        <v/>
      </c>
      <c r="BK109" s="18">
        <f>IFERROR(VLOOKUP(B109, Icra_Takip!A:E, 4, FALSE), 0)</f>
        <v/>
      </c>
      <c r="BL109" s="17">
        <f>IF(BI109&gt;BJ109, BI109-BJ109-BK109, 0)</f>
        <v/>
      </c>
      <c r="BM109" s="17">
        <f>BI109-BK109</f>
        <v/>
      </c>
    </row>
    <row r="110" ht="19" customHeight="1">
      <c r="A110" s="4" t="n">
        <v>107</v>
      </c>
      <c r="B110" s="5" t="inlineStr">
        <is>
          <t>20266511430</t>
        </is>
      </c>
      <c r="C110" s="6" t="inlineStr">
        <is>
          <t>ELİF YAVAŞ</t>
        </is>
      </c>
      <c r="D110" s="4" t="inlineStr">
        <is>
          <t>K</t>
        </is>
      </c>
      <c r="E110" s="4" t="inlineStr"/>
      <c r="F110" s="4" t="inlineStr">
        <is>
          <t>01.06.2025</t>
        </is>
      </c>
      <c r="G110" s="4" t="inlineStr"/>
      <c r="H110" s="4" t="inlineStr">
        <is>
          <t>NORMAL</t>
        </is>
      </c>
      <c r="I110" s="4" t="inlineStr">
        <is>
          <t>DAİMİ</t>
        </is>
      </c>
      <c r="J110" s="6" t="inlineStr">
        <is>
          <t>MUHASEBE</t>
        </is>
      </c>
      <c r="K110" s="6" t="inlineStr">
        <is>
          <t>SUSURLUK</t>
        </is>
      </c>
      <c r="L110" s="7" t="n">
        <v>35000</v>
      </c>
      <c r="M110" s="4" t="inlineStr">
        <is>
          <t>FİDE KONSERVE</t>
        </is>
      </c>
      <c r="N110" s="4" t="inlineStr">
        <is>
          <t>ALIR</t>
        </is>
      </c>
      <c r="O110" s="8" t="n">
        <v>7.5</v>
      </c>
      <c r="P110" s="8" t="n">
        <v>7.5</v>
      </c>
      <c r="Q110" s="8" t="n">
        <v>7.5</v>
      </c>
      <c r="R110" s="9" t="n">
        <v>0</v>
      </c>
      <c r="S110" s="8" t="n">
        <v>7.5</v>
      </c>
      <c r="T110" s="8" t="n">
        <v>7.5</v>
      </c>
      <c r="U110" s="8" t="n">
        <v>7</v>
      </c>
      <c r="V110" s="23" t="n">
        <v>7.5</v>
      </c>
      <c r="W110" s="8" t="n">
        <v>7.5</v>
      </c>
      <c r="X110" s="8" t="n">
        <v>0</v>
      </c>
      <c r="Y110" s="9" t="n">
        <v>0</v>
      </c>
      <c r="Z110" s="8" t="n">
        <v>7.5</v>
      </c>
      <c r="AA110" s="8" t="n">
        <v>7.5</v>
      </c>
      <c r="AB110" s="8" t="n">
        <v>7.5</v>
      </c>
      <c r="AC110" s="8" t="n">
        <v>7.5</v>
      </c>
      <c r="AD110" s="8" t="n">
        <v>11.5</v>
      </c>
      <c r="AE110" s="8" t="n">
        <v>7.5</v>
      </c>
      <c r="AF110" s="9" t="n">
        <v>0</v>
      </c>
      <c r="AG110" s="8" t="n">
        <v>7.5</v>
      </c>
      <c r="AH110" s="8" t="n">
        <v>7.5</v>
      </c>
      <c r="AI110" s="8" t="n">
        <v>7.5</v>
      </c>
      <c r="AJ110" s="8" t="n">
        <v>0</v>
      </c>
      <c r="AK110" s="8" t="n">
        <v>0</v>
      </c>
      <c r="AL110" s="8" t="n">
        <v>0</v>
      </c>
      <c r="AM110" s="9" t="n">
        <v>0</v>
      </c>
      <c r="AN110" s="8" t="n">
        <v>0</v>
      </c>
      <c r="AO110" s="8" t="n">
        <v>0</v>
      </c>
      <c r="AP110" s="8" t="n">
        <v>0</v>
      </c>
      <c r="AQ110" s="8" t="n">
        <v>0</v>
      </c>
      <c r="AR110" s="8" t="n">
        <v>0</v>
      </c>
      <c r="AS110" s="8" t="n">
        <v>0</v>
      </c>
      <c r="AT110" s="10">
        <f>SUM(O110:AS110)</f>
        <v/>
      </c>
      <c r="AU110" s="11">
        <f>COUNTIF(O110:AS110, "&gt;0")</f>
        <v/>
      </c>
      <c r="AV110" s="12">
        <f>IF(AU110&gt;=5, 4, IF(AU110&gt;0, INT(AU110/6), 0))</f>
        <v/>
      </c>
      <c r="AW110" s="11" t="n">
        <v>0</v>
      </c>
      <c r="AX110" s="11" t="n">
        <v>0</v>
      </c>
      <c r="AY110" s="13">
        <f>MIN(31, AU110+AV110+AW110+AX110)</f>
        <v/>
      </c>
      <c r="AZ110" s="14">
        <f>31-AY110</f>
        <v/>
      </c>
      <c r="BA110" s="5">
        <f>IF(AX110&gt;0, "01-İstirahat", IF(AZ110&gt;0, "12-Birden Fazla", ""))</f>
        <v/>
      </c>
      <c r="BB110" s="10" t="n">
        <v>4</v>
      </c>
      <c r="BC110" s="23" t="n">
        <v>0.5</v>
      </c>
      <c r="BD110" s="9" t="n">
        <v>0</v>
      </c>
      <c r="BE110" s="7">
        <f>(L110/30)*AU110</f>
        <v/>
      </c>
      <c r="BF110" s="15">
        <f>(L110/225)*((BB110*1.5)-(BC110*1.0))</f>
        <v/>
      </c>
      <c r="BG110" s="16">
        <f>(L110/225)*1.5*BD110</f>
        <v/>
      </c>
      <c r="BH110" s="15">
        <f>BF110+BG110</f>
        <v/>
      </c>
      <c r="BI110" s="17">
        <f>BE110+BH110</f>
        <v/>
      </c>
      <c r="BJ110" s="7">
        <f>IFERROR(VLOOKUP(B110, Resmi_Bordro_SGK!B:M, 11, FALSE), 0)</f>
        <v/>
      </c>
      <c r="BK110" s="18">
        <f>IFERROR(VLOOKUP(B110, Icra_Takip!A:E, 4, FALSE), 0)</f>
        <v/>
      </c>
      <c r="BL110" s="17">
        <f>IF(BI110&gt;BJ110, BI110-BJ110-BK110, 0)</f>
        <v/>
      </c>
      <c r="BM110" s="17">
        <f>BI110-BK110</f>
        <v/>
      </c>
    </row>
    <row r="111" ht="19" customHeight="1">
      <c r="A111" s="4" t="n">
        <v>108</v>
      </c>
      <c r="B111" s="5" t="inlineStr">
        <is>
          <t>10357942922</t>
        </is>
      </c>
      <c r="C111" s="6" t="inlineStr">
        <is>
          <t>ELİF SADI</t>
        </is>
      </c>
      <c r="D111" s="4" t="inlineStr">
        <is>
          <t>K</t>
        </is>
      </c>
      <c r="E111" s="4" t="inlineStr"/>
      <c r="F111" s="4" t="inlineStr">
        <is>
          <t>08.07.2026</t>
        </is>
      </c>
      <c r="G111" s="4" t="inlineStr"/>
      <c r="H111" s="4" t="inlineStr">
        <is>
          <t>NORMAL</t>
        </is>
      </c>
      <c r="I111" s="4" t="inlineStr">
        <is>
          <t>MEVSİMLİK</t>
        </is>
      </c>
      <c r="J111" s="6" t="inlineStr">
        <is>
          <t>ÜRETİM</t>
        </is>
      </c>
      <c r="K111" s="6" t="inlineStr">
        <is>
          <t>KARACABEY-HALİL</t>
        </is>
      </c>
      <c r="L111" s="7" t="n">
        <v>28075.5</v>
      </c>
      <c r="M111" s="4" t="inlineStr">
        <is>
          <t>FİDE KONSERVE</t>
        </is>
      </c>
      <c r="N111" s="4" t="inlineStr">
        <is>
          <t>ALIR</t>
        </is>
      </c>
      <c r="O111" s="19" t="n">
        <v>0</v>
      </c>
      <c r="P111" s="19" t="n">
        <v>0</v>
      </c>
      <c r="Q111" s="19" t="n">
        <v>0</v>
      </c>
      <c r="R111" s="9" t="n">
        <v>0</v>
      </c>
      <c r="S111" s="19" t="n">
        <v>0</v>
      </c>
      <c r="T111" s="19" t="n">
        <v>0</v>
      </c>
      <c r="U111" s="19" t="n">
        <v>0</v>
      </c>
      <c r="V111" s="19" t="n">
        <v>0</v>
      </c>
      <c r="W111" s="19" t="n">
        <v>0</v>
      </c>
      <c r="X111" s="19" t="n">
        <v>0</v>
      </c>
      <c r="Y111" s="9" t="n">
        <v>0</v>
      </c>
      <c r="Z111" s="19" t="n">
        <v>0</v>
      </c>
      <c r="AA111" s="19" t="n">
        <v>0</v>
      </c>
      <c r="AB111" s="19" t="n">
        <v>0</v>
      </c>
      <c r="AC111" s="19" t="n">
        <v>0</v>
      </c>
      <c r="AD111" s="19" t="n">
        <v>0</v>
      </c>
      <c r="AE111" s="19" t="n">
        <v>0</v>
      </c>
      <c r="AF111" s="9" t="n">
        <v>0</v>
      </c>
      <c r="AG111" s="19" t="n">
        <v>0</v>
      </c>
      <c r="AH111" s="19" t="n">
        <v>0</v>
      </c>
      <c r="AI111" s="19" t="n">
        <v>0</v>
      </c>
      <c r="AJ111" s="19" t="n">
        <v>0</v>
      </c>
      <c r="AK111" s="19" t="n">
        <v>0</v>
      </c>
      <c r="AL111" s="19" t="n">
        <v>0</v>
      </c>
      <c r="AM111" s="9" t="n">
        <v>0</v>
      </c>
      <c r="AN111" s="19" t="n">
        <v>0</v>
      </c>
      <c r="AO111" s="19" t="n">
        <v>0</v>
      </c>
      <c r="AP111" s="19" t="n">
        <v>0</v>
      </c>
      <c r="AQ111" s="19" t="n">
        <v>0</v>
      </c>
      <c r="AR111" s="19" t="n">
        <v>0</v>
      </c>
      <c r="AS111" s="19" t="n">
        <v>0</v>
      </c>
      <c r="AT111" s="10">
        <f>SUM(O111:AS111)</f>
        <v/>
      </c>
      <c r="AU111" s="20">
        <f>COUNTIF(O111:AS111, "&gt;0")</f>
        <v/>
      </c>
      <c r="AV111" s="12">
        <f>IF(AU111&gt;=5, 4, IF(AU111&gt;0, INT(AU111/6), 0))</f>
        <v/>
      </c>
      <c r="AW111" s="20" t="n">
        <v>0</v>
      </c>
      <c r="AX111" s="20" t="n">
        <v>0</v>
      </c>
      <c r="AY111" s="13">
        <f>MIN(31, AU111+AV111+AW111+AX111)</f>
        <v/>
      </c>
      <c r="AZ111" s="14">
        <f>31-AY111</f>
        <v/>
      </c>
      <c r="BA111" s="21">
        <f>IF(AX111&gt;0, "01-İstirahat", IF(AZ111&gt;0, "12-Birden Fazla", ""))</f>
        <v/>
      </c>
      <c r="BB111" s="10" t="n">
        <v>0</v>
      </c>
      <c r="BC111" s="19" t="n">
        <v>0</v>
      </c>
      <c r="BD111" s="9" t="n">
        <v>0</v>
      </c>
      <c r="BE111" s="22">
        <f>(L111/30)*AU111</f>
        <v/>
      </c>
      <c r="BF111" s="15">
        <f>(L111/225)*((BB111*1.5)-(BC111*1.0))</f>
        <v/>
      </c>
      <c r="BG111" s="16">
        <f>(L111/225)*1.5*BD111</f>
        <v/>
      </c>
      <c r="BH111" s="15">
        <f>BF111+BG111</f>
        <v/>
      </c>
      <c r="BI111" s="17">
        <f>BE111+BH111</f>
        <v/>
      </c>
      <c r="BJ111" s="22">
        <f>IFERROR(VLOOKUP(B111, Resmi_Bordro_SGK!B:M, 11, FALSE), 0)</f>
        <v/>
      </c>
      <c r="BK111" s="18">
        <f>IFERROR(VLOOKUP(B111, Icra_Takip!A:E, 4, FALSE), 0)</f>
        <v/>
      </c>
      <c r="BL111" s="17">
        <f>IF(BI111&gt;BJ111, BI111-BJ111-BK111, 0)</f>
        <v/>
      </c>
      <c r="BM111" s="17">
        <f>BI111-BK111</f>
        <v/>
      </c>
    </row>
    <row r="112" ht="19" customHeight="1">
      <c r="A112" s="4" t="n">
        <v>109</v>
      </c>
      <c r="B112" s="5" t="inlineStr"/>
      <c r="C112" s="6" t="inlineStr">
        <is>
          <t>ELİF NAZ UZER</t>
        </is>
      </c>
      <c r="D112" s="4" t="inlineStr"/>
      <c r="E112" s="4" t="inlineStr"/>
      <c r="F112" s="4" t="inlineStr"/>
      <c r="G112" s="4" t="inlineStr"/>
      <c r="H112" s="4" t="inlineStr">
        <is>
          <t>NORMAL</t>
        </is>
      </c>
      <c r="I112" s="4" t="inlineStr">
        <is>
          <t>MEVSİMLİK</t>
        </is>
      </c>
      <c r="J112" s="6" t="inlineStr"/>
      <c r="K112" s="6" t="inlineStr"/>
      <c r="L112" s="7" t="n">
        <v>28075.5</v>
      </c>
      <c r="M112" s="4" t="inlineStr">
        <is>
          <t>FİDE KONSERVE</t>
        </is>
      </c>
      <c r="N112" s="4" t="inlineStr">
        <is>
          <t>ALIR</t>
        </is>
      </c>
      <c r="O112" s="8" t="n">
        <v>0</v>
      </c>
      <c r="P112" s="8" t="n">
        <v>0</v>
      </c>
      <c r="Q112" s="8" t="n">
        <v>0</v>
      </c>
      <c r="R112" s="9" t="n">
        <v>0</v>
      </c>
      <c r="S112" s="8" t="n">
        <v>0</v>
      </c>
      <c r="T112" s="8" t="n">
        <v>0</v>
      </c>
      <c r="U112" s="8" t="n">
        <v>0</v>
      </c>
      <c r="V112" s="8" t="n">
        <v>0</v>
      </c>
      <c r="W112" s="8" t="n">
        <v>0</v>
      </c>
      <c r="X112" s="8" t="n">
        <v>0</v>
      </c>
      <c r="Y112" s="9" t="n">
        <v>0</v>
      </c>
      <c r="Z112" s="8" t="n">
        <v>0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9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  <c r="AK112" s="8" t="n">
        <v>0</v>
      </c>
      <c r="AL112" s="8" t="n">
        <v>0</v>
      </c>
      <c r="AM112" s="9" t="n">
        <v>0</v>
      </c>
      <c r="AN112" s="8" t="n">
        <v>0</v>
      </c>
      <c r="AO112" s="8" t="n">
        <v>0</v>
      </c>
      <c r="AP112" s="8" t="n">
        <v>0</v>
      </c>
      <c r="AQ112" s="8" t="n">
        <v>0</v>
      </c>
      <c r="AR112" s="8" t="n">
        <v>0</v>
      </c>
      <c r="AS112" s="8" t="n">
        <v>0</v>
      </c>
      <c r="AT112" s="10">
        <f>SUM(O112:AS112)</f>
        <v/>
      </c>
      <c r="AU112" s="11">
        <f>COUNTIF(O112:AS112, "&gt;0")</f>
        <v/>
      </c>
      <c r="AV112" s="12">
        <f>IF(AU112&gt;=5, 4, IF(AU112&gt;0, INT(AU112/6), 0))</f>
        <v/>
      </c>
      <c r="AW112" s="11" t="n">
        <v>0</v>
      </c>
      <c r="AX112" s="11" t="n">
        <v>0</v>
      </c>
      <c r="AY112" s="13">
        <f>MIN(31, AU112+AV112+AW112+AX112)</f>
        <v/>
      </c>
      <c r="AZ112" s="14">
        <f>31-AY112</f>
        <v/>
      </c>
      <c r="BA112" s="5">
        <f>IF(AX112&gt;0, "01-İstirahat", IF(AZ112&gt;0, "12-Birden Fazla", ""))</f>
        <v/>
      </c>
      <c r="BB112" s="10" t="n">
        <v>0</v>
      </c>
      <c r="BC112" s="8" t="n">
        <v>0</v>
      </c>
      <c r="BD112" s="9" t="n">
        <v>0</v>
      </c>
      <c r="BE112" s="7">
        <f>(L112/30)*AU112</f>
        <v/>
      </c>
      <c r="BF112" s="15">
        <f>(L112/225)*((BB112*1.5)-(BC112*1.0))</f>
        <v/>
      </c>
      <c r="BG112" s="16">
        <f>(L112/225)*1.5*BD112</f>
        <v/>
      </c>
      <c r="BH112" s="15">
        <f>BF112+BG112</f>
        <v/>
      </c>
      <c r="BI112" s="17">
        <f>BE112+BH112</f>
        <v/>
      </c>
      <c r="BJ112" s="7">
        <f>IFERROR(VLOOKUP(B112, Resmi_Bordro_SGK!B:M, 11, FALSE), 0)</f>
        <v/>
      </c>
      <c r="BK112" s="18">
        <f>IFERROR(VLOOKUP(B112, Icra_Takip!A:E, 4, FALSE), 0)</f>
        <v/>
      </c>
      <c r="BL112" s="17">
        <f>IF(BI112&gt;BJ112, BI112-BJ112-BK112, 0)</f>
        <v/>
      </c>
      <c r="BM112" s="17">
        <f>BI112-BK112</f>
        <v/>
      </c>
    </row>
    <row r="113" ht="19" customHeight="1">
      <c r="A113" s="4" t="n">
        <v>110</v>
      </c>
      <c r="B113" s="5" t="inlineStr">
        <is>
          <t>20036722080</t>
        </is>
      </c>
      <c r="C113" s="6" t="inlineStr">
        <is>
          <t>ELMAS OMAY</t>
        </is>
      </c>
      <c r="D113" s="4" t="inlineStr">
        <is>
          <t>K</t>
        </is>
      </c>
      <c r="E113" s="4" t="inlineStr"/>
      <c r="F113" s="4" t="inlineStr">
        <is>
          <t>14.06.2021</t>
        </is>
      </c>
      <c r="G113" s="4" t="inlineStr"/>
      <c r="H113" s="4" t="inlineStr">
        <is>
          <t>NORMAL</t>
        </is>
      </c>
      <c r="I113" s="4" t="inlineStr">
        <is>
          <t>MEVSİMLİK</t>
        </is>
      </c>
      <c r="J113" s="6" t="inlineStr">
        <is>
          <t>AMBAR</t>
        </is>
      </c>
      <c r="K113" s="6" t="inlineStr">
        <is>
          <t>BALIKESİR</t>
        </is>
      </c>
      <c r="L113" s="7" t="n">
        <v>28075.5</v>
      </c>
      <c r="M113" s="4" t="inlineStr">
        <is>
          <t>FİDE KONSERVE</t>
        </is>
      </c>
      <c r="N113" s="4" t="inlineStr">
        <is>
          <t>ALIR</t>
        </is>
      </c>
      <c r="O113" s="19" t="n">
        <v>8</v>
      </c>
      <c r="P113" s="19" t="n">
        <v>8.5</v>
      </c>
      <c r="Q113" s="19" t="n">
        <v>8</v>
      </c>
      <c r="R113" s="9" t="n">
        <v>0</v>
      </c>
      <c r="S113" s="19" t="n">
        <v>7.5</v>
      </c>
      <c r="T113" s="19" t="n">
        <v>0</v>
      </c>
      <c r="U113" s="19" t="n">
        <v>7.5</v>
      </c>
      <c r="V113" s="19" t="n">
        <v>8</v>
      </c>
      <c r="W113" s="19" t="n">
        <v>8</v>
      </c>
      <c r="X113" s="19" t="n">
        <v>8.5</v>
      </c>
      <c r="Y113" s="9" t="n">
        <v>0</v>
      </c>
      <c r="Z113" s="19" t="n">
        <v>7.5</v>
      </c>
      <c r="AA113" s="19" t="n">
        <v>7.5</v>
      </c>
      <c r="AB113" s="19" t="n">
        <v>8.5</v>
      </c>
      <c r="AC113" s="19" t="n">
        <v>7.5</v>
      </c>
      <c r="AD113" s="19" t="n">
        <v>10.5</v>
      </c>
      <c r="AE113" s="19" t="n">
        <v>8.5</v>
      </c>
      <c r="AF113" s="9" t="n">
        <v>0</v>
      </c>
      <c r="AG113" s="19" t="n">
        <v>0</v>
      </c>
      <c r="AH113" s="19" t="n">
        <v>7.5</v>
      </c>
      <c r="AI113" s="19" t="n">
        <v>7.5</v>
      </c>
      <c r="AJ113" s="19" t="n">
        <v>0</v>
      </c>
      <c r="AK113" s="19" t="n">
        <v>0</v>
      </c>
      <c r="AL113" s="19" t="n">
        <v>0</v>
      </c>
      <c r="AM113" s="9" t="n">
        <v>0</v>
      </c>
      <c r="AN113" s="19" t="n">
        <v>0</v>
      </c>
      <c r="AO113" s="19" t="n">
        <v>0</v>
      </c>
      <c r="AP113" s="19" t="n">
        <v>0</v>
      </c>
      <c r="AQ113" s="19" t="n">
        <v>0</v>
      </c>
      <c r="AR113" s="19" t="n">
        <v>0</v>
      </c>
      <c r="AS113" s="19" t="n">
        <v>0</v>
      </c>
      <c r="AT113" s="10">
        <f>SUM(O113:AS113)</f>
        <v/>
      </c>
      <c r="AU113" s="20">
        <f>COUNTIF(O113:AS113, "&gt;0")</f>
        <v/>
      </c>
      <c r="AV113" s="12">
        <f>IF(AU113&gt;=5, 4, IF(AU113&gt;0, INT(AU113/6), 0))</f>
        <v/>
      </c>
      <c r="AW113" s="20" t="n">
        <v>3</v>
      </c>
      <c r="AX113" s="20" t="n">
        <v>0</v>
      </c>
      <c r="AY113" s="13">
        <f>MIN(31, AU113+AV113+AW113+AX113)</f>
        <v/>
      </c>
      <c r="AZ113" s="14">
        <f>31-AY113</f>
        <v/>
      </c>
      <c r="BA113" s="21">
        <f>IF(AX113&gt;0, "01-İstirahat", IF(AZ113&gt;0, "12-Birden Fazla", ""))</f>
        <v/>
      </c>
      <c r="BB113" s="10" t="n">
        <v>9</v>
      </c>
      <c r="BC113" s="19" t="n">
        <v>0</v>
      </c>
      <c r="BD113" s="9" t="n">
        <v>0</v>
      </c>
      <c r="BE113" s="22">
        <f>(L113/30)*AU113</f>
        <v/>
      </c>
      <c r="BF113" s="15">
        <f>(L113/225)*((BB113*1.5)-(BC113*1.0))</f>
        <v/>
      </c>
      <c r="BG113" s="16">
        <f>(L113/225)*1.5*BD113</f>
        <v/>
      </c>
      <c r="BH113" s="15">
        <f>BF113+BG113</f>
        <v/>
      </c>
      <c r="BI113" s="17">
        <f>BE113+BH113</f>
        <v/>
      </c>
      <c r="BJ113" s="22">
        <f>IFERROR(VLOOKUP(B113, Resmi_Bordro_SGK!B:M, 11, FALSE), 0)</f>
        <v/>
      </c>
      <c r="BK113" s="18">
        <f>IFERROR(VLOOKUP(B113, Icra_Takip!A:E, 4, FALSE), 0)</f>
        <v/>
      </c>
      <c r="BL113" s="17">
        <f>IF(BI113&gt;BJ113, BI113-BJ113-BK113, 0)</f>
        <v/>
      </c>
      <c r="BM113" s="17">
        <f>BI113-BK113</f>
        <v/>
      </c>
    </row>
    <row r="114" ht="19" customHeight="1">
      <c r="A114" s="4" t="n">
        <v>111</v>
      </c>
      <c r="B114" s="5" t="inlineStr">
        <is>
          <t>31009103096</t>
        </is>
      </c>
      <c r="C114" s="6" t="inlineStr">
        <is>
          <t>EMEL SANAN</t>
        </is>
      </c>
      <c r="D114" s="4" t="inlineStr">
        <is>
          <t>K</t>
        </is>
      </c>
      <c r="E114" s="4" t="inlineStr"/>
      <c r="F114" s="4" t="inlineStr">
        <is>
          <t>17.05.2023</t>
        </is>
      </c>
      <c r="G114" s="4" t="inlineStr"/>
      <c r="H114" s="4" t="inlineStr">
        <is>
          <t>NORMAL</t>
        </is>
      </c>
      <c r="I114" s="4" t="inlineStr">
        <is>
          <t>MEVSİMLİK</t>
        </is>
      </c>
      <c r="J114" s="6" t="inlineStr">
        <is>
          <t>AMBAR</t>
        </is>
      </c>
      <c r="K114" s="6" t="inlineStr">
        <is>
          <t>BİGADİÇ</t>
        </is>
      </c>
      <c r="L114" s="7" t="n">
        <v>35000</v>
      </c>
      <c r="M114" s="4" t="inlineStr">
        <is>
          <t>FİDE KONSERVE</t>
        </is>
      </c>
      <c r="N114" s="4" t="inlineStr">
        <is>
          <t>ALIR</t>
        </is>
      </c>
      <c r="O114" s="8" t="n">
        <v>7.5</v>
      </c>
      <c r="P114" s="8" t="n">
        <v>7.5</v>
      </c>
      <c r="Q114" s="8" t="n">
        <v>0</v>
      </c>
      <c r="R114" s="9" t="n">
        <v>0</v>
      </c>
      <c r="S114" s="8" t="n">
        <v>7.5</v>
      </c>
      <c r="T114" s="8" t="n">
        <v>7.5</v>
      </c>
      <c r="U114" s="8" t="n">
        <v>7.5</v>
      </c>
      <c r="V114" s="8" t="n">
        <v>7.5</v>
      </c>
      <c r="W114" s="8" t="n">
        <v>7.5</v>
      </c>
      <c r="X114" s="8" t="n">
        <v>7.5</v>
      </c>
      <c r="Y114" s="9" t="n">
        <v>0</v>
      </c>
      <c r="Z114" s="8" t="n">
        <v>8.5</v>
      </c>
      <c r="AA114" s="8" t="n">
        <v>0</v>
      </c>
      <c r="AB114" s="8" t="n">
        <v>7.5</v>
      </c>
      <c r="AC114" s="8" t="n">
        <v>8</v>
      </c>
      <c r="AD114" s="8" t="n">
        <v>7.5</v>
      </c>
      <c r="AE114" s="8" t="n">
        <v>7.5</v>
      </c>
      <c r="AF114" s="9" t="n">
        <v>7.5</v>
      </c>
      <c r="AG114" s="8" t="n">
        <v>7.5</v>
      </c>
      <c r="AH114" s="8" t="n">
        <v>7.5</v>
      </c>
      <c r="AI114" s="8" t="n">
        <v>7.5</v>
      </c>
      <c r="AJ114" s="8" t="n">
        <v>0</v>
      </c>
      <c r="AK114" s="8" t="n">
        <v>0</v>
      </c>
      <c r="AL114" s="8" t="n">
        <v>0</v>
      </c>
      <c r="AM114" s="9" t="n">
        <v>0</v>
      </c>
      <c r="AN114" s="8" t="n">
        <v>0</v>
      </c>
      <c r="AO114" s="8" t="n">
        <v>0</v>
      </c>
      <c r="AP114" s="8" t="n">
        <v>0</v>
      </c>
      <c r="AQ114" s="8" t="n">
        <v>0</v>
      </c>
      <c r="AR114" s="8" t="n">
        <v>0</v>
      </c>
      <c r="AS114" s="8" t="n">
        <v>0</v>
      </c>
      <c r="AT114" s="10">
        <f>SUM(O114:AS114)</f>
        <v/>
      </c>
      <c r="AU114" s="11">
        <f>COUNTIF(O114:AS114, "&gt;0")</f>
        <v/>
      </c>
      <c r="AV114" s="12">
        <f>IF(AU114&gt;=5, 4, IF(AU114&gt;0, INT(AU114/6), 0))</f>
        <v/>
      </c>
      <c r="AW114" s="11" t="n">
        <v>10</v>
      </c>
      <c r="AX114" s="11" t="n">
        <v>0</v>
      </c>
      <c r="AY114" s="13">
        <f>MIN(31, AU114+AV114+AW114+AX114)</f>
        <v/>
      </c>
      <c r="AZ114" s="14">
        <f>31-AY114</f>
        <v/>
      </c>
      <c r="BA114" s="5">
        <f>IF(AX114&gt;0, "01-İstirahat", IF(AZ114&gt;0, "12-Birden Fazla", ""))</f>
        <v/>
      </c>
      <c r="BB114" s="10" t="n">
        <v>1.5</v>
      </c>
      <c r="BC114" s="8" t="n">
        <v>0</v>
      </c>
      <c r="BD114" s="9" t="n">
        <v>7.5</v>
      </c>
      <c r="BE114" s="7">
        <f>(L114/30)*AU114</f>
        <v/>
      </c>
      <c r="BF114" s="15">
        <f>(L114/225)*((BB114*1.5)-(BC114*1.0))</f>
        <v/>
      </c>
      <c r="BG114" s="16">
        <f>(L114/225)*1.5*BD114</f>
        <v/>
      </c>
      <c r="BH114" s="15">
        <f>BF114+BG114</f>
        <v/>
      </c>
      <c r="BI114" s="17">
        <f>BE114+BH114</f>
        <v/>
      </c>
      <c r="BJ114" s="7">
        <f>IFERROR(VLOOKUP(B114, Resmi_Bordro_SGK!B:M, 11, FALSE), 0)</f>
        <v/>
      </c>
      <c r="BK114" s="18">
        <f>IFERROR(VLOOKUP(B114, Icra_Takip!A:E, 4, FALSE), 0)</f>
        <v/>
      </c>
      <c r="BL114" s="17">
        <f>IF(BI114&gt;BJ114, BI114-BJ114-BK114, 0)</f>
        <v/>
      </c>
      <c r="BM114" s="17">
        <f>BI114-BK114</f>
        <v/>
      </c>
    </row>
    <row r="115" ht="19" customHeight="1">
      <c r="A115" s="4" t="n">
        <v>112</v>
      </c>
      <c r="B115" s="5" t="inlineStr">
        <is>
          <t>20584476770</t>
        </is>
      </c>
      <c r="C115" s="6" t="inlineStr">
        <is>
          <t>EMİNE ATEŞ</t>
        </is>
      </c>
      <c r="D115" s="4" t="inlineStr">
        <is>
          <t>K</t>
        </is>
      </c>
      <c r="E115" s="4" t="inlineStr"/>
      <c r="F115" s="4" t="inlineStr">
        <is>
          <t>10.02.2026</t>
        </is>
      </c>
      <c r="G115" s="4" t="inlineStr"/>
      <c r="H115" s="4" t="inlineStr">
        <is>
          <t>NORMAL</t>
        </is>
      </c>
      <c r="I115" s="4" t="inlineStr">
        <is>
          <t>MEVSİMLİK</t>
        </is>
      </c>
      <c r="J115" s="6" t="inlineStr">
        <is>
          <t>BALIK TEMİZLEME</t>
        </is>
      </c>
      <c r="K115" s="6" t="inlineStr">
        <is>
          <t>BALIKESİR</t>
        </is>
      </c>
      <c r="L115" s="7" t="n">
        <v>33000</v>
      </c>
      <c r="M115" s="4" t="inlineStr">
        <is>
          <t>FİDE KONSERVE</t>
        </is>
      </c>
      <c r="N115" s="4" t="inlineStr">
        <is>
          <t>ALIR</t>
        </is>
      </c>
      <c r="O115" s="19" t="n">
        <v>8</v>
      </c>
      <c r="P115" s="19" t="n">
        <v>8</v>
      </c>
      <c r="Q115" s="19" t="n">
        <v>8</v>
      </c>
      <c r="R115" s="9" t="n">
        <v>0</v>
      </c>
      <c r="S115" s="19" t="n">
        <v>7.5</v>
      </c>
      <c r="T115" s="19" t="n">
        <v>8</v>
      </c>
      <c r="U115" s="19" t="n">
        <v>0</v>
      </c>
      <c r="V115" s="19" t="n">
        <v>0</v>
      </c>
      <c r="W115" s="19" t="n">
        <v>0</v>
      </c>
      <c r="X115" s="19" t="n">
        <v>0</v>
      </c>
      <c r="Y115" s="9" t="n">
        <v>0</v>
      </c>
      <c r="Z115" s="19" t="n">
        <v>0</v>
      </c>
      <c r="AA115" s="19" t="n">
        <v>0</v>
      </c>
      <c r="AB115" s="19" t="n">
        <v>0</v>
      </c>
      <c r="AC115" s="19" t="n">
        <v>0</v>
      </c>
      <c r="AD115" s="19" t="n">
        <v>0</v>
      </c>
      <c r="AE115" s="19" t="n">
        <v>0</v>
      </c>
      <c r="AF115" s="9" t="n">
        <v>0</v>
      </c>
      <c r="AG115" s="19" t="n">
        <v>8</v>
      </c>
      <c r="AH115" s="19" t="n">
        <v>7.5</v>
      </c>
      <c r="AI115" s="19" t="n">
        <v>7.5</v>
      </c>
      <c r="AJ115" s="19" t="n">
        <v>0</v>
      </c>
      <c r="AK115" s="19" t="n">
        <v>0</v>
      </c>
      <c r="AL115" s="19" t="n">
        <v>0</v>
      </c>
      <c r="AM115" s="9" t="n">
        <v>0</v>
      </c>
      <c r="AN115" s="19" t="n">
        <v>0</v>
      </c>
      <c r="AO115" s="19" t="n">
        <v>0</v>
      </c>
      <c r="AP115" s="19" t="n">
        <v>0</v>
      </c>
      <c r="AQ115" s="19" t="n">
        <v>0</v>
      </c>
      <c r="AR115" s="19" t="n">
        <v>0</v>
      </c>
      <c r="AS115" s="19" t="n">
        <v>0</v>
      </c>
      <c r="AT115" s="10">
        <f>SUM(O115:AS115)</f>
        <v/>
      </c>
      <c r="AU115" s="20">
        <f>COUNTIF(O115:AS115, "&gt;0")</f>
        <v/>
      </c>
      <c r="AV115" s="12">
        <f>IF(AU115&gt;=5, 4, IF(AU115&gt;0, INT(AU115/6), 0))</f>
        <v/>
      </c>
      <c r="AW115" s="20" t="n">
        <v>0</v>
      </c>
      <c r="AX115" s="20" t="n">
        <v>0</v>
      </c>
      <c r="AY115" s="13">
        <f>MIN(31, AU115+AV115+AW115+AX115)</f>
        <v/>
      </c>
      <c r="AZ115" s="14">
        <f>31-AY115</f>
        <v/>
      </c>
      <c r="BA115" s="21">
        <f>IF(AX115&gt;0, "01-İstirahat", IF(AZ115&gt;0, "12-Birden Fazla", ""))</f>
        <v/>
      </c>
      <c r="BB115" s="10" t="n">
        <v>2.5</v>
      </c>
      <c r="BC115" s="19" t="n">
        <v>0</v>
      </c>
      <c r="BD115" s="9" t="n">
        <v>0</v>
      </c>
      <c r="BE115" s="22">
        <f>(L115/30)*AU115</f>
        <v/>
      </c>
      <c r="BF115" s="15">
        <f>(L115/225)*((BB115*1.5)-(BC115*1.0))</f>
        <v/>
      </c>
      <c r="BG115" s="16">
        <f>(L115/225)*1.5*BD115</f>
        <v/>
      </c>
      <c r="BH115" s="15">
        <f>BF115+BG115</f>
        <v/>
      </c>
      <c r="BI115" s="17">
        <f>BE115+BH115</f>
        <v/>
      </c>
      <c r="BJ115" s="22">
        <f>IFERROR(VLOOKUP(B115, Resmi_Bordro_SGK!B:M, 11, FALSE), 0)</f>
        <v/>
      </c>
      <c r="BK115" s="18">
        <f>IFERROR(VLOOKUP(B115, Icra_Takip!A:E, 4, FALSE), 0)</f>
        <v/>
      </c>
      <c r="BL115" s="17">
        <f>IF(BI115&gt;BJ115, BI115-BJ115-BK115, 0)</f>
        <v/>
      </c>
      <c r="BM115" s="17">
        <f>BI115-BK115</f>
        <v/>
      </c>
    </row>
    <row r="116" ht="19" customHeight="1">
      <c r="A116" s="4" t="n">
        <v>113</v>
      </c>
      <c r="B116" s="5" t="inlineStr">
        <is>
          <t>12523718256</t>
        </is>
      </c>
      <c r="C116" s="6" t="inlineStr">
        <is>
          <t>EMİNE BAYER</t>
        </is>
      </c>
      <c r="D116" s="4" t="inlineStr">
        <is>
          <t>K</t>
        </is>
      </c>
      <c r="E116" s="4" t="inlineStr"/>
      <c r="F116" s="4" t="inlineStr">
        <is>
          <t>12.05.2023</t>
        </is>
      </c>
      <c r="G116" s="4" t="inlineStr"/>
      <c r="H116" s="4" t="inlineStr">
        <is>
          <t>NORMAL</t>
        </is>
      </c>
      <c r="I116" s="4" t="inlineStr">
        <is>
          <t>MEVSİMLİK</t>
        </is>
      </c>
      <c r="J116" s="6" t="inlineStr">
        <is>
          <t>AMBAR</t>
        </is>
      </c>
      <c r="K116" s="6" t="inlineStr">
        <is>
          <t>BİGADİÇ</t>
        </is>
      </c>
      <c r="L116" s="7" t="n">
        <v>28075.5</v>
      </c>
      <c r="M116" s="4" t="inlineStr">
        <is>
          <t>FİDE KONSERVE</t>
        </is>
      </c>
      <c r="N116" s="4" t="inlineStr">
        <is>
          <t>ALIR</t>
        </is>
      </c>
      <c r="O116" s="8" t="n">
        <v>7.5</v>
      </c>
      <c r="P116" s="8" t="n">
        <v>7.5</v>
      </c>
      <c r="Q116" s="8" t="n">
        <v>7.5</v>
      </c>
      <c r="R116" s="9" t="n">
        <v>0</v>
      </c>
      <c r="S116" s="8" t="n">
        <v>7.5</v>
      </c>
      <c r="T116" s="8" t="n">
        <v>7.5</v>
      </c>
      <c r="U116" s="8" t="n">
        <v>7.5</v>
      </c>
      <c r="V116" s="8" t="n">
        <v>7.5</v>
      </c>
      <c r="W116" s="8" t="n">
        <v>7.5</v>
      </c>
      <c r="X116" s="8" t="n">
        <v>7.5</v>
      </c>
      <c r="Y116" s="9" t="n">
        <v>0</v>
      </c>
      <c r="Z116" s="8" t="n">
        <v>8.5</v>
      </c>
      <c r="AA116" s="8" t="n">
        <v>7.5</v>
      </c>
      <c r="AB116" s="8" t="n">
        <v>7.5</v>
      </c>
      <c r="AC116" s="8" t="n">
        <v>7.5</v>
      </c>
      <c r="AD116" s="8" t="n">
        <v>7.5</v>
      </c>
      <c r="AE116" s="8" t="n">
        <v>7.5</v>
      </c>
      <c r="AF116" s="9" t="n">
        <v>7.5</v>
      </c>
      <c r="AG116" s="8" t="n">
        <v>7.5</v>
      </c>
      <c r="AH116" s="8" t="n">
        <v>7.5</v>
      </c>
      <c r="AI116" s="8" t="n">
        <v>7.5</v>
      </c>
      <c r="AJ116" s="8" t="n">
        <v>0</v>
      </c>
      <c r="AK116" s="8" t="n">
        <v>0</v>
      </c>
      <c r="AL116" s="8" t="n">
        <v>0</v>
      </c>
      <c r="AM116" s="9" t="n">
        <v>0</v>
      </c>
      <c r="AN116" s="8" t="n">
        <v>0</v>
      </c>
      <c r="AO116" s="8" t="n">
        <v>0</v>
      </c>
      <c r="AP116" s="8" t="n">
        <v>0</v>
      </c>
      <c r="AQ116" s="8" t="n">
        <v>0</v>
      </c>
      <c r="AR116" s="8" t="n">
        <v>0</v>
      </c>
      <c r="AS116" s="8" t="n">
        <v>0</v>
      </c>
      <c r="AT116" s="10">
        <f>SUM(O116:AS116)</f>
        <v/>
      </c>
      <c r="AU116" s="11">
        <f>COUNTIF(O116:AS116, "&gt;0")</f>
        <v/>
      </c>
      <c r="AV116" s="12">
        <f>IF(AU116&gt;=5, 4, IF(AU116&gt;0, INT(AU116/6), 0))</f>
        <v/>
      </c>
      <c r="AW116" s="11" t="n">
        <v>0</v>
      </c>
      <c r="AX116" s="11" t="n">
        <v>0</v>
      </c>
      <c r="AY116" s="13">
        <f>MIN(31, AU116+AV116+AW116+AX116)</f>
        <v/>
      </c>
      <c r="AZ116" s="14">
        <f>31-AY116</f>
        <v/>
      </c>
      <c r="BA116" s="5">
        <f>IF(AX116&gt;0, "01-İstirahat", IF(AZ116&gt;0, "12-Birden Fazla", ""))</f>
        <v/>
      </c>
      <c r="BB116" s="10" t="n">
        <v>1</v>
      </c>
      <c r="BC116" s="8" t="n">
        <v>0</v>
      </c>
      <c r="BD116" s="9" t="n">
        <v>7.5</v>
      </c>
      <c r="BE116" s="7">
        <f>(L116/30)*AU116</f>
        <v/>
      </c>
      <c r="BF116" s="15">
        <f>(L116/225)*((BB116*1.5)-(BC116*1.0))</f>
        <v/>
      </c>
      <c r="BG116" s="16">
        <f>(L116/225)*1.5*BD116</f>
        <v/>
      </c>
      <c r="BH116" s="15">
        <f>BF116+BG116</f>
        <v/>
      </c>
      <c r="BI116" s="17">
        <f>BE116+BH116</f>
        <v/>
      </c>
      <c r="BJ116" s="7">
        <f>IFERROR(VLOOKUP(B116, Resmi_Bordro_SGK!B:M, 11, FALSE), 0)</f>
        <v/>
      </c>
      <c r="BK116" s="18">
        <f>IFERROR(VLOOKUP(B116, Icra_Takip!A:E, 4, FALSE), 0)</f>
        <v/>
      </c>
      <c r="BL116" s="17">
        <f>IF(BI116&gt;BJ116, BI116-BJ116-BK116, 0)</f>
        <v/>
      </c>
      <c r="BM116" s="17">
        <f>BI116-BK116</f>
        <v/>
      </c>
    </row>
    <row r="117" ht="19" customHeight="1">
      <c r="A117" s="4" t="n">
        <v>114</v>
      </c>
      <c r="B117" s="5" t="inlineStr">
        <is>
          <t>20503503198</t>
        </is>
      </c>
      <c r="C117" s="6" t="inlineStr">
        <is>
          <t>EMİNE ÇAPAR</t>
        </is>
      </c>
      <c r="D117" s="4" t="inlineStr">
        <is>
          <t>K</t>
        </is>
      </c>
      <c r="E117" s="4" t="inlineStr"/>
      <c r="F117" s="4" t="inlineStr">
        <is>
          <t>16.07.2019</t>
        </is>
      </c>
      <c r="G117" s="4" t="inlineStr"/>
      <c r="H117" s="4" t="inlineStr">
        <is>
          <t>NORMAL</t>
        </is>
      </c>
      <c r="I117" s="4" t="inlineStr">
        <is>
          <t>DAİMİ</t>
        </is>
      </c>
      <c r="J117" s="6" t="inlineStr">
        <is>
          <t>YEMEKHANE</t>
        </is>
      </c>
      <c r="K117" s="6" t="inlineStr">
        <is>
          <t>GÖBEL</t>
        </is>
      </c>
      <c r="L117" s="7" t="n">
        <v>28075.5</v>
      </c>
      <c r="M117" s="4" t="inlineStr">
        <is>
          <t>FİDE KONSERVE</t>
        </is>
      </c>
      <c r="N117" s="4" t="inlineStr">
        <is>
          <t>ALIR</t>
        </is>
      </c>
      <c r="O117" s="19" t="n">
        <v>8.5</v>
      </c>
      <c r="P117" s="19" t="n">
        <v>9.5</v>
      </c>
      <c r="Q117" s="19" t="n">
        <v>8.5</v>
      </c>
      <c r="R117" s="9" t="n">
        <v>10</v>
      </c>
      <c r="S117" s="19" t="n">
        <v>8.5</v>
      </c>
      <c r="T117" s="19" t="n">
        <v>8.5</v>
      </c>
      <c r="U117" s="19" t="n">
        <v>0</v>
      </c>
      <c r="V117" s="19" t="n">
        <v>0</v>
      </c>
      <c r="W117" s="19" t="n">
        <v>10</v>
      </c>
      <c r="X117" s="19" t="n">
        <v>9</v>
      </c>
      <c r="Y117" s="9" t="n">
        <v>9.5</v>
      </c>
      <c r="Z117" s="19" t="n">
        <v>9</v>
      </c>
      <c r="AA117" s="19" t="n">
        <v>8.5</v>
      </c>
      <c r="AB117" s="19" t="n">
        <v>8.5</v>
      </c>
      <c r="AC117" s="19" t="n">
        <v>8</v>
      </c>
      <c r="AD117" s="19" t="n">
        <v>4.5</v>
      </c>
      <c r="AE117" s="19" t="n">
        <v>0</v>
      </c>
      <c r="AF117" s="9" t="n">
        <v>4.5</v>
      </c>
      <c r="AG117" s="19" t="n">
        <v>8.5</v>
      </c>
      <c r="AH117" s="19" t="n">
        <v>4</v>
      </c>
      <c r="AI117" s="23" t="n">
        <v>7.5</v>
      </c>
      <c r="AJ117" s="19" t="n">
        <v>0</v>
      </c>
      <c r="AK117" s="19" t="n">
        <v>0</v>
      </c>
      <c r="AL117" s="19" t="n">
        <v>0</v>
      </c>
      <c r="AM117" s="9" t="n">
        <v>0</v>
      </c>
      <c r="AN117" s="19" t="n">
        <v>0</v>
      </c>
      <c r="AO117" s="19" t="n">
        <v>0</v>
      </c>
      <c r="AP117" s="19" t="n">
        <v>0</v>
      </c>
      <c r="AQ117" s="19" t="n">
        <v>0</v>
      </c>
      <c r="AR117" s="19" t="n">
        <v>0</v>
      </c>
      <c r="AS117" s="19" t="n">
        <v>0</v>
      </c>
      <c r="AT117" s="10">
        <f>SUM(O117:AS117)</f>
        <v/>
      </c>
      <c r="AU117" s="20">
        <f>COUNTIF(O117:AS117, "&gt;0")</f>
        <v/>
      </c>
      <c r="AV117" s="12">
        <f>IF(AU117&gt;=5, 4, IF(AU117&gt;0, INT(AU117/6), 0))</f>
        <v/>
      </c>
      <c r="AW117" s="20" t="n">
        <v>0</v>
      </c>
      <c r="AX117" s="20" t="n">
        <v>0</v>
      </c>
      <c r="AY117" s="13">
        <f>MIN(31, AU117+AV117+AW117+AX117)</f>
        <v/>
      </c>
      <c r="AZ117" s="14">
        <f>31-AY117</f>
        <v/>
      </c>
      <c r="BA117" s="21">
        <f>IF(AX117&gt;0, "01-İstirahat", IF(AZ117&gt;0, "12-Birden Fazla", ""))</f>
        <v/>
      </c>
      <c r="BB117" s="10" t="n">
        <v>19.5</v>
      </c>
      <c r="BC117" s="23" t="n">
        <v>6.5</v>
      </c>
      <c r="BD117" s="9" t="n">
        <v>24</v>
      </c>
      <c r="BE117" s="22">
        <f>(L117/30)*AU117</f>
        <v/>
      </c>
      <c r="BF117" s="15">
        <f>(L117/225)*((BB117*1.5)-(BC117*1.0))</f>
        <v/>
      </c>
      <c r="BG117" s="16">
        <f>(L117/225)*1.5*BD117</f>
        <v/>
      </c>
      <c r="BH117" s="15">
        <f>BF117+BG117</f>
        <v/>
      </c>
      <c r="BI117" s="17">
        <f>BE117+BH117</f>
        <v/>
      </c>
      <c r="BJ117" s="22">
        <f>IFERROR(VLOOKUP(B117, Resmi_Bordro_SGK!B:M, 11, FALSE), 0)</f>
        <v/>
      </c>
      <c r="BK117" s="18">
        <f>IFERROR(VLOOKUP(B117, Icra_Takip!A:E, 4, FALSE), 0)</f>
        <v/>
      </c>
      <c r="BL117" s="17">
        <f>IF(BI117&gt;BJ117, BI117-BJ117-BK117, 0)</f>
        <v/>
      </c>
      <c r="BM117" s="17">
        <f>BI117-BK117</f>
        <v/>
      </c>
    </row>
    <row r="118" ht="19" customHeight="1">
      <c r="A118" s="4" t="n">
        <v>115</v>
      </c>
      <c r="B118" s="5" t="inlineStr">
        <is>
          <t>18388523738</t>
        </is>
      </c>
      <c r="C118" s="6" t="inlineStr">
        <is>
          <t>EMİNE ELBİ</t>
        </is>
      </c>
      <c r="D118" s="4" t="inlineStr">
        <is>
          <t>K</t>
        </is>
      </c>
      <c r="E118" s="4" t="inlineStr"/>
      <c r="F118" s="4" t="inlineStr">
        <is>
          <t>23.06.2026</t>
        </is>
      </c>
      <c r="G118" s="4" t="inlineStr"/>
      <c r="H118" s="4" t="inlineStr">
        <is>
          <t>NORMAL</t>
        </is>
      </c>
      <c r="I118" s="4" t="inlineStr">
        <is>
          <t>MEVSİMLİK</t>
        </is>
      </c>
      <c r="J118" s="6" t="inlineStr">
        <is>
          <t>AMBAR</t>
        </is>
      </c>
      <c r="K118" s="6" t="inlineStr">
        <is>
          <t>BİGADİÇ</t>
        </is>
      </c>
      <c r="L118" s="7" t="n">
        <v>28075.5</v>
      </c>
      <c r="M118" s="4" t="inlineStr">
        <is>
          <t>FİDE KONSERVE</t>
        </is>
      </c>
      <c r="N118" s="4" t="inlineStr">
        <is>
          <t>ALIR</t>
        </is>
      </c>
      <c r="O118" s="8" t="n">
        <v>0</v>
      </c>
      <c r="P118" s="8" t="n">
        <v>0</v>
      </c>
      <c r="Q118" s="8" t="n">
        <v>0</v>
      </c>
      <c r="R118" s="9" t="n">
        <v>0</v>
      </c>
      <c r="S118" s="8" t="n">
        <v>0</v>
      </c>
      <c r="T118" s="8" t="n">
        <v>0</v>
      </c>
      <c r="U118" s="8" t="n">
        <v>0</v>
      </c>
      <c r="V118" s="8" t="n">
        <v>0</v>
      </c>
      <c r="W118" s="8" t="n">
        <v>0</v>
      </c>
      <c r="X118" s="8" t="n">
        <v>0</v>
      </c>
      <c r="Y118" s="9" t="n">
        <v>0</v>
      </c>
      <c r="Z118" s="8" t="n">
        <v>0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9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  <c r="AK118" s="8" t="n">
        <v>0</v>
      </c>
      <c r="AL118" s="8" t="n">
        <v>0</v>
      </c>
      <c r="AM118" s="9" t="n">
        <v>0</v>
      </c>
      <c r="AN118" s="8" t="n">
        <v>0</v>
      </c>
      <c r="AO118" s="8" t="n">
        <v>0</v>
      </c>
      <c r="AP118" s="8" t="n">
        <v>0</v>
      </c>
      <c r="AQ118" s="8" t="n">
        <v>0</v>
      </c>
      <c r="AR118" s="8" t="n">
        <v>0</v>
      </c>
      <c r="AS118" s="8" t="n">
        <v>0</v>
      </c>
      <c r="AT118" s="10">
        <f>SUM(O118:AS118)</f>
        <v/>
      </c>
      <c r="AU118" s="11">
        <f>COUNTIF(O118:AS118, "&gt;0")</f>
        <v/>
      </c>
      <c r="AV118" s="12">
        <f>IF(AU118&gt;=5, 4, IF(AU118&gt;0, INT(AU118/6), 0))</f>
        <v/>
      </c>
      <c r="AW118" s="11" t="n">
        <v>0</v>
      </c>
      <c r="AX118" s="11" t="n">
        <v>0</v>
      </c>
      <c r="AY118" s="13">
        <f>MIN(31, AU118+AV118+AW118+AX118)</f>
        <v/>
      </c>
      <c r="AZ118" s="14">
        <f>31-AY118</f>
        <v/>
      </c>
      <c r="BA118" s="5">
        <f>IF(AX118&gt;0, "01-İstirahat", IF(AZ118&gt;0, "12-Birden Fazla", ""))</f>
        <v/>
      </c>
      <c r="BB118" s="10" t="n">
        <v>0</v>
      </c>
      <c r="BC118" s="8" t="n">
        <v>0</v>
      </c>
      <c r="BD118" s="9" t="n">
        <v>0</v>
      </c>
      <c r="BE118" s="7">
        <f>(L118/30)*AU118</f>
        <v/>
      </c>
      <c r="BF118" s="15">
        <f>(L118/225)*((BB118*1.5)-(BC118*1.0))</f>
        <v/>
      </c>
      <c r="BG118" s="16">
        <f>(L118/225)*1.5*BD118</f>
        <v/>
      </c>
      <c r="BH118" s="15">
        <f>BF118+BG118</f>
        <v/>
      </c>
      <c r="BI118" s="17">
        <f>BE118+BH118</f>
        <v/>
      </c>
      <c r="BJ118" s="7">
        <f>IFERROR(VLOOKUP(B118, Resmi_Bordro_SGK!B:M, 11, FALSE), 0)</f>
        <v/>
      </c>
      <c r="BK118" s="18">
        <f>IFERROR(VLOOKUP(B118, Icra_Takip!A:E, 4, FALSE), 0)</f>
        <v/>
      </c>
      <c r="BL118" s="17">
        <f>IF(BI118&gt;BJ118, BI118-BJ118-BK118, 0)</f>
        <v/>
      </c>
      <c r="BM118" s="17">
        <f>BI118-BK118</f>
        <v/>
      </c>
    </row>
    <row r="119" ht="19" customHeight="1">
      <c r="A119" s="4" t="n">
        <v>116</v>
      </c>
      <c r="B119" s="5" t="inlineStr">
        <is>
          <t>16111749134</t>
        </is>
      </c>
      <c r="C119" s="6" t="inlineStr">
        <is>
          <t>EMİNE KARAMAN</t>
        </is>
      </c>
      <c r="D119" s="4" t="inlineStr">
        <is>
          <t>K</t>
        </is>
      </c>
      <c r="E119" s="4" t="inlineStr"/>
      <c r="F119" s="4" t="inlineStr">
        <is>
          <t>25.07.2026</t>
        </is>
      </c>
      <c r="G119" s="4" t="inlineStr"/>
      <c r="H119" s="4" t="inlineStr">
        <is>
          <t>NORMAL</t>
        </is>
      </c>
      <c r="I119" s="4" t="inlineStr">
        <is>
          <t>MEVSİMLİK</t>
        </is>
      </c>
      <c r="J119" s="6" t="inlineStr">
        <is>
          <t>BALIK TEMİZLEME</t>
        </is>
      </c>
      <c r="K119" s="6" t="inlineStr">
        <is>
          <t>KARACABEY-HALİL</t>
        </is>
      </c>
      <c r="L119" s="7" t="n">
        <v>33000</v>
      </c>
      <c r="M119" s="4" t="inlineStr">
        <is>
          <t>FİDE KONSERVE</t>
        </is>
      </c>
      <c r="N119" s="4" t="inlineStr">
        <is>
          <t>ALIR</t>
        </is>
      </c>
      <c r="O119" s="19" t="n">
        <v>8</v>
      </c>
      <c r="P119" s="19" t="n">
        <v>8.5</v>
      </c>
      <c r="Q119" s="19" t="n">
        <v>8</v>
      </c>
      <c r="R119" s="9" t="n">
        <v>0</v>
      </c>
      <c r="S119" s="19" t="n">
        <v>0</v>
      </c>
      <c r="T119" s="19" t="n">
        <v>0</v>
      </c>
      <c r="U119" s="19" t="n">
        <v>8</v>
      </c>
      <c r="V119" s="19" t="n">
        <v>8</v>
      </c>
      <c r="W119" s="19" t="n">
        <v>8.5</v>
      </c>
      <c r="X119" s="19" t="n">
        <v>0</v>
      </c>
      <c r="Y119" s="9" t="n">
        <v>0</v>
      </c>
      <c r="Z119" s="19" t="n">
        <v>7.5</v>
      </c>
      <c r="AA119" s="19" t="n">
        <v>7.5</v>
      </c>
      <c r="AB119" s="19" t="n">
        <v>8.5</v>
      </c>
      <c r="AC119" s="19" t="n">
        <v>7.5</v>
      </c>
      <c r="AD119" s="19" t="n">
        <v>7.5</v>
      </c>
      <c r="AE119" s="19" t="n">
        <v>8.5</v>
      </c>
      <c r="AF119" s="9" t="n">
        <v>0</v>
      </c>
      <c r="AG119" s="19" t="n">
        <v>8.5</v>
      </c>
      <c r="AH119" s="19" t="n">
        <v>7.5</v>
      </c>
      <c r="AI119" s="19" t="n">
        <v>7.5</v>
      </c>
      <c r="AJ119" s="19" t="n">
        <v>0</v>
      </c>
      <c r="AK119" s="19" t="n">
        <v>0</v>
      </c>
      <c r="AL119" s="19" t="n">
        <v>0</v>
      </c>
      <c r="AM119" s="9" t="n">
        <v>0</v>
      </c>
      <c r="AN119" s="19" t="n">
        <v>0</v>
      </c>
      <c r="AO119" s="19" t="n">
        <v>0</v>
      </c>
      <c r="AP119" s="19" t="n">
        <v>0</v>
      </c>
      <c r="AQ119" s="19" t="n">
        <v>0</v>
      </c>
      <c r="AR119" s="19" t="n">
        <v>0</v>
      </c>
      <c r="AS119" s="19" t="n">
        <v>0</v>
      </c>
      <c r="AT119" s="10">
        <f>SUM(O119:AS119)</f>
        <v/>
      </c>
      <c r="AU119" s="20">
        <f>COUNTIF(O119:AS119, "&gt;0")</f>
        <v/>
      </c>
      <c r="AV119" s="12">
        <f>IF(AU119&gt;=5, 4, IF(AU119&gt;0, INT(AU119/6), 0))</f>
        <v/>
      </c>
      <c r="AW119" s="20" t="n">
        <v>0</v>
      </c>
      <c r="AX119" s="20" t="n">
        <v>0</v>
      </c>
      <c r="AY119" s="13">
        <f>MIN(31, AU119+AV119+AW119+AX119)</f>
        <v/>
      </c>
      <c r="AZ119" s="14">
        <f>31-AY119</f>
        <v/>
      </c>
      <c r="BA119" s="21">
        <f>IF(AX119&gt;0, "01-İstirahat", IF(AZ119&gt;0, "12-Birden Fazla", ""))</f>
        <v/>
      </c>
      <c r="BB119" s="10" t="n">
        <v>7</v>
      </c>
      <c r="BC119" s="19" t="n">
        <v>0</v>
      </c>
      <c r="BD119" s="9" t="n">
        <v>0</v>
      </c>
      <c r="BE119" s="22">
        <f>(L119/30)*AU119</f>
        <v/>
      </c>
      <c r="BF119" s="15">
        <f>(L119/225)*((BB119*1.5)-(BC119*1.0))</f>
        <v/>
      </c>
      <c r="BG119" s="16">
        <f>(L119/225)*1.5*BD119</f>
        <v/>
      </c>
      <c r="BH119" s="15">
        <f>BF119+BG119</f>
        <v/>
      </c>
      <c r="BI119" s="17">
        <f>BE119+BH119</f>
        <v/>
      </c>
      <c r="BJ119" s="22">
        <f>IFERROR(VLOOKUP(B119, Resmi_Bordro_SGK!B:M, 11, FALSE), 0)</f>
        <v/>
      </c>
      <c r="BK119" s="18">
        <f>IFERROR(VLOOKUP(B119, Icra_Takip!A:E, 4, FALSE), 0)</f>
        <v/>
      </c>
      <c r="BL119" s="17">
        <f>IF(BI119&gt;BJ119, BI119-BJ119-BK119, 0)</f>
        <v/>
      </c>
      <c r="BM119" s="17">
        <f>BI119-BK119</f>
        <v/>
      </c>
    </row>
    <row r="120" ht="19" customHeight="1">
      <c r="A120" s="4" t="n">
        <v>117</v>
      </c>
      <c r="B120" s="5" t="inlineStr">
        <is>
          <t>12379749978</t>
        </is>
      </c>
      <c r="C120" s="6" t="inlineStr">
        <is>
          <t>EMİNE SARI</t>
        </is>
      </c>
      <c r="D120" s="4" t="inlineStr">
        <is>
          <t>K</t>
        </is>
      </c>
      <c r="E120" s="4" t="inlineStr"/>
      <c r="F120" s="4" t="inlineStr">
        <is>
          <t>01.05.2026</t>
        </is>
      </c>
      <c r="G120" s="4" t="inlineStr"/>
      <c r="H120" s="4" t="inlineStr">
        <is>
          <t>NORMAL-ENGELLİ</t>
        </is>
      </c>
      <c r="I120" s="4" t="inlineStr">
        <is>
          <t>DAİMİ</t>
        </is>
      </c>
      <c r="J120" s="6" t="inlineStr">
        <is>
          <t>YEMEKHANE</t>
        </is>
      </c>
      <c r="K120" s="6" t="inlineStr">
        <is>
          <t>BALIKESİR</t>
        </is>
      </c>
      <c r="L120" s="7" t="n">
        <v>33000</v>
      </c>
      <c r="M120" s="4" t="inlineStr">
        <is>
          <t>FİDE KONSERVE</t>
        </is>
      </c>
      <c r="N120" s="4" t="inlineStr">
        <is>
          <t>ALIR</t>
        </is>
      </c>
      <c r="O120" s="8" t="n">
        <v>8</v>
      </c>
      <c r="P120" s="8" t="n">
        <v>8.5</v>
      </c>
      <c r="Q120" s="8" t="n">
        <v>8</v>
      </c>
      <c r="R120" s="9" t="n">
        <v>0</v>
      </c>
      <c r="S120" s="8" t="n">
        <v>7.5</v>
      </c>
      <c r="T120" s="8" t="n">
        <v>0</v>
      </c>
      <c r="U120" s="23" t="n">
        <v>6.48</v>
      </c>
      <c r="V120" s="8" t="n">
        <v>6.48</v>
      </c>
      <c r="W120" s="23" t="n">
        <v>7.5</v>
      </c>
      <c r="X120" s="8" t="n">
        <v>8.5</v>
      </c>
      <c r="Y120" s="9" t="n">
        <v>0</v>
      </c>
      <c r="Z120" s="8" t="n">
        <v>7.5</v>
      </c>
      <c r="AA120" s="8" t="n">
        <v>7.5</v>
      </c>
      <c r="AB120" s="8" t="n">
        <v>8.5</v>
      </c>
      <c r="AC120" s="8" t="n">
        <v>7.5</v>
      </c>
      <c r="AD120" s="8" t="n">
        <v>7.5</v>
      </c>
      <c r="AE120" s="8" t="n">
        <v>8.5</v>
      </c>
      <c r="AF120" s="9" t="n">
        <v>6</v>
      </c>
      <c r="AG120" s="8" t="n">
        <v>0</v>
      </c>
      <c r="AH120" s="8" t="n">
        <v>7.5</v>
      </c>
      <c r="AI120" s="8" t="n">
        <v>7.5</v>
      </c>
      <c r="AJ120" s="8" t="n">
        <v>0</v>
      </c>
      <c r="AK120" s="8" t="n">
        <v>0</v>
      </c>
      <c r="AL120" s="8" t="n">
        <v>0</v>
      </c>
      <c r="AM120" s="9" t="n">
        <v>0</v>
      </c>
      <c r="AN120" s="8" t="n">
        <v>0</v>
      </c>
      <c r="AO120" s="8" t="n">
        <v>0</v>
      </c>
      <c r="AP120" s="8" t="n">
        <v>0</v>
      </c>
      <c r="AQ120" s="8" t="n">
        <v>0</v>
      </c>
      <c r="AR120" s="8" t="n">
        <v>0</v>
      </c>
      <c r="AS120" s="8" t="n">
        <v>0</v>
      </c>
      <c r="AT120" s="10">
        <f>SUM(O120:AS120)</f>
        <v/>
      </c>
      <c r="AU120" s="11">
        <f>COUNTIF(O120:AS120, "&gt;0")</f>
        <v/>
      </c>
      <c r="AV120" s="12">
        <f>IF(AU120&gt;=5, 4, IF(AU120&gt;0, INT(AU120/6), 0))</f>
        <v/>
      </c>
      <c r="AW120" s="11" t="n">
        <v>0</v>
      </c>
      <c r="AX120" s="11" t="n">
        <v>0</v>
      </c>
      <c r="AY120" s="13">
        <f>MIN(31, AU120+AV120+AW120+AX120)</f>
        <v/>
      </c>
      <c r="AZ120" s="14">
        <f>31-AY120</f>
        <v/>
      </c>
      <c r="BA120" s="5">
        <f>IF(AX120&gt;0, "01-İstirahat", IF(AZ120&gt;0, "12-Birden Fazla", ""))</f>
        <v/>
      </c>
      <c r="BB120" s="10" t="n">
        <v>5.5</v>
      </c>
      <c r="BC120" s="23" t="n">
        <v>2.04</v>
      </c>
      <c r="BD120" s="9" t="n">
        <v>6</v>
      </c>
      <c r="BE120" s="7">
        <f>(L120/30)*AU120</f>
        <v/>
      </c>
      <c r="BF120" s="15">
        <f>(L120/225)*((BB120*1.5)-(BC120*1.0))</f>
        <v/>
      </c>
      <c r="BG120" s="16">
        <f>(L120/225)*1.5*BD120</f>
        <v/>
      </c>
      <c r="BH120" s="15">
        <f>BF120+BG120</f>
        <v/>
      </c>
      <c r="BI120" s="17">
        <f>BE120+BH120</f>
        <v/>
      </c>
      <c r="BJ120" s="7">
        <f>IFERROR(VLOOKUP(B120, Resmi_Bordro_SGK!B:M, 11, FALSE), 0)</f>
        <v/>
      </c>
      <c r="BK120" s="18">
        <f>IFERROR(VLOOKUP(B120, Icra_Takip!A:E, 4, FALSE), 0)</f>
        <v/>
      </c>
      <c r="BL120" s="17">
        <f>IF(BI120&gt;BJ120, BI120-BJ120-BK120, 0)</f>
        <v/>
      </c>
      <c r="BM120" s="17">
        <f>BI120-BK120</f>
        <v/>
      </c>
    </row>
    <row r="121" ht="19" customHeight="1">
      <c r="A121" s="4" t="n">
        <v>118</v>
      </c>
      <c r="B121" s="5" t="inlineStr">
        <is>
          <t>37030668238</t>
        </is>
      </c>
      <c r="C121" s="6" t="inlineStr">
        <is>
          <t>EMİNE ŞENTÜRK CİNGÖZ</t>
        </is>
      </c>
      <c r="D121" s="4" t="inlineStr">
        <is>
          <t>K</t>
        </is>
      </c>
      <c r="E121" s="4" t="inlineStr"/>
      <c r="F121" s="4" t="inlineStr">
        <is>
          <t>07.07.2026</t>
        </is>
      </c>
      <c r="G121" s="4" t="inlineStr"/>
      <c r="H121" s="4" t="inlineStr">
        <is>
          <t>NORMAL</t>
        </is>
      </c>
      <c r="I121" s="4" t="inlineStr">
        <is>
          <t>MEVSİMLİK</t>
        </is>
      </c>
      <c r="J121" s="6" t="inlineStr">
        <is>
          <t>BALIK TEMİZLEME</t>
        </is>
      </c>
      <c r="K121" s="6" t="inlineStr">
        <is>
          <t>GÜVEN TURİZM KARACABEY</t>
        </is>
      </c>
      <c r="L121" s="7" t="n">
        <v>33000</v>
      </c>
      <c r="M121" s="4" t="inlineStr">
        <is>
          <t>FİDE KONSERVE</t>
        </is>
      </c>
      <c r="N121" s="4" t="inlineStr">
        <is>
          <t>ALIR</t>
        </is>
      </c>
      <c r="O121" s="19" t="n">
        <v>8</v>
      </c>
      <c r="P121" s="19" t="n">
        <v>8.5</v>
      </c>
      <c r="Q121" s="19" t="n">
        <v>8</v>
      </c>
      <c r="R121" s="9" t="n">
        <v>0</v>
      </c>
      <c r="S121" s="19" t="n">
        <v>0</v>
      </c>
      <c r="T121" s="19" t="n">
        <v>0</v>
      </c>
      <c r="U121" s="19" t="n">
        <v>0</v>
      </c>
      <c r="V121" s="19" t="n">
        <v>8</v>
      </c>
      <c r="W121" s="19" t="n">
        <v>8.5</v>
      </c>
      <c r="X121" s="19" t="n">
        <v>8.5</v>
      </c>
      <c r="Y121" s="9" t="n">
        <v>0</v>
      </c>
      <c r="Z121" s="19" t="n">
        <v>7.5</v>
      </c>
      <c r="AA121" s="19" t="n">
        <v>7.5</v>
      </c>
      <c r="AB121" s="19" t="n">
        <v>8.5</v>
      </c>
      <c r="AC121" s="19" t="n">
        <v>7.5</v>
      </c>
      <c r="AD121" s="19" t="n">
        <v>7.5</v>
      </c>
      <c r="AE121" s="19" t="n">
        <v>8.5</v>
      </c>
      <c r="AF121" s="9" t="n">
        <v>0</v>
      </c>
      <c r="AG121" s="19" t="n">
        <v>0</v>
      </c>
      <c r="AH121" s="19" t="n">
        <v>7.5</v>
      </c>
      <c r="AI121" s="19" t="n">
        <v>7.5</v>
      </c>
      <c r="AJ121" s="19" t="n">
        <v>0</v>
      </c>
      <c r="AK121" s="19" t="n">
        <v>0</v>
      </c>
      <c r="AL121" s="19" t="n">
        <v>0</v>
      </c>
      <c r="AM121" s="9" t="n">
        <v>0</v>
      </c>
      <c r="AN121" s="19" t="n">
        <v>0</v>
      </c>
      <c r="AO121" s="19" t="n">
        <v>0</v>
      </c>
      <c r="AP121" s="19" t="n">
        <v>0</v>
      </c>
      <c r="AQ121" s="19" t="n">
        <v>0</v>
      </c>
      <c r="AR121" s="19" t="n">
        <v>0</v>
      </c>
      <c r="AS121" s="19" t="n">
        <v>0</v>
      </c>
      <c r="AT121" s="10">
        <f>SUM(O121:AS121)</f>
        <v/>
      </c>
      <c r="AU121" s="20">
        <f>COUNTIF(O121:AS121, "&gt;0")</f>
        <v/>
      </c>
      <c r="AV121" s="12">
        <f>IF(AU121&gt;=5, 4, IF(AU121&gt;0, INT(AU121/6), 0))</f>
        <v/>
      </c>
      <c r="AW121" s="20" t="n">
        <v>0</v>
      </c>
      <c r="AX121" s="20" t="n">
        <v>0</v>
      </c>
      <c r="AY121" s="13">
        <f>MIN(31, AU121+AV121+AW121+AX121)</f>
        <v/>
      </c>
      <c r="AZ121" s="14">
        <f>31-AY121</f>
        <v/>
      </c>
      <c r="BA121" s="21">
        <f>IF(AX121&gt;0, "01-İstirahat", IF(AZ121&gt;0, "12-Birden Fazla", ""))</f>
        <v/>
      </c>
      <c r="BB121" s="10" t="n">
        <v>6.5</v>
      </c>
      <c r="BC121" s="19" t="n">
        <v>0</v>
      </c>
      <c r="BD121" s="9" t="n">
        <v>0</v>
      </c>
      <c r="BE121" s="22">
        <f>(L121/30)*AU121</f>
        <v/>
      </c>
      <c r="BF121" s="15">
        <f>(L121/225)*((BB121*1.5)-(BC121*1.0))</f>
        <v/>
      </c>
      <c r="BG121" s="16">
        <f>(L121/225)*1.5*BD121</f>
        <v/>
      </c>
      <c r="BH121" s="15">
        <f>BF121+BG121</f>
        <v/>
      </c>
      <c r="BI121" s="17">
        <f>BE121+BH121</f>
        <v/>
      </c>
      <c r="BJ121" s="22">
        <f>IFERROR(VLOOKUP(B121, Resmi_Bordro_SGK!B:M, 11, FALSE), 0)</f>
        <v/>
      </c>
      <c r="BK121" s="18">
        <f>IFERROR(VLOOKUP(B121, Icra_Takip!A:E, 4, FALSE), 0)</f>
        <v/>
      </c>
      <c r="BL121" s="17">
        <f>IF(BI121&gt;BJ121, BI121-BJ121-BK121, 0)</f>
        <v/>
      </c>
      <c r="BM121" s="17">
        <f>BI121-BK121</f>
        <v/>
      </c>
    </row>
    <row r="122" ht="19" customHeight="1">
      <c r="A122" s="4" t="n">
        <v>119</v>
      </c>
      <c r="B122" s="5" t="inlineStr">
        <is>
          <t>18376672684</t>
        </is>
      </c>
      <c r="C122" s="6" t="inlineStr">
        <is>
          <t>EMİNE ÜZER</t>
        </is>
      </c>
      <c r="D122" s="4" t="inlineStr">
        <is>
          <t>K</t>
        </is>
      </c>
      <c r="E122" s="4" t="inlineStr"/>
      <c r="F122" s="4" t="inlineStr">
        <is>
          <t>21.07.2026</t>
        </is>
      </c>
      <c r="G122" s="4" t="inlineStr"/>
      <c r="H122" s="4" t="inlineStr">
        <is>
          <t>NORMAL</t>
        </is>
      </c>
      <c r="I122" s="4" t="inlineStr">
        <is>
          <t>MEVSİMLİK</t>
        </is>
      </c>
      <c r="J122" s="6" t="inlineStr">
        <is>
          <t>ÜRETİM</t>
        </is>
      </c>
      <c r="K122" s="6" t="inlineStr">
        <is>
          <t>SEVGİ</t>
        </is>
      </c>
      <c r="L122" s="7" t="n">
        <v>28075.5</v>
      </c>
      <c r="M122" s="4" t="inlineStr">
        <is>
          <t>FİDE KONSERVE</t>
        </is>
      </c>
      <c r="N122" s="4" t="inlineStr">
        <is>
          <t>ALIR</t>
        </is>
      </c>
      <c r="O122" s="8" t="n">
        <v>0</v>
      </c>
      <c r="P122" s="8" t="n">
        <v>0</v>
      </c>
      <c r="Q122" s="8" t="n">
        <v>0</v>
      </c>
      <c r="R122" s="9" t="n">
        <v>0</v>
      </c>
      <c r="S122" s="8" t="n">
        <v>0</v>
      </c>
      <c r="T122" s="8" t="n">
        <v>0</v>
      </c>
      <c r="U122" s="8" t="n">
        <v>0</v>
      </c>
      <c r="V122" s="8" t="n">
        <v>0</v>
      </c>
      <c r="W122" s="8" t="n">
        <v>0</v>
      </c>
      <c r="X122" s="8" t="n">
        <v>0</v>
      </c>
      <c r="Y122" s="9" t="n">
        <v>0</v>
      </c>
      <c r="Z122" s="8" t="n">
        <v>0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9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  <c r="AK122" s="8" t="n">
        <v>0</v>
      </c>
      <c r="AL122" s="8" t="n">
        <v>0</v>
      </c>
      <c r="AM122" s="9" t="n">
        <v>0</v>
      </c>
      <c r="AN122" s="8" t="n">
        <v>0</v>
      </c>
      <c r="AO122" s="8" t="n">
        <v>0</v>
      </c>
      <c r="AP122" s="8" t="n">
        <v>0</v>
      </c>
      <c r="AQ122" s="8" t="n">
        <v>0</v>
      </c>
      <c r="AR122" s="8" t="n">
        <v>0</v>
      </c>
      <c r="AS122" s="8" t="n">
        <v>0</v>
      </c>
      <c r="AT122" s="10">
        <f>SUM(O122:AS122)</f>
        <v/>
      </c>
      <c r="AU122" s="11">
        <f>COUNTIF(O122:AS122, "&gt;0")</f>
        <v/>
      </c>
      <c r="AV122" s="12">
        <f>IF(AU122&gt;=5, 4, IF(AU122&gt;0, INT(AU122/6), 0))</f>
        <v/>
      </c>
      <c r="AW122" s="11" t="n">
        <v>0</v>
      </c>
      <c r="AX122" s="11" t="n">
        <v>0</v>
      </c>
      <c r="AY122" s="13">
        <f>MIN(31, AU122+AV122+AW122+AX122)</f>
        <v/>
      </c>
      <c r="AZ122" s="14">
        <f>31-AY122</f>
        <v/>
      </c>
      <c r="BA122" s="5">
        <f>IF(AX122&gt;0, "01-İstirahat", IF(AZ122&gt;0, "12-Birden Fazla", ""))</f>
        <v/>
      </c>
      <c r="BB122" s="10" t="n">
        <v>0</v>
      </c>
      <c r="BC122" s="8" t="n">
        <v>0</v>
      </c>
      <c r="BD122" s="9" t="n">
        <v>0</v>
      </c>
      <c r="BE122" s="7">
        <f>(L122/30)*AU122</f>
        <v/>
      </c>
      <c r="BF122" s="15">
        <f>(L122/225)*((BB122*1.5)-(BC122*1.0))</f>
        <v/>
      </c>
      <c r="BG122" s="16">
        <f>(L122/225)*1.5*BD122</f>
        <v/>
      </c>
      <c r="BH122" s="15">
        <f>BF122+BG122</f>
        <v/>
      </c>
      <c r="BI122" s="17">
        <f>BE122+BH122</f>
        <v/>
      </c>
      <c r="BJ122" s="7">
        <f>IFERROR(VLOOKUP(B122, Resmi_Bordro_SGK!B:M, 11, FALSE), 0)</f>
        <v/>
      </c>
      <c r="BK122" s="18">
        <f>IFERROR(VLOOKUP(B122, Icra_Takip!A:E, 4, FALSE), 0)</f>
        <v/>
      </c>
      <c r="BL122" s="17">
        <f>IF(BI122&gt;BJ122, BI122-BJ122-BK122, 0)</f>
        <v/>
      </c>
      <c r="BM122" s="17">
        <f>BI122-BK122</f>
        <v/>
      </c>
    </row>
    <row r="123" ht="19" customHeight="1">
      <c r="A123" s="4" t="n">
        <v>120</v>
      </c>
      <c r="B123" s="5" t="inlineStr">
        <is>
          <t>45328882280</t>
        </is>
      </c>
      <c r="C123" s="6" t="inlineStr">
        <is>
          <t>EMİNE YAVUZ</t>
        </is>
      </c>
      <c r="D123" s="4" t="inlineStr">
        <is>
          <t>K</t>
        </is>
      </c>
      <c r="E123" s="4" t="inlineStr"/>
      <c r="F123" s="4" t="inlineStr">
        <is>
          <t>17.04.2026</t>
        </is>
      </c>
      <c r="G123" s="4" t="inlineStr"/>
      <c r="H123" s="4" t="inlineStr">
        <is>
          <t>NORMAL</t>
        </is>
      </c>
      <c r="I123" s="4" t="inlineStr">
        <is>
          <t>MEVSİMLİK</t>
        </is>
      </c>
      <c r="J123" s="6" t="inlineStr">
        <is>
          <t>BALIK TEMİZLEME</t>
        </is>
      </c>
      <c r="K123" s="6" t="inlineStr">
        <is>
          <t>GÜVEN TURİZM KARACABEY</t>
        </is>
      </c>
      <c r="L123" s="7" t="n">
        <v>33000</v>
      </c>
      <c r="M123" s="4" t="inlineStr">
        <is>
          <t>FİDE KONSERVE</t>
        </is>
      </c>
      <c r="N123" s="4" t="inlineStr">
        <is>
          <t>ALIR</t>
        </is>
      </c>
      <c r="O123" s="19" t="n">
        <v>8</v>
      </c>
      <c r="P123" s="19" t="n">
        <v>8.5</v>
      </c>
      <c r="Q123" s="19" t="n">
        <v>8</v>
      </c>
      <c r="R123" s="9" t="n">
        <v>0</v>
      </c>
      <c r="S123" s="19" t="n">
        <v>7.5</v>
      </c>
      <c r="T123" s="19" t="n">
        <v>8</v>
      </c>
      <c r="U123" s="19" t="n">
        <v>8</v>
      </c>
      <c r="V123" s="19" t="n">
        <v>8</v>
      </c>
      <c r="W123" s="19" t="n">
        <v>8</v>
      </c>
      <c r="X123" s="19" t="n">
        <v>8.5</v>
      </c>
      <c r="Y123" s="9" t="n">
        <v>0</v>
      </c>
      <c r="Z123" s="19" t="n">
        <v>7.5</v>
      </c>
      <c r="AA123" s="19" t="n">
        <v>7.5</v>
      </c>
      <c r="AB123" s="19" t="n">
        <v>8.5</v>
      </c>
      <c r="AC123" s="19" t="n">
        <v>7.5</v>
      </c>
      <c r="AD123" s="19" t="n">
        <v>7.5</v>
      </c>
      <c r="AE123" s="19" t="n">
        <v>8.5</v>
      </c>
      <c r="AF123" s="9" t="n">
        <v>0</v>
      </c>
      <c r="AG123" s="19" t="n">
        <v>8.5</v>
      </c>
      <c r="AH123" s="19" t="n">
        <v>7.5</v>
      </c>
      <c r="AI123" s="19" t="n">
        <v>7.5</v>
      </c>
      <c r="AJ123" s="19" t="n">
        <v>0</v>
      </c>
      <c r="AK123" s="19" t="n">
        <v>0</v>
      </c>
      <c r="AL123" s="19" t="n">
        <v>0</v>
      </c>
      <c r="AM123" s="9" t="n">
        <v>0</v>
      </c>
      <c r="AN123" s="19" t="n">
        <v>0</v>
      </c>
      <c r="AO123" s="19" t="n">
        <v>0</v>
      </c>
      <c r="AP123" s="19" t="n">
        <v>0</v>
      </c>
      <c r="AQ123" s="19" t="n">
        <v>0</v>
      </c>
      <c r="AR123" s="19" t="n">
        <v>0</v>
      </c>
      <c r="AS123" s="19" t="n">
        <v>0</v>
      </c>
      <c r="AT123" s="10">
        <f>SUM(O123:AS123)</f>
        <v/>
      </c>
      <c r="AU123" s="20">
        <f>COUNTIF(O123:AS123, "&gt;0")</f>
        <v/>
      </c>
      <c r="AV123" s="12">
        <f>IF(AU123&gt;=5, 4, IF(AU123&gt;0, INT(AU123/6), 0))</f>
        <v/>
      </c>
      <c r="AW123" s="20" t="n">
        <v>0</v>
      </c>
      <c r="AX123" s="20" t="n">
        <v>0</v>
      </c>
      <c r="AY123" s="13">
        <f>MIN(31, AU123+AV123+AW123+AX123)</f>
        <v/>
      </c>
      <c r="AZ123" s="14">
        <f>31-AY123</f>
        <v/>
      </c>
      <c r="BA123" s="21">
        <f>IF(AX123&gt;0, "01-İstirahat", IF(AZ123&gt;0, "12-Birden Fazla", ""))</f>
        <v/>
      </c>
      <c r="BB123" s="10" t="n">
        <v>8</v>
      </c>
      <c r="BC123" s="19" t="n">
        <v>0</v>
      </c>
      <c r="BD123" s="9" t="n">
        <v>0</v>
      </c>
      <c r="BE123" s="22">
        <f>(L123/30)*AU123</f>
        <v/>
      </c>
      <c r="BF123" s="15">
        <f>(L123/225)*((BB123*1.5)-(BC123*1.0))</f>
        <v/>
      </c>
      <c r="BG123" s="16">
        <f>(L123/225)*1.5*BD123</f>
        <v/>
      </c>
      <c r="BH123" s="15">
        <f>BF123+BG123</f>
        <v/>
      </c>
      <c r="BI123" s="17">
        <f>BE123+BH123</f>
        <v/>
      </c>
      <c r="BJ123" s="22">
        <f>IFERROR(VLOOKUP(B123, Resmi_Bordro_SGK!B:M, 11, FALSE), 0)</f>
        <v/>
      </c>
      <c r="BK123" s="18">
        <f>IFERROR(VLOOKUP(B123, Icra_Takip!A:E, 4, FALSE), 0)</f>
        <v/>
      </c>
      <c r="BL123" s="17">
        <f>IF(BI123&gt;BJ123, BI123-BJ123-BK123, 0)</f>
        <v/>
      </c>
      <c r="BM123" s="17">
        <f>BI123-BK123</f>
        <v/>
      </c>
    </row>
    <row r="124" ht="19" customHeight="1">
      <c r="A124" s="4" t="n">
        <v>121</v>
      </c>
      <c r="B124" s="5" t="inlineStr"/>
      <c r="C124" s="6" t="inlineStr">
        <is>
          <t>EMİRCAN DURMAN</t>
        </is>
      </c>
      <c r="D124" s="4" t="inlineStr"/>
      <c r="E124" s="4" t="inlineStr"/>
      <c r="F124" s="4" t="inlineStr"/>
      <c r="G124" s="4" t="inlineStr"/>
      <c r="H124" s="4" t="inlineStr">
        <is>
          <t>NORMAL</t>
        </is>
      </c>
      <c r="I124" s="4" t="inlineStr">
        <is>
          <t>MEVSİMLİK</t>
        </is>
      </c>
      <c r="J124" s="6" t="inlineStr"/>
      <c r="K124" s="6" t="inlineStr"/>
      <c r="L124" s="7" t="n">
        <v>28075.5</v>
      </c>
      <c r="M124" s="4" t="inlineStr">
        <is>
          <t>FİDE KONSERVE</t>
        </is>
      </c>
      <c r="N124" s="4" t="inlineStr">
        <is>
          <t>ALIR</t>
        </is>
      </c>
      <c r="O124" s="8" t="n">
        <v>10.5</v>
      </c>
      <c r="P124" s="8" t="n">
        <v>0</v>
      </c>
      <c r="Q124" s="8" t="n">
        <v>8</v>
      </c>
      <c r="R124" s="9" t="n">
        <v>0</v>
      </c>
      <c r="S124" s="8" t="n">
        <v>0</v>
      </c>
      <c r="T124" s="8" t="n">
        <v>0</v>
      </c>
      <c r="U124" s="8" t="n">
        <v>0</v>
      </c>
      <c r="V124" s="8" t="n">
        <v>0</v>
      </c>
      <c r="W124" s="8" t="n">
        <v>10.5</v>
      </c>
      <c r="X124" s="8" t="n">
        <v>10.5</v>
      </c>
      <c r="Y124" s="9" t="n">
        <v>0</v>
      </c>
      <c r="Z124" s="8" t="n">
        <v>0</v>
      </c>
      <c r="AA124" s="8" t="n">
        <v>10.5</v>
      </c>
      <c r="AB124" s="8" t="n">
        <v>10.5</v>
      </c>
      <c r="AC124" s="8" t="n">
        <v>0</v>
      </c>
      <c r="AD124" s="8" t="n">
        <v>0</v>
      </c>
      <c r="AE124" s="8" t="n">
        <v>0</v>
      </c>
      <c r="AF124" s="9" t="n">
        <v>0</v>
      </c>
      <c r="AG124" s="8" t="n">
        <v>10.5</v>
      </c>
      <c r="AH124" s="8" t="n">
        <v>0</v>
      </c>
      <c r="AI124" s="8" t="n">
        <v>7.5</v>
      </c>
      <c r="AJ124" s="8" t="n">
        <v>0</v>
      </c>
      <c r="AK124" s="8" t="n">
        <v>0</v>
      </c>
      <c r="AL124" s="8" t="n">
        <v>0</v>
      </c>
      <c r="AM124" s="9" t="n">
        <v>0</v>
      </c>
      <c r="AN124" s="8" t="n">
        <v>0</v>
      </c>
      <c r="AO124" s="8" t="n">
        <v>0</v>
      </c>
      <c r="AP124" s="8" t="n">
        <v>0</v>
      </c>
      <c r="AQ124" s="8" t="n">
        <v>0</v>
      </c>
      <c r="AR124" s="8" t="n">
        <v>0</v>
      </c>
      <c r="AS124" s="8" t="n">
        <v>0</v>
      </c>
      <c r="AT124" s="10">
        <f>SUM(O124:AS124)</f>
        <v/>
      </c>
      <c r="AU124" s="11">
        <f>COUNTIF(O124:AS124, "&gt;0")</f>
        <v/>
      </c>
      <c r="AV124" s="12">
        <f>IF(AU124&gt;=5, 4, IF(AU124&gt;0, INT(AU124/6), 0))</f>
        <v/>
      </c>
      <c r="AW124" s="11" t="n">
        <v>0</v>
      </c>
      <c r="AX124" s="11" t="n">
        <v>0</v>
      </c>
      <c r="AY124" s="13">
        <f>MIN(31, AU124+AV124+AW124+AX124)</f>
        <v/>
      </c>
      <c r="AZ124" s="14">
        <f>31-AY124</f>
        <v/>
      </c>
      <c r="BA124" s="5">
        <f>IF(AX124&gt;0, "01-İstirahat", IF(AZ124&gt;0, "12-Birden Fazla", ""))</f>
        <v/>
      </c>
      <c r="BB124" s="10" t="n">
        <v>18.5</v>
      </c>
      <c r="BC124" s="8" t="n">
        <v>0</v>
      </c>
      <c r="BD124" s="9" t="n">
        <v>0</v>
      </c>
      <c r="BE124" s="7">
        <f>(L124/30)*AU124</f>
        <v/>
      </c>
      <c r="BF124" s="15">
        <f>(L124/225)*((BB124*1.5)-(BC124*1.0))</f>
        <v/>
      </c>
      <c r="BG124" s="16">
        <f>(L124/225)*1.5*BD124</f>
        <v/>
      </c>
      <c r="BH124" s="15">
        <f>BF124+BG124</f>
        <v/>
      </c>
      <c r="BI124" s="17">
        <f>BE124+BH124</f>
        <v/>
      </c>
      <c r="BJ124" s="7">
        <f>IFERROR(VLOOKUP(B124, Resmi_Bordro_SGK!B:M, 11, FALSE), 0)</f>
        <v/>
      </c>
      <c r="BK124" s="18">
        <f>IFERROR(VLOOKUP(B124, Icra_Takip!A:E, 4, FALSE), 0)</f>
        <v/>
      </c>
      <c r="BL124" s="17">
        <f>IF(BI124&gt;BJ124, BI124-BJ124-BK124, 0)</f>
        <v/>
      </c>
      <c r="BM124" s="17">
        <f>BI124-BK124</f>
        <v/>
      </c>
    </row>
    <row r="125" ht="19" customHeight="1">
      <c r="A125" s="4" t="n">
        <v>122</v>
      </c>
      <c r="B125" s="5" t="inlineStr">
        <is>
          <t>10036852948</t>
        </is>
      </c>
      <c r="C125" s="6" t="inlineStr">
        <is>
          <t>EMİRHAN MUTLU</t>
        </is>
      </c>
      <c r="D125" s="4" t="inlineStr">
        <is>
          <t>E</t>
        </is>
      </c>
      <c r="E125" s="4" t="inlineStr"/>
      <c r="F125" s="4" t="inlineStr">
        <is>
          <t>28.10.2024</t>
        </is>
      </c>
      <c r="G125" s="4" t="inlineStr"/>
      <c r="H125" s="4" t="inlineStr">
        <is>
          <t>NORMAL</t>
        </is>
      </c>
      <c r="I125" s="4" t="inlineStr">
        <is>
          <t>DAİMİ</t>
        </is>
      </c>
      <c r="J125" s="6" t="inlineStr">
        <is>
          <t>BAKIM</t>
        </is>
      </c>
      <c r="K125" s="6" t="inlineStr">
        <is>
          <t>GÖBEL</t>
        </is>
      </c>
      <c r="L125" s="7" t="n">
        <v>36000</v>
      </c>
      <c r="M125" s="4" t="inlineStr">
        <is>
          <t>FİDE KONSERVE</t>
        </is>
      </c>
      <c r="N125" s="4" t="inlineStr">
        <is>
          <t>ALIR</t>
        </is>
      </c>
      <c r="O125" s="19" t="n">
        <v>10.5</v>
      </c>
      <c r="P125" s="19" t="n">
        <v>8</v>
      </c>
      <c r="Q125" s="19" t="n">
        <v>10.5</v>
      </c>
      <c r="R125" s="9" t="n">
        <v>7</v>
      </c>
      <c r="S125" s="19" t="n">
        <v>0</v>
      </c>
      <c r="T125" s="19" t="n">
        <v>0</v>
      </c>
      <c r="U125" s="19" t="n">
        <v>0</v>
      </c>
      <c r="V125" s="19" t="n">
        <v>0</v>
      </c>
      <c r="W125" s="19" t="n">
        <v>0</v>
      </c>
      <c r="X125" s="19" t="n">
        <v>0</v>
      </c>
      <c r="Y125" s="9" t="n">
        <v>0</v>
      </c>
      <c r="Z125" s="19" t="n">
        <v>10.5</v>
      </c>
      <c r="AA125" s="19" t="n">
        <v>10.5</v>
      </c>
      <c r="AB125" s="19" t="n">
        <v>7.5</v>
      </c>
      <c r="AC125" s="19" t="n">
        <v>10.5</v>
      </c>
      <c r="AD125" s="19" t="n">
        <v>8.5</v>
      </c>
      <c r="AE125" s="19" t="n">
        <v>7</v>
      </c>
      <c r="AF125" s="9" t="n">
        <v>8</v>
      </c>
      <c r="AG125" s="19" t="n">
        <v>10</v>
      </c>
      <c r="AH125" s="19" t="n">
        <v>7.5</v>
      </c>
      <c r="AI125" s="23" t="n">
        <v>7.5</v>
      </c>
      <c r="AJ125" s="19" t="n">
        <v>0</v>
      </c>
      <c r="AK125" s="19" t="n">
        <v>0</v>
      </c>
      <c r="AL125" s="19" t="n">
        <v>0</v>
      </c>
      <c r="AM125" s="9" t="n">
        <v>0</v>
      </c>
      <c r="AN125" s="19" t="n">
        <v>0</v>
      </c>
      <c r="AO125" s="19" t="n">
        <v>0</v>
      </c>
      <c r="AP125" s="19" t="n">
        <v>0</v>
      </c>
      <c r="AQ125" s="19" t="n">
        <v>0</v>
      </c>
      <c r="AR125" s="19" t="n">
        <v>0</v>
      </c>
      <c r="AS125" s="19" t="n">
        <v>0</v>
      </c>
      <c r="AT125" s="10">
        <f>SUM(O125:AS125)</f>
        <v/>
      </c>
      <c r="AU125" s="20">
        <f>COUNTIF(O125:AS125, "&gt;0")</f>
        <v/>
      </c>
      <c r="AV125" s="12">
        <f>IF(AU125&gt;=5, 4, IF(AU125&gt;0, INT(AU125/6), 0))</f>
        <v/>
      </c>
      <c r="AW125" s="20" t="n">
        <v>0</v>
      </c>
      <c r="AX125" s="20" t="n">
        <v>0</v>
      </c>
      <c r="AY125" s="13">
        <f>MIN(31, AU125+AV125+AW125+AX125)</f>
        <v/>
      </c>
      <c r="AZ125" s="14">
        <f>31-AY125</f>
        <v/>
      </c>
      <c r="BA125" s="21">
        <f>IF(AX125&gt;0, "01-İstirahat", IF(AZ125&gt;0, "12-Birden Fazla", ""))</f>
        <v/>
      </c>
      <c r="BB125" s="10" t="n">
        <v>20</v>
      </c>
      <c r="BC125" s="23" t="n">
        <v>0.5</v>
      </c>
      <c r="BD125" s="9" t="n">
        <v>15</v>
      </c>
      <c r="BE125" s="22">
        <f>(L125/30)*AU125</f>
        <v/>
      </c>
      <c r="BF125" s="15">
        <f>(L125/225)*((BB125*1.5)-(BC125*1.0))</f>
        <v/>
      </c>
      <c r="BG125" s="16">
        <f>(L125/225)*1.5*BD125</f>
        <v/>
      </c>
      <c r="BH125" s="15">
        <f>BF125+BG125</f>
        <v/>
      </c>
      <c r="BI125" s="17">
        <f>BE125+BH125</f>
        <v/>
      </c>
      <c r="BJ125" s="22">
        <f>IFERROR(VLOOKUP(B125, Resmi_Bordro_SGK!B:M, 11, FALSE), 0)</f>
        <v/>
      </c>
      <c r="BK125" s="18">
        <f>IFERROR(VLOOKUP(B125, Icra_Takip!A:E, 4, FALSE), 0)</f>
        <v/>
      </c>
      <c r="BL125" s="17">
        <f>IF(BI125&gt;BJ125, BI125-BJ125-BK125, 0)</f>
        <v/>
      </c>
      <c r="BM125" s="17">
        <f>BI125-BK125</f>
        <v/>
      </c>
    </row>
    <row r="126" ht="19" customHeight="1">
      <c r="A126" s="4" t="n">
        <v>123</v>
      </c>
      <c r="B126" s="5" t="inlineStr">
        <is>
          <t>51529475930</t>
        </is>
      </c>
      <c r="C126" s="6" t="inlineStr">
        <is>
          <t>EMRE BARAN</t>
        </is>
      </c>
      <c r="D126" s="4" t="inlineStr">
        <is>
          <t>E</t>
        </is>
      </c>
      <c r="E126" s="4" t="inlineStr"/>
      <c r="F126" s="4" t="inlineStr">
        <is>
          <t>17.08.2026</t>
        </is>
      </c>
      <c r="G126" s="4" t="inlineStr"/>
      <c r="H126" s="4" t="inlineStr">
        <is>
          <t>NORMAL</t>
        </is>
      </c>
      <c r="I126" s="4" t="inlineStr">
        <is>
          <t>MEVSİMLİK</t>
        </is>
      </c>
      <c r="J126" s="6" t="inlineStr">
        <is>
          <t>ÜRETİM</t>
        </is>
      </c>
      <c r="K126" s="6" t="inlineStr">
        <is>
          <t>KARACABEY-HALİL</t>
        </is>
      </c>
      <c r="L126" s="7" t="n">
        <v>28075.5</v>
      </c>
      <c r="M126" s="4" t="inlineStr">
        <is>
          <t>FİDE KONSERVE</t>
        </is>
      </c>
      <c r="N126" s="4" t="inlineStr">
        <is>
          <t>ALIR</t>
        </is>
      </c>
      <c r="O126" s="8" t="n">
        <v>0</v>
      </c>
      <c r="P126" s="8" t="n">
        <v>0</v>
      </c>
      <c r="Q126" s="8" t="n">
        <v>0</v>
      </c>
      <c r="R126" s="9" t="n">
        <v>0</v>
      </c>
      <c r="S126" s="8" t="n">
        <v>0</v>
      </c>
      <c r="T126" s="8" t="n">
        <v>0</v>
      </c>
      <c r="U126" s="8" t="n">
        <v>0</v>
      </c>
      <c r="V126" s="8" t="n">
        <v>0</v>
      </c>
      <c r="W126" s="8" t="n">
        <v>0</v>
      </c>
      <c r="X126" s="8" t="n">
        <v>0</v>
      </c>
      <c r="Y126" s="9" t="n">
        <v>0</v>
      </c>
      <c r="Z126" s="8" t="n">
        <v>0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9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  <c r="AK126" s="8" t="n">
        <v>0</v>
      </c>
      <c r="AL126" s="8" t="n">
        <v>0</v>
      </c>
      <c r="AM126" s="9" t="n">
        <v>0</v>
      </c>
      <c r="AN126" s="8" t="n">
        <v>0</v>
      </c>
      <c r="AO126" s="8" t="n">
        <v>0</v>
      </c>
      <c r="AP126" s="8" t="n">
        <v>0</v>
      </c>
      <c r="AQ126" s="8" t="n">
        <v>0</v>
      </c>
      <c r="AR126" s="8" t="n">
        <v>0</v>
      </c>
      <c r="AS126" s="8" t="n">
        <v>0</v>
      </c>
      <c r="AT126" s="10">
        <f>SUM(O126:AS126)</f>
        <v/>
      </c>
      <c r="AU126" s="11">
        <f>COUNTIF(O126:AS126, "&gt;0")</f>
        <v/>
      </c>
      <c r="AV126" s="12">
        <f>IF(AU126&gt;=5, 4, IF(AU126&gt;0, INT(AU126/6), 0))</f>
        <v/>
      </c>
      <c r="AW126" s="11" t="n">
        <v>0</v>
      </c>
      <c r="AX126" s="11" t="n">
        <v>0</v>
      </c>
      <c r="AY126" s="13">
        <f>MIN(31, AU126+AV126+AW126+AX126)</f>
        <v/>
      </c>
      <c r="AZ126" s="14">
        <f>31-AY126</f>
        <v/>
      </c>
      <c r="BA126" s="5">
        <f>IF(AX126&gt;0, "01-İstirahat", IF(AZ126&gt;0, "12-Birden Fazla", ""))</f>
        <v/>
      </c>
      <c r="BB126" s="10" t="n">
        <v>0</v>
      </c>
      <c r="BC126" s="8" t="n">
        <v>0</v>
      </c>
      <c r="BD126" s="9" t="n">
        <v>0</v>
      </c>
      <c r="BE126" s="7">
        <f>(L126/30)*AU126</f>
        <v/>
      </c>
      <c r="BF126" s="15">
        <f>(L126/225)*((BB126*1.5)-(BC126*1.0))</f>
        <v/>
      </c>
      <c r="BG126" s="16">
        <f>(L126/225)*1.5*BD126</f>
        <v/>
      </c>
      <c r="BH126" s="15">
        <f>BF126+BG126</f>
        <v/>
      </c>
      <c r="BI126" s="17">
        <f>BE126+BH126</f>
        <v/>
      </c>
      <c r="BJ126" s="7">
        <f>IFERROR(VLOOKUP(B126, Resmi_Bordro_SGK!B:M, 11, FALSE), 0)</f>
        <v/>
      </c>
      <c r="BK126" s="18">
        <f>IFERROR(VLOOKUP(B126, Icra_Takip!A:E, 4, FALSE), 0)</f>
        <v/>
      </c>
      <c r="BL126" s="17">
        <f>IF(BI126&gt;BJ126, BI126-BJ126-BK126, 0)</f>
        <v/>
      </c>
      <c r="BM126" s="17">
        <f>BI126-BK126</f>
        <v/>
      </c>
    </row>
    <row r="127" ht="19" customHeight="1">
      <c r="A127" s="4" t="n">
        <v>124</v>
      </c>
      <c r="B127" s="5" t="inlineStr">
        <is>
          <t>21550576494</t>
        </is>
      </c>
      <c r="C127" s="6" t="inlineStr">
        <is>
          <t>EMRE BAŞAR</t>
        </is>
      </c>
      <c r="D127" s="4" t="inlineStr">
        <is>
          <t>E</t>
        </is>
      </c>
      <c r="E127" s="4" t="inlineStr"/>
      <c r="F127" s="4" t="inlineStr">
        <is>
          <t>26.06.2026</t>
        </is>
      </c>
      <c r="G127" s="4" t="inlineStr"/>
      <c r="H127" s="4" t="inlineStr">
        <is>
          <t>NORMAL</t>
        </is>
      </c>
      <c r="I127" s="4" t="inlineStr">
        <is>
          <t>MEVSİMLİK</t>
        </is>
      </c>
      <c r="J127" s="6" t="inlineStr">
        <is>
          <t>ÜRETİM</t>
        </is>
      </c>
      <c r="K127" s="6" t="inlineStr">
        <is>
          <t>GÜVEN TURİZM-MKP</t>
        </is>
      </c>
      <c r="L127" s="7" t="n">
        <v>28075.5</v>
      </c>
      <c r="M127" s="4" t="inlineStr">
        <is>
          <t>FİDE KONSERVE</t>
        </is>
      </c>
      <c r="N127" s="4" t="inlineStr">
        <is>
          <t>ALIR</t>
        </is>
      </c>
      <c r="O127" s="19" t="n">
        <v>0</v>
      </c>
      <c r="P127" s="19" t="n">
        <v>0</v>
      </c>
      <c r="Q127" s="19" t="n">
        <v>0</v>
      </c>
      <c r="R127" s="9" t="n">
        <v>0</v>
      </c>
      <c r="S127" s="19" t="n">
        <v>0</v>
      </c>
      <c r="T127" s="19" t="n">
        <v>0</v>
      </c>
      <c r="U127" s="19" t="n">
        <v>8</v>
      </c>
      <c r="V127" s="19" t="n">
        <v>0</v>
      </c>
      <c r="W127" s="19" t="n">
        <v>7.5</v>
      </c>
      <c r="X127" s="19" t="n">
        <v>0</v>
      </c>
      <c r="Y127" s="9" t="n">
        <v>0</v>
      </c>
      <c r="Z127" s="19" t="n">
        <v>0</v>
      </c>
      <c r="AA127" s="19" t="n">
        <v>10.5</v>
      </c>
      <c r="AB127" s="19" t="n">
        <v>7.5</v>
      </c>
      <c r="AC127" s="19" t="n">
        <v>0</v>
      </c>
      <c r="AD127" s="19" t="n">
        <v>0</v>
      </c>
      <c r="AE127" s="19" t="n">
        <v>0</v>
      </c>
      <c r="AF127" s="9" t="n">
        <v>0</v>
      </c>
      <c r="AG127" s="19" t="n">
        <v>0</v>
      </c>
      <c r="AH127" s="19" t="n">
        <v>7.5</v>
      </c>
      <c r="AI127" s="19" t="n">
        <v>7.5</v>
      </c>
      <c r="AJ127" s="19" t="n">
        <v>0</v>
      </c>
      <c r="AK127" s="19" t="n">
        <v>0</v>
      </c>
      <c r="AL127" s="19" t="n">
        <v>0</v>
      </c>
      <c r="AM127" s="9" t="n">
        <v>0</v>
      </c>
      <c r="AN127" s="19" t="n">
        <v>0</v>
      </c>
      <c r="AO127" s="19" t="n">
        <v>0</v>
      </c>
      <c r="AP127" s="19" t="n">
        <v>0</v>
      </c>
      <c r="AQ127" s="19" t="n">
        <v>0</v>
      </c>
      <c r="AR127" s="19" t="n">
        <v>0</v>
      </c>
      <c r="AS127" s="19" t="n">
        <v>0</v>
      </c>
      <c r="AT127" s="10">
        <f>SUM(O127:AS127)</f>
        <v/>
      </c>
      <c r="AU127" s="20">
        <f>COUNTIF(O127:AS127, "&gt;0")</f>
        <v/>
      </c>
      <c r="AV127" s="12">
        <f>IF(AU127&gt;=5, 4, IF(AU127&gt;0, INT(AU127/6), 0))</f>
        <v/>
      </c>
      <c r="AW127" s="20" t="n">
        <v>0</v>
      </c>
      <c r="AX127" s="20" t="n">
        <v>0</v>
      </c>
      <c r="AY127" s="13">
        <f>MIN(31, AU127+AV127+AW127+AX127)</f>
        <v/>
      </c>
      <c r="AZ127" s="14">
        <f>31-AY127</f>
        <v/>
      </c>
      <c r="BA127" s="21">
        <f>IF(AX127&gt;0, "01-İstirahat", IF(AZ127&gt;0, "12-Birden Fazla", ""))</f>
        <v/>
      </c>
      <c r="BB127" s="10" t="n">
        <v>3.5</v>
      </c>
      <c r="BC127" s="19" t="n">
        <v>0</v>
      </c>
      <c r="BD127" s="9" t="n">
        <v>0</v>
      </c>
      <c r="BE127" s="22">
        <f>(L127/30)*AU127</f>
        <v/>
      </c>
      <c r="BF127" s="15">
        <f>(L127/225)*((BB127*1.5)-(BC127*1.0))</f>
        <v/>
      </c>
      <c r="BG127" s="16">
        <f>(L127/225)*1.5*BD127</f>
        <v/>
      </c>
      <c r="BH127" s="15">
        <f>BF127+BG127</f>
        <v/>
      </c>
      <c r="BI127" s="17">
        <f>BE127+BH127</f>
        <v/>
      </c>
      <c r="BJ127" s="22">
        <f>IFERROR(VLOOKUP(B127, Resmi_Bordro_SGK!B:M, 11, FALSE), 0)</f>
        <v/>
      </c>
      <c r="BK127" s="18">
        <f>IFERROR(VLOOKUP(B127, Icra_Takip!A:E, 4, FALSE), 0)</f>
        <v/>
      </c>
      <c r="BL127" s="17">
        <f>IF(BI127&gt;BJ127, BI127-BJ127-BK127, 0)</f>
        <v/>
      </c>
      <c r="BM127" s="17">
        <f>BI127-BK127</f>
        <v/>
      </c>
    </row>
    <row r="128" ht="19" customHeight="1">
      <c r="A128" s="4" t="n">
        <v>125</v>
      </c>
      <c r="B128" s="5" t="inlineStr"/>
      <c r="C128" s="6" t="inlineStr">
        <is>
          <t>EMRE ÇELİK</t>
        </is>
      </c>
      <c r="D128" s="4" t="inlineStr"/>
      <c r="E128" s="4" t="inlineStr"/>
      <c r="F128" s="4" t="inlineStr"/>
      <c r="G128" s="4" t="inlineStr"/>
      <c r="H128" s="4" t="inlineStr">
        <is>
          <t>NORMAL</t>
        </is>
      </c>
      <c r="I128" s="4" t="inlineStr">
        <is>
          <t>MEVSİMLİK</t>
        </is>
      </c>
      <c r="J128" s="6" t="inlineStr"/>
      <c r="K128" s="6" t="inlineStr"/>
      <c r="L128" s="7" t="n">
        <v>28075.5</v>
      </c>
      <c r="M128" s="4" t="inlineStr">
        <is>
          <t>FİDE KONSERVE</t>
        </is>
      </c>
      <c r="N128" s="4" t="inlineStr">
        <is>
          <t>ALIR</t>
        </is>
      </c>
      <c r="O128" s="8" t="n">
        <v>0</v>
      </c>
      <c r="P128" s="8" t="n">
        <v>0</v>
      </c>
      <c r="Q128" s="8" t="n">
        <v>10.5</v>
      </c>
      <c r="R128" s="9" t="n">
        <v>0</v>
      </c>
      <c r="S128" s="8" t="n">
        <v>10.5</v>
      </c>
      <c r="T128" s="8" t="n">
        <v>10.5</v>
      </c>
      <c r="U128" s="8" t="n">
        <v>10.5</v>
      </c>
      <c r="V128" s="8" t="n">
        <v>10.5</v>
      </c>
      <c r="W128" s="8" t="n">
        <v>10.5</v>
      </c>
      <c r="X128" s="8" t="n">
        <v>10.5</v>
      </c>
      <c r="Y128" s="9" t="n">
        <v>0</v>
      </c>
      <c r="Z128" s="8" t="n">
        <v>10.5</v>
      </c>
      <c r="AA128" s="8" t="n">
        <v>0</v>
      </c>
      <c r="AB128" s="8" t="n">
        <v>10.5</v>
      </c>
      <c r="AC128" s="8" t="n">
        <v>10.5</v>
      </c>
      <c r="AD128" s="8" t="n">
        <v>0</v>
      </c>
      <c r="AE128" s="8" t="n">
        <v>0</v>
      </c>
      <c r="AF128" s="9" t="n">
        <v>0</v>
      </c>
      <c r="AG128" s="8" t="n">
        <v>10.5</v>
      </c>
      <c r="AH128" s="8" t="n">
        <v>0</v>
      </c>
      <c r="AI128" s="8" t="n">
        <v>0</v>
      </c>
      <c r="AJ128" s="8" t="n">
        <v>0</v>
      </c>
      <c r="AK128" s="8" t="n">
        <v>0</v>
      </c>
      <c r="AL128" s="8" t="n">
        <v>0</v>
      </c>
      <c r="AM128" s="9" t="n">
        <v>0</v>
      </c>
      <c r="AN128" s="8" t="n">
        <v>0</v>
      </c>
      <c r="AO128" s="8" t="n">
        <v>0</v>
      </c>
      <c r="AP128" s="8" t="n">
        <v>0</v>
      </c>
      <c r="AQ128" s="8" t="n">
        <v>0</v>
      </c>
      <c r="AR128" s="8" t="n">
        <v>0</v>
      </c>
      <c r="AS128" s="8" t="n">
        <v>0</v>
      </c>
      <c r="AT128" s="10">
        <f>SUM(O128:AS128)</f>
        <v/>
      </c>
      <c r="AU128" s="11">
        <f>COUNTIF(O128:AS128, "&gt;0")</f>
        <v/>
      </c>
      <c r="AV128" s="12">
        <f>IF(AU128&gt;=5, 4, IF(AU128&gt;0, INT(AU128/6), 0))</f>
        <v/>
      </c>
      <c r="AW128" s="11" t="n">
        <v>0</v>
      </c>
      <c r="AX128" s="11" t="n">
        <v>0</v>
      </c>
      <c r="AY128" s="13">
        <f>MIN(31, AU128+AV128+AW128+AX128)</f>
        <v/>
      </c>
      <c r="AZ128" s="14">
        <f>31-AY128</f>
        <v/>
      </c>
      <c r="BA128" s="5">
        <f>IF(AX128&gt;0, "01-İstirahat", IF(AZ128&gt;0, "12-Birden Fazla", ""))</f>
        <v/>
      </c>
      <c r="BB128" s="10" t="n">
        <v>33</v>
      </c>
      <c r="BC128" s="8" t="n">
        <v>0</v>
      </c>
      <c r="BD128" s="9" t="n">
        <v>0</v>
      </c>
      <c r="BE128" s="7">
        <f>(L128/30)*AU128</f>
        <v/>
      </c>
      <c r="BF128" s="15">
        <f>(L128/225)*((BB128*1.5)-(BC128*1.0))</f>
        <v/>
      </c>
      <c r="BG128" s="16">
        <f>(L128/225)*1.5*BD128</f>
        <v/>
      </c>
      <c r="BH128" s="15">
        <f>BF128+BG128</f>
        <v/>
      </c>
      <c r="BI128" s="17">
        <f>BE128+BH128</f>
        <v/>
      </c>
      <c r="BJ128" s="7">
        <f>IFERROR(VLOOKUP(B128, Resmi_Bordro_SGK!B:M, 11, FALSE), 0)</f>
        <v/>
      </c>
      <c r="BK128" s="18">
        <f>IFERROR(VLOOKUP(B128, Icra_Takip!A:E, 4, FALSE), 0)</f>
        <v/>
      </c>
      <c r="BL128" s="17">
        <f>IF(BI128&gt;BJ128, BI128-BJ128-BK128, 0)</f>
        <v/>
      </c>
      <c r="BM128" s="17">
        <f>BI128-BK128</f>
        <v/>
      </c>
    </row>
    <row r="129" ht="19" customHeight="1">
      <c r="A129" s="4" t="n">
        <v>126</v>
      </c>
      <c r="B129" s="5" t="inlineStr">
        <is>
          <t>29470204244</t>
        </is>
      </c>
      <c r="C129" s="6" t="inlineStr">
        <is>
          <t>ENDER BİLBAY</t>
        </is>
      </c>
      <c r="D129" s="4" t="inlineStr">
        <is>
          <t>E</t>
        </is>
      </c>
      <c r="E129" s="4" t="inlineStr"/>
      <c r="F129" s="4" t="inlineStr">
        <is>
          <t>20.03.2024</t>
        </is>
      </c>
      <c r="G129" s="4" t="inlineStr"/>
      <c r="H129" s="4" t="inlineStr">
        <is>
          <t>SGDP</t>
        </is>
      </c>
      <c r="I129" s="4" t="inlineStr">
        <is>
          <t>DAİMİ</t>
        </is>
      </c>
      <c r="J129" s="6" t="inlineStr">
        <is>
          <t>KAPI GÖREVLİSİ</t>
        </is>
      </c>
      <c r="K129" s="6" t="inlineStr">
        <is>
          <t>GÖBEL</t>
        </is>
      </c>
      <c r="L129" s="7" t="n">
        <v>30185</v>
      </c>
      <c r="M129" s="4" t="inlineStr">
        <is>
          <t>FİDE KONSERVE</t>
        </is>
      </c>
      <c r="N129" s="4" t="inlineStr">
        <is>
          <t>ALIR</t>
        </is>
      </c>
      <c r="O129" s="23" t="n">
        <v>0.5</v>
      </c>
      <c r="P129" s="19" t="n">
        <v>7.5</v>
      </c>
      <c r="Q129" s="19" t="n">
        <v>7.5</v>
      </c>
      <c r="R129" s="9" t="n">
        <v>7.5</v>
      </c>
      <c r="S129" s="19" t="n">
        <v>7.5</v>
      </c>
      <c r="T129" s="23" t="n">
        <v>6.42</v>
      </c>
      <c r="U129" s="19" t="n">
        <v>7.5</v>
      </c>
      <c r="V129" s="23" t="n">
        <v>7.5</v>
      </c>
      <c r="W129" s="19" t="n">
        <v>7.5</v>
      </c>
      <c r="X129" s="19" t="n">
        <v>7.5</v>
      </c>
      <c r="Y129" s="9" t="n">
        <v>7.5</v>
      </c>
      <c r="Z129" s="19" t="n">
        <v>0</v>
      </c>
      <c r="AA129" s="19" t="n">
        <v>0</v>
      </c>
      <c r="AB129" s="19" t="n">
        <v>0</v>
      </c>
      <c r="AC129" s="19" t="n">
        <v>0</v>
      </c>
      <c r="AD129" s="19" t="n">
        <v>0</v>
      </c>
      <c r="AE129" s="19" t="n">
        <v>0</v>
      </c>
      <c r="AF129" s="9" t="n">
        <v>0</v>
      </c>
      <c r="AG129" s="19" t="n">
        <v>7.5</v>
      </c>
      <c r="AH129" s="19" t="n">
        <v>7.5</v>
      </c>
      <c r="AI129" s="23" t="n">
        <v>7.5</v>
      </c>
      <c r="AJ129" s="19" t="n">
        <v>0</v>
      </c>
      <c r="AK129" s="19" t="n">
        <v>0</v>
      </c>
      <c r="AL129" s="19" t="n">
        <v>0</v>
      </c>
      <c r="AM129" s="9" t="n">
        <v>0</v>
      </c>
      <c r="AN129" s="19" t="n">
        <v>0</v>
      </c>
      <c r="AO129" s="19" t="n">
        <v>0</v>
      </c>
      <c r="AP129" s="19" t="n">
        <v>0</v>
      </c>
      <c r="AQ129" s="19" t="n">
        <v>0</v>
      </c>
      <c r="AR129" s="19" t="n">
        <v>0</v>
      </c>
      <c r="AS129" s="19" t="n">
        <v>0</v>
      </c>
      <c r="AT129" s="10">
        <f>SUM(O129:AS129)</f>
        <v/>
      </c>
      <c r="AU129" s="20">
        <f>COUNTIF(O129:AS129, "&gt;0")</f>
        <v/>
      </c>
      <c r="AV129" s="12">
        <f>IF(AU129&gt;=5, 4, IF(AU129&gt;0, INT(AU129/6), 0))</f>
        <v/>
      </c>
      <c r="AW129" s="20" t="n">
        <v>0</v>
      </c>
      <c r="AX129" s="20" t="n">
        <v>0</v>
      </c>
      <c r="AY129" s="13">
        <f>MIN(31, AU129+AV129+AW129+AX129)</f>
        <v/>
      </c>
      <c r="AZ129" s="14">
        <f>31-AY129</f>
        <v/>
      </c>
      <c r="BA129" s="21">
        <f>IF(AX129&gt;0, "01-İstirahat", IF(AZ129&gt;0, "12-Birden Fazla", ""))</f>
        <v/>
      </c>
      <c r="BB129" s="10" t="n">
        <v>0</v>
      </c>
      <c r="BC129" s="23" t="n">
        <v>8.08</v>
      </c>
      <c r="BD129" s="9" t="n">
        <v>15</v>
      </c>
      <c r="BE129" s="22">
        <f>(L129/30)*AU129</f>
        <v/>
      </c>
      <c r="BF129" s="15">
        <f>(L129/225)*((BB129*1.5)-(BC129*1.0))</f>
        <v/>
      </c>
      <c r="BG129" s="16">
        <f>(L129/225)*1.5*BD129</f>
        <v/>
      </c>
      <c r="BH129" s="15">
        <f>BF129+BG129</f>
        <v/>
      </c>
      <c r="BI129" s="17">
        <f>BE129+BH129</f>
        <v/>
      </c>
      <c r="BJ129" s="22">
        <f>IFERROR(VLOOKUP(B129, Resmi_Bordro_SGK!B:M, 11, FALSE), 0)</f>
        <v/>
      </c>
      <c r="BK129" s="18">
        <f>IFERROR(VLOOKUP(B129, Icra_Takip!A:E, 4, FALSE), 0)</f>
        <v/>
      </c>
      <c r="BL129" s="17">
        <f>IF(BI129&gt;BJ129, BI129-BJ129-BK129, 0)</f>
        <v/>
      </c>
      <c r="BM129" s="17">
        <f>BI129-BK129</f>
        <v/>
      </c>
    </row>
    <row r="130" ht="19" customHeight="1">
      <c r="A130" s="4" t="n">
        <v>127</v>
      </c>
      <c r="B130" s="5" t="inlineStr">
        <is>
          <t>98284188514</t>
        </is>
      </c>
      <c r="C130" s="6" t="inlineStr">
        <is>
          <t>ENES ABDE</t>
        </is>
      </c>
      <c r="D130" s="4" t="inlineStr">
        <is>
          <t>K</t>
        </is>
      </c>
      <c r="E130" s="4" t="inlineStr"/>
      <c r="F130" s="4" t="inlineStr">
        <is>
          <t>18.04.2026</t>
        </is>
      </c>
      <c r="G130" s="4" t="inlineStr"/>
      <c r="H130" s="4" t="inlineStr">
        <is>
          <t>NORMAL</t>
        </is>
      </c>
      <c r="I130" s="4" t="inlineStr">
        <is>
          <t>MEVSİMLİK</t>
        </is>
      </c>
      <c r="J130" s="6" t="inlineStr">
        <is>
          <t>BALIK TEMİZLEME</t>
        </is>
      </c>
      <c r="K130" s="6" t="inlineStr">
        <is>
          <t>MKP</t>
        </is>
      </c>
      <c r="L130" s="7" t="n">
        <v>33000</v>
      </c>
      <c r="M130" s="4" t="inlineStr">
        <is>
          <t>FİDE KONSERVE</t>
        </is>
      </c>
      <c r="N130" s="4" t="inlineStr">
        <is>
          <t>ALIR</t>
        </is>
      </c>
      <c r="O130" s="23" t="n">
        <v>8</v>
      </c>
      <c r="P130" s="8" t="n">
        <v>8.5</v>
      </c>
      <c r="Q130" s="8" t="n">
        <v>8</v>
      </c>
      <c r="R130" s="9" t="n">
        <v>0</v>
      </c>
      <c r="S130" s="8" t="n">
        <v>7.5</v>
      </c>
      <c r="T130" s="8" t="n">
        <v>0</v>
      </c>
      <c r="U130" s="8" t="n">
        <v>0</v>
      </c>
      <c r="V130" s="8" t="n">
        <v>8</v>
      </c>
      <c r="W130" s="8" t="n">
        <v>8.5</v>
      </c>
      <c r="X130" s="8" t="n">
        <v>8.5</v>
      </c>
      <c r="Y130" s="9" t="n">
        <v>0</v>
      </c>
      <c r="Z130" s="8" t="n">
        <v>0</v>
      </c>
      <c r="AA130" s="8" t="n">
        <v>0</v>
      </c>
      <c r="AB130" s="23" t="n">
        <v>0.5</v>
      </c>
      <c r="AC130" s="8" t="n">
        <v>7.5</v>
      </c>
      <c r="AD130" s="8" t="n">
        <v>8</v>
      </c>
      <c r="AE130" s="8" t="n">
        <v>8.5</v>
      </c>
      <c r="AF130" s="9" t="n">
        <v>0</v>
      </c>
      <c r="AG130" s="8" t="n">
        <v>0</v>
      </c>
      <c r="AH130" s="8" t="n">
        <v>0</v>
      </c>
      <c r="AI130" s="8" t="n">
        <v>7.5</v>
      </c>
      <c r="AJ130" s="8" t="n">
        <v>0</v>
      </c>
      <c r="AK130" s="8" t="n">
        <v>0</v>
      </c>
      <c r="AL130" s="8" t="n">
        <v>0</v>
      </c>
      <c r="AM130" s="9" t="n">
        <v>0</v>
      </c>
      <c r="AN130" s="8" t="n">
        <v>0</v>
      </c>
      <c r="AO130" s="8" t="n">
        <v>0</v>
      </c>
      <c r="AP130" s="8" t="n">
        <v>0</v>
      </c>
      <c r="AQ130" s="8" t="n">
        <v>0</v>
      </c>
      <c r="AR130" s="8" t="n">
        <v>0</v>
      </c>
      <c r="AS130" s="8" t="n">
        <v>0</v>
      </c>
      <c r="AT130" s="10">
        <f>SUM(O130:AS130)</f>
        <v/>
      </c>
      <c r="AU130" s="11">
        <f>COUNTIF(O130:AS130, "&gt;0")</f>
        <v/>
      </c>
      <c r="AV130" s="12">
        <f>IF(AU130&gt;=5, 4, IF(AU130&gt;0, INT(AU130/6), 0))</f>
        <v/>
      </c>
      <c r="AW130" s="11" t="n">
        <v>0</v>
      </c>
      <c r="AX130" s="11" t="n">
        <v>0</v>
      </c>
      <c r="AY130" s="13">
        <f>MIN(31, AU130+AV130+AW130+AX130)</f>
        <v/>
      </c>
      <c r="AZ130" s="14">
        <f>31-AY130</f>
        <v/>
      </c>
      <c r="BA130" s="5">
        <f>IF(AX130&gt;0, "01-İstirahat", IF(AZ130&gt;0, "12-Birden Fazla", ""))</f>
        <v/>
      </c>
      <c r="BB130" s="10" t="n">
        <v>6</v>
      </c>
      <c r="BC130" s="23" t="n">
        <v>7</v>
      </c>
      <c r="BD130" s="9" t="n">
        <v>0</v>
      </c>
      <c r="BE130" s="7">
        <f>(L130/30)*AU130</f>
        <v/>
      </c>
      <c r="BF130" s="15">
        <f>(L130/225)*((BB130*1.5)-(BC130*1.0))</f>
        <v/>
      </c>
      <c r="BG130" s="16">
        <f>(L130/225)*1.5*BD130</f>
        <v/>
      </c>
      <c r="BH130" s="15">
        <f>BF130+BG130</f>
        <v/>
      </c>
      <c r="BI130" s="17">
        <f>BE130+BH130</f>
        <v/>
      </c>
      <c r="BJ130" s="7">
        <f>IFERROR(VLOOKUP(B130, Resmi_Bordro_SGK!B:M, 11, FALSE), 0)</f>
        <v/>
      </c>
      <c r="BK130" s="18">
        <f>IFERROR(VLOOKUP(B130, Icra_Takip!A:E, 4, FALSE), 0)</f>
        <v/>
      </c>
      <c r="BL130" s="17">
        <f>IF(BI130&gt;BJ130, BI130-BJ130-BK130, 0)</f>
        <v/>
      </c>
      <c r="BM130" s="17">
        <f>BI130-BK130</f>
        <v/>
      </c>
    </row>
    <row r="131" ht="19" customHeight="1">
      <c r="A131" s="4" t="n">
        <v>128</v>
      </c>
      <c r="B131" s="5" t="inlineStr">
        <is>
          <t>38179842978</t>
        </is>
      </c>
      <c r="C131" s="6" t="inlineStr">
        <is>
          <t>ENİS KOKARGÜL</t>
        </is>
      </c>
      <c r="D131" s="4" t="inlineStr">
        <is>
          <t>K</t>
        </is>
      </c>
      <c r="E131" s="4" t="inlineStr"/>
      <c r="F131" s="4" t="inlineStr">
        <is>
          <t>17.08.2026</t>
        </is>
      </c>
      <c r="G131" s="4" t="inlineStr"/>
      <c r="H131" s="4" t="inlineStr">
        <is>
          <t>NORMAL</t>
        </is>
      </c>
      <c r="I131" s="4" t="inlineStr">
        <is>
          <t>MEVSİMLİK</t>
        </is>
      </c>
      <c r="J131" s="6" t="inlineStr">
        <is>
          <t>ÜRETİM</t>
        </is>
      </c>
      <c r="K131" s="6" t="inlineStr">
        <is>
          <t>KARACABEY-HALİL</t>
        </is>
      </c>
      <c r="L131" s="7" t="n">
        <v>28075.5</v>
      </c>
      <c r="M131" s="4" t="inlineStr">
        <is>
          <t>FİDE KONSERVE</t>
        </is>
      </c>
      <c r="N131" s="4" t="inlineStr">
        <is>
          <t>ALIR</t>
        </is>
      </c>
      <c r="O131" s="19" t="n">
        <v>0</v>
      </c>
      <c r="P131" s="19" t="n">
        <v>0</v>
      </c>
      <c r="Q131" s="19" t="n">
        <v>0</v>
      </c>
      <c r="R131" s="9" t="n">
        <v>0</v>
      </c>
      <c r="S131" s="19" t="n">
        <v>0</v>
      </c>
      <c r="T131" s="19" t="n">
        <v>0</v>
      </c>
      <c r="U131" s="19" t="n">
        <v>0</v>
      </c>
      <c r="V131" s="19" t="n">
        <v>0</v>
      </c>
      <c r="W131" s="19" t="n">
        <v>0</v>
      </c>
      <c r="X131" s="19" t="n">
        <v>0</v>
      </c>
      <c r="Y131" s="9" t="n">
        <v>0</v>
      </c>
      <c r="Z131" s="19" t="n">
        <v>0</v>
      </c>
      <c r="AA131" s="19" t="n">
        <v>0</v>
      </c>
      <c r="AB131" s="19" t="n">
        <v>0</v>
      </c>
      <c r="AC131" s="19" t="n">
        <v>0</v>
      </c>
      <c r="AD131" s="19" t="n">
        <v>0</v>
      </c>
      <c r="AE131" s="19" t="n">
        <v>0</v>
      </c>
      <c r="AF131" s="9" t="n">
        <v>0</v>
      </c>
      <c r="AG131" s="19" t="n">
        <v>0</v>
      </c>
      <c r="AH131" s="19" t="n">
        <v>0</v>
      </c>
      <c r="AI131" s="19" t="n">
        <v>0</v>
      </c>
      <c r="AJ131" s="19" t="n">
        <v>0</v>
      </c>
      <c r="AK131" s="19" t="n">
        <v>0</v>
      </c>
      <c r="AL131" s="19" t="n">
        <v>0</v>
      </c>
      <c r="AM131" s="9" t="n">
        <v>0</v>
      </c>
      <c r="AN131" s="19" t="n">
        <v>0</v>
      </c>
      <c r="AO131" s="19" t="n">
        <v>0</v>
      </c>
      <c r="AP131" s="19" t="n">
        <v>0</v>
      </c>
      <c r="AQ131" s="19" t="n">
        <v>0</v>
      </c>
      <c r="AR131" s="19" t="n">
        <v>0</v>
      </c>
      <c r="AS131" s="19" t="n">
        <v>0</v>
      </c>
      <c r="AT131" s="10">
        <f>SUM(O131:AS131)</f>
        <v/>
      </c>
      <c r="AU131" s="20">
        <f>COUNTIF(O131:AS131, "&gt;0")</f>
        <v/>
      </c>
      <c r="AV131" s="12">
        <f>IF(AU131&gt;=5, 4, IF(AU131&gt;0, INT(AU131/6), 0))</f>
        <v/>
      </c>
      <c r="AW131" s="20" t="n">
        <v>0</v>
      </c>
      <c r="AX131" s="20" t="n">
        <v>0</v>
      </c>
      <c r="AY131" s="13">
        <f>MIN(31, AU131+AV131+AW131+AX131)</f>
        <v/>
      </c>
      <c r="AZ131" s="14">
        <f>31-AY131</f>
        <v/>
      </c>
      <c r="BA131" s="21">
        <f>IF(AX131&gt;0, "01-İstirahat", IF(AZ131&gt;0, "12-Birden Fazla", ""))</f>
        <v/>
      </c>
      <c r="BB131" s="10" t="n">
        <v>0</v>
      </c>
      <c r="BC131" s="19" t="n">
        <v>0</v>
      </c>
      <c r="BD131" s="9" t="n">
        <v>0</v>
      </c>
      <c r="BE131" s="22">
        <f>(L131/30)*AU131</f>
        <v/>
      </c>
      <c r="BF131" s="15">
        <f>(L131/225)*((BB131*1.5)-(BC131*1.0))</f>
        <v/>
      </c>
      <c r="BG131" s="16">
        <f>(L131/225)*1.5*BD131</f>
        <v/>
      </c>
      <c r="BH131" s="15">
        <f>BF131+BG131</f>
        <v/>
      </c>
      <c r="BI131" s="17">
        <f>BE131+BH131</f>
        <v/>
      </c>
      <c r="BJ131" s="22">
        <f>IFERROR(VLOOKUP(B131, Resmi_Bordro_SGK!B:M, 11, FALSE), 0)</f>
        <v/>
      </c>
      <c r="BK131" s="18">
        <f>IFERROR(VLOOKUP(B131, Icra_Takip!A:E, 4, FALSE), 0)</f>
        <v/>
      </c>
      <c r="BL131" s="17">
        <f>IF(BI131&gt;BJ131, BI131-BJ131-BK131, 0)</f>
        <v/>
      </c>
      <c r="BM131" s="17">
        <f>BI131-BK131</f>
        <v/>
      </c>
    </row>
    <row r="132" ht="19" customHeight="1">
      <c r="A132" s="4" t="n">
        <v>129</v>
      </c>
      <c r="B132" s="5" t="inlineStr">
        <is>
          <t>34795126850</t>
        </is>
      </c>
      <c r="C132" s="6" t="inlineStr">
        <is>
          <t>ERCAN POLAT</t>
        </is>
      </c>
      <c r="D132" s="4" t="inlineStr">
        <is>
          <t>E</t>
        </is>
      </c>
      <c r="E132" s="4" t="inlineStr"/>
      <c r="F132" s="4" t="inlineStr">
        <is>
          <t>17.08.2026</t>
        </is>
      </c>
      <c r="G132" s="4" t="inlineStr"/>
      <c r="H132" s="4" t="inlineStr">
        <is>
          <t>NORMAL</t>
        </is>
      </c>
      <c r="I132" s="4" t="inlineStr">
        <is>
          <t>DAİMİ</t>
        </is>
      </c>
      <c r="J132" s="6" t="inlineStr">
        <is>
          <t>BİLGİSAYAR MÜHENDİSİ</t>
        </is>
      </c>
      <c r="K132" s="6" t="inlineStr">
        <is>
          <t>KARACABEY</t>
        </is>
      </c>
      <c r="L132" s="7" t="n">
        <v>35000</v>
      </c>
      <c r="M132" s="4" t="inlineStr">
        <is>
          <t>FİDE KONSERVE</t>
        </is>
      </c>
      <c r="N132" s="4" t="inlineStr">
        <is>
          <t>ALIR</t>
        </is>
      </c>
      <c r="O132" s="8" t="n">
        <v>8</v>
      </c>
      <c r="P132" s="8" t="n">
        <v>8.5</v>
      </c>
      <c r="Q132" s="8" t="n">
        <v>8</v>
      </c>
      <c r="R132" s="9" t="n">
        <v>0</v>
      </c>
      <c r="S132" s="8" t="n">
        <v>7.5</v>
      </c>
      <c r="T132" s="8" t="n">
        <v>8.5</v>
      </c>
      <c r="U132" s="8" t="n">
        <v>10.5</v>
      </c>
      <c r="V132" s="8" t="n">
        <v>8</v>
      </c>
      <c r="W132" s="8" t="n">
        <v>8.5</v>
      </c>
      <c r="X132" s="8" t="n">
        <v>8.5</v>
      </c>
      <c r="Y132" s="9" t="n">
        <v>0</v>
      </c>
      <c r="Z132" s="8" t="n">
        <v>7.5</v>
      </c>
      <c r="AA132" s="8" t="n">
        <v>7.5</v>
      </c>
      <c r="AB132" s="8" t="n">
        <v>8.5</v>
      </c>
      <c r="AC132" s="8" t="n">
        <v>7.5</v>
      </c>
      <c r="AD132" s="8" t="n">
        <v>12.5</v>
      </c>
      <c r="AE132" s="8" t="n">
        <v>7.5</v>
      </c>
      <c r="AF132" s="9" t="n">
        <v>0</v>
      </c>
      <c r="AG132" s="8" t="n">
        <v>8.5</v>
      </c>
      <c r="AH132" s="8" t="n">
        <v>7.5</v>
      </c>
      <c r="AI132" s="8" t="n">
        <v>7.5</v>
      </c>
      <c r="AJ132" s="8" t="n">
        <v>0</v>
      </c>
      <c r="AK132" s="8" t="n">
        <v>0</v>
      </c>
      <c r="AL132" s="8" t="n">
        <v>0</v>
      </c>
      <c r="AM132" s="9" t="n">
        <v>0</v>
      </c>
      <c r="AN132" s="8" t="n">
        <v>0</v>
      </c>
      <c r="AO132" s="8" t="n">
        <v>0</v>
      </c>
      <c r="AP132" s="8" t="n">
        <v>0</v>
      </c>
      <c r="AQ132" s="8" t="n">
        <v>0</v>
      </c>
      <c r="AR132" s="8" t="n">
        <v>0</v>
      </c>
      <c r="AS132" s="8" t="n">
        <v>0</v>
      </c>
      <c r="AT132" s="10">
        <f>SUM(O132:AS132)</f>
        <v/>
      </c>
      <c r="AU132" s="11">
        <f>COUNTIF(O132:AS132, "&gt;0")</f>
        <v/>
      </c>
      <c r="AV132" s="12">
        <f>IF(AU132&gt;=5, 4, IF(AU132&gt;0, INT(AU132/6), 0))</f>
        <v/>
      </c>
      <c r="AW132" s="11" t="n">
        <v>0</v>
      </c>
      <c r="AX132" s="11" t="n">
        <v>0</v>
      </c>
      <c r="AY132" s="13">
        <f>MIN(31, AU132+AV132+AW132+AX132)</f>
        <v/>
      </c>
      <c r="AZ132" s="14">
        <f>31-AY132</f>
        <v/>
      </c>
      <c r="BA132" s="5">
        <f>IF(AX132&gt;0, "01-İstirahat", IF(AZ132&gt;0, "12-Birden Fazla", ""))</f>
        <v/>
      </c>
      <c r="BB132" s="10" t="n">
        <v>15.5</v>
      </c>
      <c r="BC132" s="8" t="n">
        <v>0</v>
      </c>
      <c r="BD132" s="9" t="n">
        <v>0</v>
      </c>
      <c r="BE132" s="7">
        <f>(L132/30)*AU132</f>
        <v/>
      </c>
      <c r="BF132" s="15">
        <f>(L132/225)*((BB132*1.5)-(BC132*1.0))</f>
        <v/>
      </c>
      <c r="BG132" s="16">
        <f>(L132/225)*1.5*BD132</f>
        <v/>
      </c>
      <c r="BH132" s="15">
        <f>BF132+BG132</f>
        <v/>
      </c>
      <c r="BI132" s="17">
        <f>BE132+BH132</f>
        <v/>
      </c>
      <c r="BJ132" s="7">
        <f>IFERROR(VLOOKUP(B132, Resmi_Bordro_SGK!B:M, 11, FALSE), 0)</f>
        <v/>
      </c>
      <c r="BK132" s="18">
        <f>IFERROR(VLOOKUP(B132, Icra_Takip!A:E, 4, FALSE), 0)</f>
        <v/>
      </c>
      <c r="BL132" s="17">
        <f>IF(BI132&gt;BJ132, BI132-BJ132-BK132, 0)</f>
        <v/>
      </c>
      <c r="BM132" s="17">
        <f>BI132-BK132</f>
        <v/>
      </c>
    </row>
    <row r="133" ht="19" customHeight="1">
      <c r="A133" s="4" t="n">
        <v>130</v>
      </c>
      <c r="B133" s="5" t="inlineStr">
        <is>
          <t>35581001238</t>
        </is>
      </c>
      <c r="C133" s="6" t="inlineStr">
        <is>
          <t>ERCÜMENT AYGÜL</t>
        </is>
      </c>
      <c r="D133" s="4" t="inlineStr">
        <is>
          <t>E</t>
        </is>
      </c>
      <c r="E133" s="4" t="inlineStr">
        <is>
          <t>02.04.2026</t>
        </is>
      </c>
      <c r="F133" s="4" t="inlineStr">
        <is>
          <t>03.04.2026</t>
        </is>
      </c>
      <c r="G133" s="4" t="inlineStr"/>
      <c r="H133" s="4" t="inlineStr">
        <is>
          <t>NORMAL</t>
        </is>
      </c>
      <c r="I133" s="4" t="inlineStr">
        <is>
          <t>DAİMİ</t>
        </is>
      </c>
      <c r="J133" s="6" t="inlineStr">
        <is>
          <t>AMBAR</t>
        </is>
      </c>
      <c r="K133" s="6" t="inlineStr">
        <is>
          <t>SUSURLUK</t>
        </is>
      </c>
      <c r="L133" s="7" t="n">
        <v>36000</v>
      </c>
      <c r="M133" s="4" t="inlineStr">
        <is>
          <t>FİDE KONSERVE</t>
        </is>
      </c>
      <c r="N133" s="4" t="inlineStr">
        <is>
          <t>ALIR</t>
        </is>
      </c>
      <c r="O133" s="19" t="n">
        <v>0</v>
      </c>
      <c r="P133" s="19" t="n">
        <v>0</v>
      </c>
      <c r="Q133" s="19" t="n">
        <v>0</v>
      </c>
      <c r="R133" s="9" t="n">
        <v>0</v>
      </c>
      <c r="S133" s="19" t="n">
        <v>0</v>
      </c>
      <c r="T133" s="19" t="n">
        <v>0</v>
      </c>
      <c r="U133" s="19" t="n">
        <v>0</v>
      </c>
      <c r="V133" s="19" t="n">
        <v>0</v>
      </c>
      <c r="W133" s="19" t="n">
        <v>0</v>
      </c>
      <c r="X133" s="19" t="n">
        <v>0</v>
      </c>
      <c r="Y133" s="9" t="n">
        <v>0</v>
      </c>
      <c r="Z133" s="19" t="n">
        <v>0</v>
      </c>
      <c r="AA133" s="19" t="n">
        <v>0</v>
      </c>
      <c r="AB133" s="19" t="n">
        <v>0</v>
      </c>
      <c r="AC133" s="19" t="n">
        <v>0</v>
      </c>
      <c r="AD133" s="19" t="n">
        <v>0</v>
      </c>
      <c r="AE133" s="19" t="n">
        <v>0</v>
      </c>
      <c r="AF133" s="9" t="n">
        <v>0</v>
      </c>
      <c r="AG133" s="19" t="n">
        <v>0</v>
      </c>
      <c r="AH133" s="19" t="n">
        <v>0</v>
      </c>
      <c r="AI133" s="19" t="n">
        <v>0</v>
      </c>
      <c r="AJ133" s="19" t="n">
        <v>0</v>
      </c>
      <c r="AK133" s="19" t="n">
        <v>0</v>
      </c>
      <c r="AL133" s="19" t="n">
        <v>0</v>
      </c>
      <c r="AM133" s="9" t="n">
        <v>0</v>
      </c>
      <c r="AN133" s="19" t="n">
        <v>0</v>
      </c>
      <c r="AO133" s="19" t="n">
        <v>0</v>
      </c>
      <c r="AP133" s="19" t="n">
        <v>0</v>
      </c>
      <c r="AQ133" s="19" t="n">
        <v>0</v>
      </c>
      <c r="AR133" s="19" t="n">
        <v>0</v>
      </c>
      <c r="AS133" s="19" t="n">
        <v>0</v>
      </c>
      <c r="AT133" s="10">
        <f>SUM(O133:AS133)</f>
        <v/>
      </c>
      <c r="AU133" s="20">
        <f>COUNTIF(O133:AS133, "&gt;0")</f>
        <v/>
      </c>
      <c r="AV133" s="12">
        <f>IF(AU133&gt;=5, 4, IF(AU133&gt;0, INT(AU133/6), 0))</f>
        <v/>
      </c>
      <c r="AW133" s="20" t="n">
        <v>0</v>
      </c>
      <c r="AX133" s="20" t="n">
        <v>0</v>
      </c>
      <c r="AY133" s="13">
        <f>MIN(31, AU133+AV133+AW133+AX133)</f>
        <v/>
      </c>
      <c r="AZ133" s="14">
        <f>31-AY133</f>
        <v/>
      </c>
      <c r="BA133" s="21">
        <f>IF(AX133&gt;0, "01-İstirahat", IF(AZ133&gt;0, "12-Birden Fazla", ""))</f>
        <v/>
      </c>
      <c r="BB133" s="10" t="n">
        <v>0</v>
      </c>
      <c r="BC133" s="19" t="n">
        <v>0</v>
      </c>
      <c r="BD133" s="9" t="n">
        <v>0</v>
      </c>
      <c r="BE133" s="22">
        <f>(L133/30)*AU133</f>
        <v/>
      </c>
      <c r="BF133" s="15">
        <f>(L133/225)*((BB133*1.5)-(BC133*1.0))</f>
        <v/>
      </c>
      <c r="BG133" s="16">
        <f>(L133/225)*1.5*BD133</f>
        <v/>
      </c>
      <c r="BH133" s="15">
        <f>BF133+BG133</f>
        <v/>
      </c>
      <c r="BI133" s="17">
        <f>BE133+BH133</f>
        <v/>
      </c>
      <c r="BJ133" s="22">
        <f>IFERROR(VLOOKUP(B133, Resmi_Bordro_SGK!B:M, 11, FALSE), 0)</f>
        <v/>
      </c>
      <c r="BK133" s="18">
        <f>IFERROR(VLOOKUP(B133, Icra_Takip!A:E, 4, FALSE), 0)</f>
        <v/>
      </c>
      <c r="BL133" s="17">
        <f>IF(BI133&gt;BJ133, BI133-BJ133-BK133, 0)</f>
        <v/>
      </c>
      <c r="BM133" s="17">
        <f>BI133-BK133</f>
        <v/>
      </c>
    </row>
    <row r="134" ht="19" customHeight="1">
      <c r="A134" s="4" t="n">
        <v>131</v>
      </c>
      <c r="B134" s="5" t="inlineStr">
        <is>
          <t>22159547106</t>
        </is>
      </c>
      <c r="C134" s="6" t="inlineStr">
        <is>
          <t>EREL KIRNAK</t>
        </is>
      </c>
      <c r="D134" s="4" t="inlineStr">
        <is>
          <t>E</t>
        </is>
      </c>
      <c r="E134" s="4" t="inlineStr"/>
      <c r="F134" s="4" t="inlineStr">
        <is>
          <t>17.08.2026</t>
        </is>
      </c>
      <c r="G134" s="4" t="inlineStr"/>
      <c r="H134" s="4" t="inlineStr">
        <is>
          <t>NORMAL</t>
        </is>
      </c>
      <c r="I134" s="4" t="inlineStr">
        <is>
          <t>MEVSİMLİK</t>
        </is>
      </c>
      <c r="J134" s="6" t="inlineStr">
        <is>
          <t>ÜRETİM</t>
        </is>
      </c>
      <c r="K134" s="6" t="inlineStr">
        <is>
          <t>SEVGİ</t>
        </is>
      </c>
      <c r="L134" s="7" t="n">
        <v>28075.5</v>
      </c>
      <c r="M134" s="4" t="inlineStr">
        <is>
          <t>FİDE KONSERVE</t>
        </is>
      </c>
      <c r="N134" s="4" t="inlineStr">
        <is>
          <t>ALIR</t>
        </is>
      </c>
      <c r="O134" s="8" t="n">
        <v>0</v>
      </c>
      <c r="P134" s="8" t="n">
        <v>0</v>
      </c>
      <c r="Q134" s="8" t="n">
        <v>0</v>
      </c>
      <c r="R134" s="9" t="n">
        <v>0</v>
      </c>
      <c r="S134" s="8" t="n">
        <v>0</v>
      </c>
      <c r="T134" s="8" t="n">
        <v>0</v>
      </c>
      <c r="U134" s="8" t="n">
        <v>0</v>
      </c>
      <c r="V134" s="8" t="n">
        <v>0</v>
      </c>
      <c r="W134" s="8" t="n">
        <v>0</v>
      </c>
      <c r="X134" s="8" t="n">
        <v>0</v>
      </c>
      <c r="Y134" s="9" t="n">
        <v>0</v>
      </c>
      <c r="Z134" s="8" t="n">
        <v>0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9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  <c r="AK134" s="8" t="n">
        <v>0</v>
      </c>
      <c r="AL134" s="8" t="n">
        <v>0</v>
      </c>
      <c r="AM134" s="9" t="n">
        <v>0</v>
      </c>
      <c r="AN134" s="8" t="n">
        <v>0</v>
      </c>
      <c r="AO134" s="8" t="n">
        <v>0</v>
      </c>
      <c r="AP134" s="8" t="n">
        <v>0</v>
      </c>
      <c r="AQ134" s="8" t="n">
        <v>0</v>
      </c>
      <c r="AR134" s="8" t="n">
        <v>0</v>
      </c>
      <c r="AS134" s="8" t="n">
        <v>0</v>
      </c>
      <c r="AT134" s="10">
        <f>SUM(O134:AS134)</f>
        <v/>
      </c>
      <c r="AU134" s="11">
        <f>COUNTIF(O134:AS134, "&gt;0")</f>
        <v/>
      </c>
      <c r="AV134" s="12">
        <f>IF(AU134&gt;=5, 4, IF(AU134&gt;0, INT(AU134/6), 0))</f>
        <v/>
      </c>
      <c r="AW134" s="11" t="n">
        <v>0</v>
      </c>
      <c r="AX134" s="11" t="n">
        <v>0</v>
      </c>
      <c r="AY134" s="13">
        <f>MIN(31, AU134+AV134+AW134+AX134)</f>
        <v/>
      </c>
      <c r="AZ134" s="14">
        <f>31-AY134</f>
        <v/>
      </c>
      <c r="BA134" s="5">
        <f>IF(AX134&gt;0, "01-İstirahat", IF(AZ134&gt;0, "12-Birden Fazla", ""))</f>
        <v/>
      </c>
      <c r="BB134" s="10" t="n">
        <v>0</v>
      </c>
      <c r="BC134" s="8" t="n">
        <v>0</v>
      </c>
      <c r="BD134" s="9" t="n">
        <v>0</v>
      </c>
      <c r="BE134" s="7">
        <f>(L134/30)*AU134</f>
        <v/>
      </c>
      <c r="BF134" s="15">
        <f>(L134/225)*((BB134*1.5)-(BC134*1.0))</f>
        <v/>
      </c>
      <c r="BG134" s="16">
        <f>(L134/225)*1.5*BD134</f>
        <v/>
      </c>
      <c r="BH134" s="15">
        <f>BF134+BG134</f>
        <v/>
      </c>
      <c r="BI134" s="17">
        <f>BE134+BH134</f>
        <v/>
      </c>
      <c r="BJ134" s="7">
        <f>IFERROR(VLOOKUP(B134, Resmi_Bordro_SGK!B:M, 11, FALSE), 0)</f>
        <v/>
      </c>
      <c r="BK134" s="18">
        <f>IFERROR(VLOOKUP(B134, Icra_Takip!A:E, 4, FALSE), 0)</f>
        <v/>
      </c>
      <c r="BL134" s="17">
        <f>IF(BI134&gt;BJ134, BI134-BJ134-BK134, 0)</f>
        <v/>
      </c>
      <c r="BM134" s="17">
        <f>BI134-BK134</f>
        <v/>
      </c>
    </row>
    <row r="135" ht="19" customHeight="1">
      <c r="A135" s="4" t="n">
        <v>132</v>
      </c>
      <c r="B135" s="5" t="inlineStr"/>
      <c r="C135" s="6" t="inlineStr">
        <is>
          <t>EREN BAŞAR</t>
        </is>
      </c>
      <c r="D135" s="4" t="inlineStr"/>
      <c r="E135" s="4" t="inlineStr"/>
      <c r="F135" s="4" t="inlineStr"/>
      <c r="G135" s="4" t="inlineStr"/>
      <c r="H135" s="4" t="inlineStr">
        <is>
          <t>NORMAL</t>
        </is>
      </c>
      <c r="I135" s="4" t="inlineStr">
        <is>
          <t>MEVSİMLİK</t>
        </is>
      </c>
      <c r="J135" s="6" t="inlineStr"/>
      <c r="K135" s="6" t="inlineStr"/>
      <c r="L135" s="7" t="n">
        <v>28075.5</v>
      </c>
      <c r="M135" s="4" t="inlineStr">
        <is>
          <t>FİDE KONSERVE</t>
        </is>
      </c>
      <c r="N135" s="4" t="inlineStr">
        <is>
          <t>ALIR</t>
        </is>
      </c>
      <c r="O135" s="19" t="n">
        <v>0</v>
      </c>
      <c r="P135" s="19" t="n">
        <v>0</v>
      </c>
      <c r="Q135" s="19" t="n">
        <v>0</v>
      </c>
      <c r="R135" s="9" t="n">
        <v>0</v>
      </c>
      <c r="S135" s="19" t="n">
        <v>0</v>
      </c>
      <c r="T135" s="19" t="n">
        <v>0</v>
      </c>
      <c r="U135" s="19" t="n">
        <v>0</v>
      </c>
      <c r="V135" s="19" t="n">
        <v>0</v>
      </c>
      <c r="W135" s="19" t="n">
        <v>0</v>
      </c>
      <c r="X135" s="19" t="n">
        <v>0</v>
      </c>
      <c r="Y135" s="9" t="n">
        <v>0</v>
      </c>
      <c r="Z135" s="19" t="n">
        <v>0</v>
      </c>
      <c r="AA135" s="19" t="n">
        <v>0</v>
      </c>
      <c r="AB135" s="19" t="n">
        <v>0</v>
      </c>
      <c r="AC135" s="19" t="n">
        <v>0</v>
      </c>
      <c r="AD135" s="19" t="n">
        <v>0</v>
      </c>
      <c r="AE135" s="19" t="n">
        <v>0</v>
      </c>
      <c r="AF135" s="9" t="n">
        <v>0</v>
      </c>
      <c r="AG135" s="19" t="n">
        <v>0</v>
      </c>
      <c r="AH135" s="19" t="n">
        <v>0</v>
      </c>
      <c r="AI135" s="19" t="n">
        <v>0</v>
      </c>
      <c r="AJ135" s="19" t="n">
        <v>0</v>
      </c>
      <c r="AK135" s="19" t="n">
        <v>0</v>
      </c>
      <c r="AL135" s="19" t="n">
        <v>0</v>
      </c>
      <c r="AM135" s="9" t="n">
        <v>0</v>
      </c>
      <c r="AN135" s="19" t="n">
        <v>0</v>
      </c>
      <c r="AO135" s="19" t="n">
        <v>0</v>
      </c>
      <c r="AP135" s="19" t="n">
        <v>0</v>
      </c>
      <c r="AQ135" s="19" t="n">
        <v>0</v>
      </c>
      <c r="AR135" s="19" t="n">
        <v>0</v>
      </c>
      <c r="AS135" s="19" t="n">
        <v>0</v>
      </c>
      <c r="AT135" s="10">
        <f>SUM(O135:AS135)</f>
        <v/>
      </c>
      <c r="AU135" s="20">
        <f>COUNTIF(O135:AS135, "&gt;0")</f>
        <v/>
      </c>
      <c r="AV135" s="12">
        <f>IF(AU135&gt;=5, 4, IF(AU135&gt;0, INT(AU135/6), 0))</f>
        <v/>
      </c>
      <c r="AW135" s="20" t="n">
        <v>0</v>
      </c>
      <c r="AX135" s="20" t="n">
        <v>0</v>
      </c>
      <c r="AY135" s="13">
        <f>MIN(31, AU135+AV135+AW135+AX135)</f>
        <v/>
      </c>
      <c r="AZ135" s="14">
        <f>31-AY135</f>
        <v/>
      </c>
      <c r="BA135" s="21">
        <f>IF(AX135&gt;0, "01-İstirahat", IF(AZ135&gt;0, "12-Birden Fazla", ""))</f>
        <v/>
      </c>
      <c r="BB135" s="10" t="n">
        <v>0</v>
      </c>
      <c r="BC135" s="19" t="n">
        <v>0</v>
      </c>
      <c r="BD135" s="9" t="n">
        <v>0</v>
      </c>
      <c r="BE135" s="22">
        <f>(L135/30)*AU135</f>
        <v/>
      </c>
      <c r="BF135" s="15">
        <f>(L135/225)*((BB135*1.5)-(BC135*1.0))</f>
        <v/>
      </c>
      <c r="BG135" s="16">
        <f>(L135/225)*1.5*BD135</f>
        <v/>
      </c>
      <c r="BH135" s="15">
        <f>BF135+BG135</f>
        <v/>
      </c>
      <c r="BI135" s="17">
        <f>BE135+BH135</f>
        <v/>
      </c>
      <c r="BJ135" s="22">
        <f>IFERROR(VLOOKUP(B135, Resmi_Bordro_SGK!B:M, 11, FALSE), 0)</f>
        <v/>
      </c>
      <c r="BK135" s="18">
        <f>IFERROR(VLOOKUP(B135, Icra_Takip!A:E, 4, FALSE), 0)</f>
        <v/>
      </c>
      <c r="BL135" s="17">
        <f>IF(BI135&gt;BJ135, BI135-BJ135-BK135, 0)</f>
        <v/>
      </c>
      <c r="BM135" s="17">
        <f>BI135-BK135</f>
        <v/>
      </c>
    </row>
    <row r="136" ht="19" customHeight="1">
      <c r="A136" s="4" t="n">
        <v>133</v>
      </c>
      <c r="B136" s="5" t="inlineStr">
        <is>
          <t>11633067636</t>
        </is>
      </c>
      <c r="C136" s="6" t="inlineStr">
        <is>
          <t>EİREMŞAH KIZILKAYA</t>
        </is>
      </c>
      <c r="D136" s="4" t="inlineStr">
        <is>
          <t>K</t>
        </is>
      </c>
      <c r="E136" s="4" t="inlineStr"/>
      <c r="F136" s="4" t="inlineStr">
        <is>
          <t>10.02.2026</t>
        </is>
      </c>
      <c r="G136" s="4" t="inlineStr"/>
      <c r="H136" s="4" t="inlineStr">
        <is>
          <t>NORMAL</t>
        </is>
      </c>
      <c r="I136" s="4" t="inlineStr">
        <is>
          <t>MEVSİMLİK</t>
        </is>
      </c>
      <c r="J136" s="6" t="inlineStr">
        <is>
          <t>BALIK DOLUM</t>
        </is>
      </c>
      <c r="K136" s="6" t="inlineStr">
        <is>
          <t>GÖBEL</t>
        </is>
      </c>
      <c r="L136" s="7" t="n">
        <v>33000</v>
      </c>
      <c r="M136" s="4" t="inlineStr">
        <is>
          <t>FİDE KONSERVE</t>
        </is>
      </c>
      <c r="N136" s="4" t="inlineStr">
        <is>
          <t>ALIR</t>
        </is>
      </c>
      <c r="O136" s="8" t="n">
        <v>8.5</v>
      </c>
      <c r="P136" s="8" t="n">
        <v>9</v>
      </c>
      <c r="Q136" s="8" t="n">
        <v>8.5</v>
      </c>
      <c r="R136" s="9" t="n">
        <v>0</v>
      </c>
      <c r="S136" s="8" t="n">
        <v>8</v>
      </c>
      <c r="T136" s="8" t="n">
        <v>8.5</v>
      </c>
      <c r="U136" s="8" t="n">
        <v>6</v>
      </c>
      <c r="V136" s="8" t="n">
        <v>10</v>
      </c>
      <c r="W136" s="8" t="n">
        <v>8</v>
      </c>
      <c r="X136" s="8" t="n">
        <v>13.5</v>
      </c>
      <c r="Y136" s="9" t="n">
        <v>0</v>
      </c>
      <c r="Z136" s="8" t="n">
        <v>7.5</v>
      </c>
      <c r="AA136" s="8" t="n">
        <v>7.5</v>
      </c>
      <c r="AB136" s="8" t="n">
        <v>0</v>
      </c>
      <c r="AC136" s="8" t="n">
        <v>7.5</v>
      </c>
      <c r="AD136" s="8" t="n">
        <v>9</v>
      </c>
      <c r="AE136" s="8" t="n">
        <v>9</v>
      </c>
      <c r="AF136" s="9" t="n">
        <v>0</v>
      </c>
      <c r="AG136" s="8" t="n">
        <v>7</v>
      </c>
      <c r="AH136" s="8" t="n">
        <v>7.5</v>
      </c>
      <c r="AI136" s="8" t="n">
        <v>8</v>
      </c>
      <c r="AJ136" s="8" t="n">
        <v>0</v>
      </c>
      <c r="AK136" s="8" t="n">
        <v>0</v>
      </c>
      <c r="AL136" s="8" t="n">
        <v>0</v>
      </c>
      <c r="AM136" s="9" t="n">
        <v>0</v>
      </c>
      <c r="AN136" s="8" t="n">
        <v>0</v>
      </c>
      <c r="AO136" s="8" t="n">
        <v>0</v>
      </c>
      <c r="AP136" s="8" t="n">
        <v>0</v>
      </c>
      <c r="AQ136" s="8" t="n">
        <v>0</v>
      </c>
      <c r="AR136" s="8" t="n">
        <v>0</v>
      </c>
      <c r="AS136" s="8" t="n">
        <v>0</v>
      </c>
      <c r="AT136" s="10">
        <f>SUM(O136:AS136)</f>
        <v/>
      </c>
      <c r="AU136" s="11">
        <f>COUNTIF(O136:AS136, "&gt;0")</f>
        <v/>
      </c>
      <c r="AV136" s="12">
        <f>IF(AU136&gt;=5, 4, IF(AU136&gt;0, INT(AU136/6), 0))</f>
        <v/>
      </c>
      <c r="AW136" s="11" t="n">
        <v>0</v>
      </c>
      <c r="AX136" s="11" t="n">
        <v>0</v>
      </c>
      <c r="AY136" s="13">
        <f>MIN(31, AU136+AV136+AW136+AX136)</f>
        <v/>
      </c>
      <c r="AZ136" s="14">
        <f>31-AY136</f>
        <v/>
      </c>
      <c r="BA136" s="5">
        <f>IF(AX136&gt;0, "01-İstirahat", IF(AZ136&gt;0, "12-Birden Fazla", ""))</f>
        <v/>
      </c>
      <c r="BB136" s="10" t="n">
        <v>39</v>
      </c>
      <c r="BC136" s="23" t="n">
        <v>2</v>
      </c>
      <c r="BD136" s="9" t="n">
        <v>0</v>
      </c>
      <c r="BE136" s="7">
        <f>(L136/30)*AU136</f>
        <v/>
      </c>
      <c r="BF136" s="15">
        <f>(L136/225)*((BB136*1.5)-(BC136*1.0))</f>
        <v/>
      </c>
      <c r="BG136" s="16">
        <f>(L136/225)*1.5*BD136</f>
        <v/>
      </c>
      <c r="BH136" s="15">
        <f>BF136+BG136</f>
        <v/>
      </c>
      <c r="BI136" s="17">
        <f>BE136+BH136</f>
        <v/>
      </c>
      <c r="BJ136" s="7">
        <f>IFERROR(VLOOKUP(B136, Resmi_Bordro_SGK!B:M, 11, FALSE), 0)</f>
        <v/>
      </c>
      <c r="BK136" s="18">
        <f>IFERROR(VLOOKUP(B136, Icra_Takip!A:E, 4, FALSE), 0)</f>
        <v/>
      </c>
      <c r="BL136" s="17">
        <f>IF(BI136&gt;BJ136, BI136-BJ136-BK136, 0)</f>
        <v/>
      </c>
      <c r="BM136" s="17">
        <f>BI136-BK136</f>
        <v/>
      </c>
    </row>
    <row r="137" ht="19" customHeight="1">
      <c r="A137" s="4" t="n">
        <v>134</v>
      </c>
      <c r="B137" s="5" t="inlineStr">
        <is>
          <t>10273796364</t>
        </is>
      </c>
      <c r="C137" s="6" t="inlineStr">
        <is>
          <t>ERDEM YAŞAR</t>
        </is>
      </c>
      <c r="D137" s="4" t="inlineStr">
        <is>
          <t>E</t>
        </is>
      </c>
      <c r="E137" s="4" t="inlineStr"/>
      <c r="F137" s="4" t="inlineStr">
        <is>
          <t>29.06.2026</t>
        </is>
      </c>
      <c r="G137" s="4" t="inlineStr"/>
      <c r="H137" s="4" t="inlineStr">
        <is>
          <t>NORMAL</t>
        </is>
      </c>
      <c r="I137" s="4" t="inlineStr">
        <is>
          <t>MEVSİMLİK</t>
        </is>
      </c>
      <c r="J137" s="6" t="inlineStr">
        <is>
          <t>ÜRETİM</t>
        </is>
      </c>
      <c r="K137" s="6" t="inlineStr">
        <is>
          <t>BİGADİÇ</t>
        </is>
      </c>
      <c r="L137" s="7" t="n">
        <v>28075.5</v>
      </c>
      <c r="M137" s="4" t="inlineStr">
        <is>
          <t>FİDE KONSERVE</t>
        </is>
      </c>
      <c r="N137" s="4" t="inlineStr">
        <is>
          <t>ALIR</t>
        </is>
      </c>
      <c r="O137" s="19" t="n">
        <v>0</v>
      </c>
      <c r="P137" s="19" t="n">
        <v>0</v>
      </c>
      <c r="Q137" s="19" t="n">
        <v>0</v>
      </c>
      <c r="R137" s="9" t="n">
        <v>0</v>
      </c>
      <c r="S137" s="19" t="n">
        <v>0</v>
      </c>
      <c r="T137" s="19" t="n">
        <v>0</v>
      </c>
      <c r="U137" s="19" t="n">
        <v>0</v>
      </c>
      <c r="V137" s="19" t="n">
        <v>0</v>
      </c>
      <c r="W137" s="19" t="n">
        <v>0</v>
      </c>
      <c r="X137" s="19" t="n">
        <v>0</v>
      </c>
      <c r="Y137" s="9" t="n">
        <v>0</v>
      </c>
      <c r="Z137" s="19" t="n">
        <v>0</v>
      </c>
      <c r="AA137" s="19" t="n">
        <v>0</v>
      </c>
      <c r="AB137" s="19" t="n">
        <v>0</v>
      </c>
      <c r="AC137" s="19" t="n">
        <v>0</v>
      </c>
      <c r="AD137" s="19" t="n">
        <v>0</v>
      </c>
      <c r="AE137" s="19" t="n">
        <v>0</v>
      </c>
      <c r="AF137" s="9" t="n">
        <v>0</v>
      </c>
      <c r="AG137" s="19" t="n">
        <v>0</v>
      </c>
      <c r="AH137" s="19" t="n">
        <v>0</v>
      </c>
      <c r="AI137" s="19" t="n">
        <v>0</v>
      </c>
      <c r="AJ137" s="19" t="n">
        <v>0</v>
      </c>
      <c r="AK137" s="19" t="n">
        <v>0</v>
      </c>
      <c r="AL137" s="19" t="n">
        <v>0</v>
      </c>
      <c r="AM137" s="9" t="n">
        <v>0</v>
      </c>
      <c r="AN137" s="19" t="n">
        <v>0</v>
      </c>
      <c r="AO137" s="19" t="n">
        <v>0</v>
      </c>
      <c r="AP137" s="19" t="n">
        <v>0</v>
      </c>
      <c r="AQ137" s="19" t="n">
        <v>0</v>
      </c>
      <c r="AR137" s="19" t="n">
        <v>0</v>
      </c>
      <c r="AS137" s="19" t="n">
        <v>0</v>
      </c>
      <c r="AT137" s="10">
        <f>SUM(O137:AS137)</f>
        <v/>
      </c>
      <c r="AU137" s="20">
        <f>COUNTIF(O137:AS137, "&gt;0")</f>
        <v/>
      </c>
      <c r="AV137" s="12">
        <f>IF(AU137&gt;=5, 4, IF(AU137&gt;0, INT(AU137/6), 0))</f>
        <v/>
      </c>
      <c r="AW137" s="20" t="n">
        <v>0</v>
      </c>
      <c r="AX137" s="20" t="n">
        <v>0</v>
      </c>
      <c r="AY137" s="13">
        <f>MIN(31, AU137+AV137+AW137+AX137)</f>
        <v/>
      </c>
      <c r="AZ137" s="14">
        <f>31-AY137</f>
        <v/>
      </c>
      <c r="BA137" s="21">
        <f>IF(AX137&gt;0, "01-İstirahat", IF(AZ137&gt;0, "12-Birden Fazla", ""))</f>
        <v/>
      </c>
      <c r="BB137" s="10" t="n">
        <v>0</v>
      </c>
      <c r="BC137" s="19" t="n">
        <v>0</v>
      </c>
      <c r="BD137" s="9" t="n">
        <v>0</v>
      </c>
      <c r="BE137" s="22">
        <f>(L137/30)*AU137</f>
        <v/>
      </c>
      <c r="BF137" s="15">
        <f>(L137/225)*((BB137*1.5)-(BC137*1.0))</f>
        <v/>
      </c>
      <c r="BG137" s="16">
        <f>(L137/225)*1.5*BD137</f>
        <v/>
      </c>
      <c r="BH137" s="15">
        <f>BF137+BG137</f>
        <v/>
      </c>
      <c r="BI137" s="17">
        <f>BE137+BH137</f>
        <v/>
      </c>
      <c r="BJ137" s="22">
        <f>IFERROR(VLOOKUP(B137, Resmi_Bordro_SGK!B:M, 11, FALSE), 0)</f>
        <v/>
      </c>
      <c r="BK137" s="18">
        <f>IFERROR(VLOOKUP(B137, Icra_Takip!A:E, 4, FALSE), 0)</f>
        <v/>
      </c>
      <c r="BL137" s="17">
        <f>IF(BI137&gt;BJ137, BI137-BJ137-BK137, 0)</f>
        <v/>
      </c>
      <c r="BM137" s="17">
        <f>BI137-BK137</f>
        <v/>
      </c>
    </row>
    <row r="138" ht="19" customHeight="1">
      <c r="A138" s="4" t="n">
        <v>135</v>
      </c>
      <c r="B138" s="5" t="inlineStr">
        <is>
          <t>23131415628</t>
        </is>
      </c>
      <c r="C138" s="6" t="inlineStr">
        <is>
          <t>ERDİN TETİK</t>
        </is>
      </c>
      <c r="D138" s="4" t="inlineStr">
        <is>
          <t>E</t>
        </is>
      </c>
      <c r="E138" s="4" t="inlineStr"/>
      <c r="F138" s="4" t="inlineStr">
        <is>
          <t>06.12.2021</t>
        </is>
      </c>
      <c r="G138" s="4" t="inlineStr"/>
      <c r="H138" s="4" t="inlineStr">
        <is>
          <t>SGDP-ENGELLİ</t>
        </is>
      </c>
      <c r="I138" s="4" t="inlineStr">
        <is>
          <t>DAİMİ</t>
        </is>
      </c>
      <c r="J138" s="6" t="inlineStr">
        <is>
          <t>MEYDAN</t>
        </is>
      </c>
      <c r="K138" s="6" t="inlineStr">
        <is>
          <t>SUSURLUK</t>
        </is>
      </c>
      <c r="L138" s="7" t="n">
        <v>30185</v>
      </c>
      <c r="M138" s="4" t="inlineStr">
        <is>
          <t>FİDE KONSERVE</t>
        </is>
      </c>
      <c r="N138" s="4" t="inlineStr">
        <is>
          <t>ALIR</t>
        </is>
      </c>
      <c r="O138" s="8" t="n">
        <v>7.5</v>
      </c>
      <c r="P138" s="8" t="n">
        <v>7.5</v>
      </c>
      <c r="Q138" s="8" t="n">
        <v>7.5</v>
      </c>
      <c r="R138" s="9" t="n">
        <v>0</v>
      </c>
      <c r="S138" s="8" t="n">
        <v>7.5</v>
      </c>
      <c r="T138" s="8" t="n">
        <v>7.5</v>
      </c>
      <c r="U138" s="8" t="n">
        <v>7.5</v>
      </c>
      <c r="V138" s="8" t="n">
        <v>7.5</v>
      </c>
      <c r="W138" s="8" t="n">
        <v>7.5</v>
      </c>
      <c r="X138" s="8" t="n">
        <v>7.5</v>
      </c>
      <c r="Y138" s="9" t="n">
        <v>7.5</v>
      </c>
      <c r="Z138" s="8" t="n">
        <v>7.5</v>
      </c>
      <c r="AA138" s="8" t="n">
        <v>7.5</v>
      </c>
      <c r="AB138" s="8" t="n">
        <v>7.5</v>
      </c>
      <c r="AC138" s="8" t="n">
        <v>7.5</v>
      </c>
      <c r="AD138" s="8" t="n">
        <v>7.5</v>
      </c>
      <c r="AE138" s="8" t="n">
        <v>7.5</v>
      </c>
      <c r="AF138" s="9" t="n">
        <v>7.5</v>
      </c>
      <c r="AG138" s="8" t="n">
        <v>7.5</v>
      </c>
      <c r="AH138" s="8" t="n">
        <v>7.5</v>
      </c>
      <c r="AI138" s="8" t="n">
        <v>0</v>
      </c>
      <c r="AJ138" s="8" t="n">
        <v>0</v>
      </c>
      <c r="AK138" s="8" t="n">
        <v>0</v>
      </c>
      <c r="AL138" s="8" t="n">
        <v>0</v>
      </c>
      <c r="AM138" s="9" t="n">
        <v>0</v>
      </c>
      <c r="AN138" s="8" t="n">
        <v>0</v>
      </c>
      <c r="AO138" s="8" t="n">
        <v>0</v>
      </c>
      <c r="AP138" s="8" t="n">
        <v>0</v>
      </c>
      <c r="AQ138" s="8" t="n">
        <v>0</v>
      </c>
      <c r="AR138" s="8" t="n">
        <v>0</v>
      </c>
      <c r="AS138" s="8" t="n">
        <v>0</v>
      </c>
      <c r="AT138" s="10">
        <f>SUM(O138:AS138)</f>
        <v/>
      </c>
      <c r="AU138" s="11">
        <f>COUNTIF(O138:AS138, "&gt;0")</f>
        <v/>
      </c>
      <c r="AV138" s="12">
        <f>IF(AU138&gt;=5, 4, IF(AU138&gt;0, INT(AU138/6), 0))</f>
        <v/>
      </c>
      <c r="AW138" s="11" t="n">
        <v>0</v>
      </c>
      <c r="AX138" s="11" t="n">
        <v>0</v>
      </c>
      <c r="AY138" s="13">
        <f>MIN(31, AU138+AV138+AW138+AX138)</f>
        <v/>
      </c>
      <c r="AZ138" s="14">
        <f>31-AY138</f>
        <v/>
      </c>
      <c r="BA138" s="5">
        <f>IF(AX138&gt;0, "01-İstirahat", IF(AZ138&gt;0, "12-Birden Fazla", ""))</f>
        <v/>
      </c>
      <c r="BB138" s="10" t="n">
        <v>0</v>
      </c>
      <c r="BC138" s="8" t="n">
        <v>0</v>
      </c>
      <c r="BD138" s="9" t="n">
        <v>15</v>
      </c>
      <c r="BE138" s="7">
        <f>(L138/30)*AU138</f>
        <v/>
      </c>
      <c r="BF138" s="15">
        <f>(L138/225)*((BB138*1.5)-(BC138*1.0))</f>
        <v/>
      </c>
      <c r="BG138" s="16">
        <f>(L138/225)*1.5*BD138</f>
        <v/>
      </c>
      <c r="BH138" s="15">
        <f>BF138+BG138</f>
        <v/>
      </c>
      <c r="BI138" s="17">
        <f>BE138+BH138</f>
        <v/>
      </c>
      <c r="BJ138" s="7">
        <f>IFERROR(VLOOKUP(B138, Resmi_Bordro_SGK!B:M, 11, FALSE), 0)</f>
        <v/>
      </c>
      <c r="BK138" s="18">
        <f>IFERROR(VLOOKUP(B138, Icra_Takip!A:E, 4, FALSE), 0)</f>
        <v/>
      </c>
      <c r="BL138" s="17">
        <f>IF(BI138&gt;BJ138, BI138-BJ138-BK138, 0)</f>
        <v/>
      </c>
      <c r="BM138" s="17">
        <f>BI138-BK138</f>
        <v/>
      </c>
    </row>
    <row r="139" ht="19" customHeight="1">
      <c r="A139" s="4" t="n">
        <v>136</v>
      </c>
      <c r="B139" s="5" t="inlineStr">
        <is>
          <t>10267844934</t>
        </is>
      </c>
      <c r="C139" s="6" t="inlineStr">
        <is>
          <t>ERGÜN SİDAR</t>
        </is>
      </c>
      <c r="D139" s="4" t="inlineStr">
        <is>
          <t>E</t>
        </is>
      </c>
      <c r="E139" s="4" t="inlineStr"/>
      <c r="F139" s="4" t="inlineStr">
        <is>
          <t>01.12.2025</t>
        </is>
      </c>
      <c r="G139" s="4" t="inlineStr"/>
      <c r="H139" s="4" t="inlineStr">
        <is>
          <t>SGDP</t>
        </is>
      </c>
      <c r="I139" s="4" t="inlineStr">
        <is>
          <t>DAİMİ</t>
        </is>
      </c>
      <c r="J139" s="6" t="inlineStr">
        <is>
          <t>FAB.MD</t>
        </is>
      </c>
      <c r="K139" s="6" t="inlineStr">
        <is>
          <t>SUSURLUK</t>
        </is>
      </c>
      <c r="L139" s="7" t="n">
        <v>99000</v>
      </c>
      <c r="M139" s="4" t="inlineStr">
        <is>
          <t>FİDE KONSERVE</t>
        </is>
      </c>
      <c r="N139" s="4" t="inlineStr">
        <is>
          <t>ALMAZ</t>
        </is>
      </c>
      <c r="O139" s="19" t="n">
        <v>0</v>
      </c>
      <c r="P139" s="19" t="n">
        <v>0</v>
      </c>
      <c r="Q139" s="19" t="n">
        <v>0</v>
      </c>
      <c r="R139" s="9" t="n">
        <v>0</v>
      </c>
      <c r="S139" s="19" t="n">
        <v>0</v>
      </c>
      <c r="T139" s="19" t="n">
        <v>0</v>
      </c>
      <c r="U139" s="19" t="n">
        <v>0</v>
      </c>
      <c r="V139" s="19" t="n">
        <v>0</v>
      </c>
      <c r="W139" s="19" t="n">
        <v>0</v>
      </c>
      <c r="X139" s="19" t="n">
        <v>0</v>
      </c>
      <c r="Y139" s="9" t="n">
        <v>0</v>
      </c>
      <c r="Z139" s="19" t="n">
        <v>0</v>
      </c>
      <c r="AA139" s="19" t="n">
        <v>0</v>
      </c>
      <c r="AB139" s="19" t="n">
        <v>0</v>
      </c>
      <c r="AC139" s="19" t="n">
        <v>0</v>
      </c>
      <c r="AD139" s="19" t="n">
        <v>0</v>
      </c>
      <c r="AE139" s="19" t="n">
        <v>0</v>
      </c>
      <c r="AF139" s="9" t="n">
        <v>0</v>
      </c>
      <c r="AG139" s="19" t="n">
        <v>0</v>
      </c>
      <c r="AH139" s="19" t="n">
        <v>0</v>
      </c>
      <c r="AI139" s="19" t="n">
        <v>0</v>
      </c>
      <c r="AJ139" s="19" t="n">
        <v>0</v>
      </c>
      <c r="AK139" s="19" t="n">
        <v>0</v>
      </c>
      <c r="AL139" s="19" t="n">
        <v>0</v>
      </c>
      <c r="AM139" s="9" t="n">
        <v>0</v>
      </c>
      <c r="AN139" s="19" t="n">
        <v>0</v>
      </c>
      <c r="AO139" s="19" t="n">
        <v>0</v>
      </c>
      <c r="AP139" s="19" t="n">
        <v>0</v>
      </c>
      <c r="AQ139" s="19" t="n">
        <v>0</v>
      </c>
      <c r="AR139" s="19" t="n">
        <v>0</v>
      </c>
      <c r="AS139" s="19" t="n">
        <v>0</v>
      </c>
      <c r="AT139" s="10">
        <f>SUM(O139:AS139)</f>
        <v/>
      </c>
      <c r="AU139" s="20">
        <f>COUNTIF(O139:AS139, "&gt;0")</f>
        <v/>
      </c>
      <c r="AV139" s="12">
        <f>IF(AU139&gt;=5, 4, IF(AU139&gt;0, INT(AU139/6), 0))</f>
        <v/>
      </c>
      <c r="AW139" s="20" t="n">
        <v>0</v>
      </c>
      <c r="AX139" s="20" t="n">
        <v>0</v>
      </c>
      <c r="AY139" s="13">
        <f>MIN(31, AU139+AV139+AW139+AX139)</f>
        <v/>
      </c>
      <c r="AZ139" s="14">
        <f>31-AY139</f>
        <v/>
      </c>
      <c r="BA139" s="21">
        <f>IF(AX139&gt;0, "01-İstirahat", IF(AZ139&gt;0, "12-Birden Fazla", ""))</f>
        <v/>
      </c>
      <c r="BB139" s="10" t="n">
        <v>0</v>
      </c>
      <c r="BC139" s="19" t="n">
        <v>0</v>
      </c>
      <c r="BD139" s="9" t="n">
        <v>0</v>
      </c>
      <c r="BE139" s="22">
        <f>(L139/30)*AU139</f>
        <v/>
      </c>
      <c r="BF139" s="15">
        <f>(L139/225)*((BB139*1.5)-(BC139*1.0))</f>
        <v/>
      </c>
      <c r="BG139" s="16">
        <f>(L139/225)*1.5*BD139</f>
        <v/>
      </c>
      <c r="BH139" s="15">
        <f>BF139+BG139</f>
        <v/>
      </c>
      <c r="BI139" s="17">
        <f>BE139+BH139</f>
        <v/>
      </c>
      <c r="BJ139" s="22">
        <f>IFERROR(VLOOKUP(B139, Resmi_Bordro_SGK!B:M, 11, FALSE), 0)</f>
        <v/>
      </c>
      <c r="BK139" s="18">
        <f>IFERROR(VLOOKUP(B139, Icra_Takip!A:E, 4, FALSE), 0)</f>
        <v/>
      </c>
      <c r="BL139" s="17">
        <f>IF(BI139&gt;BJ139, BI139-BJ139-BK139, 0)</f>
        <v/>
      </c>
      <c r="BM139" s="17">
        <f>BI139-BK139</f>
        <v/>
      </c>
    </row>
    <row r="140" ht="19" customHeight="1">
      <c r="A140" s="4" t="n">
        <v>137</v>
      </c>
      <c r="B140" s="5" t="inlineStr">
        <is>
          <t>10783586424</t>
        </is>
      </c>
      <c r="C140" s="6" t="inlineStr">
        <is>
          <t>ERKAN AKIN</t>
        </is>
      </c>
      <c r="D140" s="4" t="inlineStr">
        <is>
          <t>E</t>
        </is>
      </c>
      <c r="E140" s="4" t="inlineStr"/>
      <c r="F140" s="4" t="inlineStr">
        <is>
          <t>18.08.2026</t>
        </is>
      </c>
      <c r="G140" s="4" t="inlineStr"/>
      <c r="H140" s="4" t="inlineStr">
        <is>
          <t>NORMAL</t>
        </is>
      </c>
      <c r="I140" s="4" t="inlineStr">
        <is>
          <t>MEVSİMLİK</t>
        </is>
      </c>
      <c r="J140" s="6" t="inlineStr">
        <is>
          <t>ÜRETİM</t>
        </is>
      </c>
      <c r="K140" s="6" t="inlineStr">
        <is>
          <t>KARACABEY-HALİL</t>
        </is>
      </c>
      <c r="L140" s="7" t="n">
        <v>28075.5</v>
      </c>
      <c r="M140" s="4" t="inlineStr">
        <is>
          <t>FİDE KONSERVE</t>
        </is>
      </c>
      <c r="N140" s="4" t="inlineStr">
        <is>
          <t>ALIR</t>
        </is>
      </c>
      <c r="O140" s="8" t="n">
        <v>0</v>
      </c>
      <c r="P140" s="8" t="n">
        <v>0</v>
      </c>
      <c r="Q140" s="8" t="n">
        <v>0</v>
      </c>
      <c r="R140" s="9" t="n">
        <v>0</v>
      </c>
      <c r="S140" s="8" t="n">
        <v>0</v>
      </c>
      <c r="T140" s="8" t="n">
        <v>0</v>
      </c>
      <c r="U140" s="8" t="n">
        <v>0</v>
      </c>
      <c r="V140" s="8" t="n">
        <v>0</v>
      </c>
      <c r="W140" s="8" t="n">
        <v>0</v>
      </c>
      <c r="X140" s="8" t="n">
        <v>0</v>
      </c>
      <c r="Y140" s="9" t="n">
        <v>0</v>
      </c>
      <c r="Z140" s="8" t="n">
        <v>0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9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  <c r="AK140" s="8" t="n">
        <v>0</v>
      </c>
      <c r="AL140" s="8" t="n">
        <v>0</v>
      </c>
      <c r="AM140" s="9" t="n">
        <v>0</v>
      </c>
      <c r="AN140" s="8" t="n">
        <v>0</v>
      </c>
      <c r="AO140" s="8" t="n">
        <v>0</v>
      </c>
      <c r="AP140" s="8" t="n">
        <v>0</v>
      </c>
      <c r="AQ140" s="8" t="n">
        <v>0</v>
      </c>
      <c r="AR140" s="8" t="n">
        <v>0</v>
      </c>
      <c r="AS140" s="8" t="n">
        <v>0</v>
      </c>
      <c r="AT140" s="10">
        <f>SUM(O140:AS140)</f>
        <v/>
      </c>
      <c r="AU140" s="11">
        <f>COUNTIF(O140:AS140, "&gt;0")</f>
        <v/>
      </c>
      <c r="AV140" s="12">
        <f>IF(AU140&gt;=5, 4, IF(AU140&gt;0, INT(AU140/6), 0))</f>
        <v/>
      </c>
      <c r="AW140" s="11" t="n">
        <v>0</v>
      </c>
      <c r="AX140" s="11" t="n">
        <v>0</v>
      </c>
      <c r="AY140" s="13">
        <f>MIN(31, AU140+AV140+AW140+AX140)</f>
        <v/>
      </c>
      <c r="AZ140" s="14">
        <f>31-AY140</f>
        <v/>
      </c>
      <c r="BA140" s="5">
        <f>IF(AX140&gt;0, "01-İstirahat", IF(AZ140&gt;0, "12-Birden Fazla", ""))</f>
        <v/>
      </c>
      <c r="BB140" s="10" t="n">
        <v>0</v>
      </c>
      <c r="BC140" s="8" t="n">
        <v>0</v>
      </c>
      <c r="BD140" s="9" t="n">
        <v>0</v>
      </c>
      <c r="BE140" s="7">
        <f>(L140/30)*AU140</f>
        <v/>
      </c>
      <c r="BF140" s="15">
        <f>(L140/225)*((BB140*1.5)-(BC140*1.0))</f>
        <v/>
      </c>
      <c r="BG140" s="16">
        <f>(L140/225)*1.5*BD140</f>
        <v/>
      </c>
      <c r="BH140" s="15">
        <f>BF140+BG140</f>
        <v/>
      </c>
      <c r="BI140" s="17">
        <f>BE140+BH140</f>
        <v/>
      </c>
      <c r="BJ140" s="7">
        <f>IFERROR(VLOOKUP(B140, Resmi_Bordro_SGK!B:M, 11, FALSE), 0)</f>
        <v/>
      </c>
      <c r="BK140" s="18">
        <f>IFERROR(VLOOKUP(B140, Icra_Takip!A:E, 4, FALSE), 0)</f>
        <v/>
      </c>
      <c r="BL140" s="17">
        <f>IF(BI140&gt;BJ140, BI140-BJ140-BK140, 0)</f>
        <v/>
      </c>
      <c r="BM140" s="17">
        <f>BI140-BK140</f>
        <v/>
      </c>
    </row>
    <row r="141" ht="19" customHeight="1">
      <c r="A141" s="4" t="n">
        <v>138</v>
      </c>
      <c r="B141" s="5" t="inlineStr">
        <is>
          <t>14453001996</t>
        </is>
      </c>
      <c r="C141" s="6" t="inlineStr">
        <is>
          <t>ERSİN YAVUZ</t>
        </is>
      </c>
      <c r="D141" s="4" t="inlineStr">
        <is>
          <t>E</t>
        </is>
      </c>
      <c r="E141" s="4" t="inlineStr"/>
      <c r="F141" s="4" t="inlineStr">
        <is>
          <t>03.07.2026</t>
        </is>
      </c>
      <c r="G141" s="4" t="inlineStr"/>
      <c r="H141" s="4" t="inlineStr">
        <is>
          <t>NORMAL</t>
        </is>
      </c>
      <c r="I141" s="4" t="inlineStr">
        <is>
          <t>MEVSİMLİK</t>
        </is>
      </c>
      <c r="J141" s="6" t="inlineStr">
        <is>
          <t>BALIK KESİM</t>
        </is>
      </c>
      <c r="K141" s="6" t="inlineStr">
        <is>
          <t>KARACABEY-HALİL</t>
        </is>
      </c>
      <c r="L141" s="7" t="n">
        <v>28075.5</v>
      </c>
      <c r="M141" s="4" t="inlineStr">
        <is>
          <t>FİDE KONSERVE</t>
        </is>
      </c>
      <c r="N141" s="4" t="inlineStr">
        <is>
          <t>ALIR</t>
        </is>
      </c>
      <c r="O141" s="19" t="n">
        <v>0</v>
      </c>
      <c r="P141" s="19" t="n">
        <v>0</v>
      </c>
      <c r="Q141" s="19" t="n">
        <v>0</v>
      </c>
      <c r="R141" s="9" t="n">
        <v>0</v>
      </c>
      <c r="S141" s="19" t="n">
        <v>0</v>
      </c>
      <c r="T141" s="19" t="n">
        <v>0</v>
      </c>
      <c r="U141" s="19" t="n">
        <v>0</v>
      </c>
      <c r="V141" s="19" t="n">
        <v>0</v>
      </c>
      <c r="W141" s="19" t="n">
        <v>0</v>
      </c>
      <c r="X141" s="19" t="n">
        <v>0</v>
      </c>
      <c r="Y141" s="9" t="n">
        <v>0</v>
      </c>
      <c r="Z141" s="19" t="n">
        <v>0</v>
      </c>
      <c r="AA141" s="19" t="n">
        <v>0</v>
      </c>
      <c r="AB141" s="19" t="n">
        <v>0</v>
      </c>
      <c r="AC141" s="19" t="n">
        <v>0</v>
      </c>
      <c r="AD141" s="19" t="n">
        <v>0</v>
      </c>
      <c r="AE141" s="19" t="n">
        <v>0</v>
      </c>
      <c r="AF141" s="9" t="n">
        <v>0</v>
      </c>
      <c r="AG141" s="19" t="n">
        <v>0</v>
      </c>
      <c r="AH141" s="19" t="n">
        <v>0</v>
      </c>
      <c r="AI141" s="19" t="n">
        <v>0</v>
      </c>
      <c r="AJ141" s="19" t="n">
        <v>0</v>
      </c>
      <c r="AK141" s="19" t="n">
        <v>0</v>
      </c>
      <c r="AL141" s="19" t="n">
        <v>0</v>
      </c>
      <c r="AM141" s="9" t="n">
        <v>0</v>
      </c>
      <c r="AN141" s="19" t="n">
        <v>0</v>
      </c>
      <c r="AO141" s="19" t="n">
        <v>0</v>
      </c>
      <c r="AP141" s="19" t="n">
        <v>0</v>
      </c>
      <c r="AQ141" s="19" t="n">
        <v>0</v>
      </c>
      <c r="AR141" s="19" t="n">
        <v>0</v>
      </c>
      <c r="AS141" s="19" t="n">
        <v>0</v>
      </c>
      <c r="AT141" s="10">
        <f>SUM(O141:AS141)</f>
        <v/>
      </c>
      <c r="AU141" s="20">
        <f>COUNTIF(O141:AS141, "&gt;0")</f>
        <v/>
      </c>
      <c r="AV141" s="12">
        <f>IF(AU141&gt;=5, 4, IF(AU141&gt;0, INT(AU141/6), 0))</f>
        <v/>
      </c>
      <c r="AW141" s="20" t="n">
        <v>0</v>
      </c>
      <c r="AX141" s="20" t="n">
        <v>0</v>
      </c>
      <c r="AY141" s="13">
        <f>MIN(31, AU141+AV141+AW141+AX141)</f>
        <v/>
      </c>
      <c r="AZ141" s="14">
        <f>31-AY141</f>
        <v/>
      </c>
      <c r="BA141" s="21">
        <f>IF(AX141&gt;0, "01-İstirahat", IF(AZ141&gt;0, "12-Birden Fazla", ""))</f>
        <v/>
      </c>
      <c r="BB141" s="10" t="n">
        <v>0</v>
      </c>
      <c r="BC141" s="19" t="n">
        <v>0</v>
      </c>
      <c r="BD141" s="9" t="n">
        <v>0</v>
      </c>
      <c r="BE141" s="22">
        <f>(L141/30)*AU141</f>
        <v/>
      </c>
      <c r="BF141" s="15">
        <f>(L141/225)*((BB141*1.5)-(BC141*1.0))</f>
        <v/>
      </c>
      <c r="BG141" s="16">
        <f>(L141/225)*1.5*BD141</f>
        <v/>
      </c>
      <c r="BH141" s="15">
        <f>BF141+BG141</f>
        <v/>
      </c>
      <c r="BI141" s="17">
        <f>BE141+BH141</f>
        <v/>
      </c>
      <c r="BJ141" s="22">
        <f>IFERROR(VLOOKUP(B141, Resmi_Bordro_SGK!B:M, 11, FALSE), 0)</f>
        <v/>
      </c>
      <c r="BK141" s="18">
        <f>IFERROR(VLOOKUP(B141, Icra_Takip!A:E, 4, FALSE), 0)</f>
        <v/>
      </c>
      <c r="BL141" s="17">
        <f>IF(BI141&gt;BJ141, BI141-BJ141-BK141, 0)</f>
        <v/>
      </c>
      <c r="BM141" s="17">
        <f>BI141-BK141</f>
        <v/>
      </c>
    </row>
    <row r="142" ht="19" customHeight="1">
      <c r="A142" s="4" t="n">
        <v>139</v>
      </c>
      <c r="B142" s="5" t="inlineStr">
        <is>
          <t>32372355358</t>
        </is>
      </c>
      <c r="C142" s="6" t="inlineStr">
        <is>
          <t>ESMER BİÇER</t>
        </is>
      </c>
      <c r="D142" s="4" t="inlineStr">
        <is>
          <t>E</t>
        </is>
      </c>
      <c r="E142" s="4" t="inlineStr"/>
      <c r="F142" s="4" t="inlineStr">
        <is>
          <t>24.06.2026</t>
        </is>
      </c>
      <c r="G142" s="4" t="inlineStr"/>
      <c r="H142" s="4" t="inlineStr">
        <is>
          <t>NORMAL</t>
        </is>
      </c>
      <c r="I142" s="4" t="inlineStr">
        <is>
          <t>MEVSİMLİK</t>
        </is>
      </c>
      <c r="J142" s="6" t="inlineStr">
        <is>
          <t>ÜRETİM</t>
        </is>
      </c>
      <c r="K142" s="6" t="inlineStr">
        <is>
          <t>KARACABEY-HALİL</t>
        </is>
      </c>
      <c r="L142" s="7" t="n">
        <v>28075.5</v>
      </c>
      <c r="M142" s="4" t="inlineStr">
        <is>
          <t>FİDE KONSERVE</t>
        </is>
      </c>
      <c r="N142" s="4" t="inlineStr">
        <is>
          <t>ALIR</t>
        </is>
      </c>
      <c r="O142" s="8" t="n">
        <v>0</v>
      </c>
      <c r="P142" s="8" t="n">
        <v>0</v>
      </c>
      <c r="Q142" s="8" t="n">
        <v>0</v>
      </c>
      <c r="R142" s="9" t="n">
        <v>0</v>
      </c>
      <c r="S142" s="8" t="n">
        <v>0</v>
      </c>
      <c r="T142" s="8" t="n">
        <v>0</v>
      </c>
      <c r="U142" s="8" t="n">
        <v>0</v>
      </c>
      <c r="V142" s="8" t="n">
        <v>0</v>
      </c>
      <c r="W142" s="8" t="n">
        <v>0</v>
      </c>
      <c r="X142" s="8" t="n">
        <v>0</v>
      </c>
      <c r="Y142" s="9" t="n">
        <v>0</v>
      </c>
      <c r="Z142" s="8" t="n">
        <v>0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9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  <c r="AK142" s="8" t="n">
        <v>0</v>
      </c>
      <c r="AL142" s="8" t="n">
        <v>0</v>
      </c>
      <c r="AM142" s="9" t="n">
        <v>0</v>
      </c>
      <c r="AN142" s="8" t="n">
        <v>0</v>
      </c>
      <c r="AO142" s="8" t="n">
        <v>0</v>
      </c>
      <c r="AP142" s="8" t="n">
        <v>0</v>
      </c>
      <c r="AQ142" s="8" t="n">
        <v>0</v>
      </c>
      <c r="AR142" s="8" t="n">
        <v>0</v>
      </c>
      <c r="AS142" s="8" t="n">
        <v>0</v>
      </c>
      <c r="AT142" s="10">
        <f>SUM(O142:AS142)</f>
        <v/>
      </c>
      <c r="AU142" s="11">
        <f>COUNTIF(O142:AS142, "&gt;0")</f>
        <v/>
      </c>
      <c r="AV142" s="12">
        <f>IF(AU142&gt;=5, 4, IF(AU142&gt;0, INT(AU142/6), 0))</f>
        <v/>
      </c>
      <c r="AW142" s="11" t="n">
        <v>0</v>
      </c>
      <c r="AX142" s="11" t="n">
        <v>0</v>
      </c>
      <c r="AY142" s="13">
        <f>MIN(31, AU142+AV142+AW142+AX142)</f>
        <v/>
      </c>
      <c r="AZ142" s="14">
        <f>31-AY142</f>
        <v/>
      </c>
      <c r="BA142" s="5">
        <f>IF(AX142&gt;0, "01-İstirahat", IF(AZ142&gt;0, "12-Birden Fazla", ""))</f>
        <v/>
      </c>
      <c r="BB142" s="10" t="n">
        <v>0</v>
      </c>
      <c r="BC142" s="8" t="n">
        <v>0</v>
      </c>
      <c r="BD142" s="9" t="n">
        <v>0</v>
      </c>
      <c r="BE142" s="7">
        <f>(L142/30)*AU142</f>
        <v/>
      </c>
      <c r="BF142" s="15">
        <f>(L142/225)*((BB142*1.5)-(BC142*1.0))</f>
        <v/>
      </c>
      <c r="BG142" s="16">
        <f>(L142/225)*1.5*BD142</f>
        <v/>
      </c>
      <c r="BH142" s="15">
        <f>BF142+BG142</f>
        <v/>
      </c>
      <c r="BI142" s="17">
        <f>BE142+BH142</f>
        <v/>
      </c>
      <c r="BJ142" s="7">
        <f>IFERROR(VLOOKUP(B142, Resmi_Bordro_SGK!B:M, 11, FALSE), 0)</f>
        <v/>
      </c>
      <c r="BK142" s="18">
        <f>IFERROR(VLOOKUP(B142, Icra_Takip!A:E, 4, FALSE), 0)</f>
        <v/>
      </c>
      <c r="BL142" s="17">
        <f>IF(BI142&gt;BJ142, BI142-BJ142-BK142, 0)</f>
        <v/>
      </c>
      <c r="BM142" s="17">
        <f>BI142-BK142</f>
        <v/>
      </c>
    </row>
    <row r="143" ht="19" customHeight="1">
      <c r="A143" s="4" t="n">
        <v>140</v>
      </c>
      <c r="B143" s="5" t="inlineStr">
        <is>
          <t>27334034006</t>
        </is>
      </c>
      <c r="C143" s="6" t="inlineStr">
        <is>
          <t>ESRA KAYA</t>
        </is>
      </c>
      <c r="D143" s="4" t="inlineStr">
        <is>
          <t>K</t>
        </is>
      </c>
      <c r="E143" s="4" t="inlineStr"/>
      <c r="F143" s="4" t="inlineStr">
        <is>
          <t>19.07.2026</t>
        </is>
      </c>
      <c r="G143" s="4" t="inlineStr"/>
      <c r="H143" s="4" t="inlineStr">
        <is>
          <t>NORMAL</t>
        </is>
      </c>
      <c r="I143" s="4" t="inlineStr">
        <is>
          <t>MEVSİMLİK</t>
        </is>
      </c>
      <c r="J143" s="6" t="inlineStr">
        <is>
          <t>ÜRETİM</t>
        </is>
      </c>
      <c r="K143" s="6" t="inlineStr">
        <is>
          <t>KARACABEY-HALİL</t>
        </is>
      </c>
      <c r="L143" s="7" t="n">
        <v>28075.5</v>
      </c>
      <c r="M143" s="4" t="inlineStr">
        <is>
          <t>FİDE KONSERVE</t>
        </is>
      </c>
      <c r="N143" s="4" t="inlineStr">
        <is>
          <t>ALIR</t>
        </is>
      </c>
      <c r="O143" s="19" t="n">
        <v>0</v>
      </c>
      <c r="P143" s="19" t="n">
        <v>0</v>
      </c>
      <c r="Q143" s="19" t="n">
        <v>0</v>
      </c>
      <c r="R143" s="9" t="n">
        <v>0</v>
      </c>
      <c r="S143" s="19" t="n">
        <v>0</v>
      </c>
      <c r="T143" s="19" t="n">
        <v>0</v>
      </c>
      <c r="U143" s="19" t="n">
        <v>0</v>
      </c>
      <c r="V143" s="19" t="n">
        <v>0</v>
      </c>
      <c r="W143" s="19" t="n">
        <v>0</v>
      </c>
      <c r="X143" s="19" t="n">
        <v>0</v>
      </c>
      <c r="Y143" s="9" t="n">
        <v>0</v>
      </c>
      <c r="Z143" s="19" t="n">
        <v>0</v>
      </c>
      <c r="AA143" s="19" t="n">
        <v>0</v>
      </c>
      <c r="AB143" s="19" t="n">
        <v>0</v>
      </c>
      <c r="AC143" s="19" t="n">
        <v>0</v>
      </c>
      <c r="AD143" s="19" t="n">
        <v>0</v>
      </c>
      <c r="AE143" s="19" t="n">
        <v>0</v>
      </c>
      <c r="AF143" s="9" t="n">
        <v>0</v>
      </c>
      <c r="AG143" s="19" t="n">
        <v>0</v>
      </c>
      <c r="AH143" s="19" t="n">
        <v>0</v>
      </c>
      <c r="AI143" s="19" t="n">
        <v>0</v>
      </c>
      <c r="AJ143" s="19" t="n">
        <v>0</v>
      </c>
      <c r="AK143" s="19" t="n">
        <v>0</v>
      </c>
      <c r="AL143" s="19" t="n">
        <v>0</v>
      </c>
      <c r="AM143" s="9" t="n">
        <v>0</v>
      </c>
      <c r="AN143" s="19" t="n">
        <v>0</v>
      </c>
      <c r="AO143" s="19" t="n">
        <v>0</v>
      </c>
      <c r="AP143" s="19" t="n">
        <v>0</v>
      </c>
      <c r="AQ143" s="19" t="n">
        <v>0</v>
      </c>
      <c r="AR143" s="19" t="n">
        <v>0</v>
      </c>
      <c r="AS143" s="19" t="n">
        <v>0</v>
      </c>
      <c r="AT143" s="10">
        <f>SUM(O143:AS143)</f>
        <v/>
      </c>
      <c r="AU143" s="20">
        <f>COUNTIF(O143:AS143, "&gt;0")</f>
        <v/>
      </c>
      <c r="AV143" s="12">
        <f>IF(AU143&gt;=5, 4, IF(AU143&gt;0, INT(AU143/6), 0))</f>
        <v/>
      </c>
      <c r="AW143" s="20" t="n">
        <v>0</v>
      </c>
      <c r="AX143" s="20" t="n">
        <v>0</v>
      </c>
      <c r="AY143" s="13">
        <f>MIN(31, AU143+AV143+AW143+AX143)</f>
        <v/>
      </c>
      <c r="AZ143" s="14">
        <f>31-AY143</f>
        <v/>
      </c>
      <c r="BA143" s="21">
        <f>IF(AX143&gt;0, "01-İstirahat", IF(AZ143&gt;0, "12-Birden Fazla", ""))</f>
        <v/>
      </c>
      <c r="BB143" s="10" t="n">
        <v>0</v>
      </c>
      <c r="BC143" s="19" t="n">
        <v>0</v>
      </c>
      <c r="BD143" s="9" t="n">
        <v>0</v>
      </c>
      <c r="BE143" s="22">
        <f>(L143/30)*AU143</f>
        <v/>
      </c>
      <c r="BF143" s="15">
        <f>(L143/225)*((BB143*1.5)-(BC143*1.0))</f>
        <v/>
      </c>
      <c r="BG143" s="16">
        <f>(L143/225)*1.5*BD143</f>
        <v/>
      </c>
      <c r="BH143" s="15">
        <f>BF143+BG143</f>
        <v/>
      </c>
      <c r="BI143" s="17">
        <f>BE143+BH143</f>
        <v/>
      </c>
      <c r="BJ143" s="22">
        <f>IFERROR(VLOOKUP(B143, Resmi_Bordro_SGK!B:M, 11, FALSE), 0)</f>
        <v/>
      </c>
      <c r="BK143" s="18">
        <f>IFERROR(VLOOKUP(B143, Icra_Takip!A:E, 4, FALSE), 0)</f>
        <v/>
      </c>
      <c r="BL143" s="17">
        <f>IF(BI143&gt;BJ143, BI143-BJ143-BK143, 0)</f>
        <v/>
      </c>
      <c r="BM143" s="17">
        <f>BI143-BK143</f>
        <v/>
      </c>
    </row>
    <row r="144" ht="19" customHeight="1">
      <c r="A144" s="4" t="n">
        <v>141</v>
      </c>
      <c r="B144" s="5" t="inlineStr">
        <is>
          <t>10177848602</t>
        </is>
      </c>
      <c r="C144" s="6" t="inlineStr">
        <is>
          <t>EYÜP EKİNCİ</t>
        </is>
      </c>
      <c r="D144" s="4" t="inlineStr">
        <is>
          <t>E</t>
        </is>
      </c>
      <c r="E144" s="4" t="inlineStr"/>
      <c r="F144" s="4" t="inlineStr">
        <is>
          <t>08.06.2026</t>
        </is>
      </c>
      <c r="G144" s="4" t="inlineStr"/>
      <c r="H144" s="4" t="inlineStr">
        <is>
          <t>NORMAL</t>
        </is>
      </c>
      <c r="I144" s="4" t="inlineStr">
        <is>
          <t>DAİMİ</t>
        </is>
      </c>
      <c r="J144" s="6" t="inlineStr">
        <is>
          <t>ELEKTRİK</t>
        </is>
      </c>
      <c r="K144" s="6" t="inlineStr">
        <is>
          <t>SUSURLUK</t>
        </is>
      </c>
      <c r="L144" s="7" t="n">
        <v>28075.5</v>
      </c>
      <c r="M144" s="4" t="inlineStr">
        <is>
          <t>FİDE KONSERVE</t>
        </is>
      </c>
      <c r="N144" s="4" t="inlineStr">
        <is>
          <t>ALIR</t>
        </is>
      </c>
      <c r="O144" s="8" t="n">
        <v>0</v>
      </c>
      <c r="P144" s="8" t="n">
        <v>0</v>
      </c>
      <c r="Q144" s="8" t="n">
        <v>0</v>
      </c>
      <c r="R144" s="9" t="n">
        <v>0</v>
      </c>
      <c r="S144" s="8" t="n">
        <v>0</v>
      </c>
      <c r="T144" s="8" t="n">
        <v>0</v>
      </c>
      <c r="U144" s="8" t="n">
        <v>0</v>
      </c>
      <c r="V144" s="8" t="n">
        <v>0</v>
      </c>
      <c r="W144" s="8" t="n">
        <v>0</v>
      </c>
      <c r="X144" s="8" t="n">
        <v>0</v>
      </c>
      <c r="Y144" s="9" t="n">
        <v>0</v>
      </c>
      <c r="Z144" s="8" t="n">
        <v>0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9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  <c r="AK144" s="8" t="n">
        <v>0</v>
      </c>
      <c r="AL144" s="8" t="n">
        <v>0</v>
      </c>
      <c r="AM144" s="9" t="n">
        <v>0</v>
      </c>
      <c r="AN144" s="8" t="n">
        <v>0</v>
      </c>
      <c r="AO144" s="8" t="n">
        <v>0</v>
      </c>
      <c r="AP144" s="8" t="n">
        <v>0</v>
      </c>
      <c r="AQ144" s="8" t="n">
        <v>0</v>
      </c>
      <c r="AR144" s="8" t="n">
        <v>0</v>
      </c>
      <c r="AS144" s="8" t="n">
        <v>0</v>
      </c>
      <c r="AT144" s="10">
        <f>SUM(O144:AS144)</f>
        <v/>
      </c>
      <c r="AU144" s="11">
        <f>COUNTIF(O144:AS144, "&gt;0")</f>
        <v/>
      </c>
      <c r="AV144" s="12">
        <f>IF(AU144&gt;=5, 4, IF(AU144&gt;0, INT(AU144/6), 0))</f>
        <v/>
      </c>
      <c r="AW144" s="11" t="n">
        <v>0</v>
      </c>
      <c r="AX144" s="11" t="n">
        <v>0</v>
      </c>
      <c r="AY144" s="13">
        <f>MIN(31, AU144+AV144+AW144+AX144)</f>
        <v/>
      </c>
      <c r="AZ144" s="14">
        <f>31-AY144</f>
        <v/>
      </c>
      <c r="BA144" s="5">
        <f>IF(AX144&gt;0, "01-İstirahat", IF(AZ144&gt;0, "12-Birden Fazla", ""))</f>
        <v/>
      </c>
      <c r="BB144" s="10" t="n">
        <v>0</v>
      </c>
      <c r="BC144" s="8" t="n">
        <v>0</v>
      </c>
      <c r="BD144" s="9" t="n">
        <v>0</v>
      </c>
      <c r="BE144" s="7">
        <f>(L144/30)*AU144</f>
        <v/>
      </c>
      <c r="BF144" s="15">
        <f>(L144/225)*((BB144*1.5)-(BC144*1.0))</f>
        <v/>
      </c>
      <c r="BG144" s="16">
        <f>(L144/225)*1.5*BD144</f>
        <v/>
      </c>
      <c r="BH144" s="15">
        <f>BF144+BG144</f>
        <v/>
      </c>
      <c r="BI144" s="17">
        <f>BE144+BH144</f>
        <v/>
      </c>
      <c r="BJ144" s="7">
        <f>IFERROR(VLOOKUP(B144, Resmi_Bordro_SGK!B:M, 11, FALSE), 0)</f>
        <v/>
      </c>
      <c r="BK144" s="18">
        <f>IFERROR(VLOOKUP(B144, Icra_Takip!A:E, 4, FALSE), 0)</f>
        <v/>
      </c>
      <c r="BL144" s="17">
        <f>IF(BI144&gt;BJ144, BI144-BJ144-BK144, 0)</f>
        <v/>
      </c>
      <c r="BM144" s="17">
        <f>BI144-BK144</f>
        <v/>
      </c>
    </row>
    <row r="145" ht="19" customHeight="1">
      <c r="A145" s="4" t="n">
        <v>142</v>
      </c>
      <c r="B145" s="5" t="inlineStr">
        <is>
          <t>19754310662</t>
        </is>
      </c>
      <c r="C145" s="6" t="inlineStr">
        <is>
          <t>FATMA ASLAN</t>
        </is>
      </c>
      <c r="D145" s="4" t="inlineStr">
        <is>
          <t>K</t>
        </is>
      </c>
      <c r="E145" s="4" t="inlineStr"/>
      <c r="F145" s="4" t="inlineStr">
        <is>
          <t>06.04.2026</t>
        </is>
      </c>
      <c r="G145" s="4" t="inlineStr"/>
      <c r="H145" s="4" t="inlineStr">
        <is>
          <t>NORMAL</t>
        </is>
      </c>
      <c r="I145" s="4" t="inlineStr">
        <is>
          <t>MEVSİMLİK</t>
        </is>
      </c>
      <c r="J145" s="6" t="inlineStr">
        <is>
          <t>BALIK TEMİZLEME</t>
        </is>
      </c>
      <c r="K145" s="6" t="inlineStr">
        <is>
          <t>KARACABEY</t>
        </is>
      </c>
      <c r="L145" s="7" t="n">
        <v>33000</v>
      </c>
      <c r="M145" s="4" t="inlineStr">
        <is>
          <t>FİDE KONSERVE</t>
        </is>
      </c>
      <c r="N145" s="4" t="inlineStr">
        <is>
          <t>ALIR</t>
        </is>
      </c>
      <c r="O145" s="19" t="n">
        <v>0</v>
      </c>
      <c r="P145" s="19" t="n">
        <v>0</v>
      </c>
      <c r="Q145" s="19" t="n">
        <v>0</v>
      </c>
      <c r="R145" s="9" t="n">
        <v>0</v>
      </c>
      <c r="S145" s="19" t="n">
        <v>0</v>
      </c>
      <c r="T145" s="19" t="n">
        <v>0</v>
      </c>
      <c r="U145" s="19" t="n">
        <v>0</v>
      </c>
      <c r="V145" s="19" t="n">
        <v>0</v>
      </c>
      <c r="W145" s="19" t="n">
        <v>0</v>
      </c>
      <c r="X145" s="19" t="n">
        <v>0</v>
      </c>
      <c r="Y145" s="9" t="n">
        <v>0</v>
      </c>
      <c r="Z145" s="19" t="n">
        <v>0</v>
      </c>
      <c r="AA145" s="19" t="n">
        <v>0</v>
      </c>
      <c r="AB145" s="19" t="n">
        <v>0</v>
      </c>
      <c r="AC145" s="19" t="n">
        <v>0</v>
      </c>
      <c r="AD145" s="19" t="n">
        <v>0</v>
      </c>
      <c r="AE145" s="19" t="n">
        <v>0</v>
      </c>
      <c r="AF145" s="9" t="n">
        <v>0</v>
      </c>
      <c r="AG145" s="19" t="n">
        <v>0</v>
      </c>
      <c r="AH145" s="19" t="n">
        <v>0</v>
      </c>
      <c r="AI145" s="19" t="n">
        <v>0</v>
      </c>
      <c r="AJ145" s="19" t="n">
        <v>0</v>
      </c>
      <c r="AK145" s="19" t="n">
        <v>0</v>
      </c>
      <c r="AL145" s="19" t="n">
        <v>0</v>
      </c>
      <c r="AM145" s="9" t="n">
        <v>0</v>
      </c>
      <c r="AN145" s="19" t="n">
        <v>0</v>
      </c>
      <c r="AO145" s="19" t="n">
        <v>0</v>
      </c>
      <c r="AP145" s="19" t="n">
        <v>0</v>
      </c>
      <c r="AQ145" s="19" t="n">
        <v>0</v>
      </c>
      <c r="AR145" s="19" t="n">
        <v>0</v>
      </c>
      <c r="AS145" s="19" t="n">
        <v>0</v>
      </c>
      <c r="AT145" s="10">
        <f>SUM(O145:AS145)</f>
        <v/>
      </c>
      <c r="AU145" s="20">
        <f>COUNTIF(O145:AS145, "&gt;0")</f>
        <v/>
      </c>
      <c r="AV145" s="12">
        <f>IF(AU145&gt;=5, 4, IF(AU145&gt;0, INT(AU145/6), 0))</f>
        <v/>
      </c>
      <c r="AW145" s="20" t="n">
        <v>0</v>
      </c>
      <c r="AX145" s="20" t="n">
        <v>0</v>
      </c>
      <c r="AY145" s="13">
        <f>MIN(31, AU145+AV145+AW145+AX145)</f>
        <v/>
      </c>
      <c r="AZ145" s="14">
        <f>31-AY145</f>
        <v/>
      </c>
      <c r="BA145" s="21">
        <f>IF(AX145&gt;0, "01-İstirahat", IF(AZ145&gt;0, "12-Birden Fazla", ""))</f>
        <v/>
      </c>
      <c r="BB145" s="10" t="n">
        <v>0</v>
      </c>
      <c r="BC145" s="19" t="n">
        <v>0</v>
      </c>
      <c r="BD145" s="9" t="n">
        <v>0</v>
      </c>
      <c r="BE145" s="22">
        <f>(L145/30)*AU145</f>
        <v/>
      </c>
      <c r="BF145" s="15">
        <f>(L145/225)*((BB145*1.5)-(BC145*1.0))</f>
        <v/>
      </c>
      <c r="BG145" s="16">
        <f>(L145/225)*1.5*BD145</f>
        <v/>
      </c>
      <c r="BH145" s="15">
        <f>BF145+BG145</f>
        <v/>
      </c>
      <c r="BI145" s="17">
        <f>BE145+BH145</f>
        <v/>
      </c>
      <c r="BJ145" s="22">
        <f>IFERROR(VLOOKUP(B145, Resmi_Bordro_SGK!B:M, 11, FALSE), 0)</f>
        <v/>
      </c>
      <c r="BK145" s="18">
        <f>IFERROR(VLOOKUP(B145, Icra_Takip!A:E, 4, FALSE), 0)</f>
        <v/>
      </c>
      <c r="BL145" s="17">
        <f>IF(BI145&gt;BJ145, BI145-BJ145-BK145, 0)</f>
        <v/>
      </c>
      <c r="BM145" s="17">
        <f>BI145-BK145</f>
        <v/>
      </c>
    </row>
    <row r="146" ht="19" customHeight="1">
      <c r="A146" s="4" t="n">
        <v>143</v>
      </c>
      <c r="B146" s="5" t="inlineStr">
        <is>
          <t>23620498330</t>
        </is>
      </c>
      <c r="C146" s="6" t="inlineStr">
        <is>
          <t>FATMA BEYHAN</t>
        </is>
      </c>
      <c r="D146" s="4" t="inlineStr">
        <is>
          <t>K</t>
        </is>
      </c>
      <c r="E146" s="4" t="inlineStr"/>
      <c r="F146" s="4" t="inlineStr">
        <is>
          <t>06.01.2025</t>
        </is>
      </c>
      <c r="G146" s="4" t="inlineStr"/>
      <c r="H146" s="4" t="inlineStr">
        <is>
          <t>NORMAL</t>
        </is>
      </c>
      <c r="I146" s="4" t="inlineStr">
        <is>
          <t>MEVSİMLİK</t>
        </is>
      </c>
      <c r="J146" s="6" t="inlineStr">
        <is>
          <t>BALIK TEMİZLEME</t>
        </is>
      </c>
      <c r="K146" s="6" t="inlineStr">
        <is>
          <t>KARACABEY</t>
        </is>
      </c>
      <c r="L146" s="7" t="n">
        <v>33000</v>
      </c>
      <c r="M146" s="4" t="inlineStr">
        <is>
          <t>FİDE KONSERVE</t>
        </is>
      </c>
      <c r="N146" s="4" t="inlineStr">
        <is>
          <t>ALIR</t>
        </is>
      </c>
      <c r="O146" s="8" t="n">
        <v>0</v>
      </c>
      <c r="P146" s="8" t="n">
        <v>0</v>
      </c>
      <c r="Q146" s="8" t="n">
        <v>0</v>
      </c>
      <c r="R146" s="9" t="n">
        <v>0</v>
      </c>
      <c r="S146" s="8" t="n">
        <v>0</v>
      </c>
      <c r="T146" s="8" t="n">
        <v>0</v>
      </c>
      <c r="U146" s="8" t="n">
        <v>0</v>
      </c>
      <c r="V146" s="8" t="n">
        <v>0</v>
      </c>
      <c r="W146" s="8" t="n">
        <v>0</v>
      </c>
      <c r="X146" s="8" t="n">
        <v>0</v>
      </c>
      <c r="Y146" s="9" t="n">
        <v>0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9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  <c r="AK146" s="8" t="n">
        <v>0</v>
      </c>
      <c r="AL146" s="8" t="n">
        <v>0</v>
      </c>
      <c r="AM146" s="9" t="n">
        <v>0</v>
      </c>
      <c r="AN146" s="8" t="n">
        <v>0</v>
      </c>
      <c r="AO146" s="8" t="n">
        <v>0</v>
      </c>
      <c r="AP146" s="8" t="n">
        <v>0</v>
      </c>
      <c r="AQ146" s="8" t="n">
        <v>0</v>
      </c>
      <c r="AR146" s="8" t="n">
        <v>0</v>
      </c>
      <c r="AS146" s="8" t="n">
        <v>0</v>
      </c>
      <c r="AT146" s="10">
        <f>SUM(O146:AS146)</f>
        <v/>
      </c>
      <c r="AU146" s="11">
        <f>COUNTIF(O146:AS146, "&gt;0")</f>
        <v/>
      </c>
      <c r="AV146" s="12">
        <f>IF(AU146&gt;=5, 4, IF(AU146&gt;0, INT(AU146/6), 0))</f>
        <v/>
      </c>
      <c r="AW146" s="11" t="n">
        <v>0</v>
      </c>
      <c r="AX146" s="11" t="n">
        <v>0</v>
      </c>
      <c r="AY146" s="13">
        <f>MIN(31, AU146+AV146+AW146+AX146)</f>
        <v/>
      </c>
      <c r="AZ146" s="14">
        <f>31-AY146</f>
        <v/>
      </c>
      <c r="BA146" s="5">
        <f>IF(AX146&gt;0, "01-İstirahat", IF(AZ146&gt;0, "12-Birden Fazla", ""))</f>
        <v/>
      </c>
      <c r="BB146" s="10" t="n">
        <v>0</v>
      </c>
      <c r="BC146" s="8" t="n">
        <v>0</v>
      </c>
      <c r="BD146" s="9" t="n">
        <v>0</v>
      </c>
      <c r="BE146" s="7">
        <f>(L146/30)*AU146</f>
        <v/>
      </c>
      <c r="BF146" s="15">
        <f>(L146/225)*((BB146*1.5)-(BC146*1.0))</f>
        <v/>
      </c>
      <c r="BG146" s="16">
        <f>(L146/225)*1.5*BD146</f>
        <v/>
      </c>
      <c r="BH146" s="15">
        <f>BF146+BG146</f>
        <v/>
      </c>
      <c r="BI146" s="17">
        <f>BE146+BH146</f>
        <v/>
      </c>
      <c r="BJ146" s="7">
        <f>IFERROR(VLOOKUP(B146, Resmi_Bordro_SGK!B:M, 11, FALSE), 0)</f>
        <v/>
      </c>
      <c r="BK146" s="18">
        <f>IFERROR(VLOOKUP(B146, Icra_Takip!A:E, 4, FALSE), 0)</f>
        <v/>
      </c>
      <c r="BL146" s="17">
        <f>IF(BI146&gt;BJ146, BI146-BJ146-BK146, 0)</f>
        <v/>
      </c>
      <c r="BM146" s="17">
        <f>BI146-BK146</f>
        <v/>
      </c>
    </row>
    <row r="147" ht="19" customHeight="1">
      <c r="A147" s="4" t="n">
        <v>144</v>
      </c>
      <c r="B147" s="5" t="inlineStr">
        <is>
          <t>32986036254</t>
        </is>
      </c>
      <c r="C147" s="6" t="inlineStr">
        <is>
          <t>FATMA ÇAM</t>
        </is>
      </c>
      <c r="D147" s="4" t="inlineStr">
        <is>
          <t>K</t>
        </is>
      </c>
      <c r="E147" s="4" t="inlineStr"/>
      <c r="F147" s="4" t="inlineStr">
        <is>
          <t>10.10.2025</t>
        </is>
      </c>
      <c r="G147" s="4" t="inlineStr"/>
      <c r="H147" s="4" t="inlineStr">
        <is>
          <t>SGDP</t>
        </is>
      </c>
      <c r="I147" s="4" t="inlineStr">
        <is>
          <t>MEVSİMLİK</t>
        </is>
      </c>
      <c r="J147" s="6" t="inlineStr">
        <is>
          <t>ÜRETİM</t>
        </is>
      </c>
      <c r="K147" s="6" t="inlineStr">
        <is>
          <t>BİGADİÇ</t>
        </is>
      </c>
      <c r="L147" s="7" t="n">
        <v>30185</v>
      </c>
      <c r="M147" s="4" t="inlineStr">
        <is>
          <t>FİDE KONSERVE</t>
        </is>
      </c>
      <c r="N147" s="4" t="inlineStr">
        <is>
          <t>ALIR</t>
        </is>
      </c>
      <c r="O147" s="19" t="n">
        <v>7.5</v>
      </c>
      <c r="P147" s="19" t="n">
        <v>7.5</v>
      </c>
      <c r="Q147" s="19" t="n">
        <v>7.5</v>
      </c>
      <c r="R147" s="9" t="n">
        <v>0</v>
      </c>
      <c r="S147" s="19" t="n">
        <v>7.5</v>
      </c>
      <c r="T147" s="19" t="n">
        <v>7.5</v>
      </c>
      <c r="U147" s="19" t="n">
        <v>7.5</v>
      </c>
      <c r="V147" s="19" t="n">
        <v>7.5</v>
      </c>
      <c r="W147" s="19" t="n">
        <v>7.5</v>
      </c>
      <c r="X147" s="19" t="n">
        <v>7.5</v>
      </c>
      <c r="Y147" s="9" t="n">
        <v>0</v>
      </c>
      <c r="Z147" s="19" t="n">
        <v>7.5</v>
      </c>
      <c r="AA147" s="19" t="n">
        <v>7.5</v>
      </c>
      <c r="AB147" s="19" t="n">
        <v>8</v>
      </c>
      <c r="AC147" s="19" t="n">
        <v>7.5</v>
      </c>
      <c r="AD147" s="19" t="n">
        <v>7.5</v>
      </c>
      <c r="AE147" s="19" t="n">
        <v>7.5</v>
      </c>
      <c r="AF147" s="9" t="n">
        <v>0</v>
      </c>
      <c r="AG147" s="19" t="n">
        <v>7.5</v>
      </c>
      <c r="AH147" s="19" t="n">
        <v>7.5</v>
      </c>
      <c r="AI147" s="23" t="n">
        <v>7.5</v>
      </c>
      <c r="AJ147" s="19" t="n">
        <v>0</v>
      </c>
      <c r="AK147" s="19" t="n">
        <v>0</v>
      </c>
      <c r="AL147" s="19" t="n">
        <v>0</v>
      </c>
      <c r="AM147" s="9" t="n">
        <v>0</v>
      </c>
      <c r="AN147" s="19" t="n">
        <v>0</v>
      </c>
      <c r="AO147" s="19" t="n">
        <v>0</v>
      </c>
      <c r="AP147" s="19" t="n">
        <v>0</v>
      </c>
      <c r="AQ147" s="19" t="n">
        <v>0</v>
      </c>
      <c r="AR147" s="19" t="n">
        <v>0</v>
      </c>
      <c r="AS147" s="19" t="n">
        <v>0</v>
      </c>
      <c r="AT147" s="10">
        <f>SUM(O147:AS147)</f>
        <v/>
      </c>
      <c r="AU147" s="20">
        <f>COUNTIF(O147:AS147, "&gt;0")</f>
        <v/>
      </c>
      <c r="AV147" s="12">
        <f>IF(AU147&gt;=5, 4, IF(AU147&gt;0, INT(AU147/6), 0))</f>
        <v/>
      </c>
      <c r="AW147" s="20" t="n">
        <v>0</v>
      </c>
      <c r="AX147" s="20" t="n">
        <v>0</v>
      </c>
      <c r="AY147" s="13">
        <f>MIN(31, AU147+AV147+AW147+AX147)</f>
        <v/>
      </c>
      <c r="AZ147" s="14">
        <f>31-AY147</f>
        <v/>
      </c>
      <c r="BA147" s="21">
        <f>IF(AX147&gt;0, "01-İstirahat", IF(AZ147&gt;0, "12-Birden Fazla", ""))</f>
        <v/>
      </c>
      <c r="BB147" s="10" t="n">
        <v>0.5</v>
      </c>
      <c r="BC147" s="19" t="n">
        <v>0</v>
      </c>
      <c r="BD147" s="9" t="n">
        <v>0</v>
      </c>
      <c r="BE147" s="22">
        <f>(L147/30)*AU147</f>
        <v/>
      </c>
      <c r="BF147" s="15">
        <f>(L147/225)*((BB147*1.5)-(BC147*1.0))</f>
        <v/>
      </c>
      <c r="BG147" s="16">
        <f>(L147/225)*1.5*BD147</f>
        <v/>
      </c>
      <c r="BH147" s="15">
        <f>BF147+BG147</f>
        <v/>
      </c>
      <c r="BI147" s="17">
        <f>BE147+BH147</f>
        <v/>
      </c>
      <c r="BJ147" s="22">
        <f>IFERROR(VLOOKUP(B147, Resmi_Bordro_SGK!B:M, 11, FALSE), 0)</f>
        <v/>
      </c>
      <c r="BK147" s="18">
        <f>IFERROR(VLOOKUP(B147, Icra_Takip!A:E, 4, FALSE), 0)</f>
        <v/>
      </c>
      <c r="BL147" s="17">
        <f>IF(BI147&gt;BJ147, BI147-BJ147-BK147, 0)</f>
        <v/>
      </c>
      <c r="BM147" s="17">
        <f>BI147-BK147</f>
        <v/>
      </c>
    </row>
    <row r="148" ht="19" customHeight="1">
      <c r="A148" s="4" t="n">
        <v>145</v>
      </c>
      <c r="B148" s="5" t="inlineStr">
        <is>
          <t>35183294274</t>
        </is>
      </c>
      <c r="C148" s="6" t="inlineStr">
        <is>
          <t>FATMA DEMİRER</t>
        </is>
      </c>
      <c r="D148" s="4" t="inlineStr">
        <is>
          <t>K</t>
        </is>
      </c>
      <c r="E148" s="4" t="inlineStr"/>
      <c r="F148" s="4" t="inlineStr">
        <is>
          <t>08.05.2026</t>
        </is>
      </c>
      <c r="G148" s="4" t="inlineStr"/>
      <c r="H148" s="4" t="inlineStr">
        <is>
          <t>NORMAL</t>
        </is>
      </c>
      <c r="I148" s="4" t="inlineStr">
        <is>
          <t>MEVSİMLİK</t>
        </is>
      </c>
      <c r="J148" s="6" t="inlineStr">
        <is>
          <t>BALIK TEMİZLEME</t>
        </is>
      </c>
      <c r="K148" s="6" t="inlineStr">
        <is>
          <t>GÜVEN TURİZM-MKP</t>
        </is>
      </c>
      <c r="L148" s="7" t="n">
        <v>33000</v>
      </c>
      <c r="M148" s="4" t="inlineStr">
        <is>
          <t>FİDE KONSERVE</t>
        </is>
      </c>
      <c r="N148" s="4" t="inlineStr">
        <is>
          <t>ALIR</t>
        </is>
      </c>
      <c r="O148" s="23" t="n">
        <v>7.5</v>
      </c>
      <c r="P148" s="8" t="n">
        <v>0</v>
      </c>
      <c r="Q148" s="8" t="n">
        <v>0</v>
      </c>
      <c r="R148" s="9" t="n">
        <v>0</v>
      </c>
      <c r="S148" s="8" t="n">
        <v>7.5</v>
      </c>
      <c r="T148" s="8" t="n">
        <v>8</v>
      </c>
      <c r="U148" s="8" t="n">
        <v>8</v>
      </c>
      <c r="V148" s="8" t="n">
        <v>0</v>
      </c>
      <c r="W148" s="8" t="n">
        <v>8</v>
      </c>
      <c r="X148" s="8" t="n">
        <v>8.5</v>
      </c>
      <c r="Y148" s="9" t="n">
        <v>0</v>
      </c>
      <c r="Z148" s="8" t="n">
        <v>0</v>
      </c>
      <c r="AA148" s="8" t="n">
        <v>7.5</v>
      </c>
      <c r="AB148" s="8" t="n">
        <v>8.5</v>
      </c>
      <c r="AC148" s="8" t="n">
        <v>7.5</v>
      </c>
      <c r="AD148" s="8" t="n">
        <v>7.5</v>
      </c>
      <c r="AE148" s="8" t="n">
        <v>10.5</v>
      </c>
      <c r="AF148" s="9" t="n">
        <v>0</v>
      </c>
      <c r="AG148" s="8" t="n">
        <v>0</v>
      </c>
      <c r="AH148" s="8" t="n">
        <v>7.5</v>
      </c>
      <c r="AI148" s="8" t="n">
        <v>7.5</v>
      </c>
      <c r="AJ148" s="8" t="n">
        <v>0</v>
      </c>
      <c r="AK148" s="8" t="n">
        <v>0</v>
      </c>
      <c r="AL148" s="8" t="n">
        <v>0</v>
      </c>
      <c r="AM148" s="9" t="n">
        <v>0</v>
      </c>
      <c r="AN148" s="8" t="n">
        <v>0</v>
      </c>
      <c r="AO148" s="8" t="n">
        <v>0</v>
      </c>
      <c r="AP148" s="8" t="n">
        <v>0</v>
      </c>
      <c r="AQ148" s="8" t="n">
        <v>0</v>
      </c>
      <c r="AR148" s="8" t="n">
        <v>0</v>
      </c>
      <c r="AS148" s="8" t="n">
        <v>0</v>
      </c>
      <c r="AT148" s="10">
        <f>SUM(O148:AS148)</f>
        <v/>
      </c>
      <c r="AU148" s="11">
        <f>COUNTIF(O148:AS148, "&gt;0")</f>
        <v/>
      </c>
      <c r="AV148" s="12">
        <f>IF(AU148&gt;=5, 4, IF(AU148&gt;0, INT(AU148/6), 0))</f>
        <v/>
      </c>
      <c r="AW148" s="11" t="n">
        <v>0</v>
      </c>
      <c r="AX148" s="11" t="n">
        <v>0</v>
      </c>
      <c r="AY148" s="13">
        <f>MIN(31, AU148+AV148+AW148+AX148)</f>
        <v/>
      </c>
      <c r="AZ148" s="14">
        <f>31-AY148</f>
        <v/>
      </c>
      <c r="BA148" s="5">
        <f>IF(AX148&gt;0, "01-İstirahat", IF(AZ148&gt;0, "12-Birden Fazla", ""))</f>
        <v/>
      </c>
      <c r="BB148" s="10" t="n">
        <v>6.5</v>
      </c>
      <c r="BC148" s="8" t="n">
        <v>0</v>
      </c>
      <c r="BD148" s="9" t="n">
        <v>0</v>
      </c>
      <c r="BE148" s="7">
        <f>(L148/30)*AU148</f>
        <v/>
      </c>
      <c r="BF148" s="15">
        <f>(L148/225)*((BB148*1.5)-(BC148*1.0))</f>
        <v/>
      </c>
      <c r="BG148" s="16">
        <f>(L148/225)*1.5*BD148</f>
        <v/>
      </c>
      <c r="BH148" s="15">
        <f>BF148+BG148</f>
        <v/>
      </c>
      <c r="BI148" s="17">
        <f>BE148+BH148</f>
        <v/>
      </c>
      <c r="BJ148" s="7">
        <f>IFERROR(VLOOKUP(B148, Resmi_Bordro_SGK!B:M, 11, FALSE), 0)</f>
        <v/>
      </c>
      <c r="BK148" s="18">
        <f>IFERROR(VLOOKUP(B148, Icra_Takip!A:E, 4, FALSE), 0)</f>
        <v/>
      </c>
      <c r="BL148" s="17">
        <f>IF(BI148&gt;BJ148, BI148-BJ148-BK148, 0)</f>
        <v/>
      </c>
      <c r="BM148" s="17">
        <f>BI148-BK148</f>
        <v/>
      </c>
    </row>
    <row r="149" ht="19" customHeight="1">
      <c r="A149" s="4" t="n">
        <v>146</v>
      </c>
      <c r="B149" s="5" t="inlineStr">
        <is>
          <t>13784962808</t>
        </is>
      </c>
      <c r="C149" s="6" t="inlineStr">
        <is>
          <t>FATMA KEÇECİOĞLU</t>
        </is>
      </c>
      <c r="D149" s="4" t="inlineStr">
        <is>
          <t>K</t>
        </is>
      </c>
      <c r="E149" s="4" t="inlineStr"/>
      <c r="F149" s="4" t="inlineStr">
        <is>
          <t>08.07.2026</t>
        </is>
      </c>
      <c r="G149" s="4" t="inlineStr"/>
      <c r="H149" s="4" t="inlineStr">
        <is>
          <t>NORMAL</t>
        </is>
      </c>
      <c r="I149" s="4" t="inlineStr">
        <is>
          <t>MEVSİMLİK</t>
        </is>
      </c>
      <c r="J149" s="6" t="inlineStr">
        <is>
          <t>ÜRETİM</t>
        </is>
      </c>
      <c r="K149" s="6" t="inlineStr">
        <is>
          <t>KARACABEY-HALİL</t>
        </is>
      </c>
      <c r="L149" s="7" t="n">
        <v>28075.5</v>
      </c>
      <c r="M149" s="4" t="inlineStr">
        <is>
          <t>FİDE KONSERVE</t>
        </is>
      </c>
      <c r="N149" s="4" t="inlineStr">
        <is>
          <t>ALIR</t>
        </is>
      </c>
      <c r="O149" s="19" t="n">
        <v>0</v>
      </c>
      <c r="P149" s="19" t="n">
        <v>0</v>
      </c>
      <c r="Q149" s="19" t="n">
        <v>0</v>
      </c>
      <c r="R149" s="9" t="n">
        <v>0</v>
      </c>
      <c r="S149" s="19" t="n">
        <v>0</v>
      </c>
      <c r="T149" s="19" t="n">
        <v>0</v>
      </c>
      <c r="U149" s="19" t="n">
        <v>0</v>
      </c>
      <c r="V149" s="19" t="n">
        <v>0</v>
      </c>
      <c r="W149" s="19" t="n">
        <v>0</v>
      </c>
      <c r="X149" s="19" t="n">
        <v>0</v>
      </c>
      <c r="Y149" s="9" t="n">
        <v>0</v>
      </c>
      <c r="Z149" s="19" t="n">
        <v>0</v>
      </c>
      <c r="AA149" s="19" t="n">
        <v>0</v>
      </c>
      <c r="AB149" s="19" t="n">
        <v>0</v>
      </c>
      <c r="AC149" s="19" t="n">
        <v>0</v>
      </c>
      <c r="AD149" s="19" t="n">
        <v>0</v>
      </c>
      <c r="AE149" s="19" t="n">
        <v>0</v>
      </c>
      <c r="AF149" s="9" t="n">
        <v>0</v>
      </c>
      <c r="AG149" s="19" t="n">
        <v>0</v>
      </c>
      <c r="AH149" s="19" t="n">
        <v>0</v>
      </c>
      <c r="AI149" s="19" t="n">
        <v>0</v>
      </c>
      <c r="AJ149" s="19" t="n">
        <v>0</v>
      </c>
      <c r="AK149" s="19" t="n">
        <v>0</v>
      </c>
      <c r="AL149" s="19" t="n">
        <v>0</v>
      </c>
      <c r="AM149" s="9" t="n">
        <v>0</v>
      </c>
      <c r="AN149" s="19" t="n">
        <v>0</v>
      </c>
      <c r="AO149" s="19" t="n">
        <v>0</v>
      </c>
      <c r="AP149" s="19" t="n">
        <v>0</v>
      </c>
      <c r="AQ149" s="19" t="n">
        <v>0</v>
      </c>
      <c r="AR149" s="19" t="n">
        <v>0</v>
      </c>
      <c r="AS149" s="19" t="n">
        <v>0</v>
      </c>
      <c r="AT149" s="10">
        <f>SUM(O149:AS149)</f>
        <v/>
      </c>
      <c r="AU149" s="20">
        <f>COUNTIF(O149:AS149, "&gt;0")</f>
        <v/>
      </c>
      <c r="AV149" s="12">
        <f>IF(AU149&gt;=5, 4, IF(AU149&gt;0, INT(AU149/6), 0))</f>
        <v/>
      </c>
      <c r="AW149" s="20" t="n">
        <v>0</v>
      </c>
      <c r="AX149" s="20" t="n">
        <v>0</v>
      </c>
      <c r="AY149" s="13">
        <f>MIN(31, AU149+AV149+AW149+AX149)</f>
        <v/>
      </c>
      <c r="AZ149" s="14">
        <f>31-AY149</f>
        <v/>
      </c>
      <c r="BA149" s="21">
        <f>IF(AX149&gt;0, "01-İstirahat", IF(AZ149&gt;0, "12-Birden Fazla", ""))</f>
        <v/>
      </c>
      <c r="BB149" s="10" t="n">
        <v>0</v>
      </c>
      <c r="BC149" s="19" t="n">
        <v>0</v>
      </c>
      <c r="BD149" s="9" t="n">
        <v>0</v>
      </c>
      <c r="BE149" s="22">
        <f>(L149/30)*AU149</f>
        <v/>
      </c>
      <c r="BF149" s="15">
        <f>(L149/225)*((BB149*1.5)-(BC149*1.0))</f>
        <v/>
      </c>
      <c r="BG149" s="16">
        <f>(L149/225)*1.5*BD149</f>
        <v/>
      </c>
      <c r="BH149" s="15">
        <f>BF149+BG149</f>
        <v/>
      </c>
      <c r="BI149" s="17">
        <f>BE149+BH149</f>
        <v/>
      </c>
      <c r="BJ149" s="22">
        <f>IFERROR(VLOOKUP(B149, Resmi_Bordro_SGK!B:M, 11, FALSE), 0)</f>
        <v/>
      </c>
      <c r="BK149" s="18">
        <f>IFERROR(VLOOKUP(B149, Icra_Takip!A:E, 4, FALSE), 0)</f>
        <v/>
      </c>
      <c r="BL149" s="17">
        <f>IF(BI149&gt;BJ149, BI149-BJ149-BK149, 0)</f>
        <v/>
      </c>
      <c r="BM149" s="17">
        <f>BI149-BK149</f>
        <v/>
      </c>
    </row>
    <row r="150" ht="19" customHeight="1">
      <c r="A150" s="4" t="n">
        <v>147</v>
      </c>
      <c r="B150" s="5" t="inlineStr">
        <is>
          <t>31594082608</t>
        </is>
      </c>
      <c r="C150" s="6" t="inlineStr">
        <is>
          <t>FATMA ÖZÇAM</t>
        </is>
      </c>
      <c r="D150" s="4" t="inlineStr">
        <is>
          <t>K</t>
        </is>
      </c>
      <c r="E150" s="4" t="inlineStr"/>
      <c r="F150" s="4" t="inlineStr">
        <is>
          <t>09.10.2025</t>
        </is>
      </c>
      <c r="G150" s="4" t="inlineStr"/>
      <c r="H150" s="4" t="inlineStr">
        <is>
          <t>SGDP</t>
        </is>
      </c>
      <c r="I150" s="4" t="inlineStr">
        <is>
          <t>MEVSİMLİK</t>
        </is>
      </c>
      <c r="J150" s="6" t="inlineStr">
        <is>
          <t>ÜRETİM</t>
        </is>
      </c>
      <c r="K150" s="6" t="inlineStr">
        <is>
          <t>BİGADİÇ</t>
        </is>
      </c>
      <c r="L150" s="7" t="n">
        <v>30185</v>
      </c>
      <c r="M150" s="4" t="inlineStr">
        <is>
          <t>FİDE KONSERVE</t>
        </is>
      </c>
      <c r="N150" s="4" t="inlineStr">
        <is>
          <t>ALIR</t>
        </is>
      </c>
      <c r="O150" s="8" t="n">
        <v>0</v>
      </c>
      <c r="P150" s="8" t="n">
        <v>0</v>
      </c>
      <c r="Q150" s="8" t="n">
        <v>0</v>
      </c>
      <c r="R150" s="9" t="n">
        <v>0</v>
      </c>
      <c r="S150" s="8" t="n">
        <v>7.5</v>
      </c>
      <c r="T150" s="8" t="n">
        <v>7.5</v>
      </c>
      <c r="U150" s="8" t="n">
        <v>7.5</v>
      </c>
      <c r="V150" s="8" t="n">
        <v>7.5</v>
      </c>
      <c r="W150" s="8" t="n">
        <v>7.5</v>
      </c>
      <c r="X150" s="8" t="n">
        <v>7.5</v>
      </c>
      <c r="Y150" s="9" t="n">
        <v>0</v>
      </c>
      <c r="Z150" s="8" t="n">
        <v>7.5</v>
      </c>
      <c r="AA150" s="8" t="n">
        <v>7.5</v>
      </c>
      <c r="AB150" s="8" t="n">
        <v>8</v>
      </c>
      <c r="AC150" s="8" t="n">
        <v>7.5</v>
      </c>
      <c r="AD150" s="8" t="n">
        <v>7.5</v>
      </c>
      <c r="AE150" s="8" t="n">
        <v>7.5</v>
      </c>
      <c r="AF150" s="9" t="n">
        <v>0</v>
      </c>
      <c r="AG150" s="8" t="n">
        <v>7.5</v>
      </c>
      <c r="AH150" s="8" t="n">
        <v>7.5</v>
      </c>
      <c r="AI150" s="23" t="n">
        <v>7.5</v>
      </c>
      <c r="AJ150" s="8" t="n">
        <v>0</v>
      </c>
      <c r="AK150" s="8" t="n">
        <v>0</v>
      </c>
      <c r="AL150" s="8" t="n">
        <v>0</v>
      </c>
      <c r="AM150" s="9" t="n">
        <v>0</v>
      </c>
      <c r="AN150" s="8" t="n">
        <v>0</v>
      </c>
      <c r="AO150" s="8" t="n">
        <v>0</v>
      </c>
      <c r="AP150" s="8" t="n">
        <v>0</v>
      </c>
      <c r="AQ150" s="8" t="n">
        <v>0</v>
      </c>
      <c r="AR150" s="8" t="n">
        <v>0</v>
      </c>
      <c r="AS150" s="8" t="n">
        <v>0</v>
      </c>
      <c r="AT150" s="10">
        <f>SUM(O150:AS150)</f>
        <v/>
      </c>
      <c r="AU150" s="11">
        <f>COUNTIF(O150:AS150, "&gt;0")</f>
        <v/>
      </c>
      <c r="AV150" s="12">
        <f>IF(AU150&gt;=5, 4, IF(AU150&gt;0, INT(AU150/6), 0))</f>
        <v/>
      </c>
      <c r="AW150" s="11" t="n">
        <v>0</v>
      </c>
      <c r="AX150" s="11" t="n">
        <v>0</v>
      </c>
      <c r="AY150" s="13">
        <f>MIN(31, AU150+AV150+AW150+AX150)</f>
        <v/>
      </c>
      <c r="AZ150" s="14">
        <f>31-AY150</f>
        <v/>
      </c>
      <c r="BA150" s="5">
        <f>IF(AX150&gt;0, "01-İstirahat", IF(AZ150&gt;0, "12-Birden Fazla", ""))</f>
        <v/>
      </c>
      <c r="BB150" s="10" t="n">
        <v>0.5</v>
      </c>
      <c r="BC150" s="8" t="n">
        <v>0</v>
      </c>
      <c r="BD150" s="9" t="n">
        <v>0</v>
      </c>
      <c r="BE150" s="7">
        <f>(L150/30)*AU150</f>
        <v/>
      </c>
      <c r="BF150" s="15">
        <f>(L150/225)*((BB150*1.5)-(BC150*1.0))</f>
        <v/>
      </c>
      <c r="BG150" s="16">
        <f>(L150/225)*1.5*BD150</f>
        <v/>
      </c>
      <c r="BH150" s="15">
        <f>BF150+BG150</f>
        <v/>
      </c>
      <c r="BI150" s="17">
        <f>BE150+BH150</f>
        <v/>
      </c>
      <c r="BJ150" s="7">
        <f>IFERROR(VLOOKUP(B150, Resmi_Bordro_SGK!B:M, 11, FALSE), 0)</f>
        <v/>
      </c>
      <c r="BK150" s="18">
        <f>IFERROR(VLOOKUP(B150, Icra_Takip!A:E, 4, FALSE), 0)</f>
        <v/>
      </c>
      <c r="BL150" s="17">
        <f>IF(BI150&gt;BJ150, BI150-BJ150-BK150, 0)</f>
        <v/>
      </c>
      <c r="BM150" s="17">
        <f>BI150-BK150</f>
        <v/>
      </c>
    </row>
    <row r="151" ht="19" customHeight="1">
      <c r="A151" s="4" t="n">
        <v>148</v>
      </c>
      <c r="B151" s="5" t="inlineStr">
        <is>
          <t>31036101904</t>
        </is>
      </c>
      <c r="C151" s="6" t="inlineStr">
        <is>
          <t>FATMA SÇAĞLAR</t>
        </is>
      </c>
      <c r="D151" s="4" t="inlineStr">
        <is>
          <t>K</t>
        </is>
      </c>
      <c r="E151" s="4" t="inlineStr"/>
      <c r="F151" s="4" t="inlineStr">
        <is>
          <t>24.04.2025</t>
        </is>
      </c>
      <c r="G151" s="4" t="inlineStr"/>
      <c r="H151" s="4" t="inlineStr">
        <is>
          <t>SGDP</t>
        </is>
      </c>
      <c r="I151" s="4" t="inlineStr">
        <is>
          <t>MEVSİMLİK</t>
        </is>
      </c>
      <c r="J151" s="6" t="inlineStr">
        <is>
          <t>AMBAR</t>
        </is>
      </c>
      <c r="K151" s="6" t="inlineStr">
        <is>
          <t>BİGADİÇ</t>
        </is>
      </c>
      <c r="L151" s="7" t="n">
        <v>30185</v>
      </c>
      <c r="M151" s="4" t="inlineStr">
        <is>
          <t>FİDE KONSERVE</t>
        </is>
      </c>
      <c r="N151" s="4" t="inlineStr">
        <is>
          <t>ALIR</t>
        </is>
      </c>
      <c r="O151" s="19" t="n">
        <v>0</v>
      </c>
      <c r="P151" s="19" t="n">
        <v>0</v>
      </c>
      <c r="Q151" s="19" t="n">
        <v>0</v>
      </c>
      <c r="R151" s="9" t="n">
        <v>0</v>
      </c>
      <c r="S151" s="19" t="n">
        <v>0</v>
      </c>
      <c r="T151" s="19" t="n">
        <v>0</v>
      </c>
      <c r="U151" s="19" t="n">
        <v>0</v>
      </c>
      <c r="V151" s="19" t="n">
        <v>0</v>
      </c>
      <c r="W151" s="19" t="n">
        <v>0</v>
      </c>
      <c r="X151" s="19" t="n">
        <v>0</v>
      </c>
      <c r="Y151" s="9" t="n">
        <v>0</v>
      </c>
      <c r="Z151" s="19" t="n">
        <v>0</v>
      </c>
      <c r="AA151" s="19" t="n">
        <v>0</v>
      </c>
      <c r="AB151" s="19" t="n">
        <v>0</v>
      </c>
      <c r="AC151" s="19" t="n">
        <v>0</v>
      </c>
      <c r="AD151" s="19" t="n">
        <v>0</v>
      </c>
      <c r="AE151" s="19" t="n">
        <v>0</v>
      </c>
      <c r="AF151" s="9" t="n">
        <v>0</v>
      </c>
      <c r="AG151" s="19" t="n">
        <v>0</v>
      </c>
      <c r="AH151" s="19" t="n">
        <v>0</v>
      </c>
      <c r="AI151" s="19" t="n">
        <v>0</v>
      </c>
      <c r="AJ151" s="19" t="n">
        <v>0</v>
      </c>
      <c r="AK151" s="19" t="n">
        <v>0</v>
      </c>
      <c r="AL151" s="19" t="n">
        <v>0</v>
      </c>
      <c r="AM151" s="9" t="n">
        <v>0</v>
      </c>
      <c r="AN151" s="19" t="n">
        <v>0</v>
      </c>
      <c r="AO151" s="19" t="n">
        <v>0</v>
      </c>
      <c r="AP151" s="19" t="n">
        <v>0</v>
      </c>
      <c r="AQ151" s="19" t="n">
        <v>0</v>
      </c>
      <c r="AR151" s="19" t="n">
        <v>0</v>
      </c>
      <c r="AS151" s="19" t="n">
        <v>0</v>
      </c>
      <c r="AT151" s="10">
        <f>SUM(O151:AS151)</f>
        <v/>
      </c>
      <c r="AU151" s="20">
        <f>COUNTIF(O151:AS151, "&gt;0")</f>
        <v/>
      </c>
      <c r="AV151" s="12">
        <f>IF(AU151&gt;=5, 4, IF(AU151&gt;0, INT(AU151/6), 0))</f>
        <v/>
      </c>
      <c r="AW151" s="20" t="n">
        <v>0</v>
      </c>
      <c r="AX151" s="20" t="n">
        <v>0</v>
      </c>
      <c r="AY151" s="13">
        <f>MIN(31, AU151+AV151+AW151+AX151)</f>
        <v/>
      </c>
      <c r="AZ151" s="14">
        <f>31-AY151</f>
        <v/>
      </c>
      <c r="BA151" s="21">
        <f>IF(AX151&gt;0, "01-İstirahat", IF(AZ151&gt;0, "12-Birden Fazla", ""))</f>
        <v/>
      </c>
      <c r="BB151" s="10" t="n">
        <v>0</v>
      </c>
      <c r="BC151" s="19" t="n">
        <v>0</v>
      </c>
      <c r="BD151" s="9" t="n">
        <v>0</v>
      </c>
      <c r="BE151" s="22">
        <f>(L151/30)*AU151</f>
        <v/>
      </c>
      <c r="BF151" s="15">
        <f>(L151/225)*((BB151*1.5)-(BC151*1.0))</f>
        <v/>
      </c>
      <c r="BG151" s="16">
        <f>(L151/225)*1.5*BD151</f>
        <v/>
      </c>
      <c r="BH151" s="15">
        <f>BF151+BG151</f>
        <v/>
      </c>
      <c r="BI151" s="17">
        <f>BE151+BH151</f>
        <v/>
      </c>
      <c r="BJ151" s="22">
        <f>IFERROR(VLOOKUP(B151, Resmi_Bordro_SGK!B:M, 11, FALSE), 0)</f>
        <v/>
      </c>
      <c r="BK151" s="18">
        <f>IFERROR(VLOOKUP(B151, Icra_Takip!A:E, 4, FALSE), 0)</f>
        <v/>
      </c>
      <c r="BL151" s="17">
        <f>IF(BI151&gt;BJ151, BI151-BJ151-BK151, 0)</f>
        <v/>
      </c>
      <c r="BM151" s="17">
        <f>BI151-BK151</f>
        <v/>
      </c>
    </row>
    <row r="152" ht="19" customHeight="1">
      <c r="A152" s="4" t="n">
        <v>149</v>
      </c>
      <c r="B152" s="5" t="inlineStr"/>
      <c r="C152" s="6" t="inlineStr">
        <is>
          <t>FATMA YAVUZ</t>
        </is>
      </c>
      <c r="D152" s="4" t="inlineStr"/>
      <c r="E152" s="4" t="inlineStr"/>
      <c r="F152" s="4" t="inlineStr"/>
      <c r="G152" s="4" t="inlineStr"/>
      <c r="H152" s="4" t="inlineStr">
        <is>
          <t>NORMAL</t>
        </is>
      </c>
      <c r="I152" s="4" t="inlineStr">
        <is>
          <t>MEVSİMLİK</t>
        </is>
      </c>
      <c r="J152" s="6" t="inlineStr"/>
      <c r="K152" s="6" t="inlineStr"/>
      <c r="L152" s="7" t="n">
        <v>28075.5</v>
      </c>
      <c r="M152" s="4" t="inlineStr">
        <is>
          <t>FİDE KONSERVE</t>
        </is>
      </c>
      <c r="N152" s="4" t="inlineStr">
        <is>
          <t>ALIR</t>
        </is>
      </c>
      <c r="O152" s="8" t="n">
        <v>0</v>
      </c>
      <c r="P152" s="8" t="n">
        <v>0</v>
      </c>
      <c r="Q152" s="8" t="n">
        <v>0</v>
      </c>
      <c r="R152" s="9" t="n">
        <v>0</v>
      </c>
      <c r="S152" s="8" t="n">
        <v>0</v>
      </c>
      <c r="T152" s="8" t="n">
        <v>0</v>
      </c>
      <c r="U152" s="8" t="n">
        <v>0</v>
      </c>
      <c r="V152" s="8" t="n">
        <v>0</v>
      </c>
      <c r="W152" s="8" t="n">
        <v>0</v>
      </c>
      <c r="X152" s="8" t="n">
        <v>0</v>
      </c>
      <c r="Y152" s="9" t="n">
        <v>0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9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  <c r="AK152" s="8" t="n">
        <v>0</v>
      </c>
      <c r="AL152" s="8" t="n">
        <v>0</v>
      </c>
      <c r="AM152" s="9" t="n">
        <v>0</v>
      </c>
      <c r="AN152" s="8" t="n">
        <v>0</v>
      </c>
      <c r="AO152" s="8" t="n">
        <v>0</v>
      </c>
      <c r="AP152" s="8" t="n">
        <v>0</v>
      </c>
      <c r="AQ152" s="8" t="n">
        <v>0</v>
      </c>
      <c r="AR152" s="8" t="n">
        <v>0</v>
      </c>
      <c r="AS152" s="8" t="n">
        <v>0</v>
      </c>
      <c r="AT152" s="10">
        <f>SUM(O152:AS152)</f>
        <v/>
      </c>
      <c r="AU152" s="11">
        <f>COUNTIF(O152:AS152, "&gt;0")</f>
        <v/>
      </c>
      <c r="AV152" s="12">
        <f>IF(AU152&gt;=5, 4, IF(AU152&gt;0, INT(AU152/6), 0))</f>
        <v/>
      </c>
      <c r="AW152" s="11" t="n">
        <v>0</v>
      </c>
      <c r="AX152" s="11" t="n">
        <v>0</v>
      </c>
      <c r="AY152" s="13">
        <f>MIN(31, AU152+AV152+AW152+AX152)</f>
        <v/>
      </c>
      <c r="AZ152" s="14">
        <f>31-AY152</f>
        <v/>
      </c>
      <c r="BA152" s="5">
        <f>IF(AX152&gt;0, "01-İstirahat", IF(AZ152&gt;0, "12-Birden Fazla", ""))</f>
        <v/>
      </c>
      <c r="BB152" s="10" t="n">
        <v>0</v>
      </c>
      <c r="BC152" s="8" t="n">
        <v>0</v>
      </c>
      <c r="BD152" s="9" t="n">
        <v>0</v>
      </c>
      <c r="BE152" s="7">
        <f>(L152/30)*AU152</f>
        <v/>
      </c>
      <c r="BF152" s="15">
        <f>(L152/225)*((BB152*1.5)-(BC152*1.0))</f>
        <v/>
      </c>
      <c r="BG152" s="16">
        <f>(L152/225)*1.5*BD152</f>
        <v/>
      </c>
      <c r="BH152" s="15">
        <f>BF152+BG152</f>
        <v/>
      </c>
      <c r="BI152" s="17">
        <f>BE152+BH152</f>
        <v/>
      </c>
      <c r="BJ152" s="7">
        <f>IFERROR(VLOOKUP(B152, Resmi_Bordro_SGK!B:M, 11, FALSE), 0)</f>
        <v/>
      </c>
      <c r="BK152" s="18">
        <f>IFERROR(VLOOKUP(B152, Icra_Takip!A:E, 4, FALSE), 0)</f>
        <v/>
      </c>
      <c r="BL152" s="17">
        <f>IF(BI152&gt;BJ152, BI152-BJ152-BK152, 0)</f>
        <v/>
      </c>
      <c r="BM152" s="17">
        <f>BI152-BK152</f>
        <v/>
      </c>
    </row>
    <row r="153" ht="19" customHeight="1">
      <c r="A153" s="4" t="n">
        <v>150</v>
      </c>
      <c r="B153" s="5" t="inlineStr"/>
      <c r="C153" s="6" t="inlineStr">
        <is>
          <t>FATMAGÜL ERATA</t>
        </is>
      </c>
      <c r="D153" s="4" t="inlineStr"/>
      <c r="E153" s="4" t="inlineStr"/>
      <c r="F153" s="4" t="inlineStr"/>
      <c r="G153" s="4" t="inlineStr"/>
      <c r="H153" s="4" t="inlineStr">
        <is>
          <t>NORMAL</t>
        </is>
      </c>
      <c r="I153" s="4" t="inlineStr">
        <is>
          <t>MEVSİMLİK</t>
        </is>
      </c>
      <c r="J153" s="6" t="inlineStr"/>
      <c r="K153" s="6" t="inlineStr"/>
      <c r="L153" s="7" t="n">
        <v>28075.5</v>
      </c>
      <c r="M153" s="4" t="inlineStr">
        <is>
          <t>FİDE KONSERVE</t>
        </is>
      </c>
      <c r="N153" s="4" t="inlineStr">
        <is>
          <t>ALIR</t>
        </is>
      </c>
      <c r="O153" s="19" t="n">
        <v>0</v>
      </c>
      <c r="P153" s="19" t="n">
        <v>0</v>
      </c>
      <c r="Q153" s="19" t="n">
        <v>0</v>
      </c>
      <c r="R153" s="9" t="n">
        <v>0</v>
      </c>
      <c r="S153" s="19" t="n">
        <v>0</v>
      </c>
      <c r="T153" s="19" t="n">
        <v>0</v>
      </c>
      <c r="U153" s="19" t="n">
        <v>0</v>
      </c>
      <c r="V153" s="19" t="n">
        <v>0</v>
      </c>
      <c r="W153" s="19" t="n">
        <v>0</v>
      </c>
      <c r="X153" s="19" t="n">
        <v>0</v>
      </c>
      <c r="Y153" s="9" t="n">
        <v>0</v>
      </c>
      <c r="Z153" s="19" t="n">
        <v>0</v>
      </c>
      <c r="AA153" s="19" t="n">
        <v>0</v>
      </c>
      <c r="AB153" s="19" t="n">
        <v>0</v>
      </c>
      <c r="AC153" s="19" t="n">
        <v>0</v>
      </c>
      <c r="AD153" s="19" t="n">
        <v>0</v>
      </c>
      <c r="AE153" s="19" t="n">
        <v>0</v>
      </c>
      <c r="AF153" s="9" t="n">
        <v>0</v>
      </c>
      <c r="AG153" s="19" t="n">
        <v>0</v>
      </c>
      <c r="AH153" s="19" t="n">
        <v>0</v>
      </c>
      <c r="AI153" s="19" t="n">
        <v>0</v>
      </c>
      <c r="AJ153" s="19" t="n">
        <v>0</v>
      </c>
      <c r="AK153" s="19" t="n">
        <v>0</v>
      </c>
      <c r="AL153" s="19" t="n">
        <v>0</v>
      </c>
      <c r="AM153" s="9" t="n">
        <v>0</v>
      </c>
      <c r="AN153" s="19" t="n">
        <v>0</v>
      </c>
      <c r="AO153" s="19" t="n">
        <v>0</v>
      </c>
      <c r="AP153" s="19" t="n">
        <v>0</v>
      </c>
      <c r="AQ153" s="19" t="n">
        <v>0</v>
      </c>
      <c r="AR153" s="19" t="n">
        <v>0</v>
      </c>
      <c r="AS153" s="19" t="n">
        <v>0</v>
      </c>
      <c r="AT153" s="10">
        <f>SUM(O153:AS153)</f>
        <v/>
      </c>
      <c r="AU153" s="20">
        <f>COUNTIF(O153:AS153, "&gt;0")</f>
        <v/>
      </c>
      <c r="AV153" s="12">
        <f>IF(AU153&gt;=5, 4, IF(AU153&gt;0, INT(AU153/6), 0))</f>
        <v/>
      </c>
      <c r="AW153" s="20" t="n">
        <v>0</v>
      </c>
      <c r="AX153" s="20" t="n">
        <v>0</v>
      </c>
      <c r="AY153" s="13">
        <f>MIN(31, AU153+AV153+AW153+AX153)</f>
        <v/>
      </c>
      <c r="AZ153" s="14">
        <f>31-AY153</f>
        <v/>
      </c>
      <c r="BA153" s="21">
        <f>IF(AX153&gt;0, "01-İstirahat", IF(AZ153&gt;0, "12-Birden Fazla", ""))</f>
        <v/>
      </c>
      <c r="BB153" s="10" t="n">
        <v>0</v>
      </c>
      <c r="BC153" s="19" t="n">
        <v>0</v>
      </c>
      <c r="BD153" s="9" t="n">
        <v>0</v>
      </c>
      <c r="BE153" s="22">
        <f>(L153/30)*AU153</f>
        <v/>
      </c>
      <c r="BF153" s="15">
        <f>(L153/225)*((BB153*1.5)-(BC153*1.0))</f>
        <v/>
      </c>
      <c r="BG153" s="16">
        <f>(L153/225)*1.5*BD153</f>
        <v/>
      </c>
      <c r="BH153" s="15">
        <f>BF153+BG153</f>
        <v/>
      </c>
      <c r="BI153" s="17">
        <f>BE153+BH153</f>
        <v/>
      </c>
      <c r="BJ153" s="22">
        <f>IFERROR(VLOOKUP(B153, Resmi_Bordro_SGK!B:M, 11, FALSE), 0)</f>
        <v/>
      </c>
      <c r="BK153" s="18">
        <f>IFERROR(VLOOKUP(B153, Icra_Takip!A:E, 4, FALSE), 0)</f>
        <v/>
      </c>
      <c r="BL153" s="17">
        <f>IF(BI153&gt;BJ153, BI153-BJ153-BK153, 0)</f>
        <v/>
      </c>
      <c r="BM153" s="17">
        <f>BI153-BK153</f>
        <v/>
      </c>
    </row>
    <row r="154" ht="19" customHeight="1">
      <c r="A154" s="4" t="n">
        <v>151</v>
      </c>
      <c r="B154" s="5" t="inlineStr">
        <is>
          <t>11890896888</t>
        </is>
      </c>
      <c r="C154" s="6" t="inlineStr">
        <is>
          <t>FATMAGÜL ÇEKİ</t>
        </is>
      </c>
      <c r="D154" s="4" t="inlineStr">
        <is>
          <t>K</t>
        </is>
      </c>
      <c r="E154" s="4" t="inlineStr"/>
      <c r="F154" s="4" t="inlineStr">
        <is>
          <t>27.02.2026</t>
        </is>
      </c>
      <c r="G154" s="4" t="inlineStr"/>
      <c r="H154" s="4" t="inlineStr">
        <is>
          <t>NORMAL</t>
        </is>
      </c>
      <c r="I154" s="4" t="inlineStr">
        <is>
          <t>MEVSİMLİK</t>
        </is>
      </c>
      <c r="J154" s="6" t="inlineStr">
        <is>
          <t>BALIK DOLUM</t>
        </is>
      </c>
      <c r="K154" s="6" t="inlineStr">
        <is>
          <t>MKP</t>
        </is>
      </c>
      <c r="L154" s="7" t="n">
        <v>33000</v>
      </c>
      <c r="M154" s="4" t="inlineStr">
        <is>
          <t>FİDE KONSERVE</t>
        </is>
      </c>
      <c r="N154" s="4" t="inlineStr">
        <is>
          <t>ALIR</t>
        </is>
      </c>
      <c r="O154" s="8" t="n">
        <v>8.5</v>
      </c>
      <c r="P154" s="8" t="n">
        <v>9</v>
      </c>
      <c r="Q154" s="8" t="n">
        <v>8.5</v>
      </c>
      <c r="R154" s="9" t="n">
        <v>0</v>
      </c>
      <c r="S154" s="8" t="n">
        <v>8</v>
      </c>
      <c r="T154" s="8" t="n">
        <v>8.5</v>
      </c>
      <c r="U154" s="8" t="n">
        <v>6.5</v>
      </c>
      <c r="V154" s="8" t="n">
        <v>10</v>
      </c>
      <c r="W154" s="8" t="n">
        <v>0</v>
      </c>
      <c r="X154" s="8" t="n">
        <v>0</v>
      </c>
      <c r="Y154" s="9" t="n">
        <v>0</v>
      </c>
      <c r="Z154" s="8" t="n">
        <v>7.5</v>
      </c>
      <c r="AA154" s="8" t="n">
        <v>7.5</v>
      </c>
      <c r="AB154" s="8" t="n">
        <v>9</v>
      </c>
      <c r="AC154" s="8" t="n">
        <v>7.5</v>
      </c>
      <c r="AD154" s="8" t="n">
        <v>9</v>
      </c>
      <c r="AE154" s="8" t="n">
        <v>9</v>
      </c>
      <c r="AF154" s="9" t="n">
        <v>0</v>
      </c>
      <c r="AG154" s="8" t="n">
        <v>7</v>
      </c>
      <c r="AH154" s="8" t="n">
        <v>8</v>
      </c>
      <c r="AI154" s="8" t="n">
        <v>8</v>
      </c>
      <c r="AJ154" s="8" t="n">
        <v>0</v>
      </c>
      <c r="AK154" s="8" t="n">
        <v>0</v>
      </c>
      <c r="AL154" s="8" t="n">
        <v>0</v>
      </c>
      <c r="AM154" s="9" t="n">
        <v>0</v>
      </c>
      <c r="AN154" s="8" t="n">
        <v>0</v>
      </c>
      <c r="AO154" s="8" t="n">
        <v>0</v>
      </c>
      <c r="AP154" s="8" t="n">
        <v>0</v>
      </c>
      <c r="AQ154" s="8" t="n">
        <v>0</v>
      </c>
      <c r="AR154" s="8" t="n">
        <v>0</v>
      </c>
      <c r="AS154" s="8" t="n">
        <v>0</v>
      </c>
      <c r="AT154" s="10">
        <f>SUM(O154:AS154)</f>
        <v/>
      </c>
      <c r="AU154" s="11">
        <f>COUNTIF(O154:AS154, "&gt;0")</f>
        <v/>
      </c>
      <c r="AV154" s="12">
        <f>IF(AU154&gt;=5, 4, IF(AU154&gt;0, INT(AU154/6), 0))</f>
        <v/>
      </c>
      <c r="AW154" s="11" t="n">
        <v>0</v>
      </c>
      <c r="AX154" s="11" t="n">
        <v>0</v>
      </c>
      <c r="AY154" s="13">
        <f>MIN(31, AU154+AV154+AW154+AX154)</f>
        <v/>
      </c>
      <c r="AZ154" s="14">
        <f>31-AY154</f>
        <v/>
      </c>
      <c r="BA154" s="5">
        <f>IF(AX154&gt;0, "01-İstirahat", IF(AZ154&gt;0, "12-Birden Fazla", ""))</f>
        <v/>
      </c>
      <c r="BB154" s="10" t="n">
        <v>32.5</v>
      </c>
      <c r="BC154" s="23" t="n">
        <v>1.5</v>
      </c>
      <c r="BD154" s="9" t="n">
        <v>0</v>
      </c>
      <c r="BE154" s="7">
        <f>(L154/30)*AU154</f>
        <v/>
      </c>
      <c r="BF154" s="15">
        <f>(L154/225)*((BB154*1.5)-(BC154*1.0))</f>
        <v/>
      </c>
      <c r="BG154" s="16">
        <f>(L154/225)*1.5*BD154</f>
        <v/>
      </c>
      <c r="BH154" s="15">
        <f>BF154+BG154</f>
        <v/>
      </c>
      <c r="BI154" s="17">
        <f>BE154+BH154</f>
        <v/>
      </c>
      <c r="BJ154" s="7">
        <f>IFERROR(VLOOKUP(B154, Resmi_Bordro_SGK!B:M, 11, FALSE), 0)</f>
        <v/>
      </c>
      <c r="BK154" s="18">
        <f>IFERROR(VLOOKUP(B154, Icra_Takip!A:E, 4, FALSE), 0)</f>
        <v/>
      </c>
      <c r="BL154" s="17">
        <f>IF(BI154&gt;BJ154, BI154-BJ154-BK154, 0)</f>
        <v/>
      </c>
      <c r="BM154" s="17">
        <f>BI154-BK154</f>
        <v/>
      </c>
    </row>
    <row r="155" ht="19" customHeight="1">
      <c r="A155" s="4" t="n">
        <v>152</v>
      </c>
      <c r="B155" s="5" t="inlineStr"/>
      <c r="C155" s="6" t="inlineStr">
        <is>
          <t>FERİDE YILDIZ</t>
        </is>
      </c>
      <c r="D155" s="4" t="inlineStr"/>
      <c r="E155" s="4" t="inlineStr"/>
      <c r="F155" s="4" t="inlineStr"/>
      <c r="G155" s="4" t="inlineStr"/>
      <c r="H155" s="4" t="inlineStr">
        <is>
          <t>NORMAL</t>
        </is>
      </c>
      <c r="I155" s="4" t="inlineStr">
        <is>
          <t>MEVSİMLİK</t>
        </is>
      </c>
      <c r="J155" s="6" t="inlineStr"/>
      <c r="K155" s="6" t="inlineStr"/>
      <c r="L155" s="7" t="n">
        <v>28075.5</v>
      </c>
      <c r="M155" s="4" t="inlineStr">
        <is>
          <t>FİDE KONSERVE</t>
        </is>
      </c>
      <c r="N155" s="4" t="inlineStr">
        <is>
          <t>ALIR</t>
        </is>
      </c>
      <c r="O155" s="19" t="n">
        <v>0</v>
      </c>
      <c r="P155" s="19" t="n">
        <v>0</v>
      </c>
      <c r="Q155" s="19" t="n">
        <v>0</v>
      </c>
      <c r="R155" s="9" t="n">
        <v>7.5</v>
      </c>
      <c r="S155" s="19" t="n">
        <v>0</v>
      </c>
      <c r="T155" s="19" t="n">
        <v>0</v>
      </c>
      <c r="U155" s="19" t="n">
        <v>10.5</v>
      </c>
      <c r="V155" s="19" t="n">
        <v>10.5</v>
      </c>
      <c r="W155" s="19" t="n">
        <v>10.5</v>
      </c>
      <c r="X155" s="19" t="n">
        <v>7.5</v>
      </c>
      <c r="Y155" s="9" t="n">
        <v>0</v>
      </c>
      <c r="Z155" s="19" t="n">
        <v>0</v>
      </c>
      <c r="AA155" s="19" t="n">
        <v>0</v>
      </c>
      <c r="AB155" s="19" t="n">
        <v>10.5</v>
      </c>
      <c r="AC155" s="19" t="n">
        <v>0</v>
      </c>
      <c r="AD155" s="19" t="n">
        <v>10.5</v>
      </c>
      <c r="AE155" s="19" t="n">
        <v>0</v>
      </c>
      <c r="AF155" s="9" t="n">
        <v>0</v>
      </c>
      <c r="AG155" s="19" t="n">
        <v>10.5</v>
      </c>
      <c r="AH155" s="19" t="n">
        <v>0</v>
      </c>
      <c r="AI155" s="19" t="n">
        <v>0</v>
      </c>
      <c r="AJ155" s="19" t="n">
        <v>0</v>
      </c>
      <c r="AK155" s="19" t="n">
        <v>0</v>
      </c>
      <c r="AL155" s="19" t="n">
        <v>0</v>
      </c>
      <c r="AM155" s="9" t="n">
        <v>0</v>
      </c>
      <c r="AN155" s="19" t="n">
        <v>0</v>
      </c>
      <c r="AO155" s="19" t="n">
        <v>0</v>
      </c>
      <c r="AP155" s="19" t="n">
        <v>0</v>
      </c>
      <c r="AQ155" s="19" t="n">
        <v>0</v>
      </c>
      <c r="AR155" s="19" t="n">
        <v>0</v>
      </c>
      <c r="AS155" s="19" t="n">
        <v>0</v>
      </c>
      <c r="AT155" s="10">
        <f>SUM(O155:AS155)</f>
        <v/>
      </c>
      <c r="AU155" s="20">
        <f>COUNTIF(O155:AS155, "&gt;0")</f>
        <v/>
      </c>
      <c r="AV155" s="12">
        <f>IF(AU155&gt;=5, 4, IF(AU155&gt;0, INT(AU155/6), 0))</f>
        <v/>
      </c>
      <c r="AW155" s="20" t="n">
        <v>0</v>
      </c>
      <c r="AX155" s="20" t="n">
        <v>0</v>
      </c>
      <c r="AY155" s="13">
        <f>MIN(31, AU155+AV155+AW155+AX155)</f>
        <v/>
      </c>
      <c r="AZ155" s="14">
        <f>31-AY155</f>
        <v/>
      </c>
      <c r="BA155" s="21">
        <f>IF(AX155&gt;0, "01-İstirahat", IF(AZ155&gt;0, "12-Birden Fazla", ""))</f>
        <v/>
      </c>
      <c r="BB155" s="10" t="n">
        <v>18</v>
      </c>
      <c r="BC155" s="19" t="n">
        <v>0</v>
      </c>
      <c r="BD155" s="9" t="n">
        <v>7.5</v>
      </c>
      <c r="BE155" s="22">
        <f>(L155/30)*AU155</f>
        <v/>
      </c>
      <c r="BF155" s="15">
        <f>(L155/225)*((BB155*1.5)-(BC155*1.0))</f>
        <v/>
      </c>
      <c r="BG155" s="16">
        <f>(L155/225)*1.5*BD155</f>
        <v/>
      </c>
      <c r="BH155" s="15">
        <f>BF155+BG155</f>
        <v/>
      </c>
      <c r="BI155" s="17">
        <f>BE155+BH155</f>
        <v/>
      </c>
      <c r="BJ155" s="22">
        <f>IFERROR(VLOOKUP(B155, Resmi_Bordro_SGK!B:M, 11, FALSE), 0)</f>
        <v/>
      </c>
      <c r="BK155" s="18">
        <f>IFERROR(VLOOKUP(B155, Icra_Takip!A:E, 4, FALSE), 0)</f>
        <v/>
      </c>
      <c r="BL155" s="17">
        <f>IF(BI155&gt;BJ155, BI155-BJ155-BK155, 0)</f>
        <v/>
      </c>
      <c r="BM155" s="17">
        <f>BI155-BK155</f>
        <v/>
      </c>
    </row>
    <row r="156" ht="19" customHeight="1">
      <c r="A156" s="4" t="n">
        <v>153</v>
      </c>
      <c r="B156" s="5" t="inlineStr">
        <is>
          <t>21898406446</t>
        </is>
      </c>
      <c r="C156" s="6" t="inlineStr">
        <is>
          <t>FERUDUN BAKAN</t>
        </is>
      </c>
      <c r="D156" s="4" t="inlineStr">
        <is>
          <t>E</t>
        </is>
      </c>
      <c r="E156" s="4" t="inlineStr"/>
      <c r="F156" s="4" t="inlineStr">
        <is>
          <t>23.06.2026</t>
        </is>
      </c>
      <c r="G156" s="4" t="inlineStr"/>
      <c r="H156" s="4" t="inlineStr">
        <is>
          <t>NORMAL</t>
        </is>
      </c>
      <c r="I156" s="4" t="inlineStr">
        <is>
          <t>MEVSİMLİK</t>
        </is>
      </c>
      <c r="J156" s="6" t="inlineStr">
        <is>
          <t>ÜRETİM</t>
        </is>
      </c>
      <c r="K156" s="6" t="inlineStr">
        <is>
          <t>BİGADİÇ</t>
        </is>
      </c>
      <c r="L156" s="7" t="n">
        <v>28075.5</v>
      </c>
      <c r="M156" s="4" t="inlineStr">
        <is>
          <t>FİDE KONSERVE</t>
        </is>
      </c>
      <c r="N156" s="4" t="inlineStr">
        <is>
          <t>ALIR</t>
        </is>
      </c>
      <c r="O156" s="8" t="n">
        <v>7.5</v>
      </c>
      <c r="P156" s="8" t="n">
        <v>7.5</v>
      </c>
      <c r="Q156" s="8" t="n">
        <v>7.5</v>
      </c>
      <c r="R156" s="9" t="n">
        <v>0</v>
      </c>
      <c r="S156" s="8" t="n">
        <v>7.5</v>
      </c>
      <c r="T156" s="8" t="n">
        <v>7.5</v>
      </c>
      <c r="U156" s="8" t="n">
        <v>7.5</v>
      </c>
      <c r="V156" s="8" t="n">
        <v>7.5</v>
      </c>
      <c r="W156" s="8" t="n">
        <v>7.5</v>
      </c>
      <c r="X156" s="8" t="n">
        <v>7.5</v>
      </c>
      <c r="Y156" s="9" t="n">
        <v>0</v>
      </c>
      <c r="Z156" s="8" t="n">
        <v>7.5</v>
      </c>
      <c r="AA156" s="8" t="n">
        <v>7.5</v>
      </c>
      <c r="AB156" s="8" t="n">
        <v>8</v>
      </c>
      <c r="AC156" s="8" t="n">
        <v>7.5</v>
      </c>
      <c r="AD156" s="8" t="n">
        <v>7.5</v>
      </c>
      <c r="AE156" s="8" t="n">
        <v>7.5</v>
      </c>
      <c r="AF156" s="9" t="n">
        <v>0</v>
      </c>
      <c r="AG156" s="8" t="n">
        <v>7.5</v>
      </c>
      <c r="AH156" s="8" t="n">
        <v>7.5</v>
      </c>
      <c r="AI156" s="23" t="n">
        <v>7.5</v>
      </c>
      <c r="AJ156" s="8" t="n">
        <v>0</v>
      </c>
      <c r="AK156" s="8" t="n">
        <v>0</v>
      </c>
      <c r="AL156" s="8" t="n">
        <v>0</v>
      </c>
      <c r="AM156" s="9" t="n">
        <v>0</v>
      </c>
      <c r="AN156" s="8" t="n">
        <v>0</v>
      </c>
      <c r="AO156" s="8" t="n">
        <v>0</v>
      </c>
      <c r="AP156" s="8" t="n">
        <v>0</v>
      </c>
      <c r="AQ156" s="8" t="n">
        <v>0</v>
      </c>
      <c r="AR156" s="8" t="n">
        <v>0</v>
      </c>
      <c r="AS156" s="8" t="n">
        <v>0</v>
      </c>
      <c r="AT156" s="10">
        <f>SUM(O156:AS156)</f>
        <v/>
      </c>
      <c r="AU156" s="11">
        <f>COUNTIF(O156:AS156, "&gt;0")</f>
        <v/>
      </c>
      <c r="AV156" s="12">
        <f>IF(AU156&gt;=5, 4, IF(AU156&gt;0, INT(AU156/6), 0))</f>
        <v/>
      </c>
      <c r="AW156" s="11" t="n">
        <v>0</v>
      </c>
      <c r="AX156" s="11" t="n">
        <v>0</v>
      </c>
      <c r="AY156" s="13">
        <f>MIN(31, AU156+AV156+AW156+AX156)</f>
        <v/>
      </c>
      <c r="AZ156" s="14">
        <f>31-AY156</f>
        <v/>
      </c>
      <c r="BA156" s="5">
        <f>IF(AX156&gt;0, "01-İstirahat", IF(AZ156&gt;0, "12-Birden Fazla", ""))</f>
        <v/>
      </c>
      <c r="BB156" s="10" t="n">
        <v>0.5</v>
      </c>
      <c r="BC156" s="8" t="n">
        <v>0</v>
      </c>
      <c r="BD156" s="9" t="n">
        <v>0</v>
      </c>
      <c r="BE156" s="7">
        <f>(L156/30)*AU156</f>
        <v/>
      </c>
      <c r="BF156" s="15">
        <f>(L156/225)*((BB156*1.5)-(BC156*1.0))</f>
        <v/>
      </c>
      <c r="BG156" s="16">
        <f>(L156/225)*1.5*BD156</f>
        <v/>
      </c>
      <c r="BH156" s="15">
        <f>BF156+BG156</f>
        <v/>
      </c>
      <c r="BI156" s="17">
        <f>BE156+BH156</f>
        <v/>
      </c>
      <c r="BJ156" s="7">
        <f>IFERROR(VLOOKUP(B156, Resmi_Bordro_SGK!B:M, 11, FALSE), 0)</f>
        <v/>
      </c>
      <c r="BK156" s="18">
        <f>IFERROR(VLOOKUP(B156, Icra_Takip!A:E, 4, FALSE), 0)</f>
        <v/>
      </c>
      <c r="BL156" s="17">
        <f>IF(BI156&gt;BJ156, BI156-BJ156-BK156, 0)</f>
        <v/>
      </c>
      <c r="BM156" s="17">
        <f>BI156-BK156</f>
        <v/>
      </c>
    </row>
    <row r="157" ht="19" customHeight="1">
      <c r="A157" s="4" t="n">
        <v>154</v>
      </c>
      <c r="B157" s="5" t="inlineStr">
        <is>
          <t>63343097892</t>
        </is>
      </c>
      <c r="C157" s="6" t="inlineStr">
        <is>
          <t>FEVZİYE EKTİREN</t>
        </is>
      </c>
      <c r="D157" s="4" t="inlineStr">
        <is>
          <t>K</t>
        </is>
      </c>
      <c r="E157" s="4" t="inlineStr"/>
      <c r="F157" s="4" t="inlineStr">
        <is>
          <t>23.03.2026</t>
        </is>
      </c>
      <c r="G157" s="4" t="inlineStr"/>
      <c r="H157" s="4" t="inlineStr">
        <is>
          <t>NORMAL</t>
        </is>
      </c>
      <c r="I157" s="4" t="inlineStr">
        <is>
          <t>MEVSİMLİK</t>
        </is>
      </c>
      <c r="J157" s="6" t="inlineStr">
        <is>
          <t>BALIK TEMİZLEME</t>
        </is>
      </c>
      <c r="K157" s="6" t="inlineStr">
        <is>
          <t>KARACABEY-HALİL</t>
        </is>
      </c>
      <c r="L157" s="7" t="n">
        <v>33000</v>
      </c>
      <c r="M157" s="4" t="inlineStr">
        <is>
          <t>FİDE KONSERVE</t>
        </is>
      </c>
      <c r="N157" s="4" t="inlineStr">
        <is>
          <t>ALIR</t>
        </is>
      </c>
      <c r="O157" s="19" t="n">
        <v>0</v>
      </c>
      <c r="P157" s="19" t="n">
        <v>0</v>
      </c>
      <c r="Q157" s="19" t="n">
        <v>0</v>
      </c>
      <c r="R157" s="9" t="n">
        <v>0</v>
      </c>
      <c r="S157" s="19" t="n">
        <v>0</v>
      </c>
      <c r="T157" s="19" t="n">
        <v>0</v>
      </c>
      <c r="U157" s="19" t="n">
        <v>0</v>
      </c>
      <c r="V157" s="19" t="n">
        <v>0</v>
      </c>
      <c r="W157" s="19" t="n">
        <v>0</v>
      </c>
      <c r="X157" s="19" t="n">
        <v>0</v>
      </c>
      <c r="Y157" s="9" t="n">
        <v>0</v>
      </c>
      <c r="Z157" s="19" t="n">
        <v>0</v>
      </c>
      <c r="AA157" s="19" t="n">
        <v>0</v>
      </c>
      <c r="AB157" s="19" t="n">
        <v>0</v>
      </c>
      <c r="AC157" s="19" t="n">
        <v>0</v>
      </c>
      <c r="AD157" s="19" t="n">
        <v>0</v>
      </c>
      <c r="AE157" s="19" t="n">
        <v>0</v>
      </c>
      <c r="AF157" s="9" t="n">
        <v>0</v>
      </c>
      <c r="AG157" s="19" t="n">
        <v>0</v>
      </c>
      <c r="AH157" s="19" t="n">
        <v>0</v>
      </c>
      <c r="AI157" s="19" t="n">
        <v>0</v>
      </c>
      <c r="AJ157" s="19" t="n">
        <v>0</v>
      </c>
      <c r="AK157" s="19" t="n">
        <v>0</v>
      </c>
      <c r="AL157" s="19" t="n">
        <v>0</v>
      </c>
      <c r="AM157" s="9" t="n">
        <v>0</v>
      </c>
      <c r="AN157" s="19" t="n">
        <v>0</v>
      </c>
      <c r="AO157" s="19" t="n">
        <v>0</v>
      </c>
      <c r="AP157" s="19" t="n">
        <v>0</v>
      </c>
      <c r="AQ157" s="19" t="n">
        <v>0</v>
      </c>
      <c r="AR157" s="19" t="n">
        <v>0</v>
      </c>
      <c r="AS157" s="19" t="n">
        <v>0</v>
      </c>
      <c r="AT157" s="10">
        <f>SUM(O157:AS157)</f>
        <v/>
      </c>
      <c r="AU157" s="20">
        <f>COUNTIF(O157:AS157, "&gt;0")</f>
        <v/>
      </c>
      <c r="AV157" s="12">
        <f>IF(AU157&gt;=5, 4, IF(AU157&gt;0, INT(AU157/6), 0))</f>
        <v/>
      </c>
      <c r="AW157" s="20" t="n">
        <v>0</v>
      </c>
      <c r="AX157" s="20" t="n">
        <v>0</v>
      </c>
      <c r="AY157" s="13">
        <f>MIN(31, AU157+AV157+AW157+AX157)</f>
        <v/>
      </c>
      <c r="AZ157" s="14">
        <f>31-AY157</f>
        <v/>
      </c>
      <c r="BA157" s="21">
        <f>IF(AX157&gt;0, "01-İstirahat", IF(AZ157&gt;0, "12-Birden Fazla", ""))</f>
        <v/>
      </c>
      <c r="BB157" s="10" t="n">
        <v>0</v>
      </c>
      <c r="BC157" s="19" t="n">
        <v>0</v>
      </c>
      <c r="BD157" s="9" t="n">
        <v>0</v>
      </c>
      <c r="BE157" s="22">
        <f>(L157/30)*AU157</f>
        <v/>
      </c>
      <c r="BF157" s="15">
        <f>(L157/225)*((BB157*1.5)-(BC157*1.0))</f>
        <v/>
      </c>
      <c r="BG157" s="16">
        <f>(L157/225)*1.5*BD157</f>
        <v/>
      </c>
      <c r="BH157" s="15">
        <f>BF157+BG157</f>
        <v/>
      </c>
      <c r="BI157" s="17">
        <f>BE157+BH157</f>
        <v/>
      </c>
      <c r="BJ157" s="22">
        <f>IFERROR(VLOOKUP(B157, Resmi_Bordro_SGK!B:M, 11, FALSE), 0)</f>
        <v/>
      </c>
      <c r="BK157" s="18">
        <f>IFERROR(VLOOKUP(B157, Icra_Takip!A:E, 4, FALSE), 0)</f>
        <v/>
      </c>
      <c r="BL157" s="17">
        <f>IF(BI157&gt;BJ157, BI157-BJ157-BK157, 0)</f>
        <v/>
      </c>
      <c r="BM157" s="17">
        <f>BI157-BK157</f>
        <v/>
      </c>
    </row>
    <row r="158" ht="19" customHeight="1">
      <c r="A158" s="4" t="n">
        <v>155</v>
      </c>
      <c r="B158" s="5" t="inlineStr">
        <is>
          <t>31933222184</t>
        </is>
      </c>
      <c r="C158" s="6" t="inlineStr">
        <is>
          <t>FEVZİYE EREL</t>
        </is>
      </c>
      <c r="D158" s="4" t="inlineStr">
        <is>
          <t>K</t>
        </is>
      </c>
      <c r="E158" s="4" t="inlineStr"/>
      <c r="F158" s="4" t="inlineStr">
        <is>
          <t>10.02.2026</t>
        </is>
      </c>
      <c r="G158" s="4" t="inlineStr"/>
      <c r="H158" s="4" t="inlineStr">
        <is>
          <t>NORMAL</t>
        </is>
      </c>
      <c r="I158" s="4" t="inlineStr">
        <is>
          <t>MEVSİMLİK</t>
        </is>
      </c>
      <c r="J158" s="6" t="inlineStr">
        <is>
          <t>BALIK TEMİZLEME</t>
        </is>
      </c>
      <c r="K158" s="6" t="inlineStr">
        <is>
          <t>KARACABEY-HALİL</t>
        </is>
      </c>
      <c r="L158" s="7" t="n">
        <v>33000</v>
      </c>
      <c r="M158" s="4" t="inlineStr">
        <is>
          <t>FİDE KONSERVE</t>
        </is>
      </c>
      <c r="N158" s="4" t="inlineStr">
        <is>
          <t>ALIR</t>
        </is>
      </c>
      <c r="O158" s="8" t="n">
        <v>8</v>
      </c>
      <c r="P158" s="8" t="n">
        <v>8.5</v>
      </c>
      <c r="Q158" s="8" t="n">
        <v>8</v>
      </c>
      <c r="R158" s="9" t="n">
        <v>0</v>
      </c>
      <c r="S158" s="8" t="n">
        <v>7.5</v>
      </c>
      <c r="T158" s="8" t="n">
        <v>8</v>
      </c>
      <c r="U158" s="8" t="n">
        <v>8</v>
      </c>
      <c r="V158" s="8" t="n">
        <v>0</v>
      </c>
      <c r="W158" s="8" t="n">
        <v>8</v>
      </c>
      <c r="X158" s="8" t="n">
        <v>8.5</v>
      </c>
      <c r="Y158" s="9" t="n">
        <v>0</v>
      </c>
      <c r="Z158" s="8" t="n">
        <v>0</v>
      </c>
      <c r="AA158" s="8" t="n">
        <v>0</v>
      </c>
      <c r="AB158" s="8" t="n">
        <v>8.5</v>
      </c>
      <c r="AC158" s="8" t="n">
        <v>7.5</v>
      </c>
      <c r="AD158" s="8" t="n">
        <v>7.5</v>
      </c>
      <c r="AE158" s="8" t="n">
        <v>8.5</v>
      </c>
      <c r="AF158" s="9" t="n">
        <v>0</v>
      </c>
      <c r="AG158" s="8" t="n">
        <v>8</v>
      </c>
      <c r="AH158" s="8" t="n">
        <v>7.5</v>
      </c>
      <c r="AI158" s="8" t="n">
        <v>7.5</v>
      </c>
      <c r="AJ158" s="8" t="n">
        <v>0</v>
      </c>
      <c r="AK158" s="8" t="n">
        <v>0</v>
      </c>
      <c r="AL158" s="8" t="n">
        <v>0</v>
      </c>
      <c r="AM158" s="9" t="n">
        <v>0</v>
      </c>
      <c r="AN158" s="8" t="n">
        <v>0</v>
      </c>
      <c r="AO158" s="8" t="n">
        <v>0</v>
      </c>
      <c r="AP158" s="8" t="n">
        <v>0</v>
      </c>
      <c r="AQ158" s="8" t="n">
        <v>0</v>
      </c>
      <c r="AR158" s="8" t="n">
        <v>0</v>
      </c>
      <c r="AS158" s="8" t="n">
        <v>0</v>
      </c>
      <c r="AT158" s="10">
        <f>SUM(O158:AS158)</f>
        <v/>
      </c>
      <c r="AU158" s="11">
        <f>COUNTIF(O158:AS158, "&gt;0")</f>
        <v/>
      </c>
      <c r="AV158" s="12">
        <f>IF(AU158&gt;=5, 4, IF(AU158&gt;0, INT(AU158/6), 0))</f>
        <v/>
      </c>
      <c r="AW158" s="11" t="n">
        <v>0</v>
      </c>
      <c r="AX158" s="11" t="n">
        <v>0</v>
      </c>
      <c r="AY158" s="13">
        <f>MIN(31, AU158+AV158+AW158+AX158)</f>
        <v/>
      </c>
      <c r="AZ158" s="14">
        <f>31-AY158</f>
        <v/>
      </c>
      <c r="BA158" s="5">
        <f>IF(AX158&gt;0, "01-İstirahat", IF(AZ158&gt;0, "12-Birden Fazla", ""))</f>
        <v/>
      </c>
      <c r="BB158" s="10" t="n">
        <v>7</v>
      </c>
      <c r="BC158" s="8" t="n">
        <v>0</v>
      </c>
      <c r="BD158" s="9" t="n">
        <v>0</v>
      </c>
      <c r="BE158" s="7">
        <f>(L158/30)*AU158</f>
        <v/>
      </c>
      <c r="BF158" s="15">
        <f>(L158/225)*((BB158*1.5)-(BC158*1.0))</f>
        <v/>
      </c>
      <c r="BG158" s="16">
        <f>(L158/225)*1.5*BD158</f>
        <v/>
      </c>
      <c r="BH158" s="15">
        <f>BF158+BG158</f>
        <v/>
      </c>
      <c r="BI158" s="17">
        <f>BE158+BH158</f>
        <v/>
      </c>
      <c r="BJ158" s="7">
        <f>IFERROR(VLOOKUP(B158, Resmi_Bordro_SGK!B:M, 11, FALSE), 0)</f>
        <v/>
      </c>
      <c r="BK158" s="18">
        <f>IFERROR(VLOOKUP(B158, Icra_Takip!A:E, 4, FALSE), 0)</f>
        <v/>
      </c>
      <c r="BL158" s="17">
        <f>IF(BI158&gt;BJ158, BI158-BJ158-BK158, 0)</f>
        <v/>
      </c>
      <c r="BM158" s="17">
        <f>BI158-BK158</f>
        <v/>
      </c>
    </row>
    <row r="159" ht="19" customHeight="1">
      <c r="A159" s="4" t="n">
        <v>156</v>
      </c>
      <c r="B159" s="5" t="inlineStr">
        <is>
          <t>17431713232</t>
        </is>
      </c>
      <c r="C159" s="6" t="inlineStr">
        <is>
          <t>FİSUN ETİLER</t>
        </is>
      </c>
      <c r="D159" s="4" t="inlineStr">
        <is>
          <t>K</t>
        </is>
      </c>
      <c r="E159" s="4" t="inlineStr"/>
      <c r="F159" s="4" t="inlineStr">
        <is>
          <t>08.05.2026</t>
        </is>
      </c>
      <c r="G159" s="4" t="inlineStr"/>
      <c r="H159" s="4" t="inlineStr">
        <is>
          <t>NORMAL</t>
        </is>
      </c>
      <c r="I159" s="4" t="inlineStr">
        <is>
          <t>MEVSİMLİK</t>
        </is>
      </c>
      <c r="J159" s="6" t="inlineStr"/>
      <c r="K159" s="6" t="inlineStr">
        <is>
          <t>GÜVEN TURİZM-MKP</t>
        </is>
      </c>
      <c r="L159" s="7" t="n">
        <v>33000</v>
      </c>
      <c r="M159" s="4" t="inlineStr">
        <is>
          <t>FİDE KONSERVE</t>
        </is>
      </c>
      <c r="N159" s="4" t="inlineStr">
        <is>
          <t>ALIR</t>
        </is>
      </c>
      <c r="O159" s="19" t="n">
        <v>8</v>
      </c>
      <c r="P159" s="19" t="n">
        <v>8.5</v>
      </c>
      <c r="Q159" s="19" t="n">
        <v>8</v>
      </c>
      <c r="R159" s="9" t="n">
        <v>0</v>
      </c>
      <c r="S159" s="19" t="n">
        <v>7.5</v>
      </c>
      <c r="T159" s="19" t="n">
        <v>8</v>
      </c>
      <c r="U159" s="23" t="n">
        <v>8</v>
      </c>
      <c r="V159" s="19" t="n">
        <v>8</v>
      </c>
      <c r="W159" s="23" t="n">
        <v>7.5</v>
      </c>
      <c r="X159" s="19" t="n">
        <v>8.5</v>
      </c>
      <c r="Y159" s="9" t="n">
        <v>0</v>
      </c>
      <c r="Z159" s="19" t="n">
        <v>7.5</v>
      </c>
      <c r="AA159" s="19" t="n">
        <v>7.5</v>
      </c>
      <c r="AB159" s="19" t="n">
        <v>0</v>
      </c>
      <c r="AC159" s="19" t="n">
        <v>7.5</v>
      </c>
      <c r="AD159" s="19" t="n">
        <v>7.5</v>
      </c>
      <c r="AE159" s="19" t="n">
        <v>8.5</v>
      </c>
      <c r="AF159" s="9" t="n">
        <v>0</v>
      </c>
      <c r="AG159" s="19" t="n">
        <v>8</v>
      </c>
      <c r="AH159" s="19" t="n">
        <v>7.5</v>
      </c>
      <c r="AI159" s="19" t="n">
        <v>7.5</v>
      </c>
      <c r="AJ159" s="19" t="n">
        <v>0</v>
      </c>
      <c r="AK159" s="19" t="n">
        <v>0</v>
      </c>
      <c r="AL159" s="19" t="n">
        <v>0</v>
      </c>
      <c r="AM159" s="9" t="n">
        <v>0</v>
      </c>
      <c r="AN159" s="19" t="n">
        <v>0</v>
      </c>
      <c r="AO159" s="19" t="n">
        <v>0</v>
      </c>
      <c r="AP159" s="19" t="n">
        <v>0</v>
      </c>
      <c r="AQ159" s="19" t="n">
        <v>0</v>
      </c>
      <c r="AR159" s="19" t="n">
        <v>0</v>
      </c>
      <c r="AS159" s="19" t="n">
        <v>0</v>
      </c>
      <c r="AT159" s="10">
        <f>SUM(O159:AS159)</f>
        <v/>
      </c>
      <c r="AU159" s="20">
        <f>COUNTIF(O159:AS159, "&gt;0")</f>
        <v/>
      </c>
      <c r="AV159" s="12">
        <f>IF(AU159&gt;=5, 4, IF(AU159&gt;0, INT(AU159/6), 0))</f>
        <v/>
      </c>
      <c r="AW159" s="20" t="n">
        <v>0</v>
      </c>
      <c r="AX159" s="20" t="n">
        <v>0</v>
      </c>
      <c r="AY159" s="13">
        <f>MIN(31, AU159+AV159+AW159+AX159)</f>
        <v/>
      </c>
      <c r="AZ159" s="14">
        <f>31-AY159</f>
        <v/>
      </c>
      <c r="BA159" s="21">
        <f>IF(AX159&gt;0, "01-İstirahat", IF(AZ159&gt;0, "12-Birden Fazla", ""))</f>
        <v/>
      </c>
      <c r="BB159" s="10" t="n">
        <v>6</v>
      </c>
      <c r="BC159" s="19" t="n">
        <v>0</v>
      </c>
      <c r="BD159" s="9" t="n">
        <v>0</v>
      </c>
      <c r="BE159" s="22">
        <f>(L159/30)*AU159</f>
        <v/>
      </c>
      <c r="BF159" s="15">
        <f>(L159/225)*((BB159*1.5)-(BC159*1.0))</f>
        <v/>
      </c>
      <c r="BG159" s="16">
        <f>(L159/225)*1.5*BD159</f>
        <v/>
      </c>
      <c r="BH159" s="15">
        <f>BF159+BG159</f>
        <v/>
      </c>
      <c r="BI159" s="17">
        <f>BE159+BH159</f>
        <v/>
      </c>
      <c r="BJ159" s="22">
        <f>IFERROR(VLOOKUP(B159, Resmi_Bordro_SGK!B:M, 11, FALSE), 0)</f>
        <v/>
      </c>
      <c r="BK159" s="18">
        <f>IFERROR(VLOOKUP(B159, Icra_Takip!A:E, 4, FALSE), 0)</f>
        <v/>
      </c>
      <c r="BL159" s="17">
        <f>IF(BI159&gt;BJ159, BI159-BJ159-BK159, 0)</f>
        <v/>
      </c>
      <c r="BM159" s="17">
        <f>BI159-BK159</f>
        <v/>
      </c>
    </row>
    <row r="160" ht="19" customHeight="1">
      <c r="A160" s="4" t="n">
        <v>157</v>
      </c>
      <c r="B160" s="5" t="inlineStr"/>
      <c r="C160" s="6" t="inlineStr">
        <is>
          <t>FURKAN AKBAY</t>
        </is>
      </c>
      <c r="D160" s="4" t="inlineStr"/>
      <c r="E160" s="4" t="inlineStr"/>
      <c r="F160" s="4" t="inlineStr"/>
      <c r="G160" s="4" t="inlineStr"/>
      <c r="H160" s="4" t="inlineStr">
        <is>
          <t>NORMAL</t>
        </is>
      </c>
      <c r="I160" s="4" t="inlineStr">
        <is>
          <t>MEVSİMLİK</t>
        </is>
      </c>
      <c r="J160" s="6" t="inlineStr"/>
      <c r="K160" s="6" t="inlineStr"/>
      <c r="L160" s="7" t="n">
        <v>28075.5</v>
      </c>
      <c r="M160" s="4" t="inlineStr">
        <is>
          <t>FİDE KONSERVE</t>
        </is>
      </c>
      <c r="N160" s="4" t="inlineStr">
        <is>
          <t>ALIR</t>
        </is>
      </c>
      <c r="O160" s="8" t="n">
        <v>0</v>
      </c>
      <c r="P160" s="8" t="n">
        <v>0</v>
      </c>
      <c r="Q160" s="8" t="n">
        <v>0</v>
      </c>
      <c r="R160" s="9" t="n">
        <v>0</v>
      </c>
      <c r="S160" s="8" t="n">
        <v>0</v>
      </c>
      <c r="T160" s="8" t="n">
        <v>0</v>
      </c>
      <c r="U160" s="8" t="n">
        <v>0</v>
      </c>
      <c r="V160" s="8" t="n">
        <v>0</v>
      </c>
      <c r="W160" s="8" t="n">
        <v>0</v>
      </c>
      <c r="X160" s="8" t="n">
        <v>0</v>
      </c>
      <c r="Y160" s="9" t="n">
        <v>0</v>
      </c>
      <c r="Z160" s="8" t="n">
        <v>0</v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9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  <c r="AK160" s="8" t="n">
        <v>0</v>
      </c>
      <c r="AL160" s="8" t="n">
        <v>0</v>
      </c>
      <c r="AM160" s="9" t="n">
        <v>0</v>
      </c>
      <c r="AN160" s="8" t="n">
        <v>0</v>
      </c>
      <c r="AO160" s="8" t="n">
        <v>0</v>
      </c>
      <c r="AP160" s="8" t="n">
        <v>0</v>
      </c>
      <c r="AQ160" s="8" t="n">
        <v>0</v>
      </c>
      <c r="AR160" s="8" t="n">
        <v>0</v>
      </c>
      <c r="AS160" s="8" t="n">
        <v>0</v>
      </c>
      <c r="AT160" s="10">
        <f>SUM(O160:AS160)</f>
        <v/>
      </c>
      <c r="AU160" s="11">
        <f>COUNTIF(O160:AS160, "&gt;0")</f>
        <v/>
      </c>
      <c r="AV160" s="12">
        <f>IF(AU160&gt;=5, 4, IF(AU160&gt;0, INT(AU160/6), 0))</f>
        <v/>
      </c>
      <c r="AW160" s="11" t="n">
        <v>0</v>
      </c>
      <c r="AX160" s="11" t="n">
        <v>0</v>
      </c>
      <c r="AY160" s="13">
        <f>MIN(31, AU160+AV160+AW160+AX160)</f>
        <v/>
      </c>
      <c r="AZ160" s="14">
        <f>31-AY160</f>
        <v/>
      </c>
      <c r="BA160" s="5">
        <f>IF(AX160&gt;0, "01-İstirahat", IF(AZ160&gt;0, "12-Birden Fazla", ""))</f>
        <v/>
      </c>
      <c r="BB160" s="10" t="n">
        <v>0</v>
      </c>
      <c r="BC160" s="8" t="n">
        <v>0</v>
      </c>
      <c r="BD160" s="9" t="n">
        <v>0</v>
      </c>
      <c r="BE160" s="7">
        <f>(L160/30)*AU160</f>
        <v/>
      </c>
      <c r="BF160" s="15">
        <f>(L160/225)*((BB160*1.5)-(BC160*1.0))</f>
        <v/>
      </c>
      <c r="BG160" s="16">
        <f>(L160/225)*1.5*BD160</f>
        <v/>
      </c>
      <c r="BH160" s="15">
        <f>BF160+BG160</f>
        <v/>
      </c>
      <c r="BI160" s="17">
        <f>BE160+BH160</f>
        <v/>
      </c>
      <c r="BJ160" s="7">
        <f>IFERROR(VLOOKUP(B160, Resmi_Bordro_SGK!B:M, 11, FALSE), 0)</f>
        <v/>
      </c>
      <c r="BK160" s="18">
        <f>IFERROR(VLOOKUP(B160, Icra_Takip!A:E, 4, FALSE), 0)</f>
        <v/>
      </c>
      <c r="BL160" s="17">
        <f>IF(BI160&gt;BJ160, BI160-BJ160-BK160, 0)</f>
        <v/>
      </c>
      <c r="BM160" s="17">
        <f>BI160-BK160</f>
        <v/>
      </c>
    </row>
    <row r="161" ht="19" customHeight="1">
      <c r="A161" s="4" t="n">
        <v>158</v>
      </c>
      <c r="B161" s="5" t="inlineStr">
        <is>
          <t>11494663138</t>
        </is>
      </c>
      <c r="C161" s="6" t="inlineStr">
        <is>
          <t>GÖKTUĞ NAMAL</t>
        </is>
      </c>
      <c r="D161" s="4" t="inlineStr">
        <is>
          <t>E</t>
        </is>
      </c>
      <c r="E161" s="4" t="inlineStr"/>
      <c r="F161" s="4" t="inlineStr">
        <is>
          <t>27.07.2026</t>
        </is>
      </c>
      <c r="G161" s="4" t="inlineStr"/>
      <c r="H161" s="4" t="inlineStr">
        <is>
          <t>NORMAL</t>
        </is>
      </c>
      <c r="I161" s="4" t="inlineStr">
        <is>
          <t>MEVSİMLİK</t>
        </is>
      </c>
      <c r="J161" s="6" t="inlineStr">
        <is>
          <t>BALIK DOLUM</t>
        </is>
      </c>
      <c r="K161" s="6" t="inlineStr">
        <is>
          <t>SUSURLUK</t>
        </is>
      </c>
      <c r="L161" s="7" t="n">
        <v>33000</v>
      </c>
      <c r="M161" s="4" t="inlineStr">
        <is>
          <t>FİDE KONSERVE</t>
        </is>
      </c>
      <c r="N161" s="4" t="inlineStr">
        <is>
          <t>ALIR</t>
        </is>
      </c>
      <c r="O161" s="19" t="n">
        <v>0</v>
      </c>
      <c r="P161" s="19" t="n">
        <v>0</v>
      </c>
      <c r="Q161" s="19" t="n">
        <v>0</v>
      </c>
      <c r="R161" s="9" t="n">
        <v>0</v>
      </c>
      <c r="S161" s="19" t="n">
        <v>0</v>
      </c>
      <c r="T161" s="19" t="n">
        <v>0</v>
      </c>
      <c r="U161" s="19" t="n">
        <v>0</v>
      </c>
      <c r="V161" s="19" t="n">
        <v>0</v>
      </c>
      <c r="W161" s="19" t="n">
        <v>0</v>
      </c>
      <c r="X161" s="19" t="n">
        <v>0</v>
      </c>
      <c r="Y161" s="9" t="n">
        <v>0</v>
      </c>
      <c r="Z161" s="19" t="n">
        <v>0</v>
      </c>
      <c r="AA161" s="19" t="n">
        <v>0</v>
      </c>
      <c r="AB161" s="19" t="n">
        <v>0</v>
      </c>
      <c r="AC161" s="19" t="n">
        <v>0</v>
      </c>
      <c r="AD161" s="19" t="n">
        <v>0</v>
      </c>
      <c r="AE161" s="19" t="n">
        <v>0</v>
      </c>
      <c r="AF161" s="9" t="n">
        <v>0</v>
      </c>
      <c r="AG161" s="19" t="n">
        <v>0</v>
      </c>
      <c r="AH161" s="19" t="n">
        <v>0</v>
      </c>
      <c r="AI161" s="19" t="n">
        <v>0</v>
      </c>
      <c r="AJ161" s="19" t="n">
        <v>0</v>
      </c>
      <c r="AK161" s="19" t="n">
        <v>0</v>
      </c>
      <c r="AL161" s="19" t="n">
        <v>0</v>
      </c>
      <c r="AM161" s="9" t="n">
        <v>0</v>
      </c>
      <c r="AN161" s="19" t="n">
        <v>0</v>
      </c>
      <c r="AO161" s="19" t="n">
        <v>0</v>
      </c>
      <c r="AP161" s="19" t="n">
        <v>0</v>
      </c>
      <c r="AQ161" s="19" t="n">
        <v>0</v>
      </c>
      <c r="AR161" s="19" t="n">
        <v>0</v>
      </c>
      <c r="AS161" s="19" t="n">
        <v>0</v>
      </c>
      <c r="AT161" s="10">
        <f>SUM(O161:AS161)</f>
        <v/>
      </c>
      <c r="AU161" s="20">
        <f>COUNTIF(O161:AS161, "&gt;0")</f>
        <v/>
      </c>
      <c r="AV161" s="12">
        <f>IF(AU161&gt;=5, 4, IF(AU161&gt;0, INT(AU161/6), 0))</f>
        <v/>
      </c>
      <c r="AW161" s="20" t="n">
        <v>0</v>
      </c>
      <c r="AX161" s="20" t="n">
        <v>0</v>
      </c>
      <c r="AY161" s="13">
        <f>MIN(31, AU161+AV161+AW161+AX161)</f>
        <v/>
      </c>
      <c r="AZ161" s="14">
        <f>31-AY161</f>
        <v/>
      </c>
      <c r="BA161" s="21">
        <f>IF(AX161&gt;0, "01-İstirahat", IF(AZ161&gt;0, "12-Birden Fazla", ""))</f>
        <v/>
      </c>
      <c r="BB161" s="10" t="n">
        <v>0</v>
      </c>
      <c r="BC161" s="19" t="n">
        <v>0</v>
      </c>
      <c r="BD161" s="9" t="n">
        <v>0</v>
      </c>
      <c r="BE161" s="22">
        <f>(L161/30)*AU161</f>
        <v/>
      </c>
      <c r="BF161" s="15">
        <f>(L161/225)*((BB161*1.5)-(BC161*1.0))</f>
        <v/>
      </c>
      <c r="BG161" s="16">
        <f>(L161/225)*1.5*BD161</f>
        <v/>
      </c>
      <c r="BH161" s="15">
        <f>BF161+BG161</f>
        <v/>
      </c>
      <c r="BI161" s="17">
        <f>BE161+BH161</f>
        <v/>
      </c>
      <c r="BJ161" s="22">
        <f>IFERROR(VLOOKUP(B161, Resmi_Bordro_SGK!B:M, 11, FALSE), 0)</f>
        <v/>
      </c>
      <c r="BK161" s="18">
        <f>IFERROR(VLOOKUP(B161, Icra_Takip!A:E, 4, FALSE), 0)</f>
        <v/>
      </c>
      <c r="BL161" s="17">
        <f>IF(BI161&gt;BJ161, BI161-BJ161-BK161, 0)</f>
        <v/>
      </c>
      <c r="BM161" s="17">
        <f>BI161-BK161</f>
        <v/>
      </c>
    </row>
    <row r="162" ht="19" customHeight="1">
      <c r="A162" s="4" t="n">
        <v>159</v>
      </c>
      <c r="B162" s="5" t="inlineStr"/>
      <c r="C162" s="6" t="inlineStr">
        <is>
          <t>GÖZDE TÜRKÇÜ</t>
        </is>
      </c>
      <c r="D162" s="4" t="inlineStr"/>
      <c r="E162" s="4" t="inlineStr"/>
      <c r="F162" s="4" t="inlineStr"/>
      <c r="G162" s="4" t="inlineStr"/>
      <c r="H162" s="4" t="inlineStr">
        <is>
          <t>NORMAL</t>
        </is>
      </c>
      <c r="I162" s="4" t="inlineStr">
        <is>
          <t>MEVSİMLİK</t>
        </is>
      </c>
      <c r="J162" s="6" t="inlineStr"/>
      <c r="K162" s="6" t="inlineStr"/>
      <c r="L162" s="7" t="n">
        <v>28075.5</v>
      </c>
      <c r="M162" s="4" t="inlineStr">
        <is>
          <t>FİDE KONSERVE</t>
        </is>
      </c>
      <c r="N162" s="4" t="inlineStr">
        <is>
          <t>ALIR</t>
        </is>
      </c>
      <c r="O162" s="23" t="n">
        <v>1</v>
      </c>
      <c r="P162" s="8" t="n">
        <v>6.5</v>
      </c>
      <c r="Q162" s="8" t="n">
        <v>6.5</v>
      </c>
      <c r="R162" s="9" t="n">
        <v>0</v>
      </c>
      <c r="S162" s="8" t="n">
        <v>0</v>
      </c>
      <c r="T162" s="8" t="n">
        <v>0</v>
      </c>
      <c r="U162" s="8" t="n">
        <v>6.5</v>
      </c>
      <c r="V162" s="8" t="n">
        <v>0</v>
      </c>
      <c r="W162" s="8" t="n">
        <v>0</v>
      </c>
      <c r="X162" s="8" t="n">
        <v>0</v>
      </c>
      <c r="Y162" s="9" t="n">
        <v>0</v>
      </c>
      <c r="Z162" s="8" t="n">
        <v>0</v>
      </c>
      <c r="AA162" s="8" t="n">
        <v>0</v>
      </c>
      <c r="AB162" s="8" t="n">
        <v>0</v>
      </c>
      <c r="AC162" s="8" t="n">
        <v>0</v>
      </c>
      <c r="AD162" s="8" t="n">
        <v>0</v>
      </c>
      <c r="AE162" s="8" t="n">
        <v>6.5</v>
      </c>
      <c r="AF162" s="9" t="n">
        <v>0</v>
      </c>
      <c r="AG162" s="8" t="n">
        <v>0</v>
      </c>
      <c r="AH162" s="8" t="n">
        <v>0</v>
      </c>
      <c r="AI162" s="8" t="n">
        <v>0</v>
      </c>
      <c r="AJ162" s="8" t="n">
        <v>0</v>
      </c>
      <c r="AK162" s="8" t="n">
        <v>0</v>
      </c>
      <c r="AL162" s="8" t="n">
        <v>0</v>
      </c>
      <c r="AM162" s="9" t="n">
        <v>0</v>
      </c>
      <c r="AN162" s="8" t="n">
        <v>0</v>
      </c>
      <c r="AO162" s="8" t="n">
        <v>0</v>
      </c>
      <c r="AP162" s="8" t="n">
        <v>0</v>
      </c>
      <c r="AQ162" s="8" t="n">
        <v>0</v>
      </c>
      <c r="AR162" s="8" t="n">
        <v>0</v>
      </c>
      <c r="AS162" s="8" t="n">
        <v>0</v>
      </c>
      <c r="AT162" s="10">
        <f>SUM(O162:AS162)</f>
        <v/>
      </c>
      <c r="AU162" s="11">
        <f>COUNTIF(O162:AS162, "&gt;0")</f>
        <v/>
      </c>
      <c r="AV162" s="12">
        <f>IF(AU162&gt;=5, 4, IF(AU162&gt;0, INT(AU162/6), 0))</f>
        <v/>
      </c>
      <c r="AW162" s="11" t="n">
        <v>0</v>
      </c>
      <c r="AX162" s="11" t="n">
        <v>0</v>
      </c>
      <c r="AY162" s="13">
        <f>MIN(31, AU162+AV162+AW162+AX162)</f>
        <v/>
      </c>
      <c r="AZ162" s="14">
        <f>31-AY162</f>
        <v/>
      </c>
      <c r="BA162" s="5">
        <f>IF(AX162&gt;0, "01-İstirahat", IF(AZ162&gt;0, "12-Birden Fazla", ""))</f>
        <v/>
      </c>
      <c r="BB162" s="10" t="n">
        <v>4</v>
      </c>
      <c r="BC162" s="23" t="n">
        <v>10.5</v>
      </c>
      <c r="BD162" s="9" t="n">
        <v>0</v>
      </c>
      <c r="BE162" s="7">
        <f>(L162/30)*AU162</f>
        <v/>
      </c>
      <c r="BF162" s="15">
        <f>(L162/225)*((BB162*1.5)-(BC162*1.0))</f>
        <v/>
      </c>
      <c r="BG162" s="16">
        <f>(L162/225)*1.5*BD162</f>
        <v/>
      </c>
      <c r="BH162" s="15">
        <f>BF162+BG162</f>
        <v/>
      </c>
      <c r="BI162" s="17">
        <f>BE162+BH162</f>
        <v/>
      </c>
      <c r="BJ162" s="7">
        <f>IFERROR(VLOOKUP(B162, Resmi_Bordro_SGK!B:M, 11, FALSE), 0)</f>
        <v/>
      </c>
      <c r="BK162" s="18">
        <f>IFERROR(VLOOKUP(B162, Icra_Takip!A:E, 4, FALSE), 0)</f>
        <v/>
      </c>
      <c r="BL162" s="17">
        <f>IF(BI162&gt;BJ162, BI162-BJ162-BK162, 0)</f>
        <v/>
      </c>
      <c r="BM162" s="17">
        <f>BI162-BK162</f>
        <v/>
      </c>
    </row>
    <row r="163" ht="19" customHeight="1">
      <c r="A163" s="4" t="n">
        <v>160</v>
      </c>
      <c r="B163" s="5" t="inlineStr">
        <is>
          <t>33739783340</t>
        </is>
      </c>
      <c r="C163" s="6" t="inlineStr">
        <is>
          <t>GURBET DUMAN</t>
        </is>
      </c>
      <c r="D163" s="4" t="inlineStr">
        <is>
          <t>K</t>
        </is>
      </c>
      <c r="E163" s="4" t="inlineStr"/>
      <c r="F163" s="4" t="inlineStr">
        <is>
          <t>10.02.2026</t>
        </is>
      </c>
      <c r="G163" s="4" t="inlineStr"/>
      <c r="H163" s="4" t="inlineStr">
        <is>
          <t>NORMAL</t>
        </is>
      </c>
      <c r="I163" s="4" t="inlineStr">
        <is>
          <t>MEVSİMLİK</t>
        </is>
      </c>
      <c r="J163" s="6" t="inlineStr">
        <is>
          <t>BALIK TEMİZLEME</t>
        </is>
      </c>
      <c r="K163" s="6" t="inlineStr">
        <is>
          <t>KARACABEY-HALİL</t>
        </is>
      </c>
      <c r="L163" s="7" t="n">
        <v>33000</v>
      </c>
      <c r="M163" s="4" t="inlineStr">
        <is>
          <t>FİDE KONSERVE</t>
        </is>
      </c>
      <c r="N163" s="4" t="inlineStr">
        <is>
          <t>ALIR</t>
        </is>
      </c>
      <c r="O163" s="19" t="n">
        <v>8</v>
      </c>
      <c r="P163" s="19" t="n">
        <v>0</v>
      </c>
      <c r="Q163" s="19" t="n">
        <v>8</v>
      </c>
      <c r="R163" s="9" t="n">
        <v>0</v>
      </c>
      <c r="S163" s="19" t="n">
        <v>7.5</v>
      </c>
      <c r="T163" s="19" t="n">
        <v>0</v>
      </c>
      <c r="U163" s="19" t="n">
        <v>8</v>
      </c>
      <c r="V163" s="19" t="n">
        <v>8</v>
      </c>
      <c r="W163" s="19" t="n">
        <v>8.5</v>
      </c>
      <c r="X163" s="19" t="n">
        <v>0</v>
      </c>
      <c r="Y163" s="9" t="n">
        <v>0</v>
      </c>
      <c r="Z163" s="19" t="n">
        <v>0</v>
      </c>
      <c r="AA163" s="19" t="n">
        <v>7.5</v>
      </c>
      <c r="AB163" s="19" t="n">
        <v>8.5</v>
      </c>
      <c r="AC163" s="19" t="n">
        <v>0</v>
      </c>
      <c r="AD163" s="19" t="n">
        <v>0</v>
      </c>
      <c r="AE163" s="19" t="n">
        <v>0</v>
      </c>
      <c r="AF163" s="9" t="n">
        <v>0</v>
      </c>
      <c r="AG163" s="19" t="n">
        <v>0</v>
      </c>
      <c r="AH163" s="19" t="n">
        <v>0</v>
      </c>
      <c r="AI163" s="19" t="n">
        <v>0</v>
      </c>
      <c r="AJ163" s="19" t="n">
        <v>0</v>
      </c>
      <c r="AK163" s="19" t="n">
        <v>0</v>
      </c>
      <c r="AL163" s="19" t="n">
        <v>0</v>
      </c>
      <c r="AM163" s="9" t="n">
        <v>0</v>
      </c>
      <c r="AN163" s="19" t="n">
        <v>0</v>
      </c>
      <c r="AO163" s="19" t="n">
        <v>0</v>
      </c>
      <c r="AP163" s="19" t="n">
        <v>0</v>
      </c>
      <c r="AQ163" s="19" t="n">
        <v>0</v>
      </c>
      <c r="AR163" s="19" t="n">
        <v>0</v>
      </c>
      <c r="AS163" s="19" t="n">
        <v>0</v>
      </c>
      <c r="AT163" s="10">
        <f>SUM(O163:AS163)</f>
        <v/>
      </c>
      <c r="AU163" s="20">
        <f>COUNTIF(O163:AS163, "&gt;0")</f>
        <v/>
      </c>
      <c r="AV163" s="12">
        <f>IF(AU163&gt;=5, 4, IF(AU163&gt;0, INT(AU163/6), 0))</f>
        <v/>
      </c>
      <c r="AW163" s="20" t="n">
        <v>0</v>
      </c>
      <c r="AX163" s="20" t="n">
        <v>0</v>
      </c>
      <c r="AY163" s="13">
        <f>MIN(31, AU163+AV163+AW163+AX163)</f>
        <v/>
      </c>
      <c r="AZ163" s="14">
        <f>31-AY163</f>
        <v/>
      </c>
      <c r="BA163" s="21">
        <f>IF(AX163&gt;0, "01-İstirahat", IF(AZ163&gt;0, "12-Birden Fazla", ""))</f>
        <v/>
      </c>
      <c r="BB163" s="10" t="n">
        <v>4</v>
      </c>
      <c r="BC163" s="19" t="n">
        <v>0</v>
      </c>
      <c r="BD163" s="9" t="n">
        <v>0</v>
      </c>
      <c r="BE163" s="22">
        <f>(L163/30)*AU163</f>
        <v/>
      </c>
      <c r="BF163" s="15">
        <f>(L163/225)*((BB163*1.5)-(BC163*1.0))</f>
        <v/>
      </c>
      <c r="BG163" s="16">
        <f>(L163/225)*1.5*BD163</f>
        <v/>
      </c>
      <c r="BH163" s="15">
        <f>BF163+BG163</f>
        <v/>
      </c>
      <c r="BI163" s="17">
        <f>BE163+BH163</f>
        <v/>
      </c>
      <c r="BJ163" s="22">
        <f>IFERROR(VLOOKUP(B163, Resmi_Bordro_SGK!B:M, 11, FALSE), 0)</f>
        <v/>
      </c>
      <c r="BK163" s="18">
        <f>IFERROR(VLOOKUP(B163, Icra_Takip!A:E, 4, FALSE), 0)</f>
        <v/>
      </c>
      <c r="BL163" s="17">
        <f>IF(BI163&gt;BJ163, BI163-BJ163-BK163, 0)</f>
        <v/>
      </c>
      <c r="BM163" s="17">
        <f>BI163-BK163</f>
        <v/>
      </c>
    </row>
    <row r="164" ht="19" customHeight="1">
      <c r="A164" s="4" t="n">
        <v>161</v>
      </c>
      <c r="B164" s="5" t="inlineStr">
        <is>
          <t>34879002148</t>
        </is>
      </c>
      <c r="C164" s="6" t="inlineStr">
        <is>
          <t>GÜLAY CESUR</t>
        </is>
      </c>
      <c r="D164" s="4" t="inlineStr">
        <is>
          <t>K</t>
        </is>
      </c>
      <c r="E164" s="4" t="inlineStr"/>
      <c r="F164" s="4" t="inlineStr">
        <is>
          <t>13.07.2026</t>
        </is>
      </c>
      <c r="G164" s="4" t="inlineStr"/>
      <c r="H164" s="4" t="inlineStr">
        <is>
          <t>NORMAL</t>
        </is>
      </c>
      <c r="I164" s="4" t="inlineStr">
        <is>
          <t>MEVSİMLİK</t>
        </is>
      </c>
      <c r="J164" s="6" t="inlineStr">
        <is>
          <t>ÜRETİM</t>
        </is>
      </c>
      <c r="K164" s="6" t="inlineStr">
        <is>
          <t>KARACABEY-HALİL</t>
        </is>
      </c>
      <c r="L164" s="7" t="n">
        <v>28075.5</v>
      </c>
      <c r="M164" s="4" t="inlineStr">
        <is>
          <t>FİDE KONSERVE</t>
        </is>
      </c>
      <c r="N164" s="4" t="inlineStr">
        <is>
          <t>ALIR</t>
        </is>
      </c>
      <c r="O164" s="8" t="n">
        <v>0</v>
      </c>
      <c r="P164" s="8" t="n">
        <v>0</v>
      </c>
      <c r="Q164" s="8" t="n">
        <v>0</v>
      </c>
      <c r="R164" s="9" t="n">
        <v>0</v>
      </c>
      <c r="S164" s="8" t="n">
        <v>0</v>
      </c>
      <c r="T164" s="8" t="n">
        <v>0</v>
      </c>
      <c r="U164" s="8" t="n">
        <v>0</v>
      </c>
      <c r="V164" s="8" t="n">
        <v>0</v>
      </c>
      <c r="W164" s="8" t="n">
        <v>0</v>
      </c>
      <c r="X164" s="8" t="n">
        <v>0</v>
      </c>
      <c r="Y164" s="9" t="n">
        <v>0</v>
      </c>
      <c r="Z164" s="8" t="n">
        <v>0</v>
      </c>
      <c r="AA164" s="8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9" t="n">
        <v>0</v>
      </c>
      <c r="AG164" s="8" t="n">
        <v>0</v>
      </c>
      <c r="AH164" s="8" t="n">
        <v>0</v>
      </c>
      <c r="AI164" s="8" t="n">
        <v>0</v>
      </c>
      <c r="AJ164" s="8" t="n">
        <v>0</v>
      </c>
      <c r="AK164" s="8" t="n">
        <v>0</v>
      </c>
      <c r="AL164" s="8" t="n">
        <v>0</v>
      </c>
      <c r="AM164" s="9" t="n">
        <v>0</v>
      </c>
      <c r="AN164" s="8" t="n">
        <v>0</v>
      </c>
      <c r="AO164" s="8" t="n">
        <v>0</v>
      </c>
      <c r="AP164" s="8" t="n">
        <v>0</v>
      </c>
      <c r="AQ164" s="8" t="n">
        <v>0</v>
      </c>
      <c r="AR164" s="8" t="n">
        <v>0</v>
      </c>
      <c r="AS164" s="8" t="n">
        <v>0</v>
      </c>
      <c r="AT164" s="10">
        <f>SUM(O164:AS164)</f>
        <v/>
      </c>
      <c r="AU164" s="11">
        <f>COUNTIF(O164:AS164, "&gt;0")</f>
        <v/>
      </c>
      <c r="AV164" s="12">
        <f>IF(AU164&gt;=5, 4, IF(AU164&gt;0, INT(AU164/6), 0))</f>
        <v/>
      </c>
      <c r="AW164" s="11" t="n">
        <v>0</v>
      </c>
      <c r="AX164" s="11" t="n">
        <v>0</v>
      </c>
      <c r="AY164" s="13">
        <f>MIN(31, AU164+AV164+AW164+AX164)</f>
        <v/>
      </c>
      <c r="AZ164" s="14">
        <f>31-AY164</f>
        <v/>
      </c>
      <c r="BA164" s="5">
        <f>IF(AX164&gt;0, "01-İstirahat", IF(AZ164&gt;0, "12-Birden Fazla", ""))</f>
        <v/>
      </c>
      <c r="BB164" s="10" t="n">
        <v>0</v>
      </c>
      <c r="BC164" s="8" t="n">
        <v>0</v>
      </c>
      <c r="BD164" s="9" t="n">
        <v>0</v>
      </c>
      <c r="BE164" s="7">
        <f>(L164/30)*AU164</f>
        <v/>
      </c>
      <c r="BF164" s="15">
        <f>(L164/225)*((BB164*1.5)-(BC164*1.0))</f>
        <v/>
      </c>
      <c r="BG164" s="16">
        <f>(L164/225)*1.5*BD164</f>
        <v/>
      </c>
      <c r="BH164" s="15">
        <f>BF164+BG164</f>
        <v/>
      </c>
      <c r="BI164" s="17">
        <f>BE164+BH164</f>
        <v/>
      </c>
      <c r="BJ164" s="7">
        <f>IFERROR(VLOOKUP(B164, Resmi_Bordro_SGK!B:M, 11, FALSE), 0)</f>
        <v/>
      </c>
      <c r="BK164" s="18">
        <f>IFERROR(VLOOKUP(B164, Icra_Takip!A:E, 4, FALSE), 0)</f>
        <v/>
      </c>
      <c r="BL164" s="17">
        <f>IF(BI164&gt;BJ164, BI164-BJ164-BK164, 0)</f>
        <v/>
      </c>
      <c r="BM164" s="17">
        <f>BI164-BK164</f>
        <v/>
      </c>
    </row>
    <row r="165" ht="19" customHeight="1">
      <c r="A165" s="4" t="n">
        <v>162</v>
      </c>
      <c r="B165" s="5" t="inlineStr">
        <is>
          <t>33379057108</t>
        </is>
      </c>
      <c r="C165" s="6" t="inlineStr">
        <is>
          <t>GÜLAY GÜNDOĞDU</t>
        </is>
      </c>
      <c r="D165" s="4" t="inlineStr">
        <is>
          <t>K</t>
        </is>
      </c>
      <c r="E165" s="4" t="inlineStr"/>
      <c r="F165" s="4" t="inlineStr">
        <is>
          <t>27.07.2025</t>
        </is>
      </c>
      <c r="G165" s="4" t="inlineStr"/>
      <c r="H165" s="4" t="inlineStr">
        <is>
          <t>NORMAL</t>
        </is>
      </c>
      <c r="I165" s="4" t="inlineStr">
        <is>
          <t>MEVSİMLİK</t>
        </is>
      </c>
      <c r="J165" s="6" t="inlineStr">
        <is>
          <t>BALIK TEMİZLEME</t>
        </is>
      </c>
      <c r="K165" s="6" t="inlineStr">
        <is>
          <t>BALIKESİR</t>
        </is>
      </c>
      <c r="L165" s="7" t="n">
        <v>33000</v>
      </c>
      <c r="M165" s="4" t="inlineStr">
        <is>
          <t>FİDE KONSERVE</t>
        </is>
      </c>
      <c r="N165" s="4" t="inlineStr">
        <is>
          <t>ALIR</t>
        </is>
      </c>
      <c r="O165" s="19" t="n">
        <v>8</v>
      </c>
      <c r="P165" s="19" t="n">
        <v>8</v>
      </c>
      <c r="Q165" s="19" t="n">
        <v>8</v>
      </c>
      <c r="R165" s="9" t="n">
        <v>0</v>
      </c>
      <c r="S165" s="19" t="n">
        <v>7.5</v>
      </c>
      <c r="T165" s="19" t="n">
        <v>8</v>
      </c>
      <c r="U165" s="19" t="n">
        <v>8</v>
      </c>
      <c r="V165" s="19" t="n">
        <v>8</v>
      </c>
      <c r="W165" s="19" t="n">
        <v>0</v>
      </c>
      <c r="X165" s="19" t="n">
        <v>0</v>
      </c>
      <c r="Y165" s="9" t="n">
        <v>0</v>
      </c>
      <c r="Z165" s="19" t="n">
        <v>7.5</v>
      </c>
      <c r="AA165" s="19" t="n">
        <v>7.5</v>
      </c>
      <c r="AB165" s="19" t="n">
        <v>8.5</v>
      </c>
      <c r="AC165" s="19" t="n">
        <v>0</v>
      </c>
      <c r="AD165" s="19" t="n">
        <v>7.5</v>
      </c>
      <c r="AE165" s="19" t="n">
        <v>8.5</v>
      </c>
      <c r="AF165" s="9" t="n">
        <v>0</v>
      </c>
      <c r="AG165" s="19" t="n">
        <v>0</v>
      </c>
      <c r="AH165" s="19" t="n">
        <v>7.5</v>
      </c>
      <c r="AI165" s="19" t="n">
        <v>7.5</v>
      </c>
      <c r="AJ165" s="19" t="n">
        <v>0</v>
      </c>
      <c r="AK165" s="19" t="n">
        <v>0</v>
      </c>
      <c r="AL165" s="19" t="n">
        <v>0</v>
      </c>
      <c r="AM165" s="9" t="n">
        <v>0</v>
      </c>
      <c r="AN165" s="19" t="n">
        <v>0</v>
      </c>
      <c r="AO165" s="19" t="n">
        <v>0</v>
      </c>
      <c r="AP165" s="19" t="n">
        <v>0</v>
      </c>
      <c r="AQ165" s="19" t="n">
        <v>0</v>
      </c>
      <c r="AR165" s="19" t="n">
        <v>0</v>
      </c>
      <c r="AS165" s="19" t="n">
        <v>0</v>
      </c>
      <c r="AT165" s="10">
        <f>SUM(O165:AS165)</f>
        <v/>
      </c>
      <c r="AU165" s="20">
        <f>COUNTIF(O165:AS165, "&gt;0")</f>
        <v/>
      </c>
      <c r="AV165" s="12">
        <f>IF(AU165&gt;=5, 4, IF(AU165&gt;0, INT(AU165/6), 0))</f>
        <v/>
      </c>
      <c r="AW165" s="20" t="n">
        <v>2</v>
      </c>
      <c r="AX165" s="20" t="n">
        <v>0</v>
      </c>
      <c r="AY165" s="13">
        <f>MIN(31, AU165+AV165+AW165+AX165)</f>
        <v/>
      </c>
      <c r="AZ165" s="14">
        <f>31-AY165</f>
        <v/>
      </c>
      <c r="BA165" s="21">
        <f>IF(AX165&gt;0, "01-İstirahat", IF(AZ165&gt;0, "12-Birden Fazla", ""))</f>
        <v/>
      </c>
      <c r="BB165" s="10" t="n">
        <v>5</v>
      </c>
      <c r="BC165" s="19" t="n">
        <v>0</v>
      </c>
      <c r="BD165" s="9" t="n">
        <v>0</v>
      </c>
      <c r="BE165" s="22">
        <f>(L165/30)*AU165</f>
        <v/>
      </c>
      <c r="BF165" s="15">
        <f>(L165/225)*((BB165*1.5)-(BC165*1.0))</f>
        <v/>
      </c>
      <c r="BG165" s="16">
        <f>(L165/225)*1.5*BD165</f>
        <v/>
      </c>
      <c r="BH165" s="15">
        <f>BF165+BG165</f>
        <v/>
      </c>
      <c r="BI165" s="17">
        <f>BE165+BH165</f>
        <v/>
      </c>
      <c r="BJ165" s="22">
        <f>IFERROR(VLOOKUP(B165, Resmi_Bordro_SGK!B:M, 11, FALSE), 0)</f>
        <v/>
      </c>
      <c r="BK165" s="18">
        <f>IFERROR(VLOOKUP(B165, Icra_Takip!A:E, 4, FALSE), 0)</f>
        <v/>
      </c>
      <c r="BL165" s="17">
        <f>IF(BI165&gt;BJ165, BI165-BJ165-BK165, 0)</f>
        <v/>
      </c>
      <c r="BM165" s="17">
        <f>BI165-BK165</f>
        <v/>
      </c>
    </row>
    <row r="166" ht="19" customHeight="1">
      <c r="A166" s="4" t="n">
        <v>163</v>
      </c>
      <c r="B166" s="5" t="inlineStr">
        <is>
          <t>24541318660</t>
        </is>
      </c>
      <c r="C166" s="6" t="inlineStr">
        <is>
          <t>GÜLCAN BİLGİÇ</t>
        </is>
      </c>
      <c r="D166" s="4" t="inlineStr">
        <is>
          <t>K</t>
        </is>
      </c>
      <c r="E166" s="4" t="inlineStr"/>
      <c r="F166" s="4" t="inlineStr">
        <is>
          <t>10.11.2022</t>
        </is>
      </c>
      <c r="G166" s="4" t="inlineStr"/>
      <c r="H166" s="4" t="inlineStr">
        <is>
          <t>NORMAL</t>
        </is>
      </c>
      <c r="I166" s="4" t="inlineStr">
        <is>
          <t>MEVSİMLİK</t>
        </is>
      </c>
      <c r="J166" s="6" t="inlineStr">
        <is>
          <t>AMBAR</t>
        </is>
      </c>
      <c r="K166" s="6" t="inlineStr">
        <is>
          <t>BİGADİÇ</t>
        </is>
      </c>
      <c r="L166" s="7" t="n">
        <v>28075.5</v>
      </c>
      <c r="M166" s="4" t="inlineStr">
        <is>
          <t>FİDE KONSERVE</t>
        </is>
      </c>
      <c r="N166" s="4" t="inlineStr">
        <is>
          <t>ALIR</t>
        </is>
      </c>
      <c r="O166" s="8" t="n">
        <v>7.5</v>
      </c>
      <c r="P166" s="8" t="n">
        <v>7.5</v>
      </c>
      <c r="Q166" s="8" t="n">
        <v>7.5</v>
      </c>
      <c r="R166" s="9" t="n">
        <v>0</v>
      </c>
      <c r="S166" s="8" t="n">
        <v>7.5</v>
      </c>
      <c r="T166" s="8" t="n">
        <v>7.5</v>
      </c>
      <c r="U166" s="8" t="n">
        <v>7.5</v>
      </c>
      <c r="V166" s="8" t="n">
        <v>7.5</v>
      </c>
      <c r="W166" s="8" t="n">
        <v>7.5</v>
      </c>
      <c r="X166" s="8" t="n">
        <v>7.5</v>
      </c>
      <c r="Y166" s="9" t="n">
        <v>0</v>
      </c>
      <c r="Z166" s="8" t="n">
        <v>8.5</v>
      </c>
      <c r="AA166" s="8" t="n">
        <v>7.5</v>
      </c>
      <c r="AB166" s="8" t="n">
        <v>7.5</v>
      </c>
      <c r="AC166" s="8" t="n">
        <v>8</v>
      </c>
      <c r="AD166" s="8" t="n">
        <v>7.5</v>
      </c>
      <c r="AE166" s="8" t="n">
        <v>7.5</v>
      </c>
      <c r="AF166" s="9" t="n">
        <v>0</v>
      </c>
      <c r="AG166" s="8" t="n">
        <v>7.5</v>
      </c>
      <c r="AH166" s="8" t="n">
        <v>7.5</v>
      </c>
      <c r="AI166" s="8" t="n">
        <v>7.5</v>
      </c>
      <c r="AJ166" s="8" t="n">
        <v>0</v>
      </c>
      <c r="AK166" s="8" t="n">
        <v>0</v>
      </c>
      <c r="AL166" s="8" t="n">
        <v>0</v>
      </c>
      <c r="AM166" s="9" t="n">
        <v>0</v>
      </c>
      <c r="AN166" s="8" t="n">
        <v>0</v>
      </c>
      <c r="AO166" s="8" t="n">
        <v>0</v>
      </c>
      <c r="AP166" s="8" t="n">
        <v>0</v>
      </c>
      <c r="AQ166" s="8" t="n">
        <v>0</v>
      </c>
      <c r="AR166" s="8" t="n">
        <v>0</v>
      </c>
      <c r="AS166" s="8" t="n">
        <v>0</v>
      </c>
      <c r="AT166" s="10">
        <f>SUM(O166:AS166)</f>
        <v/>
      </c>
      <c r="AU166" s="11">
        <f>COUNTIF(O166:AS166, "&gt;0")</f>
        <v/>
      </c>
      <c r="AV166" s="12">
        <f>IF(AU166&gt;=5, 4, IF(AU166&gt;0, INT(AU166/6), 0))</f>
        <v/>
      </c>
      <c r="AW166" s="11" t="n">
        <v>0</v>
      </c>
      <c r="AX166" s="11" t="n">
        <v>0</v>
      </c>
      <c r="AY166" s="13">
        <f>MIN(31, AU166+AV166+AW166+AX166)</f>
        <v/>
      </c>
      <c r="AZ166" s="14">
        <f>31-AY166</f>
        <v/>
      </c>
      <c r="BA166" s="5">
        <f>IF(AX166&gt;0, "01-İstirahat", IF(AZ166&gt;0, "12-Birden Fazla", ""))</f>
        <v/>
      </c>
      <c r="BB166" s="10" t="n">
        <v>1.5</v>
      </c>
      <c r="BC166" s="8" t="n">
        <v>0</v>
      </c>
      <c r="BD166" s="9" t="n">
        <v>0</v>
      </c>
      <c r="BE166" s="7">
        <f>(L166/30)*AU166</f>
        <v/>
      </c>
      <c r="BF166" s="15">
        <f>(L166/225)*((BB166*1.5)-(BC166*1.0))</f>
        <v/>
      </c>
      <c r="BG166" s="16">
        <f>(L166/225)*1.5*BD166</f>
        <v/>
      </c>
      <c r="BH166" s="15">
        <f>BF166+BG166</f>
        <v/>
      </c>
      <c r="BI166" s="17">
        <f>BE166+BH166</f>
        <v/>
      </c>
      <c r="BJ166" s="7">
        <f>IFERROR(VLOOKUP(B166, Resmi_Bordro_SGK!B:M, 11, FALSE), 0)</f>
        <v/>
      </c>
      <c r="BK166" s="18">
        <f>IFERROR(VLOOKUP(B166, Icra_Takip!A:E, 4, FALSE), 0)</f>
        <v/>
      </c>
      <c r="BL166" s="17">
        <f>IF(BI166&gt;BJ166, BI166-BJ166-BK166, 0)</f>
        <v/>
      </c>
      <c r="BM166" s="17">
        <f>BI166-BK166</f>
        <v/>
      </c>
    </row>
    <row r="167" ht="19" customHeight="1">
      <c r="A167" s="4" t="n">
        <v>164</v>
      </c>
      <c r="B167" s="5" t="inlineStr">
        <is>
          <t>33211034366</t>
        </is>
      </c>
      <c r="C167" s="6" t="inlineStr">
        <is>
          <t>GÜLER ÇAPKIN</t>
        </is>
      </c>
      <c r="D167" s="4" t="inlineStr">
        <is>
          <t>K</t>
        </is>
      </c>
      <c r="E167" s="4" t="inlineStr"/>
      <c r="F167" s="4" t="inlineStr">
        <is>
          <t>10.02.2026</t>
        </is>
      </c>
      <c r="G167" s="4" t="inlineStr"/>
      <c r="H167" s="4" t="inlineStr">
        <is>
          <t>NORMAL</t>
        </is>
      </c>
      <c r="I167" s="4" t="inlineStr">
        <is>
          <t>MEVSİMLİK</t>
        </is>
      </c>
      <c r="J167" s="6" t="inlineStr">
        <is>
          <t>BALIK TEMİZLEME</t>
        </is>
      </c>
      <c r="K167" s="6" t="inlineStr">
        <is>
          <t>KARACABEY</t>
        </is>
      </c>
      <c r="L167" s="7" t="n">
        <v>33000</v>
      </c>
      <c r="M167" s="4" t="inlineStr">
        <is>
          <t>FİDE KONSERVE</t>
        </is>
      </c>
      <c r="N167" s="4" t="inlineStr">
        <is>
          <t>ALIR</t>
        </is>
      </c>
      <c r="O167" s="19" t="n">
        <v>8</v>
      </c>
      <c r="P167" s="19" t="n">
        <v>0</v>
      </c>
      <c r="Q167" s="19" t="n">
        <v>0</v>
      </c>
      <c r="R167" s="9" t="n">
        <v>0</v>
      </c>
      <c r="S167" s="19" t="n">
        <v>7.5</v>
      </c>
      <c r="T167" s="19" t="n">
        <v>8</v>
      </c>
      <c r="U167" s="19" t="n">
        <v>8</v>
      </c>
      <c r="V167" s="19" t="n">
        <v>8</v>
      </c>
      <c r="W167" s="19" t="n">
        <v>8.5</v>
      </c>
      <c r="X167" s="19" t="n">
        <v>8.5</v>
      </c>
      <c r="Y167" s="9" t="n">
        <v>0</v>
      </c>
      <c r="Z167" s="19" t="n">
        <v>7.5</v>
      </c>
      <c r="AA167" s="19" t="n">
        <v>7.5</v>
      </c>
      <c r="AB167" s="19" t="n">
        <v>8.5</v>
      </c>
      <c r="AC167" s="19" t="n">
        <v>7.5</v>
      </c>
      <c r="AD167" s="19" t="n">
        <v>7.5</v>
      </c>
      <c r="AE167" s="19" t="n">
        <v>8.5</v>
      </c>
      <c r="AF167" s="9" t="n">
        <v>0</v>
      </c>
      <c r="AG167" s="19" t="n">
        <v>0</v>
      </c>
      <c r="AH167" s="19" t="n">
        <v>7.5</v>
      </c>
      <c r="AI167" s="19" t="n">
        <v>7.5</v>
      </c>
      <c r="AJ167" s="19" t="n">
        <v>0</v>
      </c>
      <c r="AK167" s="19" t="n">
        <v>0</v>
      </c>
      <c r="AL167" s="19" t="n">
        <v>0</v>
      </c>
      <c r="AM167" s="9" t="n">
        <v>0</v>
      </c>
      <c r="AN167" s="19" t="n">
        <v>0</v>
      </c>
      <c r="AO167" s="19" t="n">
        <v>0</v>
      </c>
      <c r="AP167" s="19" t="n">
        <v>0</v>
      </c>
      <c r="AQ167" s="19" t="n">
        <v>0</v>
      </c>
      <c r="AR167" s="19" t="n">
        <v>0</v>
      </c>
      <c r="AS167" s="19" t="n">
        <v>0</v>
      </c>
      <c r="AT167" s="10">
        <f>SUM(O167:AS167)</f>
        <v/>
      </c>
      <c r="AU167" s="20">
        <f>COUNTIF(O167:AS167, "&gt;0")</f>
        <v/>
      </c>
      <c r="AV167" s="12">
        <f>IF(AU167&gt;=5, 4, IF(AU167&gt;0, INT(AU167/6), 0))</f>
        <v/>
      </c>
      <c r="AW167" s="20" t="n">
        <v>0</v>
      </c>
      <c r="AX167" s="20" t="n">
        <v>0</v>
      </c>
      <c r="AY167" s="13">
        <f>MIN(31, AU167+AV167+AW167+AX167)</f>
        <v/>
      </c>
      <c r="AZ167" s="14">
        <f>31-AY167</f>
        <v/>
      </c>
      <c r="BA167" s="21">
        <f>IF(AX167&gt;0, "01-İstirahat", IF(AZ167&gt;0, "12-Birden Fazla", ""))</f>
        <v/>
      </c>
      <c r="BB167" s="10" t="n">
        <v>6</v>
      </c>
      <c r="BC167" s="19" t="n">
        <v>0</v>
      </c>
      <c r="BD167" s="9" t="n">
        <v>0</v>
      </c>
      <c r="BE167" s="22">
        <f>(L167/30)*AU167</f>
        <v/>
      </c>
      <c r="BF167" s="15">
        <f>(L167/225)*((BB167*1.5)-(BC167*1.0))</f>
        <v/>
      </c>
      <c r="BG167" s="16">
        <f>(L167/225)*1.5*BD167</f>
        <v/>
      </c>
      <c r="BH167" s="15">
        <f>BF167+BG167</f>
        <v/>
      </c>
      <c r="BI167" s="17">
        <f>BE167+BH167</f>
        <v/>
      </c>
      <c r="BJ167" s="22">
        <f>IFERROR(VLOOKUP(B167, Resmi_Bordro_SGK!B:M, 11, FALSE), 0)</f>
        <v/>
      </c>
      <c r="BK167" s="18">
        <f>IFERROR(VLOOKUP(B167, Icra_Takip!A:E, 4, FALSE), 0)</f>
        <v/>
      </c>
      <c r="BL167" s="17">
        <f>IF(BI167&gt;BJ167, BI167-BJ167-BK167, 0)</f>
        <v/>
      </c>
      <c r="BM167" s="17">
        <f>BI167-BK167</f>
        <v/>
      </c>
    </row>
    <row r="168" ht="19" customHeight="1">
      <c r="A168" s="4" t="n">
        <v>165</v>
      </c>
      <c r="B168" s="5" t="inlineStr">
        <is>
          <t>15041774032</t>
        </is>
      </c>
      <c r="C168" s="6" t="inlineStr">
        <is>
          <t>GÜLPERİ KALENDER</t>
        </is>
      </c>
      <c r="D168" s="4" t="inlineStr">
        <is>
          <t>K</t>
        </is>
      </c>
      <c r="E168" s="4" t="inlineStr"/>
      <c r="F168" s="4" t="inlineStr">
        <is>
          <t>28.04.2026</t>
        </is>
      </c>
      <c r="G168" s="4" t="inlineStr"/>
      <c r="H168" s="4" t="inlineStr">
        <is>
          <t>NORMAL</t>
        </is>
      </c>
      <c r="I168" s="4" t="inlineStr">
        <is>
          <t>MEVSİMLİK</t>
        </is>
      </c>
      <c r="J168" s="6" t="inlineStr">
        <is>
          <t>BALIK TEMİZLEME</t>
        </is>
      </c>
      <c r="K168" s="6" t="inlineStr">
        <is>
          <t>BANDIRMA</t>
        </is>
      </c>
      <c r="L168" s="7" t="n">
        <v>33000</v>
      </c>
      <c r="M168" s="4" t="inlineStr">
        <is>
          <t>FİDE KONSERVE</t>
        </is>
      </c>
      <c r="N168" s="4" t="inlineStr">
        <is>
          <t>ALIR</t>
        </is>
      </c>
      <c r="O168" s="8" t="n">
        <v>8</v>
      </c>
      <c r="P168" s="8" t="n">
        <v>8.5</v>
      </c>
      <c r="Q168" s="8" t="n">
        <v>8</v>
      </c>
      <c r="R168" s="9" t="n">
        <v>0</v>
      </c>
      <c r="S168" s="8" t="n">
        <v>0</v>
      </c>
      <c r="T168" s="8" t="n">
        <v>0</v>
      </c>
      <c r="U168" s="8" t="n">
        <v>8</v>
      </c>
      <c r="V168" s="8" t="n">
        <v>8</v>
      </c>
      <c r="W168" s="8" t="n">
        <v>8.5</v>
      </c>
      <c r="X168" s="8" t="n">
        <v>0</v>
      </c>
      <c r="Y168" s="9" t="n">
        <v>0</v>
      </c>
      <c r="Z168" s="8" t="n">
        <v>7.5</v>
      </c>
      <c r="AA168" s="8" t="n">
        <v>7.5</v>
      </c>
      <c r="AB168" s="8" t="n">
        <v>8.5</v>
      </c>
      <c r="AC168" s="8" t="n">
        <v>7.5</v>
      </c>
      <c r="AD168" s="8" t="n">
        <v>8</v>
      </c>
      <c r="AE168" s="8" t="n">
        <v>8.5</v>
      </c>
      <c r="AF168" s="9" t="n">
        <v>0</v>
      </c>
      <c r="AG168" s="8" t="n">
        <v>8.5</v>
      </c>
      <c r="AH168" s="8" t="n">
        <v>7.5</v>
      </c>
      <c r="AI168" s="8" t="n">
        <v>7.5</v>
      </c>
      <c r="AJ168" s="8" t="n">
        <v>0</v>
      </c>
      <c r="AK168" s="8" t="n">
        <v>0</v>
      </c>
      <c r="AL168" s="8" t="n">
        <v>0</v>
      </c>
      <c r="AM168" s="9" t="n">
        <v>0</v>
      </c>
      <c r="AN168" s="8" t="n">
        <v>0</v>
      </c>
      <c r="AO168" s="8" t="n">
        <v>0</v>
      </c>
      <c r="AP168" s="8" t="n">
        <v>0</v>
      </c>
      <c r="AQ168" s="8" t="n">
        <v>0</v>
      </c>
      <c r="AR168" s="8" t="n">
        <v>0</v>
      </c>
      <c r="AS168" s="8" t="n">
        <v>0</v>
      </c>
      <c r="AT168" s="10">
        <f>SUM(O168:AS168)</f>
        <v/>
      </c>
      <c r="AU168" s="11">
        <f>COUNTIF(O168:AS168, "&gt;0")</f>
        <v/>
      </c>
      <c r="AV168" s="12">
        <f>IF(AU168&gt;=5, 4, IF(AU168&gt;0, INT(AU168/6), 0))</f>
        <v/>
      </c>
      <c r="AW168" s="11" t="n">
        <v>0</v>
      </c>
      <c r="AX168" s="11" t="n">
        <v>0</v>
      </c>
      <c r="AY168" s="13">
        <f>MIN(31, AU168+AV168+AW168+AX168)</f>
        <v/>
      </c>
      <c r="AZ168" s="14">
        <f>31-AY168</f>
        <v/>
      </c>
      <c r="BA168" s="5">
        <f>IF(AX168&gt;0, "01-İstirahat", IF(AZ168&gt;0, "12-Birden Fazla", ""))</f>
        <v/>
      </c>
      <c r="BB168" s="10" t="n">
        <v>7.5</v>
      </c>
      <c r="BC168" s="8" t="n">
        <v>0</v>
      </c>
      <c r="BD168" s="9" t="n">
        <v>0</v>
      </c>
      <c r="BE168" s="7">
        <f>(L168/30)*AU168</f>
        <v/>
      </c>
      <c r="BF168" s="15">
        <f>(L168/225)*((BB168*1.5)-(BC168*1.0))</f>
        <v/>
      </c>
      <c r="BG168" s="16">
        <f>(L168/225)*1.5*BD168</f>
        <v/>
      </c>
      <c r="BH168" s="15">
        <f>BF168+BG168</f>
        <v/>
      </c>
      <c r="BI168" s="17">
        <f>BE168+BH168</f>
        <v/>
      </c>
      <c r="BJ168" s="7">
        <f>IFERROR(VLOOKUP(B168, Resmi_Bordro_SGK!B:M, 11, FALSE), 0)</f>
        <v/>
      </c>
      <c r="BK168" s="18">
        <f>IFERROR(VLOOKUP(B168, Icra_Takip!A:E, 4, FALSE), 0)</f>
        <v/>
      </c>
      <c r="BL168" s="17">
        <f>IF(BI168&gt;BJ168, BI168-BJ168-BK168, 0)</f>
        <v/>
      </c>
      <c r="BM168" s="17">
        <f>BI168-BK168</f>
        <v/>
      </c>
    </row>
    <row r="169" ht="19" customHeight="1">
      <c r="A169" s="4" t="n">
        <v>166</v>
      </c>
      <c r="B169" s="5" t="inlineStr">
        <is>
          <t>16310668618</t>
        </is>
      </c>
      <c r="C169" s="6" t="inlineStr">
        <is>
          <t>GÜLİZAR ABAK</t>
        </is>
      </c>
      <c r="D169" s="4" t="inlineStr">
        <is>
          <t>K</t>
        </is>
      </c>
      <c r="E169" s="4" t="inlineStr"/>
      <c r="F169" s="4" t="inlineStr">
        <is>
          <t>13.07.2026</t>
        </is>
      </c>
      <c r="G169" s="4" t="inlineStr"/>
      <c r="H169" s="4" t="inlineStr">
        <is>
          <t>NORMAL</t>
        </is>
      </c>
      <c r="I169" s="4" t="inlineStr">
        <is>
          <t>MEVSİMLİK</t>
        </is>
      </c>
      <c r="J169" s="6" t="inlineStr">
        <is>
          <t>ÜRETİM</t>
        </is>
      </c>
      <c r="K169" s="6" t="inlineStr">
        <is>
          <t>KARACABEY-HALİL</t>
        </is>
      </c>
      <c r="L169" s="7" t="n">
        <v>28075.5</v>
      </c>
      <c r="M169" s="4" t="inlineStr">
        <is>
          <t>FİDE KONSERVE</t>
        </is>
      </c>
      <c r="N169" s="4" t="inlineStr">
        <is>
          <t>ALIR</t>
        </is>
      </c>
      <c r="O169" s="19" t="n">
        <v>0</v>
      </c>
      <c r="P169" s="19" t="n">
        <v>0</v>
      </c>
      <c r="Q169" s="19" t="n">
        <v>0</v>
      </c>
      <c r="R169" s="9" t="n">
        <v>0</v>
      </c>
      <c r="S169" s="19" t="n">
        <v>0</v>
      </c>
      <c r="T169" s="19" t="n">
        <v>0</v>
      </c>
      <c r="U169" s="19" t="n">
        <v>0</v>
      </c>
      <c r="V169" s="19" t="n">
        <v>0</v>
      </c>
      <c r="W169" s="19" t="n">
        <v>0</v>
      </c>
      <c r="X169" s="19" t="n">
        <v>0</v>
      </c>
      <c r="Y169" s="9" t="n">
        <v>0</v>
      </c>
      <c r="Z169" s="19" t="n">
        <v>0</v>
      </c>
      <c r="AA169" s="19" t="n">
        <v>0</v>
      </c>
      <c r="AB169" s="19" t="n">
        <v>0</v>
      </c>
      <c r="AC169" s="19" t="n">
        <v>0</v>
      </c>
      <c r="AD169" s="19" t="n">
        <v>0</v>
      </c>
      <c r="AE169" s="19" t="n">
        <v>0</v>
      </c>
      <c r="AF169" s="9" t="n">
        <v>0</v>
      </c>
      <c r="AG169" s="19" t="n">
        <v>0</v>
      </c>
      <c r="AH169" s="19" t="n">
        <v>0</v>
      </c>
      <c r="AI169" s="19" t="n">
        <v>0</v>
      </c>
      <c r="AJ169" s="19" t="n">
        <v>0</v>
      </c>
      <c r="AK169" s="19" t="n">
        <v>0</v>
      </c>
      <c r="AL169" s="19" t="n">
        <v>0</v>
      </c>
      <c r="AM169" s="9" t="n">
        <v>0</v>
      </c>
      <c r="AN169" s="19" t="n">
        <v>0</v>
      </c>
      <c r="AO169" s="19" t="n">
        <v>0</v>
      </c>
      <c r="AP169" s="19" t="n">
        <v>0</v>
      </c>
      <c r="AQ169" s="19" t="n">
        <v>0</v>
      </c>
      <c r="AR169" s="19" t="n">
        <v>0</v>
      </c>
      <c r="AS169" s="19" t="n">
        <v>0</v>
      </c>
      <c r="AT169" s="10">
        <f>SUM(O169:AS169)</f>
        <v/>
      </c>
      <c r="AU169" s="20">
        <f>COUNTIF(O169:AS169, "&gt;0")</f>
        <v/>
      </c>
      <c r="AV169" s="12">
        <f>IF(AU169&gt;=5, 4, IF(AU169&gt;0, INT(AU169/6), 0))</f>
        <v/>
      </c>
      <c r="AW169" s="20" t="n">
        <v>0</v>
      </c>
      <c r="AX169" s="20" t="n">
        <v>0</v>
      </c>
      <c r="AY169" s="13">
        <f>MIN(31, AU169+AV169+AW169+AX169)</f>
        <v/>
      </c>
      <c r="AZ169" s="14">
        <f>31-AY169</f>
        <v/>
      </c>
      <c r="BA169" s="21">
        <f>IF(AX169&gt;0, "01-İstirahat", IF(AZ169&gt;0, "12-Birden Fazla", ""))</f>
        <v/>
      </c>
      <c r="BB169" s="10" t="n">
        <v>0</v>
      </c>
      <c r="BC169" s="19" t="n">
        <v>0</v>
      </c>
      <c r="BD169" s="9" t="n">
        <v>0</v>
      </c>
      <c r="BE169" s="22">
        <f>(L169/30)*AU169</f>
        <v/>
      </c>
      <c r="BF169" s="15">
        <f>(L169/225)*((BB169*1.5)-(BC169*1.0))</f>
        <v/>
      </c>
      <c r="BG169" s="16">
        <f>(L169/225)*1.5*BD169</f>
        <v/>
      </c>
      <c r="BH169" s="15">
        <f>BF169+BG169</f>
        <v/>
      </c>
      <c r="BI169" s="17">
        <f>BE169+BH169</f>
        <v/>
      </c>
      <c r="BJ169" s="22">
        <f>IFERROR(VLOOKUP(B169, Resmi_Bordro_SGK!B:M, 11, FALSE), 0)</f>
        <v/>
      </c>
      <c r="BK169" s="18">
        <f>IFERROR(VLOOKUP(B169, Icra_Takip!A:E, 4, FALSE), 0)</f>
        <v/>
      </c>
      <c r="BL169" s="17">
        <f>IF(BI169&gt;BJ169, BI169-BJ169-BK169, 0)</f>
        <v/>
      </c>
      <c r="BM169" s="17">
        <f>BI169-BK169</f>
        <v/>
      </c>
    </row>
    <row r="170" ht="19" customHeight="1">
      <c r="A170" s="4" t="n">
        <v>167</v>
      </c>
      <c r="B170" s="5" t="inlineStr">
        <is>
          <t>53689106020</t>
        </is>
      </c>
      <c r="C170" s="6" t="inlineStr">
        <is>
          <t>GÜLSÜM GÖRGÜLÜ</t>
        </is>
      </c>
      <c r="D170" s="4" t="inlineStr">
        <is>
          <t>K</t>
        </is>
      </c>
      <c r="E170" s="4" t="inlineStr"/>
      <c r="F170" s="4" t="inlineStr">
        <is>
          <t>22.05.2025</t>
        </is>
      </c>
      <c r="G170" s="4" t="inlineStr"/>
      <c r="H170" s="4" t="inlineStr">
        <is>
          <t>NORMAL</t>
        </is>
      </c>
      <c r="I170" s="4" t="inlineStr">
        <is>
          <t>MEVSİMLİK</t>
        </is>
      </c>
      <c r="J170" s="6" t="inlineStr">
        <is>
          <t>AMBAR</t>
        </is>
      </c>
      <c r="K170" s="6" t="inlineStr">
        <is>
          <t>BİGADİÇ</t>
        </is>
      </c>
      <c r="L170" s="7" t="n">
        <v>28075.5</v>
      </c>
      <c r="M170" s="4" t="inlineStr">
        <is>
          <t>FİDE KONSERVE</t>
        </is>
      </c>
      <c r="N170" s="4" t="inlineStr">
        <is>
          <t>ALIR</t>
        </is>
      </c>
      <c r="O170" s="8" t="n">
        <v>7.5</v>
      </c>
      <c r="P170" s="8" t="n">
        <v>7.5</v>
      </c>
      <c r="Q170" s="8" t="n">
        <v>7.5</v>
      </c>
      <c r="R170" s="9" t="n">
        <v>0</v>
      </c>
      <c r="S170" s="8" t="n">
        <v>7.5</v>
      </c>
      <c r="T170" s="8" t="n">
        <v>7.5</v>
      </c>
      <c r="U170" s="8" t="n">
        <v>7.5</v>
      </c>
      <c r="V170" s="8" t="n">
        <v>7.5</v>
      </c>
      <c r="W170" s="8" t="n">
        <v>7.5</v>
      </c>
      <c r="X170" s="8" t="n">
        <v>7.5</v>
      </c>
      <c r="Y170" s="9" t="n">
        <v>0</v>
      </c>
      <c r="Z170" s="8" t="n">
        <v>8.5</v>
      </c>
      <c r="AA170" s="8" t="n">
        <v>7.5</v>
      </c>
      <c r="AB170" s="23" t="n">
        <v>7.5</v>
      </c>
      <c r="AC170" s="8" t="n">
        <v>8</v>
      </c>
      <c r="AD170" s="8" t="n">
        <v>7.5</v>
      </c>
      <c r="AE170" s="8" t="n">
        <v>7.5</v>
      </c>
      <c r="AF170" s="9" t="n">
        <v>7.5</v>
      </c>
      <c r="AG170" s="8" t="n">
        <v>7.5</v>
      </c>
      <c r="AH170" s="8" t="n">
        <v>7.5</v>
      </c>
      <c r="AI170" s="8" t="n">
        <v>7.5</v>
      </c>
      <c r="AJ170" s="8" t="n">
        <v>0</v>
      </c>
      <c r="AK170" s="8" t="n">
        <v>0</v>
      </c>
      <c r="AL170" s="8" t="n">
        <v>0</v>
      </c>
      <c r="AM170" s="9" t="n">
        <v>0</v>
      </c>
      <c r="AN170" s="8" t="n">
        <v>0</v>
      </c>
      <c r="AO170" s="8" t="n">
        <v>0</v>
      </c>
      <c r="AP170" s="8" t="n">
        <v>0</v>
      </c>
      <c r="AQ170" s="8" t="n">
        <v>0</v>
      </c>
      <c r="AR170" s="8" t="n">
        <v>0</v>
      </c>
      <c r="AS170" s="8" t="n">
        <v>0</v>
      </c>
      <c r="AT170" s="10">
        <f>SUM(O170:AS170)</f>
        <v/>
      </c>
      <c r="AU170" s="11">
        <f>COUNTIF(O170:AS170, "&gt;0")</f>
        <v/>
      </c>
      <c r="AV170" s="12">
        <f>IF(AU170&gt;=5, 4, IF(AU170&gt;0, INT(AU170/6), 0))</f>
        <v/>
      </c>
      <c r="AW170" s="11" t="n">
        <v>0</v>
      </c>
      <c r="AX170" s="11" t="n">
        <v>0</v>
      </c>
      <c r="AY170" s="13">
        <f>MIN(31, AU170+AV170+AW170+AX170)</f>
        <v/>
      </c>
      <c r="AZ170" s="14">
        <f>31-AY170</f>
        <v/>
      </c>
      <c r="BA170" s="5">
        <f>IF(AX170&gt;0, "01-İstirahat", IF(AZ170&gt;0, "12-Birden Fazla", ""))</f>
        <v/>
      </c>
      <c r="BB170" s="10" t="n">
        <v>1.5</v>
      </c>
      <c r="BC170" s="8" t="n">
        <v>0</v>
      </c>
      <c r="BD170" s="9" t="n">
        <v>7.5</v>
      </c>
      <c r="BE170" s="7">
        <f>(L170/30)*AU170</f>
        <v/>
      </c>
      <c r="BF170" s="15">
        <f>(L170/225)*((BB170*1.5)-(BC170*1.0))</f>
        <v/>
      </c>
      <c r="BG170" s="16">
        <f>(L170/225)*1.5*BD170</f>
        <v/>
      </c>
      <c r="BH170" s="15">
        <f>BF170+BG170</f>
        <v/>
      </c>
      <c r="BI170" s="17">
        <f>BE170+BH170</f>
        <v/>
      </c>
      <c r="BJ170" s="7">
        <f>IFERROR(VLOOKUP(B170, Resmi_Bordro_SGK!B:M, 11, FALSE), 0)</f>
        <v/>
      </c>
      <c r="BK170" s="18">
        <f>IFERROR(VLOOKUP(B170, Icra_Takip!A:E, 4, FALSE), 0)</f>
        <v/>
      </c>
      <c r="BL170" s="17">
        <f>IF(BI170&gt;BJ170, BI170-BJ170-BK170, 0)</f>
        <v/>
      </c>
      <c r="BM170" s="17">
        <f>BI170-BK170</f>
        <v/>
      </c>
    </row>
    <row r="171" ht="19" customHeight="1">
      <c r="A171" s="4" t="n">
        <v>168</v>
      </c>
      <c r="B171" s="5" t="inlineStr">
        <is>
          <t>11257940650</t>
        </is>
      </c>
      <c r="C171" s="6" t="inlineStr">
        <is>
          <t>GÜLŞEN YAĞMUR YÜKSEL</t>
        </is>
      </c>
      <c r="D171" s="4" t="inlineStr">
        <is>
          <t>K</t>
        </is>
      </c>
      <c r="E171" s="4" t="inlineStr"/>
      <c r="F171" s="4" t="inlineStr">
        <is>
          <t>09.07.2026</t>
        </is>
      </c>
      <c r="G171" s="4" t="inlineStr"/>
      <c r="H171" s="4" t="inlineStr">
        <is>
          <t>NORMAL</t>
        </is>
      </c>
      <c r="I171" s="4" t="inlineStr">
        <is>
          <t>MEVSİMLİK</t>
        </is>
      </c>
      <c r="J171" s="6" t="inlineStr">
        <is>
          <t>ÜRETİM</t>
        </is>
      </c>
      <c r="K171" s="6" t="inlineStr">
        <is>
          <t>GÜVEN TURİZM-MKP</t>
        </is>
      </c>
      <c r="L171" s="7" t="n">
        <v>28075.5</v>
      </c>
      <c r="M171" s="4" t="inlineStr">
        <is>
          <t>FİDE KONSERVE</t>
        </is>
      </c>
      <c r="N171" s="4" t="inlineStr">
        <is>
          <t>ALIR</t>
        </is>
      </c>
      <c r="O171" s="19" t="n">
        <v>0</v>
      </c>
      <c r="P171" s="19" t="n">
        <v>0</v>
      </c>
      <c r="Q171" s="19" t="n">
        <v>0</v>
      </c>
      <c r="R171" s="9" t="n">
        <v>0</v>
      </c>
      <c r="S171" s="19" t="n">
        <v>0</v>
      </c>
      <c r="T171" s="19" t="n">
        <v>0</v>
      </c>
      <c r="U171" s="19" t="n">
        <v>0</v>
      </c>
      <c r="V171" s="19" t="n">
        <v>0</v>
      </c>
      <c r="W171" s="19" t="n">
        <v>0</v>
      </c>
      <c r="X171" s="19" t="n">
        <v>0</v>
      </c>
      <c r="Y171" s="9" t="n">
        <v>0</v>
      </c>
      <c r="Z171" s="19" t="n">
        <v>0</v>
      </c>
      <c r="AA171" s="19" t="n">
        <v>0</v>
      </c>
      <c r="AB171" s="19" t="n">
        <v>0</v>
      </c>
      <c r="AC171" s="19" t="n">
        <v>0</v>
      </c>
      <c r="AD171" s="19" t="n">
        <v>0</v>
      </c>
      <c r="AE171" s="19" t="n">
        <v>0</v>
      </c>
      <c r="AF171" s="9" t="n">
        <v>0</v>
      </c>
      <c r="AG171" s="19" t="n">
        <v>0</v>
      </c>
      <c r="AH171" s="19" t="n">
        <v>0</v>
      </c>
      <c r="AI171" s="19" t="n">
        <v>0</v>
      </c>
      <c r="AJ171" s="19" t="n">
        <v>0</v>
      </c>
      <c r="AK171" s="19" t="n">
        <v>0</v>
      </c>
      <c r="AL171" s="19" t="n">
        <v>0</v>
      </c>
      <c r="AM171" s="9" t="n">
        <v>0</v>
      </c>
      <c r="AN171" s="19" t="n">
        <v>0</v>
      </c>
      <c r="AO171" s="19" t="n">
        <v>0</v>
      </c>
      <c r="AP171" s="19" t="n">
        <v>0</v>
      </c>
      <c r="AQ171" s="19" t="n">
        <v>0</v>
      </c>
      <c r="AR171" s="19" t="n">
        <v>0</v>
      </c>
      <c r="AS171" s="19" t="n">
        <v>0</v>
      </c>
      <c r="AT171" s="10">
        <f>SUM(O171:AS171)</f>
        <v/>
      </c>
      <c r="AU171" s="20">
        <f>COUNTIF(O171:AS171, "&gt;0")</f>
        <v/>
      </c>
      <c r="AV171" s="12">
        <f>IF(AU171&gt;=5, 4, IF(AU171&gt;0, INT(AU171/6), 0))</f>
        <v/>
      </c>
      <c r="AW171" s="20" t="n">
        <v>0</v>
      </c>
      <c r="AX171" s="20" t="n">
        <v>0</v>
      </c>
      <c r="AY171" s="13">
        <f>MIN(31, AU171+AV171+AW171+AX171)</f>
        <v/>
      </c>
      <c r="AZ171" s="14">
        <f>31-AY171</f>
        <v/>
      </c>
      <c r="BA171" s="21">
        <f>IF(AX171&gt;0, "01-İstirahat", IF(AZ171&gt;0, "12-Birden Fazla", ""))</f>
        <v/>
      </c>
      <c r="BB171" s="10" t="n">
        <v>0</v>
      </c>
      <c r="BC171" s="19" t="n">
        <v>0</v>
      </c>
      <c r="BD171" s="9" t="n">
        <v>0</v>
      </c>
      <c r="BE171" s="22">
        <f>(L171/30)*AU171</f>
        <v/>
      </c>
      <c r="BF171" s="15">
        <f>(L171/225)*((BB171*1.5)-(BC171*1.0))</f>
        <v/>
      </c>
      <c r="BG171" s="16">
        <f>(L171/225)*1.5*BD171</f>
        <v/>
      </c>
      <c r="BH171" s="15">
        <f>BF171+BG171</f>
        <v/>
      </c>
      <c r="BI171" s="17">
        <f>BE171+BH171</f>
        <v/>
      </c>
      <c r="BJ171" s="22">
        <f>IFERROR(VLOOKUP(B171, Resmi_Bordro_SGK!B:M, 11, FALSE), 0)</f>
        <v/>
      </c>
      <c r="BK171" s="18">
        <f>IFERROR(VLOOKUP(B171, Icra_Takip!A:E, 4, FALSE), 0)</f>
        <v/>
      </c>
      <c r="BL171" s="17">
        <f>IF(BI171&gt;BJ171, BI171-BJ171-BK171, 0)</f>
        <v/>
      </c>
      <c r="BM171" s="17">
        <f>BI171-BK171</f>
        <v/>
      </c>
    </row>
    <row r="172" ht="19" customHeight="1">
      <c r="A172" s="4" t="n">
        <v>169</v>
      </c>
      <c r="B172" s="5" t="inlineStr">
        <is>
          <t>19492644548</t>
        </is>
      </c>
      <c r="C172" s="6" t="inlineStr">
        <is>
          <t>GÜLTEN AKÇA</t>
        </is>
      </c>
      <c r="D172" s="4" t="inlineStr">
        <is>
          <t>K</t>
        </is>
      </c>
      <c r="E172" s="4" t="inlineStr"/>
      <c r="F172" s="4" t="inlineStr">
        <is>
          <t>10.08.2026</t>
        </is>
      </c>
      <c r="G172" s="4" t="inlineStr"/>
      <c r="H172" s="4" t="inlineStr">
        <is>
          <t>NORMAL</t>
        </is>
      </c>
      <c r="I172" s="4" t="inlineStr">
        <is>
          <t>MEVSİMLİK</t>
        </is>
      </c>
      <c r="J172" s="6" t="inlineStr">
        <is>
          <t>BALIK TEMİZLEME</t>
        </is>
      </c>
      <c r="K172" s="6" t="inlineStr">
        <is>
          <t>GÜVEN TURİZM-MKP</t>
        </is>
      </c>
      <c r="L172" s="7" t="n">
        <v>33000</v>
      </c>
      <c r="M172" s="4" t="inlineStr">
        <is>
          <t>FİDE KONSERVE</t>
        </is>
      </c>
      <c r="N172" s="4" t="inlineStr">
        <is>
          <t>ALIR</t>
        </is>
      </c>
      <c r="O172" s="8" t="n">
        <v>0</v>
      </c>
      <c r="P172" s="8" t="n">
        <v>0</v>
      </c>
      <c r="Q172" s="8" t="n">
        <v>0</v>
      </c>
      <c r="R172" s="9" t="n">
        <v>0</v>
      </c>
      <c r="S172" s="8" t="n">
        <v>0</v>
      </c>
      <c r="T172" s="8" t="n">
        <v>0</v>
      </c>
      <c r="U172" s="8" t="n">
        <v>0</v>
      </c>
      <c r="V172" s="8" t="n">
        <v>0</v>
      </c>
      <c r="W172" s="8" t="n">
        <v>0</v>
      </c>
      <c r="X172" s="8" t="n">
        <v>0</v>
      </c>
      <c r="Y172" s="9" t="n">
        <v>0</v>
      </c>
      <c r="Z172" s="8" t="n">
        <v>0</v>
      </c>
      <c r="AA172" s="8" t="n">
        <v>0</v>
      </c>
      <c r="AB172" s="8" t="n">
        <v>0</v>
      </c>
      <c r="AC172" s="8" t="n">
        <v>0</v>
      </c>
      <c r="AD172" s="8" t="n">
        <v>0</v>
      </c>
      <c r="AE172" s="8" t="n">
        <v>0</v>
      </c>
      <c r="AF172" s="9" t="n">
        <v>0</v>
      </c>
      <c r="AG172" s="8" t="n">
        <v>0</v>
      </c>
      <c r="AH172" s="8" t="n">
        <v>0</v>
      </c>
      <c r="AI172" s="8" t="n">
        <v>0</v>
      </c>
      <c r="AJ172" s="8" t="n">
        <v>0</v>
      </c>
      <c r="AK172" s="8" t="n">
        <v>0</v>
      </c>
      <c r="AL172" s="8" t="n">
        <v>0</v>
      </c>
      <c r="AM172" s="9" t="n">
        <v>0</v>
      </c>
      <c r="AN172" s="8" t="n">
        <v>0</v>
      </c>
      <c r="AO172" s="8" t="n">
        <v>0</v>
      </c>
      <c r="AP172" s="8" t="n">
        <v>0</v>
      </c>
      <c r="AQ172" s="8" t="n">
        <v>0</v>
      </c>
      <c r="AR172" s="8" t="n">
        <v>0</v>
      </c>
      <c r="AS172" s="8" t="n">
        <v>0</v>
      </c>
      <c r="AT172" s="10">
        <f>SUM(O172:AS172)</f>
        <v/>
      </c>
      <c r="AU172" s="11">
        <f>COUNTIF(O172:AS172, "&gt;0")</f>
        <v/>
      </c>
      <c r="AV172" s="12">
        <f>IF(AU172&gt;=5, 4, IF(AU172&gt;0, INT(AU172/6), 0))</f>
        <v/>
      </c>
      <c r="AW172" s="11" t="n">
        <v>0</v>
      </c>
      <c r="AX172" s="11" t="n">
        <v>0</v>
      </c>
      <c r="AY172" s="13">
        <f>MIN(31, AU172+AV172+AW172+AX172)</f>
        <v/>
      </c>
      <c r="AZ172" s="14">
        <f>31-AY172</f>
        <v/>
      </c>
      <c r="BA172" s="5">
        <f>IF(AX172&gt;0, "01-İstirahat", IF(AZ172&gt;0, "12-Birden Fazla", ""))</f>
        <v/>
      </c>
      <c r="BB172" s="10" t="n">
        <v>0</v>
      </c>
      <c r="BC172" s="8" t="n">
        <v>0</v>
      </c>
      <c r="BD172" s="9" t="n">
        <v>0</v>
      </c>
      <c r="BE172" s="7">
        <f>(L172/30)*AU172</f>
        <v/>
      </c>
      <c r="BF172" s="15">
        <f>(L172/225)*((BB172*1.5)-(BC172*1.0))</f>
        <v/>
      </c>
      <c r="BG172" s="16">
        <f>(L172/225)*1.5*BD172</f>
        <v/>
      </c>
      <c r="BH172" s="15">
        <f>BF172+BG172</f>
        <v/>
      </c>
      <c r="BI172" s="17">
        <f>BE172+BH172</f>
        <v/>
      </c>
      <c r="BJ172" s="7">
        <f>IFERROR(VLOOKUP(B172, Resmi_Bordro_SGK!B:M, 11, FALSE), 0)</f>
        <v/>
      </c>
      <c r="BK172" s="18">
        <f>IFERROR(VLOOKUP(B172, Icra_Takip!A:E, 4, FALSE), 0)</f>
        <v/>
      </c>
      <c r="BL172" s="17">
        <f>IF(BI172&gt;BJ172, BI172-BJ172-BK172, 0)</f>
        <v/>
      </c>
      <c r="BM172" s="17">
        <f>BI172-BK172</f>
        <v/>
      </c>
    </row>
    <row r="173" ht="19" customHeight="1">
      <c r="A173" s="4" t="n">
        <v>170</v>
      </c>
      <c r="B173" s="5" t="inlineStr">
        <is>
          <t>45184908278</t>
        </is>
      </c>
      <c r="C173" s="6" t="inlineStr">
        <is>
          <t>GÜLTEN DURMAZ</t>
        </is>
      </c>
      <c r="D173" s="4" t="inlineStr">
        <is>
          <t>K</t>
        </is>
      </c>
      <c r="E173" s="4" t="inlineStr"/>
      <c r="F173" s="4" t="inlineStr">
        <is>
          <t>10.02.2026</t>
        </is>
      </c>
      <c r="G173" s="4" t="inlineStr"/>
      <c r="H173" s="4" t="inlineStr">
        <is>
          <t>NORMAL</t>
        </is>
      </c>
      <c r="I173" s="4" t="inlineStr">
        <is>
          <t>MEVSİMLİK</t>
        </is>
      </c>
      <c r="J173" s="6" t="inlineStr">
        <is>
          <t>BALIK DOLUM</t>
        </is>
      </c>
      <c r="K173" s="6" t="inlineStr">
        <is>
          <t>GÖBEL</t>
        </is>
      </c>
      <c r="L173" s="7" t="n">
        <v>33000</v>
      </c>
      <c r="M173" s="4" t="inlineStr">
        <is>
          <t>FİDE KONSERVE</t>
        </is>
      </c>
      <c r="N173" s="4" t="inlineStr">
        <is>
          <t>ALIR</t>
        </is>
      </c>
      <c r="O173" s="19" t="n">
        <v>8.5</v>
      </c>
      <c r="P173" s="19" t="n">
        <v>9</v>
      </c>
      <c r="Q173" s="19" t="n">
        <v>8.5</v>
      </c>
      <c r="R173" s="9" t="n">
        <v>0</v>
      </c>
      <c r="S173" s="19" t="n">
        <v>8</v>
      </c>
      <c r="T173" s="19" t="n">
        <v>8.5</v>
      </c>
      <c r="U173" s="19" t="n">
        <v>6</v>
      </c>
      <c r="V173" s="19" t="n">
        <v>10</v>
      </c>
      <c r="W173" s="19" t="n">
        <v>8</v>
      </c>
      <c r="X173" s="19" t="n">
        <v>13.5</v>
      </c>
      <c r="Y173" s="9" t="n">
        <v>0</v>
      </c>
      <c r="Z173" s="19" t="n">
        <v>7.5</v>
      </c>
      <c r="AA173" s="19" t="n">
        <v>7.5</v>
      </c>
      <c r="AB173" s="19" t="n">
        <v>9</v>
      </c>
      <c r="AC173" s="19" t="n">
        <v>7.5</v>
      </c>
      <c r="AD173" s="19" t="n">
        <v>9</v>
      </c>
      <c r="AE173" s="19" t="n">
        <v>9</v>
      </c>
      <c r="AF173" s="9" t="n">
        <v>0</v>
      </c>
      <c r="AG173" s="19" t="n">
        <v>7</v>
      </c>
      <c r="AH173" s="19" t="n">
        <v>8</v>
      </c>
      <c r="AI173" s="19" t="n">
        <v>8</v>
      </c>
      <c r="AJ173" s="19" t="n">
        <v>0</v>
      </c>
      <c r="AK173" s="19" t="n">
        <v>0</v>
      </c>
      <c r="AL173" s="19" t="n">
        <v>0</v>
      </c>
      <c r="AM173" s="9" t="n">
        <v>0</v>
      </c>
      <c r="AN173" s="19" t="n">
        <v>0</v>
      </c>
      <c r="AO173" s="19" t="n">
        <v>0</v>
      </c>
      <c r="AP173" s="19" t="n">
        <v>0</v>
      </c>
      <c r="AQ173" s="19" t="n">
        <v>0</v>
      </c>
      <c r="AR173" s="19" t="n">
        <v>0</v>
      </c>
      <c r="AS173" s="19" t="n">
        <v>0</v>
      </c>
      <c r="AT173" s="10">
        <f>SUM(O173:AS173)</f>
        <v/>
      </c>
      <c r="AU173" s="20">
        <f>COUNTIF(O173:AS173, "&gt;0")</f>
        <v/>
      </c>
      <c r="AV173" s="12">
        <f>IF(AU173&gt;=5, 4, IF(AU173&gt;0, INT(AU173/6), 0))</f>
        <v/>
      </c>
      <c r="AW173" s="20" t="n">
        <v>0</v>
      </c>
      <c r="AX173" s="20" t="n">
        <v>0</v>
      </c>
      <c r="AY173" s="13">
        <f>MIN(31, AU173+AV173+AW173+AX173)</f>
        <v/>
      </c>
      <c r="AZ173" s="14">
        <f>31-AY173</f>
        <v/>
      </c>
      <c r="BA173" s="21">
        <f>IF(AX173&gt;0, "01-İstirahat", IF(AZ173&gt;0, "12-Birden Fazla", ""))</f>
        <v/>
      </c>
      <c r="BB173" s="10" t="n">
        <v>40.5</v>
      </c>
      <c r="BC173" s="23" t="n">
        <v>2</v>
      </c>
      <c r="BD173" s="9" t="n">
        <v>0</v>
      </c>
      <c r="BE173" s="22">
        <f>(L173/30)*AU173</f>
        <v/>
      </c>
      <c r="BF173" s="15">
        <f>(L173/225)*((BB173*1.5)-(BC173*1.0))</f>
        <v/>
      </c>
      <c r="BG173" s="16">
        <f>(L173/225)*1.5*BD173</f>
        <v/>
      </c>
      <c r="BH173" s="15">
        <f>BF173+BG173</f>
        <v/>
      </c>
      <c r="BI173" s="17">
        <f>BE173+BH173</f>
        <v/>
      </c>
      <c r="BJ173" s="22">
        <f>IFERROR(VLOOKUP(B173, Resmi_Bordro_SGK!B:M, 11, FALSE), 0)</f>
        <v/>
      </c>
      <c r="BK173" s="18">
        <f>IFERROR(VLOOKUP(B173, Icra_Takip!A:E, 4, FALSE), 0)</f>
        <v/>
      </c>
      <c r="BL173" s="17">
        <f>IF(BI173&gt;BJ173, BI173-BJ173-BK173, 0)</f>
        <v/>
      </c>
      <c r="BM173" s="17">
        <f>BI173-BK173</f>
        <v/>
      </c>
    </row>
    <row r="174" ht="19" customHeight="1">
      <c r="A174" s="4" t="n">
        <v>171</v>
      </c>
      <c r="B174" s="5" t="inlineStr">
        <is>
          <t>10996768938</t>
        </is>
      </c>
      <c r="C174" s="6" t="inlineStr">
        <is>
          <t>GÜLTEN GİDER</t>
        </is>
      </c>
      <c r="D174" s="4" t="inlineStr">
        <is>
          <t>K</t>
        </is>
      </c>
      <c r="E174" s="4" t="inlineStr"/>
      <c r="F174" s="4" t="inlineStr">
        <is>
          <t>10.02.2024</t>
        </is>
      </c>
      <c r="G174" s="4" t="inlineStr"/>
      <c r="H174" s="4" t="inlineStr">
        <is>
          <t>NORMAL</t>
        </is>
      </c>
      <c r="I174" s="4" t="inlineStr">
        <is>
          <t>MEVSİMLİK</t>
        </is>
      </c>
      <c r="J174" s="6" t="inlineStr">
        <is>
          <t>AMBAR</t>
        </is>
      </c>
      <c r="K174" s="6" t="inlineStr">
        <is>
          <t>BİGADİÇ</t>
        </is>
      </c>
      <c r="L174" s="7" t="n">
        <v>28075.5</v>
      </c>
      <c r="M174" s="4" t="inlineStr">
        <is>
          <t>FİDE KONSERVE</t>
        </is>
      </c>
      <c r="N174" s="4" t="inlineStr">
        <is>
          <t>ALIR</t>
        </is>
      </c>
      <c r="O174" s="8" t="n">
        <v>7.5</v>
      </c>
      <c r="P174" s="8" t="n">
        <v>7.5</v>
      </c>
      <c r="Q174" s="8" t="n">
        <v>7.5</v>
      </c>
      <c r="R174" s="9" t="n">
        <v>0</v>
      </c>
      <c r="S174" s="8" t="n">
        <v>7.5</v>
      </c>
      <c r="T174" s="8" t="n">
        <v>7.5</v>
      </c>
      <c r="U174" s="8" t="n">
        <v>7.5</v>
      </c>
      <c r="V174" s="8" t="n">
        <v>7.5</v>
      </c>
      <c r="W174" s="8" t="n">
        <v>7.5</v>
      </c>
      <c r="X174" s="8" t="n">
        <v>7.5</v>
      </c>
      <c r="Y174" s="9" t="n">
        <v>0</v>
      </c>
      <c r="Z174" s="8" t="n">
        <v>8.5</v>
      </c>
      <c r="AA174" s="8" t="n">
        <v>0</v>
      </c>
      <c r="AB174" s="8" t="n">
        <v>7.5</v>
      </c>
      <c r="AC174" s="8" t="n">
        <v>8</v>
      </c>
      <c r="AD174" s="8" t="n">
        <v>7.5</v>
      </c>
      <c r="AE174" s="8" t="n">
        <v>7.5</v>
      </c>
      <c r="AF174" s="9" t="n">
        <v>0</v>
      </c>
      <c r="AG174" s="8" t="n">
        <v>7.5</v>
      </c>
      <c r="AH174" s="8" t="n">
        <v>7.5</v>
      </c>
      <c r="AI174" s="8" t="n">
        <v>7.5</v>
      </c>
      <c r="AJ174" s="8" t="n">
        <v>0</v>
      </c>
      <c r="AK174" s="8" t="n">
        <v>0</v>
      </c>
      <c r="AL174" s="8" t="n">
        <v>0</v>
      </c>
      <c r="AM174" s="9" t="n">
        <v>0</v>
      </c>
      <c r="AN174" s="8" t="n">
        <v>0</v>
      </c>
      <c r="AO174" s="8" t="n">
        <v>0</v>
      </c>
      <c r="AP174" s="8" t="n">
        <v>0</v>
      </c>
      <c r="AQ174" s="8" t="n">
        <v>0</v>
      </c>
      <c r="AR174" s="8" t="n">
        <v>0</v>
      </c>
      <c r="AS174" s="8" t="n">
        <v>0</v>
      </c>
      <c r="AT174" s="10">
        <f>SUM(O174:AS174)</f>
        <v/>
      </c>
      <c r="AU174" s="11">
        <f>COUNTIF(O174:AS174, "&gt;0")</f>
        <v/>
      </c>
      <c r="AV174" s="12">
        <f>IF(AU174&gt;=5, 4, IF(AU174&gt;0, INT(AU174/6), 0))</f>
        <v/>
      </c>
      <c r="AW174" s="11" t="n">
        <v>0</v>
      </c>
      <c r="AX174" s="11" t="n">
        <v>0</v>
      </c>
      <c r="AY174" s="13">
        <f>MIN(31, AU174+AV174+AW174+AX174)</f>
        <v/>
      </c>
      <c r="AZ174" s="14">
        <f>31-AY174</f>
        <v/>
      </c>
      <c r="BA174" s="5">
        <f>IF(AX174&gt;0, "01-İstirahat", IF(AZ174&gt;0, "12-Birden Fazla", ""))</f>
        <v/>
      </c>
      <c r="BB174" s="10" t="n">
        <v>1.5</v>
      </c>
      <c r="BC174" s="8" t="n">
        <v>0</v>
      </c>
      <c r="BD174" s="9" t="n">
        <v>0</v>
      </c>
      <c r="BE174" s="7">
        <f>(L174/30)*AU174</f>
        <v/>
      </c>
      <c r="BF174" s="15">
        <f>(L174/225)*((BB174*1.5)-(BC174*1.0))</f>
        <v/>
      </c>
      <c r="BG174" s="16">
        <f>(L174/225)*1.5*BD174</f>
        <v/>
      </c>
      <c r="BH174" s="15">
        <f>BF174+BG174</f>
        <v/>
      </c>
      <c r="BI174" s="17">
        <f>BE174+BH174</f>
        <v/>
      </c>
      <c r="BJ174" s="7">
        <f>IFERROR(VLOOKUP(B174, Resmi_Bordro_SGK!B:M, 11, FALSE), 0)</f>
        <v/>
      </c>
      <c r="BK174" s="18">
        <f>IFERROR(VLOOKUP(B174, Icra_Takip!A:E, 4, FALSE), 0)</f>
        <v/>
      </c>
      <c r="BL174" s="17">
        <f>IF(BI174&gt;BJ174, BI174-BJ174-BK174, 0)</f>
        <v/>
      </c>
      <c r="BM174" s="17">
        <f>BI174-BK174</f>
        <v/>
      </c>
    </row>
    <row r="175" ht="19" customHeight="1">
      <c r="A175" s="4" t="n">
        <v>172</v>
      </c>
      <c r="B175" s="5" t="inlineStr">
        <is>
          <t>21010592606</t>
        </is>
      </c>
      <c r="C175" s="6" t="inlineStr">
        <is>
          <t>GÜLÜMSER KARABIYIK</t>
        </is>
      </c>
      <c r="D175" s="4" t="inlineStr">
        <is>
          <t>K</t>
        </is>
      </c>
      <c r="E175" s="4" t="inlineStr"/>
      <c r="F175" s="4" t="inlineStr">
        <is>
          <t>21.07.2026</t>
        </is>
      </c>
      <c r="G175" s="4" t="inlineStr"/>
      <c r="H175" s="4" t="inlineStr">
        <is>
          <t>NORMAL</t>
        </is>
      </c>
      <c r="I175" s="4" t="inlineStr">
        <is>
          <t>MEVSİMLİK</t>
        </is>
      </c>
      <c r="J175" s="6" t="inlineStr">
        <is>
          <t>BALIK TEMİZLEME</t>
        </is>
      </c>
      <c r="K175" s="6" t="inlineStr">
        <is>
          <t>GÜVEN TURİZM-MKP</t>
        </is>
      </c>
      <c r="L175" s="7" t="n">
        <v>33000</v>
      </c>
      <c r="M175" s="4" t="inlineStr">
        <is>
          <t>FİDE KONSERVE</t>
        </is>
      </c>
      <c r="N175" s="4" t="inlineStr">
        <is>
          <t>ALIR</t>
        </is>
      </c>
      <c r="O175" s="19" t="n">
        <v>8</v>
      </c>
      <c r="P175" s="19" t="n">
        <v>0</v>
      </c>
      <c r="Q175" s="19" t="n">
        <v>8</v>
      </c>
      <c r="R175" s="9" t="n">
        <v>0</v>
      </c>
      <c r="S175" s="19" t="n">
        <v>7.5</v>
      </c>
      <c r="T175" s="19" t="n">
        <v>8</v>
      </c>
      <c r="U175" s="19" t="n">
        <v>0</v>
      </c>
      <c r="V175" s="19" t="n">
        <v>8</v>
      </c>
      <c r="W175" s="19" t="n">
        <v>8</v>
      </c>
      <c r="X175" s="19" t="n">
        <v>0</v>
      </c>
      <c r="Y175" s="9" t="n">
        <v>0</v>
      </c>
      <c r="Z175" s="19" t="n">
        <v>7.5</v>
      </c>
      <c r="AA175" s="19" t="n">
        <v>7.5</v>
      </c>
      <c r="AB175" s="19" t="n">
        <v>8.5</v>
      </c>
      <c r="AC175" s="19" t="n">
        <v>0</v>
      </c>
      <c r="AD175" s="19" t="n">
        <v>7.5</v>
      </c>
      <c r="AE175" s="19" t="n">
        <v>0</v>
      </c>
      <c r="AF175" s="9" t="n">
        <v>0</v>
      </c>
      <c r="AG175" s="19" t="n">
        <v>8</v>
      </c>
      <c r="AH175" s="19" t="n">
        <v>7.5</v>
      </c>
      <c r="AI175" s="19" t="n">
        <v>7.5</v>
      </c>
      <c r="AJ175" s="19" t="n">
        <v>0</v>
      </c>
      <c r="AK175" s="19" t="n">
        <v>0</v>
      </c>
      <c r="AL175" s="19" t="n">
        <v>0</v>
      </c>
      <c r="AM175" s="9" t="n">
        <v>0</v>
      </c>
      <c r="AN175" s="19" t="n">
        <v>0</v>
      </c>
      <c r="AO175" s="19" t="n">
        <v>0</v>
      </c>
      <c r="AP175" s="19" t="n">
        <v>0</v>
      </c>
      <c r="AQ175" s="19" t="n">
        <v>0</v>
      </c>
      <c r="AR175" s="19" t="n">
        <v>0</v>
      </c>
      <c r="AS175" s="19" t="n">
        <v>0</v>
      </c>
      <c r="AT175" s="10">
        <f>SUM(O175:AS175)</f>
        <v/>
      </c>
      <c r="AU175" s="20">
        <f>COUNTIF(O175:AS175, "&gt;0")</f>
        <v/>
      </c>
      <c r="AV175" s="12">
        <f>IF(AU175&gt;=5, 4, IF(AU175&gt;0, INT(AU175/6), 0))</f>
        <v/>
      </c>
      <c r="AW175" s="20" t="n">
        <v>0</v>
      </c>
      <c r="AX175" s="20" t="n">
        <v>0</v>
      </c>
      <c r="AY175" s="13">
        <f>MIN(31, AU175+AV175+AW175+AX175)</f>
        <v/>
      </c>
      <c r="AZ175" s="14">
        <f>31-AY175</f>
        <v/>
      </c>
      <c r="BA175" s="21">
        <f>IF(AX175&gt;0, "01-İstirahat", IF(AZ175&gt;0, "12-Birden Fazla", ""))</f>
        <v/>
      </c>
      <c r="BB175" s="10" t="n">
        <v>4</v>
      </c>
      <c r="BC175" s="19" t="n">
        <v>0</v>
      </c>
      <c r="BD175" s="9" t="n">
        <v>0</v>
      </c>
      <c r="BE175" s="22">
        <f>(L175/30)*AU175</f>
        <v/>
      </c>
      <c r="BF175" s="15">
        <f>(L175/225)*((BB175*1.5)-(BC175*1.0))</f>
        <v/>
      </c>
      <c r="BG175" s="16">
        <f>(L175/225)*1.5*BD175</f>
        <v/>
      </c>
      <c r="BH175" s="15">
        <f>BF175+BG175</f>
        <v/>
      </c>
      <c r="BI175" s="17">
        <f>BE175+BH175</f>
        <v/>
      </c>
      <c r="BJ175" s="22">
        <f>IFERROR(VLOOKUP(B175, Resmi_Bordro_SGK!B:M, 11, FALSE), 0)</f>
        <v/>
      </c>
      <c r="BK175" s="18">
        <f>IFERROR(VLOOKUP(B175, Icra_Takip!A:E, 4, FALSE), 0)</f>
        <v/>
      </c>
      <c r="BL175" s="17">
        <f>IF(BI175&gt;BJ175, BI175-BJ175-BK175, 0)</f>
        <v/>
      </c>
      <c r="BM175" s="17">
        <f>BI175-BK175</f>
        <v/>
      </c>
    </row>
    <row r="176" ht="19" customHeight="1">
      <c r="A176" s="4" t="n">
        <v>173</v>
      </c>
      <c r="B176" s="5" t="inlineStr">
        <is>
          <t>11593899780</t>
        </is>
      </c>
      <c r="C176" s="6" t="inlineStr">
        <is>
          <t>GÜRAY PALA</t>
        </is>
      </c>
      <c r="D176" s="4" t="inlineStr">
        <is>
          <t>E</t>
        </is>
      </c>
      <c r="E176" s="4" t="inlineStr"/>
      <c r="F176" s="4" t="inlineStr">
        <is>
          <t>24.03.2026</t>
        </is>
      </c>
      <c r="G176" s="4" t="inlineStr"/>
      <c r="H176" s="4" t="inlineStr">
        <is>
          <t>NORMAL</t>
        </is>
      </c>
      <c r="I176" s="4" t="inlineStr">
        <is>
          <t>MEVSİMLİK</t>
        </is>
      </c>
      <c r="J176" s="6" t="inlineStr">
        <is>
          <t>BALIK KESİM</t>
        </is>
      </c>
      <c r="K176" s="6" t="inlineStr">
        <is>
          <t>KARACABEY-HALİL</t>
        </is>
      </c>
      <c r="L176" s="7" t="n">
        <v>28075.5</v>
      </c>
      <c r="M176" s="4" t="inlineStr">
        <is>
          <t>FİDE KONSERVE</t>
        </is>
      </c>
      <c r="N176" s="4" t="inlineStr">
        <is>
          <t>ALIR</t>
        </is>
      </c>
      <c r="O176" s="8" t="n">
        <v>10.5</v>
      </c>
      <c r="P176" s="8" t="n">
        <v>8</v>
      </c>
      <c r="Q176" s="8" t="n">
        <v>8</v>
      </c>
      <c r="R176" s="9" t="n">
        <v>7.5</v>
      </c>
      <c r="S176" s="8" t="n">
        <v>0</v>
      </c>
      <c r="T176" s="8" t="n">
        <v>7.5</v>
      </c>
      <c r="U176" s="23" t="n">
        <v>15</v>
      </c>
      <c r="V176" s="8" t="n">
        <v>10.5</v>
      </c>
      <c r="W176" s="8" t="n">
        <v>0</v>
      </c>
      <c r="X176" s="8" t="n">
        <v>0</v>
      </c>
      <c r="Y176" s="9" t="n">
        <v>10.5</v>
      </c>
      <c r="Z176" s="8" t="n">
        <v>7.5</v>
      </c>
      <c r="AA176" s="8" t="n">
        <v>7.5</v>
      </c>
      <c r="AB176" s="8" t="n">
        <v>10.5</v>
      </c>
      <c r="AC176" s="8" t="n">
        <v>7.5</v>
      </c>
      <c r="AD176" s="8" t="n">
        <v>7.5</v>
      </c>
      <c r="AE176" s="8" t="n">
        <v>0</v>
      </c>
      <c r="AF176" s="9" t="n">
        <v>10.5</v>
      </c>
      <c r="AG176" s="8" t="n">
        <v>10.5</v>
      </c>
      <c r="AH176" s="8" t="n">
        <v>8.5</v>
      </c>
      <c r="AI176" s="23" t="n">
        <v>7.5</v>
      </c>
      <c r="AJ176" s="8" t="n">
        <v>0</v>
      </c>
      <c r="AK176" s="8" t="n">
        <v>0</v>
      </c>
      <c r="AL176" s="8" t="n">
        <v>0</v>
      </c>
      <c r="AM176" s="9" t="n">
        <v>0</v>
      </c>
      <c r="AN176" s="8" t="n">
        <v>0</v>
      </c>
      <c r="AO176" s="8" t="n">
        <v>0</v>
      </c>
      <c r="AP176" s="8" t="n">
        <v>0</v>
      </c>
      <c r="AQ176" s="8" t="n">
        <v>0</v>
      </c>
      <c r="AR176" s="8" t="n">
        <v>0</v>
      </c>
      <c r="AS176" s="8" t="n">
        <v>0</v>
      </c>
      <c r="AT176" s="10">
        <f>SUM(O176:AS176)</f>
        <v/>
      </c>
      <c r="AU176" s="11">
        <f>COUNTIF(O176:AS176, "&gt;0")</f>
        <v/>
      </c>
      <c r="AV176" s="12">
        <f>IF(AU176&gt;=5, 4, IF(AU176&gt;0, INT(AU176/6), 0))</f>
        <v/>
      </c>
      <c r="AW176" s="11" t="n">
        <v>0</v>
      </c>
      <c r="AX176" s="11" t="n">
        <v>0</v>
      </c>
      <c r="AY176" s="13">
        <f>MIN(31, AU176+AV176+AW176+AX176)</f>
        <v/>
      </c>
      <c r="AZ176" s="14">
        <f>31-AY176</f>
        <v/>
      </c>
      <c r="BA176" s="5">
        <f>IF(AX176&gt;0, "01-İstirahat", IF(AZ176&gt;0, "12-Birden Fazla", ""))</f>
        <v/>
      </c>
      <c r="BB176" s="10" t="n">
        <v>29</v>
      </c>
      <c r="BC176" s="8" t="n">
        <v>0</v>
      </c>
      <c r="BD176" s="9" t="n">
        <v>28.5</v>
      </c>
      <c r="BE176" s="7">
        <f>(L176/30)*AU176</f>
        <v/>
      </c>
      <c r="BF176" s="15">
        <f>(L176/225)*((BB176*1.5)-(BC176*1.0))</f>
        <v/>
      </c>
      <c r="BG176" s="16">
        <f>(L176/225)*1.5*BD176</f>
        <v/>
      </c>
      <c r="BH176" s="15">
        <f>BF176+BG176</f>
        <v/>
      </c>
      <c r="BI176" s="17">
        <f>BE176+BH176</f>
        <v/>
      </c>
      <c r="BJ176" s="7">
        <f>IFERROR(VLOOKUP(B176, Resmi_Bordro_SGK!B:M, 11, FALSE), 0)</f>
        <v/>
      </c>
      <c r="BK176" s="18">
        <f>IFERROR(VLOOKUP(B176, Icra_Takip!A:E, 4, FALSE), 0)</f>
        <v/>
      </c>
      <c r="BL176" s="17">
        <f>IF(BI176&gt;BJ176, BI176-BJ176-BK176, 0)</f>
        <v/>
      </c>
      <c r="BM176" s="17">
        <f>BI176-BK176</f>
        <v/>
      </c>
    </row>
    <row r="177" ht="19" customHeight="1">
      <c r="A177" s="4" t="n">
        <v>174</v>
      </c>
      <c r="B177" s="5" t="inlineStr">
        <is>
          <t>40105135368</t>
        </is>
      </c>
      <c r="C177" s="6" t="inlineStr">
        <is>
          <t>HABİBE HARMAN</t>
        </is>
      </c>
      <c r="D177" s="4" t="inlineStr">
        <is>
          <t>K</t>
        </is>
      </c>
      <c r="E177" s="4" t="inlineStr"/>
      <c r="F177" s="4" t="inlineStr">
        <is>
          <t>23.06.2026</t>
        </is>
      </c>
      <c r="G177" s="4" t="inlineStr"/>
      <c r="H177" s="4" t="inlineStr">
        <is>
          <t>NORMAL</t>
        </is>
      </c>
      <c r="I177" s="4" t="inlineStr">
        <is>
          <t>MEVSİMLİK</t>
        </is>
      </c>
      <c r="J177" s="6" t="inlineStr">
        <is>
          <t>ÜRETİM</t>
        </is>
      </c>
      <c r="K177" s="6" t="inlineStr">
        <is>
          <t>SEVGİ</t>
        </is>
      </c>
      <c r="L177" s="7" t="n">
        <v>28075.5</v>
      </c>
      <c r="M177" s="4" t="inlineStr">
        <is>
          <t>FİDE KONSERVE</t>
        </is>
      </c>
      <c r="N177" s="4" t="inlineStr">
        <is>
          <t>ALIR</t>
        </is>
      </c>
      <c r="O177" s="19" t="n">
        <v>0</v>
      </c>
      <c r="P177" s="19" t="n">
        <v>0</v>
      </c>
      <c r="Q177" s="19" t="n">
        <v>0</v>
      </c>
      <c r="R177" s="9" t="n">
        <v>0</v>
      </c>
      <c r="S177" s="19" t="n">
        <v>0</v>
      </c>
      <c r="T177" s="19" t="n">
        <v>0</v>
      </c>
      <c r="U177" s="19" t="n">
        <v>0</v>
      </c>
      <c r="V177" s="19" t="n">
        <v>0</v>
      </c>
      <c r="W177" s="19" t="n">
        <v>0</v>
      </c>
      <c r="X177" s="19" t="n">
        <v>0</v>
      </c>
      <c r="Y177" s="9" t="n">
        <v>0</v>
      </c>
      <c r="Z177" s="19" t="n">
        <v>0</v>
      </c>
      <c r="AA177" s="19" t="n">
        <v>0</v>
      </c>
      <c r="AB177" s="19" t="n">
        <v>0</v>
      </c>
      <c r="AC177" s="19" t="n">
        <v>0</v>
      </c>
      <c r="AD177" s="19" t="n">
        <v>0</v>
      </c>
      <c r="AE177" s="19" t="n">
        <v>0</v>
      </c>
      <c r="AF177" s="9" t="n">
        <v>0</v>
      </c>
      <c r="AG177" s="19" t="n">
        <v>0</v>
      </c>
      <c r="AH177" s="19" t="n">
        <v>0</v>
      </c>
      <c r="AI177" s="19" t="n">
        <v>0</v>
      </c>
      <c r="AJ177" s="19" t="n">
        <v>0</v>
      </c>
      <c r="AK177" s="19" t="n">
        <v>0</v>
      </c>
      <c r="AL177" s="19" t="n">
        <v>0</v>
      </c>
      <c r="AM177" s="9" t="n">
        <v>0</v>
      </c>
      <c r="AN177" s="19" t="n">
        <v>0</v>
      </c>
      <c r="AO177" s="19" t="n">
        <v>0</v>
      </c>
      <c r="AP177" s="19" t="n">
        <v>0</v>
      </c>
      <c r="AQ177" s="19" t="n">
        <v>0</v>
      </c>
      <c r="AR177" s="19" t="n">
        <v>0</v>
      </c>
      <c r="AS177" s="19" t="n">
        <v>0</v>
      </c>
      <c r="AT177" s="10">
        <f>SUM(O177:AS177)</f>
        <v/>
      </c>
      <c r="AU177" s="20">
        <f>COUNTIF(O177:AS177, "&gt;0")</f>
        <v/>
      </c>
      <c r="AV177" s="12">
        <f>IF(AU177&gt;=5, 4, IF(AU177&gt;0, INT(AU177/6), 0))</f>
        <v/>
      </c>
      <c r="AW177" s="20" t="n">
        <v>0</v>
      </c>
      <c r="AX177" s="20" t="n">
        <v>0</v>
      </c>
      <c r="AY177" s="13">
        <f>MIN(31, AU177+AV177+AW177+AX177)</f>
        <v/>
      </c>
      <c r="AZ177" s="14">
        <f>31-AY177</f>
        <v/>
      </c>
      <c r="BA177" s="21">
        <f>IF(AX177&gt;0, "01-İstirahat", IF(AZ177&gt;0, "12-Birden Fazla", ""))</f>
        <v/>
      </c>
      <c r="BB177" s="10" t="n">
        <v>0</v>
      </c>
      <c r="BC177" s="19" t="n">
        <v>0</v>
      </c>
      <c r="BD177" s="9" t="n">
        <v>0</v>
      </c>
      <c r="BE177" s="22">
        <f>(L177/30)*AU177</f>
        <v/>
      </c>
      <c r="BF177" s="15">
        <f>(L177/225)*((BB177*1.5)-(BC177*1.0))</f>
        <v/>
      </c>
      <c r="BG177" s="16">
        <f>(L177/225)*1.5*BD177</f>
        <v/>
      </c>
      <c r="BH177" s="15">
        <f>BF177+BG177</f>
        <v/>
      </c>
      <c r="BI177" s="17">
        <f>BE177+BH177</f>
        <v/>
      </c>
      <c r="BJ177" s="22">
        <f>IFERROR(VLOOKUP(B177, Resmi_Bordro_SGK!B:M, 11, FALSE), 0)</f>
        <v/>
      </c>
      <c r="BK177" s="18">
        <f>IFERROR(VLOOKUP(B177, Icra_Takip!A:E, 4, FALSE), 0)</f>
        <v/>
      </c>
      <c r="BL177" s="17">
        <f>IF(BI177&gt;BJ177, BI177-BJ177-BK177, 0)</f>
        <v/>
      </c>
      <c r="BM177" s="17">
        <f>BI177-BK177</f>
        <v/>
      </c>
    </row>
    <row r="178" ht="19" customHeight="1">
      <c r="A178" s="4" t="n">
        <v>175</v>
      </c>
      <c r="B178" s="5" t="inlineStr">
        <is>
          <t>22639531168</t>
        </is>
      </c>
      <c r="C178" s="6" t="inlineStr">
        <is>
          <t>HAFİZE AVCIOĞLU</t>
        </is>
      </c>
      <c r="D178" s="4" t="inlineStr">
        <is>
          <t>K</t>
        </is>
      </c>
      <c r="E178" s="4" t="inlineStr"/>
      <c r="F178" s="4" t="inlineStr">
        <is>
          <t>24.06.2026</t>
        </is>
      </c>
      <c r="G178" s="4" t="inlineStr"/>
      <c r="H178" s="4" t="inlineStr">
        <is>
          <t>NORMAL</t>
        </is>
      </c>
      <c r="I178" s="4" t="inlineStr">
        <is>
          <t>MEVSİMLİK</t>
        </is>
      </c>
      <c r="J178" s="6" t="inlineStr">
        <is>
          <t>BALIK TEMİZLEME</t>
        </is>
      </c>
      <c r="K178" s="6" t="inlineStr">
        <is>
          <t>GÜVEN TURİZM KARACABEY</t>
        </is>
      </c>
      <c r="L178" s="7" t="n">
        <v>33000</v>
      </c>
      <c r="M178" s="4" t="inlineStr">
        <is>
          <t>FİDE KONSERVE</t>
        </is>
      </c>
      <c r="N178" s="4" t="inlineStr">
        <is>
          <t>ALIR</t>
        </is>
      </c>
      <c r="O178" s="8" t="n">
        <v>8</v>
      </c>
      <c r="P178" s="8" t="n">
        <v>8.5</v>
      </c>
      <c r="Q178" s="8" t="n">
        <v>8</v>
      </c>
      <c r="R178" s="9" t="n">
        <v>0</v>
      </c>
      <c r="S178" s="8" t="n">
        <v>7.5</v>
      </c>
      <c r="T178" s="8" t="n">
        <v>8</v>
      </c>
      <c r="U178" s="8" t="n">
        <v>8</v>
      </c>
      <c r="V178" s="8" t="n">
        <v>8</v>
      </c>
      <c r="W178" s="8" t="n">
        <v>8</v>
      </c>
      <c r="X178" s="8" t="n">
        <v>8.5</v>
      </c>
      <c r="Y178" s="9" t="n">
        <v>0</v>
      </c>
      <c r="Z178" s="8" t="n">
        <v>7.5</v>
      </c>
      <c r="AA178" s="8" t="n">
        <v>7.5</v>
      </c>
      <c r="AB178" s="8" t="n">
        <v>8.5</v>
      </c>
      <c r="AC178" s="8" t="n">
        <v>7.5</v>
      </c>
      <c r="AD178" s="8" t="n">
        <v>7.5</v>
      </c>
      <c r="AE178" s="8" t="n">
        <v>8.5</v>
      </c>
      <c r="AF178" s="9" t="n">
        <v>0</v>
      </c>
      <c r="AG178" s="8" t="n">
        <v>8.5</v>
      </c>
      <c r="AH178" s="8" t="n">
        <v>7.5</v>
      </c>
      <c r="AI178" s="8" t="n">
        <v>7.5</v>
      </c>
      <c r="AJ178" s="8" t="n">
        <v>0</v>
      </c>
      <c r="AK178" s="8" t="n">
        <v>0</v>
      </c>
      <c r="AL178" s="8" t="n">
        <v>0</v>
      </c>
      <c r="AM178" s="9" t="n">
        <v>0</v>
      </c>
      <c r="AN178" s="8" t="n">
        <v>0</v>
      </c>
      <c r="AO178" s="8" t="n">
        <v>0</v>
      </c>
      <c r="AP178" s="8" t="n">
        <v>0</v>
      </c>
      <c r="AQ178" s="8" t="n">
        <v>0</v>
      </c>
      <c r="AR178" s="8" t="n">
        <v>0</v>
      </c>
      <c r="AS178" s="8" t="n">
        <v>0</v>
      </c>
      <c r="AT178" s="10">
        <f>SUM(O178:AS178)</f>
        <v/>
      </c>
      <c r="AU178" s="11">
        <f>COUNTIF(O178:AS178, "&gt;0")</f>
        <v/>
      </c>
      <c r="AV178" s="12">
        <f>IF(AU178&gt;=5, 4, IF(AU178&gt;0, INT(AU178/6), 0))</f>
        <v/>
      </c>
      <c r="AW178" s="11" t="n">
        <v>0</v>
      </c>
      <c r="AX178" s="11" t="n">
        <v>0</v>
      </c>
      <c r="AY178" s="13">
        <f>MIN(31, AU178+AV178+AW178+AX178)</f>
        <v/>
      </c>
      <c r="AZ178" s="14">
        <f>31-AY178</f>
        <v/>
      </c>
      <c r="BA178" s="5">
        <f>IF(AX178&gt;0, "01-İstirahat", IF(AZ178&gt;0, "12-Birden Fazla", ""))</f>
        <v/>
      </c>
      <c r="BB178" s="10" t="n">
        <v>8</v>
      </c>
      <c r="BC178" s="8" t="n">
        <v>0</v>
      </c>
      <c r="BD178" s="9" t="n">
        <v>0</v>
      </c>
      <c r="BE178" s="7">
        <f>(L178/30)*AU178</f>
        <v/>
      </c>
      <c r="BF178" s="15">
        <f>(L178/225)*((BB178*1.5)-(BC178*1.0))</f>
        <v/>
      </c>
      <c r="BG178" s="16">
        <f>(L178/225)*1.5*BD178</f>
        <v/>
      </c>
      <c r="BH178" s="15">
        <f>BF178+BG178</f>
        <v/>
      </c>
      <c r="BI178" s="17">
        <f>BE178+BH178</f>
        <v/>
      </c>
      <c r="BJ178" s="7">
        <f>IFERROR(VLOOKUP(B178, Resmi_Bordro_SGK!B:M, 11, FALSE), 0)</f>
        <v/>
      </c>
      <c r="BK178" s="18">
        <f>IFERROR(VLOOKUP(B178, Icra_Takip!A:E, 4, FALSE), 0)</f>
        <v/>
      </c>
      <c r="BL178" s="17">
        <f>IF(BI178&gt;BJ178, BI178-BJ178-BK178, 0)</f>
        <v/>
      </c>
      <c r="BM178" s="17">
        <f>BI178-BK178</f>
        <v/>
      </c>
    </row>
    <row r="179" ht="19" customHeight="1">
      <c r="A179" s="4" t="n">
        <v>176</v>
      </c>
      <c r="B179" s="5" t="inlineStr">
        <is>
          <t>23638497776</t>
        </is>
      </c>
      <c r="C179" s="6" t="inlineStr">
        <is>
          <t>HACER BEYHAN</t>
        </is>
      </c>
      <c r="D179" s="4" t="inlineStr">
        <is>
          <t>K</t>
        </is>
      </c>
      <c r="E179" s="4" t="inlineStr"/>
      <c r="F179" s="4" t="inlineStr">
        <is>
          <t>06.01.2025</t>
        </is>
      </c>
      <c r="G179" s="4" t="inlineStr"/>
      <c r="H179" s="4" t="inlineStr">
        <is>
          <t>NORMAL</t>
        </is>
      </c>
      <c r="I179" s="4" t="inlineStr">
        <is>
          <t>MEVSİMLİK</t>
        </is>
      </c>
      <c r="J179" s="6" t="inlineStr">
        <is>
          <t>BALIK TEMİZLEME</t>
        </is>
      </c>
      <c r="K179" s="6" t="inlineStr">
        <is>
          <t>KARACABEY-HALİL</t>
        </is>
      </c>
      <c r="L179" s="7" t="n">
        <v>33000</v>
      </c>
      <c r="M179" s="4" t="inlineStr">
        <is>
          <t>FİDE KONSERVE</t>
        </is>
      </c>
      <c r="N179" s="4" t="inlineStr">
        <is>
          <t>ALIR</t>
        </is>
      </c>
      <c r="O179" s="19" t="n">
        <v>0</v>
      </c>
      <c r="P179" s="19" t="n">
        <v>0</v>
      </c>
      <c r="Q179" s="19" t="n">
        <v>0</v>
      </c>
      <c r="R179" s="9" t="n">
        <v>0</v>
      </c>
      <c r="S179" s="19" t="n">
        <v>7.5</v>
      </c>
      <c r="T179" s="19" t="n">
        <v>8</v>
      </c>
      <c r="U179" s="19" t="n">
        <v>8</v>
      </c>
      <c r="V179" s="19" t="n">
        <v>8</v>
      </c>
      <c r="W179" s="19" t="n">
        <v>8.5</v>
      </c>
      <c r="X179" s="19" t="n">
        <v>8.5</v>
      </c>
      <c r="Y179" s="9" t="n">
        <v>0</v>
      </c>
      <c r="Z179" s="19" t="n">
        <v>7.5</v>
      </c>
      <c r="AA179" s="19" t="n">
        <v>7.5</v>
      </c>
      <c r="AB179" s="19" t="n">
        <v>8.5</v>
      </c>
      <c r="AC179" s="19" t="n">
        <v>7.5</v>
      </c>
      <c r="AD179" s="19" t="n">
        <v>7.5</v>
      </c>
      <c r="AE179" s="19" t="n">
        <v>8.5</v>
      </c>
      <c r="AF179" s="9" t="n">
        <v>0</v>
      </c>
      <c r="AG179" s="19" t="n">
        <v>8</v>
      </c>
      <c r="AH179" s="19" t="n">
        <v>7.5</v>
      </c>
      <c r="AI179" s="19" t="n">
        <v>7.5</v>
      </c>
      <c r="AJ179" s="19" t="n">
        <v>0</v>
      </c>
      <c r="AK179" s="19" t="n">
        <v>0</v>
      </c>
      <c r="AL179" s="19" t="n">
        <v>0</v>
      </c>
      <c r="AM179" s="9" t="n">
        <v>0</v>
      </c>
      <c r="AN179" s="19" t="n">
        <v>0</v>
      </c>
      <c r="AO179" s="19" t="n">
        <v>0</v>
      </c>
      <c r="AP179" s="19" t="n">
        <v>0</v>
      </c>
      <c r="AQ179" s="19" t="n">
        <v>0</v>
      </c>
      <c r="AR179" s="19" t="n">
        <v>0</v>
      </c>
      <c r="AS179" s="19" t="n">
        <v>0</v>
      </c>
      <c r="AT179" s="10">
        <f>SUM(O179:AS179)</f>
        <v/>
      </c>
      <c r="AU179" s="20">
        <f>COUNTIF(O179:AS179, "&gt;0")</f>
        <v/>
      </c>
      <c r="AV179" s="12">
        <f>IF(AU179&gt;=5, 4, IF(AU179&gt;0, INT(AU179/6), 0))</f>
        <v/>
      </c>
      <c r="AW179" s="20" t="n">
        <v>0</v>
      </c>
      <c r="AX179" s="20" t="n">
        <v>0</v>
      </c>
      <c r="AY179" s="13">
        <f>MIN(31, AU179+AV179+AW179+AX179)</f>
        <v/>
      </c>
      <c r="AZ179" s="14">
        <f>31-AY179</f>
        <v/>
      </c>
      <c r="BA179" s="21">
        <f>IF(AX179&gt;0, "01-İstirahat", IF(AZ179&gt;0, "12-Birden Fazla", ""))</f>
        <v/>
      </c>
      <c r="BB179" s="10" t="n">
        <v>6</v>
      </c>
      <c r="BC179" s="19" t="n">
        <v>0</v>
      </c>
      <c r="BD179" s="9" t="n">
        <v>0</v>
      </c>
      <c r="BE179" s="22">
        <f>(L179/30)*AU179</f>
        <v/>
      </c>
      <c r="BF179" s="15">
        <f>(L179/225)*((BB179*1.5)-(BC179*1.0))</f>
        <v/>
      </c>
      <c r="BG179" s="16">
        <f>(L179/225)*1.5*BD179</f>
        <v/>
      </c>
      <c r="BH179" s="15">
        <f>BF179+BG179</f>
        <v/>
      </c>
      <c r="BI179" s="17">
        <f>BE179+BH179</f>
        <v/>
      </c>
      <c r="BJ179" s="22">
        <f>IFERROR(VLOOKUP(B179, Resmi_Bordro_SGK!B:M, 11, FALSE), 0)</f>
        <v/>
      </c>
      <c r="BK179" s="18">
        <f>IFERROR(VLOOKUP(B179, Icra_Takip!A:E, 4, FALSE), 0)</f>
        <v/>
      </c>
      <c r="BL179" s="17">
        <f>IF(BI179&gt;BJ179, BI179-BJ179-BK179, 0)</f>
        <v/>
      </c>
      <c r="BM179" s="17">
        <f>BI179-BK179</f>
        <v/>
      </c>
    </row>
    <row r="180" ht="19" customHeight="1">
      <c r="A180" s="4" t="n">
        <v>177</v>
      </c>
      <c r="B180" s="5" t="inlineStr">
        <is>
          <t>99612178542</t>
        </is>
      </c>
      <c r="C180" s="6" t="inlineStr">
        <is>
          <t>HALA SAADİ</t>
        </is>
      </c>
      <c r="D180" s="4" t="inlineStr">
        <is>
          <t>K</t>
        </is>
      </c>
      <c r="E180" s="4" t="inlineStr"/>
      <c r="F180" s="4" t="inlineStr">
        <is>
          <t>18.04.2026</t>
        </is>
      </c>
      <c r="G180" s="4" t="inlineStr"/>
      <c r="H180" s="4" t="inlineStr">
        <is>
          <t>NORMAL</t>
        </is>
      </c>
      <c r="I180" s="4" t="inlineStr">
        <is>
          <t>MEVSİMLİK</t>
        </is>
      </c>
      <c r="J180" s="6" t="inlineStr">
        <is>
          <t>BALIK TEMİZLEME</t>
        </is>
      </c>
      <c r="K180" s="6" t="inlineStr">
        <is>
          <t>MKP</t>
        </is>
      </c>
      <c r="L180" s="7" t="n">
        <v>33000</v>
      </c>
      <c r="M180" s="4" t="inlineStr">
        <is>
          <t>FİDE KONSERVE</t>
        </is>
      </c>
      <c r="N180" s="4" t="inlineStr">
        <is>
          <t>ALIR</t>
        </is>
      </c>
      <c r="O180" s="8" t="n">
        <v>0</v>
      </c>
      <c r="P180" s="8" t="n">
        <v>0</v>
      </c>
      <c r="Q180" s="8" t="n">
        <v>0</v>
      </c>
      <c r="R180" s="9" t="n">
        <v>0</v>
      </c>
      <c r="S180" s="8" t="n">
        <v>0</v>
      </c>
      <c r="T180" s="8" t="n">
        <v>0</v>
      </c>
      <c r="U180" s="8" t="n">
        <v>0</v>
      </c>
      <c r="V180" s="8" t="n">
        <v>0</v>
      </c>
      <c r="W180" s="8" t="n">
        <v>0</v>
      </c>
      <c r="X180" s="8" t="n">
        <v>0</v>
      </c>
      <c r="Y180" s="9" t="n">
        <v>0</v>
      </c>
      <c r="Z180" s="8" t="n">
        <v>0</v>
      </c>
      <c r="AA180" s="8" t="n">
        <v>0</v>
      </c>
      <c r="AB180" s="8" t="n">
        <v>0</v>
      </c>
      <c r="AC180" s="8" t="n">
        <v>0</v>
      </c>
      <c r="AD180" s="8" t="n">
        <v>0</v>
      </c>
      <c r="AE180" s="8" t="n">
        <v>0</v>
      </c>
      <c r="AF180" s="9" t="n">
        <v>0</v>
      </c>
      <c r="AG180" s="8" t="n">
        <v>0</v>
      </c>
      <c r="AH180" s="8" t="n">
        <v>0</v>
      </c>
      <c r="AI180" s="8" t="n">
        <v>0</v>
      </c>
      <c r="AJ180" s="8" t="n">
        <v>0</v>
      </c>
      <c r="AK180" s="8" t="n">
        <v>0</v>
      </c>
      <c r="AL180" s="8" t="n">
        <v>0</v>
      </c>
      <c r="AM180" s="9" t="n">
        <v>0</v>
      </c>
      <c r="AN180" s="8" t="n">
        <v>0</v>
      </c>
      <c r="AO180" s="8" t="n">
        <v>0</v>
      </c>
      <c r="AP180" s="8" t="n">
        <v>0</v>
      </c>
      <c r="AQ180" s="8" t="n">
        <v>0</v>
      </c>
      <c r="AR180" s="8" t="n">
        <v>0</v>
      </c>
      <c r="AS180" s="8" t="n">
        <v>0</v>
      </c>
      <c r="AT180" s="10">
        <f>SUM(O180:AS180)</f>
        <v/>
      </c>
      <c r="AU180" s="11">
        <f>COUNTIF(O180:AS180, "&gt;0")</f>
        <v/>
      </c>
      <c r="AV180" s="12">
        <f>IF(AU180&gt;=5, 4, IF(AU180&gt;0, INT(AU180/6), 0))</f>
        <v/>
      </c>
      <c r="AW180" s="11" t="n">
        <v>0</v>
      </c>
      <c r="AX180" s="11" t="n">
        <v>0</v>
      </c>
      <c r="AY180" s="13">
        <f>MIN(31, AU180+AV180+AW180+AX180)</f>
        <v/>
      </c>
      <c r="AZ180" s="14">
        <f>31-AY180</f>
        <v/>
      </c>
      <c r="BA180" s="5">
        <f>IF(AX180&gt;0, "01-İstirahat", IF(AZ180&gt;0, "12-Birden Fazla", ""))</f>
        <v/>
      </c>
      <c r="BB180" s="10" t="n">
        <v>0</v>
      </c>
      <c r="BC180" s="8" t="n">
        <v>0</v>
      </c>
      <c r="BD180" s="9" t="n">
        <v>0</v>
      </c>
      <c r="BE180" s="7">
        <f>(L180/30)*AU180</f>
        <v/>
      </c>
      <c r="BF180" s="15">
        <f>(L180/225)*((BB180*1.5)-(BC180*1.0))</f>
        <v/>
      </c>
      <c r="BG180" s="16">
        <f>(L180/225)*1.5*BD180</f>
        <v/>
      </c>
      <c r="BH180" s="15">
        <f>BF180+BG180</f>
        <v/>
      </c>
      <c r="BI180" s="17">
        <f>BE180+BH180</f>
        <v/>
      </c>
      <c r="BJ180" s="7">
        <f>IFERROR(VLOOKUP(B180, Resmi_Bordro_SGK!B:M, 11, FALSE), 0)</f>
        <v/>
      </c>
      <c r="BK180" s="18">
        <f>IFERROR(VLOOKUP(B180, Icra_Takip!A:E, 4, FALSE), 0)</f>
        <v/>
      </c>
      <c r="BL180" s="17">
        <f>IF(BI180&gt;BJ180, BI180-BJ180-BK180, 0)</f>
        <v/>
      </c>
      <c r="BM180" s="17">
        <f>BI180-BK180</f>
        <v/>
      </c>
    </row>
    <row r="181" ht="19" customHeight="1">
      <c r="A181" s="4" t="n">
        <v>178</v>
      </c>
      <c r="B181" s="5" t="inlineStr"/>
      <c r="C181" s="6" t="inlineStr">
        <is>
          <t>HAMİDE DURAK</t>
        </is>
      </c>
      <c r="D181" s="4" t="inlineStr"/>
      <c r="E181" s="4" t="inlineStr"/>
      <c r="F181" s="4" t="inlineStr"/>
      <c r="G181" s="4" t="inlineStr"/>
      <c r="H181" s="4" t="inlineStr">
        <is>
          <t>NORMAL</t>
        </is>
      </c>
      <c r="I181" s="4" t="inlineStr">
        <is>
          <t>MEVSİMLİK</t>
        </is>
      </c>
      <c r="J181" s="6" t="inlineStr"/>
      <c r="K181" s="6" t="inlineStr"/>
      <c r="L181" s="7" t="n">
        <v>28075.5</v>
      </c>
      <c r="M181" s="4" t="inlineStr">
        <is>
          <t>FİDE KONSERVE</t>
        </is>
      </c>
      <c r="N181" s="4" t="inlineStr">
        <is>
          <t>ALIR</t>
        </is>
      </c>
      <c r="O181" s="19" t="n">
        <v>0</v>
      </c>
      <c r="P181" s="19" t="n">
        <v>0</v>
      </c>
      <c r="Q181" s="19" t="n">
        <v>0</v>
      </c>
      <c r="R181" s="9" t="n">
        <v>0</v>
      </c>
      <c r="S181" s="19" t="n">
        <v>0</v>
      </c>
      <c r="T181" s="19" t="n">
        <v>0</v>
      </c>
      <c r="U181" s="19" t="n">
        <v>0</v>
      </c>
      <c r="V181" s="19" t="n">
        <v>0</v>
      </c>
      <c r="W181" s="19" t="n">
        <v>0</v>
      </c>
      <c r="X181" s="19" t="n">
        <v>0</v>
      </c>
      <c r="Y181" s="9" t="n">
        <v>0</v>
      </c>
      <c r="Z181" s="19" t="n">
        <v>0</v>
      </c>
      <c r="AA181" s="19" t="n">
        <v>0</v>
      </c>
      <c r="AB181" s="19" t="n">
        <v>0</v>
      </c>
      <c r="AC181" s="19" t="n">
        <v>0</v>
      </c>
      <c r="AD181" s="19" t="n">
        <v>0</v>
      </c>
      <c r="AE181" s="19" t="n">
        <v>0</v>
      </c>
      <c r="AF181" s="9" t="n">
        <v>0</v>
      </c>
      <c r="AG181" s="19" t="n">
        <v>0</v>
      </c>
      <c r="AH181" s="19" t="n">
        <v>0</v>
      </c>
      <c r="AI181" s="19" t="n">
        <v>0</v>
      </c>
      <c r="AJ181" s="19" t="n">
        <v>0</v>
      </c>
      <c r="AK181" s="19" t="n">
        <v>0</v>
      </c>
      <c r="AL181" s="19" t="n">
        <v>0</v>
      </c>
      <c r="AM181" s="9" t="n">
        <v>0</v>
      </c>
      <c r="AN181" s="19" t="n">
        <v>0</v>
      </c>
      <c r="AO181" s="19" t="n">
        <v>0</v>
      </c>
      <c r="AP181" s="19" t="n">
        <v>0</v>
      </c>
      <c r="AQ181" s="19" t="n">
        <v>0</v>
      </c>
      <c r="AR181" s="19" t="n">
        <v>0</v>
      </c>
      <c r="AS181" s="19" t="n">
        <v>0</v>
      </c>
      <c r="AT181" s="10">
        <f>SUM(O181:AS181)</f>
        <v/>
      </c>
      <c r="AU181" s="20">
        <f>COUNTIF(O181:AS181, "&gt;0")</f>
        <v/>
      </c>
      <c r="AV181" s="12">
        <f>IF(AU181&gt;=5, 4, IF(AU181&gt;0, INT(AU181/6), 0))</f>
        <v/>
      </c>
      <c r="AW181" s="20" t="n">
        <v>0</v>
      </c>
      <c r="AX181" s="20" t="n">
        <v>0</v>
      </c>
      <c r="AY181" s="13">
        <f>MIN(31, AU181+AV181+AW181+AX181)</f>
        <v/>
      </c>
      <c r="AZ181" s="14">
        <f>31-AY181</f>
        <v/>
      </c>
      <c r="BA181" s="21">
        <f>IF(AX181&gt;0, "01-İstirahat", IF(AZ181&gt;0, "12-Birden Fazla", ""))</f>
        <v/>
      </c>
      <c r="BB181" s="10" t="n">
        <v>0</v>
      </c>
      <c r="BC181" s="19" t="n">
        <v>0</v>
      </c>
      <c r="BD181" s="9" t="n">
        <v>0</v>
      </c>
      <c r="BE181" s="22">
        <f>(L181/30)*AU181</f>
        <v/>
      </c>
      <c r="BF181" s="15">
        <f>(L181/225)*((BB181*1.5)-(BC181*1.0))</f>
        <v/>
      </c>
      <c r="BG181" s="16">
        <f>(L181/225)*1.5*BD181</f>
        <v/>
      </c>
      <c r="BH181" s="15">
        <f>BF181+BG181</f>
        <v/>
      </c>
      <c r="BI181" s="17">
        <f>BE181+BH181</f>
        <v/>
      </c>
      <c r="BJ181" s="22">
        <f>IFERROR(VLOOKUP(B181, Resmi_Bordro_SGK!B:M, 11, FALSE), 0)</f>
        <v/>
      </c>
      <c r="BK181" s="18">
        <f>IFERROR(VLOOKUP(B181, Icra_Takip!A:E, 4, FALSE), 0)</f>
        <v/>
      </c>
      <c r="BL181" s="17">
        <f>IF(BI181&gt;BJ181, BI181-BJ181-BK181, 0)</f>
        <v/>
      </c>
      <c r="BM181" s="17">
        <f>BI181-BK181</f>
        <v/>
      </c>
    </row>
    <row r="182" ht="19" customHeight="1">
      <c r="A182" s="4" t="n">
        <v>179</v>
      </c>
      <c r="B182" s="5" t="inlineStr">
        <is>
          <t>13708835836</t>
        </is>
      </c>
      <c r="C182" s="6" t="inlineStr">
        <is>
          <t>HAMİT GİRGİN</t>
        </is>
      </c>
      <c r="D182" s="4" t="inlineStr">
        <is>
          <t>E</t>
        </is>
      </c>
      <c r="E182" s="4" t="inlineStr"/>
      <c r="F182" s="4" t="inlineStr">
        <is>
          <t>01.07.2026</t>
        </is>
      </c>
      <c r="G182" s="4" t="inlineStr"/>
      <c r="H182" s="4" t="inlineStr">
        <is>
          <t>NORMAL</t>
        </is>
      </c>
      <c r="I182" s="4" t="inlineStr">
        <is>
          <t>MEVSİMLİK</t>
        </is>
      </c>
      <c r="J182" s="6" t="inlineStr">
        <is>
          <t>BALIK TEMİZLEME</t>
        </is>
      </c>
      <c r="K182" s="6" t="inlineStr">
        <is>
          <t>GÜVEN TURİZM-MKP</t>
        </is>
      </c>
      <c r="L182" s="7" t="n">
        <v>33000</v>
      </c>
      <c r="M182" s="4" t="inlineStr">
        <is>
          <t>FİDE KONSERVE</t>
        </is>
      </c>
      <c r="N182" s="4" t="inlineStr">
        <is>
          <t>ALIR</t>
        </is>
      </c>
      <c r="O182" s="8" t="n">
        <v>6.5</v>
      </c>
      <c r="P182" s="8" t="n">
        <v>9</v>
      </c>
      <c r="Q182" s="8" t="n">
        <v>8.5</v>
      </c>
      <c r="R182" s="9" t="n">
        <v>0</v>
      </c>
      <c r="S182" s="8" t="n">
        <v>6</v>
      </c>
      <c r="T182" s="8" t="n">
        <v>8.5</v>
      </c>
      <c r="U182" s="8" t="n">
        <v>6</v>
      </c>
      <c r="V182" s="8" t="n">
        <v>0</v>
      </c>
      <c r="W182" s="8" t="n">
        <v>0</v>
      </c>
      <c r="X182" s="8" t="n">
        <v>0</v>
      </c>
      <c r="Y182" s="9" t="n">
        <v>0</v>
      </c>
      <c r="Z182" s="8" t="n">
        <v>0</v>
      </c>
      <c r="AA182" s="8" t="n">
        <v>0</v>
      </c>
      <c r="AB182" s="8" t="n">
        <v>0</v>
      </c>
      <c r="AC182" s="8" t="n">
        <v>0</v>
      </c>
      <c r="AD182" s="8" t="n">
        <v>0</v>
      </c>
      <c r="AE182" s="8" t="n">
        <v>0</v>
      </c>
      <c r="AF182" s="9" t="n">
        <v>0</v>
      </c>
      <c r="AG182" s="8" t="n">
        <v>0</v>
      </c>
      <c r="AH182" s="8" t="n">
        <v>0</v>
      </c>
      <c r="AI182" s="8" t="n">
        <v>0</v>
      </c>
      <c r="AJ182" s="8" t="n">
        <v>0</v>
      </c>
      <c r="AK182" s="8" t="n">
        <v>0</v>
      </c>
      <c r="AL182" s="8" t="n">
        <v>0</v>
      </c>
      <c r="AM182" s="9" t="n">
        <v>0</v>
      </c>
      <c r="AN182" s="8" t="n">
        <v>0</v>
      </c>
      <c r="AO182" s="8" t="n">
        <v>0</v>
      </c>
      <c r="AP182" s="8" t="n">
        <v>0</v>
      </c>
      <c r="AQ182" s="8" t="n">
        <v>0</v>
      </c>
      <c r="AR182" s="8" t="n">
        <v>0</v>
      </c>
      <c r="AS182" s="8" t="n">
        <v>0</v>
      </c>
      <c r="AT182" s="10">
        <f>SUM(O182:AS182)</f>
        <v/>
      </c>
      <c r="AU182" s="11">
        <f>COUNTIF(O182:AS182, "&gt;0")</f>
        <v/>
      </c>
      <c r="AV182" s="12">
        <f>IF(AU182&gt;=5, 4, IF(AU182&gt;0, INT(AU182/6), 0))</f>
        <v/>
      </c>
      <c r="AW182" s="11" t="n">
        <v>0</v>
      </c>
      <c r="AX182" s="11" t="n">
        <v>0</v>
      </c>
      <c r="AY182" s="13">
        <f>MIN(31, AU182+AV182+AW182+AX182)</f>
        <v/>
      </c>
      <c r="AZ182" s="14">
        <f>31-AY182</f>
        <v/>
      </c>
      <c r="BA182" s="5">
        <f>IF(AX182&gt;0, "01-İstirahat", IF(AZ182&gt;0, "12-Birden Fazla", ""))</f>
        <v/>
      </c>
      <c r="BB182" s="10" t="n">
        <v>9</v>
      </c>
      <c r="BC182" s="23" t="n">
        <v>4</v>
      </c>
      <c r="BD182" s="9" t="n">
        <v>0</v>
      </c>
      <c r="BE182" s="7">
        <f>(L182/30)*AU182</f>
        <v/>
      </c>
      <c r="BF182" s="15">
        <f>(L182/225)*((BB182*1.5)-(BC182*1.0))</f>
        <v/>
      </c>
      <c r="BG182" s="16">
        <f>(L182/225)*1.5*BD182</f>
        <v/>
      </c>
      <c r="BH182" s="15">
        <f>BF182+BG182</f>
        <v/>
      </c>
      <c r="BI182" s="17">
        <f>BE182+BH182</f>
        <v/>
      </c>
      <c r="BJ182" s="7">
        <f>IFERROR(VLOOKUP(B182, Resmi_Bordro_SGK!B:M, 11, FALSE), 0)</f>
        <v/>
      </c>
      <c r="BK182" s="18">
        <f>IFERROR(VLOOKUP(B182, Icra_Takip!A:E, 4, FALSE), 0)</f>
        <v/>
      </c>
      <c r="BL182" s="17">
        <f>IF(BI182&gt;BJ182, BI182-BJ182-BK182, 0)</f>
        <v/>
      </c>
      <c r="BM182" s="17">
        <f>BI182-BK182</f>
        <v/>
      </c>
    </row>
    <row r="183" ht="19" customHeight="1">
      <c r="A183" s="4" t="n">
        <v>180</v>
      </c>
      <c r="B183" s="5" t="inlineStr">
        <is>
          <t>52240399666</t>
        </is>
      </c>
      <c r="C183" s="6" t="inlineStr">
        <is>
          <t>HANDAN TOPTİK</t>
        </is>
      </c>
      <c r="D183" s="4" t="inlineStr">
        <is>
          <t>K</t>
        </is>
      </c>
      <c r="E183" s="4" t="inlineStr"/>
      <c r="F183" s="4" t="inlineStr">
        <is>
          <t>12.06.2026</t>
        </is>
      </c>
      <c r="G183" s="4" t="inlineStr"/>
      <c r="H183" s="4" t="inlineStr">
        <is>
          <t>NORMAL</t>
        </is>
      </c>
      <c r="I183" s="4" t="inlineStr">
        <is>
          <t>MEVSİMLİK</t>
        </is>
      </c>
      <c r="J183" s="6" t="inlineStr">
        <is>
          <t>ÜRETİM</t>
        </is>
      </c>
      <c r="K183" s="6" t="inlineStr">
        <is>
          <t>KARACABEY-HALİL</t>
        </is>
      </c>
      <c r="L183" s="7" t="n">
        <v>28075.5</v>
      </c>
      <c r="M183" s="4" t="inlineStr">
        <is>
          <t>FİDE KONSERVE</t>
        </is>
      </c>
      <c r="N183" s="4" t="inlineStr">
        <is>
          <t>ALIR</t>
        </is>
      </c>
      <c r="O183" s="19" t="n">
        <v>10.5</v>
      </c>
      <c r="P183" s="19" t="n">
        <v>0</v>
      </c>
      <c r="Q183" s="19" t="n">
        <v>10.5</v>
      </c>
      <c r="R183" s="9" t="n">
        <v>0</v>
      </c>
      <c r="S183" s="19" t="n">
        <v>10.5</v>
      </c>
      <c r="T183" s="19" t="n">
        <v>10.5</v>
      </c>
      <c r="U183" s="19" t="n">
        <v>0</v>
      </c>
      <c r="V183" s="19" t="n">
        <v>10.5</v>
      </c>
      <c r="W183" s="19" t="n">
        <v>10.5</v>
      </c>
      <c r="X183" s="19" t="n">
        <v>10.5</v>
      </c>
      <c r="Y183" s="9" t="n">
        <v>0</v>
      </c>
      <c r="Z183" s="19" t="n">
        <v>10.5</v>
      </c>
      <c r="AA183" s="19" t="n">
        <v>0</v>
      </c>
      <c r="AB183" s="19" t="n">
        <v>10.5</v>
      </c>
      <c r="AC183" s="19" t="n">
        <v>0</v>
      </c>
      <c r="AD183" s="19" t="n">
        <v>0</v>
      </c>
      <c r="AE183" s="19" t="n">
        <v>0</v>
      </c>
      <c r="AF183" s="9" t="n">
        <v>0</v>
      </c>
      <c r="AG183" s="19" t="n">
        <v>0</v>
      </c>
      <c r="AH183" s="19" t="n">
        <v>0</v>
      </c>
      <c r="AI183" s="19" t="n">
        <v>0</v>
      </c>
      <c r="AJ183" s="19" t="n">
        <v>0</v>
      </c>
      <c r="AK183" s="19" t="n">
        <v>0</v>
      </c>
      <c r="AL183" s="19" t="n">
        <v>0</v>
      </c>
      <c r="AM183" s="9" t="n">
        <v>0</v>
      </c>
      <c r="AN183" s="19" t="n">
        <v>0</v>
      </c>
      <c r="AO183" s="19" t="n">
        <v>0</v>
      </c>
      <c r="AP183" s="19" t="n">
        <v>0</v>
      </c>
      <c r="AQ183" s="19" t="n">
        <v>0</v>
      </c>
      <c r="AR183" s="19" t="n">
        <v>0</v>
      </c>
      <c r="AS183" s="19" t="n">
        <v>0</v>
      </c>
      <c r="AT183" s="10">
        <f>SUM(O183:AS183)</f>
        <v/>
      </c>
      <c r="AU183" s="20">
        <f>COUNTIF(O183:AS183, "&gt;0")</f>
        <v/>
      </c>
      <c r="AV183" s="12">
        <f>IF(AU183&gt;=5, 4, IF(AU183&gt;0, INT(AU183/6), 0))</f>
        <v/>
      </c>
      <c r="AW183" s="20" t="n">
        <v>0</v>
      </c>
      <c r="AX183" s="20" t="n">
        <v>0</v>
      </c>
      <c r="AY183" s="13">
        <f>MIN(31, AU183+AV183+AW183+AX183)</f>
        <v/>
      </c>
      <c r="AZ183" s="14">
        <f>31-AY183</f>
        <v/>
      </c>
      <c r="BA183" s="21">
        <f>IF(AX183&gt;0, "01-İstirahat", IF(AZ183&gt;0, "12-Birden Fazla", ""))</f>
        <v/>
      </c>
      <c r="BB183" s="10" t="n">
        <v>27</v>
      </c>
      <c r="BC183" s="19" t="n">
        <v>0</v>
      </c>
      <c r="BD183" s="9" t="n">
        <v>0</v>
      </c>
      <c r="BE183" s="22">
        <f>(L183/30)*AU183</f>
        <v/>
      </c>
      <c r="BF183" s="15">
        <f>(L183/225)*((BB183*1.5)-(BC183*1.0))</f>
        <v/>
      </c>
      <c r="BG183" s="16">
        <f>(L183/225)*1.5*BD183</f>
        <v/>
      </c>
      <c r="BH183" s="15">
        <f>BF183+BG183</f>
        <v/>
      </c>
      <c r="BI183" s="17">
        <f>BE183+BH183</f>
        <v/>
      </c>
      <c r="BJ183" s="22">
        <f>IFERROR(VLOOKUP(B183, Resmi_Bordro_SGK!B:M, 11, FALSE), 0)</f>
        <v/>
      </c>
      <c r="BK183" s="18">
        <f>IFERROR(VLOOKUP(B183, Icra_Takip!A:E, 4, FALSE), 0)</f>
        <v/>
      </c>
      <c r="BL183" s="17">
        <f>IF(BI183&gt;BJ183, BI183-BJ183-BK183, 0)</f>
        <v/>
      </c>
      <c r="BM183" s="17">
        <f>BI183-BK183</f>
        <v/>
      </c>
    </row>
    <row r="184" ht="19" customHeight="1">
      <c r="A184" s="4" t="n">
        <v>181</v>
      </c>
      <c r="B184" s="5" t="inlineStr">
        <is>
          <t>16217577174</t>
        </is>
      </c>
      <c r="C184" s="6" t="inlineStr">
        <is>
          <t>HANIM İİLHAN</t>
        </is>
      </c>
      <c r="D184" s="4" t="inlineStr">
        <is>
          <t>K</t>
        </is>
      </c>
      <c r="E184" s="4" t="inlineStr"/>
      <c r="F184" s="4" t="inlineStr">
        <is>
          <t>05.05.2026</t>
        </is>
      </c>
      <c r="G184" s="4" t="inlineStr"/>
      <c r="H184" s="4" t="inlineStr">
        <is>
          <t>NORMAL</t>
        </is>
      </c>
      <c r="I184" s="4" t="inlineStr">
        <is>
          <t>MEVSİMLİK</t>
        </is>
      </c>
      <c r="J184" s="6" t="inlineStr">
        <is>
          <t>BALIK DOLUM</t>
        </is>
      </c>
      <c r="K184" s="6" t="inlineStr">
        <is>
          <t>GÜVEN TURİZM KARACABEY</t>
        </is>
      </c>
      <c r="L184" s="7" t="n">
        <v>33000</v>
      </c>
      <c r="M184" s="4" t="inlineStr">
        <is>
          <t>FİDE KONSERVE</t>
        </is>
      </c>
      <c r="N184" s="4" t="inlineStr">
        <is>
          <t>ALIR</t>
        </is>
      </c>
      <c r="O184" s="8" t="n">
        <v>0</v>
      </c>
      <c r="P184" s="8" t="n">
        <v>0</v>
      </c>
      <c r="Q184" s="8" t="n">
        <v>0</v>
      </c>
      <c r="R184" s="9" t="n">
        <v>0</v>
      </c>
      <c r="S184" s="8" t="n">
        <v>0</v>
      </c>
      <c r="T184" s="8" t="n">
        <v>0</v>
      </c>
      <c r="U184" s="8" t="n">
        <v>0</v>
      </c>
      <c r="V184" s="8" t="n">
        <v>0</v>
      </c>
      <c r="W184" s="8" t="n">
        <v>0</v>
      </c>
      <c r="X184" s="8" t="n">
        <v>0</v>
      </c>
      <c r="Y184" s="9" t="n">
        <v>0</v>
      </c>
      <c r="Z184" s="8" t="n">
        <v>0</v>
      </c>
      <c r="AA184" s="8" t="n">
        <v>0</v>
      </c>
      <c r="AB184" s="8" t="n">
        <v>0</v>
      </c>
      <c r="AC184" s="8" t="n">
        <v>0</v>
      </c>
      <c r="AD184" s="8" t="n">
        <v>0</v>
      </c>
      <c r="AE184" s="8" t="n">
        <v>0</v>
      </c>
      <c r="AF184" s="9" t="n">
        <v>0</v>
      </c>
      <c r="AG184" s="8" t="n">
        <v>0</v>
      </c>
      <c r="AH184" s="8" t="n">
        <v>0</v>
      </c>
      <c r="AI184" s="8" t="n">
        <v>0</v>
      </c>
      <c r="AJ184" s="8" t="n">
        <v>0</v>
      </c>
      <c r="AK184" s="8" t="n">
        <v>0</v>
      </c>
      <c r="AL184" s="8" t="n">
        <v>0</v>
      </c>
      <c r="AM184" s="9" t="n">
        <v>0</v>
      </c>
      <c r="AN184" s="8" t="n">
        <v>0</v>
      </c>
      <c r="AO184" s="8" t="n">
        <v>0</v>
      </c>
      <c r="AP184" s="8" t="n">
        <v>0</v>
      </c>
      <c r="AQ184" s="8" t="n">
        <v>0</v>
      </c>
      <c r="AR184" s="8" t="n">
        <v>0</v>
      </c>
      <c r="AS184" s="8" t="n">
        <v>0</v>
      </c>
      <c r="AT184" s="10">
        <f>SUM(O184:AS184)</f>
        <v/>
      </c>
      <c r="AU184" s="11">
        <f>COUNTIF(O184:AS184, "&gt;0")</f>
        <v/>
      </c>
      <c r="AV184" s="12">
        <f>IF(AU184&gt;=5, 4, IF(AU184&gt;0, INT(AU184/6), 0))</f>
        <v/>
      </c>
      <c r="AW184" s="11" t="n">
        <v>0</v>
      </c>
      <c r="AX184" s="11" t="n">
        <v>0</v>
      </c>
      <c r="AY184" s="13">
        <f>MIN(31, AU184+AV184+AW184+AX184)</f>
        <v/>
      </c>
      <c r="AZ184" s="14">
        <f>31-AY184</f>
        <v/>
      </c>
      <c r="BA184" s="5">
        <f>IF(AX184&gt;0, "01-İstirahat", IF(AZ184&gt;0, "12-Birden Fazla", ""))</f>
        <v/>
      </c>
      <c r="BB184" s="10" t="n">
        <v>0</v>
      </c>
      <c r="BC184" s="8" t="n">
        <v>0</v>
      </c>
      <c r="BD184" s="9" t="n">
        <v>0</v>
      </c>
      <c r="BE184" s="7">
        <f>(L184/30)*AU184</f>
        <v/>
      </c>
      <c r="BF184" s="15">
        <f>(L184/225)*((BB184*1.5)-(BC184*1.0))</f>
        <v/>
      </c>
      <c r="BG184" s="16">
        <f>(L184/225)*1.5*BD184</f>
        <v/>
      </c>
      <c r="BH184" s="15">
        <f>BF184+BG184</f>
        <v/>
      </c>
      <c r="BI184" s="17">
        <f>BE184+BH184</f>
        <v/>
      </c>
      <c r="BJ184" s="7">
        <f>IFERROR(VLOOKUP(B184, Resmi_Bordro_SGK!B:M, 11, FALSE), 0)</f>
        <v/>
      </c>
      <c r="BK184" s="18">
        <f>IFERROR(VLOOKUP(B184, Icra_Takip!A:E, 4, FALSE), 0)</f>
        <v/>
      </c>
      <c r="BL184" s="17">
        <f>IF(BI184&gt;BJ184, BI184-BJ184-BK184, 0)</f>
        <v/>
      </c>
      <c r="BM184" s="17">
        <f>BI184-BK184</f>
        <v/>
      </c>
    </row>
    <row r="185" ht="19" customHeight="1">
      <c r="A185" s="4" t="n">
        <v>182</v>
      </c>
      <c r="B185" s="5" t="inlineStr">
        <is>
          <t>23575500782</t>
        </is>
      </c>
      <c r="C185" s="6" t="inlineStr">
        <is>
          <t>HANİFE KATMIŞ</t>
        </is>
      </c>
      <c r="D185" s="4" t="inlineStr">
        <is>
          <t>K</t>
        </is>
      </c>
      <c r="E185" s="4" t="inlineStr"/>
      <c r="F185" s="4" t="inlineStr">
        <is>
          <t>29.06.2026</t>
        </is>
      </c>
      <c r="G185" s="4" t="inlineStr"/>
      <c r="H185" s="4" t="inlineStr">
        <is>
          <t>NORMAL</t>
        </is>
      </c>
      <c r="I185" s="4" t="inlineStr">
        <is>
          <t>MEVSİMLİK</t>
        </is>
      </c>
      <c r="J185" s="6" t="inlineStr">
        <is>
          <t>ÜRETİM</t>
        </is>
      </c>
      <c r="K185" s="6" t="inlineStr">
        <is>
          <t>KARACABEY-HALİL</t>
        </is>
      </c>
      <c r="L185" s="7" t="n">
        <v>28075.5</v>
      </c>
      <c r="M185" s="4" t="inlineStr">
        <is>
          <t>FİDE KONSERVE</t>
        </is>
      </c>
      <c r="N185" s="4" t="inlineStr">
        <is>
          <t>ALIR</t>
        </is>
      </c>
      <c r="O185" s="19" t="n">
        <v>0</v>
      </c>
      <c r="P185" s="19" t="n">
        <v>0</v>
      </c>
      <c r="Q185" s="19" t="n">
        <v>0</v>
      </c>
      <c r="R185" s="9" t="n">
        <v>0</v>
      </c>
      <c r="S185" s="19" t="n">
        <v>0</v>
      </c>
      <c r="T185" s="19" t="n">
        <v>0</v>
      </c>
      <c r="U185" s="19" t="n">
        <v>0</v>
      </c>
      <c r="V185" s="19" t="n">
        <v>0</v>
      </c>
      <c r="W185" s="19" t="n">
        <v>0</v>
      </c>
      <c r="X185" s="19" t="n">
        <v>0</v>
      </c>
      <c r="Y185" s="9" t="n">
        <v>0</v>
      </c>
      <c r="Z185" s="19" t="n">
        <v>0</v>
      </c>
      <c r="AA185" s="19" t="n">
        <v>0</v>
      </c>
      <c r="AB185" s="19" t="n">
        <v>0</v>
      </c>
      <c r="AC185" s="19" t="n">
        <v>0</v>
      </c>
      <c r="AD185" s="19" t="n">
        <v>0</v>
      </c>
      <c r="AE185" s="19" t="n">
        <v>0</v>
      </c>
      <c r="AF185" s="9" t="n">
        <v>0</v>
      </c>
      <c r="AG185" s="19" t="n">
        <v>0</v>
      </c>
      <c r="AH185" s="19" t="n">
        <v>0</v>
      </c>
      <c r="AI185" s="19" t="n">
        <v>0</v>
      </c>
      <c r="AJ185" s="19" t="n">
        <v>0</v>
      </c>
      <c r="AK185" s="19" t="n">
        <v>0</v>
      </c>
      <c r="AL185" s="19" t="n">
        <v>0</v>
      </c>
      <c r="AM185" s="9" t="n">
        <v>0</v>
      </c>
      <c r="AN185" s="19" t="n">
        <v>0</v>
      </c>
      <c r="AO185" s="19" t="n">
        <v>0</v>
      </c>
      <c r="AP185" s="19" t="n">
        <v>0</v>
      </c>
      <c r="AQ185" s="19" t="n">
        <v>0</v>
      </c>
      <c r="AR185" s="19" t="n">
        <v>0</v>
      </c>
      <c r="AS185" s="19" t="n">
        <v>0</v>
      </c>
      <c r="AT185" s="10">
        <f>SUM(O185:AS185)</f>
        <v/>
      </c>
      <c r="AU185" s="20">
        <f>COUNTIF(O185:AS185, "&gt;0")</f>
        <v/>
      </c>
      <c r="AV185" s="12">
        <f>IF(AU185&gt;=5, 4, IF(AU185&gt;0, INT(AU185/6), 0))</f>
        <v/>
      </c>
      <c r="AW185" s="20" t="n">
        <v>0</v>
      </c>
      <c r="AX185" s="20" t="n">
        <v>0</v>
      </c>
      <c r="AY185" s="13">
        <f>MIN(31, AU185+AV185+AW185+AX185)</f>
        <v/>
      </c>
      <c r="AZ185" s="14">
        <f>31-AY185</f>
        <v/>
      </c>
      <c r="BA185" s="21">
        <f>IF(AX185&gt;0, "01-İstirahat", IF(AZ185&gt;0, "12-Birden Fazla", ""))</f>
        <v/>
      </c>
      <c r="BB185" s="10" t="n">
        <v>0</v>
      </c>
      <c r="BC185" s="19" t="n">
        <v>0</v>
      </c>
      <c r="BD185" s="9" t="n">
        <v>0</v>
      </c>
      <c r="BE185" s="22">
        <f>(L185/30)*AU185</f>
        <v/>
      </c>
      <c r="BF185" s="15">
        <f>(L185/225)*((BB185*1.5)-(BC185*1.0))</f>
        <v/>
      </c>
      <c r="BG185" s="16">
        <f>(L185/225)*1.5*BD185</f>
        <v/>
      </c>
      <c r="BH185" s="15">
        <f>BF185+BG185</f>
        <v/>
      </c>
      <c r="BI185" s="17">
        <f>BE185+BH185</f>
        <v/>
      </c>
      <c r="BJ185" s="22">
        <f>IFERROR(VLOOKUP(B185, Resmi_Bordro_SGK!B:M, 11, FALSE), 0)</f>
        <v/>
      </c>
      <c r="BK185" s="18">
        <f>IFERROR(VLOOKUP(B185, Icra_Takip!A:E, 4, FALSE), 0)</f>
        <v/>
      </c>
      <c r="BL185" s="17">
        <f>IF(BI185&gt;BJ185, BI185-BJ185-BK185, 0)</f>
        <v/>
      </c>
      <c r="BM185" s="17">
        <f>BI185-BK185</f>
        <v/>
      </c>
    </row>
    <row r="186" ht="19" customHeight="1">
      <c r="A186" s="4" t="n">
        <v>183</v>
      </c>
      <c r="B186" s="5" t="inlineStr">
        <is>
          <t>14644681464</t>
        </is>
      </c>
      <c r="C186" s="6" t="inlineStr">
        <is>
          <t>HANİFE SAYGI</t>
        </is>
      </c>
      <c r="D186" s="4" t="inlineStr">
        <is>
          <t>K</t>
        </is>
      </c>
      <c r="E186" s="4" t="inlineStr"/>
      <c r="F186" s="4" t="inlineStr">
        <is>
          <t>09.10.2025</t>
        </is>
      </c>
      <c r="G186" s="4" t="inlineStr"/>
      <c r="H186" s="4" t="inlineStr">
        <is>
          <t>NORMAL</t>
        </is>
      </c>
      <c r="I186" s="4" t="inlineStr">
        <is>
          <t>MEVSİMLİK</t>
        </is>
      </c>
      <c r="J186" s="6" t="inlineStr">
        <is>
          <t>AMBAR</t>
        </is>
      </c>
      <c r="K186" s="6" t="inlineStr">
        <is>
          <t>BİGADİÇ</t>
        </is>
      </c>
      <c r="L186" s="7" t="n">
        <v>28075.5</v>
      </c>
      <c r="M186" s="4" t="inlineStr">
        <is>
          <t>FİDE KONSERVE</t>
        </is>
      </c>
      <c r="N186" s="4" t="inlineStr">
        <is>
          <t>ALIR</t>
        </is>
      </c>
      <c r="O186" s="8" t="n">
        <v>0</v>
      </c>
      <c r="P186" s="8" t="n">
        <v>0</v>
      </c>
      <c r="Q186" s="8" t="n">
        <v>0</v>
      </c>
      <c r="R186" s="9" t="n">
        <v>0</v>
      </c>
      <c r="S186" s="8" t="n">
        <v>0</v>
      </c>
      <c r="T186" s="8" t="n">
        <v>0</v>
      </c>
      <c r="U186" s="8" t="n">
        <v>0</v>
      </c>
      <c r="V186" s="8" t="n">
        <v>0</v>
      </c>
      <c r="W186" s="8" t="n">
        <v>0</v>
      </c>
      <c r="X186" s="8" t="n">
        <v>0</v>
      </c>
      <c r="Y186" s="9" t="n">
        <v>0</v>
      </c>
      <c r="Z186" s="8" t="n">
        <v>0</v>
      </c>
      <c r="AA186" s="8" t="n">
        <v>0</v>
      </c>
      <c r="AB186" s="8" t="n">
        <v>0</v>
      </c>
      <c r="AC186" s="8" t="n">
        <v>0</v>
      </c>
      <c r="AD186" s="8" t="n">
        <v>0</v>
      </c>
      <c r="AE186" s="8" t="n">
        <v>0</v>
      </c>
      <c r="AF186" s="9" t="n">
        <v>0</v>
      </c>
      <c r="AG186" s="8" t="n">
        <v>0</v>
      </c>
      <c r="AH186" s="8" t="n">
        <v>0</v>
      </c>
      <c r="AI186" s="8" t="n">
        <v>0</v>
      </c>
      <c r="AJ186" s="8" t="n">
        <v>0</v>
      </c>
      <c r="AK186" s="8" t="n">
        <v>0</v>
      </c>
      <c r="AL186" s="8" t="n">
        <v>0</v>
      </c>
      <c r="AM186" s="9" t="n">
        <v>0</v>
      </c>
      <c r="AN186" s="8" t="n">
        <v>0</v>
      </c>
      <c r="AO186" s="8" t="n">
        <v>0</v>
      </c>
      <c r="AP186" s="8" t="n">
        <v>0</v>
      </c>
      <c r="AQ186" s="8" t="n">
        <v>0</v>
      </c>
      <c r="AR186" s="8" t="n">
        <v>0</v>
      </c>
      <c r="AS186" s="8" t="n">
        <v>0</v>
      </c>
      <c r="AT186" s="10">
        <f>SUM(O186:AS186)</f>
        <v/>
      </c>
      <c r="AU186" s="11">
        <f>COUNTIF(O186:AS186, "&gt;0")</f>
        <v/>
      </c>
      <c r="AV186" s="12">
        <f>IF(AU186&gt;=5, 4, IF(AU186&gt;0, INT(AU186/6), 0))</f>
        <v/>
      </c>
      <c r="AW186" s="11" t="n">
        <v>0</v>
      </c>
      <c r="AX186" s="11" t="n">
        <v>0</v>
      </c>
      <c r="AY186" s="13">
        <f>MIN(31, AU186+AV186+AW186+AX186)</f>
        <v/>
      </c>
      <c r="AZ186" s="14">
        <f>31-AY186</f>
        <v/>
      </c>
      <c r="BA186" s="5">
        <f>IF(AX186&gt;0, "01-İstirahat", IF(AZ186&gt;0, "12-Birden Fazla", ""))</f>
        <v/>
      </c>
      <c r="BB186" s="10" t="n">
        <v>0</v>
      </c>
      <c r="BC186" s="8" t="n">
        <v>0</v>
      </c>
      <c r="BD186" s="9" t="n">
        <v>0</v>
      </c>
      <c r="BE186" s="7">
        <f>(L186/30)*AU186</f>
        <v/>
      </c>
      <c r="BF186" s="15">
        <f>(L186/225)*((BB186*1.5)-(BC186*1.0))</f>
        <v/>
      </c>
      <c r="BG186" s="16">
        <f>(L186/225)*1.5*BD186</f>
        <v/>
      </c>
      <c r="BH186" s="15">
        <f>BF186+BG186</f>
        <v/>
      </c>
      <c r="BI186" s="17">
        <f>BE186+BH186</f>
        <v/>
      </c>
      <c r="BJ186" s="7">
        <f>IFERROR(VLOOKUP(B186, Resmi_Bordro_SGK!B:M, 11, FALSE), 0)</f>
        <v/>
      </c>
      <c r="BK186" s="18">
        <f>IFERROR(VLOOKUP(B186, Icra_Takip!A:E, 4, FALSE), 0)</f>
        <v/>
      </c>
      <c r="BL186" s="17">
        <f>IF(BI186&gt;BJ186, BI186-BJ186-BK186, 0)</f>
        <v/>
      </c>
      <c r="BM186" s="17">
        <f>BI186-BK186</f>
        <v/>
      </c>
    </row>
    <row r="187" ht="19" customHeight="1">
      <c r="A187" s="4" t="n">
        <v>184</v>
      </c>
      <c r="B187" s="5" t="inlineStr">
        <is>
          <t>20290485820</t>
        </is>
      </c>
      <c r="C187" s="6" t="inlineStr">
        <is>
          <t>HANİFE YILDIRIM</t>
        </is>
      </c>
      <c r="D187" s="4" t="inlineStr">
        <is>
          <t>K</t>
        </is>
      </c>
      <c r="E187" s="4" t="inlineStr">
        <is>
          <t>23.06.2026</t>
        </is>
      </c>
      <c r="F187" s="4" t="inlineStr">
        <is>
          <t>24.06.2026</t>
        </is>
      </c>
      <c r="G187" s="4" t="inlineStr"/>
      <c r="H187" s="4" t="inlineStr">
        <is>
          <t>NORMAL</t>
        </is>
      </c>
      <c r="I187" s="4" t="inlineStr">
        <is>
          <t>MEVSİMLİK</t>
        </is>
      </c>
      <c r="J187" s="6" t="inlineStr">
        <is>
          <t>BALIK TEMİZLEME</t>
        </is>
      </c>
      <c r="K187" s="6" t="inlineStr">
        <is>
          <t>BALIKESİR</t>
        </is>
      </c>
      <c r="L187" s="7" t="n">
        <v>33000</v>
      </c>
      <c r="M187" s="4" t="inlineStr">
        <is>
          <t>FİDE KONSERVE</t>
        </is>
      </c>
      <c r="N187" s="4" t="inlineStr">
        <is>
          <t>ALIR</t>
        </is>
      </c>
      <c r="O187" s="19" t="n">
        <v>8</v>
      </c>
      <c r="P187" s="19" t="n">
        <v>8.5</v>
      </c>
      <c r="Q187" s="19" t="n">
        <v>8</v>
      </c>
      <c r="R187" s="9" t="n">
        <v>0</v>
      </c>
      <c r="S187" s="19" t="n">
        <v>7.5</v>
      </c>
      <c r="T187" s="19" t="n">
        <v>8</v>
      </c>
      <c r="U187" s="19" t="n">
        <v>8</v>
      </c>
      <c r="V187" s="19" t="n">
        <v>8</v>
      </c>
      <c r="W187" s="19" t="n">
        <v>8</v>
      </c>
      <c r="X187" s="19" t="n">
        <v>8.5</v>
      </c>
      <c r="Y187" s="9" t="n">
        <v>0</v>
      </c>
      <c r="Z187" s="19" t="n">
        <v>7.5</v>
      </c>
      <c r="AA187" s="19" t="n">
        <v>7.5</v>
      </c>
      <c r="AB187" s="19" t="n">
        <v>8.5</v>
      </c>
      <c r="AC187" s="19" t="n">
        <v>0</v>
      </c>
      <c r="AD187" s="19" t="n">
        <v>8</v>
      </c>
      <c r="AE187" s="19" t="n">
        <v>8.5</v>
      </c>
      <c r="AF187" s="9" t="n">
        <v>0</v>
      </c>
      <c r="AG187" s="19" t="n">
        <v>8</v>
      </c>
      <c r="AH187" s="19" t="n">
        <v>7.5</v>
      </c>
      <c r="AI187" s="19" t="n">
        <v>7.5</v>
      </c>
      <c r="AJ187" s="19" t="n">
        <v>0</v>
      </c>
      <c r="AK187" s="19" t="n">
        <v>0</v>
      </c>
      <c r="AL187" s="19" t="n">
        <v>0</v>
      </c>
      <c r="AM187" s="9" t="n">
        <v>0</v>
      </c>
      <c r="AN187" s="19" t="n">
        <v>0</v>
      </c>
      <c r="AO187" s="19" t="n">
        <v>0</v>
      </c>
      <c r="AP187" s="19" t="n">
        <v>0</v>
      </c>
      <c r="AQ187" s="19" t="n">
        <v>0</v>
      </c>
      <c r="AR187" s="19" t="n">
        <v>0</v>
      </c>
      <c r="AS187" s="19" t="n">
        <v>0</v>
      </c>
      <c r="AT187" s="10">
        <f>SUM(O187:AS187)</f>
        <v/>
      </c>
      <c r="AU187" s="20">
        <f>COUNTIF(O187:AS187, "&gt;0")</f>
        <v/>
      </c>
      <c r="AV187" s="12">
        <f>IF(AU187&gt;=5, 4, IF(AU187&gt;0, INT(AU187/6), 0))</f>
        <v/>
      </c>
      <c r="AW187" s="20" t="n">
        <v>0</v>
      </c>
      <c r="AX187" s="20" t="n">
        <v>0</v>
      </c>
      <c r="AY187" s="13">
        <f>MIN(31, AU187+AV187+AW187+AX187)</f>
        <v/>
      </c>
      <c r="AZ187" s="14">
        <f>31-AY187</f>
        <v/>
      </c>
      <c r="BA187" s="21">
        <f>IF(AX187&gt;0, "01-İstirahat", IF(AZ187&gt;0, "12-Birden Fazla", ""))</f>
        <v/>
      </c>
      <c r="BB187" s="10" t="n">
        <v>8</v>
      </c>
      <c r="BC187" s="19" t="n">
        <v>0</v>
      </c>
      <c r="BD187" s="9" t="n">
        <v>0</v>
      </c>
      <c r="BE187" s="22">
        <f>(L187/30)*AU187</f>
        <v/>
      </c>
      <c r="BF187" s="15">
        <f>(L187/225)*((BB187*1.5)-(BC187*1.0))</f>
        <v/>
      </c>
      <c r="BG187" s="16">
        <f>(L187/225)*1.5*BD187</f>
        <v/>
      </c>
      <c r="BH187" s="15">
        <f>BF187+BG187</f>
        <v/>
      </c>
      <c r="BI187" s="17">
        <f>BE187+BH187</f>
        <v/>
      </c>
      <c r="BJ187" s="22">
        <f>IFERROR(VLOOKUP(B187, Resmi_Bordro_SGK!B:M, 11, FALSE), 0)</f>
        <v/>
      </c>
      <c r="BK187" s="18">
        <f>IFERROR(VLOOKUP(B187, Icra_Takip!A:E, 4, FALSE), 0)</f>
        <v/>
      </c>
      <c r="BL187" s="17">
        <f>IF(BI187&gt;BJ187, BI187-BJ187-BK187, 0)</f>
        <v/>
      </c>
      <c r="BM187" s="17">
        <f>BI187-BK187</f>
        <v/>
      </c>
    </row>
    <row r="188" ht="19" customHeight="1">
      <c r="A188" s="4" t="n">
        <v>185</v>
      </c>
      <c r="B188" s="5" t="inlineStr"/>
      <c r="C188" s="6" t="inlineStr">
        <is>
          <t>HARUN ABAKAY</t>
        </is>
      </c>
      <c r="D188" s="4" t="inlineStr"/>
      <c r="E188" s="4" t="inlineStr"/>
      <c r="F188" s="4" t="inlineStr"/>
      <c r="G188" s="4" t="inlineStr"/>
      <c r="H188" s="4" t="inlineStr">
        <is>
          <t>NORMAL</t>
        </is>
      </c>
      <c r="I188" s="4" t="inlineStr">
        <is>
          <t>MEVSİMLİK</t>
        </is>
      </c>
      <c r="J188" s="6" t="inlineStr"/>
      <c r="K188" s="6" t="inlineStr"/>
      <c r="L188" s="7" t="n">
        <v>28075.5</v>
      </c>
      <c r="M188" s="4" t="inlineStr">
        <is>
          <t>FİDE KONSERVE</t>
        </is>
      </c>
      <c r="N188" s="4" t="inlineStr">
        <is>
          <t>ALIR</t>
        </is>
      </c>
      <c r="O188" s="8" t="n">
        <v>0</v>
      </c>
      <c r="P188" s="8" t="n">
        <v>10.5</v>
      </c>
      <c r="Q188" s="8" t="n">
        <v>10.5</v>
      </c>
      <c r="R188" s="9" t="n">
        <v>0</v>
      </c>
      <c r="S188" s="8" t="n">
        <v>10.5</v>
      </c>
      <c r="T188" s="8" t="n">
        <v>10.5</v>
      </c>
      <c r="U188" s="8" t="n">
        <v>10.5</v>
      </c>
      <c r="V188" s="8" t="n">
        <v>10.5</v>
      </c>
      <c r="W188" s="8" t="n">
        <v>10.5</v>
      </c>
      <c r="X188" s="8" t="n">
        <v>10.5</v>
      </c>
      <c r="Y188" s="9" t="n">
        <v>0</v>
      </c>
      <c r="Z188" s="8" t="n">
        <v>10.5</v>
      </c>
      <c r="AA188" s="8" t="n">
        <v>0</v>
      </c>
      <c r="AB188" s="8" t="n">
        <v>10.5</v>
      </c>
      <c r="AC188" s="8" t="n">
        <v>10.5</v>
      </c>
      <c r="AD188" s="8" t="n">
        <v>0</v>
      </c>
      <c r="AE188" s="8" t="n">
        <v>0</v>
      </c>
      <c r="AF188" s="9" t="n">
        <v>0</v>
      </c>
      <c r="AG188" s="8" t="n">
        <v>10.5</v>
      </c>
      <c r="AH188" s="8" t="n">
        <v>0</v>
      </c>
      <c r="AI188" s="8" t="n">
        <v>0</v>
      </c>
      <c r="AJ188" s="8" t="n">
        <v>0</v>
      </c>
      <c r="AK188" s="8" t="n">
        <v>0</v>
      </c>
      <c r="AL188" s="8" t="n">
        <v>0</v>
      </c>
      <c r="AM188" s="9" t="n">
        <v>0</v>
      </c>
      <c r="AN188" s="8" t="n">
        <v>0</v>
      </c>
      <c r="AO188" s="8" t="n">
        <v>0</v>
      </c>
      <c r="AP188" s="8" t="n">
        <v>0</v>
      </c>
      <c r="AQ188" s="8" t="n">
        <v>0</v>
      </c>
      <c r="AR188" s="8" t="n">
        <v>0</v>
      </c>
      <c r="AS188" s="8" t="n">
        <v>0</v>
      </c>
      <c r="AT188" s="10">
        <f>SUM(O188:AS188)</f>
        <v/>
      </c>
      <c r="AU188" s="11">
        <f>COUNTIF(O188:AS188, "&gt;0")</f>
        <v/>
      </c>
      <c r="AV188" s="12">
        <f>IF(AU188&gt;=5, 4, IF(AU188&gt;0, INT(AU188/6), 0))</f>
        <v/>
      </c>
      <c r="AW188" s="11" t="n">
        <v>0</v>
      </c>
      <c r="AX188" s="11" t="n">
        <v>0</v>
      </c>
      <c r="AY188" s="13">
        <f>MIN(31, AU188+AV188+AW188+AX188)</f>
        <v/>
      </c>
      <c r="AZ188" s="14">
        <f>31-AY188</f>
        <v/>
      </c>
      <c r="BA188" s="5">
        <f>IF(AX188&gt;0, "01-İstirahat", IF(AZ188&gt;0, "12-Birden Fazla", ""))</f>
        <v/>
      </c>
      <c r="BB188" s="10" t="n">
        <v>36</v>
      </c>
      <c r="BC188" s="8" t="n">
        <v>0</v>
      </c>
      <c r="BD188" s="9" t="n">
        <v>0</v>
      </c>
      <c r="BE188" s="7">
        <f>(L188/30)*AU188</f>
        <v/>
      </c>
      <c r="BF188" s="15">
        <f>(L188/225)*((BB188*1.5)-(BC188*1.0))</f>
        <v/>
      </c>
      <c r="BG188" s="16">
        <f>(L188/225)*1.5*BD188</f>
        <v/>
      </c>
      <c r="BH188" s="15">
        <f>BF188+BG188</f>
        <v/>
      </c>
      <c r="BI188" s="17">
        <f>BE188+BH188</f>
        <v/>
      </c>
      <c r="BJ188" s="7">
        <f>IFERROR(VLOOKUP(B188, Resmi_Bordro_SGK!B:M, 11, FALSE), 0)</f>
        <v/>
      </c>
      <c r="BK188" s="18">
        <f>IFERROR(VLOOKUP(B188, Icra_Takip!A:E, 4, FALSE), 0)</f>
        <v/>
      </c>
      <c r="BL188" s="17">
        <f>IF(BI188&gt;BJ188, BI188-BJ188-BK188, 0)</f>
        <v/>
      </c>
      <c r="BM188" s="17">
        <f>BI188-BK188</f>
        <v/>
      </c>
    </row>
    <row r="189" ht="19" customHeight="1">
      <c r="A189" s="4" t="n">
        <v>186</v>
      </c>
      <c r="B189" s="5" t="inlineStr">
        <is>
          <t>14779989510</t>
        </is>
      </c>
      <c r="C189" s="6" t="inlineStr">
        <is>
          <t>HARUN YAHYA DURSUN</t>
        </is>
      </c>
      <c r="D189" s="4" t="inlineStr">
        <is>
          <t>E</t>
        </is>
      </c>
      <c r="E189" s="4" t="inlineStr"/>
      <c r="F189" s="4" t="inlineStr">
        <is>
          <t>06.01.2025</t>
        </is>
      </c>
      <c r="G189" s="4" t="inlineStr"/>
      <c r="H189" s="4" t="inlineStr">
        <is>
          <t>NORMAL</t>
        </is>
      </c>
      <c r="I189" s="4" t="inlineStr">
        <is>
          <t>DAİMİ</t>
        </is>
      </c>
      <c r="J189" s="6" t="inlineStr">
        <is>
          <t>BALIK DOLUM</t>
        </is>
      </c>
      <c r="K189" s="6" t="inlineStr">
        <is>
          <t>SUSURLUK</t>
        </is>
      </c>
      <c r="L189" s="7" t="n">
        <v>33000</v>
      </c>
      <c r="M189" s="4" t="inlineStr">
        <is>
          <t>FİDE KONSERVE</t>
        </is>
      </c>
      <c r="N189" s="4" t="inlineStr">
        <is>
          <t>ALIR</t>
        </is>
      </c>
      <c r="O189" s="19" t="n">
        <v>11</v>
      </c>
      <c r="P189" s="19" t="n">
        <v>14.5</v>
      </c>
      <c r="Q189" s="23" t="n">
        <v>8</v>
      </c>
      <c r="R189" s="9" t="n">
        <v>0</v>
      </c>
      <c r="S189" s="19" t="n">
        <v>8.5</v>
      </c>
      <c r="T189" s="19" t="n">
        <v>12</v>
      </c>
      <c r="U189" s="19" t="n">
        <v>9.5</v>
      </c>
      <c r="V189" s="19" t="n">
        <v>12</v>
      </c>
      <c r="W189" s="19" t="n">
        <v>7.5</v>
      </c>
      <c r="X189" s="19" t="n">
        <v>14.5</v>
      </c>
      <c r="Y189" s="9" t="n">
        <v>0</v>
      </c>
      <c r="Z189" s="19" t="n">
        <v>12</v>
      </c>
      <c r="AA189" s="19" t="n">
        <v>9.5</v>
      </c>
      <c r="AB189" s="19" t="n">
        <v>10.5</v>
      </c>
      <c r="AC189" s="19" t="n">
        <v>7.5</v>
      </c>
      <c r="AD189" s="19" t="n">
        <v>12</v>
      </c>
      <c r="AE189" s="19" t="n">
        <v>8</v>
      </c>
      <c r="AF189" s="9" t="n">
        <v>0</v>
      </c>
      <c r="AG189" s="23" t="n">
        <v>8</v>
      </c>
      <c r="AH189" s="19" t="n">
        <v>10.5</v>
      </c>
      <c r="AI189" s="23" t="n">
        <v>7.5</v>
      </c>
      <c r="AJ189" s="19" t="n">
        <v>0</v>
      </c>
      <c r="AK189" s="19" t="n">
        <v>0</v>
      </c>
      <c r="AL189" s="19" t="n">
        <v>0</v>
      </c>
      <c r="AM189" s="9" t="n">
        <v>0</v>
      </c>
      <c r="AN189" s="19" t="n">
        <v>0</v>
      </c>
      <c r="AO189" s="19" t="n">
        <v>0</v>
      </c>
      <c r="AP189" s="19" t="n">
        <v>0</v>
      </c>
      <c r="AQ189" s="19" t="n">
        <v>0</v>
      </c>
      <c r="AR189" s="19" t="n">
        <v>0</v>
      </c>
      <c r="AS189" s="19" t="n">
        <v>0</v>
      </c>
      <c r="AT189" s="10">
        <f>SUM(O189:AS189)</f>
        <v/>
      </c>
      <c r="AU189" s="20">
        <f>COUNTIF(O189:AS189, "&gt;0")</f>
        <v/>
      </c>
      <c r="AV189" s="12">
        <f>IF(AU189&gt;=5, 4, IF(AU189&gt;0, INT(AU189/6), 0))</f>
        <v/>
      </c>
      <c r="AW189" s="20" t="n">
        <v>0</v>
      </c>
      <c r="AX189" s="20" t="n">
        <v>0</v>
      </c>
      <c r="AY189" s="13">
        <f>MIN(31, AU189+AV189+AW189+AX189)</f>
        <v/>
      </c>
      <c r="AZ189" s="14">
        <f>31-AY189</f>
        <v/>
      </c>
      <c r="BA189" s="21">
        <f>IF(AX189&gt;0, "01-İstirahat", IF(AZ189&gt;0, "12-Birden Fazla", ""))</f>
        <v/>
      </c>
      <c r="BB189" s="10" t="n">
        <v>58</v>
      </c>
      <c r="BC189" s="19" t="n">
        <v>0</v>
      </c>
      <c r="BD189" s="9" t="n">
        <v>0</v>
      </c>
      <c r="BE189" s="22">
        <f>(L189/30)*AU189</f>
        <v/>
      </c>
      <c r="BF189" s="15">
        <f>(L189/225)*((BB189*1.5)-(BC189*1.0))</f>
        <v/>
      </c>
      <c r="BG189" s="16">
        <f>(L189/225)*1.5*BD189</f>
        <v/>
      </c>
      <c r="BH189" s="15">
        <f>BF189+BG189</f>
        <v/>
      </c>
      <c r="BI189" s="17">
        <f>BE189+BH189</f>
        <v/>
      </c>
      <c r="BJ189" s="22">
        <f>IFERROR(VLOOKUP(B189, Resmi_Bordro_SGK!B:M, 11, FALSE), 0)</f>
        <v/>
      </c>
      <c r="BK189" s="18">
        <f>IFERROR(VLOOKUP(B189, Icra_Takip!A:E, 4, FALSE), 0)</f>
        <v/>
      </c>
      <c r="BL189" s="17">
        <f>IF(BI189&gt;BJ189, BI189-BJ189-BK189, 0)</f>
        <v/>
      </c>
      <c r="BM189" s="17">
        <f>BI189-BK189</f>
        <v/>
      </c>
    </row>
    <row r="190" ht="19" customHeight="1">
      <c r="A190" s="4" t="n">
        <v>187</v>
      </c>
      <c r="B190" s="5" t="inlineStr">
        <is>
          <t>63982416122</t>
        </is>
      </c>
      <c r="C190" s="6" t="inlineStr">
        <is>
          <t>HATİCE BUSE POLAT</t>
        </is>
      </c>
      <c r="D190" s="4" t="inlineStr">
        <is>
          <t>K</t>
        </is>
      </c>
      <c r="E190" s="4" t="inlineStr"/>
      <c r="F190" s="4" t="inlineStr">
        <is>
          <t>13.07.2026</t>
        </is>
      </c>
      <c r="G190" s="4" t="inlineStr"/>
      <c r="H190" s="4" t="inlineStr">
        <is>
          <t>NORMAL</t>
        </is>
      </c>
      <c r="I190" s="4" t="inlineStr">
        <is>
          <t>MEVSİMLİK</t>
        </is>
      </c>
      <c r="J190" s="6" t="inlineStr">
        <is>
          <t>BALIK DOLUM</t>
        </is>
      </c>
      <c r="K190" s="6" t="inlineStr">
        <is>
          <t>GÜVEN TURİZM KARACABEY</t>
        </is>
      </c>
      <c r="L190" s="7" t="n">
        <v>33000</v>
      </c>
      <c r="M190" s="4" t="inlineStr">
        <is>
          <t>FİDE KONSERVE</t>
        </is>
      </c>
      <c r="N190" s="4" t="inlineStr">
        <is>
          <t>ALIR</t>
        </is>
      </c>
      <c r="O190" s="8" t="n">
        <v>0</v>
      </c>
      <c r="P190" s="8" t="n">
        <v>0</v>
      </c>
      <c r="Q190" s="8" t="n">
        <v>0</v>
      </c>
      <c r="R190" s="9" t="n">
        <v>7.5</v>
      </c>
      <c r="S190" s="8" t="n">
        <v>10.5</v>
      </c>
      <c r="T190" s="8" t="n">
        <v>0</v>
      </c>
      <c r="U190" s="8" t="n">
        <v>0</v>
      </c>
      <c r="V190" s="8" t="n">
        <v>0</v>
      </c>
      <c r="W190" s="8" t="n">
        <v>0</v>
      </c>
      <c r="X190" s="8" t="n">
        <v>0</v>
      </c>
      <c r="Y190" s="9" t="n">
        <v>0</v>
      </c>
      <c r="Z190" s="8" t="n">
        <v>10.5</v>
      </c>
      <c r="AA190" s="8" t="n">
        <v>10.5</v>
      </c>
      <c r="AB190" s="8" t="n">
        <v>10.5</v>
      </c>
      <c r="AC190" s="8" t="n">
        <v>10.5</v>
      </c>
      <c r="AD190" s="8" t="n">
        <v>0</v>
      </c>
      <c r="AE190" s="8" t="n">
        <v>0</v>
      </c>
      <c r="AF190" s="9" t="n">
        <v>0</v>
      </c>
      <c r="AG190" s="8" t="n">
        <v>10.5</v>
      </c>
      <c r="AH190" s="8" t="n">
        <v>0</v>
      </c>
      <c r="AI190" s="8" t="n">
        <v>0</v>
      </c>
      <c r="AJ190" s="8" t="n">
        <v>0</v>
      </c>
      <c r="AK190" s="8" t="n">
        <v>0</v>
      </c>
      <c r="AL190" s="8" t="n">
        <v>0</v>
      </c>
      <c r="AM190" s="9" t="n">
        <v>0</v>
      </c>
      <c r="AN190" s="8" t="n">
        <v>0</v>
      </c>
      <c r="AO190" s="8" t="n">
        <v>0</v>
      </c>
      <c r="AP190" s="8" t="n">
        <v>0</v>
      </c>
      <c r="AQ190" s="8" t="n">
        <v>0</v>
      </c>
      <c r="AR190" s="8" t="n">
        <v>0</v>
      </c>
      <c r="AS190" s="8" t="n">
        <v>0</v>
      </c>
      <c r="AT190" s="10">
        <f>SUM(O190:AS190)</f>
        <v/>
      </c>
      <c r="AU190" s="11">
        <f>COUNTIF(O190:AS190, "&gt;0")</f>
        <v/>
      </c>
      <c r="AV190" s="12">
        <f>IF(AU190&gt;=5, 4, IF(AU190&gt;0, INT(AU190/6), 0))</f>
        <v/>
      </c>
      <c r="AW190" s="11" t="n">
        <v>0</v>
      </c>
      <c r="AX190" s="11" t="n">
        <v>0</v>
      </c>
      <c r="AY190" s="13">
        <f>MIN(31, AU190+AV190+AW190+AX190)</f>
        <v/>
      </c>
      <c r="AZ190" s="14">
        <f>31-AY190</f>
        <v/>
      </c>
      <c r="BA190" s="5">
        <f>IF(AX190&gt;0, "01-İstirahat", IF(AZ190&gt;0, "12-Birden Fazla", ""))</f>
        <v/>
      </c>
      <c r="BB190" s="10" t="n">
        <v>18</v>
      </c>
      <c r="BC190" s="8" t="n">
        <v>0</v>
      </c>
      <c r="BD190" s="9" t="n">
        <v>7.5</v>
      </c>
      <c r="BE190" s="7">
        <f>(L190/30)*AU190</f>
        <v/>
      </c>
      <c r="BF190" s="15">
        <f>(L190/225)*((BB190*1.5)-(BC190*1.0))</f>
        <v/>
      </c>
      <c r="BG190" s="16">
        <f>(L190/225)*1.5*BD190</f>
        <v/>
      </c>
      <c r="BH190" s="15">
        <f>BF190+BG190</f>
        <v/>
      </c>
      <c r="BI190" s="17">
        <f>BE190+BH190</f>
        <v/>
      </c>
      <c r="BJ190" s="7">
        <f>IFERROR(VLOOKUP(B190, Resmi_Bordro_SGK!B:M, 11, FALSE), 0)</f>
        <v/>
      </c>
      <c r="BK190" s="18">
        <f>IFERROR(VLOOKUP(B190, Icra_Takip!A:E, 4, FALSE), 0)</f>
        <v/>
      </c>
      <c r="BL190" s="17">
        <f>IF(BI190&gt;BJ190, BI190-BJ190-BK190, 0)</f>
        <v/>
      </c>
      <c r="BM190" s="17">
        <f>BI190-BK190</f>
        <v/>
      </c>
    </row>
    <row r="191" ht="19" customHeight="1">
      <c r="A191" s="4" t="n">
        <v>188</v>
      </c>
      <c r="B191" s="5" t="inlineStr">
        <is>
          <t>26338305280</t>
        </is>
      </c>
      <c r="C191" s="6" t="inlineStr">
        <is>
          <t>HATİCE ÇÇAKMAK</t>
        </is>
      </c>
      <c r="D191" s="4" t="inlineStr">
        <is>
          <t>K</t>
        </is>
      </c>
      <c r="E191" s="4" t="inlineStr"/>
      <c r="F191" s="4" t="inlineStr">
        <is>
          <t>04.07.2025</t>
        </is>
      </c>
      <c r="G191" s="4" t="inlineStr"/>
      <c r="H191" s="4" t="inlineStr">
        <is>
          <t>SGDP</t>
        </is>
      </c>
      <c r="I191" s="4" t="inlineStr">
        <is>
          <t>MEVSİMLİK</t>
        </is>
      </c>
      <c r="J191" s="6" t="inlineStr">
        <is>
          <t>ÜRETİM</t>
        </is>
      </c>
      <c r="K191" s="6" t="inlineStr">
        <is>
          <t>BİGADİÇ</t>
        </is>
      </c>
      <c r="L191" s="7" t="n">
        <v>30185</v>
      </c>
      <c r="M191" s="4" t="inlineStr">
        <is>
          <t>FİDE KONSERVE</t>
        </is>
      </c>
      <c r="N191" s="4" t="inlineStr">
        <is>
          <t>ALIR</t>
        </is>
      </c>
      <c r="O191" s="19" t="n">
        <v>0</v>
      </c>
      <c r="P191" s="19" t="n">
        <v>0</v>
      </c>
      <c r="Q191" s="19" t="n">
        <v>0</v>
      </c>
      <c r="R191" s="9" t="n">
        <v>0</v>
      </c>
      <c r="S191" s="19" t="n">
        <v>0</v>
      </c>
      <c r="T191" s="19" t="n">
        <v>0</v>
      </c>
      <c r="U191" s="19" t="n">
        <v>0</v>
      </c>
      <c r="V191" s="19" t="n">
        <v>0</v>
      </c>
      <c r="W191" s="19" t="n">
        <v>0</v>
      </c>
      <c r="X191" s="19" t="n">
        <v>0</v>
      </c>
      <c r="Y191" s="9" t="n">
        <v>0</v>
      </c>
      <c r="Z191" s="19" t="n">
        <v>0</v>
      </c>
      <c r="AA191" s="19" t="n">
        <v>0</v>
      </c>
      <c r="AB191" s="19" t="n">
        <v>0</v>
      </c>
      <c r="AC191" s="19" t="n">
        <v>0</v>
      </c>
      <c r="AD191" s="19" t="n">
        <v>0</v>
      </c>
      <c r="AE191" s="19" t="n">
        <v>0</v>
      </c>
      <c r="AF191" s="9" t="n">
        <v>0</v>
      </c>
      <c r="AG191" s="19" t="n">
        <v>0</v>
      </c>
      <c r="AH191" s="19" t="n">
        <v>0</v>
      </c>
      <c r="AI191" s="19" t="n">
        <v>0</v>
      </c>
      <c r="AJ191" s="19" t="n">
        <v>0</v>
      </c>
      <c r="AK191" s="19" t="n">
        <v>0</v>
      </c>
      <c r="AL191" s="19" t="n">
        <v>0</v>
      </c>
      <c r="AM191" s="9" t="n">
        <v>0</v>
      </c>
      <c r="AN191" s="19" t="n">
        <v>0</v>
      </c>
      <c r="AO191" s="19" t="n">
        <v>0</v>
      </c>
      <c r="AP191" s="19" t="n">
        <v>0</v>
      </c>
      <c r="AQ191" s="19" t="n">
        <v>0</v>
      </c>
      <c r="AR191" s="19" t="n">
        <v>0</v>
      </c>
      <c r="AS191" s="19" t="n">
        <v>0</v>
      </c>
      <c r="AT191" s="10">
        <f>SUM(O191:AS191)</f>
        <v/>
      </c>
      <c r="AU191" s="20">
        <f>COUNTIF(O191:AS191, "&gt;0")</f>
        <v/>
      </c>
      <c r="AV191" s="12">
        <f>IF(AU191&gt;=5, 4, IF(AU191&gt;0, INT(AU191/6), 0))</f>
        <v/>
      </c>
      <c r="AW191" s="20" t="n">
        <v>0</v>
      </c>
      <c r="AX191" s="20" t="n">
        <v>0</v>
      </c>
      <c r="AY191" s="13">
        <f>MIN(31, AU191+AV191+AW191+AX191)</f>
        <v/>
      </c>
      <c r="AZ191" s="14">
        <f>31-AY191</f>
        <v/>
      </c>
      <c r="BA191" s="21">
        <f>IF(AX191&gt;0, "01-İstirahat", IF(AZ191&gt;0, "12-Birden Fazla", ""))</f>
        <v/>
      </c>
      <c r="BB191" s="10" t="n">
        <v>0</v>
      </c>
      <c r="BC191" s="19" t="n">
        <v>0</v>
      </c>
      <c r="BD191" s="9" t="n">
        <v>0</v>
      </c>
      <c r="BE191" s="22">
        <f>(L191/30)*AU191</f>
        <v/>
      </c>
      <c r="BF191" s="15">
        <f>(L191/225)*((BB191*1.5)-(BC191*1.0))</f>
        <v/>
      </c>
      <c r="BG191" s="16">
        <f>(L191/225)*1.5*BD191</f>
        <v/>
      </c>
      <c r="BH191" s="15">
        <f>BF191+BG191</f>
        <v/>
      </c>
      <c r="BI191" s="17">
        <f>BE191+BH191</f>
        <v/>
      </c>
      <c r="BJ191" s="22">
        <f>IFERROR(VLOOKUP(B191, Resmi_Bordro_SGK!B:M, 11, FALSE), 0)</f>
        <v/>
      </c>
      <c r="BK191" s="18">
        <f>IFERROR(VLOOKUP(B191, Icra_Takip!A:E, 4, FALSE), 0)</f>
        <v/>
      </c>
      <c r="BL191" s="17">
        <f>IF(BI191&gt;BJ191, BI191-BJ191-BK191, 0)</f>
        <v/>
      </c>
      <c r="BM191" s="17">
        <f>BI191-BK191</f>
        <v/>
      </c>
    </row>
    <row r="192" ht="19" customHeight="1">
      <c r="A192" s="4" t="n">
        <v>189</v>
      </c>
      <c r="B192" s="5" t="inlineStr">
        <is>
          <t>32194063110</t>
        </is>
      </c>
      <c r="C192" s="6" t="inlineStr">
        <is>
          <t>HATİCE ERBAŞ</t>
        </is>
      </c>
      <c r="D192" s="4" t="inlineStr">
        <is>
          <t>K</t>
        </is>
      </c>
      <c r="E192" s="4" t="inlineStr"/>
      <c r="F192" s="4" t="inlineStr">
        <is>
          <t>03.03.2026</t>
        </is>
      </c>
      <c r="G192" s="4" t="inlineStr"/>
      <c r="H192" s="4" t="inlineStr">
        <is>
          <t>SGDP</t>
        </is>
      </c>
      <c r="I192" s="4" t="inlineStr">
        <is>
          <t>MEVSİMLİK</t>
        </is>
      </c>
      <c r="J192" s="6" t="inlineStr">
        <is>
          <t>AMBAR</t>
        </is>
      </c>
      <c r="K192" s="6" t="inlineStr">
        <is>
          <t>BİGADİÇ</t>
        </is>
      </c>
      <c r="L192" s="7" t="n">
        <v>30185</v>
      </c>
      <c r="M192" s="4" t="inlineStr">
        <is>
          <t>FİDE KONSERVE</t>
        </is>
      </c>
      <c r="N192" s="4" t="inlineStr">
        <is>
          <t>ALIR</t>
        </is>
      </c>
      <c r="O192" s="8" t="n">
        <v>7.5</v>
      </c>
      <c r="P192" s="8" t="n">
        <v>7.5</v>
      </c>
      <c r="Q192" s="8" t="n">
        <v>0</v>
      </c>
      <c r="R192" s="9" t="n">
        <v>0</v>
      </c>
      <c r="S192" s="8" t="n">
        <v>7.5</v>
      </c>
      <c r="T192" s="8" t="n">
        <v>7.5</v>
      </c>
      <c r="U192" s="8" t="n">
        <v>7.5</v>
      </c>
      <c r="V192" s="8" t="n">
        <v>7.5</v>
      </c>
      <c r="W192" s="8" t="n">
        <v>7.5</v>
      </c>
      <c r="X192" s="8" t="n">
        <v>7.5</v>
      </c>
      <c r="Y192" s="9" t="n">
        <v>0</v>
      </c>
      <c r="Z192" s="8" t="n">
        <v>0</v>
      </c>
      <c r="AA192" s="8" t="n">
        <v>0</v>
      </c>
      <c r="AB192" s="8" t="n">
        <v>0</v>
      </c>
      <c r="AC192" s="8" t="n">
        <v>0</v>
      </c>
      <c r="AD192" s="8" t="n">
        <v>0</v>
      </c>
      <c r="AE192" s="8" t="n">
        <v>0</v>
      </c>
      <c r="AF192" s="9" t="n">
        <v>7.5</v>
      </c>
      <c r="AG192" s="8" t="n">
        <v>7.5</v>
      </c>
      <c r="AH192" s="8" t="n">
        <v>7.5</v>
      </c>
      <c r="AI192" s="8" t="n">
        <v>7.5</v>
      </c>
      <c r="AJ192" s="8" t="n">
        <v>0</v>
      </c>
      <c r="AK192" s="8" t="n">
        <v>0</v>
      </c>
      <c r="AL192" s="8" t="n">
        <v>0</v>
      </c>
      <c r="AM192" s="9" t="n">
        <v>0</v>
      </c>
      <c r="AN192" s="8" t="n">
        <v>0</v>
      </c>
      <c r="AO192" s="8" t="n">
        <v>0</v>
      </c>
      <c r="AP192" s="8" t="n">
        <v>0</v>
      </c>
      <c r="AQ192" s="8" t="n">
        <v>0</v>
      </c>
      <c r="AR192" s="8" t="n">
        <v>0</v>
      </c>
      <c r="AS192" s="8" t="n">
        <v>0</v>
      </c>
      <c r="AT192" s="10">
        <f>SUM(O192:AS192)</f>
        <v/>
      </c>
      <c r="AU192" s="11">
        <f>COUNTIF(O192:AS192, "&gt;0")</f>
        <v/>
      </c>
      <c r="AV192" s="12">
        <f>IF(AU192&gt;=5, 4, IF(AU192&gt;0, INT(AU192/6), 0))</f>
        <v/>
      </c>
      <c r="AW192" s="11" t="n">
        <v>0</v>
      </c>
      <c r="AX192" s="11" t="n">
        <v>0</v>
      </c>
      <c r="AY192" s="13">
        <f>MIN(31, AU192+AV192+AW192+AX192)</f>
        <v/>
      </c>
      <c r="AZ192" s="14">
        <f>31-AY192</f>
        <v/>
      </c>
      <c r="BA192" s="5">
        <f>IF(AX192&gt;0, "01-İstirahat", IF(AZ192&gt;0, "12-Birden Fazla", ""))</f>
        <v/>
      </c>
      <c r="BB192" s="10" t="n">
        <v>0</v>
      </c>
      <c r="BC192" s="8" t="n">
        <v>0</v>
      </c>
      <c r="BD192" s="9" t="n">
        <v>7.5</v>
      </c>
      <c r="BE192" s="7">
        <f>(L192/30)*AU192</f>
        <v/>
      </c>
      <c r="BF192" s="15">
        <f>(L192/225)*((BB192*1.5)-(BC192*1.0))</f>
        <v/>
      </c>
      <c r="BG192" s="16">
        <f>(L192/225)*1.5*BD192</f>
        <v/>
      </c>
      <c r="BH192" s="15">
        <f>BF192+BG192</f>
        <v/>
      </c>
      <c r="BI192" s="17">
        <f>BE192+BH192</f>
        <v/>
      </c>
      <c r="BJ192" s="7">
        <f>IFERROR(VLOOKUP(B192, Resmi_Bordro_SGK!B:M, 11, FALSE), 0)</f>
        <v/>
      </c>
      <c r="BK192" s="18">
        <f>IFERROR(VLOOKUP(B192, Icra_Takip!A:E, 4, FALSE), 0)</f>
        <v/>
      </c>
      <c r="BL192" s="17">
        <f>IF(BI192&gt;BJ192, BI192-BJ192-BK192, 0)</f>
        <v/>
      </c>
      <c r="BM192" s="17">
        <f>BI192-BK192</f>
        <v/>
      </c>
    </row>
    <row r="193" ht="19" customHeight="1">
      <c r="A193" s="4" t="n">
        <v>190</v>
      </c>
      <c r="B193" s="5" t="inlineStr">
        <is>
          <t>45823635220</t>
        </is>
      </c>
      <c r="C193" s="6" t="inlineStr">
        <is>
          <t>HATİCE GÖLBAŞ</t>
        </is>
      </c>
      <c r="D193" s="4" t="inlineStr">
        <is>
          <t>K</t>
        </is>
      </c>
      <c r="E193" s="4" t="inlineStr"/>
      <c r="F193" s="4" t="inlineStr">
        <is>
          <t>01.07.2026</t>
        </is>
      </c>
      <c r="G193" s="4" t="inlineStr"/>
      <c r="H193" s="4" t="inlineStr">
        <is>
          <t>NORMAL</t>
        </is>
      </c>
      <c r="I193" s="4" t="inlineStr">
        <is>
          <t>MEVSİMLİK</t>
        </is>
      </c>
      <c r="J193" s="6" t="inlineStr">
        <is>
          <t>ÜRETİM</t>
        </is>
      </c>
      <c r="K193" s="6" t="inlineStr">
        <is>
          <t>KARACABEY-HALİL</t>
        </is>
      </c>
      <c r="L193" s="7" t="n">
        <v>28075.5</v>
      </c>
      <c r="M193" s="4" t="inlineStr">
        <is>
          <t>FİDE KONSERVE</t>
        </is>
      </c>
      <c r="N193" s="4" t="inlineStr">
        <is>
          <t>ALIR</t>
        </is>
      </c>
      <c r="O193" s="19" t="n">
        <v>0</v>
      </c>
      <c r="P193" s="19" t="n">
        <v>0</v>
      </c>
      <c r="Q193" s="19" t="n">
        <v>0</v>
      </c>
      <c r="R193" s="9" t="n">
        <v>0</v>
      </c>
      <c r="S193" s="19" t="n">
        <v>0</v>
      </c>
      <c r="T193" s="19" t="n">
        <v>0</v>
      </c>
      <c r="U193" s="19" t="n">
        <v>0</v>
      </c>
      <c r="V193" s="19" t="n">
        <v>0</v>
      </c>
      <c r="W193" s="19" t="n">
        <v>0</v>
      </c>
      <c r="X193" s="19" t="n">
        <v>0</v>
      </c>
      <c r="Y193" s="9" t="n">
        <v>0</v>
      </c>
      <c r="Z193" s="19" t="n">
        <v>0</v>
      </c>
      <c r="AA193" s="19" t="n">
        <v>0</v>
      </c>
      <c r="AB193" s="19" t="n">
        <v>0</v>
      </c>
      <c r="AC193" s="19" t="n">
        <v>0</v>
      </c>
      <c r="AD193" s="19" t="n">
        <v>0</v>
      </c>
      <c r="AE193" s="19" t="n">
        <v>0</v>
      </c>
      <c r="AF193" s="9" t="n">
        <v>0</v>
      </c>
      <c r="AG193" s="19" t="n">
        <v>0</v>
      </c>
      <c r="AH193" s="19" t="n">
        <v>0</v>
      </c>
      <c r="AI193" s="19" t="n">
        <v>0</v>
      </c>
      <c r="AJ193" s="19" t="n">
        <v>0</v>
      </c>
      <c r="AK193" s="19" t="n">
        <v>0</v>
      </c>
      <c r="AL193" s="19" t="n">
        <v>0</v>
      </c>
      <c r="AM193" s="9" t="n">
        <v>0</v>
      </c>
      <c r="AN193" s="19" t="n">
        <v>0</v>
      </c>
      <c r="AO193" s="19" t="n">
        <v>0</v>
      </c>
      <c r="AP193" s="19" t="n">
        <v>0</v>
      </c>
      <c r="AQ193" s="19" t="n">
        <v>0</v>
      </c>
      <c r="AR193" s="19" t="n">
        <v>0</v>
      </c>
      <c r="AS193" s="19" t="n">
        <v>0</v>
      </c>
      <c r="AT193" s="10">
        <f>SUM(O193:AS193)</f>
        <v/>
      </c>
      <c r="AU193" s="20">
        <f>COUNTIF(O193:AS193, "&gt;0")</f>
        <v/>
      </c>
      <c r="AV193" s="12">
        <f>IF(AU193&gt;=5, 4, IF(AU193&gt;0, INT(AU193/6), 0))</f>
        <v/>
      </c>
      <c r="AW193" s="20" t="n">
        <v>0</v>
      </c>
      <c r="AX193" s="20" t="n">
        <v>0</v>
      </c>
      <c r="AY193" s="13">
        <f>MIN(31, AU193+AV193+AW193+AX193)</f>
        <v/>
      </c>
      <c r="AZ193" s="14">
        <f>31-AY193</f>
        <v/>
      </c>
      <c r="BA193" s="21">
        <f>IF(AX193&gt;0, "01-İstirahat", IF(AZ193&gt;0, "12-Birden Fazla", ""))</f>
        <v/>
      </c>
      <c r="BB193" s="10" t="n">
        <v>0</v>
      </c>
      <c r="BC193" s="19" t="n">
        <v>0</v>
      </c>
      <c r="BD193" s="9" t="n">
        <v>0</v>
      </c>
      <c r="BE193" s="22">
        <f>(L193/30)*AU193</f>
        <v/>
      </c>
      <c r="BF193" s="15">
        <f>(L193/225)*((BB193*1.5)-(BC193*1.0))</f>
        <v/>
      </c>
      <c r="BG193" s="16">
        <f>(L193/225)*1.5*BD193</f>
        <v/>
      </c>
      <c r="BH193" s="15">
        <f>BF193+BG193</f>
        <v/>
      </c>
      <c r="BI193" s="17">
        <f>BE193+BH193</f>
        <v/>
      </c>
      <c r="BJ193" s="22">
        <f>IFERROR(VLOOKUP(B193, Resmi_Bordro_SGK!B:M, 11, FALSE), 0)</f>
        <v/>
      </c>
      <c r="BK193" s="18">
        <f>IFERROR(VLOOKUP(B193, Icra_Takip!A:E, 4, FALSE), 0)</f>
        <v/>
      </c>
      <c r="BL193" s="17">
        <f>IF(BI193&gt;BJ193, BI193-BJ193-BK193, 0)</f>
        <v/>
      </c>
      <c r="BM193" s="17">
        <f>BI193-BK193</f>
        <v/>
      </c>
    </row>
    <row r="194" ht="19" customHeight="1">
      <c r="A194" s="4" t="n">
        <v>191</v>
      </c>
      <c r="B194" s="5" t="inlineStr">
        <is>
          <t>31324091924</t>
        </is>
      </c>
      <c r="C194" s="6" t="inlineStr">
        <is>
          <t>HATİCE KURT</t>
        </is>
      </c>
      <c r="D194" s="4" t="inlineStr">
        <is>
          <t>K</t>
        </is>
      </c>
      <c r="E194" s="4" t="inlineStr"/>
      <c r="F194" s="4" t="inlineStr">
        <is>
          <t>22.05.2025</t>
        </is>
      </c>
      <c r="G194" s="4" t="inlineStr"/>
      <c r="H194" s="4" t="inlineStr">
        <is>
          <t>NORMAL</t>
        </is>
      </c>
      <c r="I194" s="4" t="inlineStr">
        <is>
          <t>MEVSİMLİK</t>
        </is>
      </c>
      <c r="J194" s="6" t="inlineStr">
        <is>
          <t>ÜRETİM</t>
        </is>
      </c>
      <c r="K194" s="6" t="inlineStr">
        <is>
          <t>BİGADİÇ</t>
        </is>
      </c>
      <c r="L194" s="7" t="n">
        <v>28075.5</v>
      </c>
      <c r="M194" s="4" t="inlineStr">
        <is>
          <t>FİDE KONSERVE</t>
        </is>
      </c>
      <c r="N194" s="4" t="inlineStr">
        <is>
          <t>ALIR</t>
        </is>
      </c>
      <c r="O194" s="8" t="n">
        <v>7.5</v>
      </c>
      <c r="P194" s="8" t="n">
        <v>7.5</v>
      </c>
      <c r="Q194" s="8" t="n">
        <v>7.5</v>
      </c>
      <c r="R194" s="9" t="n">
        <v>0</v>
      </c>
      <c r="S194" s="8" t="n">
        <v>7.5</v>
      </c>
      <c r="T194" s="8" t="n">
        <v>7.5</v>
      </c>
      <c r="U194" s="8" t="n">
        <v>7.5</v>
      </c>
      <c r="V194" s="8" t="n">
        <v>7.5</v>
      </c>
      <c r="W194" s="8" t="n">
        <v>7.5</v>
      </c>
      <c r="X194" s="8" t="n">
        <v>7.5</v>
      </c>
      <c r="Y194" s="9" t="n">
        <v>0</v>
      </c>
      <c r="Z194" s="8" t="n">
        <v>7.5</v>
      </c>
      <c r="AA194" s="8" t="n">
        <v>7.5</v>
      </c>
      <c r="AB194" s="8" t="n">
        <v>8</v>
      </c>
      <c r="AC194" s="8" t="n">
        <v>7.5</v>
      </c>
      <c r="AD194" s="8" t="n">
        <v>7.5</v>
      </c>
      <c r="AE194" s="8" t="n">
        <v>7.5</v>
      </c>
      <c r="AF194" s="9" t="n">
        <v>0</v>
      </c>
      <c r="AG194" s="8" t="n">
        <v>7.5</v>
      </c>
      <c r="AH194" s="8" t="n">
        <v>7.5</v>
      </c>
      <c r="AI194" s="23" t="n">
        <v>7.5</v>
      </c>
      <c r="AJ194" s="8" t="n">
        <v>0</v>
      </c>
      <c r="AK194" s="8" t="n">
        <v>0</v>
      </c>
      <c r="AL194" s="8" t="n">
        <v>0</v>
      </c>
      <c r="AM194" s="9" t="n">
        <v>0</v>
      </c>
      <c r="AN194" s="8" t="n">
        <v>0</v>
      </c>
      <c r="AO194" s="8" t="n">
        <v>0</v>
      </c>
      <c r="AP194" s="8" t="n">
        <v>0</v>
      </c>
      <c r="AQ194" s="8" t="n">
        <v>0</v>
      </c>
      <c r="AR194" s="8" t="n">
        <v>0</v>
      </c>
      <c r="AS194" s="8" t="n">
        <v>0</v>
      </c>
      <c r="AT194" s="10">
        <f>SUM(O194:AS194)</f>
        <v/>
      </c>
      <c r="AU194" s="11">
        <f>COUNTIF(O194:AS194, "&gt;0")</f>
        <v/>
      </c>
      <c r="AV194" s="12">
        <f>IF(AU194&gt;=5, 4, IF(AU194&gt;0, INT(AU194/6), 0))</f>
        <v/>
      </c>
      <c r="AW194" s="11" t="n">
        <v>0</v>
      </c>
      <c r="AX194" s="11" t="n">
        <v>0</v>
      </c>
      <c r="AY194" s="13">
        <f>MIN(31, AU194+AV194+AW194+AX194)</f>
        <v/>
      </c>
      <c r="AZ194" s="14">
        <f>31-AY194</f>
        <v/>
      </c>
      <c r="BA194" s="5">
        <f>IF(AX194&gt;0, "01-İstirahat", IF(AZ194&gt;0, "12-Birden Fazla", ""))</f>
        <v/>
      </c>
      <c r="BB194" s="10" t="n">
        <v>0.5</v>
      </c>
      <c r="BC194" s="8" t="n">
        <v>0</v>
      </c>
      <c r="BD194" s="9" t="n">
        <v>0</v>
      </c>
      <c r="BE194" s="7">
        <f>(L194/30)*AU194</f>
        <v/>
      </c>
      <c r="BF194" s="15">
        <f>(L194/225)*((BB194*1.5)-(BC194*1.0))</f>
        <v/>
      </c>
      <c r="BG194" s="16">
        <f>(L194/225)*1.5*BD194</f>
        <v/>
      </c>
      <c r="BH194" s="15">
        <f>BF194+BG194</f>
        <v/>
      </c>
      <c r="BI194" s="17">
        <f>BE194+BH194</f>
        <v/>
      </c>
      <c r="BJ194" s="7">
        <f>IFERROR(VLOOKUP(B194, Resmi_Bordro_SGK!B:M, 11, FALSE), 0)</f>
        <v/>
      </c>
      <c r="BK194" s="18">
        <f>IFERROR(VLOOKUP(B194, Icra_Takip!A:E, 4, FALSE), 0)</f>
        <v/>
      </c>
      <c r="BL194" s="17">
        <f>IF(BI194&gt;BJ194, BI194-BJ194-BK194, 0)</f>
        <v/>
      </c>
      <c r="BM194" s="17">
        <f>BI194-BK194</f>
        <v/>
      </c>
    </row>
    <row r="195" ht="19" customHeight="1">
      <c r="A195" s="4" t="n">
        <v>192</v>
      </c>
      <c r="B195" s="5" t="inlineStr">
        <is>
          <t>10817807990</t>
        </is>
      </c>
      <c r="C195" s="6" t="inlineStr">
        <is>
          <t>HATİCE ONUK</t>
        </is>
      </c>
      <c r="D195" s="4" t="inlineStr">
        <is>
          <t>K</t>
        </is>
      </c>
      <c r="E195" s="4" t="inlineStr"/>
      <c r="F195" s="4" t="inlineStr">
        <is>
          <t>27.06.2026</t>
        </is>
      </c>
      <c r="G195" s="4" t="inlineStr"/>
      <c r="H195" s="4" t="inlineStr">
        <is>
          <t>NORMAL</t>
        </is>
      </c>
      <c r="I195" s="4" t="inlineStr">
        <is>
          <t>MEVSİMLİK</t>
        </is>
      </c>
      <c r="J195" s="6" t="inlineStr">
        <is>
          <t>ÜRETİM</t>
        </is>
      </c>
      <c r="K195" s="6" t="inlineStr">
        <is>
          <t>KARACABEY-HALİL</t>
        </is>
      </c>
      <c r="L195" s="7" t="n">
        <v>28075.5</v>
      </c>
      <c r="M195" s="4" t="inlineStr">
        <is>
          <t>FİDE KONSERVE</t>
        </is>
      </c>
      <c r="N195" s="4" t="inlineStr">
        <is>
          <t>ALIR</t>
        </is>
      </c>
      <c r="O195" s="19" t="n">
        <v>7.5</v>
      </c>
      <c r="P195" s="19" t="n">
        <v>8.5</v>
      </c>
      <c r="Q195" s="23" t="n">
        <v>7.5</v>
      </c>
      <c r="R195" s="9" t="n">
        <v>0</v>
      </c>
      <c r="S195" s="19" t="n">
        <v>7.5</v>
      </c>
      <c r="T195" s="19" t="n">
        <v>8.5</v>
      </c>
      <c r="U195" s="19" t="n">
        <v>7.5</v>
      </c>
      <c r="V195" s="19" t="n">
        <v>8</v>
      </c>
      <c r="W195" s="19" t="n">
        <v>8</v>
      </c>
      <c r="X195" s="19" t="n">
        <v>8.5</v>
      </c>
      <c r="Y195" s="9" t="n">
        <v>7</v>
      </c>
      <c r="Z195" s="19" t="n">
        <v>0</v>
      </c>
      <c r="AA195" s="19" t="n">
        <v>7.5</v>
      </c>
      <c r="AB195" s="19" t="n">
        <v>7.5</v>
      </c>
      <c r="AC195" s="19" t="n">
        <v>7.5</v>
      </c>
      <c r="AD195" s="19" t="n">
        <v>7.5</v>
      </c>
      <c r="AE195" s="19" t="n">
        <v>8.5</v>
      </c>
      <c r="AF195" s="9" t="n">
        <v>0</v>
      </c>
      <c r="AG195" s="19" t="n">
        <v>7.5</v>
      </c>
      <c r="AH195" s="19" t="n">
        <v>7.5</v>
      </c>
      <c r="AI195" s="19" t="n">
        <v>7.5</v>
      </c>
      <c r="AJ195" s="19" t="n">
        <v>0</v>
      </c>
      <c r="AK195" s="19" t="n">
        <v>0</v>
      </c>
      <c r="AL195" s="19" t="n">
        <v>0</v>
      </c>
      <c r="AM195" s="9" t="n">
        <v>0</v>
      </c>
      <c r="AN195" s="19" t="n">
        <v>0</v>
      </c>
      <c r="AO195" s="19" t="n">
        <v>0</v>
      </c>
      <c r="AP195" s="19" t="n">
        <v>0</v>
      </c>
      <c r="AQ195" s="19" t="n">
        <v>0</v>
      </c>
      <c r="AR195" s="19" t="n">
        <v>0</v>
      </c>
      <c r="AS195" s="19" t="n">
        <v>0</v>
      </c>
      <c r="AT195" s="10">
        <f>SUM(O195:AS195)</f>
        <v/>
      </c>
      <c r="AU195" s="20">
        <f>COUNTIF(O195:AS195, "&gt;0")</f>
        <v/>
      </c>
      <c r="AV195" s="12">
        <f>IF(AU195&gt;=5, 4, IF(AU195&gt;0, INT(AU195/6), 0))</f>
        <v/>
      </c>
      <c r="AW195" s="20" t="n">
        <v>0</v>
      </c>
      <c r="AX195" s="20" t="n">
        <v>0</v>
      </c>
      <c r="AY195" s="13">
        <f>MIN(31, AU195+AV195+AW195+AX195)</f>
        <v/>
      </c>
      <c r="AZ195" s="14">
        <f>31-AY195</f>
        <v/>
      </c>
      <c r="BA195" s="21">
        <f>IF(AX195&gt;0, "01-İstirahat", IF(AZ195&gt;0, "12-Birden Fazla", ""))</f>
        <v/>
      </c>
      <c r="BB195" s="10" t="n">
        <v>5</v>
      </c>
      <c r="BC195" s="19" t="n">
        <v>0</v>
      </c>
      <c r="BD195" s="9" t="n">
        <v>7</v>
      </c>
      <c r="BE195" s="22">
        <f>(L195/30)*AU195</f>
        <v/>
      </c>
      <c r="BF195" s="15">
        <f>(L195/225)*((BB195*1.5)-(BC195*1.0))</f>
        <v/>
      </c>
      <c r="BG195" s="16">
        <f>(L195/225)*1.5*BD195</f>
        <v/>
      </c>
      <c r="BH195" s="15">
        <f>BF195+BG195</f>
        <v/>
      </c>
      <c r="BI195" s="17">
        <f>BE195+BH195</f>
        <v/>
      </c>
      <c r="BJ195" s="22">
        <f>IFERROR(VLOOKUP(B195, Resmi_Bordro_SGK!B:M, 11, FALSE), 0)</f>
        <v/>
      </c>
      <c r="BK195" s="18">
        <f>IFERROR(VLOOKUP(B195, Icra_Takip!A:E, 4, FALSE), 0)</f>
        <v/>
      </c>
      <c r="BL195" s="17">
        <f>IF(BI195&gt;BJ195, BI195-BJ195-BK195, 0)</f>
        <v/>
      </c>
      <c r="BM195" s="17">
        <f>BI195-BK195</f>
        <v/>
      </c>
    </row>
    <row r="196" ht="19" customHeight="1">
      <c r="A196" s="4" t="n">
        <v>193</v>
      </c>
      <c r="B196" s="5" t="inlineStr">
        <is>
          <t>33850041688</t>
        </is>
      </c>
      <c r="C196" s="6" t="inlineStr">
        <is>
          <t>HATİCE SAVAŞÇI</t>
        </is>
      </c>
      <c r="D196" s="4" t="inlineStr">
        <is>
          <t>K</t>
        </is>
      </c>
      <c r="E196" s="4" t="inlineStr"/>
      <c r="F196" s="4" t="inlineStr">
        <is>
          <t>03.12.2025</t>
        </is>
      </c>
      <c r="G196" s="4" t="inlineStr"/>
      <c r="H196" s="4" t="inlineStr">
        <is>
          <t>NORMAL</t>
        </is>
      </c>
      <c r="I196" s="4" t="inlineStr">
        <is>
          <t>MEVSİMLİK</t>
        </is>
      </c>
      <c r="J196" s="6" t="inlineStr">
        <is>
          <t>BALIK TEMİZLEME</t>
        </is>
      </c>
      <c r="K196" s="6" t="inlineStr">
        <is>
          <t>BALIKESİR</t>
        </is>
      </c>
      <c r="L196" s="7" t="n">
        <v>33000</v>
      </c>
      <c r="M196" s="4" t="inlineStr">
        <is>
          <t>FİDE KONSERVE</t>
        </is>
      </c>
      <c r="N196" s="4" t="inlineStr">
        <is>
          <t>ALIR</t>
        </is>
      </c>
      <c r="O196" s="8" t="n">
        <v>8</v>
      </c>
      <c r="P196" s="8" t="n">
        <v>8</v>
      </c>
      <c r="Q196" s="8" t="n">
        <v>8</v>
      </c>
      <c r="R196" s="9" t="n">
        <v>0</v>
      </c>
      <c r="S196" s="8" t="n">
        <v>7.5</v>
      </c>
      <c r="T196" s="8" t="n">
        <v>8</v>
      </c>
      <c r="U196" s="8" t="n">
        <v>8</v>
      </c>
      <c r="V196" s="8" t="n">
        <v>8</v>
      </c>
      <c r="W196" s="8" t="n">
        <v>8</v>
      </c>
      <c r="X196" s="8" t="n">
        <v>8.5</v>
      </c>
      <c r="Y196" s="9" t="n">
        <v>0</v>
      </c>
      <c r="Z196" s="8" t="n">
        <v>7.5</v>
      </c>
      <c r="AA196" s="8" t="n">
        <v>7.5</v>
      </c>
      <c r="AB196" s="8" t="n">
        <v>8.5</v>
      </c>
      <c r="AC196" s="8" t="n">
        <v>7.5</v>
      </c>
      <c r="AD196" s="8" t="n">
        <v>7.5</v>
      </c>
      <c r="AE196" s="8" t="n">
        <v>8.5</v>
      </c>
      <c r="AF196" s="9" t="n">
        <v>0</v>
      </c>
      <c r="AG196" s="8" t="n">
        <v>8</v>
      </c>
      <c r="AH196" s="8" t="n">
        <v>7.5</v>
      </c>
      <c r="AI196" s="8" t="n">
        <v>7.5</v>
      </c>
      <c r="AJ196" s="8" t="n">
        <v>0</v>
      </c>
      <c r="AK196" s="8" t="n">
        <v>0</v>
      </c>
      <c r="AL196" s="8" t="n">
        <v>0</v>
      </c>
      <c r="AM196" s="9" t="n">
        <v>0</v>
      </c>
      <c r="AN196" s="8" t="n">
        <v>0</v>
      </c>
      <c r="AO196" s="8" t="n">
        <v>0</v>
      </c>
      <c r="AP196" s="8" t="n">
        <v>0</v>
      </c>
      <c r="AQ196" s="8" t="n">
        <v>0</v>
      </c>
      <c r="AR196" s="8" t="n">
        <v>0</v>
      </c>
      <c r="AS196" s="8" t="n">
        <v>0</v>
      </c>
      <c r="AT196" s="10">
        <f>SUM(O196:AS196)</f>
        <v/>
      </c>
      <c r="AU196" s="11">
        <f>COUNTIF(O196:AS196, "&gt;0")</f>
        <v/>
      </c>
      <c r="AV196" s="12">
        <f>IF(AU196&gt;=5, 4, IF(AU196&gt;0, INT(AU196/6), 0))</f>
        <v/>
      </c>
      <c r="AW196" s="11" t="n">
        <v>0</v>
      </c>
      <c r="AX196" s="11" t="n">
        <v>0</v>
      </c>
      <c r="AY196" s="13">
        <f>MIN(31, AU196+AV196+AW196+AX196)</f>
        <v/>
      </c>
      <c r="AZ196" s="14">
        <f>31-AY196</f>
        <v/>
      </c>
      <c r="BA196" s="5">
        <f>IF(AX196&gt;0, "01-İstirahat", IF(AZ196&gt;0, "12-Birden Fazla", ""))</f>
        <v/>
      </c>
      <c r="BB196" s="10" t="n">
        <v>7</v>
      </c>
      <c r="BC196" s="8" t="n">
        <v>0</v>
      </c>
      <c r="BD196" s="9" t="n">
        <v>0</v>
      </c>
      <c r="BE196" s="7">
        <f>(L196/30)*AU196</f>
        <v/>
      </c>
      <c r="BF196" s="15">
        <f>(L196/225)*((BB196*1.5)-(BC196*1.0))</f>
        <v/>
      </c>
      <c r="BG196" s="16">
        <f>(L196/225)*1.5*BD196</f>
        <v/>
      </c>
      <c r="BH196" s="15">
        <f>BF196+BG196</f>
        <v/>
      </c>
      <c r="BI196" s="17">
        <f>BE196+BH196</f>
        <v/>
      </c>
      <c r="BJ196" s="7">
        <f>IFERROR(VLOOKUP(B196, Resmi_Bordro_SGK!B:M, 11, FALSE), 0)</f>
        <v/>
      </c>
      <c r="BK196" s="18">
        <f>IFERROR(VLOOKUP(B196, Icra_Takip!A:E, 4, FALSE), 0)</f>
        <v/>
      </c>
      <c r="BL196" s="17">
        <f>IF(BI196&gt;BJ196, BI196-BJ196-BK196, 0)</f>
        <v/>
      </c>
      <c r="BM196" s="17">
        <f>BI196-BK196</f>
        <v/>
      </c>
    </row>
    <row r="197" ht="19" customHeight="1">
      <c r="A197" s="4" t="n">
        <v>194</v>
      </c>
      <c r="B197" s="5" t="inlineStr">
        <is>
          <t>26002427744</t>
        </is>
      </c>
      <c r="C197" s="6" t="inlineStr">
        <is>
          <t>HAVVA ALPER</t>
        </is>
      </c>
      <c r="D197" s="4" t="inlineStr">
        <is>
          <t>K</t>
        </is>
      </c>
      <c r="E197" s="4" t="inlineStr"/>
      <c r="F197" s="4" t="inlineStr">
        <is>
          <t>10.02.2026</t>
        </is>
      </c>
      <c r="G197" s="4" t="inlineStr"/>
      <c r="H197" s="4" t="inlineStr">
        <is>
          <t>NORMAL</t>
        </is>
      </c>
      <c r="I197" s="4" t="inlineStr">
        <is>
          <t>MEVSİMLİK</t>
        </is>
      </c>
      <c r="J197" s="6" t="inlineStr">
        <is>
          <t>BALIK DOLUM</t>
        </is>
      </c>
      <c r="K197" s="6" t="inlineStr">
        <is>
          <t>MKP</t>
        </is>
      </c>
      <c r="L197" s="7" t="n">
        <v>33000</v>
      </c>
      <c r="M197" s="4" t="inlineStr">
        <is>
          <t>FİDE KONSERVE</t>
        </is>
      </c>
      <c r="N197" s="4" t="inlineStr">
        <is>
          <t>ALIR</t>
        </is>
      </c>
      <c r="O197" s="19" t="n">
        <v>8.5</v>
      </c>
      <c r="P197" s="19" t="n">
        <v>9</v>
      </c>
      <c r="Q197" s="19" t="n">
        <v>8.5</v>
      </c>
      <c r="R197" s="9" t="n">
        <v>0</v>
      </c>
      <c r="S197" s="19" t="n">
        <v>8</v>
      </c>
      <c r="T197" s="19" t="n">
        <v>8.5</v>
      </c>
      <c r="U197" s="19" t="n">
        <v>6</v>
      </c>
      <c r="V197" s="19" t="n">
        <v>10</v>
      </c>
      <c r="W197" s="19" t="n">
        <v>8.5</v>
      </c>
      <c r="X197" s="19" t="n">
        <v>13.5</v>
      </c>
      <c r="Y197" s="9" t="n">
        <v>0</v>
      </c>
      <c r="Z197" s="19" t="n">
        <v>7.5</v>
      </c>
      <c r="AA197" s="19" t="n">
        <v>7.5</v>
      </c>
      <c r="AB197" s="19" t="n">
        <v>9</v>
      </c>
      <c r="AC197" s="19" t="n">
        <v>7.5</v>
      </c>
      <c r="AD197" s="19" t="n">
        <v>9</v>
      </c>
      <c r="AE197" s="19" t="n">
        <v>9</v>
      </c>
      <c r="AF197" s="9" t="n">
        <v>0</v>
      </c>
      <c r="AG197" s="19" t="n">
        <v>7</v>
      </c>
      <c r="AH197" s="19" t="n">
        <v>8</v>
      </c>
      <c r="AI197" s="19" t="n">
        <v>8</v>
      </c>
      <c r="AJ197" s="19" t="n">
        <v>0</v>
      </c>
      <c r="AK197" s="19" t="n">
        <v>0</v>
      </c>
      <c r="AL197" s="19" t="n">
        <v>0</v>
      </c>
      <c r="AM197" s="9" t="n">
        <v>0</v>
      </c>
      <c r="AN197" s="19" t="n">
        <v>0</v>
      </c>
      <c r="AO197" s="19" t="n">
        <v>0</v>
      </c>
      <c r="AP197" s="19" t="n">
        <v>0</v>
      </c>
      <c r="AQ197" s="19" t="n">
        <v>0</v>
      </c>
      <c r="AR197" s="19" t="n">
        <v>0</v>
      </c>
      <c r="AS197" s="19" t="n">
        <v>0</v>
      </c>
      <c r="AT197" s="10">
        <f>SUM(O197:AS197)</f>
        <v/>
      </c>
      <c r="AU197" s="20">
        <f>COUNTIF(O197:AS197, "&gt;0")</f>
        <v/>
      </c>
      <c r="AV197" s="12">
        <f>IF(AU197&gt;=5, 4, IF(AU197&gt;0, INT(AU197/6), 0))</f>
        <v/>
      </c>
      <c r="AW197" s="20" t="n">
        <v>0</v>
      </c>
      <c r="AX197" s="20" t="n">
        <v>0</v>
      </c>
      <c r="AY197" s="13">
        <f>MIN(31, AU197+AV197+AW197+AX197)</f>
        <v/>
      </c>
      <c r="AZ197" s="14">
        <f>31-AY197</f>
        <v/>
      </c>
      <c r="BA197" s="21">
        <f>IF(AX197&gt;0, "01-İstirahat", IF(AZ197&gt;0, "12-Birden Fazla", ""))</f>
        <v/>
      </c>
      <c r="BB197" s="10" t="n">
        <v>41</v>
      </c>
      <c r="BC197" s="23" t="n">
        <v>2</v>
      </c>
      <c r="BD197" s="9" t="n">
        <v>0</v>
      </c>
      <c r="BE197" s="22">
        <f>(L197/30)*AU197</f>
        <v/>
      </c>
      <c r="BF197" s="15">
        <f>(L197/225)*((BB197*1.5)-(BC197*1.0))</f>
        <v/>
      </c>
      <c r="BG197" s="16">
        <f>(L197/225)*1.5*BD197</f>
        <v/>
      </c>
      <c r="BH197" s="15">
        <f>BF197+BG197</f>
        <v/>
      </c>
      <c r="BI197" s="17">
        <f>BE197+BH197</f>
        <v/>
      </c>
      <c r="BJ197" s="22">
        <f>IFERROR(VLOOKUP(B197, Resmi_Bordro_SGK!B:M, 11, FALSE), 0)</f>
        <v/>
      </c>
      <c r="BK197" s="18">
        <f>IFERROR(VLOOKUP(B197, Icra_Takip!A:E, 4, FALSE), 0)</f>
        <v/>
      </c>
      <c r="BL197" s="17">
        <f>IF(BI197&gt;BJ197, BI197-BJ197-BK197, 0)</f>
        <v/>
      </c>
      <c r="BM197" s="17">
        <f>BI197-BK197</f>
        <v/>
      </c>
    </row>
    <row r="198" ht="19" customHeight="1">
      <c r="A198" s="4" t="n">
        <v>195</v>
      </c>
      <c r="B198" s="5" t="inlineStr">
        <is>
          <t>26653281238</t>
        </is>
      </c>
      <c r="C198" s="6" t="inlineStr">
        <is>
          <t>HAVVA BAYRAM</t>
        </is>
      </c>
      <c r="D198" s="4" t="inlineStr">
        <is>
          <t>K</t>
        </is>
      </c>
      <c r="E198" s="4" t="inlineStr"/>
      <c r="F198" s="4" t="inlineStr">
        <is>
          <t>10.02.2026</t>
        </is>
      </c>
      <c r="G198" s="4" t="inlineStr"/>
      <c r="H198" s="4" t="inlineStr">
        <is>
          <t>NORMAL</t>
        </is>
      </c>
      <c r="I198" s="4" t="inlineStr">
        <is>
          <t>MEVSİMLİK</t>
        </is>
      </c>
      <c r="J198" s="6" t="inlineStr">
        <is>
          <t>BALIK TEMİZLEME</t>
        </is>
      </c>
      <c r="K198" s="6" t="inlineStr">
        <is>
          <t>BALIKESİR</t>
        </is>
      </c>
      <c r="L198" s="7" t="n">
        <v>33000</v>
      </c>
      <c r="M198" s="4" t="inlineStr">
        <is>
          <t>FİDE KONSERVE</t>
        </is>
      </c>
      <c r="N198" s="4" t="inlineStr">
        <is>
          <t>ALIR</t>
        </is>
      </c>
      <c r="O198" s="8" t="n">
        <v>8</v>
      </c>
      <c r="P198" s="8" t="n">
        <v>0</v>
      </c>
      <c r="Q198" s="8" t="n">
        <v>0</v>
      </c>
      <c r="R198" s="9" t="n">
        <v>0</v>
      </c>
      <c r="S198" s="8" t="n">
        <v>7.5</v>
      </c>
      <c r="T198" s="8" t="n">
        <v>8</v>
      </c>
      <c r="U198" s="8" t="n">
        <v>7.5</v>
      </c>
      <c r="V198" s="8" t="n">
        <v>8</v>
      </c>
      <c r="W198" s="8" t="n">
        <v>8</v>
      </c>
      <c r="X198" s="8" t="n">
        <v>8.5</v>
      </c>
      <c r="Y198" s="9" t="n">
        <v>0</v>
      </c>
      <c r="Z198" s="8" t="n">
        <v>7.5</v>
      </c>
      <c r="AA198" s="23" t="n">
        <v>7.5</v>
      </c>
      <c r="AB198" s="8" t="n">
        <v>8.5</v>
      </c>
      <c r="AC198" s="8" t="n">
        <v>7.5</v>
      </c>
      <c r="AD198" s="8" t="n">
        <v>0</v>
      </c>
      <c r="AE198" s="8" t="n">
        <v>0</v>
      </c>
      <c r="AF198" s="9" t="n">
        <v>0</v>
      </c>
      <c r="AG198" s="8" t="n">
        <v>8</v>
      </c>
      <c r="AH198" s="8" t="n">
        <v>7.5</v>
      </c>
      <c r="AI198" s="8" t="n">
        <v>7.5</v>
      </c>
      <c r="AJ198" s="8" t="n">
        <v>0</v>
      </c>
      <c r="AK198" s="8" t="n">
        <v>0</v>
      </c>
      <c r="AL198" s="8" t="n">
        <v>0</v>
      </c>
      <c r="AM198" s="9" t="n">
        <v>0</v>
      </c>
      <c r="AN198" s="8" t="n">
        <v>0</v>
      </c>
      <c r="AO198" s="8" t="n">
        <v>0</v>
      </c>
      <c r="AP198" s="8" t="n">
        <v>0</v>
      </c>
      <c r="AQ198" s="8" t="n">
        <v>0</v>
      </c>
      <c r="AR198" s="8" t="n">
        <v>0</v>
      </c>
      <c r="AS198" s="8" t="n">
        <v>0</v>
      </c>
      <c r="AT198" s="10">
        <f>SUM(O198:AS198)</f>
        <v/>
      </c>
      <c r="AU198" s="11">
        <f>COUNTIF(O198:AS198, "&gt;0")</f>
        <v/>
      </c>
      <c r="AV198" s="12">
        <f>IF(AU198&gt;=5, 4, IF(AU198&gt;0, INT(AU198/6), 0))</f>
        <v/>
      </c>
      <c r="AW198" s="11" t="n">
        <v>0</v>
      </c>
      <c r="AX198" s="11" t="n">
        <v>0</v>
      </c>
      <c r="AY198" s="13">
        <f>MIN(31, AU198+AV198+AW198+AX198)</f>
        <v/>
      </c>
      <c r="AZ198" s="14">
        <f>31-AY198</f>
        <v/>
      </c>
      <c r="BA198" s="5">
        <f>IF(AX198&gt;0, "01-İstirahat", IF(AZ198&gt;0, "12-Birden Fazla", ""))</f>
        <v/>
      </c>
      <c r="BB198" s="10" t="n">
        <v>4.5</v>
      </c>
      <c r="BC198" s="8" t="n">
        <v>0</v>
      </c>
      <c r="BD198" s="9" t="n">
        <v>0</v>
      </c>
      <c r="BE198" s="7">
        <f>(L198/30)*AU198</f>
        <v/>
      </c>
      <c r="BF198" s="15">
        <f>(L198/225)*((BB198*1.5)-(BC198*1.0))</f>
        <v/>
      </c>
      <c r="BG198" s="16">
        <f>(L198/225)*1.5*BD198</f>
        <v/>
      </c>
      <c r="BH198" s="15">
        <f>BF198+BG198</f>
        <v/>
      </c>
      <c r="BI198" s="17">
        <f>BE198+BH198</f>
        <v/>
      </c>
      <c r="BJ198" s="7">
        <f>IFERROR(VLOOKUP(B198, Resmi_Bordro_SGK!B:M, 11, FALSE), 0)</f>
        <v/>
      </c>
      <c r="BK198" s="18">
        <f>IFERROR(VLOOKUP(B198, Icra_Takip!A:E, 4, FALSE), 0)</f>
        <v/>
      </c>
      <c r="BL198" s="17">
        <f>IF(BI198&gt;BJ198, BI198-BJ198-BK198, 0)</f>
        <v/>
      </c>
      <c r="BM198" s="17">
        <f>BI198-BK198</f>
        <v/>
      </c>
    </row>
    <row r="199" ht="19" customHeight="1">
      <c r="A199" s="4" t="n">
        <v>196</v>
      </c>
      <c r="B199" s="5" t="inlineStr">
        <is>
          <t>19966627466</t>
        </is>
      </c>
      <c r="C199" s="6" t="inlineStr">
        <is>
          <t>HAYRİYE KARGA</t>
        </is>
      </c>
      <c r="D199" s="4" t="inlineStr">
        <is>
          <t>K</t>
        </is>
      </c>
      <c r="E199" s="4" t="inlineStr"/>
      <c r="F199" s="4" t="inlineStr">
        <is>
          <t>28.06.2026</t>
        </is>
      </c>
      <c r="G199" s="4" t="inlineStr"/>
      <c r="H199" s="4" t="inlineStr">
        <is>
          <t>NORMAL</t>
        </is>
      </c>
      <c r="I199" s="4" t="inlineStr">
        <is>
          <t>MEVSİMLİK</t>
        </is>
      </c>
      <c r="J199" s="6" t="inlineStr">
        <is>
          <t>ÜRETİM</t>
        </is>
      </c>
      <c r="K199" s="6" t="inlineStr">
        <is>
          <t>KARACABEY-HALİL</t>
        </is>
      </c>
      <c r="L199" s="7" t="n">
        <v>28075.5</v>
      </c>
      <c r="M199" s="4" t="inlineStr">
        <is>
          <t>FİDE KONSERVE</t>
        </is>
      </c>
      <c r="N199" s="4" t="inlineStr">
        <is>
          <t>ALIR</t>
        </is>
      </c>
      <c r="O199" s="19" t="n">
        <v>0</v>
      </c>
      <c r="P199" s="19" t="n">
        <v>0</v>
      </c>
      <c r="Q199" s="19" t="n">
        <v>0</v>
      </c>
      <c r="R199" s="9" t="n">
        <v>0</v>
      </c>
      <c r="S199" s="19" t="n">
        <v>0</v>
      </c>
      <c r="T199" s="19" t="n">
        <v>0</v>
      </c>
      <c r="U199" s="19" t="n">
        <v>0</v>
      </c>
      <c r="V199" s="19" t="n">
        <v>0</v>
      </c>
      <c r="W199" s="19" t="n">
        <v>0</v>
      </c>
      <c r="X199" s="19" t="n">
        <v>0</v>
      </c>
      <c r="Y199" s="9" t="n">
        <v>0</v>
      </c>
      <c r="Z199" s="19" t="n">
        <v>0</v>
      </c>
      <c r="AA199" s="19" t="n">
        <v>0</v>
      </c>
      <c r="AB199" s="19" t="n">
        <v>0</v>
      </c>
      <c r="AC199" s="19" t="n">
        <v>0</v>
      </c>
      <c r="AD199" s="19" t="n">
        <v>0</v>
      </c>
      <c r="AE199" s="19" t="n">
        <v>0</v>
      </c>
      <c r="AF199" s="9" t="n">
        <v>0</v>
      </c>
      <c r="AG199" s="19" t="n">
        <v>0</v>
      </c>
      <c r="AH199" s="19" t="n">
        <v>0</v>
      </c>
      <c r="AI199" s="19" t="n">
        <v>0</v>
      </c>
      <c r="AJ199" s="19" t="n">
        <v>0</v>
      </c>
      <c r="AK199" s="19" t="n">
        <v>0</v>
      </c>
      <c r="AL199" s="19" t="n">
        <v>0</v>
      </c>
      <c r="AM199" s="9" t="n">
        <v>0</v>
      </c>
      <c r="AN199" s="19" t="n">
        <v>0</v>
      </c>
      <c r="AO199" s="19" t="n">
        <v>0</v>
      </c>
      <c r="AP199" s="19" t="n">
        <v>0</v>
      </c>
      <c r="AQ199" s="19" t="n">
        <v>0</v>
      </c>
      <c r="AR199" s="19" t="n">
        <v>0</v>
      </c>
      <c r="AS199" s="19" t="n">
        <v>0</v>
      </c>
      <c r="AT199" s="10">
        <f>SUM(O199:AS199)</f>
        <v/>
      </c>
      <c r="AU199" s="20">
        <f>COUNTIF(O199:AS199, "&gt;0")</f>
        <v/>
      </c>
      <c r="AV199" s="12">
        <f>IF(AU199&gt;=5, 4, IF(AU199&gt;0, INT(AU199/6), 0))</f>
        <v/>
      </c>
      <c r="AW199" s="20" t="n">
        <v>0</v>
      </c>
      <c r="AX199" s="20" t="n">
        <v>0</v>
      </c>
      <c r="AY199" s="13">
        <f>MIN(31, AU199+AV199+AW199+AX199)</f>
        <v/>
      </c>
      <c r="AZ199" s="14">
        <f>31-AY199</f>
        <v/>
      </c>
      <c r="BA199" s="21">
        <f>IF(AX199&gt;0, "01-İstirahat", IF(AZ199&gt;0, "12-Birden Fazla", ""))</f>
        <v/>
      </c>
      <c r="BB199" s="10" t="n">
        <v>0</v>
      </c>
      <c r="BC199" s="19" t="n">
        <v>0</v>
      </c>
      <c r="BD199" s="9" t="n">
        <v>0</v>
      </c>
      <c r="BE199" s="22">
        <f>(L199/30)*AU199</f>
        <v/>
      </c>
      <c r="BF199" s="15">
        <f>(L199/225)*((BB199*1.5)-(BC199*1.0))</f>
        <v/>
      </c>
      <c r="BG199" s="16">
        <f>(L199/225)*1.5*BD199</f>
        <v/>
      </c>
      <c r="BH199" s="15">
        <f>BF199+BG199</f>
        <v/>
      </c>
      <c r="BI199" s="17">
        <f>BE199+BH199</f>
        <v/>
      </c>
      <c r="BJ199" s="22">
        <f>IFERROR(VLOOKUP(B199, Resmi_Bordro_SGK!B:M, 11, FALSE), 0)</f>
        <v/>
      </c>
      <c r="BK199" s="18">
        <f>IFERROR(VLOOKUP(B199, Icra_Takip!A:E, 4, FALSE), 0)</f>
        <v/>
      </c>
      <c r="BL199" s="17">
        <f>IF(BI199&gt;BJ199, BI199-BJ199-BK199, 0)</f>
        <v/>
      </c>
      <c r="BM199" s="17">
        <f>BI199-BK199</f>
        <v/>
      </c>
    </row>
    <row r="200" ht="19" customHeight="1">
      <c r="A200" s="4" t="n">
        <v>197</v>
      </c>
      <c r="B200" s="5" t="inlineStr">
        <is>
          <t>10156949566</t>
        </is>
      </c>
      <c r="C200" s="6" t="inlineStr">
        <is>
          <t>HAYRİYE BEYİRKEN</t>
        </is>
      </c>
      <c r="D200" s="4" t="inlineStr">
        <is>
          <t>K</t>
        </is>
      </c>
      <c r="E200" s="4" t="inlineStr"/>
      <c r="F200" s="4" t="inlineStr">
        <is>
          <t>19.07.2026</t>
        </is>
      </c>
      <c r="G200" s="4" t="inlineStr"/>
      <c r="H200" s="4" t="inlineStr">
        <is>
          <t>NORMAL</t>
        </is>
      </c>
      <c r="I200" s="4" t="inlineStr">
        <is>
          <t>MEVSİMLİK</t>
        </is>
      </c>
      <c r="J200" s="6" t="inlineStr">
        <is>
          <t>ÜRETİM</t>
        </is>
      </c>
      <c r="K200" s="6" t="inlineStr">
        <is>
          <t>KARACABEY-HALİL</t>
        </is>
      </c>
      <c r="L200" s="7" t="n">
        <v>28075.5</v>
      </c>
      <c r="M200" s="4" t="inlineStr">
        <is>
          <t>FİDE KONSERVE</t>
        </is>
      </c>
      <c r="N200" s="4" t="inlineStr">
        <is>
          <t>ALIR</t>
        </is>
      </c>
      <c r="O200" s="8" t="n">
        <v>7.5</v>
      </c>
      <c r="P200" s="8" t="n">
        <v>10.5</v>
      </c>
      <c r="Q200" s="8" t="n">
        <v>7.5</v>
      </c>
      <c r="R200" s="9" t="n">
        <v>0</v>
      </c>
      <c r="S200" s="8" t="n">
        <v>10.5</v>
      </c>
      <c r="T200" s="8" t="n">
        <v>10.5</v>
      </c>
      <c r="U200" s="8" t="n">
        <v>10.5</v>
      </c>
      <c r="V200" s="8" t="n">
        <v>10.5</v>
      </c>
      <c r="W200" s="8" t="n">
        <v>10.5</v>
      </c>
      <c r="X200" s="8" t="n">
        <v>10.5</v>
      </c>
      <c r="Y200" s="9" t="n">
        <v>0</v>
      </c>
      <c r="Z200" s="8" t="n">
        <v>10.5</v>
      </c>
      <c r="AA200" s="8" t="n">
        <v>10.5</v>
      </c>
      <c r="AB200" s="8" t="n">
        <v>10.5</v>
      </c>
      <c r="AC200" s="8" t="n">
        <v>10.5</v>
      </c>
      <c r="AD200" s="8" t="n">
        <v>0</v>
      </c>
      <c r="AE200" s="8" t="n">
        <v>0</v>
      </c>
      <c r="AF200" s="9" t="n">
        <v>0</v>
      </c>
      <c r="AG200" s="8" t="n">
        <v>10.5</v>
      </c>
      <c r="AH200" s="8" t="n">
        <v>0</v>
      </c>
      <c r="AI200" s="8" t="n">
        <v>7.5</v>
      </c>
      <c r="AJ200" s="8" t="n">
        <v>0</v>
      </c>
      <c r="AK200" s="8" t="n">
        <v>0</v>
      </c>
      <c r="AL200" s="8" t="n">
        <v>0</v>
      </c>
      <c r="AM200" s="9" t="n">
        <v>0</v>
      </c>
      <c r="AN200" s="8" t="n">
        <v>0</v>
      </c>
      <c r="AO200" s="8" t="n">
        <v>0</v>
      </c>
      <c r="AP200" s="8" t="n">
        <v>0</v>
      </c>
      <c r="AQ200" s="8" t="n">
        <v>0</v>
      </c>
      <c r="AR200" s="8" t="n">
        <v>0</v>
      </c>
      <c r="AS200" s="8" t="n">
        <v>0</v>
      </c>
      <c r="AT200" s="10">
        <f>SUM(O200:AS200)</f>
        <v/>
      </c>
      <c r="AU200" s="11">
        <f>COUNTIF(O200:AS200, "&gt;0")</f>
        <v/>
      </c>
      <c r="AV200" s="12">
        <f>IF(AU200&gt;=5, 4, IF(AU200&gt;0, INT(AU200/6), 0))</f>
        <v/>
      </c>
      <c r="AW200" s="11" t="n">
        <v>0</v>
      </c>
      <c r="AX200" s="11" t="n">
        <v>0</v>
      </c>
      <c r="AY200" s="13">
        <f>MIN(31, AU200+AV200+AW200+AX200)</f>
        <v/>
      </c>
      <c r="AZ200" s="14">
        <f>31-AY200</f>
        <v/>
      </c>
      <c r="BA200" s="5">
        <f>IF(AX200&gt;0, "01-İstirahat", IF(AZ200&gt;0, "12-Birden Fazla", ""))</f>
        <v/>
      </c>
      <c r="BB200" s="10" t="n">
        <v>36</v>
      </c>
      <c r="BC200" s="8" t="n">
        <v>0</v>
      </c>
      <c r="BD200" s="9" t="n">
        <v>0</v>
      </c>
      <c r="BE200" s="7">
        <f>(L200/30)*AU200</f>
        <v/>
      </c>
      <c r="BF200" s="15">
        <f>(L200/225)*((BB200*1.5)-(BC200*1.0))</f>
        <v/>
      </c>
      <c r="BG200" s="16">
        <f>(L200/225)*1.5*BD200</f>
        <v/>
      </c>
      <c r="BH200" s="15">
        <f>BF200+BG200</f>
        <v/>
      </c>
      <c r="BI200" s="17">
        <f>BE200+BH200</f>
        <v/>
      </c>
      <c r="BJ200" s="7">
        <f>IFERROR(VLOOKUP(B200, Resmi_Bordro_SGK!B:M, 11, FALSE), 0)</f>
        <v/>
      </c>
      <c r="BK200" s="18">
        <f>IFERROR(VLOOKUP(B200, Icra_Takip!A:E, 4, FALSE), 0)</f>
        <v/>
      </c>
      <c r="BL200" s="17">
        <f>IF(BI200&gt;BJ200, BI200-BJ200-BK200, 0)</f>
        <v/>
      </c>
      <c r="BM200" s="17">
        <f>BI200-BK200</f>
        <v/>
      </c>
    </row>
    <row r="201" ht="19" customHeight="1">
      <c r="A201" s="4" t="n">
        <v>198</v>
      </c>
      <c r="B201" s="5" t="inlineStr">
        <is>
          <t>30367150308</t>
        </is>
      </c>
      <c r="C201" s="6" t="inlineStr">
        <is>
          <t>HAYRULLAH TOPRAK</t>
        </is>
      </c>
      <c r="D201" s="4" t="inlineStr">
        <is>
          <t>E</t>
        </is>
      </c>
      <c r="E201" s="4" t="inlineStr"/>
      <c r="F201" s="4" t="inlineStr">
        <is>
          <t>13.04.2026</t>
        </is>
      </c>
      <c r="G201" s="4" t="inlineStr"/>
      <c r="H201" s="4" t="inlineStr">
        <is>
          <t>KISMİ</t>
        </is>
      </c>
      <c r="I201" s="4" t="inlineStr">
        <is>
          <t>DAİMİ</t>
        </is>
      </c>
      <c r="J201" s="6" t="inlineStr">
        <is>
          <t>AMBAR</t>
        </is>
      </c>
      <c r="K201" s="6" t="inlineStr">
        <is>
          <t>GÜVEN TURİZM KARACABEY</t>
        </is>
      </c>
      <c r="L201" s="7" t="n">
        <v>33000</v>
      </c>
      <c r="M201" s="4" t="inlineStr">
        <is>
          <t>FİDE KONSERVE</t>
        </is>
      </c>
      <c r="N201" s="4" t="inlineStr">
        <is>
          <t>ALIR</t>
        </is>
      </c>
      <c r="O201" s="19" t="n">
        <v>7.5</v>
      </c>
      <c r="P201" s="19" t="n">
        <v>7.5</v>
      </c>
      <c r="Q201" s="19" t="n">
        <v>7.5</v>
      </c>
      <c r="R201" s="9" t="n">
        <v>0</v>
      </c>
      <c r="S201" s="19" t="n">
        <v>7.5</v>
      </c>
      <c r="T201" s="19" t="n">
        <v>7.5</v>
      </c>
      <c r="U201" s="19" t="n">
        <v>7.5</v>
      </c>
      <c r="V201" s="19" t="n">
        <v>7.5</v>
      </c>
      <c r="W201" s="19" t="n">
        <v>7.5</v>
      </c>
      <c r="X201" s="19" t="n">
        <v>7.5</v>
      </c>
      <c r="Y201" s="9" t="n">
        <v>0</v>
      </c>
      <c r="Z201" s="19" t="n">
        <v>7.5</v>
      </c>
      <c r="AA201" s="19" t="n">
        <v>7.5</v>
      </c>
      <c r="AB201" s="19" t="n">
        <v>8</v>
      </c>
      <c r="AC201" s="19" t="n">
        <v>8</v>
      </c>
      <c r="AD201" s="19" t="n">
        <v>7.5</v>
      </c>
      <c r="AE201" s="19" t="n">
        <v>7.5</v>
      </c>
      <c r="AF201" s="9" t="n">
        <v>8</v>
      </c>
      <c r="AG201" s="19" t="n">
        <v>8</v>
      </c>
      <c r="AH201" s="19" t="n">
        <v>7.5</v>
      </c>
      <c r="AI201" s="19" t="n">
        <v>7.5</v>
      </c>
      <c r="AJ201" s="19" t="n">
        <v>0</v>
      </c>
      <c r="AK201" s="19" t="n">
        <v>0</v>
      </c>
      <c r="AL201" s="19" t="n">
        <v>0</v>
      </c>
      <c r="AM201" s="9" t="n">
        <v>0</v>
      </c>
      <c r="AN201" s="19" t="n">
        <v>0</v>
      </c>
      <c r="AO201" s="19" t="n">
        <v>0</v>
      </c>
      <c r="AP201" s="19" t="n">
        <v>0</v>
      </c>
      <c r="AQ201" s="19" t="n">
        <v>0</v>
      </c>
      <c r="AR201" s="19" t="n">
        <v>0</v>
      </c>
      <c r="AS201" s="19" t="n">
        <v>0</v>
      </c>
      <c r="AT201" s="10">
        <f>SUM(O201:AS201)</f>
        <v/>
      </c>
      <c r="AU201" s="20">
        <f>COUNTIF(O201:AS201, "&gt;0")</f>
        <v/>
      </c>
      <c r="AV201" s="12">
        <f>IF(AU201&gt;=5, 4, IF(AU201&gt;0, INT(AU201/6), 0))</f>
        <v/>
      </c>
      <c r="AW201" s="20" t="n">
        <v>0</v>
      </c>
      <c r="AX201" s="20" t="n">
        <v>0</v>
      </c>
      <c r="AY201" s="13">
        <f>MIN(31, AU201+AV201+AW201+AX201)</f>
        <v/>
      </c>
      <c r="AZ201" s="14">
        <f>31-AY201</f>
        <v/>
      </c>
      <c r="BA201" s="21">
        <f>IF(AX201&gt;0, "01-İstirahat", IF(AZ201&gt;0, "12-Birden Fazla", ""))</f>
        <v/>
      </c>
      <c r="BB201" s="10" t="n">
        <v>1.5</v>
      </c>
      <c r="BC201" s="19" t="n">
        <v>0</v>
      </c>
      <c r="BD201" s="9" t="n">
        <v>8</v>
      </c>
      <c r="BE201" s="22">
        <f>(L201/30)*AU201</f>
        <v/>
      </c>
      <c r="BF201" s="15">
        <f>(L201/225)*((BB201*1.5)-(BC201*1.0))</f>
        <v/>
      </c>
      <c r="BG201" s="16">
        <f>(L201/225)*1.5*BD201</f>
        <v/>
      </c>
      <c r="BH201" s="15">
        <f>BF201+BG201</f>
        <v/>
      </c>
      <c r="BI201" s="17">
        <f>BE201+BH201</f>
        <v/>
      </c>
      <c r="BJ201" s="22">
        <f>IFERROR(VLOOKUP(B201, Resmi_Bordro_SGK!B:M, 11, FALSE), 0)</f>
        <v/>
      </c>
      <c r="BK201" s="18">
        <f>IFERROR(VLOOKUP(B201, Icra_Takip!A:E, 4, FALSE), 0)</f>
        <v/>
      </c>
      <c r="BL201" s="17">
        <f>IF(BI201&gt;BJ201, BI201-BJ201-BK201, 0)</f>
        <v/>
      </c>
      <c r="BM201" s="17">
        <f>BI201-BK201</f>
        <v/>
      </c>
    </row>
    <row r="202" ht="19" customHeight="1">
      <c r="A202" s="4" t="n">
        <v>199</v>
      </c>
      <c r="B202" s="5" t="inlineStr">
        <is>
          <t>23857340204</t>
        </is>
      </c>
      <c r="C202" s="6" t="inlineStr">
        <is>
          <t>HÜLYA ERİM</t>
        </is>
      </c>
      <c r="D202" s="4" t="inlineStr">
        <is>
          <t>K</t>
        </is>
      </c>
      <c r="E202" s="4" t="inlineStr"/>
      <c r="F202" s="4" t="inlineStr">
        <is>
          <t>22.05.2025</t>
        </is>
      </c>
      <c r="G202" s="4" t="inlineStr"/>
      <c r="H202" s="4" t="inlineStr">
        <is>
          <t>NORMAL</t>
        </is>
      </c>
      <c r="I202" s="4" t="inlineStr">
        <is>
          <t>MEVSİMLİK</t>
        </is>
      </c>
      <c r="J202" s="6" t="inlineStr">
        <is>
          <t>ÜRETİM</t>
        </is>
      </c>
      <c r="K202" s="6" t="inlineStr">
        <is>
          <t>BİGADİÇ</t>
        </is>
      </c>
      <c r="L202" s="7" t="n">
        <v>28075.5</v>
      </c>
      <c r="M202" s="4" t="inlineStr">
        <is>
          <t>FİDE KONSERVE</t>
        </is>
      </c>
      <c r="N202" s="4" t="inlineStr">
        <is>
          <t>ALIR</t>
        </is>
      </c>
      <c r="O202" s="8" t="n">
        <v>0</v>
      </c>
      <c r="P202" s="8" t="n">
        <v>0</v>
      </c>
      <c r="Q202" s="8" t="n">
        <v>0</v>
      </c>
      <c r="R202" s="9" t="n">
        <v>0</v>
      </c>
      <c r="S202" s="8" t="n">
        <v>0</v>
      </c>
      <c r="T202" s="8" t="n">
        <v>0</v>
      </c>
      <c r="U202" s="8" t="n">
        <v>0</v>
      </c>
      <c r="V202" s="8" t="n">
        <v>0</v>
      </c>
      <c r="W202" s="8" t="n">
        <v>0</v>
      </c>
      <c r="X202" s="8" t="n">
        <v>0</v>
      </c>
      <c r="Y202" s="9" t="n">
        <v>0</v>
      </c>
      <c r="Z202" s="8" t="n">
        <v>0</v>
      </c>
      <c r="AA202" s="8" t="n">
        <v>0</v>
      </c>
      <c r="AB202" s="8" t="n">
        <v>0</v>
      </c>
      <c r="AC202" s="8" t="n">
        <v>0</v>
      </c>
      <c r="AD202" s="8" t="n">
        <v>0</v>
      </c>
      <c r="AE202" s="8" t="n">
        <v>0</v>
      </c>
      <c r="AF202" s="9" t="n">
        <v>0</v>
      </c>
      <c r="AG202" s="8" t="n">
        <v>0</v>
      </c>
      <c r="AH202" s="8" t="n">
        <v>0</v>
      </c>
      <c r="AI202" s="8" t="n">
        <v>0</v>
      </c>
      <c r="AJ202" s="8" t="n">
        <v>0</v>
      </c>
      <c r="AK202" s="8" t="n">
        <v>0</v>
      </c>
      <c r="AL202" s="8" t="n">
        <v>0</v>
      </c>
      <c r="AM202" s="9" t="n">
        <v>0</v>
      </c>
      <c r="AN202" s="8" t="n">
        <v>0</v>
      </c>
      <c r="AO202" s="8" t="n">
        <v>0</v>
      </c>
      <c r="AP202" s="8" t="n">
        <v>0</v>
      </c>
      <c r="AQ202" s="8" t="n">
        <v>0</v>
      </c>
      <c r="AR202" s="8" t="n">
        <v>0</v>
      </c>
      <c r="AS202" s="8" t="n">
        <v>0</v>
      </c>
      <c r="AT202" s="10">
        <f>SUM(O202:AS202)</f>
        <v/>
      </c>
      <c r="AU202" s="11">
        <f>COUNTIF(O202:AS202, "&gt;0")</f>
        <v/>
      </c>
      <c r="AV202" s="12">
        <f>IF(AU202&gt;=5, 4, IF(AU202&gt;0, INT(AU202/6), 0))</f>
        <v/>
      </c>
      <c r="AW202" s="11" t="n">
        <v>0</v>
      </c>
      <c r="AX202" s="11" t="n">
        <v>0</v>
      </c>
      <c r="AY202" s="13">
        <f>MIN(31, AU202+AV202+AW202+AX202)</f>
        <v/>
      </c>
      <c r="AZ202" s="14">
        <f>31-AY202</f>
        <v/>
      </c>
      <c r="BA202" s="5">
        <f>IF(AX202&gt;0, "01-İstirahat", IF(AZ202&gt;0, "12-Birden Fazla", ""))</f>
        <v/>
      </c>
      <c r="BB202" s="10" t="n">
        <v>0</v>
      </c>
      <c r="BC202" s="8" t="n">
        <v>0</v>
      </c>
      <c r="BD202" s="9" t="n">
        <v>0</v>
      </c>
      <c r="BE202" s="7">
        <f>(L202/30)*AU202</f>
        <v/>
      </c>
      <c r="BF202" s="15">
        <f>(L202/225)*((BB202*1.5)-(BC202*1.0))</f>
        <v/>
      </c>
      <c r="BG202" s="16">
        <f>(L202/225)*1.5*BD202</f>
        <v/>
      </c>
      <c r="BH202" s="15">
        <f>BF202+BG202</f>
        <v/>
      </c>
      <c r="BI202" s="17">
        <f>BE202+BH202</f>
        <v/>
      </c>
      <c r="BJ202" s="7">
        <f>IFERROR(VLOOKUP(B202, Resmi_Bordro_SGK!B:M, 11, FALSE), 0)</f>
        <v/>
      </c>
      <c r="BK202" s="18">
        <f>IFERROR(VLOOKUP(B202, Icra_Takip!A:E, 4, FALSE), 0)</f>
        <v/>
      </c>
      <c r="BL202" s="17">
        <f>IF(BI202&gt;BJ202, BI202-BJ202-BK202, 0)</f>
        <v/>
      </c>
      <c r="BM202" s="17">
        <f>BI202-BK202</f>
        <v/>
      </c>
    </row>
    <row r="203" ht="19" customHeight="1">
      <c r="A203" s="4" t="n">
        <v>200</v>
      </c>
      <c r="B203" s="5" t="inlineStr">
        <is>
          <t>30856107820</t>
        </is>
      </c>
      <c r="C203" s="6" t="inlineStr">
        <is>
          <t>HÜLYA ÜÜNAL</t>
        </is>
      </c>
      <c r="D203" s="4" t="inlineStr">
        <is>
          <t>K</t>
        </is>
      </c>
      <c r="E203" s="4" t="inlineStr"/>
      <c r="F203" s="4" t="inlineStr">
        <is>
          <t>09.05.2022</t>
        </is>
      </c>
      <c r="G203" s="4" t="inlineStr"/>
      <c r="H203" s="4" t="inlineStr">
        <is>
          <t>NORMAL</t>
        </is>
      </c>
      <c r="I203" s="4" t="inlineStr">
        <is>
          <t>MEVSİMLİK</t>
        </is>
      </c>
      <c r="J203" s="6" t="inlineStr">
        <is>
          <t>AMBAR</t>
        </is>
      </c>
      <c r="K203" s="6" t="inlineStr">
        <is>
          <t>BİGADİÇ</t>
        </is>
      </c>
      <c r="L203" s="7" t="n">
        <v>28075.5</v>
      </c>
      <c r="M203" s="4" t="inlineStr">
        <is>
          <t>FİDE KONSERVE</t>
        </is>
      </c>
      <c r="N203" s="4" t="inlineStr">
        <is>
          <t>ALIR</t>
        </is>
      </c>
      <c r="O203" s="19" t="n">
        <v>7.5</v>
      </c>
      <c r="P203" s="19" t="n">
        <v>7.5</v>
      </c>
      <c r="Q203" s="19" t="n">
        <v>0</v>
      </c>
      <c r="R203" s="9" t="n">
        <v>0</v>
      </c>
      <c r="S203" s="19" t="n">
        <v>7.5</v>
      </c>
      <c r="T203" s="19" t="n">
        <v>7.5</v>
      </c>
      <c r="U203" s="19" t="n">
        <v>7.5</v>
      </c>
      <c r="V203" s="19" t="n">
        <v>7.5</v>
      </c>
      <c r="W203" s="19" t="n">
        <v>7.5</v>
      </c>
      <c r="X203" s="19" t="n">
        <v>7.5</v>
      </c>
      <c r="Y203" s="9" t="n">
        <v>0</v>
      </c>
      <c r="Z203" s="19" t="n">
        <v>8.5</v>
      </c>
      <c r="AA203" s="19" t="n">
        <v>7.5</v>
      </c>
      <c r="AB203" s="19" t="n">
        <v>7.5</v>
      </c>
      <c r="AC203" s="19" t="n">
        <v>8</v>
      </c>
      <c r="AD203" s="19" t="n">
        <v>7.5</v>
      </c>
      <c r="AE203" s="19" t="n">
        <v>7.5</v>
      </c>
      <c r="AF203" s="9" t="n">
        <v>7.5</v>
      </c>
      <c r="AG203" s="19" t="n">
        <v>7.5</v>
      </c>
      <c r="AH203" s="19" t="n">
        <v>7.5</v>
      </c>
      <c r="AI203" s="19" t="n">
        <v>7.5</v>
      </c>
      <c r="AJ203" s="19" t="n">
        <v>0</v>
      </c>
      <c r="AK203" s="19" t="n">
        <v>0</v>
      </c>
      <c r="AL203" s="19" t="n">
        <v>0</v>
      </c>
      <c r="AM203" s="9" t="n">
        <v>0</v>
      </c>
      <c r="AN203" s="19" t="n">
        <v>0</v>
      </c>
      <c r="AO203" s="19" t="n">
        <v>0</v>
      </c>
      <c r="AP203" s="19" t="n">
        <v>0</v>
      </c>
      <c r="AQ203" s="19" t="n">
        <v>0</v>
      </c>
      <c r="AR203" s="19" t="n">
        <v>0</v>
      </c>
      <c r="AS203" s="19" t="n">
        <v>0</v>
      </c>
      <c r="AT203" s="10">
        <f>SUM(O203:AS203)</f>
        <v/>
      </c>
      <c r="AU203" s="20">
        <f>COUNTIF(O203:AS203, "&gt;0")</f>
        <v/>
      </c>
      <c r="AV203" s="12">
        <f>IF(AU203&gt;=5, 4, IF(AU203&gt;0, INT(AU203/6), 0))</f>
        <v/>
      </c>
      <c r="AW203" s="20" t="n">
        <v>0</v>
      </c>
      <c r="AX203" s="20" t="n">
        <v>0</v>
      </c>
      <c r="AY203" s="13">
        <f>MIN(31, AU203+AV203+AW203+AX203)</f>
        <v/>
      </c>
      <c r="AZ203" s="14">
        <f>31-AY203</f>
        <v/>
      </c>
      <c r="BA203" s="21">
        <f>IF(AX203&gt;0, "01-İstirahat", IF(AZ203&gt;0, "12-Birden Fazla", ""))</f>
        <v/>
      </c>
      <c r="BB203" s="10" t="n">
        <v>1.5</v>
      </c>
      <c r="BC203" s="19" t="n">
        <v>0</v>
      </c>
      <c r="BD203" s="9" t="n">
        <v>7.5</v>
      </c>
      <c r="BE203" s="22">
        <f>(L203/30)*AU203</f>
        <v/>
      </c>
      <c r="BF203" s="15">
        <f>(L203/225)*((BB203*1.5)-(BC203*1.0))</f>
        <v/>
      </c>
      <c r="BG203" s="16">
        <f>(L203/225)*1.5*BD203</f>
        <v/>
      </c>
      <c r="BH203" s="15">
        <f>BF203+BG203</f>
        <v/>
      </c>
      <c r="BI203" s="17">
        <f>BE203+BH203</f>
        <v/>
      </c>
      <c r="BJ203" s="22">
        <f>IFERROR(VLOOKUP(B203, Resmi_Bordro_SGK!B:M, 11, FALSE), 0)</f>
        <v/>
      </c>
      <c r="BK203" s="18">
        <f>IFERROR(VLOOKUP(B203, Icra_Takip!A:E, 4, FALSE), 0)</f>
        <v/>
      </c>
      <c r="BL203" s="17">
        <f>IF(BI203&gt;BJ203, BI203-BJ203-BK203, 0)</f>
        <v/>
      </c>
      <c r="BM203" s="17">
        <f>BI203-BK203</f>
        <v/>
      </c>
    </row>
    <row r="204" ht="19" customHeight="1">
      <c r="A204" s="4" t="n">
        <v>201</v>
      </c>
      <c r="B204" s="5" t="inlineStr">
        <is>
          <t>11284916406</t>
        </is>
      </c>
      <c r="C204" s="6" t="inlineStr">
        <is>
          <t>HÜLYA TANIŞ</t>
        </is>
      </c>
      <c r="D204" s="4" t="inlineStr">
        <is>
          <t>K</t>
        </is>
      </c>
      <c r="E204" s="4" t="inlineStr"/>
      <c r="F204" s="4" t="inlineStr">
        <is>
          <t>01.07.2026</t>
        </is>
      </c>
      <c r="G204" s="4" t="inlineStr"/>
      <c r="H204" s="4" t="inlineStr">
        <is>
          <t>NORMAL</t>
        </is>
      </c>
      <c r="I204" s="4" t="inlineStr">
        <is>
          <t>MEVSİMLİK</t>
        </is>
      </c>
      <c r="J204" s="6" t="inlineStr">
        <is>
          <t>BALIK TEMİZLEME</t>
        </is>
      </c>
      <c r="K204" s="6" t="inlineStr">
        <is>
          <t>****</t>
        </is>
      </c>
      <c r="L204" s="7" t="n">
        <v>33000</v>
      </c>
      <c r="M204" s="4" t="inlineStr">
        <is>
          <t>FİDE KONSERVE</t>
        </is>
      </c>
      <c r="N204" s="4" t="inlineStr">
        <is>
          <t>ALIR</t>
        </is>
      </c>
      <c r="O204" s="8" t="n">
        <v>0</v>
      </c>
      <c r="P204" s="8" t="n">
        <v>0</v>
      </c>
      <c r="Q204" s="8" t="n">
        <v>0</v>
      </c>
      <c r="R204" s="9" t="n">
        <v>0</v>
      </c>
      <c r="S204" s="8" t="n">
        <v>0</v>
      </c>
      <c r="T204" s="8" t="n">
        <v>0</v>
      </c>
      <c r="U204" s="8" t="n">
        <v>0</v>
      </c>
      <c r="V204" s="8" t="n">
        <v>0</v>
      </c>
      <c r="W204" s="8" t="n">
        <v>0</v>
      </c>
      <c r="X204" s="8" t="n">
        <v>0</v>
      </c>
      <c r="Y204" s="9" t="n">
        <v>0</v>
      </c>
      <c r="Z204" s="8" t="n">
        <v>0</v>
      </c>
      <c r="AA204" s="8" t="n">
        <v>0</v>
      </c>
      <c r="AB204" s="8" t="n">
        <v>0</v>
      </c>
      <c r="AC204" s="8" t="n">
        <v>0</v>
      </c>
      <c r="AD204" s="8" t="n">
        <v>0</v>
      </c>
      <c r="AE204" s="8" t="n">
        <v>0</v>
      </c>
      <c r="AF204" s="9" t="n">
        <v>0</v>
      </c>
      <c r="AG204" s="8" t="n">
        <v>0</v>
      </c>
      <c r="AH204" s="8" t="n">
        <v>0</v>
      </c>
      <c r="AI204" s="8" t="n">
        <v>0</v>
      </c>
      <c r="AJ204" s="8" t="n">
        <v>0</v>
      </c>
      <c r="AK204" s="8" t="n">
        <v>0</v>
      </c>
      <c r="AL204" s="8" t="n">
        <v>0</v>
      </c>
      <c r="AM204" s="9" t="n">
        <v>0</v>
      </c>
      <c r="AN204" s="8" t="n">
        <v>0</v>
      </c>
      <c r="AO204" s="8" t="n">
        <v>0</v>
      </c>
      <c r="AP204" s="8" t="n">
        <v>0</v>
      </c>
      <c r="AQ204" s="8" t="n">
        <v>0</v>
      </c>
      <c r="AR204" s="8" t="n">
        <v>0</v>
      </c>
      <c r="AS204" s="8" t="n">
        <v>0</v>
      </c>
      <c r="AT204" s="10">
        <f>SUM(O204:AS204)</f>
        <v/>
      </c>
      <c r="AU204" s="11">
        <f>COUNTIF(O204:AS204, "&gt;0")</f>
        <v/>
      </c>
      <c r="AV204" s="12">
        <f>IF(AU204&gt;=5, 4, IF(AU204&gt;0, INT(AU204/6), 0))</f>
        <v/>
      </c>
      <c r="AW204" s="11" t="n">
        <v>0</v>
      </c>
      <c r="AX204" s="11" t="n">
        <v>0</v>
      </c>
      <c r="AY204" s="13">
        <f>MIN(31, AU204+AV204+AW204+AX204)</f>
        <v/>
      </c>
      <c r="AZ204" s="14">
        <f>31-AY204</f>
        <v/>
      </c>
      <c r="BA204" s="5">
        <f>IF(AX204&gt;0, "01-İstirahat", IF(AZ204&gt;0, "12-Birden Fazla", ""))</f>
        <v/>
      </c>
      <c r="BB204" s="10" t="n">
        <v>0</v>
      </c>
      <c r="BC204" s="8" t="n">
        <v>0</v>
      </c>
      <c r="BD204" s="9" t="n">
        <v>0</v>
      </c>
      <c r="BE204" s="7">
        <f>(L204/30)*AU204</f>
        <v/>
      </c>
      <c r="BF204" s="15">
        <f>(L204/225)*((BB204*1.5)-(BC204*1.0))</f>
        <v/>
      </c>
      <c r="BG204" s="16">
        <f>(L204/225)*1.5*BD204</f>
        <v/>
      </c>
      <c r="BH204" s="15">
        <f>BF204+BG204</f>
        <v/>
      </c>
      <c r="BI204" s="17">
        <f>BE204+BH204</f>
        <v/>
      </c>
      <c r="BJ204" s="7">
        <f>IFERROR(VLOOKUP(B204, Resmi_Bordro_SGK!B:M, 11, FALSE), 0)</f>
        <v/>
      </c>
      <c r="BK204" s="18">
        <f>IFERROR(VLOOKUP(B204, Icra_Takip!A:E, 4, FALSE), 0)</f>
        <v/>
      </c>
      <c r="BL204" s="17">
        <f>IF(BI204&gt;BJ204, BI204-BJ204-BK204, 0)</f>
        <v/>
      </c>
      <c r="BM204" s="17">
        <f>BI204-BK204</f>
        <v/>
      </c>
    </row>
    <row r="205" ht="19" customHeight="1">
      <c r="A205" s="4" t="n">
        <v>202</v>
      </c>
      <c r="B205" s="5" t="inlineStr">
        <is>
          <t>33289026430</t>
        </is>
      </c>
      <c r="C205" s="6" t="inlineStr">
        <is>
          <t>HÜLYA TOPAL</t>
        </is>
      </c>
      <c r="D205" s="4" t="inlineStr">
        <is>
          <t>K</t>
        </is>
      </c>
      <c r="E205" s="4" t="inlineStr"/>
      <c r="F205" s="4" t="inlineStr">
        <is>
          <t>01.09.2025</t>
        </is>
      </c>
      <c r="G205" s="4" t="inlineStr"/>
      <c r="H205" s="4" t="inlineStr">
        <is>
          <t>SGDP</t>
        </is>
      </c>
      <c r="I205" s="4" t="inlineStr">
        <is>
          <t>MEVSİMLİK</t>
        </is>
      </c>
      <c r="J205" s="6" t="inlineStr">
        <is>
          <t>AMBAR</t>
        </is>
      </c>
      <c r="K205" s="6" t="inlineStr">
        <is>
          <t>BİGADİÇ</t>
        </is>
      </c>
      <c r="L205" s="7" t="n">
        <v>30185</v>
      </c>
      <c r="M205" s="4" t="inlineStr">
        <is>
          <t>FİDE KONSERVE</t>
        </is>
      </c>
      <c r="N205" s="4" t="inlineStr">
        <is>
          <t>ALIR</t>
        </is>
      </c>
      <c r="O205" s="19" t="n">
        <v>7.5</v>
      </c>
      <c r="P205" s="19" t="n">
        <v>7.5</v>
      </c>
      <c r="Q205" s="19" t="n">
        <v>7.5</v>
      </c>
      <c r="R205" s="9" t="n">
        <v>0</v>
      </c>
      <c r="S205" s="19" t="n">
        <v>7.5</v>
      </c>
      <c r="T205" s="19" t="n">
        <v>7.5</v>
      </c>
      <c r="U205" s="19" t="n">
        <v>7.5</v>
      </c>
      <c r="V205" s="19" t="n">
        <v>7.5</v>
      </c>
      <c r="W205" s="19" t="n">
        <v>7.5</v>
      </c>
      <c r="X205" s="19" t="n">
        <v>0</v>
      </c>
      <c r="Y205" s="9" t="n">
        <v>0</v>
      </c>
      <c r="Z205" s="19" t="n">
        <v>8.5</v>
      </c>
      <c r="AA205" s="19" t="n">
        <v>7.5</v>
      </c>
      <c r="AB205" s="19" t="n">
        <v>7.5</v>
      </c>
      <c r="AC205" s="23" t="n">
        <v>7.5</v>
      </c>
      <c r="AD205" s="19" t="n">
        <v>7.5</v>
      </c>
      <c r="AE205" s="19" t="n">
        <v>0</v>
      </c>
      <c r="AF205" s="9" t="n">
        <v>7.5</v>
      </c>
      <c r="AG205" s="19" t="n">
        <v>7.5</v>
      </c>
      <c r="AH205" s="19" t="n">
        <v>7.5</v>
      </c>
      <c r="AI205" s="19" t="n">
        <v>7.5</v>
      </c>
      <c r="AJ205" s="19" t="n">
        <v>0</v>
      </c>
      <c r="AK205" s="19" t="n">
        <v>0</v>
      </c>
      <c r="AL205" s="19" t="n">
        <v>0</v>
      </c>
      <c r="AM205" s="9" t="n">
        <v>0</v>
      </c>
      <c r="AN205" s="19" t="n">
        <v>0</v>
      </c>
      <c r="AO205" s="19" t="n">
        <v>0</v>
      </c>
      <c r="AP205" s="19" t="n">
        <v>0</v>
      </c>
      <c r="AQ205" s="19" t="n">
        <v>0</v>
      </c>
      <c r="AR205" s="19" t="n">
        <v>0</v>
      </c>
      <c r="AS205" s="19" t="n">
        <v>0</v>
      </c>
      <c r="AT205" s="10">
        <f>SUM(O205:AS205)</f>
        <v/>
      </c>
      <c r="AU205" s="20">
        <f>COUNTIF(O205:AS205, "&gt;0")</f>
        <v/>
      </c>
      <c r="AV205" s="12">
        <f>IF(AU205&gt;=5, 4, IF(AU205&gt;0, INT(AU205/6), 0))</f>
        <v/>
      </c>
      <c r="AW205" s="20" t="n">
        <v>0</v>
      </c>
      <c r="AX205" s="20" t="n">
        <v>0</v>
      </c>
      <c r="AY205" s="13">
        <f>MIN(31, AU205+AV205+AW205+AX205)</f>
        <v/>
      </c>
      <c r="AZ205" s="14">
        <f>31-AY205</f>
        <v/>
      </c>
      <c r="BA205" s="21">
        <f>IF(AX205&gt;0, "01-İstirahat", IF(AZ205&gt;0, "12-Birden Fazla", ""))</f>
        <v/>
      </c>
      <c r="BB205" s="10" t="n">
        <v>1</v>
      </c>
      <c r="BC205" s="19" t="n">
        <v>0</v>
      </c>
      <c r="BD205" s="9" t="n">
        <v>7.5</v>
      </c>
      <c r="BE205" s="22">
        <f>(L205/30)*AU205</f>
        <v/>
      </c>
      <c r="BF205" s="15">
        <f>(L205/225)*((BB205*1.5)-(BC205*1.0))</f>
        <v/>
      </c>
      <c r="BG205" s="16">
        <f>(L205/225)*1.5*BD205</f>
        <v/>
      </c>
      <c r="BH205" s="15">
        <f>BF205+BG205</f>
        <v/>
      </c>
      <c r="BI205" s="17">
        <f>BE205+BH205</f>
        <v/>
      </c>
      <c r="BJ205" s="22">
        <f>IFERROR(VLOOKUP(B205, Resmi_Bordro_SGK!B:M, 11, FALSE), 0)</f>
        <v/>
      </c>
      <c r="BK205" s="18">
        <f>IFERROR(VLOOKUP(B205, Icra_Takip!A:E, 4, FALSE), 0)</f>
        <v/>
      </c>
      <c r="BL205" s="17">
        <f>IF(BI205&gt;BJ205, BI205-BJ205-BK205, 0)</f>
        <v/>
      </c>
      <c r="BM205" s="17">
        <f>BI205-BK205</f>
        <v/>
      </c>
    </row>
    <row r="206" ht="19" customHeight="1">
      <c r="A206" s="4" t="n">
        <v>203</v>
      </c>
      <c r="B206" s="5" t="inlineStr">
        <is>
          <t>28069359518</t>
        </is>
      </c>
      <c r="C206" s="6" t="inlineStr">
        <is>
          <t>HÜSEYİN DEMİRCİ</t>
        </is>
      </c>
      <c r="D206" s="4" t="inlineStr">
        <is>
          <t>E</t>
        </is>
      </c>
      <c r="E206" s="4" t="inlineStr"/>
      <c r="F206" s="4" t="inlineStr">
        <is>
          <t>10.08.2026</t>
        </is>
      </c>
      <c r="G206" s="4" t="inlineStr"/>
      <c r="H206" s="4" t="inlineStr">
        <is>
          <t>NORMAL</t>
        </is>
      </c>
      <c r="I206" s="4" t="inlineStr">
        <is>
          <t>MEVSİMLİK</t>
        </is>
      </c>
      <c r="J206" s="6" t="inlineStr">
        <is>
          <t>BALIK TEMİZLEME</t>
        </is>
      </c>
      <c r="K206" s="6" t="inlineStr">
        <is>
          <t>GÜVEN</t>
        </is>
      </c>
      <c r="L206" s="7" t="n">
        <v>33000</v>
      </c>
      <c r="M206" s="4" t="inlineStr">
        <is>
          <t>FİDE KONSERVE</t>
        </is>
      </c>
      <c r="N206" s="4" t="inlineStr">
        <is>
          <t>ALIR</t>
        </is>
      </c>
      <c r="O206" s="8" t="n">
        <v>0</v>
      </c>
      <c r="P206" s="8" t="n">
        <v>0</v>
      </c>
      <c r="Q206" s="8" t="n">
        <v>0</v>
      </c>
      <c r="R206" s="9" t="n">
        <v>0</v>
      </c>
      <c r="S206" s="8" t="n">
        <v>0</v>
      </c>
      <c r="T206" s="8" t="n">
        <v>0</v>
      </c>
      <c r="U206" s="8" t="n">
        <v>0</v>
      </c>
      <c r="V206" s="8" t="n">
        <v>0</v>
      </c>
      <c r="W206" s="8" t="n">
        <v>0</v>
      </c>
      <c r="X206" s="8" t="n">
        <v>0</v>
      </c>
      <c r="Y206" s="9" t="n">
        <v>0</v>
      </c>
      <c r="Z206" s="8" t="n">
        <v>0</v>
      </c>
      <c r="AA206" s="8" t="n">
        <v>0</v>
      </c>
      <c r="AB206" s="8" t="n">
        <v>0</v>
      </c>
      <c r="AC206" s="8" t="n">
        <v>0</v>
      </c>
      <c r="AD206" s="8" t="n">
        <v>0</v>
      </c>
      <c r="AE206" s="8" t="n">
        <v>0</v>
      </c>
      <c r="AF206" s="9" t="n">
        <v>0</v>
      </c>
      <c r="AG206" s="8" t="n">
        <v>0</v>
      </c>
      <c r="AH206" s="8" t="n">
        <v>0</v>
      </c>
      <c r="AI206" s="8" t="n">
        <v>0</v>
      </c>
      <c r="AJ206" s="8" t="n">
        <v>0</v>
      </c>
      <c r="AK206" s="8" t="n">
        <v>0</v>
      </c>
      <c r="AL206" s="8" t="n">
        <v>0</v>
      </c>
      <c r="AM206" s="9" t="n">
        <v>0</v>
      </c>
      <c r="AN206" s="8" t="n">
        <v>0</v>
      </c>
      <c r="AO206" s="8" t="n">
        <v>0</v>
      </c>
      <c r="AP206" s="8" t="n">
        <v>0</v>
      </c>
      <c r="AQ206" s="8" t="n">
        <v>0</v>
      </c>
      <c r="AR206" s="8" t="n">
        <v>0</v>
      </c>
      <c r="AS206" s="8" t="n">
        <v>0</v>
      </c>
      <c r="AT206" s="10">
        <f>SUM(O206:AS206)</f>
        <v/>
      </c>
      <c r="AU206" s="11">
        <f>COUNTIF(O206:AS206, "&gt;0")</f>
        <v/>
      </c>
      <c r="AV206" s="12">
        <f>IF(AU206&gt;=5, 4, IF(AU206&gt;0, INT(AU206/6), 0))</f>
        <v/>
      </c>
      <c r="AW206" s="11" t="n">
        <v>0</v>
      </c>
      <c r="AX206" s="11" t="n">
        <v>0</v>
      </c>
      <c r="AY206" s="13">
        <f>MIN(31, AU206+AV206+AW206+AX206)</f>
        <v/>
      </c>
      <c r="AZ206" s="14">
        <f>31-AY206</f>
        <v/>
      </c>
      <c r="BA206" s="5">
        <f>IF(AX206&gt;0, "01-İstirahat", IF(AZ206&gt;0, "12-Birden Fazla", ""))</f>
        <v/>
      </c>
      <c r="BB206" s="10" t="n">
        <v>0</v>
      </c>
      <c r="BC206" s="8" t="n">
        <v>0</v>
      </c>
      <c r="BD206" s="9" t="n">
        <v>0</v>
      </c>
      <c r="BE206" s="7">
        <f>(L206/30)*AU206</f>
        <v/>
      </c>
      <c r="BF206" s="15">
        <f>(L206/225)*((BB206*1.5)-(BC206*1.0))</f>
        <v/>
      </c>
      <c r="BG206" s="16">
        <f>(L206/225)*1.5*BD206</f>
        <v/>
      </c>
      <c r="BH206" s="15">
        <f>BF206+BG206</f>
        <v/>
      </c>
      <c r="BI206" s="17">
        <f>BE206+BH206</f>
        <v/>
      </c>
      <c r="BJ206" s="7">
        <f>IFERROR(VLOOKUP(B206, Resmi_Bordro_SGK!B:M, 11, FALSE), 0)</f>
        <v/>
      </c>
      <c r="BK206" s="18">
        <f>IFERROR(VLOOKUP(B206, Icra_Takip!A:E, 4, FALSE), 0)</f>
        <v/>
      </c>
      <c r="BL206" s="17">
        <f>IF(BI206&gt;BJ206, BI206-BJ206-BK206, 0)</f>
        <v/>
      </c>
      <c r="BM206" s="17">
        <f>BI206-BK206</f>
        <v/>
      </c>
    </row>
    <row r="207" ht="19" customHeight="1">
      <c r="A207" s="4" t="n">
        <v>204</v>
      </c>
      <c r="B207" s="5" t="inlineStr"/>
      <c r="C207" s="6" t="inlineStr">
        <is>
          <t>HÜSEYİN KARA</t>
        </is>
      </c>
      <c r="D207" s="4" t="inlineStr"/>
      <c r="E207" s="4" t="inlineStr"/>
      <c r="F207" s="4" t="inlineStr"/>
      <c r="G207" s="4" t="inlineStr"/>
      <c r="H207" s="4" t="inlineStr">
        <is>
          <t>NORMAL</t>
        </is>
      </c>
      <c r="I207" s="4" t="inlineStr">
        <is>
          <t>MEVSİMLİK</t>
        </is>
      </c>
      <c r="J207" s="6" t="inlineStr"/>
      <c r="K207" s="6" t="inlineStr"/>
      <c r="L207" s="7" t="n">
        <v>28075.5</v>
      </c>
      <c r="M207" s="4" t="inlineStr">
        <is>
          <t>FİDE KONSERVE</t>
        </is>
      </c>
      <c r="N207" s="4" t="inlineStr">
        <is>
          <t>ALIR</t>
        </is>
      </c>
      <c r="O207" s="19" t="n">
        <v>0</v>
      </c>
      <c r="P207" s="19" t="n">
        <v>0</v>
      </c>
      <c r="Q207" s="19" t="n">
        <v>0</v>
      </c>
      <c r="R207" s="9" t="n">
        <v>0</v>
      </c>
      <c r="S207" s="19" t="n">
        <v>0</v>
      </c>
      <c r="T207" s="19" t="n">
        <v>0</v>
      </c>
      <c r="U207" s="19" t="n">
        <v>0</v>
      </c>
      <c r="V207" s="19" t="n">
        <v>0</v>
      </c>
      <c r="W207" s="19" t="n">
        <v>0</v>
      </c>
      <c r="X207" s="19" t="n">
        <v>0</v>
      </c>
      <c r="Y207" s="9" t="n">
        <v>0</v>
      </c>
      <c r="Z207" s="19" t="n">
        <v>0</v>
      </c>
      <c r="AA207" s="19" t="n">
        <v>0</v>
      </c>
      <c r="AB207" s="19" t="n">
        <v>0</v>
      </c>
      <c r="AC207" s="19" t="n">
        <v>0</v>
      </c>
      <c r="AD207" s="19" t="n">
        <v>0</v>
      </c>
      <c r="AE207" s="19" t="n">
        <v>0</v>
      </c>
      <c r="AF207" s="9" t="n">
        <v>0</v>
      </c>
      <c r="AG207" s="19" t="n">
        <v>0</v>
      </c>
      <c r="AH207" s="19" t="n">
        <v>0</v>
      </c>
      <c r="AI207" s="19" t="n">
        <v>0</v>
      </c>
      <c r="AJ207" s="19" t="n">
        <v>0</v>
      </c>
      <c r="AK207" s="19" t="n">
        <v>0</v>
      </c>
      <c r="AL207" s="19" t="n">
        <v>0</v>
      </c>
      <c r="AM207" s="9" t="n">
        <v>0</v>
      </c>
      <c r="AN207" s="19" t="n">
        <v>0</v>
      </c>
      <c r="AO207" s="19" t="n">
        <v>0</v>
      </c>
      <c r="AP207" s="19" t="n">
        <v>0</v>
      </c>
      <c r="AQ207" s="19" t="n">
        <v>0</v>
      </c>
      <c r="AR207" s="19" t="n">
        <v>0</v>
      </c>
      <c r="AS207" s="19" t="n">
        <v>0</v>
      </c>
      <c r="AT207" s="10">
        <f>SUM(O207:AS207)</f>
        <v/>
      </c>
      <c r="AU207" s="20">
        <f>COUNTIF(O207:AS207, "&gt;0")</f>
        <v/>
      </c>
      <c r="AV207" s="12">
        <f>IF(AU207&gt;=5, 4, IF(AU207&gt;0, INT(AU207/6), 0))</f>
        <v/>
      </c>
      <c r="AW207" s="20" t="n">
        <v>0</v>
      </c>
      <c r="AX207" s="20" t="n">
        <v>0</v>
      </c>
      <c r="AY207" s="13">
        <f>MIN(31, AU207+AV207+AW207+AX207)</f>
        <v/>
      </c>
      <c r="AZ207" s="14">
        <f>31-AY207</f>
        <v/>
      </c>
      <c r="BA207" s="21">
        <f>IF(AX207&gt;0, "01-İstirahat", IF(AZ207&gt;0, "12-Birden Fazla", ""))</f>
        <v/>
      </c>
      <c r="BB207" s="10" t="n">
        <v>0</v>
      </c>
      <c r="BC207" s="19" t="n">
        <v>0</v>
      </c>
      <c r="BD207" s="9" t="n">
        <v>0</v>
      </c>
      <c r="BE207" s="22">
        <f>(L207/30)*AU207</f>
        <v/>
      </c>
      <c r="BF207" s="15">
        <f>(L207/225)*((BB207*1.5)-(BC207*1.0))</f>
        <v/>
      </c>
      <c r="BG207" s="16">
        <f>(L207/225)*1.5*BD207</f>
        <v/>
      </c>
      <c r="BH207" s="15">
        <f>BF207+BG207</f>
        <v/>
      </c>
      <c r="BI207" s="17">
        <f>BE207+BH207</f>
        <v/>
      </c>
      <c r="BJ207" s="22">
        <f>IFERROR(VLOOKUP(B207, Resmi_Bordro_SGK!B:M, 11, FALSE), 0)</f>
        <v/>
      </c>
      <c r="BK207" s="18">
        <f>IFERROR(VLOOKUP(B207, Icra_Takip!A:E, 4, FALSE), 0)</f>
        <v/>
      </c>
      <c r="BL207" s="17">
        <f>IF(BI207&gt;BJ207, BI207-BJ207-BK207, 0)</f>
        <v/>
      </c>
      <c r="BM207" s="17">
        <f>BI207-BK207</f>
        <v/>
      </c>
    </row>
    <row r="208" ht="19" customHeight="1">
      <c r="A208" s="4" t="n">
        <v>205</v>
      </c>
      <c r="B208" s="5" t="inlineStr">
        <is>
          <t>29515203096</t>
        </is>
      </c>
      <c r="C208" s="6" t="inlineStr">
        <is>
          <t>İBÜŞRAHİM YILDIRIM</t>
        </is>
      </c>
      <c r="D208" s="4" t="inlineStr">
        <is>
          <t>E</t>
        </is>
      </c>
      <c r="E208" s="4" t="inlineStr"/>
      <c r="F208" s="4" t="inlineStr">
        <is>
          <t>01.08.2023</t>
        </is>
      </c>
      <c r="G208" s="4" t="inlineStr"/>
      <c r="H208" s="4" t="inlineStr">
        <is>
          <t>SGDP</t>
        </is>
      </c>
      <c r="I208" s="4" t="inlineStr">
        <is>
          <t>DAİMİ</t>
        </is>
      </c>
      <c r="J208" s="6" t="inlineStr">
        <is>
          <t>MEYDAN</t>
        </is>
      </c>
      <c r="K208" s="6" t="inlineStr">
        <is>
          <t>MKP</t>
        </is>
      </c>
      <c r="L208" s="7" t="n">
        <v>33000</v>
      </c>
      <c r="M208" s="4" t="inlineStr">
        <is>
          <t>FİDE KONSERVE</t>
        </is>
      </c>
      <c r="N208" s="4" t="inlineStr">
        <is>
          <t>ALIR</t>
        </is>
      </c>
      <c r="O208" s="8" t="n">
        <v>10</v>
      </c>
      <c r="P208" s="8" t="n">
        <v>9.5</v>
      </c>
      <c r="Q208" s="8" t="n">
        <v>8</v>
      </c>
      <c r="R208" s="9" t="n">
        <v>7.5</v>
      </c>
      <c r="S208" s="8" t="n">
        <v>9.5</v>
      </c>
      <c r="T208" s="8" t="n">
        <v>8</v>
      </c>
      <c r="U208" s="8" t="n">
        <v>8</v>
      </c>
      <c r="V208" s="23" t="n">
        <v>7.5</v>
      </c>
      <c r="W208" s="8" t="n">
        <v>7.5</v>
      </c>
      <c r="X208" s="8" t="n">
        <v>10.5</v>
      </c>
      <c r="Y208" s="9" t="n">
        <v>9.5</v>
      </c>
      <c r="Z208" s="8" t="n">
        <v>8</v>
      </c>
      <c r="AA208" s="8" t="n">
        <v>9.5</v>
      </c>
      <c r="AB208" s="8" t="n">
        <v>8.5</v>
      </c>
      <c r="AC208" s="8" t="n">
        <v>9.5</v>
      </c>
      <c r="AD208" s="8" t="n">
        <v>8.5</v>
      </c>
      <c r="AE208" s="8" t="n">
        <v>8.5</v>
      </c>
      <c r="AF208" s="9" t="n">
        <v>8</v>
      </c>
      <c r="AG208" s="8" t="n">
        <v>7.5</v>
      </c>
      <c r="AH208" s="8" t="n">
        <v>7.5</v>
      </c>
      <c r="AI208" s="8" t="n">
        <v>9.5</v>
      </c>
      <c r="AJ208" s="8" t="n">
        <v>0</v>
      </c>
      <c r="AK208" s="8" t="n">
        <v>0</v>
      </c>
      <c r="AL208" s="8" t="n">
        <v>0</v>
      </c>
      <c r="AM208" s="9" t="n">
        <v>0</v>
      </c>
      <c r="AN208" s="8" t="n">
        <v>0</v>
      </c>
      <c r="AO208" s="8" t="n">
        <v>0</v>
      </c>
      <c r="AP208" s="8" t="n">
        <v>0</v>
      </c>
      <c r="AQ208" s="8" t="n">
        <v>0</v>
      </c>
      <c r="AR208" s="8" t="n">
        <v>0</v>
      </c>
      <c r="AS208" s="8" t="n">
        <v>0</v>
      </c>
      <c r="AT208" s="10">
        <f>SUM(O208:AS208)</f>
        <v/>
      </c>
      <c r="AU208" s="11">
        <f>COUNTIF(O208:AS208, "&gt;0")</f>
        <v/>
      </c>
      <c r="AV208" s="12">
        <f>IF(AU208&gt;=5, 4, IF(AU208&gt;0, INT(AU208/6), 0))</f>
        <v/>
      </c>
      <c r="AW208" s="11" t="n">
        <v>0</v>
      </c>
      <c r="AX208" s="11" t="n">
        <v>0</v>
      </c>
      <c r="AY208" s="13">
        <f>MIN(31, AU208+AV208+AW208+AX208)</f>
        <v/>
      </c>
      <c r="AZ208" s="14">
        <f>31-AY208</f>
        <v/>
      </c>
      <c r="BA208" s="5">
        <f>IF(AX208&gt;0, "01-İstirahat", IF(AZ208&gt;0, "12-Birden Fazla", ""))</f>
        <v/>
      </c>
      <c r="BB208" s="10" t="n">
        <v>20.5</v>
      </c>
      <c r="BC208" s="8" t="n">
        <v>0</v>
      </c>
      <c r="BD208" s="9" t="n">
        <v>25</v>
      </c>
      <c r="BE208" s="7">
        <f>(L208/30)*AU208</f>
        <v/>
      </c>
      <c r="BF208" s="15">
        <f>(L208/225)*((BB208*1.5)-(BC208*1.0))</f>
        <v/>
      </c>
      <c r="BG208" s="16">
        <f>(L208/225)*1.5*BD208</f>
        <v/>
      </c>
      <c r="BH208" s="15">
        <f>BF208+BG208</f>
        <v/>
      </c>
      <c r="BI208" s="17">
        <f>BE208+BH208</f>
        <v/>
      </c>
      <c r="BJ208" s="7">
        <f>IFERROR(VLOOKUP(B208, Resmi_Bordro_SGK!B:M, 11, FALSE), 0)</f>
        <v/>
      </c>
      <c r="BK208" s="18">
        <f>IFERROR(VLOOKUP(B208, Icra_Takip!A:E, 4, FALSE), 0)</f>
        <v/>
      </c>
      <c r="BL208" s="17">
        <f>IF(BI208&gt;BJ208, BI208-BJ208-BK208, 0)</f>
        <v/>
      </c>
      <c r="BM208" s="17">
        <f>BI208-BK208</f>
        <v/>
      </c>
    </row>
    <row r="209" ht="19" customHeight="1">
      <c r="A209" s="4" t="n">
        <v>206</v>
      </c>
      <c r="B209" s="5" t="inlineStr">
        <is>
          <t>37276043530</t>
        </is>
      </c>
      <c r="C209" s="6" t="inlineStr">
        <is>
          <t>İİLKNUR KURDEŞ</t>
        </is>
      </c>
      <c r="D209" s="4" t="inlineStr">
        <is>
          <t>K</t>
        </is>
      </c>
      <c r="E209" s="4" t="inlineStr"/>
      <c r="F209" s="4" t="inlineStr">
        <is>
          <t>01.06.2026</t>
        </is>
      </c>
      <c r="G209" s="4" t="inlineStr"/>
      <c r="H209" s="4" t="inlineStr">
        <is>
          <t>NORMAL</t>
        </is>
      </c>
      <c r="I209" s="4" t="inlineStr">
        <is>
          <t>MEVSİMLİK</t>
        </is>
      </c>
      <c r="J209" s="6" t="inlineStr">
        <is>
          <t>BALIK TEMİZLEME</t>
        </is>
      </c>
      <c r="K209" s="6" t="inlineStr">
        <is>
          <t>KARACABEY-HALİL</t>
        </is>
      </c>
      <c r="L209" s="7" t="n">
        <v>33000</v>
      </c>
      <c r="M209" s="4" t="inlineStr">
        <is>
          <t>FİDE KONSERVE</t>
        </is>
      </c>
      <c r="N209" s="4" t="inlineStr">
        <is>
          <t>ALIR</t>
        </is>
      </c>
      <c r="O209" s="19" t="n">
        <v>8</v>
      </c>
      <c r="P209" s="19" t="n">
        <v>8.5</v>
      </c>
      <c r="Q209" s="19" t="n">
        <v>8</v>
      </c>
      <c r="R209" s="9" t="n">
        <v>0</v>
      </c>
      <c r="S209" s="19" t="n">
        <v>7.5</v>
      </c>
      <c r="T209" s="19" t="n">
        <v>8</v>
      </c>
      <c r="U209" s="19" t="n">
        <v>8</v>
      </c>
      <c r="V209" s="23" t="n">
        <v>7.5</v>
      </c>
      <c r="W209" s="19" t="n">
        <v>8.5</v>
      </c>
      <c r="X209" s="19" t="n">
        <v>8.5</v>
      </c>
      <c r="Y209" s="9" t="n">
        <v>0</v>
      </c>
      <c r="Z209" s="19" t="n">
        <v>7.5</v>
      </c>
      <c r="AA209" s="19" t="n">
        <v>7.5</v>
      </c>
      <c r="AB209" s="19" t="n">
        <v>8.5</v>
      </c>
      <c r="AC209" s="19" t="n">
        <v>7.5</v>
      </c>
      <c r="AD209" s="19" t="n">
        <v>8</v>
      </c>
      <c r="AE209" s="19" t="n">
        <v>0</v>
      </c>
      <c r="AF209" s="9" t="n">
        <v>0</v>
      </c>
      <c r="AG209" s="19" t="n">
        <v>0</v>
      </c>
      <c r="AH209" s="19" t="n">
        <v>7.5</v>
      </c>
      <c r="AI209" s="19" t="n">
        <v>0</v>
      </c>
      <c r="AJ209" s="19" t="n">
        <v>0</v>
      </c>
      <c r="AK209" s="19" t="n">
        <v>0</v>
      </c>
      <c r="AL209" s="19" t="n">
        <v>0</v>
      </c>
      <c r="AM209" s="9" t="n">
        <v>0</v>
      </c>
      <c r="AN209" s="19" t="n">
        <v>0</v>
      </c>
      <c r="AO209" s="19" t="n">
        <v>0</v>
      </c>
      <c r="AP209" s="19" t="n">
        <v>0</v>
      </c>
      <c r="AQ209" s="19" t="n">
        <v>0</v>
      </c>
      <c r="AR209" s="19" t="n">
        <v>0</v>
      </c>
      <c r="AS209" s="19" t="n">
        <v>0</v>
      </c>
      <c r="AT209" s="10">
        <f>SUM(O209:AS209)</f>
        <v/>
      </c>
      <c r="AU209" s="20">
        <f>COUNTIF(O209:AS209, "&gt;0")</f>
        <v/>
      </c>
      <c r="AV209" s="12">
        <f>IF(AU209&gt;=5, 4, IF(AU209&gt;0, INT(AU209/6), 0))</f>
        <v/>
      </c>
      <c r="AW209" s="20" t="n">
        <v>0</v>
      </c>
      <c r="AX209" s="20" t="n">
        <v>0</v>
      </c>
      <c r="AY209" s="13">
        <f>MIN(31, AU209+AV209+AW209+AX209)</f>
        <v/>
      </c>
      <c r="AZ209" s="14">
        <f>31-AY209</f>
        <v/>
      </c>
      <c r="BA209" s="21">
        <f>IF(AX209&gt;0, "01-İstirahat", IF(AZ209&gt;0, "12-Birden Fazla", ""))</f>
        <v/>
      </c>
      <c r="BB209" s="10" t="n">
        <v>6.5</v>
      </c>
      <c r="BC209" s="19" t="n">
        <v>0</v>
      </c>
      <c r="BD209" s="9" t="n">
        <v>0</v>
      </c>
      <c r="BE209" s="22">
        <f>(L209/30)*AU209</f>
        <v/>
      </c>
      <c r="BF209" s="15">
        <f>(L209/225)*((BB209*1.5)-(BC209*1.0))</f>
        <v/>
      </c>
      <c r="BG209" s="16">
        <f>(L209/225)*1.5*BD209</f>
        <v/>
      </c>
      <c r="BH209" s="15">
        <f>BF209+BG209</f>
        <v/>
      </c>
      <c r="BI209" s="17">
        <f>BE209+BH209</f>
        <v/>
      </c>
      <c r="BJ209" s="22">
        <f>IFERROR(VLOOKUP(B209, Resmi_Bordro_SGK!B:M, 11, FALSE), 0)</f>
        <v/>
      </c>
      <c r="BK209" s="18">
        <f>IFERROR(VLOOKUP(B209, Icra_Takip!A:E, 4, FALSE), 0)</f>
        <v/>
      </c>
      <c r="BL209" s="17">
        <f>IF(BI209&gt;BJ209, BI209-BJ209-BK209, 0)</f>
        <v/>
      </c>
      <c r="BM209" s="17">
        <f>BI209-BK209</f>
        <v/>
      </c>
    </row>
    <row r="210" ht="19" customHeight="1">
      <c r="A210" s="4" t="n">
        <v>207</v>
      </c>
      <c r="B210" s="5" t="inlineStr">
        <is>
          <t>10367219830</t>
        </is>
      </c>
      <c r="C210" s="6" t="inlineStr">
        <is>
          <t>İİLYAS DORMAN</t>
        </is>
      </c>
      <c r="D210" s="4" t="inlineStr">
        <is>
          <t>K</t>
        </is>
      </c>
      <c r="E210" s="4" t="inlineStr"/>
      <c r="F210" s="4" t="inlineStr">
        <is>
          <t>15.08.2026</t>
        </is>
      </c>
      <c r="G210" s="4" t="inlineStr"/>
      <c r="H210" s="4" t="inlineStr">
        <is>
          <t>NORMAL</t>
        </is>
      </c>
      <c r="I210" s="4" t="inlineStr">
        <is>
          <t>MEVSİMLİK</t>
        </is>
      </c>
      <c r="J210" s="6" t="inlineStr">
        <is>
          <t>ÜRETİM</t>
        </is>
      </c>
      <c r="K210" s="6" t="inlineStr">
        <is>
          <t>SEVGİ</t>
        </is>
      </c>
      <c r="L210" s="7" t="n">
        <v>28075.5</v>
      </c>
      <c r="M210" s="4" t="inlineStr">
        <is>
          <t>FİDE KONSERVE</t>
        </is>
      </c>
      <c r="N210" s="4" t="inlineStr">
        <is>
          <t>ALIR</t>
        </is>
      </c>
      <c r="O210" s="8" t="n">
        <v>0</v>
      </c>
      <c r="P210" s="8" t="n">
        <v>0</v>
      </c>
      <c r="Q210" s="8" t="n">
        <v>0</v>
      </c>
      <c r="R210" s="9" t="n">
        <v>0</v>
      </c>
      <c r="S210" s="8" t="n">
        <v>0</v>
      </c>
      <c r="T210" s="8" t="n">
        <v>0</v>
      </c>
      <c r="U210" s="8" t="n">
        <v>0</v>
      </c>
      <c r="V210" s="8" t="n">
        <v>0</v>
      </c>
      <c r="W210" s="8" t="n">
        <v>0</v>
      </c>
      <c r="X210" s="8" t="n">
        <v>0</v>
      </c>
      <c r="Y210" s="9" t="n">
        <v>0</v>
      </c>
      <c r="Z210" s="8" t="n">
        <v>0</v>
      </c>
      <c r="AA210" s="8" t="n">
        <v>0</v>
      </c>
      <c r="AB210" s="8" t="n">
        <v>0</v>
      </c>
      <c r="AC210" s="8" t="n">
        <v>0</v>
      </c>
      <c r="AD210" s="8" t="n">
        <v>0</v>
      </c>
      <c r="AE210" s="8" t="n">
        <v>0</v>
      </c>
      <c r="AF210" s="9" t="n">
        <v>0</v>
      </c>
      <c r="AG210" s="8" t="n">
        <v>0</v>
      </c>
      <c r="AH210" s="8" t="n">
        <v>0</v>
      </c>
      <c r="AI210" s="8" t="n">
        <v>0</v>
      </c>
      <c r="AJ210" s="8" t="n">
        <v>0</v>
      </c>
      <c r="AK210" s="8" t="n">
        <v>0</v>
      </c>
      <c r="AL210" s="8" t="n">
        <v>0</v>
      </c>
      <c r="AM210" s="9" t="n">
        <v>0</v>
      </c>
      <c r="AN210" s="8" t="n">
        <v>0</v>
      </c>
      <c r="AO210" s="8" t="n">
        <v>0</v>
      </c>
      <c r="AP210" s="8" t="n">
        <v>0</v>
      </c>
      <c r="AQ210" s="8" t="n">
        <v>0</v>
      </c>
      <c r="AR210" s="8" t="n">
        <v>0</v>
      </c>
      <c r="AS210" s="8" t="n">
        <v>0</v>
      </c>
      <c r="AT210" s="10">
        <f>SUM(O210:AS210)</f>
        <v/>
      </c>
      <c r="AU210" s="11">
        <f>COUNTIF(O210:AS210, "&gt;0")</f>
        <v/>
      </c>
      <c r="AV210" s="12">
        <f>IF(AU210&gt;=5, 4, IF(AU210&gt;0, INT(AU210/6), 0))</f>
        <v/>
      </c>
      <c r="AW210" s="11" t="n">
        <v>0</v>
      </c>
      <c r="AX210" s="11" t="n">
        <v>0</v>
      </c>
      <c r="AY210" s="13">
        <f>MIN(31, AU210+AV210+AW210+AX210)</f>
        <v/>
      </c>
      <c r="AZ210" s="14">
        <f>31-AY210</f>
        <v/>
      </c>
      <c r="BA210" s="5">
        <f>IF(AX210&gt;0, "01-İstirahat", IF(AZ210&gt;0, "12-Birden Fazla", ""))</f>
        <v/>
      </c>
      <c r="BB210" s="10" t="n">
        <v>0</v>
      </c>
      <c r="BC210" s="8" t="n">
        <v>0</v>
      </c>
      <c r="BD210" s="9" t="n">
        <v>0</v>
      </c>
      <c r="BE210" s="7">
        <f>(L210/30)*AU210</f>
        <v/>
      </c>
      <c r="BF210" s="15">
        <f>(L210/225)*((BB210*1.5)-(BC210*1.0))</f>
        <v/>
      </c>
      <c r="BG210" s="16">
        <f>(L210/225)*1.5*BD210</f>
        <v/>
      </c>
      <c r="BH210" s="15">
        <f>BF210+BG210</f>
        <v/>
      </c>
      <c r="BI210" s="17">
        <f>BE210+BH210</f>
        <v/>
      </c>
      <c r="BJ210" s="7">
        <f>IFERROR(VLOOKUP(B210, Resmi_Bordro_SGK!B:M, 11, FALSE), 0)</f>
        <v/>
      </c>
      <c r="BK210" s="18">
        <f>IFERROR(VLOOKUP(B210, Icra_Takip!A:E, 4, FALSE), 0)</f>
        <v/>
      </c>
      <c r="BL210" s="17">
        <f>IF(BI210&gt;BJ210, BI210-BJ210-BK210, 0)</f>
        <v/>
      </c>
      <c r="BM210" s="17">
        <f>BI210-BK210</f>
        <v/>
      </c>
    </row>
    <row r="211" ht="19" customHeight="1">
      <c r="A211" s="4" t="n">
        <v>208</v>
      </c>
      <c r="B211" s="5" t="inlineStr">
        <is>
          <t>42844787082</t>
        </is>
      </c>
      <c r="C211" s="6" t="inlineStr">
        <is>
          <t>İSMAİL BARAK</t>
        </is>
      </c>
      <c r="D211" s="4" t="inlineStr">
        <is>
          <t>E</t>
        </is>
      </c>
      <c r="E211" s="4" t="inlineStr"/>
      <c r="F211" s="4" t="inlineStr">
        <is>
          <t>02.04.2026</t>
        </is>
      </c>
      <c r="G211" s="4" t="inlineStr"/>
      <c r="H211" s="4" t="inlineStr">
        <is>
          <t>NORMAL</t>
        </is>
      </c>
      <c r="I211" s="4" t="inlineStr">
        <is>
          <t>MEVSİMLİK</t>
        </is>
      </c>
      <c r="J211" s="6" t="inlineStr">
        <is>
          <t>BALIK KESİM</t>
        </is>
      </c>
      <c r="K211" s="6" t="inlineStr">
        <is>
          <t>KARACABEY-HALİL</t>
        </is>
      </c>
      <c r="L211" s="7" t="n">
        <v>28075.5</v>
      </c>
      <c r="M211" s="4" t="inlineStr">
        <is>
          <t>FİDE KONSERVE</t>
        </is>
      </c>
      <c r="N211" s="4" t="inlineStr">
        <is>
          <t>ALIR</t>
        </is>
      </c>
      <c r="O211" s="19" t="n">
        <v>10.5</v>
      </c>
      <c r="P211" s="19" t="n">
        <v>8</v>
      </c>
      <c r="Q211" s="19" t="n">
        <v>0</v>
      </c>
      <c r="R211" s="9" t="n">
        <v>7.5</v>
      </c>
      <c r="S211" s="19" t="n">
        <v>7.5</v>
      </c>
      <c r="T211" s="23" t="n">
        <v>15</v>
      </c>
      <c r="U211" s="19" t="n">
        <v>7.5</v>
      </c>
      <c r="V211" s="19" t="n">
        <v>10.5</v>
      </c>
      <c r="W211" s="19" t="n">
        <v>7.5</v>
      </c>
      <c r="X211" s="19" t="n">
        <v>0</v>
      </c>
      <c r="Y211" s="9" t="n">
        <v>10.5</v>
      </c>
      <c r="Z211" s="19" t="n">
        <v>7.5</v>
      </c>
      <c r="AA211" s="19" t="n">
        <v>7.5</v>
      </c>
      <c r="AB211" s="19" t="n">
        <v>0</v>
      </c>
      <c r="AC211" s="19" t="n">
        <v>7.5</v>
      </c>
      <c r="AD211" s="19" t="n">
        <v>7.5</v>
      </c>
      <c r="AE211" s="19" t="n">
        <v>0</v>
      </c>
      <c r="AF211" s="9" t="n">
        <v>10.5</v>
      </c>
      <c r="AG211" s="19" t="n">
        <v>10.5</v>
      </c>
      <c r="AH211" s="19" t="n">
        <v>8.5</v>
      </c>
      <c r="AI211" s="23" t="n">
        <v>7.5</v>
      </c>
      <c r="AJ211" s="19" t="n">
        <v>0</v>
      </c>
      <c r="AK211" s="19" t="n">
        <v>0</v>
      </c>
      <c r="AL211" s="19" t="n">
        <v>0</v>
      </c>
      <c r="AM211" s="9" t="n">
        <v>0</v>
      </c>
      <c r="AN211" s="19" t="n">
        <v>0</v>
      </c>
      <c r="AO211" s="19" t="n">
        <v>0</v>
      </c>
      <c r="AP211" s="19" t="n">
        <v>0</v>
      </c>
      <c r="AQ211" s="19" t="n">
        <v>0</v>
      </c>
      <c r="AR211" s="19" t="n">
        <v>0</v>
      </c>
      <c r="AS211" s="19" t="n">
        <v>0</v>
      </c>
      <c r="AT211" s="10">
        <f>SUM(O211:AS211)</f>
        <v/>
      </c>
      <c r="AU211" s="20">
        <f>COUNTIF(O211:AS211, "&gt;0")</f>
        <v/>
      </c>
      <c r="AV211" s="12">
        <f>IF(AU211&gt;=5, 4, IF(AU211&gt;0, INT(AU211/6), 0))</f>
        <v/>
      </c>
      <c r="AW211" s="20" t="n">
        <v>0</v>
      </c>
      <c r="AX211" s="20" t="n">
        <v>0</v>
      </c>
      <c r="AY211" s="13">
        <f>MIN(31, AU211+AV211+AW211+AX211)</f>
        <v/>
      </c>
      <c r="AZ211" s="14">
        <f>31-AY211</f>
        <v/>
      </c>
      <c r="BA211" s="21">
        <f>IF(AX211&gt;0, "01-İstirahat", IF(AZ211&gt;0, "12-Birden Fazla", ""))</f>
        <v/>
      </c>
      <c r="BB211" s="10" t="n">
        <v>29.5</v>
      </c>
      <c r="BC211" s="19" t="n">
        <v>0</v>
      </c>
      <c r="BD211" s="9" t="n">
        <v>28.5</v>
      </c>
      <c r="BE211" s="22">
        <f>(L211/30)*AU211</f>
        <v/>
      </c>
      <c r="BF211" s="15">
        <f>(L211/225)*((BB211*1.5)-(BC211*1.0))</f>
        <v/>
      </c>
      <c r="BG211" s="16">
        <f>(L211/225)*1.5*BD211</f>
        <v/>
      </c>
      <c r="BH211" s="15">
        <f>BF211+BG211</f>
        <v/>
      </c>
      <c r="BI211" s="17">
        <f>BE211+BH211</f>
        <v/>
      </c>
      <c r="BJ211" s="22">
        <f>IFERROR(VLOOKUP(B211, Resmi_Bordro_SGK!B:M, 11, FALSE), 0)</f>
        <v/>
      </c>
      <c r="BK211" s="18">
        <f>IFERROR(VLOOKUP(B211, Icra_Takip!A:E, 4, FALSE), 0)</f>
        <v/>
      </c>
      <c r="BL211" s="17">
        <f>IF(BI211&gt;BJ211, BI211-BJ211-BK211, 0)</f>
        <v/>
      </c>
      <c r="BM211" s="17">
        <f>BI211-BK211</f>
        <v/>
      </c>
    </row>
    <row r="212" ht="19" customHeight="1">
      <c r="A212" s="4" t="n">
        <v>209</v>
      </c>
      <c r="B212" s="5" t="inlineStr">
        <is>
          <t>25060351046</t>
        </is>
      </c>
      <c r="C212" s="6" t="inlineStr">
        <is>
          <t>İSMAİL İMİR</t>
        </is>
      </c>
      <c r="D212" s="4" t="inlineStr">
        <is>
          <t>E</t>
        </is>
      </c>
      <c r="E212" s="4" t="inlineStr"/>
      <c r="F212" s="4" t="inlineStr">
        <is>
          <t>10.02.2026</t>
        </is>
      </c>
      <c r="G212" s="4" t="inlineStr"/>
      <c r="H212" s="4" t="inlineStr">
        <is>
          <t>SGDP</t>
        </is>
      </c>
      <c r="I212" s="4" t="inlineStr">
        <is>
          <t>DAİMİ</t>
        </is>
      </c>
      <c r="J212" s="6" t="inlineStr">
        <is>
          <t>OTOKLAV OPERATÖRÜ</t>
        </is>
      </c>
      <c r="K212" s="6" t="inlineStr">
        <is>
          <t>SUSURLUK</t>
        </is>
      </c>
      <c r="L212" s="7" t="n">
        <v>61000</v>
      </c>
      <c r="M212" s="4" t="inlineStr">
        <is>
          <t>FİDE KONSERVE</t>
        </is>
      </c>
      <c r="N212" s="4" t="inlineStr">
        <is>
          <t>ALIR</t>
        </is>
      </c>
      <c r="O212" s="8" t="n">
        <v>16.5</v>
      </c>
      <c r="P212" s="8" t="n">
        <v>8.5</v>
      </c>
      <c r="Q212" s="23" t="n">
        <v>7.5</v>
      </c>
      <c r="R212" s="9" t="n">
        <v>17.5</v>
      </c>
      <c r="S212" s="8" t="n">
        <v>7.5</v>
      </c>
      <c r="T212" s="8" t="n">
        <v>7.5</v>
      </c>
      <c r="U212" s="8" t="n">
        <v>8.5</v>
      </c>
      <c r="V212" s="8" t="n">
        <v>10.5</v>
      </c>
      <c r="W212" s="8" t="n">
        <v>10.5</v>
      </c>
      <c r="X212" s="8" t="n">
        <v>9.5</v>
      </c>
      <c r="Y212" s="9" t="n">
        <v>0</v>
      </c>
      <c r="Z212" s="8" t="n">
        <v>9.5</v>
      </c>
      <c r="AA212" s="8" t="n">
        <v>7.5</v>
      </c>
      <c r="AB212" s="23" t="n">
        <v>7.5</v>
      </c>
      <c r="AC212" s="23" t="n">
        <v>18.5</v>
      </c>
      <c r="AD212" s="8" t="n">
        <v>9</v>
      </c>
      <c r="AE212" s="23" t="n">
        <v>7.5</v>
      </c>
      <c r="AF212" s="9" t="n">
        <v>17</v>
      </c>
      <c r="AG212" s="8" t="n">
        <v>7.5</v>
      </c>
      <c r="AH212" s="8" t="n">
        <v>7.5</v>
      </c>
      <c r="AI212" s="23" t="n">
        <v>7.5</v>
      </c>
      <c r="AJ212" s="8" t="n">
        <v>0</v>
      </c>
      <c r="AK212" s="8" t="n">
        <v>0</v>
      </c>
      <c r="AL212" s="8" t="n">
        <v>0</v>
      </c>
      <c r="AM212" s="9" t="n">
        <v>0</v>
      </c>
      <c r="AN212" s="8" t="n">
        <v>0</v>
      </c>
      <c r="AO212" s="8" t="n">
        <v>0</v>
      </c>
      <c r="AP212" s="8" t="n">
        <v>0</v>
      </c>
      <c r="AQ212" s="8" t="n">
        <v>0</v>
      </c>
      <c r="AR212" s="8" t="n">
        <v>0</v>
      </c>
      <c r="AS212" s="8" t="n">
        <v>0</v>
      </c>
      <c r="AT212" s="10">
        <f>SUM(O212:AS212)</f>
        <v/>
      </c>
      <c r="AU212" s="11">
        <f>COUNTIF(O212:AS212, "&gt;0")</f>
        <v/>
      </c>
      <c r="AV212" s="12">
        <f>IF(AU212&gt;=5, 4, IF(AU212&gt;0, INT(AU212/6), 0))</f>
        <v/>
      </c>
      <c r="AW212" s="11" t="n">
        <v>7</v>
      </c>
      <c r="AX212" s="11" t="n">
        <v>0</v>
      </c>
      <c r="AY212" s="13">
        <f>MIN(31, AU212+AV212+AW212+AX212)</f>
        <v/>
      </c>
      <c r="AZ212" s="14">
        <f>31-AY212</f>
        <v/>
      </c>
      <c r="BA212" s="5">
        <f>IF(AX212&gt;0, "01-İstirahat", IF(AZ212&gt;0, "12-Birden Fazla", ""))</f>
        <v/>
      </c>
      <c r="BB212" s="10" t="n">
        <v>35</v>
      </c>
      <c r="BC212" s="8" t="n">
        <v>0</v>
      </c>
      <c r="BD212" s="9" t="n">
        <v>34.5</v>
      </c>
      <c r="BE212" s="7">
        <f>(L212/30)*AU212</f>
        <v/>
      </c>
      <c r="BF212" s="15">
        <f>(L212/225)*((BB212*1.5)-(BC212*1.0))</f>
        <v/>
      </c>
      <c r="BG212" s="16">
        <f>(L212/225)*1.5*BD212</f>
        <v/>
      </c>
      <c r="BH212" s="15">
        <f>BF212+BG212</f>
        <v/>
      </c>
      <c r="BI212" s="17">
        <f>BE212+BH212</f>
        <v/>
      </c>
      <c r="BJ212" s="7">
        <f>IFERROR(VLOOKUP(B212, Resmi_Bordro_SGK!B:M, 11, FALSE), 0)</f>
        <v/>
      </c>
      <c r="BK212" s="18">
        <f>IFERROR(VLOOKUP(B212, Icra_Takip!A:E, 4, FALSE), 0)</f>
        <v/>
      </c>
      <c r="BL212" s="17">
        <f>IF(BI212&gt;BJ212, BI212-BJ212-BK212, 0)</f>
        <v/>
      </c>
      <c r="BM212" s="17">
        <f>BI212-BK212</f>
        <v/>
      </c>
    </row>
    <row r="213" ht="19" customHeight="1">
      <c r="A213" s="4" t="n">
        <v>210</v>
      </c>
      <c r="B213" s="5" t="inlineStr">
        <is>
          <t>49981303052</t>
        </is>
      </c>
      <c r="C213" s="6" t="inlineStr">
        <is>
          <t>KADİR AZAR</t>
        </is>
      </c>
      <c r="D213" s="4" t="inlineStr">
        <is>
          <t>E</t>
        </is>
      </c>
      <c r="E213" s="4" t="inlineStr"/>
      <c r="F213" s="4" t="inlineStr">
        <is>
          <t>03.08.2023</t>
        </is>
      </c>
      <c r="G213" s="4" t="inlineStr"/>
      <c r="H213" s="4" t="inlineStr">
        <is>
          <t>NORMAL</t>
        </is>
      </c>
      <c r="I213" s="4" t="inlineStr">
        <is>
          <t>DAİMİ</t>
        </is>
      </c>
      <c r="J213" s="6" t="inlineStr">
        <is>
          <t>AMBAR</t>
        </is>
      </c>
      <c r="K213" s="6" t="inlineStr">
        <is>
          <t>KARACABEY</t>
        </is>
      </c>
      <c r="L213" s="7" t="n">
        <v>36000</v>
      </c>
      <c r="M213" s="4" t="inlineStr">
        <is>
          <t>FİDE KONSERVE</t>
        </is>
      </c>
      <c r="N213" s="4" t="inlineStr">
        <is>
          <t>ALIR</t>
        </is>
      </c>
      <c r="O213" s="19" t="n">
        <v>8</v>
      </c>
      <c r="P213" s="19" t="n">
        <v>8</v>
      </c>
      <c r="Q213" s="19" t="n">
        <v>10.5</v>
      </c>
      <c r="R213" s="9" t="n">
        <v>0</v>
      </c>
      <c r="S213" s="19" t="n">
        <v>7.5</v>
      </c>
      <c r="T213" s="19" t="n">
        <v>8</v>
      </c>
      <c r="U213" s="19" t="n">
        <v>7.5</v>
      </c>
      <c r="V213" s="19" t="n">
        <v>7.5</v>
      </c>
      <c r="W213" s="19" t="n">
        <v>7.5</v>
      </c>
      <c r="X213" s="19" t="n">
        <v>7.5</v>
      </c>
      <c r="Y213" s="9" t="n">
        <v>0</v>
      </c>
      <c r="Z213" s="19" t="n">
        <v>7.5</v>
      </c>
      <c r="AA213" s="19" t="n">
        <v>7.5</v>
      </c>
      <c r="AB213" s="19" t="n">
        <v>8.5</v>
      </c>
      <c r="AC213" s="19" t="n">
        <v>0</v>
      </c>
      <c r="AD213" s="19" t="n">
        <v>0</v>
      </c>
      <c r="AE213" s="19" t="n">
        <v>0</v>
      </c>
      <c r="AF213" s="9" t="n">
        <v>0</v>
      </c>
      <c r="AG213" s="19" t="n">
        <v>8</v>
      </c>
      <c r="AH213" s="19" t="n">
        <v>7.5</v>
      </c>
      <c r="AI213" s="23" t="n">
        <v>8</v>
      </c>
      <c r="AJ213" s="19" t="n">
        <v>0</v>
      </c>
      <c r="AK213" s="19" t="n">
        <v>0</v>
      </c>
      <c r="AL213" s="19" t="n">
        <v>0</v>
      </c>
      <c r="AM213" s="9" t="n">
        <v>0</v>
      </c>
      <c r="AN213" s="19" t="n">
        <v>0</v>
      </c>
      <c r="AO213" s="19" t="n">
        <v>0</v>
      </c>
      <c r="AP213" s="19" t="n">
        <v>0</v>
      </c>
      <c r="AQ213" s="19" t="n">
        <v>0</v>
      </c>
      <c r="AR213" s="19" t="n">
        <v>0</v>
      </c>
      <c r="AS213" s="19" t="n">
        <v>0</v>
      </c>
      <c r="AT213" s="10">
        <f>SUM(O213:AS213)</f>
        <v/>
      </c>
      <c r="AU213" s="20">
        <f>COUNTIF(O213:AS213, "&gt;0")</f>
        <v/>
      </c>
      <c r="AV213" s="12">
        <f>IF(AU213&gt;=5, 4, IF(AU213&gt;0, INT(AU213/6), 0))</f>
        <v/>
      </c>
      <c r="AW213" s="20" t="n">
        <v>4</v>
      </c>
      <c r="AX213" s="20" t="n">
        <v>0</v>
      </c>
      <c r="AY213" s="13">
        <f>MIN(31, AU213+AV213+AW213+AX213)</f>
        <v/>
      </c>
      <c r="AZ213" s="14">
        <f>31-AY213</f>
        <v/>
      </c>
      <c r="BA213" s="21">
        <f>IF(AX213&gt;0, "01-İstirahat", IF(AZ213&gt;0, "12-Birden Fazla", ""))</f>
        <v/>
      </c>
      <c r="BB213" s="10" t="n">
        <v>6.5</v>
      </c>
      <c r="BC213" s="19" t="n">
        <v>0</v>
      </c>
      <c r="BD213" s="9" t="n">
        <v>0</v>
      </c>
      <c r="BE213" s="22">
        <f>(L213/30)*AU213</f>
        <v/>
      </c>
      <c r="BF213" s="15">
        <f>(L213/225)*((BB213*1.5)-(BC213*1.0))</f>
        <v/>
      </c>
      <c r="BG213" s="16">
        <f>(L213/225)*1.5*BD213</f>
        <v/>
      </c>
      <c r="BH213" s="15">
        <f>BF213+BG213</f>
        <v/>
      </c>
      <c r="BI213" s="17">
        <f>BE213+BH213</f>
        <v/>
      </c>
      <c r="BJ213" s="22">
        <f>IFERROR(VLOOKUP(B213, Resmi_Bordro_SGK!B:M, 11, FALSE), 0)</f>
        <v/>
      </c>
      <c r="BK213" s="18">
        <f>IFERROR(VLOOKUP(B213, Icra_Takip!A:E, 4, FALSE), 0)</f>
        <v/>
      </c>
      <c r="BL213" s="17">
        <f>IF(BI213&gt;BJ213, BI213-BJ213-BK213, 0)</f>
        <v/>
      </c>
      <c r="BM213" s="17">
        <f>BI213-BK213</f>
        <v/>
      </c>
    </row>
    <row r="214" ht="19" customHeight="1">
      <c r="A214" s="4" t="n">
        <v>211</v>
      </c>
      <c r="B214" s="5" t="inlineStr">
        <is>
          <t>41776250350</t>
        </is>
      </c>
      <c r="C214" s="6" t="inlineStr">
        <is>
          <t>KADER ÇÇAKICI</t>
        </is>
      </c>
      <c r="D214" s="4" t="inlineStr">
        <is>
          <t>K</t>
        </is>
      </c>
      <c r="E214" s="4" t="inlineStr"/>
      <c r="F214" s="4" t="inlineStr">
        <is>
          <t>21.07.2026</t>
        </is>
      </c>
      <c r="G214" s="4" t="inlineStr"/>
      <c r="H214" s="4" t="inlineStr">
        <is>
          <t>NORMAL</t>
        </is>
      </c>
      <c r="I214" s="4" t="inlineStr">
        <is>
          <t>MEVSİMLİK</t>
        </is>
      </c>
      <c r="J214" s="6" t="inlineStr">
        <is>
          <t>ÜRETİM</t>
        </is>
      </c>
      <c r="K214" s="6" t="inlineStr">
        <is>
          <t>SEVGİ</t>
        </is>
      </c>
      <c r="L214" s="7" t="n">
        <v>28075.5</v>
      </c>
      <c r="M214" s="4" t="inlineStr">
        <is>
          <t>FİDE KONSERVE</t>
        </is>
      </c>
      <c r="N214" s="4" t="inlineStr">
        <is>
          <t>ALIR</t>
        </is>
      </c>
      <c r="O214" s="8" t="n">
        <v>0</v>
      </c>
      <c r="P214" s="8" t="n">
        <v>0</v>
      </c>
      <c r="Q214" s="8" t="n">
        <v>0</v>
      </c>
      <c r="R214" s="9" t="n">
        <v>0</v>
      </c>
      <c r="S214" s="8" t="n">
        <v>0</v>
      </c>
      <c r="T214" s="8" t="n">
        <v>0</v>
      </c>
      <c r="U214" s="8" t="n">
        <v>0</v>
      </c>
      <c r="V214" s="8" t="n">
        <v>0</v>
      </c>
      <c r="W214" s="8" t="n">
        <v>0</v>
      </c>
      <c r="X214" s="8" t="n">
        <v>0</v>
      </c>
      <c r="Y214" s="9" t="n">
        <v>0</v>
      </c>
      <c r="Z214" s="8" t="n">
        <v>0</v>
      </c>
      <c r="AA214" s="8" t="n">
        <v>0</v>
      </c>
      <c r="AB214" s="8" t="n">
        <v>0</v>
      </c>
      <c r="AC214" s="8" t="n">
        <v>0</v>
      </c>
      <c r="AD214" s="8" t="n">
        <v>0</v>
      </c>
      <c r="AE214" s="8" t="n">
        <v>0</v>
      </c>
      <c r="AF214" s="9" t="n">
        <v>0</v>
      </c>
      <c r="AG214" s="8" t="n">
        <v>0</v>
      </c>
      <c r="AH214" s="8" t="n">
        <v>0</v>
      </c>
      <c r="AI214" s="8" t="n">
        <v>0</v>
      </c>
      <c r="AJ214" s="8" t="n">
        <v>0</v>
      </c>
      <c r="AK214" s="8" t="n">
        <v>0</v>
      </c>
      <c r="AL214" s="8" t="n">
        <v>0</v>
      </c>
      <c r="AM214" s="9" t="n">
        <v>0</v>
      </c>
      <c r="AN214" s="8" t="n">
        <v>0</v>
      </c>
      <c r="AO214" s="8" t="n">
        <v>0</v>
      </c>
      <c r="AP214" s="8" t="n">
        <v>0</v>
      </c>
      <c r="AQ214" s="8" t="n">
        <v>0</v>
      </c>
      <c r="AR214" s="8" t="n">
        <v>0</v>
      </c>
      <c r="AS214" s="8" t="n">
        <v>0</v>
      </c>
      <c r="AT214" s="10">
        <f>SUM(O214:AS214)</f>
        <v/>
      </c>
      <c r="AU214" s="11">
        <f>COUNTIF(O214:AS214, "&gt;0")</f>
        <v/>
      </c>
      <c r="AV214" s="12">
        <f>IF(AU214&gt;=5, 4, IF(AU214&gt;0, INT(AU214/6), 0))</f>
        <v/>
      </c>
      <c r="AW214" s="11" t="n">
        <v>0</v>
      </c>
      <c r="AX214" s="11" t="n">
        <v>0</v>
      </c>
      <c r="AY214" s="13">
        <f>MIN(31, AU214+AV214+AW214+AX214)</f>
        <v/>
      </c>
      <c r="AZ214" s="14">
        <f>31-AY214</f>
        <v/>
      </c>
      <c r="BA214" s="5">
        <f>IF(AX214&gt;0, "01-İstirahat", IF(AZ214&gt;0, "12-Birden Fazla", ""))</f>
        <v/>
      </c>
      <c r="BB214" s="10" t="n">
        <v>0</v>
      </c>
      <c r="BC214" s="8" t="n">
        <v>0</v>
      </c>
      <c r="BD214" s="9" t="n">
        <v>0</v>
      </c>
      <c r="BE214" s="7">
        <f>(L214/30)*AU214</f>
        <v/>
      </c>
      <c r="BF214" s="15">
        <f>(L214/225)*((BB214*1.5)-(BC214*1.0))</f>
        <v/>
      </c>
      <c r="BG214" s="16">
        <f>(L214/225)*1.5*BD214</f>
        <v/>
      </c>
      <c r="BH214" s="15">
        <f>BF214+BG214</f>
        <v/>
      </c>
      <c r="BI214" s="17">
        <f>BE214+BH214</f>
        <v/>
      </c>
      <c r="BJ214" s="7">
        <f>IFERROR(VLOOKUP(B214, Resmi_Bordro_SGK!B:M, 11, FALSE), 0)</f>
        <v/>
      </c>
      <c r="BK214" s="18">
        <f>IFERROR(VLOOKUP(B214, Icra_Takip!A:E, 4, FALSE), 0)</f>
        <v/>
      </c>
      <c r="BL214" s="17">
        <f>IF(BI214&gt;BJ214, BI214-BJ214-BK214, 0)</f>
        <v/>
      </c>
      <c r="BM214" s="17">
        <f>BI214-BK214</f>
        <v/>
      </c>
    </row>
    <row r="215" ht="19" customHeight="1">
      <c r="A215" s="4" t="n">
        <v>212</v>
      </c>
      <c r="B215" s="5" t="inlineStr">
        <is>
          <t>13711835762</t>
        </is>
      </c>
      <c r="C215" s="6" t="inlineStr">
        <is>
          <t>KADER GİRGİN</t>
        </is>
      </c>
      <c r="D215" s="4" t="inlineStr">
        <is>
          <t>K</t>
        </is>
      </c>
      <c r="E215" s="4" t="inlineStr"/>
      <c r="F215" s="4" t="inlineStr">
        <is>
          <t>08.05.2026</t>
        </is>
      </c>
      <c r="G215" s="4" t="inlineStr"/>
      <c r="H215" s="4" t="inlineStr">
        <is>
          <t>NORMAL</t>
        </is>
      </c>
      <c r="I215" s="4" t="inlineStr">
        <is>
          <t>MEVSİMLİK</t>
        </is>
      </c>
      <c r="J215" s="6" t="inlineStr">
        <is>
          <t>BALIK TEMİZLEME</t>
        </is>
      </c>
      <c r="K215" s="6" t="inlineStr">
        <is>
          <t>GÜVEN TURİZM-MKP</t>
        </is>
      </c>
      <c r="L215" s="7" t="n">
        <v>33000</v>
      </c>
      <c r="M215" s="4" t="inlineStr">
        <is>
          <t>FİDE KONSERVE</t>
        </is>
      </c>
      <c r="N215" s="4" t="inlineStr">
        <is>
          <t>ALIR</t>
        </is>
      </c>
      <c r="O215" s="19" t="n">
        <v>0</v>
      </c>
      <c r="P215" s="19" t="n">
        <v>0</v>
      </c>
      <c r="Q215" s="19" t="n">
        <v>0</v>
      </c>
      <c r="R215" s="9" t="n">
        <v>0</v>
      </c>
      <c r="S215" s="19" t="n">
        <v>0</v>
      </c>
      <c r="T215" s="19" t="n">
        <v>0</v>
      </c>
      <c r="U215" s="19" t="n">
        <v>0</v>
      </c>
      <c r="V215" s="19" t="n">
        <v>0</v>
      </c>
      <c r="W215" s="19" t="n">
        <v>0</v>
      </c>
      <c r="X215" s="19" t="n">
        <v>0</v>
      </c>
      <c r="Y215" s="9" t="n">
        <v>0</v>
      </c>
      <c r="Z215" s="19" t="n">
        <v>0</v>
      </c>
      <c r="AA215" s="19" t="n">
        <v>0</v>
      </c>
      <c r="AB215" s="19" t="n">
        <v>0</v>
      </c>
      <c r="AC215" s="19" t="n">
        <v>0</v>
      </c>
      <c r="AD215" s="19" t="n">
        <v>0</v>
      </c>
      <c r="AE215" s="19" t="n">
        <v>0</v>
      </c>
      <c r="AF215" s="9" t="n">
        <v>0</v>
      </c>
      <c r="AG215" s="19" t="n">
        <v>0</v>
      </c>
      <c r="AH215" s="19" t="n">
        <v>0</v>
      </c>
      <c r="AI215" s="19" t="n">
        <v>0</v>
      </c>
      <c r="AJ215" s="19" t="n">
        <v>0</v>
      </c>
      <c r="AK215" s="19" t="n">
        <v>0</v>
      </c>
      <c r="AL215" s="19" t="n">
        <v>0</v>
      </c>
      <c r="AM215" s="9" t="n">
        <v>0</v>
      </c>
      <c r="AN215" s="19" t="n">
        <v>0</v>
      </c>
      <c r="AO215" s="19" t="n">
        <v>0</v>
      </c>
      <c r="AP215" s="19" t="n">
        <v>0</v>
      </c>
      <c r="AQ215" s="19" t="n">
        <v>0</v>
      </c>
      <c r="AR215" s="19" t="n">
        <v>0</v>
      </c>
      <c r="AS215" s="19" t="n">
        <v>0</v>
      </c>
      <c r="AT215" s="10">
        <f>SUM(O215:AS215)</f>
        <v/>
      </c>
      <c r="AU215" s="20">
        <f>COUNTIF(O215:AS215, "&gt;0")</f>
        <v/>
      </c>
      <c r="AV215" s="12">
        <f>IF(AU215&gt;=5, 4, IF(AU215&gt;0, INT(AU215/6), 0))</f>
        <v/>
      </c>
      <c r="AW215" s="20" t="n">
        <v>0</v>
      </c>
      <c r="AX215" s="20" t="n">
        <v>0</v>
      </c>
      <c r="AY215" s="13">
        <f>MIN(31, AU215+AV215+AW215+AX215)</f>
        <v/>
      </c>
      <c r="AZ215" s="14">
        <f>31-AY215</f>
        <v/>
      </c>
      <c r="BA215" s="21">
        <f>IF(AX215&gt;0, "01-İstirahat", IF(AZ215&gt;0, "12-Birden Fazla", ""))</f>
        <v/>
      </c>
      <c r="BB215" s="10" t="n">
        <v>0</v>
      </c>
      <c r="BC215" s="19" t="n">
        <v>0</v>
      </c>
      <c r="BD215" s="9" t="n">
        <v>0</v>
      </c>
      <c r="BE215" s="22">
        <f>(L215/30)*AU215</f>
        <v/>
      </c>
      <c r="BF215" s="15">
        <f>(L215/225)*((BB215*1.5)-(BC215*1.0))</f>
        <v/>
      </c>
      <c r="BG215" s="16">
        <f>(L215/225)*1.5*BD215</f>
        <v/>
      </c>
      <c r="BH215" s="15">
        <f>BF215+BG215</f>
        <v/>
      </c>
      <c r="BI215" s="17">
        <f>BE215+BH215</f>
        <v/>
      </c>
      <c r="BJ215" s="22">
        <f>IFERROR(VLOOKUP(B215, Resmi_Bordro_SGK!B:M, 11, FALSE), 0)</f>
        <v/>
      </c>
      <c r="BK215" s="18">
        <f>IFERROR(VLOOKUP(B215, Icra_Takip!A:E, 4, FALSE), 0)</f>
        <v/>
      </c>
      <c r="BL215" s="17">
        <f>IF(BI215&gt;BJ215, BI215-BJ215-BK215, 0)</f>
        <v/>
      </c>
      <c r="BM215" s="17">
        <f>BI215-BK215</f>
        <v/>
      </c>
    </row>
    <row r="216" ht="19" customHeight="1">
      <c r="A216" s="4" t="n">
        <v>213</v>
      </c>
      <c r="B216" s="5" t="inlineStr">
        <is>
          <t>67612166050</t>
        </is>
      </c>
      <c r="C216" s="6" t="inlineStr">
        <is>
          <t>KADER DOĞANAY</t>
        </is>
      </c>
      <c r="D216" s="4" t="inlineStr">
        <is>
          <t>K</t>
        </is>
      </c>
      <c r="E216" s="4" t="inlineStr"/>
      <c r="F216" s="4" t="inlineStr">
        <is>
          <t>19.07.2026</t>
        </is>
      </c>
      <c r="G216" s="4" t="inlineStr"/>
      <c r="H216" s="4" t="inlineStr">
        <is>
          <t>NORMAL</t>
        </is>
      </c>
      <c r="I216" s="4" t="inlineStr">
        <is>
          <t>MEVSİMLİK</t>
        </is>
      </c>
      <c r="J216" s="6" t="inlineStr">
        <is>
          <t>ÜRETİM</t>
        </is>
      </c>
      <c r="K216" s="6" t="inlineStr">
        <is>
          <t>KARACABEY-HALİL</t>
        </is>
      </c>
      <c r="L216" s="7" t="n">
        <v>28075.5</v>
      </c>
      <c r="M216" s="4" t="inlineStr">
        <is>
          <t>FİDE KONSERVE</t>
        </is>
      </c>
      <c r="N216" s="4" t="inlineStr">
        <is>
          <t>ALIR</t>
        </is>
      </c>
      <c r="O216" s="8" t="n">
        <v>0</v>
      </c>
      <c r="P216" s="8" t="n">
        <v>0</v>
      </c>
      <c r="Q216" s="8" t="n">
        <v>0</v>
      </c>
      <c r="R216" s="9" t="n">
        <v>0</v>
      </c>
      <c r="S216" s="8" t="n">
        <v>0</v>
      </c>
      <c r="T216" s="8" t="n">
        <v>0</v>
      </c>
      <c r="U216" s="8" t="n">
        <v>0</v>
      </c>
      <c r="V216" s="8" t="n">
        <v>0</v>
      </c>
      <c r="W216" s="8" t="n">
        <v>0</v>
      </c>
      <c r="X216" s="8" t="n">
        <v>0</v>
      </c>
      <c r="Y216" s="9" t="n">
        <v>0</v>
      </c>
      <c r="Z216" s="8" t="n">
        <v>0</v>
      </c>
      <c r="AA216" s="8" t="n">
        <v>0</v>
      </c>
      <c r="AB216" s="8" t="n">
        <v>0</v>
      </c>
      <c r="AC216" s="8" t="n">
        <v>0</v>
      </c>
      <c r="AD216" s="8" t="n">
        <v>0</v>
      </c>
      <c r="AE216" s="8" t="n">
        <v>0</v>
      </c>
      <c r="AF216" s="9" t="n">
        <v>0</v>
      </c>
      <c r="AG216" s="8" t="n">
        <v>0</v>
      </c>
      <c r="AH216" s="8" t="n">
        <v>0</v>
      </c>
      <c r="AI216" s="8" t="n">
        <v>0</v>
      </c>
      <c r="AJ216" s="8" t="n">
        <v>0</v>
      </c>
      <c r="AK216" s="8" t="n">
        <v>0</v>
      </c>
      <c r="AL216" s="8" t="n">
        <v>0</v>
      </c>
      <c r="AM216" s="9" t="n">
        <v>0</v>
      </c>
      <c r="AN216" s="8" t="n">
        <v>0</v>
      </c>
      <c r="AO216" s="8" t="n">
        <v>0</v>
      </c>
      <c r="AP216" s="8" t="n">
        <v>0</v>
      </c>
      <c r="AQ216" s="8" t="n">
        <v>0</v>
      </c>
      <c r="AR216" s="8" t="n">
        <v>0</v>
      </c>
      <c r="AS216" s="8" t="n">
        <v>0</v>
      </c>
      <c r="AT216" s="10">
        <f>SUM(O216:AS216)</f>
        <v/>
      </c>
      <c r="AU216" s="11">
        <f>COUNTIF(O216:AS216, "&gt;0")</f>
        <v/>
      </c>
      <c r="AV216" s="12">
        <f>IF(AU216&gt;=5, 4, IF(AU216&gt;0, INT(AU216/6), 0))</f>
        <v/>
      </c>
      <c r="AW216" s="11" t="n">
        <v>0</v>
      </c>
      <c r="AX216" s="11" t="n">
        <v>0</v>
      </c>
      <c r="AY216" s="13">
        <f>MIN(31, AU216+AV216+AW216+AX216)</f>
        <v/>
      </c>
      <c r="AZ216" s="14">
        <f>31-AY216</f>
        <v/>
      </c>
      <c r="BA216" s="5">
        <f>IF(AX216&gt;0, "01-İstirahat", IF(AZ216&gt;0, "12-Birden Fazla", ""))</f>
        <v/>
      </c>
      <c r="BB216" s="10" t="n">
        <v>0</v>
      </c>
      <c r="BC216" s="8" t="n">
        <v>0</v>
      </c>
      <c r="BD216" s="9" t="n">
        <v>0</v>
      </c>
      <c r="BE216" s="7">
        <f>(L216/30)*AU216</f>
        <v/>
      </c>
      <c r="BF216" s="15">
        <f>(L216/225)*((BB216*1.5)-(BC216*1.0))</f>
        <v/>
      </c>
      <c r="BG216" s="16">
        <f>(L216/225)*1.5*BD216</f>
        <v/>
      </c>
      <c r="BH216" s="15">
        <f>BF216+BG216</f>
        <v/>
      </c>
      <c r="BI216" s="17">
        <f>BE216+BH216</f>
        <v/>
      </c>
      <c r="BJ216" s="7">
        <f>IFERROR(VLOOKUP(B216, Resmi_Bordro_SGK!B:M, 11, FALSE), 0)</f>
        <v/>
      </c>
      <c r="BK216" s="18">
        <f>IFERROR(VLOOKUP(B216, Icra_Takip!A:E, 4, FALSE), 0)</f>
        <v/>
      </c>
      <c r="BL216" s="17">
        <f>IF(BI216&gt;BJ216, BI216-BJ216-BK216, 0)</f>
        <v/>
      </c>
      <c r="BM216" s="17">
        <f>BI216-BK216</f>
        <v/>
      </c>
    </row>
    <row r="217" ht="19" customHeight="1">
      <c r="A217" s="4" t="n">
        <v>214</v>
      </c>
      <c r="B217" s="5" t="inlineStr">
        <is>
          <t>23524501518</t>
        </is>
      </c>
      <c r="C217" s="6" t="inlineStr">
        <is>
          <t>KADRİYE BEYHAN</t>
        </is>
      </c>
      <c r="D217" s="4" t="inlineStr">
        <is>
          <t>K</t>
        </is>
      </c>
      <c r="E217" s="4" t="inlineStr"/>
      <c r="F217" s="4" t="inlineStr">
        <is>
          <t>10.02.2026</t>
        </is>
      </c>
      <c r="G217" s="4" t="inlineStr"/>
      <c r="H217" s="4" t="inlineStr">
        <is>
          <t>NORMAL</t>
        </is>
      </c>
      <c r="I217" s="4" t="inlineStr">
        <is>
          <t>MEVSİMLİK</t>
        </is>
      </c>
      <c r="J217" s="6" t="inlineStr">
        <is>
          <t>BALIK TEMİZLEME</t>
        </is>
      </c>
      <c r="K217" s="6" t="inlineStr">
        <is>
          <t>KARACABEY-HALİL</t>
        </is>
      </c>
      <c r="L217" s="7" t="n">
        <v>33000</v>
      </c>
      <c r="M217" s="4" t="inlineStr">
        <is>
          <t>FİDE KONSERVE</t>
        </is>
      </c>
      <c r="N217" s="4" t="inlineStr">
        <is>
          <t>ALIR</t>
        </is>
      </c>
      <c r="O217" s="19" t="n">
        <v>8</v>
      </c>
      <c r="P217" s="19" t="n">
        <v>8.5</v>
      </c>
      <c r="Q217" s="19" t="n">
        <v>8</v>
      </c>
      <c r="R217" s="9" t="n">
        <v>0</v>
      </c>
      <c r="S217" s="19" t="n">
        <v>7.5</v>
      </c>
      <c r="T217" s="19" t="n">
        <v>8</v>
      </c>
      <c r="U217" s="19" t="n">
        <v>0</v>
      </c>
      <c r="V217" s="19" t="n">
        <v>8</v>
      </c>
      <c r="W217" s="19" t="n">
        <v>8</v>
      </c>
      <c r="X217" s="19" t="n">
        <v>8.5</v>
      </c>
      <c r="Y217" s="9" t="n">
        <v>0</v>
      </c>
      <c r="Z217" s="19" t="n">
        <v>7.5</v>
      </c>
      <c r="AA217" s="19" t="n">
        <v>7.5</v>
      </c>
      <c r="AB217" s="19" t="n">
        <v>8.5</v>
      </c>
      <c r="AC217" s="19" t="n">
        <v>7.5</v>
      </c>
      <c r="AD217" s="19" t="n">
        <v>7.5</v>
      </c>
      <c r="AE217" s="19" t="n">
        <v>8.5</v>
      </c>
      <c r="AF217" s="9" t="n">
        <v>0</v>
      </c>
      <c r="AG217" s="19" t="n">
        <v>0</v>
      </c>
      <c r="AH217" s="19" t="n">
        <v>0</v>
      </c>
      <c r="AI217" s="19" t="n">
        <v>7.5</v>
      </c>
      <c r="AJ217" s="19" t="n">
        <v>0</v>
      </c>
      <c r="AK217" s="19" t="n">
        <v>0</v>
      </c>
      <c r="AL217" s="19" t="n">
        <v>0</v>
      </c>
      <c r="AM217" s="9" t="n">
        <v>0</v>
      </c>
      <c r="AN217" s="19" t="n">
        <v>0</v>
      </c>
      <c r="AO217" s="19" t="n">
        <v>0</v>
      </c>
      <c r="AP217" s="19" t="n">
        <v>0</v>
      </c>
      <c r="AQ217" s="19" t="n">
        <v>0</v>
      </c>
      <c r="AR217" s="19" t="n">
        <v>0</v>
      </c>
      <c r="AS217" s="19" t="n">
        <v>0</v>
      </c>
      <c r="AT217" s="10">
        <f>SUM(O217:AS217)</f>
        <v/>
      </c>
      <c r="AU217" s="20">
        <f>COUNTIF(O217:AS217, "&gt;0")</f>
        <v/>
      </c>
      <c r="AV217" s="12">
        <f>IF(AU217&gt;=5, 4, IF(AU217&gt;0, INT(AU217/6), 0))</f>
        <v/>
      </c>
      <c r="AW217" s="20" t="n">
        <v>0</v>
      </c>
      <c r="AX217" s="20" t="n">
        <v>0</v>
      </c>
      <c r="AY217" s="13">
        <f>MIN(31, AU217+AV217+AW217+AX217)</f>
        <v/>
      </c>
      <c r="AZ217" s="14">
        <f>31-AY217</f>
        <v/>
      </c>
      <c r="BA217" s="21">
        <f>IF(AX217&gt;0, "01-İstirahat", IF(AZ217&gt;0, "12-Birden Fazla", ""))</f>
        <v/>
      </c>
      <c r="BB217" s="10" t="n">
        <v>6.5</v>
      </c>
      <c r="BC217" s="19" t="n">
        <v>0</v>
      </c>
      <c r="BD217" s="9" t="n">
        <v>0</v>
      </c>
      <c r="BE217" s="22">
        <f>(L217/30)*AU217</f>
        <v/>
      </c>
      <c r="BF217" s="15">
        <f>(L217/225)*((BB217*1.5)-(BC217*1.0))</f>
        <v/>
      </c>
      <c r="BG217" s="16">
        <f>(L217/225)*1.5*BD217</f>
        <v/>
      </c>
      <c r="BH217" s="15">
        <f>BF217+BG217</f>
        <v/>
      </c>
      <c r="BI217" s="17">
        <f>BE217+BH217</f>
        <v/>
      </c>
      <c r="BJ217" s="22">
        <f>IFERROR(VLOOKUP(B217, Resmi_Bordro_SGK!B:M, 11, FALSE), 0)</f>
        <v/>
      </c>
      <c r="BK217" s="18">
        <f>IFERROR(VLOOKUP(B217, Icra_Takip!A:E, 4, FALSE), 0)</f>
        <v/>
      </c>
      <c r="BL217" s="17">
        <f>IF(BI217&gt;BJ217, BI217-BJ217-BK217, 0)</f>
        <v/>
      </c>
      <c r="BM217" s="17">
        <f>BI217-BK217</f>
        <v/>
      </c>
    </row>
    <row r="218" ht="19" customHeight="1">
      <c r="A218" s="4" t="n">
        <v>215</v>
      </c>
      <c r="B218" s="5" t="inlineStr"/>
      <c r="C218" s="6" t="inlineStr">
        <is>
          <t>KAMİL İNATLI</t>
        </is>
      </c>
      <c r="D218" s="4" t="inlineStr"/>
      <c r="E218" s="4" t="inlineStr"/>
      <c r="F218" s="4" t="inlineStr"/>
      <c r="G218" s="4" t="inlineStr"/>
      <c r="H218" s="4" t="inlineStr">
        <is>
          <t>NORMAL</t>
        </is>
      </c>
      <c r="I218" s="4" t="inlineStr">
        <is>
          <t>MEVSİMLİK</t>
        </is>
      </c>
      <c r="J218" s="6" t="inlineStr"/>
      <c r="K218" s="6" t="inlineStr"/>
      <c r="L218" s="7" t="n">
        <v>28075.5</v>
      </c>
      <c r="M218" s="4" t="inlineStr">
        <is>
          <t>FİDE KONSERVE</t>
        </is>
      </c>
      <c r="N218" s="4" t="inlineStr">
        <is>
          <t>ALIR</t>
        </is>
      </c>
      <c r="O218" s="8" t="n">
        <v>0</v>
      </c>
      <c r="P218" s="8" t="n">
        <v>1</v>
      </c>
      <c r="Q218" s="8" t="n">
        <v>0</v>
      </c>
      <c r="R218" s="9" t="n">
        <v>0</v>
      </c>
      <c r="S218" s="8" t="n">
        <v>0</v>
      </c>
      <c r="T218" s="8" t="n">
        <v>0</v>
      </c>
      <c r="U218" s="8" t="n">
        <v>0</v>
      </c>
      <c r="V218" s="8" t="n">
        <v>0</v>
      </c>
      <c r="W218" s="8" t="n">
        <v>0</v>
      </c>
      <c r="X218" s="8" t="n">
        <v>0</v>
      </c>
      <c r="Y218" s="9" t="n">
        <v>0</v>
      </c>
      <c r="Z218" s="8" t="n">
        <v>0</v>
      </c>
      <c r="AA218" s="8" t="n">
        <v>0</v>
      </c>
      <c r="AB218" s="8" t="n">
        <v>0</v>
      </c>
      <c r="AC218" s="8" t="n">
        <v>0</v>
      </c>
      <c r="AD218" s="8" t="n">
        <v>0</v>
      </c>
      <c r="AE218" s="8" t="n">
        <v>0</v>
      </c>
      <c r="AF218" s="9" t="n">
        <v>0</v>
      </c>
      <c r="AG218" s="8" t="n">
        <v>0</v>
      </c>
      <c r="AH218" s="8" t="n">
        <v>0</v>
      </c>
      <c r="AI218" s="8" t="n">
        <v>0</v>
      </c>
      <c r="AJ218" s="8" t="n">
        <v>0</v>
      </c>
      <c r="AK218" s="8" t="n">
        <v>0</v>
      </c>
      <c r="AL218" s="8" t="n">
        <v>0</v>
      </c>
      <c r="AM218" s="9" t="n">
        <v>0</v>
      </c>
      <c r="AN218" s="8" t="n">
        <v>0</v>
      </c>
      <c r="AO218" s="8" t="n">
        <v>0</v>
      </c>
      <c r="AP218" s="8" t="n">
        <v>0</v>
      </c>
      <c r="AQ218" s="8" t="n">
        <v>0</v>
      </c>
      <c r="AR218" s="8" t="n">
        <v>0</v>
      </c>
      <c r="AS218" s="8" t="n">
        <v>0</v>
      </c>
      <c r="AT218" s="10">
        <f>SUM(O218:AS218)</f>
        <v/>
      </c>
      <c r="AU218" s="11">
        <f>COUNTIF(O218:AS218, "&gt;0")</f>
        <v/>
      </c>
      <c r="AV218" s="12">
        <f>IF(AU218&gt;=5, 4, IF(AU218&gt;0, INT(AU218/6), 0))</f>
        <v/>
      </c>
      <c r="AW218" s="11" t="n">
        <v>0</v>
      </c>
      <c r="AX218" s="11" t="n">
        <v>0</v>
      </c>
      <c r="AY218" s="13">
        <f>MIN(31, AU218+AV218+AW218+AX218)</f>
        <v/>
      </c>
      <c r="AZ218" s="14">
        <f>31-AY218</f>
        <v/>
      </c>
      <c r="BA218" s="5">
        <f>IF(AX218&gt;0, "01-İstirahat", IF(AZ218&gt;0, "12-Birden Fazla", ""))</f>
        <v/>
      </c>
      <c r="BB218" s="10" t="n">
        <v>0</v>
      </c>
      <c r="BC218" s="23" t="n">
        <v>6.5</v>
      </c>
      <c r="BD218" s="9" t="n">
        <v>0</v>
      </c>
      <c r="BE218" s="7">
        <f>(L218/30)*AU218</f>
        <v/>
      </c>
      <c r="BF218" s="15">
        <f>(L218/225)*((BB218*1.5)-(BC218*1.0))</f>
        <v/>
      </c>
      <c r="BG218" s="16">
        <f>(L218/225)*1.5*BD218</f>
        <v/>
      </c>
      <c r="BH218" s="15">
        <f>BF218+BG218</f>
        <v/>
      </c>
      <c r="BI218" s="17">
        <f>BE218+BH218</f>
        <v/>
      </c>
      <c r="BJ218" s="7">
        <f>IFERROR(VLOOKUP(B218, Resmi_Bordro_SGK!B:M, 11, FALSE), 0)</f>
        <v/>
      </c>
      <c r="BK218" s="18">
        <f>IFERROR(VLOOKUP(B218, Icra_Takip!A:E, 4, FALSE), 0)</f>
        <v/>
      </c>
      <c r="BL218" s="17">
        <f>IF(BI218&gt;BJ218, BI218-BJ218-BK218, 0)</f>
        <v/>
      </c>
      <c r="BM218" s="17">
        <f>BI218-BK218</f>
        <v/>
      </c>
    </row>
    <row r="219" ht="19" customHeight="1">
      <c r="A219" s="4" t="n">
        <v>216</v>
      </c>
      <c r="B219" s="5" t="inlineStr">
        <is>
          <t>27448226656</t>
        </is>
      </c>
      <c r="C219" s="6" t="inlineStr">
        <is>
          <t>KAMİLE DAĞDÇELEN</t>
        </is>
      </c>
      <c r="D219" s="4" t="inlineStr">
        <is>
          <t>K</t>
        </is>
      </c>
      <c r="E219" s="4" t="inlineStr"/>
      <c r="F219" s="4" t="inlineStr">
        <is>
          <t>11.04.2022</t>
        </is>
      </c>
      <c r="G219" s="4" t="inlineStr"/>
      <c r="H219" s="4" t="inlineStr">
        <is>
          <t>NORMAL</t>
        </is>
      </c>
      <c r="I219" s="4" t="inlineStr">
        <is>
          <t>MEVSİMLİK</t>
        </is>
      </c>
      <c r="J219" s="6" t="inlineStr">
        <is>
          <t>AMBAR</t>
        </is>
      </c>
      <c r="K219" s="6" t="inlineStr">
        <is>
          <t>BİGADİÇ</t>
        </is>
      </c>
      <c r="L219" s="7" t="n">
        <v>28075.5</v>
      </c>
      <c r="M219" s="4" t="inlineStr">
        <is>
          <t>FİDE KONSERVE</t>
        </is>
      </c>
      <c r="N219" s="4" t="inlineStr">
        <is>
          <t>ALIR</t>
        </is>
      </c>
      <c r="O219" s="19" t="n">
        <v>7.5</v>
      </c>
      <c r="P219" s="19" t="n">
        <v>7.5</v>
      </c>
      <c r="Q219" s="19" t="n">
        <v>7.5</v>
      </c>
      <c r="R219" s="9" t="n">
        <v>0</v>
      </c>
      <c r="S219" s="19" t="n">
        <v>7.5</v>
      </c>
      <c r="T219" s="19" t="n">
        <v>7.5</v>
      </c>
      <c r="U219" s="19" t="n">
        <v>7.5</v>
      </c>
      <c r="V219" s="19" t="n">
        <v>7.5</v>
      </c>
      <c r="W219" s="19" t="n">
        <v>7.5</v>
      </c>
      <c r="X219" s="19" t="n">
        <v>7.5</v>
      </c>
      <c r="Y219" s="9" t="n">
        <v>0</v>
      </c>
      <c r="Z219" s="19" t="n">
        <v>8.5</v>
      </c>
      <c r="AA219" s="19" t="n">
        <v>7.5</v>
      </c>
      <c r="AB219" s="19" t="n">
        <v>7.5</v>
      </c>
      <c r="AC219" s="19" t="n">
        <v>8</v>
      </c>
      <c r="AD219" s="19" t="n">
        <v>7.5</v>
      </c>
      <c r="AE219" s="19" t="n">
        <v>7.5</v>
      </c>
      <c r="AF219" s="9" t="n">
        <v>7.5</v>
      </c>
      <c r="AG219" s="19" t="n">
        <v>7.5</v>
      </c>
      <c r="AH219" s="19" t="n">
        <v>7.5</v>
      </c>
      <c r="AI219" s="19" t="n">
        <v>7.5</v>
      </c>
      <c r="AJ219" s="19" t="n">
        <v>0</v>
      </c>
      <c r="AK219" s="19" t="n">
        <v>0</v>
      </c>
      <c r="AL219" s="19" t="n">
        <v>0</v>
      </c>
      <c r="AM219" s="9" t="n">
        <v>0</v>
      </c>
      <c r="AN219" s="19" t="n">
        <v>0</v>
      </c>
      <c r="AO219" s="19" t="n">
        <v>0</v>
      </c>
      <c r="AP219" s="19" t="n">
        <v>0</v>
      </c>
      <c r="AQ219" s="19" t="n">
        <v>0</v>
      </c>
      <c r="AR219" s="19" t="n">
        <v>0</v>
      </c>
      <c r="AS219" s="19" t="n">
        <v>0</v>
      </c>
      <c r="AT219" s="10">
        <f>SUM(O219:AS219)</f>
        <v/>
      </c>
      <c r="AU219" s="20">
        <f>COUNTIF(O219:AS219, "&gt;0")</f>
        <v/>
      </c>
      <c r="AV219" s="12">
        <f>IF(AU219&gt;=5, 4, IF(AU219&gt;0, INT(AU219/6), 0))</f>
        <v/>
      </c>
      <c r="AW219" s="20" t="n">
        <v>0</v>
      </c>
      <c r="AX219" s="20" t="n">
        <v>0</v>
      </c>
      <c r="AY219" s="13">
        <f>MIN(31, AU219+AV219+AW219+AX219)</f>
        <v/>
      </c>
      <c r="AZ219" s="14">
        <f>31-AY219</f>
        <v/>
      </c>
      <c r="BA219" s="21">
        <f>IF(AX219&gt;0, "01-İstirahat", IF(AZ219&gt;0, "12-Birden Fazla", ""))</f>
        <v/>
      </c>
      <c r="BB219" s="10" t="n">
        <v>1.5</v>
      </c>
      <c r="BC219" s="19" t="n">
        <v>0</v>
      </c>
      <c r="BD219" s="9" t="n">
        <v>7.5</v>
      </c>
      <c r="BE219" s="22">
        <f>(L219/30)*AU219</f>
        <v/>
      </c>
      <c r="BF219" s="15">
        <f>(L219/225)*((BB219*1.5)-(BC219*1.0))</f>
        <v/>
      </c>
      <c r="BG219" s="16">
        <f>(L219/225)*1.5*BD219</f>
        <v/>
      </c>
      <c r="BH219" s="15">
        <f>BF219+BG219</f>
        <v/>
      </c>
      <c r="BI219" s="17">
        <f>BE219+BH219</f>
        <v/>
      </c>
      <c r="BJ219" s="22">
        <f>IFERROR(VLOOKUP(B219, Resmi_Bordro_SGK!B:M, 11, FALSE), 0)</f>
        <v/>
      </c>
      <c r="BK219" s="18">
        <f>IFERROR(VLOOKUP(B219, Icra_Takip!A:E, 4, FALSE), 0)</f>
        <v/>
      </c>
      <c r="BL219" s="17">
        <f>IF(BI219&gt;BJ219, BI219-BJ219-BK219, 0)</f>
        <v/>
      </c>
      <c r="BM219" s="17">
        <f>BI219-BK219</f>
        <v/>
      </c>
    </row>
    <row r="220" ht="19" customHeight="1">
      <c r="A220" s="4" t="n">
        <v>217</v>
      </c>
      <c r="B220" s="5" t="inlineStr"/>
      <c r="C220" s="6" t="inlineStr">
        <is>
          <t>KASIR EL MUHAMMET</t>
        </is>
      </c>
      <c r="D220" s="4" t="inlineStr"/>
      <c r="E220" s="4" t="inlineStr"/>
      <c r="F220" s="4" t="inlineStr"/>
      <c r="G220" s="4" t="inlineStr"/>
      <c r="H220" s="4" t="inlineStr">
        <is>
          <t>NORMAL</t>
        </is>
      </c>
      <c r="I220" s="4" t="inlineStr">
        <is>
          <t>MEVSİMLİK</t>
        </is>
      </c>
      <c r="J220" s="6" t="inlineStr"/>
      <c r="K220" s="6" t="inlineStr"/>
      <c r="L220" s="7" t="n">
        <v>28075.5</v>
      </c>
      <c r="M220" s="4" t="inlineStr">
        <is>
          <t>FİDE KONSERVE</t>
        </is>
      </c>
      <c r="N220" s="4" t="inlineStr">
        <is>
          <t>ALIR</t>
        </is>
      </c>
      <c r="O220" s="8" t="n">
        <v>0</v>
      </c>
      <c r="P220" s="8" t="n">
        <v>0</v>
      </c>
      <c r="Q220" s="8" t="n">
        <v>0</v>
      </c>
      <c r="R220" s="9" t="n">
        <v>0</v>
      </c>
      <c r="S220" s="8" t="n">
        <v>0</v>
      </c>
      <c r="T220" s="8" t="n">
        <v>0</v>
      </c>
      <c r="U220" s="8" t="n">
        <v>0</v>
      </c>
      <c r="V220" s="8" t="n">
        <v>0</v>
      </c>
      <c r="W220" s="8" t="n">
        <v>0</v>
      </c>
      <c r="X220" s="8" t="n">
        <v>0</v>
      </c>
      <c r="Y220" s="9" t="n">
        <v>0</v>
      </c>
      <c r="Z220" s="8" t="n">
        <v>0</v>
      </c>
      <c r="AA220" s="8" t="n">
        <v>0</v>
      </c>
      <c r="AB220" s="8" t="n">
        <v>0</v>
      </c>
      <c r="AC220" s="8" t="n">
        <v>0</v>
      </c>
      <c r="AD220" s="8" t="n">
        <v>0</v>
      </c>
      <c r="AE220" s="8" t="n">
        <v>0</v>
      </c>
      <c r="AF220" s="9" t="n">
        <v>0</v>
      </c>
      <c r="AG220" s="8" t="n">
        <v>0</v>
      </c>
      <c r="AH220" s="8" t="n">
        <v>0</v>
      </c>
      <c r="AI220" s="8" t="n">
        <v>0</v>
      </c>
      <c r="AJ220" s="8" t="n">
        <v>0</v>
      </c>
      <c r="AK220" s="8" t="n">
        <v>0</v>
      </c>
      <c r="AL220" s="8" t="n">
        <v>0</v>
      </c>
      <c r="AM220" s="9" t="n">
        <v>0</v>
      </c>
      <c r="AN220" s="8" t="n">
        <v>0</v>
      </c>
      <c r="AO220" s="8" t="n">
        <v>0</v>
      </c>
      <c r="AP220" s="8" t="n">
        <v>0</v>
      </c>
      <c r="AQ220" s="8" t="n">
        <v>0</v>
      </c>
      <c r="AR220" s="8" t="n">
        <v>0</v>
      </c>
      <c r="AS220" s="8" t="n">
        <v>0</v>
      </c>
      <c r="AT220" s="10">
        <f>SUM(O220:AS220)</f>
        <v/>
      </c>
      <c r="AU220" s="11">
        <f>COUNTIF(O220:AS220, "&gt;0")</f>
        <v/>
      </c>
      <c r="AV220" s="12">
        <f>IF(AU220&gt;=5, 4, IF(AU220&gt;0, INT(AU220/6), 0))</f>
        <v/>
      </c>
      <c r="AW220" s="11" t="n">
        <v>0</v>
      </c>
      <c r="AX220" s="11" t="n">
        <v>0</v>
      </c>
      <c r="AY220" s="13">
        <f>MIN(31, AU220+AV220+AW220+AX220)</f>
        <v/>
      </c>
      <c r="AZ220" s="14">
        <f>31-AY220</f>
        <v/>
      </c>
      <c r="BA220" s="5">
        <f>IF(AX220&gt;0, "01-İstirahat", IF(AZ220&gt;0, "12-Birden Fazla", ""))</f>
        <v/>
      </c>
      <c r="BB220" s="10" t="n">
        <v>0</v>
      </c>
      <c r="BC220" s="8" t="n">
        <v>0</v>
      </c>
      <c r="BD220" s="9" t="n">
        <v>0</v>
      </c>
      <c r="BE220" s="7">
        <f>(L220/30)*AU220</f>
        <v/>
      </c>
      <c r="BF220" s="15">
        <f>(L220/225)*((BB220*1.5)-(BC220*1.0))</f>
        <v/>
      </c>
      <c r="BG220" s="16">
        <f>(L220/225)*1.5*BD220</f>
        <v/>
      </c>
      <c r="BH220" s="15">
        <f>BF220+BG220</f>
        <v/>
      </c>
      <c r="BI220" s="17">
        <f>BE220+BH220</f>
        <v/>
      </c>
      <c r="BJ220" s="7">
        <f>IFERROR(VLOOKUP(B220, Resmi_Bordro_SGK!B:M, 11, FALSE), 0)</f>
        <v/>
      </c>
      <c r="BK220" s="18">
        <f>IFERROR(VLOOKUP(B220, Icra_Takip!A:E, 4, FALSE), 0)</f>
        <v/>
      </c>
      <c r="BL220" s="17">
        <f>IF(BI220&gt;BJ220, BI220-BJ220-BK220, 0)</f>
        <v/>
      </c>
      <c r="BM220" s="17">
        <f>BI220-BK220</f>
        <v/>
      </c>
    </row>
    <row r="221" ht="19" customHeight="1">
      <c r="A221" s="4" t="n">
        <v>218</v>
      </c>
      <c r="B221" s="5" t="inlineStr">
        <is>
          <t>99656887974</t>
        </is>
      </c>
      <c r="C221" s="6" t="inlineStr">
        <is>
          <t>KEFA EL HUDUR</t>
        </is>
      </c>
      <c r="D221" s="4" t="inlineStr">
        <is>
          <t>K</t>
        </is>
      </c>
      <c r="E221" s="4" t="inlineStr"/>
      <c r="F221" s="4" t="inlineStr">
        <is>
          <t>18.04.2026</t>
        </is>
      </c>
      <c r="G221" s="4" t="inlineStr"/>
      <c r="H221" s="4" t="inlineStr">
        <is>
          <t>NORMAL</t>
        </is>
      </c>
      <c r="I221" s="4" t="inlineStr">
        <is>
          <t>MEVSİMLİK</t>
        </is>
      </c>
      <c r="J221" s="6" t="inlineStr">
        <is>
          <t>BALIK TEMİZLEME</t>
        </is>
      </c>
      <c r="K221" s="6" t="inlineStr">
        <is>
          <t>MKP</t>
        </is>
      </c>
      <c r="L221" s="7" t="n">
        <v>33000</v>
      </c>
      <c r="M221" s="4" t="inlineStr">
        <is>
          <t>FİDE KONSERVE</t>
        </is>
      </c>
      <c r="N221" s="4" t="inlineStr">
        <is>
          <t>ALIR</t>
        </is>
      </c>
      <c r="O221" s="19" t="n">
        <v>8</v>
      </c>
      <c r="P221" s="19" t="n">
        <v>8.5</v>
      </c>
      <c r="Q221" s="19" t="n">
        <v>8</v>
      </c>
      <c r="R221" s="9" t="n">
        <v>0</v>
      </c>
      <c r="S221" s="19" t="n">
        <v>7.5</v>
      </c>
      <c r="T221" s="19" t="n">
        <v>8</v>
      </c>
      <c r="U221" s="19" t="n">
        <v>0</v>
      </c>
      <c r="V221" s="19" t="n">
        <v>0</v>
      </c>
      <c r="W221" s="19" t="n">
        <v>0</v>
      </c>
      <c r="X221" s="19" t="n">
        <v>0</v>
      </c>
      <c r="Y221" s="9" t="n">
        <v>0</v>
      </c>
      <c r="Z221" s="19" t="n">
        <v>7.5</v>
      </c>
      <c r="AA221" s="19" t="n">
        <v>7.5</v>
      </c>
      <c r="AB221" s="19" t="n">
        <v>0</v>
      </c>
      <c r="AC221" s="19" t="n">
        <v>0</v>
      </c>
      <c r="AD221" s="19" t="n">
        <v>8</v>
      </c>
      <c r="AE221" s="19" t="n">
        <v>8.5</v>
      </c>
      <c r="AF221" s="9" t="n">
        <v>0</v>
      </c>
      <c r="AG221" s="19" t="n">
        <v>0</v>
      </c>
      <c r="AH221" s="19" t="n">
        <v>7.5</v>
      </c>
      <c r="AI221" s="19" t="n">
        <v>0</v>
      </c>
      <c r="AJ221" s="19" t="n">
        <v>0</v>
      </c>
      <c r="AK221" s="19" t="n">
        <v>0</v>
      </c>
      <c r="AL221" s="19" t="n">
        <v>0</v>
      </c>
      <c r="AM221" s="9" t="n">
        <v>0</v>
      </c>
      <c r="AN221" s="19" t="n">
        <v>0</v>
      </c>
      <c r="AO221" s="19" t="n">
        <v>0</v>
      </c>
      <c r="AP221" s="19" t="n">
        <v>0</v>
      </c>
      <c r="AQ221" s="19" t="n">
        <v>0</v>
      </c>
      <c r="AR221" s="19" t="n">
        <v>0</v>
      </c>
      <c r="AS221" s="19" t="n">
        <v>0</v>
      </c>
      <c r="AT221" s="10">
        <f>SUM(O221:AS221)</f>
        <v/>
      </c>
      <c r="AU221" s="20">
        <f>COUNTIF(O221:AS221, "&gt;0")</f>
        <v/>
      </c>
      <c r="AV221" s="12">
        <f>IF(AU221&gt;=5, 4, IF(AU221&gt;0, INT(AU221/6), 0))</f>
        <v/>
      </c>
      <c r="AW221" s="20" t="n">
        <v>0</v>
      </c>
      <c r="AX221" s="20" t="n">
        <v>0</v>
      </c>
      <c r="AY221" s="13">
        <f>MIN(31, AU221+AV221+AW221+AX221)</f>
        <v/>
      </c>
      <c r="AZ221" s="14">
        <f>31-AY221</f>
        <v/>
      </c>
      <c r="BA221" s="21">
        <f>IF(AX221&gt;0, "01-İstirahat", IF(AZ221&gt;0, "12-Birden Fazla", ""))</f>
        <v/>
      </c>
      <c r="BB221" s="10" t="n">
        <v>4</v>
      </c>
      <c r="BC221" s="19" t="n">
        <v>0</v>
      </c>
      <c r="BD221" s="9" t="n">
        <v>0</v>
      </c>
      <c r="BE221" s="22">
        <f>(L221/30)*AU221</f>
        <v/>
      </c>
      <c r="BF221" s="15">
        <f>(L221/225)*((BB221*1.5)-(BC221*1.0))</f>
        <v/>
      </c>
      <c r="BG221" s="16">
        <f>(L221/225)*1.5*BD221</f>
        <v/>
      </c>
      <c r="BH221" s="15">
        <f>BF221+BG221</f>
        <v/>
      </c>
      <c r="BI221" s="17">
        <f>BE221+BH221</f>
        <v/>
      </c>
      <c r="BJ221" s="22">
        <f>IFERROR(VLOOKUP(B221, Resmi_Bordro_SGK!B:M, 11, FALSE), 0)</f>
        <v/>
      </c>
      <c r="BK221" s="18">
        <f>IFERROR(VLOOKUP(B221, Icra_Takip!A:E, 4, FALSE), 0)</f>
        <v/>
      </c>
      <c r="BL221" s="17">
        <f>IF(BI221&gt;BJ221, BI221-BJ221-BK221, 0)</f>
        <v/>
      </c>
      <c r="BM221" s="17">
        <f>BI221-BK221</f>
        <v/>
      </c>
    </row>
    <row r="222" ht="19" customHeight="1">
      <c r="A222" s="4" t="n">
        <v>219</v>
      </c>
      <c r="B222" s="5" t="inlineStr">
        <is>
          <t>33067084584</t>
        </is>
      </c>
      <c r="C222" s="6" t="inlineStr">
        <is>
          <t>KEMAL DURMUŞ</t>
        </is>
      </c>
      <c r="D222" s="4" t="inlineStr">
        <is>
          <t>E</t>
        </is>
      </c>
      <c r="E222" s="4" t="inlineStr"/>
      <c r="F222" s="4" t="inlineStr">
        <is>
          <t>28.04.2023</t>
        </is>
      </c>
      <c r="G222" s="4" t="inlineStr"/>
      <c r="H222" s="4" t="inlineStr">
        <is>
          <t>SGDP</t>
        </is>
      </c>
      <c r="I222" s="4" t="inlineStr">
        <is>
          <t>DAİMİ</t>
        </is>
      </c>
      <c r="J222" s="6" t="inlineStr">
        <is>
          <t>İŞLETME</t>
        </is>
      </c>
      <c r="K222" s="6" t="inlineStr">
        <is>
          <t>SUSURLUK</t>
        </is>
      </c>
      <c r="L222" s="7" t="n">
        <v>33000</v>
      </c>
      <c r="M222" s="4" t="inlineStr">
        <is>
          <t>FİDE KONSERVE</t>
        </is>
      </c>
      <c r="N222" s="4" t="inlineStr">
        <is>
          <t>ALIR</t>
        </is>
      </c>
      <c r="O222" s="8" t="n">
        <v>10.5</v>
      </c>
      <c r="P222" s="8" t="n">
        <v>10.5</v>
      </c>
      <c r="Q222" s="8" t="n">
        <v>11.5</v>
      </c>
      <c r="R222" s="9" t="n">
        <v>10.5</v>
      </c>
      <c r="S222" s="8" t="n">
        <v>10.5</v>
      </c>
      <c r="T222" s="8" t="n">
        <v>10.5</v>
      </c>
      <c r="U222" s="8" t="n">
        <v>10.5</v>
      </c>
      <c r="V222" s="8" t="n">
        <v>10.5</v>
      </c>
      <c r="W222" s="8" t="n">
        <v>10.5</v>
      </c>
      <c r="X222" s="8" t="n">
        <v>10.5</v>
      </c>
      <c r="Y222" s="9" t="n">
        <v>10.5</v>
      </c>
      <c r="Z222" s="8" t="n">
        <v>10.5</v>
      </c>
      <c r="AA222" s="8" t="n">
        <v>12.5</v>
      </c>
      <c r="AB222" s="8" t="n">
        <v>10.5</v>
      </c>
      <c r="AC222" s="8" t="n">
        <v>13.5</v>
      </c>
      <c r="AD222" s="8" t="n">
        <v>11.5</v>
      </c>
      <c r="AE222" s="8" t="n">
        <v>11</v>
      </c>
      <c r="AF222" s="9" t="n">
        <v>0</v>
      </c>
      <c r="AG222" s="23" t="n">
        <v>10.5</v>
      </c>
      <c r="AH222" s="23" t="n">
        <v>7.5</v>
      </c>
      <c r="AI222" s="8" t="n">
        <v>7.5</v>
      </c>
      <c r="AJ222" s="8" t="n">
        <v>0</v>
      </c>
      <c r="AK222" s="8" t="n">
        <v>0</v>
      </c>
      <c r="AL222" s="8" t="n">
        <v>0</v>
      </c>
      <c r="AM222" s="9" t="n">
        <v>0</v>
      </c>
      <c r="AN222" s="8" t="n">
        <v>0</v>
      </c>
      <c r="AO222" s="8" t="n">
        <v>0</v>
      </c>
      <c r="AP222" s="8" t="n">
        <v>0</v>
      </c>
      <c r="AQ222" s="8" t="n">
        <v>0</v>
      </c>
      <c r="AR222" s="8" t="n">
        <v>0</v>
      </c>
      <c r="AS222" s="8" t="n">
        <v>0</v>
      </c>
      <c r="AT222" s="10">
        <f>SUM(O222:AS222)</f>
        <v/>
      </c>
      <c r="AU222" s="11">
        <f>COUNTIF(O222:AS222, "&gt;0")</f>
        <v/>
      </c>
      <c r="AV222" s="12">
        <f>IF(AU222&gt;=5, 4, IF(AU222&gt;0, INT(AU222/6), 0))</f>
        <v/>
      </c>
      <c r="AW222" s="11" t="n">
        <v>0</v>
      </c>
      <c r="AX222" s="11" t="n">
        <v>0</v>
      </c>
      <c r="AY222" s="13">
        <f>MIN(31, AU222+AV222+AW222+AX222)</f>
        <v/>
      </c>
      <c r="AZ222" s="14">
        <f>31-AY222</f>
        <v/>
      </c>
      <c r="BA222" s="5">
        <f>IF(AX222&gt;0, "01-İstirahat", IF(AZ222&gt;0, "12-Birden Fazla", ""))</f>
        <v/>
      </c>
      <c r="BB222" s="10" t="n">
        <v>55</v>
      </c>
      <c r="BC222" s="8" t="n">
        <v>0</v>
      </c>
      <c r="BD222" s="9" t="n">
        <v>21</v>
      </c>
      <c r="BE222" s="7">
        <f>(L222/30)*AU222</f>
        <v/>
      </c>
      <c r="BF222" s="15">
        <f>(L222/225)*((BB222*1.5)-(BC222*1.0))</f>
        <v/>
      </c>
      <c r="BG222" s="16">
        <f>(L222/225)*1.5*BD222</f>
        <v/>
      </c>
      <c r="BH222" s="15">
        <f>BF222+BG222</f>
        <v/>
      </c>
      <c r="BI222" s="17">
        <f>BE222+BH222</f>
        <v/>
      </c>
      <c r="BJ222" s="7">
        <f>IFERROR(VLOOKUP(B222, Resmi_Bordro_SGK!B:M, 11, FALSE), 0)</f>
        <v/>
      </c>
      <c r="BK222" s="18">
        <f>IFERROR(VLOOKUP(B222, Icra_Takip!A:E, 4, FALSE), 0)</f>
        <v/>
      </c>
      <c r="BL222" s="17">
        <f>IF(BI222&gt;BJ222, BI222-BJ222-BK222, 0)</f>
        <v/>
      </c>
      <c r="BM222" s="17">
        <f>BI222-BK222</f>
        <v/>
      </c>
    </row>
    <row r="223" ht="19" customHeight="1">
      <c r="A223" s="4" t="n">
        <v>220</v>
      </c>
      <c r="B223" s="5" t="inlineStr"/>
      <c r="C223" s="6" t="inlineStr">
        <is>
          <t>KERİM MERT SOYÖZ</t>
        </is>
      </c>
      <c r="D223" s="4" t="inlineStr"/>
      <c r="E223" s="4" t="inlineStr"/>
      <c r="F223" s="4" t="inlineStr"/>
      <c r="G223" s="4" t="inlineStr"/>
      <c r="H223" s="4" t="inlineStr">
        <is>
          <t>NORMAL</t>
        </is>
      </c>
      <c r="I223" s="4" t="inlineStr">
        <is>
          <t>MEVSİMLİK</t>
        </is>
      </c>
      <c r="J223" s="6" t="inlineStr"/>
      <c r="K223" s="6" t="inlineStr"/>
      <c r="L223" s="7" t="n">
        <v>28075.5</v>
      </c>
      <c r="M223" s="4" t="inlineStr">
        <is>
          <t>FİDE KONSERVE</t>
        </is>
      </c>
      <c r="N223" s="4" t="inlineStr">
        <is>
          <t>ALIR</t>
        </is>
      </c>
      <c r="O223" s="19" t="n">
        <v>0</v>
      </c>
      <c r="P223" s="19" t="n">
        <v>0</v>
      </c>
      <c r="Q223" s="19" t="n">
        <v>8</v>
      </c>
      <c r="R223" s="9" t="n">
        <v>0</v>
      </c>
      <c r="S223" s="19" t="n">
        <v>7.5</v>
      </c>
      <c r="T223" s="19" t="n">
        <v>8</v>
      </c>
      <c r="U223" s="19" t="n">
        <v>8</v>
      </c>
      <c r="V223" s="19" t="n">
        <v>8</v>
      </c>
      <c r="W223" s="19" t="n">
        <v>8</v>
      </c>
      <c r="X223" s="19" t="n">
        <v>8.5</v>
      </c>
      <c r="Y223" s="9" t="n">
        <v>0</v>
      </c>
      <c r="Z223" s="19" t="n">
        <v>7.5</v>
      </c>
      <c r="AA223" s="19" t="n">
        <v>7.5</v>
      </c>
      <c r="AB223" s="19" t="n">
        <v>8.5</v>
      </c>
      <c r="AC223" s="19" t="n">
        <v>7.5</v>
      </c>
      <c r="AD223" s="19" t="n">
        <v>7.5</v>
      </c>
      <c r="AE223" s="19" t="n">
        <v>8.5</v>
      </c>
      <c r="AF223" s="9" t="n">
        <v>0</v>
      </c>
      <c r="AG223" s="19" t="n">
        <v>8.5</v>
      </c>
      <c r="AH223" s="19" t="n">
        <v>7.5</v>
      </c>
      <c r="AI223" s="19" t="n">
        <v>7.5</v>
      </c>
      <c r="AJ223" s="19" t="n">
        <v>0</v>
      </c>
      <c r="AK223" s="19" t="n">
        <v>0</v>
      </c>
      <c r="AL223" s="19" t="n">
        <v>0</v>
      </c>
      <c r="AM223" s="9" t="n">
        <v>0</v>
      </c>
      <c r="AN223" s="19" t="n">
        <v>0</v>
      </c>
      <c r="AO223" s="19" t="n">
        <v>0</v>
      </c>
      <c r="AP223" s="19" t="n">
        <v>0</v>
      </c>
      <c r="AQ223" s="19" t="n">
        <v>0</v>
      </c>
      <c r="AR223" s="19" t="n">
        <v>0</v>
      </c>
      <c r="AS223" s="19" t="n">
        <v>0</v>
      </c>
      <c r="AT223" s="10">
        <f>SUM(O223:AS223)</f>
        <v/>
      </c>
      <c r="AU223" s="20">
        <f>COUNTIF(O223:AS223, "&gt;0")</f>
        <v/>
      </c>
      <c r="AV223" s="12">
        <f>IF(AU223&gt;=5, 4, IF(AU223&gt;0, INT(AU223/6), 0))</f>
        <v/>
      </c>
      <c r="AW223" s="20" t="n">
        <v>0</v>
      </c>
      <c r="AX223" s="20" t="n">
        <v>0</v>
      </c>
      <c r="AY223" s="13">
        <f>MIN(31, AU223+AV223+AW223+AX223)</f>
        <v/>
      </c>
      <c r="AZ223" s="14">
        <f>31-AY223</f>
        <v/>
      </c>
      <c r="BA223" s="21">
        <f>IF(AX223&gt;0, "01-İstirahat", IF(AZ223&gt;0, "12-Birden Fazla", ""))</f>
        <v/>
      </c>
      <c r="BB223" s="10" t="n">
        <v>6.5</v>
      </c>
      <c r="BC223" s="19" t="n">
        <v>0</v>
      </c>
      <c r="BD223" s="9" t="n">
        <v>0</v>
      </c>
      <c r="BE223" s="22">
        <f>(L223/30)*AU223</f>
        <v/>
      </c>
      <c r="BF223" s="15">
        <f>(L223/225)*((BB223*1.5)-(BC223*1.0))</f>
        <v/>
      </c>
      <c r="BG223" s="16">
        <f>(L223/225)*1.5*BD223</f>
        <v/>
      </c>
      <c r="BH223" s="15">
        <f>BF223+BG223</f>
        <v/>
      </c>
      <c r="BI223" s="17">
        <f>BE223+BH223</f>
        <v/>
      </c>
      <c r="BJ223" s="22">
        <f>IFERROR(VLOOKUP(B223, Resmi_Bordro_SGK!B:M, 11, FALSE), 0)</f>
        <v/>
      </c>
      <c r="BK223" s="18">
        <f>IFERROR(VLOOKUP(B223, Icra_Takip!A:E, 4, FALSE), 0)</f>
        <v/>
      </c>
      <c r="BL223" s="17">
        <f>IF(BI223&gt;BJ223, BI223-BJ223-BK223, 0)</f>
        <v/>
      </c>
      <c r="BM223" s="17">
        <f>BI223-BK223</f>
        <v/>
      </c>
    </row>
    <row r="224" ht="19" customHeight="1">
      <c r="A224" s="4" t="n">
        <v>221</v>
      </c>
      <c r="B224" s="5" t="inlineStr">
        <is>
          <t>67120192930</t>
        </is>
      </c>
      <c r="C224" s="6" t="inlineStr">
        <is>
          <t>KERİME YILMAZ</t>
        </is>
      </c>
      <c r="D224" s="4" t="inlineStr">
        <is>
          <t>K</t>
        </is>
      </c>
      <c r="E224" s="4" t="inlineStr"/>
      <c r="F224" s="4" t="inlineStr">
        <is>
          <t>31.03.2026</t>
        </is>
      </c>
      <c r="G224" s="4" t="inlineStr"/>
      <c r="H224" s="4" t="inlineStr">
        <is>
          <t>NORMAL</t>
        </is>
      </c>
      <c r="I224" s="4" t="inlineStr">
        <is>
          <t>MEVSİMLİK</t>
        </is>
      </c>
      <c r="J224" s="6" t="inlineStr">
        <is>
          <t>BALIK TEMİZLEME</t>
        </is>
      </c>
      <c r="K224" s="6" t="inlineStr">
        <is>
          <t>KARACABEY-HALİL</t>
        </is>
      </c>
      <c r="L224" s="7" t="n">
        <v>33000</v>
      </c>
      <c r="M224" s="4" t="inlineStr">
        <is>
          <t>FİDE KONSERVE</t>
        </is>
      </c>
      <c r="N224" s="4" t="inlineStr">
        <is>
          <t>ALIR</t>
        </is>
      </c>
      <c r="O224" s="8" t="n">
        <v>0</v>
      </c>
      <c r="P224" s="8" t="n">
        <v>0</v>
      </c>
      <c r="Q224" s="8" t="n">
        <v>0</v>
      </c>
      <c r="R224" s="9" t="n">
        <v>0</v>
      </c>
      <c r="S224" s="8" t="n">
        <v>0</v>
      </c>
      <c r="T224" s="8" t="n">
        <v>0</v>
      </c>
      <c r="U224" s="8" t="n">
        <v>0</v>
      </c>
      <c r="V224" s="8" t="n">
        <v>0</v>
      </c>
      <c r="W224" s="8" t="n">
        <v>0</v>
      </c>
      <c r="X224" s="8" t="n">
        <v>0</v>
      </c>
      <c r="Y224" s="9" t="n">
        <v>0</v>
      </c>
      <c r="Z224" s="8" t="n">
        <v>0</v>
      </c>
      <c r="AA224" s="8" t="n">
        <v>0</v>
      </c>
      <c r="AB224" s="8" t="n">
        <v>0</v>
      </c>
      <c r="AC224" s="8" t="n">
        <v>0</v>
      </c>
      <c r="AD224" s="8" t="n">
        <v>0</v>
      </c>
      <c r="AE224" s="8" t="n">
        <v>0</v>
      </c>
      <c r="AF224" s="9" t="n">
        <v>0</v>
      </c>
      <c r="AG224" s="8" t="n">
        <v>0</v>
      </c>
      <c r="AH224" s="8" t="n">
        <v>0</v>
      </c>
      <c r="AI224" s="8" t="n">
        <v>0</v>
      </c>
      <c r="AJ224" s="8" t="n">
        <v>0</v>
      </c>
      <c r="AK224" s="8" t="n">
        <v>0</v>
      </c>
      <c r="AL224" s="8" t="n">
        <v>0</v>
      </c>
      <c r="AM224" s="9" t="n">
        <v>0</v>
      </c>
      <c r="AN224" s="8" t="n">
        <v>0</v>
      </c>
      <c r="AO224" s="8" t="n">
        <v>0</v>
      </c>
      <c r="AP224" s="8" t="n">
        <v>0</v>
      </c>
      <c r="AQ224" s="8" t="n">
        <v>0</v>
      </c>
      <c r="AR224" s="8" t="n">
        <v>0</v>
      </c>
      <c r="AS224" s="8" t="n">
        <v>0</v>
      </c>
      <c r="AT224" s="10">
        <f>SUM(O224:AS224)</f>
        <v/>
      </c>
      <c r="AU224" s="11">
        <f>COUNTIF(O224:AS224, "&gt;0")</f>
        <v/>
      </c>
      <c r="AV224" s="12">
        <f>IF(AU224&gt;=5, 4, IF(AU224&gt;0, INT(AU224/6), 0))</f>
        <v/>
      </c>
      <c r="AW224" s="11" t="n">
        <v>0</v>
      </c>
      <c r="AX224" s="11" t="n">
        <v>0</v>
      </c>
      <c r="AY224" s="13">
        <f>MIN(31, AU224+AV224+AW224+AX224)</f>
        <v/>
      </c>
      <c r="AZ224" s="14">
        <f>31-AY224</f>
        <v/>
      </c>
      <c r="BA224" s="5">
        <f>IF(AX224&gt;0, "01-İstirahat", IF(AZ224&gt;0, "12-Birden Fazla", ""))</f>
        <v/>
      </c>
      <c r="BB224" s="10" t="n">
        <v>0</v>
      </c>
      <c r="BC224" s="8" t="n">
        <v>0</v>
      </c>
      <c r="BD224" s="9" t="n">
        <v>0</v>
      </c>
      <c r="BE224" s="7">
        <f>(L224/30)*AU224</f>
        <v/>
      </c>
      <c r="BF224" s="15">
        <f>(L224/225)*((BB224*1.5)-(BC224*1.0))</f>
        <v/>
      </c>
      <c r="BG224" s="16">
        <f>(L224/225)*1.5*BD224</f>
        <v/>
      </c>
      <c r="BH224" s="15">
        <f>BF224+BG224</f>
        <v/>
      </c>
      <c r="BI224" s="17">
        <f>BE224+BH224</f>
        <v/>
      </c>
      <c r="BJ224" s="7">
        <f>IFERROR(VLOOKUP(B224, Resmi_Bordro_SGK!B:M, 11, FALSE), 0)</f>
        <v/>
      </c>
      <c r="BK224" s="18">
        <f>IFERROR(VLOOKUP(B224, Icra_Takip!A:E, 4, FALSE), 0)</f>
        <v/>
      </c>
      <c r="BL224" s="17">
        <f>IF(BI224&gt;BJ224, BI224-BJ224-BK224, 0)</f>
        <v/>
      </c>
      <c r="BM224" s="17">
        <f>BI224-BK224</f>
        <v/>
      </c>
    </row>
    <row r="225" ht="19" customHeight="1">
      <c r="A225" s="4" t="n">
        <v>222</v>
      </c>
      <c r="B225" s="5" t="inlineStr">
        <is>
          <t>32014226190</t>
        </is>
      </c>
      <c r="C225" s="6" t="inlineStr">
        <is>
          <t>KEVSER BAŞAK</t>
        </is>
      </c>
      <c r="D225" s="4" t="inlineStr">
        <is>
          <t>K</t>
        </is>
      </c>
      <c r="E225" s="4" t="inlineStr"/>
      <c r="F225" s="4" t="inlineStr">
        <is>
          <t>12.08.2026</t>
        </is>
      </c>
      <c r="G225" s="4" t="inlineStr"/>
      <c r="H225" s="4" t="inlineStr">
        <is>
          <t>NORMAL</t>
        </is>
      </c>
      <c r="I225" s="4" t="inlineStr">
        <is>
          <t>MEVSİMLİK</t>
        </is>
      </c>
      <c r="J225" s="6" t="inlineStr">
        <is>
          <t>ÜRETİM</t>
        </is>
      </c>
      <c r="K225" s="6" t="inlineStr">
        <is>
          <t>GÜVEN TURİZM MKP</t>
        </is>
      </c>
      <c r="L225" s="7" t="n">
        <v>28075.5</v>
      </c>
      <c r="M225" s="4" t="inlineStr">
        <is>
          <t>FİDE KONSERVE</t>
        </is>
      </c>
      <c r="N225" s="4" t="inlineStr">
        <is>
          <t>ALIR</t>
        </is>
      </c>
      <c r="O225" s="19" t="n">
        <v>0</v>
      </c>
      <c r="P225" s="19" t="n">
        <v>0</v>
      </c>
      <c r="Q225" s="19" t="n">
        <v>0</v>
      </c>
      <c r="R225" s="9" t="n">
        <v>0</v>
      </c>
      <c r="S225" s="19" t="n">
        <v>0</v>
      </c>
      <c r="T225" s="19" t="n">
        <v>0</v>
      </c>
      <c r="U225" s="19" t="n">
        <v>0</v>
      </c>
      <c r="V225" s="19" t="n">
        <v>0</v>
      </c>
      <c r="W225" s="19" t="n">
        <v>0</v>
      </c>
      <c r="X225" s="19" t="n">
        <v>0</v>
      </c>
      <c r="Y225" s="9" t="n">
        <v>0</v>
      </c>
      <c r="Z225" s="19" t="n">
        <v>0</v>
      </c>
      <c r="AA225" s="19" t="n">
        <v>0</v>
      </c>
      <c r="AB225" s="19" t="n">
        <v>0</v>
      </c>
      <c r="AC225" s="19" t="n">
        <v>0</v>
      </c>
      <c r="AD225" s="19" t="n">
        <v>0</v>
      </c>
      <c r="AE225" s="19" t="n">
        <v>0</v>
      </c>
      <c r="AF225" s="9" t="n">
        <v>0</v>
      </c>
      <c r="AG225" s="19" t="n">
        <v>0</v>
      </c>
      <c r="AH225" s="19" t="n">
        <v>0</v>
      </c>
      <c r="AI225" s="19" t="n">
        <v>0</v>
      </c>
      <c r="AJ225" s="19" t="n">
        <v>0</v>
      </c>
      <c r="AK225" s="19" t="n">
        <v>0</v>
      </c>
      <c r="AL225" s="19" t="n">
        <v>0</v>
      </c>
      <c r="AM225" s="9" t="n">
        <v>0</v>
      </c>
      <c r="AN225" s="19" t="n">
        <v>0</v>
      </c>
      <c r="AO225" s="19" t="n">
        <v>0</v>
      </c>
      <c r="AP225" s="19" t="n">
        <v>0</v>
      </c>
      <c r="AQ225" s="19" t="n">
        <v>0</v>
      </c>
      <c r="AR225" s="19" t="n">
        <v>0</v>
      </c>
      <c r="AS225" s="19" t="n">
        <v>0</v>
      </c>
      <c r="AT225" s="10">
        <f>SUM(O225:AS225)</f>
        <v/>
      </c>
      <c r="AU225" s="20">
        <f>COUNTIF(O225:AS225, "&gt;0")</f>
        <v/>
      </c>
      <c r="AV225" s="12">
        <f>IF(AU225&gt;=5, 4, IF(AU225&gt;0, INT(AU225/6), 0))</f>
        <v/>
      </c>
      <c r="AW225" s="20" t="n">
        <v>0</v>
      </c>
      <c r="AX225" s="20" t="n">
        <v>0</v>
      </c>
      <c r="AY225" s="13">
        <f>MIN(31, AU225+AV225+AW225+AX225)</f>
        <v/>
      </c>
      <c r="AZ225" s="14">
        <f>31-AY225</f>
        <v/>
      </c>
      <c r="BA225" s="21">
        <f>IF(AX225&gt;0, "01-İstirahat", IF(AZ225&gt;0, "12-Birden Fazla", ""))</f>
        <v/>
      </c>
      <c r="BB225" s="10" t="n">
        <v>0</v>
      </c>
      <c r="BC225" s="19" t="n">
        <v>0</v>
      </c>
      <c r="BD225" s="9" t="n">
        <v>0</v>
      </c>
      <c r="BE225" s="22">
        <f>(L225/30)*AU225</f>
        <v/>
      </c>
      <c r="BF225" s="15">
        <f>(L225/225)*((BB225*1.5)-(BC225*1.0))</f>
        <v/>
      </c>
      <c r="BG225" s="16">
        <f>(L225/225)*1.5*BD225</f>
        <v/>
      </c>
      <c r="BH225" s="15">
        <f>BF225+BG225</f>
        <v/>
      </c>
      <c r="BI225" s="17">
        <f>BE225+BH225</f>
        <v/>
      </c>
      <c r="BJ225" s="22">
        <f>IFERROR(VLOOKUP(B225, Resmi_Bordro_SGK!B:M, 11, FALSE), 0)</f>
        <v/>
      </c>
      <c r="BK225" s="18">
        <f>IFERROR(VLOOKUP(B225, Icra_Takip!A:E, 4, FALSE), 0)</f>
        <v/>
      </c>
      <c r="BL225" s="17">
        <f>IF(BI225&gt;BJ225, BI225-BJ225-BK225, 0)</f>
        <v/>
      </c>
      <c r="BM225" s="17">
        <f>BI225-BK225</f>
        <v/>
      </c>
    </row>
    <row r="226" ht="19" customHeight="1">
      <c r="A226" s="4" t="n">
        <v>223</v>
      </c>
      <c r="B226" s="5" t="inlineStr">
        <is>
          <t>10945588358</t>
        </is>
      </c>
      <c r="C226" s="6" t="inlineStr">
        <is>
          <t>KEVSER BATIBEY</t>
        </is>
      </c>
      <c r="D226" s="4" t="inlineStr">
        <is>
          <t>K</t>
        </is>
      </c>
      <c r="E226" s="4" t="inlineStr"/>
      <c r="F226" s="4" t="inlineStr">
        <is>
          <t>29.06.2026</t>
        </is>
      </c>
      <c r="G226" s="4" t="inlineStr"/>
      <c r="H226" s="4" t="inlineStr">
        <is>
          <t>NORMAL</t>
        </is>
      </c>
      <c r="I226" s="4" t="inlineStr">
        <is>
          <t>MEVSİMLİK</t>
        </is>
      </c>
      <c r="J226" s="6" t="inlineStr">
        <is>
          <t>ÜRETİM</t>
        </is>
      </c>
      <c r="K226" s="6" t="inlineStr">
        <is>
          <t>KARACABEY-HALİL</t>
        </is>
      </c>
      <c r="L226" s="7" t="n">
        <v>28075.5</v>
      </c>
      <c r="M226" s="4" t="inlineStr">
        <is>
          <t>FİDE KONSERVE</t>
        </is>
      </c>
      <c r="N226" s="4" t="inlineStr">
        <is>
          <t>ALIR</t>
        </is>
      </c>
      <c r="O226" s="8" t="n">
        <v>0</v>
      </c>
      <c r="P226" s="8" t="n">
        <v>0</v>
      </c>
      <c r="Q226" s="8" t="n">
        <v>0</v>
      </c>
      <c r="R226" s="9" t="n">
        <v>0</v>
      </c>
      <c r="S226" s="8" t="n">
        <v>0</v>
      </c>
      <c r="T226" s="8" t="n">
        <v>0</v>
      </c>
      <c r="U226" s="8" t="n">
        <v>0</v>
      </c>
      <c r="V226" s="8" t="n">
        <v>0</v>
      </c>
      <c r="W226" s="8" t="n">
        <v>0</v>
      </c>
      <c r="X226" s="8" t="n">
        <v>0</v>
      </c>
      <c r="Y226" s="9" t="n">
        <v>0</v>
      </c>
      <c r="Z226" s="8" t="n">
        <v>0</v>
      </c>
      <c r="AA226" s="8" t="n">
        <v>0</v>
      </c>
      <c r="AB226" s="8" t="n">
        <v>0</v>
      </c>
      <c r="AC226" s="8" t="n">
        <v>0</v>
      </c>
      <c r="AD226" s="8" t="n">
        <v>0</v>
      </c>
      <c r="AE226" s="8" t="n">
        <v>0</v>
      </c>
      <c r="AF226" s="9" t="n">
        <v>0</v>
      </c>
      <c r="AG226" s="8" t="n">
        <v>0</v>
      </c>
      <c r="AH226" s="8" t="n">
        <v>0</v>
      </c>
      <c r="AI226" s="8" t="n">
        <v>0</v>
      </c>
      <c r="AJ226" s="8" t="n">
        <v>0</v>
      </c>
      <c r="AK226" s="8" t="n">
        <v>0</v>
      </c>
      <c r="AL226" s="8" t="n">
        <v>0</v>
      </c>
      <c r="AM226" s="9" t="n">
        <v>0</v>
      </c>
      <c r="AN226" s="8" t="n">
        <v>0</v>
      </c>
      <c r="AO226" s="8" t="n">
        <v>0</v>
      </c>
      <c r="AP226" s="8" t="n">
        <v>0</v>
      </c>
      <c r="AQ226" s="8" t="n">
        <v>0</v>
      </c>
      <c r="AR226" s="8" t="n">
        <v>0</v>
      </c>
      <c r="AS226" s="8" t="n">
        <v>0</v>
      </c>
      <c r="AT226" s="10">
        <f>SUM(O226:AS226)</f>
        <v/>
      </c>
      <c r="AU226" s="11">
        <f>COUNTIF(O226:AS226, "&gt;0")</f>
        <v/>
      </c>
      <c r="AV226" s="12">
        <f>IF(AU226&gt;=5, 4, IF(AU226&gt;0, INT(AU226/6), 0))</f>
        <v/>
      </c>
      <c r="AW226" s="11" t="n">
        <v>0</v>
      </c>
      <c r="AX226" s="11" t="n">
        <v>0</v>
      </c>
      <c r="AY226" s="13">
        <f>MIN(31, AU226+AV226+AW226+AX226)</f>
        <v/>
      </c>
      <c r="AZ226" s="14">
        <f>31-AY226</f>
        <v/>
      </c>
      <c r="BA226" s="5">
        <f>IF(AX226&gt;0, "01-İstirahat", IF(AZ226&gt;0, "12-Birden Fazla", ""))</f>
        <v/>
      </c>
      <c r="BB226" s="10" t="n">
        <v>0</v>
      </c>
      <c r="BC226" s="8" t="n">
        <v>0</v>
      </c>
      <c r="BD226" s="9" t="n">
        <v>0</v>
      </c>
      <c r="BE226" s="7">
        <f>(L226/30)*AU226</f>
        <v/>
      </c>
      <c r="BF226" s="15">
        <f>(L226/225)*((BB226*1.5)-(BC226*1.0))</f>
        <v/>
      </c>
      <c r="BG226" s="16">
        <f>(L226/225)*1.5*BD226</f>
        <v/>
      </c>
      <c r="BH226" s="15">
        <f>BF226+BG226</f>
        <v/>
      </c>
      <c r="BI226" s="17">
        <f>BE226+BH226</f>
        <v/>
      </c>
      <c r="BJ226" s="7">
        <f>IFERROR(VLOOKUP(B226, Resmi_Bordro_SGK!B:M, 11, FALSE), 0)</f>
        <v/>
      </c>
      <c r="BK226" s="18">
        <f>IFERROR(VLOOKUP(B226, Icra_Takip!A:E, 4, FALSE), 0)</f>
        <v/>
      </c>
      <c r="BL226" s="17">
        <f>IF(BI226&gt;BJ226, BI226-BJ226-BK226, 0)</f>
        <v/>
      </c>
      <c r="BM226" s="17">
        <f>BI226-BK226</f>
        <v/>
      </c>
    </row>
    <row r="227" ht="19" customHeight="1">
      <c r="A227" s="4" t="n">
        <v>224</v>
      </c>
      <c r="B227" s="5" t="inlineStr">
        <is>
          <t>37573316870</t>
        </is>
      </c>
      <c r="C227" s="6" t="inlineStr">
        <is>
          <t>KEZİBAN ARAS</t>
        </is>
      </c>
      <c r="D227" s="4" t="inlineStr">
        <is>
          <t>K</t>
        </is>
      </c>
      <c r="E227" s="4" t="inlineStr"/>
      <c r="F227" s="4" t="inlineStr">
        <is>
          <t>13.07.2026</t>
        </is>
      </c>
      <c r="G227" s="4" t="inlineStr"/>
      <c r="H227" s="4" t="inlineStr">
        <is>
          <t>NORMAL</t>
        </is>
      </c>
      <c r="I227" s="4" t="inlineStr">
        <is>
          <t>MEVSİMLİK</t>
        </is>
      </c>
      <c r="J227" s="6" t="inlineStr">
        <is>
          <t>ÜRETİM</t>
        </is>
      </c>
      <c r="K227" s="6" t="inlineStr">
        <is>
          <t>SEVGİ</t>
        </is>
      </c>
      <c r="L227" s="7" t="n">
        <v>28075.5</v>
      </c>
      <c r="M227" s="4" t="inlineStr">
        <is>
          <t>FİDE KONSERVE</t>
        </is>
      </c>
      <c r="N227" s="4" t="inlineStr">
        <is>
          <t>ALIR</t>
        </is>
      </c>
      <c r="O227" s="19" t="n">
        <v>0</v>
      </c>
      <c r="P227" s="19" t="n">
        <v>0</v>
      </c>
      <c r="Q227" s="19" t="n">
        <v>0</v>
      </c>
      <c r="R227" s="9" t="n">
        <v>0</v>
      </c>
      <c r="S227" s="19" t="n">
        <v>0</v>
      </c>
      <c r="T227" s="19" t="n">
        <v>0</v>
      </c>
      <c r="U227" s="19" t="n">
        <v>0</v>
      </c>
      <c r="V227" s="19" t="n">
        <v>0</v>
      </c>
      <c r="W227" s="19" t="n">
        <v>0</v>
      </c>
      <c r="X227" s="19" t="n">
        <v>0</v>
      </c>
      <c r="Y227" s="9" t="n">
        <v>0</v>
      </c>
      <c r="Z227" s="19" t="n">
        <v>0</v>
      </c>
      <c r="AA227" s="19" t="n">
        <v>0</v>
      </c>
      <c r="AB227" s="19" t="n">
        <v>0</v>
      </c>
      <c r="AC227" s="19" t="n">
        <v>0</v>
      </c>
      <c r="AD227" s="19" t="n">
        <v>0</v>
      </c>
      <c r="AE227" s="19" t="n">
        <v>0</v>
      </c>
      <c r="AF227" s="9" t="n">
        <v>0</v>
      </c>
      <c r="AG227" s="19" t="n">
        <v>0</v>
      </c>
      <c r="AH227" s="19" t="n">
        <v>0</v>
      </c>
      <c r="AI227" s="19" t="n">
        <v>0</v>
      </c>
      <c r="AJ227" s="19" t="n">
        <v>0</v>
      </c>
      <c r="AK227" s="19" t="n">
        <v>0</v>
      </c>
      <c r="AL227" s="19" t="n">
        <v>0</v>
      </c>
      <c r="AM227" s="9" t="n">
        <v>0</v>
      </c>
      <c r="AN227" s="19" t="n">
        <v>0</v>
      </c>
      <c r="AO227" s="19" t="n">
        <v>0</v>
      </c>
      <c r="AP227" s="19" t="n">
        <v>0</v>
      </c>
      <c r="AQ227" s="19" t="n">
        <v>0</v>
      </c>
      <c r="AR227" s="19" t="n">
        <v>0</v>
      </c>
      <c r="AS227" s="19" t="n">
        <v>0</v>
      </c>
      <c r="AT227" s="10">
        <f>SUM(O227:AS227)</f>
        <v/>
      </c>
      <c r="AU227" s="20">
        <f>COUNTIF(O227:AS227, "&gt;0")</f>
        <v/>
      </c>
      <c r="AV227" s="12">
        <f>IF(AU227&gt;=5, 4, IF(AU227&gt;0, INT(AU227/6), 0))</f>
        <v/>
      </c>
      <c r="AW227" s="20" t="n">
        <v>0</v>
      </c>
      <c r="AX227" s="20" t="n">
        <v>0</v>
      </c>
      <c r="AY227" s="13">
        <f>MIN(31, AU227+AV227+AW227+AX227)</f>
        <v/>
      </c>
      <c r="AZ227" s="14">
        <f>31-AY227</f>
        <v/>
      </c>
      <c r="BA227" s="21">
        <f>IF(AX227&gt;0, "01-İstirahat", IF(AZ227&gt;0, "12-Birden Fazla", ""))</f>
        <v/>
      </c>
      <c r="BB227" s="10" t="n">
        <v>0</v>
      </c>
      <c r="BC227" s="19" t="n">
        <v>0</v>
      </c>
      <c r="BD227" s="9" t="n">
        <v>0</v>
      </c>
      <c r="BE227" s="22">
        <f>(L227/30)*AU227</f>
        <v/>
      </c>
      <c r="BF227" s="15">
        <f>(L227/225)*((BB227*1.5)-(BC227*1.0))</f>
        <v/>
      </c>
      <c r="BG227" s="16">
        <f>(L227/225)*1.5*BD227</f>
        <v/>
      </c>
      <c r="BH227" s="15">
        <f>BF227+BG227</f>
        <v/>
      </c>
      <c r="BI227" s="17">
        <f>BE227+BH227</f>
        <v/>
      </c>
      <c r="BJ227" s="22">
        <f>IFERROR(VLOOKUP(B227, Resmi_Bordro_SGK!B:M, 11, FALSE), 0)</f>
        <v/>
      </c>
      <c r="BK227" s="18">
        <f>IFERROR(VLOOKUP(B227, Icra_Takip!A:E, 4, FALSE), 0)</f>
        <v/>
      </c>
      <c r="BL227" s="17">
        <f>IF(BI227&gt;BJ227, BI227-BJ227-BK227, 0)</f>
        <v/>
      </c>
      <c r="BM227" s="17">
        <f>BI227-BK227</f>
        <v/>
      </c>
    </row>
    <row r="228" ht="19" customHeight="1">
      <c r="A228" s="4" t="n">
        <v>225</v>
      </c>
      <c r="B228" s="5" t="inlineStr">
        <is>
          <t>33397029286</t>
        </is>
      </c>
      <c r="C228" s="6" t="inlineStr">
        <is>
          <t>KÜBÜŞRA ALTAY</t>
        </is>
      </c>
      <c r="D228" s="4" t="inlineStr">
        <is>
          <t>K</t>
        </is>
      </c>
      <c r="E228" s="4" t="inlineStr"/>
      <c r="F228" s="4" t="inlineStr">
        <is>
          <t>03.08.2026</t>
        </is>
      </c>
      <c r="G228" s="4" t="inlineStr"/>
      <c r="H228" s="4" t="inlineStr">
        <is>
          <t>NORMAL</t>
        </is>
      </c>
      <c r="I228" s="4" t="inlineStr">
        <is>
          <t>DAİMİ</t>
        </is>
      </c>
      <c r="J228" s="6" t="inlineStr">
        <is>
          <t>SATIN ALMA</t>
        </is>
      </c>
      <c r="K228" s="6" t="inlineStr">
        <is>
          <t>BANDIRMA</t>
        </is>
      </c>
      <c r="L228" s="7" t="n">
        <v>30000</v>
      </c>
      <c r="M228" s="4" t="inlineStr">
        <is>
          <t>FİDE KONSERVE</t>
        </is>
      </c>
      <c r="N228" s="4" t="inlineStr">
        <is>
          <t>ALIR</t>
        </is>
      </c>
      <c r="O228" s="8" t="n">
        <v>8</v>
      </c>
      <c r="P228" s="8" t="n">
        <v>8</v>
      </c>
      <c r="Q228" s="8" t="n">
        <v>8</v>
      </c>
      <c r="R228" s="9" t="n">
        <v>0</v>
      </c>
      <c r="S228" s="8" t="n">
        <v>7.5</v>
      </c>
      <c r="T228" s="8" t="n">
        <v>8</v>
      </c>
      <c r="U228" s="8" t="n">
        <v>0</v>
      </c>
      <c r="V228" s="8" t="n">
        <v>8</v>
      </c>
      <c r="W228" s="8" t="n">
        <v>8.5</v>
      </c>
      <c r="X228" s="8" t="n">
        <v>8.5</v>
      </c>
      <c r="Y228" s="9" t="n">
        <v>0</v>
      </c>
      <c r="Z228" s="8" t="n">
        <v>7.5</v>
      </c>
      <c r="AA228" s="8" t="n">
        <v>7.5</v>
      </c>
      <c r="AB228" s="8" t="n">
        <v>8.5</v>
      </c>
      <c r="AC228" s="8" t="n">
        <v>0</v>
      </c>
      <c r="AD228" s="8" t="n">
        <v>0</v>
      </c>
      <c r="AE228" s="8" t="n">
        <v>0</v>
      </c>
      <c r="AF228" s="9" t="n">
        <v>0</v>
      </c>
      <c r="AG228" s="8" t="n">
        <v>0</v>
      </c>
      <c r="AH228" s="8" t="n">
        <v>0</v>
      </c>
      <c r="AI228" s="8" t="n">
        <v>0</v>
      </c>
      <c r="AJ228" s="8" t="n">
        <v>0</v>
      </c>
      <c r="AK228" s="8" t="n">
        <v>0</v>
      </c>
      <c r="AL228" s="8" t="n">
        <v>0</v>
      </c>
      <c r="AM228" s="9" t="n">
        <v>0</v>
      </c>
      <c r="AN228" s="8" t="n">
        <v>0</v>
      </c>
      <c r="AO228" s="8" t="n">
        <v>0</v>
      </c>
      <c r="AP228" s="8" t="n">
        <v>0</v>
      </c>
      <c r="AQ228" s="8" t="n">
        <v>0</v>
      </c>
      <c r="AR228" s="8" t="n">
        <v>0</v>
      </c>
      <c r="AS228" s="8" t="n">
        <v>0</v>
      </c>
      <c r="AT228" s="10">
        <f>SUM(O228:AS228)</f>
        <v/>
      </c>
      <c r="AU228" s="11">
        <f>COUNTIF(O228:AS228, "&gt;0")</f>
        <v/>
      </c>
      <c r="AV228" s="12">
        <f>IF(AU228&gt;=5, 4, IF(AU228&gt;0, INT(AU228/6), 0))</f>
        <v/>
      </c>
      <c r="AW228" s="11" t="n">
        <v>0</v>
      </c>
      <c r="AX228" s="11" t="n">
        <v>0</v>
      </c>
      <c r="AY228" s="13">
        <f>MIN(31, AU228+AV228+AW228+AX228)</f>
        <v/>
      </c>
      <c r="AZ228" s="14">
        <f>31-AY228</f>
        <v/>
      </c>
      <c r="BA228" s="5">
        <f>IF(AX228&gt;0, "01-İstirahat", IF(AZ228&gt;0, "12-Birden Fazla", ""))</f>
        <v/>
      </c>
      <c r="BB228" s="10" t="n">
        <v>5.5</v>
      </c>
      <c r="BC228" s="8" t="n">
        <v>0</v>
      </c>
      <c r="BD228" s="9" t="n">
        <v>0</v>
      </c>
      <c r="BE228" s="7">
        <f>(L228/30)*AU228</f>
        <v/>
      </c>
      <c r="BF228" s="15">
        <f>(L228/225)*((BB228*1.5)-(BC228*1.0))</f>
        <v/>
      </c>
      <c r="BG228" s="16">
        <f>(L228/225)*1.5*BD228</f>
        <v/>
      </c>
      <c r="BH228" s="15">
        <f>BF228+BG228</f>
        <v/>
      </c>
      <c r="BI228" s="17">
        <f>BE228+BH228</f>
        <v/>
      </c>
      <c r="BJ228" s="7">
        <f>IFERROR(VLOOKUP(B228, Resmi_Bordro_SGK!B:M, 11, FALSE), 0)</f>
        <v/>
      </c>
      <c r="BK228" s="18">
        <f>IFERROR(VLOOKUP(B228, Icra_Takip!A:E, 4, FALSE), 0)</f>
        <v/>
      </c>
      <c r="BL228" s="17">
        <f>IF(BI228&gt;BJ228, BI228-BJ228-BK228, 0)</f>
        <v/>
      </c>
      <c r="BM228" s="17">
        <f>BI228-BK228</f>
        <v/>
      </c>
    </row>
    <row r="229" ht="19" customHeight="1">
      <c r="A229" s="4" t="n">
        <v>226</v>
      </c>
      <c r="B229" s="5" t="inlineStr">
        <is>
          <t>11840814962</t>
        </is>
      </c>
      <c r="C229" s="6" t="inlineStr">
        <is>
          <t>LEYLA KOYUN</t>
        </is>
      </c>
      <c r="D229" s="4" t="inlineStr">
        <is>
          <t>K</t>
        </is>
      </c>
      <c r="E229" s="4" t="inlineStr"/>
      <c r="F229" s="4" t="inlineStr">
        <is>
          <t>24.06.2026</t>
        </is>
      </c>
      <c r="G229" s="4" t="inlineStr"/>
      <c r="H229" s="4" t="inlineStr">
        <is>
          <t>NORMAL</t>
        </is>
      </c>
      <c r="I229" s="4" t="inlineStr">
        <is>
          <t>MEVSİMLİK</t>
        </is>
      </c>
      <c r="J229" s="6" t="inlineStr">
        <is>
          <t>ÜRETİM</t>
        </is>
      </c>
      <c r="K229" s="6" t="inlineStr">
        <is>
          <t>KARACABEY-HALİL</t>
        </is>
      </c>
      <c r="L229" s="7" t="n">
        <v>28075.5</v>
      </c>
      <c r="M229" s="4" t="inlineStr">
        <is>
          <t>FİDE KONSERVE</t>
        </is>
      </c>
      <c r="N229" s="4" t="inlineStr">
        <is>
          <t>ALIR</t>
        </is>
      </c>
      <c r="O229" s="19" t="n">
        <v>0</v>
      </c>
      <c r="P229" s="19" t="n">
        <v>0</v>
      </c>
      <c r="Q229" s="19" t="n">
        <v>0</v>
      </c>
      <c r="R229" s="9" t="n">
        <v>0</v>
      </c>
      <c r="S229" s="19" t="n">
        <v>0</v>
      </c>
      <c r="T229" s="19" t="n">
        <v>0</v>
      </c>
      <c r="U229" s="19" t="n">
        <v>0</v>
      </c>
      <c r="V229" s="19" t="n">
        <v>0</v>
      </c>
      <c r="W229" s="19" t="n">
        <v>0</v>
      </c>
      <c r="X229" s="19" t="n">
        <v>0</v>
      </c>
      <c r="Y229" s="9" t="n">
        <v>0</v>
      </c>
      <c r="Z229" s="19" t="n">
        <v>0</v>
      </c>
      <c r="AA229" s="19" t="n">
        <v>0</v>
      </c>
      <c r="AB229" s="19" t="n">
        <v>0</v>
      </c>
      <c r="AC229" s="19" t="n">
        <v>0</v>
      </c>
      <c r="AD229" s="19" t="n">
        <v>0</v>
      </c>
      <c r="AE229" s="19" t="n">
        <v>0</v>
      </c>
      <c r="AF229" s="9" t="n">
        <v>0</v>
      </c>
      <c r="AG229" s="19" t="n">
        <v>0</v>
      </c>
      <c r="AH229" s="19" t="n">
        <v>0</v>
      </c>
      <c r="AI229" s="19" t="n">
        <v>0</v>
      </c>
      <c r="AJ229" s="19" t="n">
        <v>0</v>
      </c>
      <c r="AK229" s="19" t="n">
        <v>0</v>
      </c>
      <c r="AL229" s="19" t="n">
        <v>0</v>
      </c>
      <c r="AM229" s="9" t="n">
        <v>0</v>
      </c>
      <c r="AN229" s="19" t="n">
        <v>0</v>
      </c>
      <c r="AO229" s="19" t="n">
        <v>0</v>
      </c>
      <c r="AP229" s="19" t="n">
        <v>0</v>
      </c>
      <c r="AQ229" s="19" t="n">
        <v>0</v>
      </c>
      <c r="AR229" s="19" t="n">
        <v>0</v>
      </c>
      <c r="AS229" s="19" t="n">
        <v>0</v>
      </c>
      <c r="AT229" s="10">
        <f>SUM(O229:AS229)</f>
        <v/>
      </c>
      <c r="AU229" s="20">
        <f>COUNTIF(O229:AS229, "&gt;0")</f>
        <v/>
      </c>
      <c r="AV229" s="12">
        <f>IF(AU229&gt;=5, 4, IF(AU229&gt;0, INT(AU229/6), 0))</f>
        <v/>
      </c>
      <c r="AW229" s="20" t="n">
        <v>0</v>
      </c>
      <c r="AX229" s="20" t="n">
        <v>0</v>
      </c>
      <c r="AY229" s="13">
        <f>MIN(31, AU229+AV229+AW229+AX229)</f>
        <v/>
      </c>
      <c r="AZ229" s="14">
        <f>31-AY229</f>
        <v/>
      </c>
      <c r="BA229" s="21">
        <f>IF(AX229&gt;0, "01-İstirahat", IF(AZ229&gt;0, "12-Birden Fazla", ""))</f>
        <v/>
      </c>
      <c r="BB229" s="10" t="n">
        <v>0</v>
      </c>
      <c r="BC229" s="19" t="n">
        <v>0</v>
      </c>
      <c r="BD229" s="9" t="n">
        <v>0</v>
      </c>
      <c r="BE229" s="22">
        <f>(L229/30)*AU229</f>
        <v/>
      </c>
      <c r="BF229" s="15">
        <f>(L229/225)*((BB229*1.5)-(BC229*1.0))</f>
        <v/>
      </c>
      <c r="BG229" s="16">
        <f>(L229/225)*1.5*BD229</f>
        <v/>
      </c>
      <c r="BH229" s="15">
        <f>BF229+BG229</f>
        <v/>
      </c>
      <c r="BI229" s="17">
        <f>BE229+BH229</f>
        <v/>
      </c>
      <c r="BJ229" s="22">
        <f>IFERROR(VLOOKUP(B229, Resmi_Bordro_SGK!B:M, 11, FALSE), 0)</f>
        <v/>
      </c>
      <c r="BK229" s="18">
        <f>IFERROR(VLOOKUP(B229, Icra_Takip!A:E, 4, FALSE), 0)</f>
        <v/>
      </c>
      <c r="BL229" s="17">
        <f>IF(BI229&gt;BJ229, BI229-BJ229-BK229, 0)</f>
        <v/>
      </c>
      <c r="BM229" s="17">
        <f>BI229-BK229</f>
        <v/>
      </c>
    </row>
    <row r="230" ht="19" customHeight="1">
      <c r="A230" s="4" t="n">
        <v>227</v>
      </c>
      <c r="B230" s="5" t="inlineStr">
        <is>
          <t>41405035372</t>
        </is>
      </c>
      <c r="C230" s="6" t="inlineStr">
        <is>
          <t>LEYLA ŞİMŞEK</t>
        </is>
      </c>
      <c r="D230" s="4" t="inlineStr">
        <is>
          <t>K</t>
        </is>
      </c>
      <c r="E230" s="4" t="inlineStr"/>
      <c r="F230" s="4" t="inlineStr">
        <is>
          <t>20.07.2026</t>
        </is>
      </c>
      <c r="G230" s="4" t="inlineStr">
        <is>
          <t>08.08.2026</t>
        </is>
      </c>
      <c r="H230" s="4" t="inlineStr">
        <is>
          <t>NORMAL</t>
        </is>
      </c>
      <c r="I230" s="4" t="inlineStr">
        <is>
          <t>MEVSİMLİK</t>
        </is>
      </c>
      <c r="J230" s="6" t="inlineStr">
        <is>
          <t>BALIK TEMİZLEME</t>
        </is>
      </c>
      <c r="K230" s="6" t="inlineStr">
        <is>
          <t>GÜVEN TURİZM-MKP</t>
        </is>
      </c>
      <c r="L230" s="7" t="n">
        <v>28075.5</v>
      </c>
      <c r="M230" s="4" t="inlineStr">
        <is>
          <t>FİDE KONSERVE</t>
        </is>
      </c>
      <c r="N230" s="4" t="inlineStr">
        <is>
          <t>ALIR</t>
        </is>
      </c>
      <c r="O230" s="8" t="n">
        <v>0</v>
      </c>
      <c r="P230" s="8" t="n">
        <v>0</v>
      </c>
      <c r="Q230" s="8" t="n">
        <v>0</v>
      </c>
      <c r="R230" s="9" t="n">
        <v>0</v>
      </c>
      <c r="S230" s="8" t="n">
        <v>0</v>
      </c>
      <c r="T230" s="8" t="n">
        <v>0</v>
      </c>
      <c r="U230" s="8" t="n">
        <v>0</v>
      </c>
      <c r="V230" s="8" t="n">
        <v>0</v>
      </c>
      <c r="W230" s="8" t="n">
        <v>0</v>
      </c>
      <c r="X230" s="8" t="n">
        <v>0</v>
      </c>
      <c r="Y230" s="9" t="n">
        <v>0</v>
      </c>
      <c r="Z230" s="8" t="n">
        <v>0</v>
      </c>
      <c r="AA230" s="8" t="n">
        <v>0</v>
      </c>
      <c r="AB230" s="8" t="n">
        <v>0</v>
      </c>
      <c r="AC230" s="8" t="n">
        <v>0</v>
      </c>
      <c r="AD230" s="8" t="n">
        <v>0</v>
      </c>
      <c r="AE230" s="8" t="n">
        <v>0</v>
      </c>
      <c r="AF230" s="9" t="n">
        <v>0</v>
      </c>
      <c r="AG230" s="8" t="n">
        <v>0</v>
      </c>
      <c r="AH230" s="8" t="n">
        <v>0</v>
      </c>
      <c r="AI230" s="8" t="n">
        <v>0</v>
      </c>
      <c r="AJ230" s="8" t="n">
        <v>0</v>
      </c>
      <c r="AK230" s="8" t="n">
        <v>0</v>
      </c>
      <c r="AL230" s="8" t="n">
        <v>0</v>
      </c>
      <c r="AM230" s="9" t="n">
        <v>0</v>
      </c>
      <c r="AN230" s="8" t="n">
        <v>0</v>
      </c>
      <c r="AO230" s="8" t="n">
        <v>0</v>
      </c>
      <c r="AP230" s="8" t="n">
        <v>0</v>
      </c>
      <c r="AQ230" s="8" t="n">
        <v>0</v>
      </c>
      <c r="AR230" s="8" t="n">
        <v>0</v>
      </c>
      <c r="AS230" s="8" t="n">
        <v>0</v>
      </c>
      <c r="AT230" s="10">
        <f>SUM(O230:AS230)</f>
        <v/>
      </c>
      <c r="AU230" s="11">
        <f>COUNTIF(O230:AS230, "&gt;0")</f>
        <v/>
      </c>
      <c r="AV230" s="12">
        <f>IF(AU230&gt;=5, 4, IF(AU230&gt;0, INT(AU230/6), 0))</f>
        <v/>
      </c>
      <c r="AW230" s="11" t="n">
        <v>0</v>
      </c>
      <c r="AX230" s="11" t="n">
        <v>0</v>
      </c>
      <c r="AY230" s="13">
        <f>MIN(31, AU230+AV230+AW230+AX230)</f>
        <v/>
      </c>
      <c r="AZ230" s="14">
        <f>31-AY230</f>
        <v/>
      </c>
      <c r="BA230" s="5">
        <f>IF(AX230&gt;0, "01-İstirahat", IF(AZ230&gt;0, "12-Birden Fazla", ""))</f>
        <v/>
      </c>
      <c r="BB230" s="10" t="n">
        <v>0</v>
      </c>
      <c r="BC230" s="8" t="n">
        <v>0</v>
      </c>
      <c r="BD230" s="9" t="n">
        <v>0</v>
      </c>
      <c r="BE230" s="7">
        <f>(L230/30)*AU230</f>
        <v/>
      </c>
      <c r="BF230" s="15">
        <f>(L230/225)*((BB230*1.5)-(BC230*1.0))</f>
        <v/>
      </c>
      <c r="BG230" s="16">
        <f>(L230/225)*1.5*BD230</f>
        <v/>
      </c>
      <c r="BH230" s="15">
        <f>BF230+BG230</f>
        <v/>
      </c>
      <c r="BI230" s="17">
        <f>BE230+BH230</f>
        <v/>
      </c>
      <c r="BJ230" s="7">
        <f>IFERROR(VLOOKUP(B230, Resmi_Bordro_SGK!B:M, 11, FALSE), 0)</f>
        <v/>
      </c>
      <c r="BK230" s="18">
        <f>IFERROR(VLOOKUP(B230, Icra_Takip!A:E, 4, FALSE), 0)</f>
        <v/>
      </c>
      <c r="BL230" s="17">
        <f>IF(BI230&gt;BJ230, BI230-BJ230-BK230, 0)</f>
        <v/>
      </c>
      <c r="BM230" s="17">
        <f>BI230-BK230</f>
        <v/>
      </c>
    </row>
    <row r="231" ht="19" customHeight="1">
      <c r="A231" s="4" t="n">
        <v>228</v>
      </c>
      <c r="B231" s="5" t="inlineStr">
        <is>
          <t>19783626574</t>
        </is>
      </c>
      <c r="C231" s="6" t="inlineStr">
        <is>
          <t>MACİDE PIRLAK</t>
        </is>
      </c>
      <c r="D231" s="4" t="inlineStr">
        <is>
          <t>K</t>
        </is>
      </c>
      <c r="E231" s="4" t="inlineStr"/>
      <c r="F231" s="4" t="inlineStr">
        <is>
          <t>13.01.2025</t>
        </is>
      </c>
      <c r="G231" s="4" t="inlineStr"/>
      <c r="H231" s="4" t="inlineStr">
        <is>
          <t>NORMAL</t>
        </is>
      </c>
      <c r="I231" s="4" t="inlineStr">
        <is>
          <t>MEVSİMLİK</t>
        </is>
      </c>
      <c r="J231" s="6" t="inlineStr">
        <is>
          <t>BALIK TEMİZLEME</t>
        </is>
      </c>
      <c r="K231" s="6" t="inlineStr">
        <is>
          <t>KARACABEY</t>
        </is>
      </c>
      <c r="L231" s="7" t="n">
        <v>33000</v>
      </c>
      <c r="M231" s="4" t="inlineStr">
        <is>
          <t>FİDE KONSERVE</t>
        </is>
      </c>
      <c r="N231" s="4" t="inlineStr">
        <is>
          <t>ALIR</t>
        </is>
      </c>
      <c r="O231" s="19" t="n">
        <v>0</v>
      </c>
      <c r="P231" s="19" t="n">
        <v>0</v>
      </c>
      <c r="Q231" s="19" t="n">
        <v>0</v>
      </c>
      <c r="R231" s="9" t="n">
        <v>0</v>
      </c>
      <c r="S231" s="19" t="n">
        <v>0</v>
      </c>
      <c r="T231" s="19" t="n">
        <v>0</v>
      </c>
      <c r="U231" s="19" t="n">
        <v>0</v>
      </c>
      <c r="V231" s="19" t="n">
        <v>0</v>
      </c>
      <c r="W231" s="19" t="n">
        <v>0</v>
      </c>
      <c r="X231" s="19" t="n">
        <v>0</v>
      </c>
      <c r="Y231" s="9" t="n">
        <v>0</v>
      </c>
      <c r="Z231" s="19" t="n">
        <v>0</v>
      </c>
      <c r="AA231" s="19" t="n">
        <v>0</v>
      </c>
      <c r="AB231" s="19" t="n">
        <v>0</v>
      </c>
      <c r="AC231" s="19" t="n">
        <v>0</v>
      </c>
      <c r="AD231" s="19" t="n">
        <v>0</v>
      </c>
      <c r="AE231" s="19" t="n">
        <v>0</v>
      </c>
      <c r="AF231" s="9" t="n">
        <v>0</v>
      </c>
      <c r="AG231" s="19" t="n">
        <v>0</v>
      </c>
      <c r="AH231" s="19" t="n">
        <v>0</v>
      </c>
      <c r="AI231" s="19" t="n">
        <v>0</v>
      </c>
      <c r="AJ231" s="19" t="n">
        <v>0</v>
      </c>
      <c r="AK231" s="19" t="n">
        <v>0</v>
      </c>
      <c r="AL231" s="19" t="n">
        <v>0</v>
      </c>
      <c r="AM231" s="9" t="n">
        <v>0</v>
      </c>
      <c r="AN231" s="19" t="n">
        <v>0</v>
      </c>
      <c r="AO231" s="19" t="n">
        <v>0</v>
      </c>
      <c r="AP231" s="19" t="n">
        <v>0</v>
      </c>
      <c r="AQ231" s="19" t="n">
        <v>0</v>
      </c>
      <c r="AR231" s="19" t="n">
        <v>0</v>
      </c>
      <c r="AS231" s="19" t="n">
        <v>0</v>
      </c>
      <c r="AT231" s="10">
        <f>SUM(O231:AS231)</f>
        <v/>
      </c>
      <c r="AU231" s="20">
        <f>COUNTIF(O231:AS231, "&gt;0")</f>
        <v/>
      </c>
      <c r="AV231" s="12">
        <f>IF(AU231&gt;=5, 4, IF(AU231&gt;0, INT(AU231/6), 0))</f>
        <v/>
      </c>
      <c r="AW231" s="20" t="n">
        <v>0</v>
      </c>
      <c r="AX231" s="20" t="n">
        <v>0</v>
      </c>
      <c r="AY231" s="13">
        <f>MIN(31, AU231+AV231+AW231+AX231)</f>
        <v/>
      </c>
      <c r="AZ231" s="14">
        <f>31-AY231</f>
        <v/>
      </c>
      <c r="BA231" s="21">
        <f>IF(AX231&gt;0, "01-İstirahat", IF(AZ231&gt;0, "12-Birden Fazla", ""))</f>
        <v/>
      </c>
      <c r="BB231" s="10" t="n">
        <v>0</v>
      </c>
      <c r="BC231" s="19" t="n">
        <v>0</v>
      </c>
      <c r="BD231" s="9" t="n">
        <v>0</v>
      </c>
      <c r="BE231" s="22">
        <f>(L231/30)*AU231</f>
        <v/>
      </c>
      <c r="BF231" s="15">
        <f>(L231/225)*((BB231*1.5)-(BC231*1.0))</f>
        <v/>
      </c>
      <c r="BG231" s="16">
        <f>(L231/225)*1.5*BD231</f>
        <v/>
      </c>
      <c r="BH231" s="15">
        <f>BF231+BG231</f>
        <v/>
      </c>
      <c r="BI231" s="17">
        <f>BE231+BH231</f>
        <v/>
      </c>
      <c r="BJ231" s="22">
        <f>IFERROR(VLOOKUP(B231, Resmi_Bordro_SGK!B:M, 11, FALSE), 0)</f>
        <v/>
      </c>
      <c r="BK231" s="18">
        <f>IFERROR(VLOOKUP(B231, Icra_Takip!A:E, 4, FALSE), 0)</f>
        <v/>
      </c>
      <c r="BL231" s="17">
        <f>IF(BI231&gt;BJ231, BI231-BJ231-BK231, 0)</f>
        <v/>
      </c>
      <c r="BM231" s="17">
        <f>BI231-BK231</f>
        <v/>
      </c>
    </row>
    <row r="232" ht="19" customHeight="1">
      <c r="A232" s="4" t="n">
        <v>229</v>
      </c>
      <c r="B232" s="5" t="inlineStr">
        <is>
          <t>29749160806</t>
        </is>
      </c>
      <c r="C232" s="6" t="inlineStr">
        <is>
          <t>MAHİR HİLMİ ULUKÖK</t>
        </is>
      </c>
      <c r="D232" s="4" t="inlineStr">
        <is>
          <t>E</t>
        </is>
      </c>
      <c r="E232" s="4" t="inlineStr">
        <is>
          <t>01.08.2024</t>
        </is>
      </c>
      <c r="F232" s="4" t="inlineStr">
        <is>
          <t>22.04.2026</t>
        </is>
      </c>
      <c r="G232" s="4" t="inlineStr"/>
      <c r="H232" s="4" t="inlineStr">
        <is>
          <t>SGDP</t>
        </is>
      </c>
      <c r="I232" s="4" t="inlineStr">
        <is>
          <t>DAİMİ</t>
        </is>
      </c>
      <c r="J232" s="6" t="inlineStr">
        <is>
          <t>YENİ BALIK HATTI</t>
        </is>
      </c>
      <c r="K232" s="6" t="inlineStr">
        <is>
          <t>SUSURLUK</t>
        </is>
      </c>
      <c r="L232" s="7" t="n">
        <v>61000</v>
      </c>
      <c r="M232" s="4" t="inlineStr">
        <is>
          <t>FİDE KONSERVE</t>
        </is>
      </c>
      <c r="N232" s="4" t="inlineStr">
        <is>
          <t>ALIR</t>
        </is>
      </c>
      <c r="O232" s="8" t="n">
        <v>0</v>
      </c>
      <c r="P232" s="8" t="n">
        <v>8.5</v>
      </c>
      <c r="Q232" s="8" t="n">
        <v>11</v>
      </c>
      <c r="R232" s="9" t="n">
        <v>0</v>
      </c>
      <c r="S232" s="8" t="n">
        <v>10</v>
      </c>
      <c r="T232" s="8" t="n">
        <v>9.5</v>
      </c>
      <c r="U232" s="8" t="n">
        <v>7.5</v>
      </c>
      <c r="V232" s="8" t="n">
        <v>10.5</v>
      </c>
      <c r="W232" s="8" t="n">
        <v>10.5</v>
      </c>
      <c r="X232" s="8" t="n">
        <v>9.5</v>
      </c>
      <c r="Y232" s="9" t="n">
        <v>0</v>
      </c>
      <c r="Z232" s="8" t="n">
        <v>0</v>
      </c>
      <c r="AA232" s="8" t="n">
        <v>7.5</v>
      </c>
      <c r="AB232" s="8" t="n">
        <v>0</v>
      </c>
      <c r="AC232" s="8" t="n">
        <v>7.5</v>
      </c>
      <c r="AD232" s="8" t="n">
        <v>0</v>
      </c>
      <c r="AE232" s="8" t="n">
        <v>0</v>
      </c>
      <c r="AF232" s="9" t="n">
        <v>0</v>
      </c>
      <c r="AG232" s="8" t="n">
        <v>7.5</v>
      </c>
      <c r="AH232" s="8" t="n">
        <v>2</v>
      </c>
      <c r="AI232" s="8" t="n">
        <v>0</v>
      </c>
      <c r="AJ232" s="8" t="n">
        <v>0</v>
      </c>
      <c r="AK232" s="8" t="n">
        <v>0</v>
      </c>
      <c r="AL232" s="8" t="n">
        <v>0</v>
      </c>
      <c r="AM232" s="9" t="n">
        <v>0</v>
      </c>
      <c r="AN232" s="8" t="n">
        <v>0</v>
      </c>
      <c r="AO232" s="8" t="n">
        <v>0</v>
      </c>
      <c r="AP232" s="8" t="n">
        <v>0</v>
      </c>
      <c r="AQ232" s="8" t="n">
        <v>0</v>
      </c>
      <c r="AR232" s="8" t="n">
        <v>0</v>
      </c>
      <c r="AS232" s="8" t="n">
        <v>0</v>
      </c>
      <c r="AT232" s="10">
        <f>SUM(O232:AS232)</f>
        <v/>
      </c>
      <c r="AU232" s="11">
        <f>COUNTIF(O232:AS232, "&gt;0")</f>
        <v/>
      </c>
      <c r="AV232" s="12">
        <f>IF(AU232&gt;=5, 4, IF(AU232&gt;0, INT(AU232/6), 0))</f>
        <v/>
      </c>
      <c r="AW232" s="11" t="n">
        <v>0</v>
      </c>
      <c r="AX232" s="11" t="n">
        <v>0</v>
      </c>
      <c r="AY232" s="13">
        <f>MIN(31, AU232+AV232+AW232+AX232)</f>
        <v/>
      </c>
      <c r="AZ232" s="14">
        <f>31-AY232</f>
        <v/>
      </c>
      <c r="BA232" s="5">
        <f>IF(AX232&gt;0, "01-İstirahat", IF(AZ232&gt;0, "12-Birden Fazla", ""))</f>
        <v/>
      </c>
      <c r="BB232" s="10" t="n">
        <v>17</v>
      </c>
      <c r="BC232" s="23" t="n">
        <v>5.5</v>
      </c>
      <c r="BD232" s="9" t="n">
        <v>0</v>
      </c>
      <c r="BE232" s="7">
        <f>(L232/30)*AU232</f>
        <v/>
      </c>
      <c r="BF232" s="15">
        <f>(L232/225)*((BB232*1.5)-(BC232*1.0))</f>
        <v/>
      </c>
      <c r="BG232" s="16">
        <f>(L232/225)*1.5*BD232</f>
        <v/>
      </c>
      <c r="BH232" s="15">
        <f>BF232+BG232</f>
        <v/>
      </c>
      <c r="BI232" s="17">
        <f>BE232+BH232</f>
        <v/>
      </c>
      <c r="BJ232" s="7">
        <f>IFERROR(VLOOKUP(B232, Resmi_Bordro_SGK!B:M, 11, FALSE), 0)</f>
        <v/>
      </c>
      <c r="BK232" s="18">
        <f>IFERROR(VLOOKUP(B232, Icra_Takip!A:E, 4, FALSE), 0)</f>
        <v/>
      </c>
      <c r="BL232" s="17">
        <f>IF(BI232&gt;BJ232, BI232-BJ232-BK232, 0)</f>
        <v/>
      </c>
      <c r="BM232" s="17">
        <f>BI232-BK232</f>
        <v/>
      </c>
    </row>
    <row r="233" ht="19" customHeight="1">
      <c r="A233" s="4" t="n">
        <v>230</v>
      </c>
      <c r="B233" s="5" t="inlineStr">
        <is>
          <t>54871132810</t>
        </is>
      </c>
      <c r="C233" s="6" t="inlineStr">
        <is>
          <t>MAHİZER BAĞ</t>
        </is>
      </c>
      <c r="D233" s="4" t="inlineStr">
        <is>
          <t>K</t>
        </is>
      </c>
      <c r="E233" s="4" t="inlineStr"/>
      <c r="F233" s="4" t="inlineStr">
        <is>
          <t>10.02.2026</t>
        </is>
      </c>
      <c r="G233" s="4" t="inlineStr"/>
      <c r="H233" s="4" t="inlineStr">
        <is>
          <t>NORMAL</t>
        </is>
      </c>
      <c r="I233" s="4" t="inlineStr">
        <is>
          <t>MEVSİMLİK</t>
        </is>
      </c>
      <c r="J233" s="6" t="inlineStr">
        <is>
          <t>BALIK TEMİZLEME</t>
        </is>
      </c>
      <c r="K233" s="6" t="inlineStr">
        <is>
          <t>KARACABEY</t>
        </is>
      </c>
      <c r="L233" s="7" t="n">
        <v>33000</v>
      </c>
      <c r="M233" s="4" t="inlineStr">
        <is>
          <t>FİDE KONSERVE</t>
        </is>
      </c>
      <c r="N233" s="4" t="inlineStr">
        <is>
          <t>ALIR</t>
        </is>
      </c>
      <c r="O233" s="19" t="n">
        <v>8</v>
      </c>
      <c r="P233" s="19" t="n">
        <v>8.5</v>
      </c>
      <c r="Q233" s="19" t="n">
        <v>8</v>
      </c>
      <c r="R233" s="9" t="n">
        <v>0</v>
      </c>
      <c r="S233" s="19" t="n">
        <v>0</v>
      </c>
      <c r="T233" s="19" t="n">
        <v>0</v>
      </c>
      <c r="U233" s="19" t="n">
        <v>0</v>
      </c>
      <c r="V233" s="19" t="n">
        <v>0</v>
      </c>
      <c r="W233" s="19" t="n">
        <v>0</v>
      </c>
      <c r="X233" s="19" t="n">
        <v>0</v>
      </c>
      <c r="Y233" s="9" t="n">
        <v>0</v>
      </c>
      <c r="Z233" s="19" t="n">
        <v>0</v>
      </c>
      <c r="AA233" s="19" t="n">
        <v>0</v>
      </c>
      <c r="AB233" s="19" t="n">
        <v>0</v>
      </c>
      <c r="AC233" s="19" t="n">
        <v>0</v>
      </c>
      <c r="AD233" s="19" t="n">
        <v>0</v>
      </c>
      <c r="AE233" s="19" t="n">
        <v>0</v>
      </c>
      <c r="AF233" s="9" t="n">
        <v>0</v>
      </c>
      <c r="AG233" s="19" t="n">
        <v>0</v>
      </c>
      <c r="AH233" s="19" t="n">
        <v>0</v>
      </c>
      <c r="AI233" s="19" t="n">
        <v>0</v>
      </c>
      <c r="AJ233" s="19" t="n">
        <v>0</v>
      </c>
      <c r="AK233" s="19" t="n">
        <v>0</v>
      </c>
      <c r="AL233" s="19" t="n">
        <v>0</v>
      </c>
      <c r="AM233" s="9" t="n">
        <v>0</v>
      </c>
      <c r="AN233" s="19" t="n">
        <v>0</v>
      </c>
      <c r="AO233" s="19" t="n">
        <v>0</v>
      </c>
      <c r="AP233" s="19" t="n">
        <v>0</v>
      </c>
      <c r="AQ233" s="19" t="n">
        <v>0</v>
      </c>
      <c r="AR233" s="19" t="n">
        <v>0</v>
      </c>
      <c r="AS233" s="19" t="n">
        <v>0</v>
      </c>
      <c r="AT233" s="10">
        <f>SUM(O233:AS233)</f>
        <v/>
      </c>
      <c r="AU233" s="20">
        <f>COUNTIF(O233:AS233, "&gt;0")</f>
        <v/>
      </c>
      <c r="AV233" s="12">
        <f>IF(AU233&gt;=5, 4, IF(AU233&gt;0, INT(AU233/6), 0))</f>
        <v/>
      </c>
      <c r="AW233" s="20" t="n">
        <v>0</v>
      </c>
      <c r="AX233" s="20" t="n">
        <v>0</v>
      </c>
      <c r="AY233" s="13">
        <f>MIN(31, AU233+AV233+AW233+AX233)</f>
        <v/>
      </c>
      <c r="AZ233" s="14">
        <f>31-AY233</f>
        <v/>
      </c>
      <c r="BA233" s="21">
        <f>IF(AX233&gt;0, "01-İstirahat", IF(AZ233&gt;0, "12-Birden Fazla", ""))</f>
        <v/>
      </c>
      <c r="BB233" s="10" t="n">
        <v>2</v>
      </c>
      <c r="BC233" s="19" t="n">
        <v>0</v>
      </c>
      <c r="BD233" s="9" t="n">
        <v>0</v>
      </c>
      <c r="BE233" s="22">
        <f>(L233/30)*AU233</f>
        <v/>
      </c>
      <c r="BF233" s="15">
        <f>(L233/225)*((BB233*1.5)-(BC233*1.0))</f>
        <v/>
      </c>
      <c r="BG233" s="16">
        <f>(L233/225)*1.5*BD233</f>
        <v/>
      </c>
      <c r="BH233" s="15">
        <f>BF233+BG233</f>
        <v/>
      </c>
      <c r="BI233" s="17">
        <f>BE233+BH233</f>
        <v/>
      </c>
      <c r="BJ233" s="22">
        <f>IFERROR(VLOOKUP(B233, Resmi_Bordro_SGK!B:M, 11, FALSE), 0)</f>
        <v/>
      </c>
      <c r="BK233" s="18">
        <f>IFERROR(VLOOKUP(B233, Icra_Takip!A:E, 4, FALSE), 0)</f>
        <v/>
      </c>
      <c r="BL233" s="17">
        <f>IF(BI233&gt;BJ233, BI233-BJ233-BK233, 0)</f>
        <v/>
      </c>
      <c r="BM233" s="17">
        <f>BI233-BK233</f>
        <v/>
      </c>
    </row>
    <row r="234" ht="19" customHeight="1">
      <c r="A234" s="4" t="n">
        <v>231</v>
      </c>
      <c r="B234" s="5" t="inlineStr">
        <is>
          <t>20458603738</t>
        </is>
      </c>
      <c r="C234" s="6" t="inlineStr">
        <is>
          <t>MAHMURE ESEN</t>
        </is>
      </c>
      <c r="D234" s="4" t="inlineStr">
        <is>
          <t>K</t>
        </is>
      </c>
      <c r="E234" s="4" t="inlineStr"/>
      <c r="F234" s="4" t="inlineStr">
        <is>
          <t>03.11.2025</t>
        </is>
      </c>
      <c r="G234" s="4" t="inlineStr"/>
      <c r="H234" s="4" t="inlineStr">
        <is>
          <t>NORMAL</t>
        </is>
      </c>
      <c r="I234" s="4" t="inlineStr">
        <is>
          <t>MEVSİMLİK</t>
        </is>
      </c>
      <c r="J234" s="6" t="inlineStr">
        <is>
          <t>BALIK TEMİZLEME</t>
        </is>
      </c>
      <c r="K234" s="6" t="inlineStr">
        <is>
          <t>KARACABEY-HALİL</t>
        </is>
      </c>
      <c r="L234" s="7" t="n">
        <v>33000</v>
      </c>
      <c r="M234" s="4" t="inlineStr">
        <is>
          <t>FİDE KONSERVE</t>
        </is>
      </c>
      <c r="N234" s="4" t="inlineStr">
        <is>
          <t>ALIR</t>
        </is>
      </c>
      <c r="O234" s="8" t="n">
        <v>0</v>
      </c>
      <c r="P234" s="8" t="n">
        <v>0</v>
      </c>
      <c r="Q234" s="8" t="n">
        <v>0</v>
      </c>
      <c r="R234" s="9" t="n">
        <v>0</v>
      </c>
      <c r="S234" s="8" t="n">
        <v>7.5</v>
      </c>
      <c r="T234" s="23" t="n">
        <v>8</v>
      </c>
      <c r="U234" s="8" t="n">
        <v>8</v>
      </c>
      <c r="V234" s="8" t="n">
        <v>8</v>
      </c>
      <c r="W234" s="8" t="n">
        <v>8</v>
      </c>
      <c r="X234" s="8" t="n">
        <v>8.5</v>
      </c>
      <c r="Y234" s="9" t="n">
        <v>0</v>
      </c>
      <c r="Z234" s="8" t="n">
        <v>7.5</v>
      </c>
      <c r="AA234" s="8" t="n">
        <v>7.5</v>
      </c>
      <c r="AB234" s="8" t="n">
        <v>8.5</v>
      </c>
      <c r="AC234" s="23" t="n">
        <v>7.5</v>
      </c>
      <c r="AD234" s="8" t="n">
        <v>7.5</v>
      </c>
      <c r="AE234" s="8" t="n">
        <v>0</v>
      </c>
      <c r="AF234" s="9" t="n">
        <v>0</v>
      </c>
      <c r="AG234" s="8" t="n">
        <v>0</v>
      </c>
      <c r="AH234" s="8" t="n">
        <v>7.5</v>
      </c>
      <c r="AI234" s="8" t="n">
        <v>7.5</v>
      </c>
      <c r="AJ234" s="8" t="n">
        <v>0</v>
      </c>
      <c r="AK234" s="8" t="n">
        <v>0</v>
      </c>
      <c r="AL234" s="8" t="n">
        <v>0</v>
      </c>
      <c r="AM234" s="9" t="n">
        <v>0</v>
      </c>
      <c r="AN234" s="8" t="n">
        <v>0</v>
      </c>
      <c r="AO234" s="8" t="n">
        <v>0</v>
      </c>
      <c r="AP234" s="8" t="n">
        <v>0</v>
      </c>
      <c r="AQ234" s="8" t="n">
        <v>0</v>
      </c>
      <c r="AR234" s="8" t="n">
        <v>0</v>
      </c>
      <c r="AS234" s="8" t="n">
        <v>0</v>
      </c>
      <c r="AT234" s="10">
        <f>SUM(O234:AS234)</f>
        <v/>
      </c>
      <c r="AU234" s="11">
        <f>COUNTIF(O234:AS234, "&gt;0")</f>
        <v/>
      </c>
      <c r="AV234" s="12">
        <f>IF(AU234&gt;=5, 4, IF(AU234&gt;0, INT(AU234/6), 0))</f>
        <v/>
      </c>
      <c r="AW234" s="11" t="n">
        <v>0</v>
      </c>
      <c r="AX234" s="11" t="n">
        <v>0</v>
      </c>
      <c r="AY234" s="13">
        <f>MIN(31, AU234+AV234+AW234+AX234)</f>
        <v/>
      </c>
      <c r="AZ234" s="14">
        <f>31-AY234</f>
        <v/>
      </c>
      <c r="BA234" s="5">
        <f>IF(AX234&gt;0, "01-İstirahat", IF(AZ234&gt;0, "12-Birden Fazla", ""))</f>
        <v/>
      </c>
      <c r="BB234" s="10" t="n">
        <v>4</v>
      </c>
      <c r="BC234" s="8" t="n">
        <v>0</v>
      </c>
      <c r="BD234" s="9" t="n">
        <v>0</v>
      </c>
      <c r="BE234" s="7">
        <f>(L234/30)*AU234</f>
        <v/>
      </c>
      <c r="BF234" s="15">
        <f>(L234/225)*((BB234*1.5)-(BC234*1.0))</f>
        <v/>
      </c>
      <c r="BG234" s="16">
        <f>(L234/225)*1.5*BD234</f>
        <v/>
      </c>
      <c r="BH234" s="15">
        <f>BF234+BG234</f>
        <v/>
      </c>
      <c r="BI234" s="17">
        <f>BE234+BH234</f>
        <v/>
      </c>
      <c r="BJ234" s="7">
        <f>IFERROR(VLOOKUP(B234, Resmi_Bordro_SGK!B:M, 11, FALSE), 0)</f>
        <v/>
      </c>
      <c r="BK234" s="18">
        <f>IFERROR(VLOOKUP(B234, Icra_Takip!A:E, 4, FALSE), 0)</f>
        <v/>
      </c>
      <c r="BL234" s="17">
        <f>IF(BI234&gt;BJ234, BI234-BJ234-BK234, 0)</f>
        <v/>
      </c>
      <c r="BM234" s="17">
        <f>BI234-BK234</f>
        <v/>
      </c>
    </row>
    <row r="235" ht="19" customHeight="1">
      <c r="A235" s="4" t="n">
        <v>232</v>
      </c>
      <c r="B235" s="5" t="inlineStr">
        <is>
          <t>99959615564</t>
        </is>
      </c>
      <c r="C235" s="6" t="inlineStr">
        <is>
          <t>MAHMOUD ALZALEK</t>
        </is>
      </c>
      <c r="D235" s="4" t="inlineStr">
        <is>
          <t>E</t>
        </is>
      </c>
      <c r="E235" s="4" t="inlineStr"/>
      <c r="F235" s="4" t="inlineStr">
        <is>
          <t>18.04.2026</t>
        </is>
      </c>
      <c r="G235" s="4" t="inlineStr"/>
      <c r="H235" s="4" t="inlineStr">
        <is>
          <t>NORMAL</t>
        </is>
      </c>
      <c r="I235" s="4" t="inlineStr">
        <is>
          <t>DAİMİ</t>
        </is>
      </c>
      <c r="J235" s="6" t="inlineStr">
        <is>
          <t>ELEKTRİK</t>
        </is>
      </c>
      <c r="K235" s="6" t="inlineStr">
        <is>
          <t>SUSURLUK</t>
        </is>
      </c>
      <c r="L235" s="7" t="n">
        <v>28075.5</v>
      </c>
      <c r="M235" s="4" t="inlineStr">
        <is>
          <t>FİDE KONSERVE</t>
        </is>
      </c>
      <c r="N235" s="4" t="inlineStr">
        <is>
          <t>ALIR</t>
        </is>
      </c>
      <c r="O235" s="19" t="n">
        <v>10.5</v>
      </c>
      <c r="P235" s="19" t="n">
        <v>10.5</v>
      </c>
      <c r="Q235" s="19" t="n">
        <v>0</v>
      </c>
      <c r="R235" s="9" t="n">
        <v>10.5</v>
      </c>
      <c r="S235" s="19" t="n">
        <v>10.5</v>
      </c>
      <c r="T235" s="19" t="n">
        <v>10.5</v>
      </c>
      <c r="U235" s="19" t="n">
        <v>10.5</v>
      </c>
      <c r="V235" s="19" t="n">
        <v>10.5</v>
      </c>
      <c r="W235" s="19" t="n">
        <v>10.5</v>
      </c>
      <c r="X235" s="19" t="n">
        <v>10.5</v>
      </c>
      <c r="Y235" s="9" t="n">
        <v>10.5</v>
      </c>
      <c r="Z235" s="19" t="n">
        <v>10.5</v>
      </c>
      <c r="AA235" s="19" t="n">
        <v>10.5</v>
      </c>
      <c r="AB235" s="19" t="n">
        <v>10.5</v>
      </c>
      <c r="AC235" s="19" t="n">
        <v>10.5</v>
      </c>
      <c r="AD235" s="19" t="n">
        <v>10.5</v>
      </c>
      <c r="AE235" s="19" t="n">
        <v>10.5</v>
      </c>
      <c r="AF235" s="9" t="n">
        <v>10.5</v>
      </c>
      <c r="AG235" s="19" t="n">
        <v>10.5</v>
      </c>
      <c r="AH235" s="19" t="n">
        <v>10.5</v>
      </c>
      <c r="AI235" s="19" t="n">
        <v>0</v>
      </c>
      <c r="AJ235" s="19" t="n">
        <v>0</v>
      </c>
      <c r="AK235" s="19" t="n">
        <v>0</v>
      </c>
      <c r="AL235" s="19" t="n">
        <v>0</v>
      </c>
      <c r="AM235" s="9" t="n">
        <v>0</v>
      </c>
      <c r="AN235" s="19" t="n">
        <v>0</v>
      </c>
      <c r="AO235" s="19" t="n">
        <v>0</v>
      </c>
      <c r="AP235" s="19" t="n">
        <v>0</v>
      </c>
      <c r="AQ235" s="19" t="n">
        <v>0</v>
      </c>
      <c r="AR235" s="19" t="n">
        <v>0</v>
      </c>
      <c r="AS235" s="19" t="n">
        <v>0</v>
      </c>
      <c r="AT235" s="10">
        <f>SUM(O235:AS235)</f>
        <v/>
      </c>
      <c r="AU235" s="20">
        <f>COUNTIF(O235:AS235, "&gt;0")</f>
        <v/>
      </c>
      <c r="AV235" s="12">
        <f>IF(AU235&gt;=5, 4, IF(AU235&gt;0, INT(AU235/6), 0))</f>
        <v/>
      </c>
      <c r="AW235" s="20" t="n">
        <v>0</v>
      </c>
      <c r="AX235" s="20" t="n">
        <v>0</v>
      </c>
      <c r="AY235" s="13">
        <f>MIN(31, AU235+AV235+AW235+AX235)</f>
        <v/>
      </c>
      <c r="AZ235" s="14">
        <f>31-AY235</f>
        <v/>
      </c>
      <c r="BA235" s="21">
        <f>IF(AX235&gt;0, "01-İstirahat", IF(AZ235&gt;0, "12-Birden Fazla", ""))</f>
        <v/>
      </c>
      <c r="BB235" s="10" t="n">
        <v>48</v>
      </c>
      <c r="BC235" s="19" t="n">
        <v>0</v>
      </c>
      <c r="BD235" s="9" t="n">
        <v>31.5</v>
      </c>
      <c r="BE235" s="22">
        <f>(L235/30)*AU235</f>
        <v/>
      </c>
      <c r="BF235" s="15">
        <f>(L235/225)*((BB235*1.5)-(BC235*1.0))</f>
        <v/>
      </c>
      <c r="BG235" s="16">
        <f>(L235/225)*1.5*BD235</f>
        <v/>
      </c>
      <c r="BH235" s="15">
        <f>BF235+BG235</f>
        <v/>
      </c>
      <c r="BI235" s="17">
        <f>BE235+BH235</f>
        <v/>
      </c>
      <c r="BJ235" s="22">
        <f>IFERROR(VLOOKUP(B235, Resmi_Bordro_SGK!B:M, 11, FALSE), 0)</f>
        <v/>
      </c>
      <c r="BK235" s="18">
        <f>IFERROR(VLOOKUP(B235, Icra_Takip!A:E, 4, FALSE), 0)</f>
        <v/>
      </c>
      <c r="BL235" s="17">
        <f>IF(BI235&gt;BJ235, BI235-BJ235-BK235, 0)</f>
        <v/>
      </c>
      <c r="BM235" s="17">
        <f>BI235-BK235</f>
        <v/>
      </c>
    </row>
    <row r="236" ht="19" customHeight="1">
      <c r="A236" s="4" t="n">
        <v>233</v>
      </c>
      <c r="B236" s="5" t="inlineStr"/>
      <c r="C236" s="6" t="inlineStr">
        <is>
          <t>MAHSUN GİRGİN</t>
        </is>
      </c>
      <c r="D236" s="4" t="inlineStr"/>
      <c r="E236" s="4" t="inlineStr"/>
      <c r="F236" s="4" t="inlineStr"/>
      <c r="G236" s="4" t="inlineStr"/>
      <c r="H236" s="4" t="inlineStr">
        <is>
          <t>NORMAL</t>
        </is>
      </c>
      <c r="I236" s="4" t="inlineStr">
        <is>
          <t>MEVSİMLİK</t>
        </is>
      </c>
      <c r="J236" s="6" t="inlineStr"/>
      <c r="K236" s="6" t="inlineStr"/>
      <c r="L236" s="7" t="n">
        <v>28075.5</v>
      </c>
      <c r="M236" s="4" t="inlineStr">
        <is>
          <t>FİDE KONSERVE</t>
        </is>
      </c>
      <c r="N236" s="4" t="inlineStr">
        <is>
          <t>ALIR</t>
        </is>
      </c>
      <c r="O236" s="8" t="n">
        <v>0</v>
      </c>
      <c r="P236" s="8" t="n">
        <v>0</v>
      </c>
      <c r="Q236" s="8" t="n">
        <v>10.5</v>
      </c>
      <c r="R236" s="9" t="n">
        <v>7.5</v>
      </c>
      <c r="S236" s="8" t="n">
        <v>10.5</v>
      </c>
      <c r="T236" s="23" t="n">
        <v>15</v>
      </c>
      <c r="U236" s="8" t="n">
        <v>10.5</v>
      </c>
      <c r="V236" s="23" t="n">
        <v>21</v>
      </c>
      <c r="W236" s="8" t="n">
        <v>10.5</v>
      </c>
      <c r="X236" s="8" t="n">
        <v>10.5</v>
      </c>
      <c r="Y236" s="9" t="n">
        <v>10.5</v>
      </c>
      <c r="Z236" s="8" t="n">
        <v>10.5</v>
      </c>
      <c r="AA236" s="23" t="n">
        <v>21</v>
      </c>
      <c r="AB236" s="8" t="n">
        <v>10.5</v>
      </c>
      <c r="AC236" s="8" t="n">
        <v>10.5</v>
      </c>
      <c r="AD236" s="8" t="n">
        <v>0</v>
      </c>
      <c r="AE236" s="8" t="n">
        <v>10.5</v>
      </c>
      <c r="AF236" s="9" t="n">
        <v>8</v>
      </c>
      <c r="AG236" s="8" t="n">
        <v>0</v>
      </c>
      <c r="AH236" s="8" t="n">
        <v>12.5</v>
      </c>
      <c r="AI236" s="23" t="n">
        <v>7.5</v>
      </c>
      <c r="AJ236" s="8" t="n">
        <v>0</v>
      </c>
      <c r="AK236" s="8" t="n">
        <v>0</v>
      </c>
      <c r="AL236" s="8" t="n">
        <v>0</v>
      </c>
      <c r="AM236" s="9" t="n">
        <v>0</v>
      </c>
      <c r="AN236" s="8" t="n">
        <v>0</v>
      </c>
      <c r="AO236" s="8" t="n">
        <v>0</v>
      </c>
      <c r="AP236" s="8" t="n">
        <v>0</v>
      </c>
      <c r="AQ236" s="8" t="n">
        <v>0</v>
      </c>
      <c r="AR236" s="8" t="n">
        <v>0</v>
      </c>
      <c r="AS236" s="8" t="n">
        <v>0</v>
      </c>
      <c r="AT236" s="10">
        <f>SUM(O236:AS236)</f>
        <v/>
      </c>
      <c r="AU236" s="11">
        <f>COUNTIF(O236:AS236, "&gt;0")</f>
        <v/>
      </c>
      <c r="AV236" s="12">
        <f>IF(AU236&gt;=5, 4, IF(AU236&gt;0, INT(AU236/6), 0))</f>
        <v/>
      </c>
      <c r="AW236" s="11" t="n">
        <v>0</v>
      </c>
      <c r="AX236" s="11" t="n">
        <v>0</v>
      </c>
      <c r="AY236" s="13">
        <f>MIN(31, AU236+AV236+AW236+AX236)</f>
        <v/>
      </c>
      <c r="AZ236" s="14">
        <f>31-AY236</f>
        <v/>
      </c>
      <c r="BA236" s="5">
        <f>IF(AX236&gt;0, "01-İstirahat", IF(AZ236&gt;0, "12-Birden Fazla", ""))</f>
        <v/>
      </c>
      <c r="BB236" s="10" t="n">
        <v>66.5</v>
      </c>
      <c r="BC236" s="8" t="n">
        <v>0</v>
      </c>
      <c r="BD236" s="9" t="n">
        <v>26</v>
      </c>
      <c r="BE236" s="7">
        <f>(L236/30)*AU236</f>
        <v/>
      </c>
      <c r="BF236" s="15">
        <f>(L236/225)*((BB236*1.5)-(BC236*1.0))</f>
        <v/>
      </c>
      <c r="BG236" s="16">
        <f>(L236/225)*1.5*BD236</f>
        <v/>
      </c>
      <c r="BH236" s="15">
        <f>BF236+BG236</f>
        <v/>
      </c>
      <c r="BI236" s="17">
        <f>BE236+BH236</f>
        <v/>
      </c>
      <c r="BJ236" s="7">
        <f>IFERROR(VLOOKUP(B236, Resmi_Bordro_SGK!B:M, 11, FALSE), 0)</f>
        <v/>
      </c>
      <c r="BK236" s="18">
        <f>IFERROR(VLOOKUP(B236, Icra_Takip!A:E, 4, FALSE), 0)</f>
        <v/>
      </c>
      <c r="BL236" s="17">
        <f>IF(BI236&gt;BJ236, BI236-BJ236-BK236, 0)</f>
        <v/>
      </c>
      <c r="BM236" s="17">
        <f>BI236-BK236</f>
        <v/>
      </c>
    </row>
    <row r="237" ht="19" customHeight="1">
      <c r="A237" s="4" t="n">
        <v>234</v>
      </c>
      <c r="B237" s="5" t="inlineStr">
        <is>
          <t>35107733100</t>
        </is>
      </c>
      <c r="C237" s="6" t="inlineStr">
        <is>
          <t>MECİT NECATİ YAĞKAN</t>
        </is>
      </c>
      <c r="D237" s="4" t="inlineStr">
        <is>
          <t>E</t>
        </is>
      </c>
      <c r="E237" s="4" t="inlineStr"/>
      <c r="F237" s="4" t="inlineStr">
        <is>
          <t>07.03.2026</t>
        </is>
      </c>
      <c r="G237" s="4" t="inlineStr"/>
      <c r="H237" s="4" t="inlineStr">
        <is>
          <t>SGDP</t>
        </is>
      </c>
      <c r="I237" s="4" t="inlineStr">
        <is>
          <t>DAİMİ</t>
        </is>
      </c>
      <c r="J237" s="6" t="inlineStr">
        <is>
          <t>SATIN ALMA</t>
        </is>
      </c>
      <c r="K237" s="6" t="inlineStr">
        <is>
          <t>FABRİKA</t>
        </is>
      </c>
      <c r="L237" s="7" t="n">
        <v>55000</v>
      </c>
      <c r="M237" s="4" t="inlineStr">
        <is>
          <t>FİDE KONSERVE</t>
        </is>
      </c>
      <c r="N237" s="4" t="inlineStr">
        <is>
          <t>ALIR</t>
        </is>
      </c>
      <c r="O237" s="19" t="n">
        <v>0</v>
      </c>
      <c r="P237" s="19" t="n">
        <v>0</v>
      </c>
      <c r="Q237" s="19" t="n">
        <v>0</v>
      </c>
      <c r="R237" s="9" t="n">
        <v>0</v>
      </c>
      <c r="S237" s="19" t="n">
        <v>0</v>
      </c>
      <c r="T237" s="19" t="n">
        <v>0</v>
      </c>
      <c r="U237" s="19" t="n">
        <v>0</v>
      </c>
      <c r="V237" s="19" t="n">
        <v>0</v>
      </c>
      <c r="W237" s="19" t="n">
        <v>0</v>
      </c>
      <c r="X237" s="19" t="n">
        <v>0</v>
      </c>
      <c r="Y237" s="9" t="n">
        <v>0</v>
      </c>
      <c r="Z237" s="19" t="n">
        <v>0</v>
      </c>
      <c r="AA237" s="19" t="n">
        <v>0</v>
      </c>
      <c r="AB237" s="19" t="n">
        <v>0</v>
      </c>
      <c r="AC237" s="19" t="n">
        <v>0</v>
      </c>
      <c r="AD237" s="19" t="n">
        <v>0</v>
      </c>
      <c r="AE237" s="19" t="n">
        <v>0</v>
      </c>
      <c r="AF237" s="9" t="n">
        <v>0</v>
      </c>
      <c r="AG237" s="19" t="n">
        <v>0</v>
      </c>
      <c r="AH237" s="19" t="n">
        <v>0</v>
      </c>
      <c r="AI237" s="19" t="n">
        <v>0</v>
      </c>
      <c r="AJ237" s="19" t="n">
        <v>0</v>
      </c>
      <c r="AK237" s="19" t="n">
        <v>0</v>
      </c>
      <c r="AL237" s="19" t="n">
        <v>0</v>
      </c>
      <c r="AM237" s="9" t="n">
        <v>0</v>
      </c>
      <c r="AN237" s="19" t="n">
        <v>0</v>
      </c>
      <c r="AO237" s="19" t="n">
        <v>0</v>
      </c>
      <c r="AP237" s="19" t="n">
        <v>0</v>
      </c>
      <c r="AQ237" s="19" t="n">
        <v>0</v>
      </c>
      <c r="AR237" s="19" t="n">
        <v>0</v>
      </c>
      <c r="AS237" s="19" t="n">
        <v>0</v>
      </c>
      <c r="AT237" s="10">
        <f>SUM(O237:AS237)</f>
        <v/>
      </c>
      <c r="AU237" s="20">
        <f>COUNTIF(O237:AS237, "&gt;0")</f>
        <v/>
      </c>
      <c r="AV237" s="12">
        <f>IF(AU237&gt;=5, 4, IF(AU237&gt;0, INT(AU237/6), 0))</f>
        <v/>
      </c>
      <c r="AW237" s="20" t="n">
        <v>0</v>
      </c>
      <c r="AX237" s="20" t="n">
        <v>0</v>
      </c>
      <c r="AY237" s="13">
        <f>MIN(31, AU237+AV237+AW237+AX237)</f>
        <v/>
      </c>
      <c r="AZ237" s="14">
        <f>31-AY237</f>
        <v/>
      </c>
      <c r="BA237" s="21">
        <f>IF(AX237&gt;0, "01-İstirahat", IF(AZ237&gt;0, "12-Birden Fazla", ""))</f>
        <v/>
      </c>
      <c r="BB237" s="10" t="n">
        <v>0</v>
      </c>
      <c r="BC237" s="19" t="n">
        <v>0</v>
      </c>
      <c r="BD237" s="9" t="n">
        <v>0</v>
      </c>
      <c r="BE237" s="22">
        <f>(L237/30)*AU237</f>
        <v/>
      </c>
      <c r="BF237" s="15">
        <f>(L237/225)*((BB237*1.5)-(BC237*1.0))</f>
        <v/>
      </c>
      <c r="BG237" s="16">
        <f>(L237/225)*1.5*BD237</f>
        <v/>
      </c>
      <c r="BH237" s="15">
        <f>BF237+BG237</f>
        <v/>
      </c>
      <c r="BI237" s="17">
        <f>BE237+BH237</f>
        <v/>
      </c>
      <c r="BJ237" s="22">
        <f>IFERROR(VLOOKUP(B237, Resmi_Bordro_SGK!B:M, 11, FALSE), 0)</f>
        <v/>
      </c>
      <c r="BK237" s="18">
        <f>IFERROR(VLOOKUP(B237, Icra_Takip!A:E, 4, FALSE), 0)</f>
        <v/>
      </c>
      <c r="BL237" s="17">
        <f>IF(BI237&gt;BJ237, BI237-BJ237-BK237, 0)</f>
        <v/>
      </c>
      <c r="BM237" s="17">
        <f>BI237-BK237</f>
        <v/>
      </c>
    </row>
    <row r="238" ht="19" customHeight="1">
      <c r="A238" s="4" t="n">
        <v>235</v>
      </c>
      <c r="B238" s="5" t="inlineStr">
        <is>
          <t>17282847728</t>
        </is>
      </c>
      <c r="C238" s="6" t="inlineStr">
        <is>
          <t>MEHMET ALİ KÜÇÜK</t>
        </is>
      </c>
      <c r="D238" s="4" t="inlineStr">
        <is>
          <t>E</t>
        </is>
      </c>
      <c r="E238" s="4" t="inlineStr"/>
      <c r="F238" s="4" t="inlineStr">
        <is>
          <t>19.07.2026</t>
        </is>
      </c>
      <c r="G238" s="4" t="inlineStr"/>
      <c r="H238" s="4" t="inlineStr">
        <is>
          <t>NORMAL</t>
        </is>
      </c>
      <c r="I238" s="4" t="inlineStr">
        <is>
          <t>MEVSİMLİK</t>
        </is>
      </c>
      <c r="J238" s="6" t="inlineStr">
        <is>
          <t>ÜRETİM</t>
        </is>
      </c>
      <c r="K238" s="6" t="inlineStr">
        <is>
          <t>KARACABEY-HALİL</t>
        </is>
      </c>
      <c r="L238" s="7" t="n">
        <v>28075.5</v>
      </c>
      <c r="M238" s="4" t="inlineStr">
        <is>
          <t>FİDE KONSERVE</t>
        </is>
      </c>
      <c r="N238" s="4" t="inlineStr">
        <is>
          <t>ALIR</t>
        </is>
      </c>
      <c r="O238" s="8" t="n">
        <v>0</v>
      </c>
      <c r="P238" s="8" t="n">
        <v>0</v>
      </c>
      <c r="Q238" s="8" t="n">
        <v>0</v>
      </c>
      <c r="R238" s="9" t="n">
        <v>0</v>
      </c>
      <c r="S238" s="8" t="n">
        <v>0</v>
      </c>
      <c r="T238" s="8" t="n">
        <v>0</v>
      </c>
      <c r="U238" s="8" t="n">
        <v>0</v>
      </c>
      <c r="V238" s="8" t="n">
        <v>0</v>
      </c>
      <c r="W238" s="8" t="n">
        <v>0</v>
      </c>
      <c r="X238" s="8" t="n">
        <v>0</v>
      </c>
      <c r="Y238" s="9" t="n">
        <v>0</v>
      </c>
      <c r="Z238" s="8" t="n">
        <v>0</v>
      </c>
      <c r="AA238" s="8" t="n">
        <v>0</v>
      </c>
      <c r="AB238" s="8" t="n">
        <v>0</v>
      </c>
      <c r="AC238" s="8" t="n">
        <v>0</v>
      </c>
      <c r="AD238" s="8" t="n">
        <v>0</v>
      </c>
      <c r="AE238" s="8" t="n">
        <v>0</v>
      </c>
      <c r="AF238" s="9" t="n">
        <v>0</v>
      </c>
      <c r="AG238" s="8" t="n">
        <v>0</v>
      </c>
      <c r="AH238" s="8" t="n">
        <v>0</v>
      </c>
      <c r="AI238" s="8" t="n">
        <v>0</v>
      </c>
      <c r="AJ238" s="8" t="n">
        <v>0</v>
      </c>
      <c r="AK238" s="8" t="n">
        <v>0</v>
      </c>
      <c r="AL238" s="8" t="n">
        <v>0</v>
      </c>
      <c r="AM238" s="9" t="n">
        <v>0</v>
      </c>
      <c r="AN238" s="8" t="n">
        <v>0</v>
      </c>
      <c r="AO238" s="8" t="n">
        <v>0</v>
      </c>
      <c r="AP238" s="8" t="n">
        <v>0</v>
      </c>
      <c r="AQ238" s="8" t="n">
        <v>0</v>
      </c>
      <c r="AR238" s="8" t="n">
        <v>0</v>
      </c>
      <c r="AS238" s="8" t="n">
        <v>0</v>
      </c>
      <c r="AT238" s="10">
        <f>SUM(O238:AS238)</f>
        <v/>
      </c>
      <c r="AU238" s="11">
        <f>COUNTIF(O238:AS238, "&gt;0")</f>
        <v/>
      </c>
      <c r="AV238" s="12">
        <f>IF(AU238&gt;=5, 4, IF(AU238&gt;0, INT(AU238/6), 0))</f>
        <v/>
      </c>
      <c r="AW238" s="11" t="n">
        <v>0</v>
      </c>
      <c r="AX238" s="11" t="n">
        <v>0</v>
      </c>
      <c r="AY238" s="13">
        <f>MIN(31, AU238+AV238+AW238+AX238)</f>
        <v/>
      </c>
      <c r="AZ238" s="14">
        <f>31-AY238</f>
        <v/>
      </c>
      <c r="BA238" s="5">
        <f>IF(AX238&gt;0, "01-İstirahat", IF(AZ238&gt;0, "12-Birden Fazla", ""))</f>
        <v/>
      </c>
      <c r="BB238" s="10" t="n">
        <v>0</v>
      </c>
      <c r="BC238" s="8" t="n">
        <v>0</v>
      </c>
      <c r="BD238" s="9" t="n">
        <v>0</v>
      </c>
      <c r="BE238" s="7">
        <f>(L238/30)*AU238</f>
        <v/>
      </c>
      <c r="BF238" s="15">
        <f>(L238/225)*((BB238*1.5)-(BC238*1.0))</f>
        <v/>
      </c>
      <c r="BG238" s="16">
        <f>(L238/225)*1.5*BD238</f>
        <v/>
      </c>
      <c r="BH238" s="15">
        <f>BF238+BG238</f>
        <v/>
      </c>
      <c r="BI238" s="17">
        <f>BE238+BH238</f>
        <v/>
      </c>
      <c r="BJ238" s="7">
        <f>IFERROR(VLOOKUP(B238, Resmi_Bordro_SGK!B:M, 11, FALSE), 0)</f>
        <v/>
      </c>
      <c r="BK238" s="18">
        <f>IFERROR(VLOOKUP(B238, Icra_Takip!A:E, 4, FALSE), 0)</f>
        <v/>
      </c>
      <c r="BL238" s="17">
        <f>IF(BI238&gt;BJ238, BI238-BJ238-BK238, 0)</f>
        <v/>
      </c>
      <c r="BM238" s="17">
        <f>BI238-BK238</f>
        <v/>
      </c>
    </row>
    <row r="239" ht="19" customHeight="1">
      <c r="A239" s="4" t="n">
        <v>236</v>
      </c>
      <c r="B239" s="5" t="inlineStr">
        <is>
          <t>66928193194</t>
        </is>
      </c>
      <c r="C239" s="6" t="inlineStr">
        <is>
          <t>MEHMET DADAŞ</t>
        </is>
      </c>
      <c r="D239" s="4" t="inlineStr">
        <is>
          <t>E</t>
        </is>
      </c>
      <c r="E239" s="4" t="inlineStr"/>
      <c r="F239" s="4" t="inlineStr">
        <is>
          <t>27.07.2026</t>
        </is>
      </c>
      <c r="G239" s="4" t="inlineStr"/>
      <c r="H239" s="4" t="inlineStr">
        <is>
          <t>NORMAL</t>
        </is>
      </c>
      <c r="I239" s="4" t="inlineStr">
        <is>
          <t>MEVSİMLİK</t>
        </is>
      </c>
      <c r="J239" s="6" t="inlineStr">
        <is>
          <t>ÜRETİM</t>
        </is>
      </c>
      <c r="K239" s="6" t="inlineStr">
        <is>
          <t>KARACABEY-HALİL</t>
        </is>
      </c>
      <c r="L239" s="7" t="n">
        <v>28075.5</v>
      </c>
      <c r="M239" s="4" t="inlineStr">
        <is>
          <t>FİDE KONSERVE</t>
        </is>
      </c>
      <c r="N239" s="4" t="inlineStr">
        <is>
          <t>ALIR</t>
        </is>
      </c>
      <c r="O239" s="19" t="n">
        <v>0</v>
      </c>
      <c r="P239" s="19" t="n">
        <v>0</v>
      </c>
      <c r="Q239" s="19" t="n">
        <v>0</v>
      </c>
      <c r="R239" s="9" t="n">
        <v>0</v>
      </c>
      <c r="S239" s="19" t="n">
        <v>0</v>
      </c>
      <c r="T239" s="19" t="n">
        <v>0</v>
      </c>
      <c r="U239" s="19" t="n">
        <v>0</v>
      </c>
      <c r="V239" s="19" t="n">
        <v>0</v>
      </c>
      <c r="W239" s="19" t="n">
        <v>0</v>
      </c>
      <c r="X239" s="19" t="n">
        <v>0</v>
      </c>
      <c r="Y239" s="9" t="n">
        <v>0</v>
      </c>
      <c r="Z239" s="19" t="n">
        <v>0</v>
      </c>
      <c r="AA239" s="19" t="n">
        <v>0</v>
      </c>
      <c r="AB239" s="19" t="n">
        <v>0</v>
      </c>
      <c r="AC239" s="19" t="n">
        <v>0</v>
      </c>
      <c r="AD239" s="19" t="n">
        <v>0</v>
      </c>
      <c r="AE239" s="19" t="n">
        <v>0</v>
      </c>
      <c r="AF239" s="9" t="n">
        <v>0</v>
      </c>
      <c r="AG239" s="19" t="n">
        <v>0</v>
      </c>
      <c r="AH239" s="19" t="n">
        <v>0</v>
      </c>
      <c r="AI239" s="19" t="n">
        <v>0</v>
      </c>
      <c r="AJ239" s="19" t="n">
        <v>0</v>
      </c>
      <c r="AK239" s="19" t="n">
        <v>0</v>
      </c>
      <c r="AL239" s="19" t="n">
        <v>0</v>
      </c>
      <c r="AM239" s="9" t="n">
        <v>0</v>
      </c>
      <c r="AN239" s="19" t="n">
        <v>0</v>
      </c>
      <c r="AO239" s="19" t="n">
        <v>0</v>
      </c>
      <c r="AP239" s="19" t="n">
        <v>0</v>
      </c>
      <c r="AQ239" s="19" t="n">
        <v>0</v>
      </c>
      <c r="AR239" s="19" t="n">
        <v>0</v>
      </c>
      <c r="AS239" s="19" t="n">
        <v>0</v>
      </c>
      <c r="AT239" s="10">
        <f>SUM(O239:AS239)</f>
        <v/>
      </c>
      <c r="AU239" s="20">
        <f>COUNTIF(O239:AS239, "&gt;0")</f>
        <v/>
      </c>
      <c r="AV239" s="12">
        <f>IF(AU239&gt;=5, 4, IF(AU239&gt;0, INT(AU239/6), 0))</f>
        <v/>
      </c>
      <c r="AW239" s="20" t="n">
        <v>0</v>
      </c>
      <c r="AX239" s="20" t="n">
        <v>0</v>
      </c>
      <c r="AY239" s="13">
        <f>MIN(31, AU239+AV239+AW239+AX239)</f>
        <v/>
      </c>
      <c r="AZ239" s="14">
        <f>31-AY239</f>
        <v/>
      </c>
      <c r="BA239" s="21">
        <f>IF(AX239&gt;0, "01-İstirahat", IF(AZ239&gt;0, "12-Birden Fazla", ""))</f>
        <v/>
      </c>
      <c r="BB239" s="10" t="n">
        <v>0</v>
      </c>
      <c r="BC239" s="19" t="n">
        <v>0</v>
      </c>
      <c r="BD239" s="9" t="n">
        <v>0</v>
      </c>
      <c r="BE239" s="22">
        <f>(L239/30)*AU239</f>
        <v/>
      </c>
      <c r="BF239" s="15">
        <f>(L239/225)*((BB239*1.5)-(BC239*1.0))</f>
        <v/>
      </c>
      <c r="BG239" s="16">
        <f>(L239/225)*1.5*BD239</f>
        <v/>
      </c>
      <c r="BH239" s="15">
        <f>BF239+BG239</f>
        <v/>
      </c>
      <c r="BI239" s="17">
        <f>BE239+BH239</f>
        <v/>
      </c>
      <c r="BJ239" s="22">
        <f>IFERROR(VLOOKUP(B239, Resmi_Bordro_SGK!B:M, 11, FALSE), 0)</f>
        <v/>
      </c>
      <c r="BK239" s="18">
        <f>IFERROR(VLOOKUP(B239, Icra_Takip!A:E, 4, FALSE), 0)</f>
        <v/>
      </c>
      <c r="BL239" s="17">
        <f>IF(BI239&gt;BJ239, BI239-BJ239-BK239, 0)</f>
        <v/>
      </c>
      <c r="BM239" s="17">
        <f>BI239-BK239</f>
        <v/>
      </c>
    </row>
    <row r="240" ht="19" customHeight="1">
      <c r="A240" s="4" t="n">
        <v>237</v>
      </c>
      <c r="B240" s="5" t="inlineStr"/>
      <c r="C240" s="6" t="inlineStr">
        <is>
          <t>MEHMET DUMAN</t>
        </is>
      </c>
      <c r="D240" s="4" t="inlineStr"/>
      <c r="E240" s="4" t="inlineStr"/>
      <c r="F240" s="4" t="inlineStr"/>
      <c r="G240" s="4" t="inlineStr"/>
      <c r="H240" s="4" t="inlineStr">
        <is>
          <t>NORMAL</t>
        </is>
      </c>
      <c r="I240" s="4" t="inlineStr">
        <is>
          <t>MEVSİMLİK</t>
        </is>
      </c>
      <c r="J240" s="6" t="inlineStr"/>
      <c r="K240" s="6" t="inlineStr"/>
      <c r="L240" s="7" t="n">
        <v>28075.5</v>
      </c>
      <c r="M240" s="4" t="inlineStr">
        <is>
          <t>FİDE KONSERVE</t>
        </is>
      </c>
      <c r="N240" s="4" t="inlineStr">
        <is>
          <t>ALIR</t>
        </is>
      </c>
      <c r="O240" s="8" t="n">
        <v>0</v>
      </c>
      <c r="P240" s="8" t="n">
        <v>0</v>
      </c>
      <c r="Q240" s="8" t="n">
        <v>0</v>
      </c>
      <c r="R240" s="9" t="n">
        <v>0</v>
      </c>
      <c r="S240" s="8" t="n">
        <v>0</v>
      </c>
      <c r="T240" s="8" t="n">
        <v>0</v>
      </c>
      <c r="U240" s="8" t="n">
        <v>0</v>
      </c>
      <c r="V240" s="8" t="n">
        <v>0</v>
      </c>
      <c r="W240" s="8" t="n">
        <v>0</v>
      </c>
      <c r="X240" s="8" t="n">
        <v>0</v>
      </c>
      <c r="Y240" s="9" t="n">
        <v>0</v>
      </c>
      <c r="Z240" s="8" t="n">
        <v>0</v>
      </c>
      <c r="AA240" s="8" t="n">
        <v>0</v>
      </c>
      <c r="AB240" s="8" t="n">
        <v>0</v>
      </c>
      <c r="AC240" s="8" t="n">
        <v>0</v>
      </c>
      <c r="AD240" s="8" t="n">
        <v>0</v>
      </c>
      <c r="AE240" s="8" t="n">
        <v>0</v>
      </c>
      <c r="AF240" s="9" t="n">
        <v>0</v>
      </c>
      <c r="AG240" s="8" t="n">
        <v>0</v>
      </c>
      <c r="AH240" s="8" t="n">
        <v>0</v>
      </c>
      <c r="AI240" s="8" t="n">
        <v>0</v>
      </c>
      <c r="AJ240" s="8" t="n">
        <v>0</v>
      </c>
      <c r="AK240" s="8" t="n">
        <v>0</v>
      </c>
      <c r="AL240" s="8" t="n">
        <v>0</v>
      </c>
      <c r="AM240" s="9" t="n">
        <v>0</v>
      </c>
      <c r="AN240" s="8" t="n">
        <v>0</v>
      </c>
      <c r="AO240" s="8" t="n">
        <v>0</v>
      </c>
      <c r="AP240" s="8" t="n">
        <v>0</v>
      </c>
      <c r="AQ240" s="8" t="n">
        <v>0</v>
      </c>
      <c r="AR240" s="8" t="n">
        <v>0</v>
      </c>
      <c r="AS240" s="8" t="n">
        <v>0</v>
      </c>
      <c r="AT240" s="10">
        <f>SUM(O240:AS240)</f>
        <v/>
      </c>
      <c r="AU240" s="11">
        <f>COUNTIF(O240:AS240, "&gt;0")</f>
        <v/>
      </c>
      <c r="AV240" s="12">
        <f>IF(AU240&gt;=5, 4, IF(AU240&gt;0, INT(AU240/6), 0))</f>
        <v/>
      </c>
      <c r="AW240" s="11" t="n">
        <v>0</v>
      </c>
      <c r="AX240" s="11" t="n">
        <v>0</v>
      </c>
      <c r="AY240" s="13">
        <f>MIN(31, AU240+AV240+AW240+AX240)</f>
        <v/>
      </c>
      <c r="AZ240" s="14">
        <f>31-AY240</f>
        <v/>
      </c>
      <c r="BA240" s="5">
        <f>IF(AX240&gt;0, "01-İstirahat", IF(AZ240&gt;0, "12-Birden Fazla", ""))</f>
        <v/>
      </c>
      <c r="BB240" s="10" t="n">
        <v>0</v>
      </c>
      <c r="BC240" s="8" t="n">
        <v>0</v>
      </c>
      <c r="BD240" s="9" t="n">
        <v>0</v>
      </c>
      <c r="BE240" s="7">
        <f>(L240/30)*AU240</f>
        <v/>
      </c>
      <c r="BF240" s="15">
        <f>(L240/225)*((BB240*1.5)-(BC240*1.0))</f>
        <v/>
      </c>
      <c r="BG240" s="16">
        <f>(L240/225)*1.5*BD240</f>
        <v/>
      </c>
      <c r="BH240" s="15">
        <f>BF240+BG240</f>
        <v/>
      </c>
      <c r="BI240" s="17">
        <f>BE240+BH240</f>
        <v/>
      </c>
      <c r="BJ240" s="7">
        <f>IFERROR(VLOOKUP(B240, Resmi_Bordro_SGK!B:M, 11, FALSE), 0)</f>
        <v/>
      </c>
      <c r="BK240" s="18">
        <f>IFERROR(VLOOKUP(B240, Icra_Takip!A:E, 4, FALSE), 0)</f>
        <v/>
      </c>
      <c r="BL240" s="17">
        <f>IF(BI240&gt;BJ240, BI240-BJ240-BK240, 0)</f>
        <v/>
      </c>
      <c r="BM240" s="17">
        <f>BI240-BK240</f>
        <v/>
      </c>
    </row>
    <row r="241" ht="19" customHeight="1">
      <c r="A241" s="4" t="n">
        <v>238</v>
      </c>
      <c r="B241" s="5" t="inlineStr"/>
      <c r="C241" s="6" t="inlineStr">
        <is>
          <t>MEHMET EMİN BATUR</t>
        </is>
      </c>
      <c r="D241" s="4" t="inlineStr"/>
      <c r="E241" s="4" t="inlineStr"/>
      <c r="F241" s="4" t="inlineStr"/>
      <c r="G241" s="4" t="inlineStr"/>
      <c r="H241" s="4" t="inlineStr">
        <is>
          <t>NORMAL</t>
        </is>
      </c>
      <c r="I241" s="4" t="inlineStr">
        <is>
          <t>MEVSİMLİK</t>
        </is>
      </c>
      <c r="J241" s="6" t="inlineStr"/>
      <c r="K241" s="6" t="inlineStr"/>
      <c r="L241" s="7" t="n">
        <v>28075.5</v>
      </c>
      <c r="M241" s="4" t="inlineStr">
        <is>
          <t>FİDE KONSERVE</t>
        </is>
      </c>
      <c r="N241" s="4" t="inlineStr">
        <is>
          <t>ALIR</t>
        </is>
      </c>
      <c r="O241" s="19" t="n">
        <v>10.5</v>
      </c>
      <c r="P241" s="23" t="n">
        <v>10.5</v>
      </c>
      <c r="Q241" s="19" t="n">
        <v>10.5</v>
      </c>
      <c r="R241" s="9" t="n">
        <v>0</v>
      </c>
      <c r="S241" s="19" t="n">
        <v>10.5</v>
      </c>
      <c r="T241" s="19" t="n">
        <v>10.5</v>
      </c>
      <c r="U241" s="19" t="n">
        <v>0</v>
      </c>
      <c r="V241" s="19" t="n">
        <v>10.5</v>
      </c>
      <c r="W241" s="19" t="n">
        <v>10.5</v>
      </c>
      <c r="X241" s="19" t="n">
        <v>0</v>
      </c>
      <c r="Y241" s="9" t="n">
        <v>0</v>
      </c>
      <c r="Z241" s="19" t="n">
        <v>10.5</v>
      </c>
      <c r="AA241" s="19" t="n">
        <v>10.5</v>
      </c>
      <c r="AB241" s="19" t="n">
        <v>0</v>
      </c>
      <c r="AC241" s="19" t="n">
        <v>10.5</v>
      </c>
      <c r="AD241" s="19" t="n">
        <v>10.5</v>
      </c>
      <c r="AE241" s="19" t="n">
        <v>0</v>
      </c>
      <c r="AF241" s="9" t="n">
        <v>0</v>
      </c>
      <c r="AG241" s="19" t="n">
        <v>10.5</v>
      </c>
      <c r="AH241" s="19" t="n">
        <v>0</v>
      </c>
      <c r="AI241" s="19" t="n">
        <v>7.5</v>
      </c>
      <c r="AJ241" s="19" t="n">
        <v>0</v>
      </c>
      <c r="AK241" s="19" t="n">
        <v>0</v>
      </c>
      <c r="AL241" s="19" t="n">
        <v>0</v>
      </c>
      <c r="AM241" s="9" t="n">
        <v>0</v>
      </c>
      <c r="AN241" s="19" t="n">
        <v>0</v>
      </c>
      <c r="AO241" s="19" t="n">
        <v>0</v>
      </c>
      <c r="AP241" s="19" t="n">
        <v>0</v>
      </c>
      <c r="AQ241" s="19" t="n">
        <v>0</v>
      </c>
      <c r="AR241" s="19" t="n">
        <v>0</v>
      </c>
      <c r="AS241" s="19" t="n">
        <v>0</v>
      </c>
      <c r="AT241" s="10">
        <f>SUM(O241:AS241)</f>
        <v/>
      </c>
      <c r="AU241" s="20">
        <f>COUNTIF(O241:AS241, "&gt;0")</f>
        <v/>
      </c>
      <c r="AV241" s="12">
        <f>IF(AU241&gt;=5, 4, IF(AU241&gt;0, INT(AU241/6), 0))</f>
        <v/>
      </c>
      <c r="AW241" s="20" t="n">
        <v>0</v>
      </c>
      <c r="AX241" s="20" t="n">
        <v>0</v>
      </c>
      <c r="AY241" s="13">
        <f>MIN(31, AU241+AV241+AW241+AX241)</f>
        <v/>
      </c>
      <c r="AZ241" s="14">
        <f>31-AY241</f>
        <v/>
      </c>
      <c r="BA241" s="21">
        <f>IF(AX241&gt;0, "01-İstirahat", IF(AZ241&gt;0, "12-Birden Fazla", ""))</f>
        <v/>
      </c>
      <c r="BB241" s="10" t="n">
        <v>36</v>
      </c>
      <c r="BC241" s="19" t="n">
        <v>0</v>
      </c>
      <c r="BD241" s="9" t="n">
        <v>0</v>
      </c>
      <c r="BE241" s="22">
        <f>(L241/30)*AU241</f>
        <v/>
      </c>
      <c r="BF241" s="15">
        <f>(L241/225)*((BB241*1.5)-(BC241*1.0))</f>
        <v/>
      </c>
      <c r="BG241" s="16">
        <f>(L241/225)*1.5*BD241</f>
        <v/>
      </c>
      <c r="BH241" s="15">
        <f>BF241+BG241</f>
        <v/>
      </c>
      <c r="BI241" s="17">
        <f>BE241+BH241</f>
        <v/>
      </c>
      <c r="BJ241" s="22">
        <f>IFERROR(VLOOKUP(B241, Resmi_Bordro_SGK!B:M, 11, FALSE), 0)</f>
        <v/>
      </c>
      <c r="BK241" s="18">
        <f>IFERROR(VLOOKUP(B241, Icra_Takip!A:E, 4, FALSE), 0)</f>
        <v/>
      </c>
      <c r="BL241" s="17">
        <f>IF(BI241&gt;BJ241, BI241-BJ241-BK241, 0)</f>
        <v/>
      </c>
      <c r="BM241" s="17">
        <f>BI241-BK241</f>
        <v/>
      </c>
    </row>
    <row r="242" ht="19" customHeight="1">
      <c r="A242" s="4" t="n">
        <v>239</v>
      </c>
      <c r="B242" s="5" t="inlineStr">
        <is>
          <t>38263019484</t>
        </is>
      </c>
      <c r="C242" s="6" t="inlineStr">
        <is>
          <t>MEHMET İNAN</t>
        </is>
      </c>
      <c r="D242" s="4" t="inlineStr">
        <is>
          <t>E</t>
        </is>
      </c>
      <c r="E242" s="4" t="inlineStr"/>
      <c r="F242" s="4" t="inlineStr">
        <is>
          <t>10.08.2026</t>
        </is>
      </c>
      <c r="G242" s="4" t="inlineStr"/>
      <c r="H242" s="4" t="inlineStr">
        <is>
          <t>NORMAL</t>
        </is>
      </c>
      <c r="I242" s="4" t="inlineStr">
        <is>
          <t>MEVSİMLİK</t>
        </is>
      </c>
      <c r="J242" s="6" t="inlineStr">
        <is>
          <t>BALIK TEMİZLEME</t>
        </is>
      </c>
      <c r="K242" s="6" t="inlineStr">
        <is>
          <t>GÜVEN TURİZM-MKP</t>
        </is>
      </c>
      <c r="L242" s="7" t="n">
        <v>33000</v>
      </c>
      <c r="M242" s="4" t="inlineStr">
        <is>
          <t>FİDE KONSERVE</t>
        </is>
      </c>
      <c r="N242" s="4" t="inlineStr">
        <is>
          <t>ALIR</t>
        </is>
      </c>
      <c r="O242" s="8" t="n">
        <v>0</v>
      </c>
      <c r="P242" s="8" t="n">
        <v>0</v>
      </c>
      <c r="Q242" s="8" t="n">
        <v>0</v>
      </c>
      <c r="R242" s="9" t="n">
        <v>0</v>
      </c>
      <c r="S242" s="8" t="n">
        <v>0</v>
      </c>
      <c r="T242" s="8" t="n">
        <v>0</v>
      </c>
      <c r="U242" s="8" t="n">
        <v>0</v>
      </c>
      <c r="V242" s="8" t="n">
        <v>0</v>
      </c>
      <c r="W242" s="8" t="n">
        <v>0</v>
      </c>
      <c r="X242" s="8" t="n">
        <v>0</v>
      </c>
      <c r="Y242" s="9" t="n">
        <v>0</v>
      </c>
      <c r="Z242" s="8" t="n">
        <v>0</v>
      </c>
      <c r="AA242" s="8" t="n">
        <v>0</v>
      </c>
      <c r="AB242" s="8" t="n">
        <v>0</v>
      </c>
      <c r="AC242" s="8" t="n">
        <v>0</v>
      </c>
      <c r="AD242" s="8" t="n">
        <v>0</v>
      </c>
      <c r="AE242" s="8" t="n">
        <v>0</v>
      </c>
      <c r="AF242" s="9" t="n">
        <v>0</v>
      </c>
      <c r="AG242" s="8" t="n">
        <v>0</v>
      </c>
      <c r="AH242" s="8" t="n">
        <v>0</v>
      </c>
      <c r="AI242" s="8" t="n">
        <v>0</v>
      </c>
      <c r="AJ242" s="8" t="n">
        <v>0</v>
      </c>
      <c r="AK242" s="8" t="n">
        <v>0</v>
      </c>
      <c r="AL242" s="8" t="n">
        <v>0</v>
      </c>
      <c r="AM242" s="9" t="n">
        <v>0</v>
      </c>
      <c r="AN242" s="8" t="n">
        <v>0</v>
      </c>
      <c r="AO242" s="8" t="n">
        <v>0</v>
      </c>
      <c r="AP242" s="8" t="n">
        <v>0</v>
      </c>
      <c r="AQ242" s="8" t="n">
        <v>0</v>
      </c>
      <c r="AR242" s="8" t="n">
        <v>0</v>
      </c>
      <c r="AS242" s="8" t="n">
        <v>0</v>
      </c>
      <c r="AT242" s="10">
        <f>SUM(O242:AS242)</f>
        <v/>
      </c>
      <c r="AU242" s="11">
        <f>COUNTIF(O242:AS242, "&gt;0")</f>
        <v/>
      </c>
      <c r="AV242" s="12">
        <f>IF(AU242&gt;=5, 4, IF(AU242&gt;0, INT(AU242/6), 0))</f>
        <v/>
      </c>
      <c r="AW242" s="11" t="n">
        <v>0</v>
      </c>
      <c r="AX242" s="11" t="n">
        <v>0</v>
      </c>
      <c r="AY242" s="13">
        <f>MIN(31, AU242+AV242+AW242+AX242)</f>
        <v/>
      </c>
      <c r="AZ242" s="14">
        <f>31-AY242</f>
        <v/>
      </c>
      <c r="BA242" s="5">
        <f>IF(AX242&gt;0, "01-İstirahat", IF(AZ242&gt;0, "12-Birden Fazla", ""))</f>
        <v/>
      </c>
      <c r="BB242" s="10" t="n">
        <v>0</v>
      </c>
      <c r="BC242" s="8" t="n">
        <v>0</v>
      </c>
      <c r="BD242" s="9" t="n">
        <v>0</v>
      </c>
      <c r="BE242" s="7">
        <f>(L242/30)*AU242</f>
        <v/>
      </c>
      <c r="BF242" s="15">
        <f>(L242/225)*((BB242*1.5)-(BC242*1.0))</f>
        <v/>
      </c>
      <c r="BG242" s="16">
        <f>(L242/225)*1.5*BD242</f>
        <v/>
      </c>
      <c r="BH242" s="15">
        <f>BF242+BG242</f>
        <v/>
      </c>
      <c r="BI242" s="17">
        <f>BE242+BH242</f>
        <v/>
      </c>
      <c r="BJ242" s="7">
        <f>IFERROR(VLOOKUP(B242, Resmi_Bordro_SGK!B:M, 11, FALSE), 0)</f>
        <v/>
      </c>
      <c r="BK242" s="18">
        <f>IFERROR(VLOOKUP(B242, Icra_Takip!A:E, 4, FALSE), 0)</f>
        <v/>
      </c>
      <c r="BL242" s="17">
        <f>IF(BI242&gt;BJ242, BI242-BJ242-BK242, 0)</f>
        <v/>
      </c>
      <c r="BM242" s="17">
        <f>BI242-BK242</f>
        <v/>
      </c>
    </row>
    <row r="243" ht="19" customHeight="1">
      <c r="A243" s="4" t="n">
        <v>240</v>
      </c>
      <c r="B243" s="5" t="inlineStr">
        <is>
          <t>13876724772</t>
        </is>
      </c>
      <c r="C243" s="6" t="inlineStr">
        <is>
          <t>MEHMET KARTAL</t>
        </is>
      </c>
      <c r="D243" s="4" t="inlineStr">
        <is>
          <t>E</t>
        </is>
      </c>
      <c r="E243" s="4" t="inlineStr">
        <is>
          <t>07.10.2025</t>
        </is>
      </c>
      <c r="F243" s="4" t="inlineStr">
        <is>
          <t>08.10.2025</t>
        </is>
      </c>
      <c r="G243" s="4" t="inlineStr"/>
      <c r="H243" s="4" t="inlineStr">
        <is>
          <t>SGDP</t>
        </is>
      </c>
      <c r="I243" s="4" t="inlineStr">
        <is>
          <t>DAİMİ</t>
        </is>
      </c>
      <c r="J243" s="6" t="inlineStr">
        <is>
          <t>AMBAR</t>
        </is>
      </c>
      <c r="K243" s="6" t="inlineStr">
        <is>
          <t>SUSURLUK</t>
        </is>
      </c>
      <c r="L243" s="7" t="n">
        <v>30185</v>
      </c>
      <c r="M243" s="4" t="inlineStr">
        <is>
          <t>FİDE KONSERVE</t>
        </is>
      </c>
      <c r="N243" s="4" t="inlineStr">
        <is>
          <t>ALIR</t>
        </is>
      </c>
      <c r="O243" s="19" t="n">
        <v>0</v>
      </c>
      <c r="P243" s="19" t="n">
        <v>10.5</v>
      </c>
      <c r="Q243" s="19" t="n">
        <v>7.5</v>
      </c>
      <c r="R243" s="9" t="n">
        <v>0</v>
      </c>
      <c r="S243" s="19" t="n">
        <v>7.5</v>
      </c>
      <c r="T243" s="19" t="n">
        <v>7.5</v>
      </c>
      <c r="U243" s="19" t="n">
        <v>8.5</v>
      </c>
      <c r="V243" s="23" t="n">
        <v>7.5</v>
      </c>
      <c r="W243" s="19" t="n">
        <v>9.5</v>
      </c>
      <c r="X243" s="19" t="n">
        <v>7.5</v>
      </c>
      <c r="Y243" s="9" t="n">
        <v>7.5</v>
      </c>
      <c r="Z243" s="19" t="n">
        <v>10.5</v>
      </c>
      <c r="AA243" s="19" t="n">
        <v>7.5</v>
      </c>
      <c r="AB243" s="19" t="n">
        <v>7.5</v>
      </c>
      <c r="AC243" s="19" t="n">
        <v>7.5</v>
      </c>
      <c r="AD243" s="19" t="n">
        <v>10.5</v>
      </c>
      <c r="AE243" s="19" t="n">
        <v>7.5</v>
      </c>
      <c r="AF243" s="9" t="n">
        <v>7.5</v>
      </c>
      <c r="AG243" s="19" t="n">
        <v>7.5</v>
      </c>
      <c r="AH243" s="19" t="n">
        <v>13</v>
      </c>
      <c r="AI243" s="23" t="n">
        <v>7.5</v>
      </c>
      <c r="AJ243" s="19" t="n">
        <v>0</v>
      </c>
      <c r="AK243" s="19" t="n">
        <v>0</v>
      </c>
      <c r="AL243" s="19" t="n">
        <v>0</v>
      </c>
      <c r="AM243" s="9" t="n">
        <v>0</v>
      </c>
      <c r="AN243" s="19" t="n">
        <v>0</v>
      </c>
      <c r="AO243" s="19" t="n">
        <v>0</v>
      </c>
      <c r="AP243" s="19" t="n">
        <v>0</v>
      </c>
      <c r="AQ243" s="19" t="n">
        <v>0</v>
      </c>
      <c r="AR243" s="19" t="n">
        <v>0</v>
      </c>
      <c r="AS243" s="19" t="n">
        <v>0</v>
      </c>
      <c r="AT243" s="10">
        <f>SUM(O243:AS243)</f>
        <v/>
      </c>
      <c r="AU243" s="20">
        <f>COUNTIF(O243:AS243, "&gt;0")</f>
        <v/>
      </c>
      <c r="AV243" s="12">
        <f>IF(AU243&gt;=5, 4, IF(AU243&gt;0, INT(AU243/6), 0))</f>
        <v/>
      </c>
      <c r="AW243" s="20" t="n">
        <v>0</v>
      </c>
      <c r="AX243" s="20" t="n">
        <v>0</v>
      </c>
      <c r="AY243" s="13">
        <f>MIN(31, AU243+AV243+AW243+AX243)</f>
        <v/>
      </c>
      <c r="AZ243" s="14">
        <f>31-AY243</f>
        <v/>
      </c>
      <c r="BA243" s="21">
        <f>IF(AX243&gt;0, "01-İstirahat", IF(AZ243&gt;0, "12-Birden Fazla", ""))</f>
        <v/>
      </c>
      <c r="BB243" s="10" t="n">
        <v>17.5</v>
      </c>
      <c r="BC243" s="19" t="n">
        <v>0</v>
      </c>
      <c r="BD243" s="9" t="n">
        <v>15</v>
      </c>
      <c r="BE243" s="22">
        <f>(L243/30)*AU243</f>
        <v/>
      </c>
      <c r="BF243" s="15">
        <f>(L243/225)*((BB243*1.5)-(BC243*1.0))</f>
        <v/>
      </c>
      <c r="BG243" s="16">
        <f>(L243/225)*1.5*BD243</f>
        <v/>
      </c>
      <c r="BH243" s="15">
        <f>BF243+BG243</f>
        <v/>
      </c>
      <c r="BI243" s="17">
        <f>BE243+BH243</f>
        <v/>
      </c>
      <c r="BJ243" s="22">
        <f>IFERROR(VLOOKUP(B243, Resmi_Bordro_SGK!B:M, 11, FALSE), 0)</f>
        <v/>
      </c>
      <c r="BK243" s="18">
        <f>IFERROR(VLOOKUP(B243, Icra_Takip!A:E, 4, FALSE), 0)</f>
        <v/>
      </c>
      <c r="BL243" s="17">
        <f>IF(BI243&gt;BJ243, BI243-BJ243-BK243, 0)</f>
        <v/>
      </c>
      <c r="BM243" s="17">
        <f>BI243-BK243</f>
        <v/>
      </c>
    </row>
    <row r="244" ht="19" customHeight="1">
      <c r="A244" s="4" t="n">
        <v>241</v>
      </c>
      <c r="B244" s="5" t="inlineStr">
        <is>
          <t>49396772658</t>
        </is>
      </c>
      <c r="C244" s="6" t="inlineStr">
        <is>
          <t>MEHMET SOLAK</t>
        </is>
      </c>
      <c r="D244" s="4" t="inlineStr">
        <is>
          <t>E</t>
        </is>
      </c>
      <c r="E244" s="4" t="inlineStr"/>
      <c r="F244" s="4" t="inlineStr">
        <is>
          <t>12.08.2026</t>
        </is>
      </c>
      <c r="G244" s="4" t="inlineStr"/>
      <c r="H244" s="4" t="inlineStr">
        <is>
          <t>NORMAL</t>
        </is>
      </c>
      <c r="I244" s="4" t="inlineStr">
        <is>
          <t>MEVSİMLİK</t>
        </is>
      </c>
      <c r="J244" s="6" t="inlineStr">
        <is>
          <t>ÜRETİM</t>
        </is>
      </c>
      <c r="K244" s="6" t="inlineStr">
        <is>
          <t>KARACABEY-HALİL</t>
        </is>
      </c>
      <c r="L244" s="7" t="n">
        <v>28075.5</v>
      </c>
      <c r="M244" s="4" t="inlineStr">
        <is>
          <t>FİDE KONSERVE</t>
        </is>
      </c>
      <c r="N244" s="4" t="inlineStr">
        <is>
          <t>ALIR</t>
        </is>
      </c>
      <c r="O244" s="8" t="n">
        <v>0</v>
      </c>
      <c r="P244" s="8" t="n">
        <v>0</v>
      </c>
      <c r="Q244" s="8" t="n">
        <v>0</v>
      </c>
      <c r="R244" s="9" t="n">
        <v>0</v>
      </c>
      <c r="S244" s="8" t="n">
        <v>0</v>
      </c>
      <c r="T244" s="8" t="n">
        <v>0</v>
      </c>
      <c r="U244" s="8" t="n">
        <v>0</v>
      </c>
      <c r="V244" s="8" t="n">
        <v>0</v>
      </c>
      <c r="W244" s="8" t="n">
        <v>0</v>
      </c>
      <c r="X244" s="8" t="n">
        <v>0</v>
      </c>
      <c r="Y244" s="9" t="n">
        <v>0</v>
      </c>
      <c r="Z244" s="8" t="n">
        <v>0</v>
      </c>
      <c r="AA244" s="8" t="n">
        <v>0</v>
      </c>
      <c r="AB244" s="8" t="n">
        <v>0</v>
      </c>
      <c r="AC244" s="8" t="n">
        <v>0</v>
      </c>
      <c r="AD244" s="8" t="n">
        <v>0</v>
      </c>
      <c r="AE244" s="8" t="n">
        <v>0</v>
      </c>
      <c r="AF244" s="9" t="n">
        <v>0</v>
      </c>
      <c r="AG244" s="8" t="n">
        <v>0</v>
      </c>
      <c r="AH244" s="8" t="n">
        <v>0</v>
      </c>
      <c r="AI244" s="8" t="n">
        <v>0</v>
      </c>
      <c r="AJ244" s="8" t="n">
        <v>0</v>
      </c>
      <c r="AK244" s="8" t="n">
        <v>0</v>
      </c>
      <c r="AL244" s="8" t="n">
        <v>0</v>
      </c>
      <c r="AM244" s="9" t="n">
        <v>0</v>
      </c>
      <c r="AN244" s="8" t="n">
        <v>0</v>
      </c>
      <c r="AO244" s="8" t="n">
        <v>0</v>
      </c>
      <c r="AP244" s="8" t="n">
        <v>0</v>
      </c>
      <c r="AQ244" s="8" t="n">
        <v>0</v>
      </c>
      <c r="AR244" s="8" t="n">
        <v>0</v>
      </c>
      <c r="AS244" s="8" t="n">
        <v>0</v>
      </c>
      <c r="AT244" s="10">
        <f>SUM(O244:AS244)</f>
        <v/>
      </c>
      <c r="AU244" s="11">
        <f>COUNTIF(O244:AS244, "&gt;0")</f>
        <v/>
      </c>
      <c r="AV244" s="12">
        <f>IF(AU244&gt;=5, 4, IF(AU244&gt;0, INT(AU244/6), 0))</f>
        <v/>
      </c>
      <c r="AW244" s="11" t="n">
        <v>0</v>
      </c>
      <c r="AX244" s="11" t="n">
        <v>0</v>
      </c>
      <c r="AY244" s="13">
        <f>MIN(31, AU244+AV244+AW244+AX244)</f>
        <v/>
      </c>
      <c r="AZ244" s="14">
        <f>31-AY244</f>
        <v/>
      </c>
      <c r="BA244" s="5">
        <f>IF(AX244&gt;0, "01-İstirahat", IF(AZ244&gt;0, "12-Birden Fazla", ""))</f>
        <v/>
      </c>
      <c r="BB244" s="10" t="n">
        <v>0</v>
      </c>
      <c r="BC244" s="8" t="n">
        <v>0</v>
      </c>
      <c r="BD244" s="9" t="n">
        <v>0</v>
      </c>
      <c r="BE244" s="7">
        <f>(L244/30)*AU244</f>
        <v/>
      </c>
      <c r="BF244" s="15">
        <f>(L244/225)*((BB244*1.5)-(BC244*1.0))</f>
        <v/>
      </c>
      <c r="BG244" s="16">
        <f>(L244/225)*1.5*BD244</f>
        <v/>
      </c>
      <c r="BH244" s="15">
        <f>BF244+BG244</f>
        <v/>
      </c>
      <c r="BI244" s="17">
        <f>BE244+BH244</f>
        <v/>
      </c>
      <c r="BJ244" s="7">
        <f>IFERROR(VLOOKUP(B244, Resmi_Bordro_SGK!B:M, 11, FALSE), 0)</f>
        <v/>
      </c>
      <c r="BK244" s="18">
        <f>IFERROR(VLOOKUP(B244, Icra_Takip!A:E, 4, FALSE), 0)</f>
        <v/>
      </c>
      <c r="BL244" s="17">
        <f>IF(BI244&gt;BJ244, BI244-BJ244-BK244, 0)</f>
        <v/>
      </c>
      <c r="BM244" s="17">
        <f>BI244-BK244</f>
        <v/>
      </c>
    </row>
    <row r="245" ht="19" customHeight="1">
      <c r="A245" s="4" t="n">
        <v>242</v>
      </c>
      <c r="B245" s="5" t="inlineStr">
        <is>
          <t>23401812584</t>
        </is>
      </c>
      <c r="C245" s="6" t="inlineStr">
        <is>
          <t>MEHTAP BULUT</t>
        </is>
      </c>
      <c r="D245" s="4" t="inlineStr">
        <is>
          <t>K</t>
        </is>
      </c>
      <c r="E245" s="4" t="inlineStr"/>
      <c r="F245" s="4" t="inlineStr">
        <is>
          <t>20.07.2026</t>
        </is>
      </c>
      <c r="G245" s="4" t="inlineStr"/>
      <c r="H245" s="4" t="inlineStr">
        <is>
          <t>NORMAL</t>
        </is>
      </c>
      <c r="I245" s="4" t="inlineStr">
        <is>
          <t>MEVSİMLİK</t>
        </is>
      </c>
      <c r="J245" s="6" t="inlineStr">
        <is>
          <t>BALIK TEMİZLEME</t>
        </is>
      </c>
      <c r="K245" s="6" t="inlineStr">
        <is>
          <t>GÜVEN TURİZM-MKP</t>
        </is>
      </c>
      <c r="L245" s="7" t="n">
        <v>33000</v>
      </c>
      <c r="M245" s="4" t="inlineStr">
        <is>
          <t>FİDE KONSERVE</t>
        </is>
      </c>
      <c r="N245" s="4" t="inlineStr">
        <is>
          <t>ALIR</t>
        </is>
      </c>
      <c r="O245" s="19" t="n">
        <v>0</v>
      </c>
      <c r="P245" s="19" t="n">
        <v>0</v>
      </c>
      <c r="Q245" s="19" t="n">
        <v>0</v>
      </c>
      <c r="R245" s="9" t="n">
        <v>0</v>
      </c>
      <c r="S245" s="19" t="n">
        <v>0</v>
      </c>
      <c r="T245" s="19" t="n">
        <v>0</v>
      </c>
      <c r="U245" s="19" t="n">
        <v>0</v>
      </c>
      <c r="V245" s="19" t="n">
        <v>0</v>
      </c>
      <c r="W245" s="19" t="n">
        <v>0</v>
      </c>
      <c r="X245" s="19" t="n">
        <v>0</v>
      </c>
      <c r="Y245" s="9" t="n">
        <v>0</v>
      </c>
      <c r="Z245" s="19" t="n">
        <v>0</v>
      </c>
      <c r="AA245" s="19" t="n">
        <v>0</v>
      </c>
      <c r="AB245" s="19" t="n">
        <v>0</v>
      </c>
      <c r="AC245" s="19" t="n">
        <v>0</v>
      </c>
      <c r="AD245" s="19" t="n">
        <v>0</v>
      </c>
      <c r="AE245" s="19" t="n">
        <v>0</v>
      </c>
      <c r="AF245" s="9" t="n">
        <v>0</v>
      </c>
      <c r="AG245" s="19" t="n">
        <v>0</v>
      </c>
      <c r="AH245" s="19" t="n">
        <v>0</v>
      </c>
      <c r="AI245" s="19" t="n">
        <v>0</v>
      </c>
      <c r="AJ245" s="19" t="n">
        <v>0</v>
      </c>
      <c r="AK245" s="19" t="n">
        <v>0</v>
      </c>
      <c r="AL245" s="19" t="n">
        <v>0</v>
      </c>
      <c r="AM245" s="9" t="n">
        <v>0</v>
      </c>
      <c r="AN245" s="19" t="n">
        <v>0</v>
      </c>
      <c r="AO245" s="19" t="n">
        <v>0</v>
      </c>
      <c r="AP245" s="19" t="n">
        <v>0</v>
      </c>
      <c r="AQ245" s="19" t="n">
        <v>0</v>
      </c>
      <c r="AR245" s="19" t="n">
        <v>0</v>
      </c>
      <c r="AS245" s="19" t="n">
        <v>0</v>
      </c>
      <c r="AT245" s="10">
        <f>SUM(O245:AS245)</f>
        <v/>
      </c>
      <c r="AU245" s="20">
        <f>COUNTIF(O245:AS245, "&gt;0")</f>
        <v/>
      </c>
      <c r="AV245" s="12">
        <f>IF(AU245&gt;=5, 4, IF(AU245&gt;0, INT(AU245/6), 0))</f>
        <v/>
      </c>
      <c r="AW245" s="20" t="n">
        <v>0</v>
      </c>
      <c r="AX245" s="20" t="n">
        <v>0</v>
      </c>
      <c r="AY245" s="13">
        <f>MIN(31, AU245+AV245+AW245+AX245)</f>
        <v/>
      </c>
      <c r="AZ245" s="14">
        <f>31-AY245</f>
        <v/>
      </c>
      <c r="BA245" s="21">
        <f>IF(AX245&gt;0, "01-İstirahat", IF(AZ245&gt;0, "12-Birden Fazla", ""))</f>
        <v/>
      </c>
      <c r="BB245" s="10" t="n">
        <v>0</v>
      </c>
      <c r="BC245" s="19" t="n">
        <v>0</v>
      </c>
      <c r="BD245" s="9" t="n">
        <v>0</v>
      </c>
      <c r="BE245" s="22">
        <f>(L245/30)*AU245</f>
        <v/>
      </c>
      <c r="BF245" s="15">
        <f>(L245/225)*((BB245*1.5)-(BC245*1.0))</f>
        <v/>
      </c>
      <c r="BG245" s="16">
        <f>(L245/225)*1.5*BD245</f>
        <v/>
      </c>
      <c r="BH245" s="15">
        <f>BF245+BG245</f>
        <v/>
      </c>
      <c r="BI245" s="17">
        <f>BE245+BH245</f>
        <v/>
      </c>
      <c r="BJ245" s="22">
        <f>IFERROR(VLOOKUP(B245, Resmi_Bordro_SGK!B:M, 11, FALSE), 0)</f>
        <v/>
      </c>
      <c r="BK245" s="18">
        <f>IFERROR(VLOOKUP(B245, Icra_Takip!A:E, 4, FALSE), 0)</f>
        <v/>
      </c>
      <c r="BL245" s="17">
        <f>IF(BI245&gt;BJ245, BI245-BJ245-BK245, 0)</f>
        <v/>
      </c>
      <c r="BM245" s="17">
        <f>BI245-BK245</f>
        <v/>
      </c>
    </row>
    <row r="246" ht="19" customHeight="1">
      <c r="A246" s="4" t="n">
        <v>243</v>
      </c>
      <c r="B246" s="5" t="inlineStr"/>
      <c r="C246" s="6" t="inlineStr">
        <is>
          <t>MENEKŞE DURMAN</t>
        </is>
      </c>
      <c r="D246" s="4" t="inlineStr"/>
      <c r="E246" s="4" t="inlineStr"/>
      <c r="F246" s="4" t="inlineStr"/>
      <c r="G246" s="4" t="inlineStr"/>
      <c r="H246" s="4" t="inlineStr">
        <is>
          <t>NORMAL</t>
        </is>
      </c>
      <c r="I246" s="4" t="inlineStr">
        <is>
          <t>MEVSİMLİK</t>
        </is>
      </c>
      <c r="J246" s="6" t="inlineStr"/>
      <c r="K246" s="6" t="inlineStr"/>
      <c r="L246" s="7" t="n">
        <v>28075.5</v>
      </c>
      <c r="M246" s="4" t="inlineStr">
        <is>
          <t>FİDE KONSERVE</t>
        </is>
      </c>
      <c r="N246" s="4" t="inlineStr">
        <is>
          <t>ALIR</t>
        </is>
      </c>
      <c r="O246" s="8" t="n">
        <v>10.5</v>
      </c>
      <c r="P246" s="8" t="n">
        <v>10.5</v>
      </c>
      <c r="Q246" s="8" t="n">
        <v>0</v>
      </c>
      <c r="R246" s="9" t="n">
        <v>0</v>
      </c>
      <c r="S246" s="8" t="n">
        <v>0</v>
      </c>
      <c r="T246" s="8" t="n">
        <v>0</v>
      </c>
      <c r="U246" s="8" t="n">
        <v>0</v>
      </c>
      <c r="V246" s="8" t="n">
        <v>0</v>
      </c>
      <c r="W246" s="8" t="n">
        <v>10.5</v>
      </c>
      <c r="X246" s="8" t="n">
        <v>10.5</v>
      </c>
      <c r="Y246" s="9" t="n">
        <v>0</v>
      </c>
      <c r="Z246" s="8" t="n">
        <v>10.5</v>
      </c>
      <c r="AA246" s="8" t="n">
        <v>10.5</v>
      </c>
      <c r="AB246" s="8" t="n">
        <v>10.5</v>
      </c>
      <c r="AC246" s="8" t="n">
        <v>10.5</v>
      </c>
      <c r="AD246" s="8" t="n">
        <v>0</v>
      </c>
      <c r="AE246" s="8" t="n">
        <v>0</v>
      </c>
      <c r="AF246" s="9" t="n">
        <v>0</v>
      </c>
      <c r="AG246" s="8" t="n">
        <v>10.5</v>
      </c>
      <c r="AH246" s="8" t="n">
        <v>0</v>
      </c>
      <c r="AI246" s="8" t="n">
        <v>7.5</v>
      </c>
      <c r="AJ246" s="8" t="n">
        <v>0</v>
      </c>
      <c r="AK246" s="8" t="n">
        <v>0</v>
      </c>
      <c r="AL246" s="8" t="n">
        <v>0</v>
      </c>
      <c r="AM246" s="9" t="n">
        <v>0</v>
      </c>
      <c r="AN246" s="8" t="n">
        <v>0</v>
      </c>
      <c r="AO246" s="8" t="n">
        <v>0</v>
      </c>
      <c r="AP246" s="8" t="n">
        <v>0</v>
      </c>
      <c r="AQ246" s="8" t="n">
        <v>0</v>
      </c>
      <c r="AR246" s="8" t="n">
        <v>0</v>
      </c>
      <c r="AS246" s="8" t="n">
        <v>0</v>
      </c>
      <c r="AT246" s="10">
        <f>SUM(O246:AS246)</f>
        <v/>
      </c>
      <c r="AU246" s="11">
        <f>COUNTIF(O246:AS246, "&gt;0")</f>
        <v/>
      </c>
      <c r="AV246" s="12">
        <f>IF(AU246&gt;=5, 4, IF(AU246&gt;0, INT(AU246/6), 0))</f>
        <v/>
      </c>
      <c r="AW246" s="11" t="n">
        <v>0</v>
      </c>
      <c r="AX246" s="11" t="n">
        <v>0</v>
      </c>
      <c r="AY246" s="13">
        <f>MIN(31, AU246+AV246+AW246+AX246)</f>
        <v/>
      </c>
      <c r="AZ246" s="14">
        <f>31-AY246</f>
        <v/>
      </c>
      <c r="BA246" s="5">
        <f>IF(AX246&gt;0, "01-İstirahat", IF(AZ246&gt;0, "12-Birden Fazla", ""))</f>
        <v/>
      </c>
      <c r="BB246" s="10" t="n">
        <v>27</v>
      </c>
      <c r="BC246" s="8" t="n">
        <v>0</v>
      </c>
      <c r="BD246" s="9" t="n">
        <v>0</v>
      </c>
      <c r="BE246" s="7">
        <f>(L246/30)*AU246</f>
        <v/>
      </c>
      <c r="BF246" s="15">
        <f>(L246/225)*((BB246*1.5)-(BC246*1.0))</f>
        <v/>
      </c>
      <c r="BG246" s="16">
        <f>(L246/225)*1.5*BD246</f>
        <v/>
      </c>
      <c r="BH246" s="15">
        <f>BF246+BG246</f>
        <v/>
      </c>
      <c r="BI246" s="17">
        <f>BE246+BH246</f>
        <v/>
      </c>
      <c r="BJ246" s="7">
        <f>IFERROR(VLOOKUP(B246, Resmi_Bordro_SGK!B:M, 11, FALSE), 0)</f>
        <v/>
      </c>
      <c r="BK246" s="18">
        <f>IFERROR(VLOOKUP(B246, Icra_Takip!A:E, 4, FALSE), 0)</f>
        <v/>
      </c>
      <c r="BL246" s="17">
        <f>IF(BI246&gt;BJ246, BI246-BJ246-BK246, 0)</f>
        <v/>
      </c>
      <c r="BM246" s="17">
        <f>BI246-BK246</f>
        <v/>
      </c>
    </row>
    <row r="247" ht="19" customHeight="1">
      <c r="A247" s="4" t="n">
        <v>244</v>
      </c>
      <c r="B247" s="5" t="inlineStr">
        <is>
          <t>36331074298</t>
        </is>
      </c>
      <c r="C247" s="6" t="inlineStr">
        <is>
          <t>MELEK CEYLAN</t>
        </is>
      </c>
      <c r="D247" s="4" t="inlineStr">
        <is>
          <t>K</t>
        </is>
      </c>
      <c r="E247" s="4" t="inlineStr">
        <is>
          <t>13.08.2026</t>
        </is>
      </c>
      <c r="F247" s="4" t="inlineStr">
        <is>
          <t>14.08.2026</t>
        </is>
      </c>
      <c r="G247" s="4" t="inlineStr"/>
      <c r="H247" s="4" t="inlineStr">
        <is>
          <t>NORMAL</t>
        </is>
      </c>
      <c r="I247" s="4" t="inlineStr">
        <is>
          <t>MEVSİMLİK</t>
        </is>
      </c>
      <c r="J247" s="6" t="inlineStr">
        <is>
          <t>ÜRETİM</t>
        </is>
      </c>
      <c r="K247" s="6" t="inlineStr">
        <is>
          <t>KARACABEY-HALİL</t>
        </is>
      </c>
      <c r="L247" s="7" t="n">
        <v>28075.5</v>
      </c>
      <c r="M247" s="4" t="inlineStr">
        <is>
          <t>FİDE KONSERVE</t>
        </is>
      </c>
      <c r="N247" s="4" t="inlineStr">
        <is>
          <t>ALIR</t>
        </is>
      </c>
      <c r="O247" s="19" t="n">
        <v>0</v>
      </c>
      <c r="P247" s="19" t="n">
        <v>0</v>
      </c>
      <c r="Q247" s="19" t="n">
        <v>0</v>
      </c>
      <c r="R247" s="9" t="n">
        <v>0</v>
      </c>
      <c r="S247" s="19" t="n">
        <v>0</v>
      </c>
      <c r="T247" s="19" t="n">
        <v>0</v>
      </c>
      <c r="U247" s="19" t="n">
        <v>0</v>
      </c>
      <c r="V247" s="19" t="n">
        <v>0</v>
      </c>
      <c r="W247" s="19" t="n">
        <v>0</v>
      </c>
      <c r="X247" s="19" t="n">
        <v>0</v>
      </c>
      <c r="Y247" s="9" t="n">
        <v>0</v>
      </c>
      <c r="Z247" s="19" t="n">
        <v>0</v>
      </c>
      <c r="AA247" s="19" t="n">
        <v>0</v>
      </c>
      <c r="AB247" s="19" t="n">
        <v>0</v>
      </c>
      <c r="AC247" s="19" t="n">
        <v>0</v>
      </c>
      <c r="AD247" s="19" t="n">
        <v>0</v>
      </c>
      <c r="AE247" s="19" t="n">
        <v>0</v>
      </c>
      <c r="AF247" s="9" t="n">
        <v>0</v>
      </c>
      <c r="AG247" s="19" t="n">
        <v>0</v>
      </c>
      <c r="AH247" s="19" t="n">
        <v>0</v>
      </c>
      <c r="AI247" s="19" t="n">
        <v>0</v>
      </c>
      <c r="AJ247" s="19" t="n">
        <v>0</v>
      </c>
      <c r="AK247" s="19" t="n">
        <v>0</v>
      </c>
      <c r="AL247" s="19" t="n">
        <v>0</v>
      </c>
      <c r="AM247" s="9" t="n">
        <v>0</v>
      </c>
      <c r="AN247" s="19" t="n">
        <v>0</v>
      </c>
      <c r="AO247" s="19" t="n">
        <v>0</v>
      </c>
      <c r="AP247" s="19" t="n">
        <v>0</v>
      </c>
      <c r="AQ247" s="19" t="n">
        <v>0</v>
      </c>
      <c r="AR247" s="19" t="n">
        <v>0</v>
      </c>
      <c r="AS247" s="19" t="n">
        <v>0</v>
      </c>
      <c r="AT247" s="10">
        <f>SUM(O247:AS247)</f>
        <v/>
      </c>
      <c r="AU247" s="20">
        <f>COUNTIF(O247:AS247, "&gt;0")</f>
        <v/>
      </c>
      <c r="AV247" s="12">
        <f>IF(AU247&gt;=5, 4, IF(AU247&gt;0, INT(AU247/6), 0))</f>
        <v/>
      </c>
      <c r="AW247" s="20" t="n">
        <v>0</v>
      </c>
      <c r="AX247" s="20" t="n">
        <v>0</v>
      </c>
      <c r="AY247" s="13">
        <f>MIN(31, AU247+AV247+AW247+AX247)</f>
        <v/>
      </c>
      <c r="AZ247" s="14">
        <f>31-AY247</f>
        <v/>
      </c>
      <c r="BA247" s="21">
        <f>IF(AX247&gt;0, "01-İstirahat", IF(AZ247&gt;0, "12-Birden Fazla", ""))</f>
        <v/>
      </c>
      <c r="BB247" s="10" t="n">
        <v>0</v>
      </c>
      <c r="BC247" s="19" t="n">
        <v>0</v>
      </c>
      <c r="BD247" s="9" t="n">
        <v>0</v>
      </c>
      <c r="BE247" s="22">
        <f>(L247/30)*AU247</f>
        <v/>
      </c>
      <c r="BF247" s="15">
        <f>(L247/225)*((BB247*1.5)-(BC247*1.0))</f>
        <v/>
      </c>
      <c r="BG247" s="16">
        <f>(L247/225)*1.5*BD247</f>
        <v/>
      </c>
      <c r="BH247" s="15">
        <f>BF247+BG247</f>
        <v/>
      </c>
      <c r="BI247" s="17">
        <f>BE247+BH247</f>
        <v/>
      </c>
      <c r="BJ247" s="22">
        <f>IFERROR(VLOOKUP(B247, Resmi_Bordro_SGK!B:M, 11, FALSE), 0)</f>
        <v/>
      </c>
      <c r="BK247" s="18">
        <f>IFERROR(VLOOKUP(B247, Icra_Takip!A:E, 4, FALSE), 0)</f>
        <v/>
      </c>
      <c r="BL247" s="17">
        <f>IF(BI247&gt;BJ247, BI247-BJ247-BK247, 0)</f>
        <v/>
      </c>
      <c r="BM247" s="17">
        <f>BI247-BK247</f>
        <v/>
      </c>
    </row>
    <row r="248" ht="19" customHeight="1">
      <c r="A248" s="4" t="n">
        <v>245</v>
      </c>
      <c r="B248" s="5" t="inlineStr">
        <is>
          <t>40483844500</t>
        </is>
      </c>
      <c r="C248" s="6" t="inlineStr">
        <is>
          <t>MELİSA YILMAZ</t>
        </is>
      </c>
      <c r="D248" s="4" t="inlineStr">
        <is>
          <t>K</t>
        </is>
      </c>
      <c r="E248" s="4" t="inlineStr"/>
      <c r="F248" s="4" t="inlineStr">
        <is>
          <t>29.06.2026</t>
        </is>
      </c>
      <c r="G248" s="4" t="inlineStr"/>
      <c r="H248" s="4" t="inlineStr">
        <is>
          <t>NORMAL</t>
        </is>
      </c>
      <c r="I248" s="4" t="inlineStr">
        <is>
          <t>MEVSİMLİK</t>
        </is>
      </c>
      <c r="J248" s="6" t="inlineStr">
        <is>
          <t>ÜRETİM</t>
        </is>
      </c>
      <c r="K248" s="6" t="inlineStr">
        <is>
          <t>KARACABEY-HALİL</t>
        </is>
      </c>
      <c r="L248" s="7" t="n">
        <v>28075.5</v>
      </c>
      <c r="M248" s="4" t="inlineStr">
        <is>
          <t>FİDE KONSERVE</t>
        </is>
      </c>
      <c r="N248" s="4" t="inlineStr">
        <is>
          <t>ALIR</t>
        </is>
      </c>
      <c r="O248" s="8" t="n">
        <v>0</v>
      </c>
      <c r="P248" s="8" t="n">
        <v>0</v>
      </c>
      <c r="Q248" s="8" t="n">
        <v>0</v>
      </c>
      <c r="R248" s="9" t="n">
        <v>0</v>
      </c>
      <c r="S248" s="8" t="n">
        <v>0</v>
      </c>
      <c r="T248" s="8" t="n">
        <v>0</v>
      </c>
      <c r="U248" s="8" t="n">
        <v>0</v>
      </c>
      <c r="V248" s="8" t="n">
        <v>0</v>
      </c>
      <c r="W248" s="8" t="n">
        <v>0</v>
      </c>
      <c r="X248" s="8" t="n">
        <v>0</v>
      </c>
      <c r="Y248" s="9" t="n">
        <v>0</v>
      </c>
      <c r="Z248" s="8" t="n">
        <v>0</v>
      </c>
      <c r="AA248" s="8" t="n">
        <v>0</v>
      </c>
      <c r="AB248" s="8" t="n">
        <v>0</v>
      </c>
      <c r="AC248" s="8" t="n">
        <v>0</v>
      </c>
      <c r="AD248" s="8" t="n">
        <v>0</v>
      </c>
      <c r="AE248" s="8" t="n">
        <v>0</v>
      </c>
      <c r="AF248" s="9" t="n">
        <v>0</v>
      </c>
      <c r="AG248" s="8" t="n">
        <v>0</v>
      </c>
      <c r="AH248" s="8" t="n">
        <v>0</v>
      </c>
      <c r="AI248" s="8" t="n">
        <v>0</v>
      </c>
      <c r="AJ248" s="8" t="n">
        <v>0</v>
      </c>
      <c r="AK248" s="8" t="n">
        <v>0</v>
      </c>
      <c r="AL248" s="8" t="n">
        <v>0</v>
      </c>
      <c r="AM248" s="9" t="n">
        <v>0</v>
      </c>
      <c r="AN248" s="8" t="n">
        <v>0</v>
      </c>
      <c r="AO248" s="8" t="n">
        <v>0</v>
      </c>
      <c r="AP248" s="8" t="n">
        <v>0</v>
      </c>
      <c r="AQ248" s="8" t="n">
        <v>0</v>
      </c>
      <c r="AR248" s="8" t="n">
        <v>0</v>
      </c>
      <c r="AS248" s="8" t="n">
        <v>0</v>
      </c>
      <c r="AT248" s="10">
        <f>SUM(O248:AS248)</f>
        <v/>
      </c>
      <c r="AU248" s="11">
        <f>COUNTIF(O248:AS248, "&gt;0")</f>
        <v/>
      </c>
      <c r="AV248" s="12">
        <f>IF(AU248&gt;=5, 4, IF(AU248&gt;0, INT(AU248/6), 0))</f>
        <v/>
      </c>
      <c r="AW248" s="11" t="n">
        <v>0</v>
      </c>
      <c r="AX248" s="11" t="n">
        <v>0</v>
      </c>
      <c r="AY248" s="13">
        <f>MIN(31, AU248+AV248+AW248+AX248)</f>
        <v/>
      </c>
      <c r="AZ248" s="14">
        <f>31-AY248</f>
        <v/>
      </c>
      <c r="BA248" s="5">
        <f>IF(AX248&gt;0, "01-İstirahat", IF(AZ248&gt;0, "12-Birden Fazla", ""))</f>
        <v/>
      </c>
      <c r="BB248" s="10" t="n">
        <v>0</v>
      </c>
      <c r="BC248" s="8" t="n">
        <v>0</v>
      </c>
      <c r="BD248" s="9" t="n">
        <v>0</v>
      </c>
      <c r="BE248" s="7">
        <f>(L248/30)*AU248</f>
        <v/>
      </c>
      <c r="BF248" s="15">
        <f>(L248/225)*((BB248*1.5)-(BC248*1.0))</f>
        <v/>
      </c>
      <c r="BG248" s="16">
        <f>(L248/225)*1.5*BD248</f>
        <v/>
      </c>
      <c r="BH248" s="15">
        <f>BF248+BG248</f>
        <v/>
      </c>
      <c r="BI248" s="17">
        <f>BE248+BH248</f>
        <v/>
      </c>
      <c r="BJ248" s="7">
        <f>IFERROR(VLOOKUP(B248, Resmi_Bordro_SGK!B:M, 11, FALSE), 0)</f>
        <v/>
      </c>
      <c r="BK248" s="18">
        <f>IFERROR(VLOOKUP(B248, Icra_Takip!A:E, 4, FALSE), 0)</f>
        <v/>
      </c>
      <c r="BL248" s="17">
        <f>IF(BI248&gt;BJ248, BI248-BJ248-BK248, 0)</f>
        <v/>
      </c>
      <c r="BM248" s="17">
        <f>BI248-BK248</f>
        <v/>
      </c>
    </row>
    <row r="249" ht="19" customHeight="1">
      <c r="A249" s="4" t="n">
        <v>246</v>
      </c>
      <c r="B249" s="5" t="inlineStr">
        <is>
          <t>37645040054</t>
        </is>
      </c>
      <c r="C249" s="6" t="inlineStr">
        <is>
          <t>MERT ERKUL</t>
        </is>
      </c>
      <c r="D249" s="4" t="inlineStr">
        <is>
          <t>E</t>
        </is>
      </c>
      <c r="E249" s="4" t="inlineStr">
        <is>
          <t>25.06.2026</t>
        </is>
      </c>
      <c r="F249" s="4" t="inlineStr">
        <is>
          <t>26.06.2026</t>
        </is>
      </c>
      <c r="G249" s="4" t="inlineStr">
        <is>
          <t>05.08.2026</t>
        </is>
      </c>
      <c r="H249" s="4" t="inlineStr">
        <is>
          <t>NORMAL</t>
        </is>
      </c>
      <c r="I249" s="4" t="inlineStr">
        <is>
          <t>MEVSİMLİK</t>
        </is>
      </c>
      <c r="J249" s="6" t="inlineStr">
        <is>
          <t>BALIK</t>
        </is>
      </c>
      <c r="K249" s="6" t="inlineStr">
        <is>
          <t>GÜVEN TURİZM-MKP</t>
        </is>
      </c>
      <c r="L249" s="7" t="n">
        <v>33000</v>
      </c>
      <c r="M249" s="4" t="inlineStr">
        <is>
          <t>FİDE KONSERVE</t>
        </is>
      </c>
      <c r="N249" s="4" t="inlineStr">
        <is>
          <t>ALIR</t>
        </is>
      </c>
      <c r="O249" s="19" t="n">
        <v>0</v>
      </c>
      <c r="P249" s="19" t="n">
        <v>0</v>
      </c>
      <c r="Q249" s="19" t="n">
        <v>0</v>
      </c>
      <c r="R249" s="9" t="n">
        <v>0</v>
      </c>
      <c r="S249" s="19" t="n">
        <v>0</v>
      </c>
      <c r="T249" s="19" t="n">
        <v>0</v>
      </c>
      <c r="U249" s="19" t="n">
        <v>0</v>
      </c>
      <c r="V249" s="19" t="n">
        <v>0</v>
      </c>
      <c r="W249" s="19" t="n">
        <v>0</v>
      </c>
      <c r="X249" s="19" t="n">
        <v>0</v>
      </c>
      <c r="Y249" s="9" t="n">
        <v>0</v>
      </c>
      <c r="Z249" s="19" t="n">
        <v>0</v>
      </c>
      <c r="AA249" s="19" t="n">
        <v>0</v>
      </c>
      <c r="AB249" s="19" t="n">
        <v>0</v>
      </c>
      <c r="AC249" s="19" t="n">
        <v>0</v>
      </c>
      <c r="AD249" s="19" t="n">
        <v>0</v>
      </c>
      <c r="AE249" s="19" t="n">
        <v>0</v>
      </c>
      <c r="AF249" s="9" t="n">
        <v>0</v>
      </c>
      <c r="AG249" s="19" t="n">
        <v>0</v>
      </c>
      <c r="AH249" s="19" t="n">
        <v>0</v>
      </c>
      <c r="AI249" s="19" t="n">
        <v>0</v>
      </c>
      <c r="AJ249" s="19" t="n">
        <v>0</v>
      </c>
      <c r="AK249" s="19" t="n">
        <v>0</v>
      </c>
      <c r="AL249" s="19" t="n">
        <v>0</v>
      </c>
      <c r="AM249" s="9" t="n">
        <v>0</v>
      </c>
      <c r="AN249" s="19" t="n">
        <v>0</v>
      </c>
      <c r="AO249" s="19" t="n">
        <v>0</v>
      </c>
      <c r="AP249" s="19" t="n">
        <v>0</v>
      </c>
      <c r="AQ249" s="19" t="n">
        <v>0</v>
      </c>
      <c r="AR249" s="19" t="n">
        <v>0</v>
      </c>
      <c r="AS249" s="19" t="n">
        <v>0</v>
      </c>
      <c r="AT249" s="10">
        <f>SUM(O249:AS249)</f>
        <v/>
      </c>
      <c r="AU249" s="20">
        <f>COUNTIF(O249:AS249, "&gt;0")</f>
        <v/>
      </c>
      <c r="AV249" s="12">
        <f>IF(AU249&gt;=5, 4, IF(AU249&gt;0, INT(AU249/6), 0))</f>
        <v/>
      </c>
      <c r="AW249" s="20" t="n">
        <v>0</v>
      </c>
      <c r="AX249" s="20" t="n">
        <v>0</v>
      </c>
      <c r="AY249" s="13">
        <f>MIN(31, AU249+AV249+AW249+AX249)</f>
        <v/>
      </c>
      <c r="AZ249" s="14">
        <f>31-AY249</f>
        <v/>
      </c>
      <c r="BA249" s="21">
        <f>IF(AX249&gt;0, "01-İstirahat", IF(AZ249&gt;0, "12-Birden Fazla", ""))</f>
        <v/>
      </c>
      <c r="BB249" s="10" t="n">
        <v>0</v>
      </c>
      <c r="BC249" s="19" t="n">
        <v>0</v>
      </c>
      <c r="BD249" s="9" t="n">
        <v>0</v>
      </c>
      <c r="BE249" s="22">
        <f>(L249/30)*AU249</f>
        <v/>
      </c>
      <c r="BF249" s="15">
        <f>(L249/225)*((BB249*1.5)-(BC249*1.0))</f>
        <v/>
      </c>
      <c r="BG249" s="16">
        <f>(L249/225)*1.5*BD249</f>
        <v/>
      </c>
      <c r="BH249" s="15">
        <f>BF249+BG249</f>
        <v/>
      </c>
      <c r="BI249" s="17">
        <f>BE249+BH249</f>
        <v/>
      </c>
      <c r="BJ249" s="22">
        <f>IFERROR(VLOOKUP(B249, Resmi_Bordro_SGK!B:M, 11, FALSE), 0)</f>
        <v/>
      </c>
      <c r="BK249" s="18">
        <f>IFERROR(VLOOKUP(B249, Icra_Takip!A:E, 4, FALSE), 0)</f>
        <v/>
      </c>
      <c r="BL249" s="17">
        <f>IF(BI249&gt;BJ249, BI249-BJ249-BK249, 0)</f>
        <v/>
      </c>
      <c r="BM249" s="17">
        <f>BI249-BK249</f>
        <v/>
      </c>
    </row>
    <row r="250" ht="19" customHeight="1">
      <c r="A250" s="4" t="n">
        <v>247</v>
      </c>
      <c r="B250" s="5" t="inlineStr">
        <is>
          <t>25636440280</t>
        </is>
      </c>
      <c r="C250" s="6" t="inlineStr">
        <is>
          <t>MERVE DOĞAN</t>
        </is>
      </c>
      <c r="D250" s="4" t="inlineStr">
        <is>
          <t>K</t>
        </is>
      </c>
      <c r="E250" s="4" t="inlineStr"/>
      <c r="F250" s="4" t="inlineStr">
        <is>
          <t>10.02.2026</t>
        </is>
      </c>
      <c r="G250" s="4" t="inlineStr"/>
      <c r="H250" s="4" t="inlineStr">
        <is>
          <t>NORMAL</t>
        </is>
      </c>
      <c r="I250" s="4" t="inlineStr">
        <is>
          <t>DAİMİ</t>
        </is>
      </c>
      <c r="J250" s="6" t="inlineStr">
        <is>
          <t>KALİTE</t>
        </is>
      </c>
      <c r="K250" s="6" t="inlineStr">
        <is>
          <t>MKP</t>
        </is>
      </c>
      <c r="L250" s="7" t="n">
        <v>33000</v>
      </c>
      <c r="M250" s="4" t="inlineStr">
        <is>
          <t>FİDE KONSERVE</t>
        </is>
      </c>
      <c r="N250" s="4" t="inlineStr">
        <is>
          <t>ALIR</t>
        </is>
      </c>
      <c r="O250" s="8" t="n">
        <v>0</v>
      </c>
      <c r="P250" s="8" t="n">
        <v>0</v>
      </c>
      <c r="Q250" s="8" t="n">
        <v>0</v>
      </c>
      <c r="R250" s="9" t="n">
        <v>0</v>
      </c>
      <c r="S250" s="8" t="n">
        <v>0</v>
      </c>
      <c r="T250" s="8" t="n">
        <v>0</v>
      </c>
      <c r="U250" s="8" t="n">
        <v>0</v>
      </c>
      <c r="V250" s="8" t="n">
        <v>0</v>
      </c>
      <c r="W250" s="8" t="n">
        <v>0</v>
      </c>
      <c r="X250" s="8" t="n">
        <v>0</v>
      </c>
      <c r="Y250" s="9" t="n">
        <v>0</v>
      </c>
      <c r="Z250" s="8" t="n">
        <v>0</v>
      </c>
      <c r="AA250" s="8" t="n">
        <v>0</v>
      </c>
      <c r="AB250" s="8" t="n">
        <v>0</v>
      </c>
      <c r="AC250" s="8" t="n">
        <v>0</v>
      </c>
      <c r="AD250" s="8" t="n">
        <v>0</v>
      </c>
      <c r="AE250" s="8" t="n">
        <v>0</v>
      </c>
      <c r="AF250" s="9" t="n">
        <v>0</v>
      </c>
      <c r="AG250" s="8" t="n">
        <v>0</v>
      </c>
      <c r="AH250" s="8" t="n">
        <v>0</v>
      </c>
      <c r="AI250" s="8" t="n">
        <v>0</v>
      </c>
      <c r="AJ250" s="8" t="n">
        <v>0</v>
      </c>
      <c r="AK250" s="8" t="n">
        <v>0</v>
      </c>
      <c r="AL250" s="8" t="n">
        <v>0</v>
      </c>
      <c r="AM250" s="9" t="n">
        <v>0</v>
      </c>
      <c r="AN250" s="8" t="n">
        <v>0</v>
      </c>
      <c r="AO250" s="8" t="n">
        <v>0</v>
      </c>
      <c r="AP250" s="8" t="n">
        <v>0</v>
      </c>
      <c r="AQ250" s="8" t="n">
        <v>0</v>
      </c>
      <c r="AR250" s="8" t="n">
        <v>0</v>
      </c>
      <c r="AS250" s="8" t="n">
        <v>0</v>
      </c>
      <c r="AT250" s="10">
        <f>SUM(O250:AS250)</f>
        <v/>
      </c>
      <c r="AU250" s="11">
        <f>COUNTIF(O250:AS250, "&gt;0")</f>
        <v/>
      </c>
      <c r="AV250" s="12">
        <f>IF(AU250&gt;=5, 4, IF(AU250&gt;0, INT(AU250/6), 0))</f>
        <v/>
      </c>
      <c r="AW250" s="11" t="n">
        <v>0</v>
      </c>
      <c r="AX250" s="11" t="n">
        <v>0</v>
      </c>
      <c r="AY250" s="13">
        <f>MIN(31, AU250+AV250+AW250+AX250)</f>
        <v/>
      </c>
      <c r="AZ250" s="14">
        <f>31-AY250</f>
        <v/>
      </c>
      <c r="BA250" s="5">
        <f>IF(AX250&gt;0, "01-İstirahat", IF(AZ250&gt;0, "12-Birden Fazla", ""))</f>
        <v/>
      </c>
      <c r="BB250" s="10" t="n">
        <v>0</v>
      </c>
      <c r="BC250" s="8" t="n">
        <v>0</v>
      </c>
      <c r="BD250" s="9" t="n">
        <v>0</v>
      </c>
      <c r="BE250" s="7">
        <f>(L250/30)*AU250</f>
        <v/>
      </c>
      <c r="BF250" s="15">
        <f>(L250/225)*((BB250*1.5)-(BC250*1.0))</f>
        <v/>
      </c>
      <c r="BG250" s="16">
        <f>(L250/225)*1.5*BD250</f>
        <v/>
      </c>
      <c r="BH250" s="15">
        <f>BF250+BG250</f>
        <v/>
      </c>
      <c r="BI250" s="17">
        <f>BE250+BH250</f>
        <v/>
      </c>
      <c r="BJ250" s="7">
        <f>IFERROR(VLOOKUP(B250, Resmi_Bordro_SGK!B:M, 11, FALSE), 0)</f>
        <v/>
      </c>
      <c r="BK250" s="18">
        <f>IFERROR(VLOOKUP(B250, Icra_Takip!A:E, 4, FALSE), 0)</f>
        <v/>
      </c>
      <c r="BL250" s="17">
        <f>IF(BI250&gt;BJ250, BI250-BJ250-BK250, 0)</f>
        <v/>
      </c>
      <c r="BM250" s="17">
        <f>BI250-BK250</f>
        <v/>
      </c>
    </row>
    <row r="251" ht="19" customHeight="1">
      <c r="A251" s="4" t="n">
        <v>248</v>
      </c>
      <c r="B251" s="5" t="inlineStr">
        <is>
          <t>37288050182</t>
        </is>
      </c>
      <c r="C251" s="6" t="inlineStr">
        <is>
          <t>MERYEM KIRAY</t>
        </is>
      </c>
      <c r="D251" s="4" t="inlineStr">
        <is>
          <t>K</t>
        </is>
      </c>
      <c r="E251" s="4" t="inlineStr"/>
      <c r="F251" s="4" t="inlineStr">
        <is>
          <t>01.06.2026</t>
        </is>
      </c>
      <c r="G251" s="4" t="inlineStr"/>
      <c r="H251" s="4" t="inlineStr">
        <is>
          <t>NORMAL</t>
        </is>
      </c>
      <c r="I251" s="4" t="inlineStr">
        <is>
          <t>MEVSİMLİK</t>
        </is>
      </c>
      <c r="J251" s="6" t="inlineStr">
        <is>
          <t>ÜRETİM</t>
        </is>
      </c>
      <c r="K251" s="6" t="inlineStr">
        <is>
          <t>GÜVEN TURİZM-MKP</t>
        </is>
      </c>
      <c r="L251" s="7" t="n">
        <v>28075.5</v>
      </c>
      <c r="M251" s="4" t="inlineStr">
        <is>
          <t>FİDE KONSERVE</t>
        </is>
      </c>
      <c r="N251" s="4" t="inlineStr">
        <is>
          <t>ALIR</t>
        </is>
      </c>
      <c r="O251" s="19" t="n">
        <v>0</v>
      </c>
      <c r="P251" s="19" t="n">
        <v>0</v>
      </c>
      <c r="Q251" s="19" t="n">
        <v>0</v>
      </c>
      <c r="R251" s="9" t="n">
        <v>0</v>
      </c>
      <c r="S251" s="19" t="n">
        <v>0</v>
      </c>
      <c r="T251" s="19" t="n">
        <v>0</v>
      </c>
      <c r="U251" s="19" t="n">
        <v>0</v>
      </c>
      <c r="V251" s="19" t="n">
        <v>0</v>
      </c>
      <c r="W251" s="19" t="n">
        <v>0</v>
      </c>
      <c r="X251" s="19" t="n">
        <v>0</v>
      </c>
      <c r="Y251" s="9" t="n">
        <v>0</v>
      </c>
      <c r="Z251" s="19" t="n">
        <v>0</v>
      </c>
      <c r="AA251" s="19" t="n">
        <v>0</v>
      </c>
      <c r="AB251" s="19" t="n">
        <v>0</v>
      </c>
      <c r="AC251" s="19" t="n">
        <v>0</v>
      </c>
      <c r="AD251" s="19" t="n">
        <v>0</v>
      </c>
      <c r="AE251" s="19" t="n">
        <v>0</v>
      </c>
      <c r="AF251" s="9" t="n">
        <v>0</v>
      </c>
      <c r="AG251" s="19" t="n">
        <v>0</v>
      </c>
      <c r="AH251" s="19" t="n">
        <v>0</v>
      </c>
      <c r="AI251" s="19" t="n">
        <v>0</v>
      </c>
      <c r="AJ251" s="19" t="n">
        <v>0</v>
      </c>
      <c r="AK251" s="19" t="n">
        <v>0</v>
      </c>
      <c r="AL251" s="19" t="n">
        <v>0</v>
      </c>
      <c r="AM251" s="9" t="n">
        <v>0</v>
      </c>
      <c r="AN251" s="19" t="n">
        <v>0</v>
      </c>
      <c r="AO251" s="19" t="n">
        <v>0</v>
      </c>
      <c r="AP251" s="19" t="n">
        <v>0</v>
      </c>
      <c r="AQ251" s="19" t="n">
        <v>0</v>
      </c>
      <c r="AR251" s="19" t="n">
        <v>0</v>
      </c>
      <c r="AS251" s="19" t="n">
        <v>0</v>
      </c>
      <c r="AT251" s="10">
        <f>SUM(O251:AS251)</f>
        <v/>
      </c>
      <c r="AU251" s="20">
        <f>COUNTIF(O251:AS251, "&gt;0")</f>
        <v/>
      </c>
      <c r="AV251" s="12">
        <f>IF(AU251&gt;=5, 4, IF(AU251&gt;0, INT(AU251/6), 0))</f>
        <v/>
      </c>
      <c r="AW251" s="20" t="n">
        <v>0</v>
      </c>
      <c r="AX251" s="20" t="n">
        <v>0</v>
      </c>
      <c r="AY251" s="13">
        <f>MIN(31, AU251+AV251+AW251+AX251)</f>
        <v/>
      </c>
      <c r="AZ251" s="14">
        <f>31-AY251</f>
        <v/>
      </c>
      <c r="BA251" s="21">
        <f>IF(AX251&gt;0, "01-İstirahat", IF(AZ251&gt;0, "12-Birden Fazla", ""))</f>
        <v/>
      </c>
      <c r="BB251" s="10" t="n">
        <v>0</v>
      </c>
      <c r="BC251" s="19" t="n">
        <v>0</v>
      </c>
      <c r="BD251" s="9" t="n">
        <v>0</v>
      </c>
      <c r="BE251" s="22">
        <f>(L251/30)*AU251</f>
        <v/>
      </c>
      <c r="BF251" s="15">
        <f>(L251/225)*((BB251*1.5)-(BC251*1.0))</f>
        <v/>
      </c>
      <c r="BG251" s="16">
        <f>(L251/225)*1.5*BD251</f>
        <v/>
      </c>
      <c r="BH251" s="15">
        <f>BF251+BG251</f>
        <v/>
      </c>
      <c r="BI251" s="17">
        <f>BE251+BH251</f>
        <v/>
      </c>
      <c r="BJ251" s="22">
        <f>IFERROR(VLOOKUP(B251, Resmi_Bordro_SGK!B:M, 11, FALSE), 0)</f>
        <v/>
      </c>
      <c r="BK251" s="18">
        <f>IFERROR(VLOOKUP(B251, Icra_Takip!A:E, 4, FALSE), 0)</f>
        <v/>
      </c>
      <c r="BL251" s="17">
        <f>IF(BI251&gt;BJ251, BI251-BJ251-BK251, 0)</f>
        <v/>
      </c>
      <c r="BM251" s="17">
        <f>BI251-BK251</f>
        <v/>
      </c>
    </row>
    <row r="252" ht="19" customHeight="1">
      <c r="A252" s="4" t="n">
        <v>249</v>
      </c>
      <c r="B252" s="5" t="inlineStr">
        <is>
          <t>61984174392</t>
        </is>
      </c>
      <c r="C252" s="6" t="inlineStr">
        <is>
          <t>MESERRET DAĞ</t>
        </is>
      </c>
      <c r="D252" s="4" t="inlineStr">
        <is>
          <t>K</t>
        </is>
      </c>
      <c r="E252" s="4" t="inlineStr"/>
      <c r="F252" s="4" t="inlineStr">
        <is>
          <t>25.06.2026</t>
        </is>
      </c>
      <c r="G252" s="4" t="inlineStr"/>
      <c r="H252" s="4" t="inlineStr">
        <is>
          <t>NORMAL</t>
        </is>
      </c>
      <c r="I252" s="4" t="inlineStr">
        <is>
          <t>MEVSİMLİK</t>
        </is>
      </c>
      <c r="J252" s="6" t="inlineStr">
        <is>
          <t>ÜRETİM</t>
        </is>
      </c>
      <c r="K252" s="6" t="inlineStr">
        <is>
          <t>SEVGİ</t>
        </is>
      </c>
      <c r="L252" s="7" t="n">
        <v>28075.5</v>
      </c>
      <c r="M252" s="4" t="inlineStr">
        <is>
          <t>FİDE KONSERVE</t>
        </is>
      </c>
      <c r="N252" s="4" t="inlineStr">
        <is>
          <t>ALIR</t>
        </is>
      </c>
      <c r="O252" s="8" t="n">
        <v>0</v>
      </c>
      <c r="P252" s="8" t="n">
        <v>0</v>
      </c>
      <c r="Q252" s="8" t="n">
        <v>0</v>
      </c>
      <c r="R252" s="9" t="n">
        <v>0</v>
      </c>
      <c r="S252" s="8" t="n">
        <v>0</v>
      </c>
      <c r="T252" s="8" t="n">
        <v>0</v>
      </c>
      <c r="U252" s="8" t="n">
        <v>10.5</v>
      </c>
      <c r="V252" s="8" t="n">
        <v>0</v>
      </c>
      <c r="W252" s="8" t="n">
        <v>0</v>
      </c>
      <c r="X252" s="8" t="n">
        <v>0</v>
      </c>
      <c r="Y252" s="9" t="n">
        <v>0</v>
      </c>
      <c r="Z252" s="8" t="n">
        <v>0</v>
      </c>
      <c r="AA252" s="8" t="n">
        <v>0</v>
      </c>
      <c r="AB252" s="8" t="n">
        <v>0</v>
      </c>
      <c r="AC252" s="8" t="n">
        <v>0</v>
      </c>
      <c r="AD252" s="8" t="n">
        <v>0</v>
      </c>
      <c r="AE252" s="8" t="n">
        <v>0</v>
      </c>
      <c r="AF252" s="9" t="n">
        <v>0</v>
      </c>
      <c r="AG252" s="8" t="n">
        <v>0</v>
      </c>
      <c r="AH252" s="8" t="n">
        <v>0</v>
      </c>
      <c r="AI252" s="8" t="n">
        <v>0</v>
      </c>
      <c r="AJ252" s="8" t="n">
        <v>0</v>
      </c>
      <c r="AK252" s="8" t="n">
        <v>0</v>
      </c>
      <c r="AL252" s="8" t="n">
        <v>0</v>
      </c>
      <c r="AM252" s="9" t="n">
        <v>0</v>
      </c>
      <c r="AN252" s="8" t="n">
        <v>0</v>
      </c>
      <c r="AO252" s="8" t="n">
        <v>0</v>
      </c>
      <c r="AP252" s="8" t="n">
        <v>0</v>
      </c>
      <c r="AQ252" s="8" t="n">
        <v>0</v>
      </c>
      <c r="AR252" s="8" t="n">
        <v>0</v>
      </c>
      <c r="AS252" s="8" t="n">
        <v>0</v>
      </c>
      <c r="AT252" s="10">
        <f>SUM(O252:AS252)</f>
        <v/>
      </c>
      <c r="AU252" s="11">
        <f>COUNTIF(O252:AS252, "&gt;0")</f>
        <v/>
      </c>
      <c r="AV252" s="12">
        <f>IF(AU252&gt;=5, 4, IF(AU252&gt;0, INT(AU252/6), 0))</f>
        <v/>
      </c>
      <c r="AW252" s="11" t="n">
        <v>0</v>
      </c>
      <c r="AX252" s="11" t="n">
        <v>0</v>
      </c>
      <c r="AY252" s="13">
        <f>MIN(31, AU252+AV252+AW252+AX252)</f>
        <v/>
      </c>
      <c r="AZ252" s="14">
        <f>31-AY252</f>
        <v/>
      </c>
      <c r="BA252" s="5">
        <f>IF(AX252&gt;0, "01-İstirahat", IF(AZ252&gt;0, "12-Birden Fazla", ""))</f>
        <v/>
      </c>
      <c r="BB252" s="10" t="n">
        <v>3</v>
      </c>
      <c r="BC252" s="8" t="n">
        <v>0</v>
      </c>
      <c r="BD252" s="9" t="n">
        <v>0</v>
      </c>
      <c r="BE252" s="7">
        <f>(L252/30)*AU252</f>
        <v/>
      </c>
      <c r="BF252" s="15">
        <f>(L252/225)*((BB252*1.5)-(BC252*1.0))</f>
        <v/>
      </c>
      <c r="BG252" s="16">
        <f>(L252/225)*1.5*BD252</f>
        <v/>
      </c>
      <c r="BH252" s="15">
        <f>BF252+BG252</f>
        <v/>
      </c>
      <c r="BI252" s="17">
        <f>BE252+BH252</f>
        <v/>
      </c>
      <c r="BJ252" s="7">
        <f>IFERROR(VLOOKUP(B252, Resmi_Bordro_SGK!B:M, 11, FALSE), 0)</f>
        <v/>
      </c>
      <c r="BK252" s="18">
        <f>IFERROR(VLOOKUP(B252, Icra_Takip!A:E, 4, FALSE), 0)</f>
        <v/>
      </c>
      <c r="BL252" s="17">
        <f>IF(BI252&gt;BJ252, BI252-BJ252-BK252, 0)</f>
        <v/>
      </c>
      <c r="BM252" s="17">
        <f>BI252-BK252</f>
        <v/>
      </c>
    </row>
    <row r="253" ht="19" customHeight="1">
      <c r="A253" s="4" t="n">
        <v>250</v>
      </c>
      <c r="B253" s="5" t="inlineStr">
        <is>
          <t>28027546004</t>
        </is>
      </c>
      <c r="C253" s="6" t="inlineStr">
        <is>
          <t>MESUT ERDEL</t>
        </is>
      </c>
      <c r="D253" s="4" t="inlineStr">
        <is>
          <t>E</t>
        </is>
      </c>
      <c r="E253" s="4" t="inlineStr"/>
      <c r="F253" s="4" t="inlineStr">
        <is>
          <t>01.03.2025</t>
        </is>
      </c>
      <c r="G253" s="4" t="inlineStr"/>
      <c r="H253" s="4" t="inlineStr">
        <is>
          <t>SGDP-ENGELLİ</t>
        </is>
      </c>
      <c r="I253" s="4" t="inlineStr">
        <is>
          <t>DAİMİ</t>
        </is>
      </c>
      <c r="J253" s="6" t="inlineStr">
        <is>
          <t>BAKIM</t>
        </is>
      </c>
      <c r="K253" s="6" t="inlineStr">
        <is>
          <t>SUSURLUK</t>
        </is>
      </c>
      <c r="L253" s="7" t="n">
        <v>30185</v>
      </c>
      <c r="M253" s="4" t="inlineStr">
        <is>
          <t>FİDE KONSERVE</t>
        </is>
      </c>
      <c r="N253" s="4" t="inlineStr">
        <is>
          <t>ALIR</t>
        </is>
      </c>
      <c r="O253" s="19" t="n">
        <v>7.5</v>
      </c>
      <c r="P253" s="19" t="n">
        <v>7.5</v>
      </c>
      <c r="Q253" s="19" t="n">
        <v>8.5</v>
      </c>
      <c r="R253" s="9" t="n">
        <v>7.5</v>
      </c>
      <c r="S253" s="19" t="n">
        <v>7</v>
      </c>
      <c r="T253" s="19" t="n">
        <v>7</v>
      </c>
      <c r="U253" s="19" t="n">
        <v>7</v>
      </c>
      <c r="V253" s="19" t="n">
        <v>7</v>
      </c>
      <c r="W253" s="19" t="n">
        <v>2.5</v>
      </c>
      <c r="X253" s="23" t="n">
        <v>8</v>
      </c>
      <c r="Y253" s="9" t="n">
        <v>6.5</v>
      </c>
      <c r="Z253" s="19" t="n">
        <v>0</v>
      </c>
      <c r="AA253" s="19" t="n">
        <v>7.5</v>
      </c>
      <c r="AB253" s="19" t="n">
        <v>7.5</v>
      </c>
      <c r="AC253" s="19" t="n">
        <v>8</v>
      </c>
      <c r="AD253" s="19" t="n">
        <v>7.5</v>
      </c>
      <c r="AE253" s="19" t="n">
        <v>7.5</v>
      </c>
      <c r="AF253" s="9" t="n">
        <v>8.5</v>
      </c>
      <c r="AG253" s="19" t="n">
        <v>7.5</v>
      </c>
      <c r="AH253" s="19" t="n">
        <v>4.5</v>
      </c>
      <c r="AI253" s="19" t="n">
        <v>7</v>
      </c>
      <c r="AJ253" s="19" t="n">
        <v>0</v>
      </c>
      <c r="AK253" s="19" t="n">
        <v>0</v>
      </c>
      <c r="AL253" s="19" t="n">
        <v>0</v>
      </c>
      <c r="AM253" s="9" t="n">
        <v>0</v>
      </c>
      <c r="AN253" s="19" t="n">
        <v>0</v>
      </c>
      <c r="AO253" s="19" t="n">
        <v>0</v>
      </c>
      <c r="AP253" s="19" t="n">
        <v>0</v>
      </c>
      <c r="AQ253" s="19" t="n">
        <v>0</v>
      </c>
      <c r="AR253" s="19" t="n">
        <v>0</v>
      </c>
      <c r="AS253" s="19" t="n">
        <v>0</v>
      </c>
      <c r="AT253" s="10">
        <f>SUM(O253:AS253)</f>
        <v/>
      </c>
      <c r="AU253" s="20">
        <f>COUNTIF(O253:AS253, "&gt;0")</f>
        <v/>
      </c>
      <c r="AV253" s="12">
        <f>IF(AU253&gt;=5, 4, IF(AU253&gt;0, INT(AU253/6), 0))</f>
        <v/>
      </c>
      <c r="AW253" s="20" t="n">
        <v>18</v>
      </c>
      <c r="AX253" s="20" t="n">
        <v>0</v>
      </c>
      <c r="AY253" s="13">
        <f>MIN(31, AU253+AV253+AW253+AX253)</f>
        <v/>
      </c>
      <c r="AZ253" s="14">
        <f>31-AY253</f>
        <v/>
      </c>
      <c r="BA253" s="21">
        <f>IF(AX253&gt;0, "01-İstirahat", IF(AZ253&gt;0, "12-Birden Fazla", ""))</f>
        <v/>
      </c>
      <c r="BB253" s="10" t="n">
        <v>2</v>
      </c>
      <c r="BC253" s="23" t="n">
        <v>10.5</v>
      </c>
      <c r="BD253" s="9" t="n">
        <v>22.5</v>
      </c>
      <c r="BE253" s="22">
        <f>(L253/30)*AU253</f>
        <v/>
      </c>
      <c r="BF253" s="15">
        <f>(L253/225)*((BB253*1.5)-(BC253*1.0))</f>
        <v/>
      </c>
      <c r="BG253" s="16">
        <f>(L253/225)*1.5*BD253</f>
        <v/>
      </c>
      <c r="BH253" s="15">
        <f>BF253+BG253</f>
        <v/>
      </c>
      <c r="BI253" s="17">
        <f>BE253+BH253</f>
        <v/>
      </c>
      <c r="BJ253" s="22">
        <f>IFERROR(VLOOKUP(B253, Resmi_Bordro_SGK!B:M, 11, FALSE), 0)</f>
        <v/>
      </c>
      <c r="BK253" s="18">
        <f>IFERROR(VLOOKUP(B253, Icra_Takip!A:E, 4, FALSE), 0)</f>
        <v/>
      </c>
      <c r="BL253" s="17">
        <f>IF(BI253&gt;BJ253, BI253-BJ253-BK253, 0)</f>
        <v/>
      </c>
      <c r="BM253" s="17">
        <f>BI253-BK253</f>
        <v/>
      </c>
    </row>
    <row r="254" ht="19" customHeight="1">
      <c r="A254" s="4" t="n">
        <v>251</v>
      </c>
      <c r="B254" s="5" t="inlineStr">
        <is>
          <t>25354441064</t>
        </is>
      </c>
      <c r="C254" s="6" t="inlineStr">
        <is>
          <t>METANET DİNÇER</t>
        </is>
      </c>
      <c r="D254" s="4" t="inlineStr">
        <is>
          <t>K</t>
        </is>
      </c>
      <c r="E254" s="4" t="inlineStr"/>
      <c r="F254" s="4" t="inlineStr">
        <is>
          <t>19.07.2026</t>
        </is>
      </c>
      <c r="G254" s="4" t="inlineStr"/>
      <c r="H254" s="4" t="inlineStr">
        <is>
          <t>NORMAL</t>
        </is>
      </c>
      <c r="I254" s="4" t="inlineStr">
        <is>
          <t>MEVSİMLİK</t>
        </is>
      </c>
      <c r="J254" s="6" t="inlineStr">
        <is>
          <t>ÜRETİM</t>
        </is>
      </c>
      <c r="K254" s="6" t="inlineStr">
        <is>
          <t>KARACABEY-HALİL</t>
        </is>
      </c>
      <c r="L254" s="7" t="n">
        <v>28075.5</v>
      </c>
      <c r="M254" s="4" t="inlineStr">
        <is>
          <t>FİDE KONSERVE</t>
        </is>
      </c>
      <c r="N254" s="4" t="inlineStr">
        <is>
          <t>ALIR</t>
        </is>
      </c>
      <c r="O254" s="8" t="n">
        <v>10.5</v>
      </c>
      <c r="P254" s="8" t="n">
        <v>10.5</v>
      </c>
      <c r="Q254" s="8" t="n">
        <v>10.5</v>
      </c>
      <c r="R254" s="9" t="n">
        <v>10.5</v>
      </c>
      <c r="S254" s="8" t="n">
        <v>0</v>
      </c>
      <c r="T254" s="8" t="n">
        <v>10.5</v>
      </c>
      <c r="U254" s="8" t="n">
        <v>10.5</v>
      </c>
      <c r="V254" s="8" t="n">
        <v>10.5</v>
      </c>
      <c r="W254" s="8" t="n">
        <v>0</v>
      </c>
      <c r="X254" s="8" t="n">
        <v>0</v>
      </c>
      <c r="Y254" s="9" t="n">
        <v>0</v>
      </c>
      <c r="Z254" s="8" t="n">
        <v>0</v>
      </c>
      <c r="AA254" s="8" t="n">
        <v>0</v>
      </c>
      <c r="AB254" s="8" t="n">
        <v>0</v>
      </c>
      <c r="AC254" s="8" t="n">
        <v>0</v>
      </c>
      <c r="AD254" s="8" t="n">
        <v>0</v>
      </c>
      <c r="AE254" s="8" t="n">
        <v>0</v>
      </c>
      <c r="AF254" s="9" t="n">
        <v>0</v>
      </c>
      <c r="AG254" s="8" t="n">
        <v>10.5</v>
      </c>
      <c r="AH254" s="8" t="n">
        <v>0</v>
      </c>
      <c r="AI254" s="8" t="n">
        <v>0</v>
      </c>
      <c r="AJ254" s="8" t="n">
        <v>0</v>
      </c>
      <c r="AK254" s="8" t="n">
        <v>0</v>
      </c>
      <c r="AL254" s="8" t="n">
        <v>0</v>
      </c>
      <c r="AM254" s="9" t="n">
        <v>0</v>
      </c>
      <c r="AN254" s="8" t="n">
        <v>0</v>
      </c>
      <c r="AO254" s="8" t="n">
        <v>0</v>
      </c>
      <c r="AP254" s="8" t="n">
        <v>0</v>
      </c>
      <c r="AQ254" s="8" t="n">
        <v>0</v>
      </c>
      <c r="AR254" s="8" t="n">
        <v>0</v>
      </c>
      <c r="AS254" s="8" t="n">
        <v>0</v>
      </c>
      <c r="AT254" s="10">
        <f>SUM(O254:AS254)</f>
        <v/>
      </c>
      <c r="AU254" s="11">
        <f>COUNTIF(O254:AS254, "&gt;0")</f>
        <v/>
      </c>
      <c r="AV254" s="12">
        <f>IF(AU254&gt;=5, 4, IF(AU254&gt;0, INT(AU254/6), 0))</f>
        <v/>
      </c>
      <c r="AW254" s="11" t="n">
        <v>0</v>
      </c>
      <c r="AX254" s="11" t="n">
        <v>0</v>
      </c>
      <c r="AY254" s="13">
        <f>MIN(31, AU254+AV254+AW254+AX254)</f>
        <v/>
      </c>
      <c r="AZ254" s="14">
        <f>31-AY254</f>
        <v/>
      </c>
      <c r="BA254" s="5">
        <f>IF(AX254&gt;0, "01-İstirahat", IF(AZ254&gt;0, "12-Birden Fazla", ""))</f>
        <v/>
      </c>
      <c r="BB254" s="10" t="n">
        <v>21</v>
      </c>
      <c r="BC254" s="8" t="n">
        <v>0</v>
      </c>
      <c r="BD254" s="9" t="n">
        <v>10.5</v>
      </c>
      <c r="BE254" s="7">
        <f>(L254/30)*AU254</f>
        <v/>
      </c>
      <c r="BF254" s="15">
        <f>(L254/225)*((BB254*1.5)-(BC254*1.0))</f>
        <v/>
      </c>
      <c r="BG254" s="16">
        <f>(L254/225)*1.5*BD254</f>
        <v/>
      </c>
      <c r="BH254" s="15">
        <f>BF254+BG254</f>
        <v/>
      </c>
      <c r="BI254" s="17">
        <f>BE254+BH254</f>
        <v/>
      </c>
      <c r="BJ254" s="7">
        <f>IFERROR(VLOOKUP(B254, Resmi_Bordro_SGK!B:M, 11, FALSE), 0)</f>
        <v/>
      </c>
      <c r="BK254" s="18">
        <f>IFERROR(VLOOKUP(B254, Icra_Takip!A:E, 4, FALSE), 0)</f>
        <v/>
      </c>
      <c r="BL254" s="17">
        <f>IF(BI254&gt;BJ254, BI254-BJ254-BK254, 0)</f>
        <v/>
      </c>
      <c r="BM254" s="17">
        <f>BI254-BK254</f>
        <v/>
      </c>
    </row>
    <row r="255" ht="19" customHeight="1">
      <c r="A255" s="4" t="n">
        <v>252</v>
      </c>
      <c r="B255" s="5" t="inlineStr"/>
      <c r="C255" s="6" t="inlineStr">
        <is>
          <t>METİN KAR</t>
        </is>
      </c>
      <c r="D255" s="4" t="inlineStr"/>
      <c r="E255" s="4" t="inlineStr"/>
      <c r="F255" s="4" t="inlineStr"/>
      <c r="G255" s="4" t="inlineStr"/>
      <c r="H255" s="4" t="inlineStr">
        <is>
          <t>NORMAL</t>
        </is>
      </c>
      <c r="I255" s="4" t="inlineStr">
        <is>
          <t>MEVSİMLİK</t>
        </is>
      </c>
      <c r="J255" s="6" t="inlineStr"/>
      <c r="K255" s="6" t="inlineStr"/>
      <c r="L255" s="7" t="n">
        <v>28075.5</v>
      </c>
      <c r="M255" s="4" t="inlineStr">
        <is>
          <t>FİDE KONSERVE</t>
        </is>
      </c>
      <c r="N255" s="4" t="inlineStr">
        <is>
          <t>ALIR</t>
        </is>
      </c>
      <c r="O255" s="19" t="n">
        <v>0</v>
      </c>
      <c r="P255" s="19" t="n">
        <v>0</v>
      </c>
      <c r="Q255" s="19" t="n">
        <v>0</v>
      </c>
      <c r="R255" s="9" t="n">
        <v>0</v>
      </c>
      <c r="S255" s="19" t="n">
        <v>0</v>
      </c>
      <c r="T255" s="19" t="n">
        <v>0</v>
      </c>
      <c r="U255" s="19" t="n">
        <v>0</v>
      </c>
      <c r="V255" s="19" t="n">
        <v>0</v>
      </c>
      <c r="W255" s="19" t="n">
        <v>0</v>
      </c>
      <c r="X255" s="19" t="n">
        <v>0</v>
      </c>
      <c r="Y255" s="9" t="n">
        <v>0</v>
      </c>
      <c r="Z255" s="19" t="n">
        <v>0</v>
      </c>
      <c r="AA255" s="19" t="n">
        <v>0</v>
      </c>
      <c r="AB255" s="19" t="n">
        <v>0</v>
      </c>
      <c r="AC255" s="19" t="n">
        <v>0</v>
      </c>
      <c r="AD255" s="19" t="n">
        <v>0</v>
      </c>
      <c r="AE255" s="19" t="n">
        <v>0</v>
      </c>
      <c r="AF255" s="9" t="n">
        <v>0</v>
      </c>
      <c r="AG255" s="19" t="n">
        <v>0</v>
      </c>
      <c r="AH255" s="19" t="n">
        <v>0</v>
      </c>
      <c r="AI255" s="19" t="n">
        <v>0</v>
      </c>
      <c r="AJ255" s="19" t="n">
        <v>0</v>
      </c>
      <c r="AK255" s="19" t="n">
        <v>0</v>
      </c>
      <c r="AL255" s="19" t="n">
        <v>0</v>
      </c>
      <c r="AM255" s="9" t="n">
        <v>0</v>
      </c>
      <c r="AN255" s="19" t="n">
        <v>0</v>
      </c>
      <c r="AO255" s="19" t="n">
        <v>0</v>
      </c>
      <c r="AP255" s="19" t="n">
        <v>0</v>
      </c>
      <c r="AQ255" s="19" t="n">
        <v>0</v>
      </c>
      <c r="AR255" s="19" t="n">
        <v>0</v>
      </c>
      <c r="AS255" s="19" t="n">
        <v>0</v>
      </c>
      <c r="AT255" s="10">
        <f>SUM(O255:AS255)</f>
        <v/>
      </c>
      <c r="AU255" s="20">
        <f>COUNTIF(O255:AS255, "&gt;0")</f>
        <v/>
      </c>
      <c r="AV255" s="12">
        <f>IF(AU255&gt;=5, 4, IF(AU255&gt;0, INT(AU255/6), 0))</f>
        <v/>
      </c>
      <c r="AW255" s="20" t="n">
        <v>0</v>
      </c>
      <c r="AX255" s="20" t="n">
        <v>0</v>
      </c>
      <c r="AY255" s="13">
        <f>MIN(31, AU255+AV255+AW255+AX255)</f>
        <v/>
      </c>
      <c r="AZ255" s="14">
        <f>31-AY255</f>
        <v/>
      </c>
      <c r="BA255" s="21">
        <f>IF(AX255&gt;0, "01-İstirahat", IF(AZ255&gt;0, "12-Birden Fazla", ""))</f>
        <v/>
      </c>
      <c r="BB255" s="10" t="n">
        <v>0</v>
      </c>
      <c r="BC255" s="19" t="n">
        <v>0</v>
      </c>
      <c r="BD255" s="9" t="n">
        <v>0</v>
      </c>
      <c r="BE255" s="22">
        <f>(L255/30)*AU255</f>
        <v/>
      </c>
      <c r="BF255" s="15">
        <f>(L255/225)*((BB255*1.5)-(BC255*1.0))</f>
        <v/>
      </c>
      <c r="BG255" s="16">
        <f>(L255/225)*1.5*BD255</f>
        <v/>
      </c>
      <c r="BH255" s="15">
        <f>BF255+BG255</f>
        <v/>
      </c>
      <c r="BI255" s="17">
        <f>BE255+BH255</f>
        <v/>
      </c>
      <c r="BJ255" s="22">
        <f>IFERROR(VLOOKUP(B255, Resmi_Bordro_SGK!B:M, 11, FALSE), 0)</f>
        <v/>
      </c>
      <c r="BK255" s="18">
        <f>IFERROR(VLOOKUP(B255, Icra_Takip!A:E, 4, FALSE), 0)</f>
        <v/>
      </c>
      <c r="BL255" s="17">
        <f>IF(BI255&gt;BJ255, BI255-BJ255-BK255, 0)</f>
        <v/>
      </c>
      <c r="BM255" s="17">
        <f>BI255-BK255</f>
        <v/>
      </c>
    </row>
    <row r="256" ht="19" customHeight="1">
      <c r="A256" s="4" t="n">
        <v>253</v>
      </c>
      <c r="B256" s="5" t="inlineStr">
        <is>
          <t>99248627704</t>
        </is>
      </c>
      <c r="C256" s="6" t="inlineStr">
        <is>
          <t>MHD BASSEL ALZALEK(BASİL)</t>
        </is>
      </c>
      <c r="D256" s="4" t="inlineStr">
        <is>
          <t>E</t>
        </is>
      </c>
      <c r="E256" s="4" t="inlineStr"/>
      <c r="F256" s="4" t="inlineStr">
        <is>
          <t>01.02.2023</t>
        </is>
      </c>
      <c r="G256" s="4" t="inlineStr"/>
      <c r="H256" s="4" t="inlineStr">
        <is>
          <t>NORMAL</t>
        </is>
      </c>
      <c r="I256" s="4" t="inlineStr">
        <is>
          <t>DAİMİ</t>
        </is>
      </c>
      <c r="J256" s="6" t="inlineStr">
        <is>
          <t>ELEKTRİK</t>
        </is>
      </c>
      <c r="K256" s="6" t="inlineStr">
        <is>
          <t>SUSURLUK</t>
        </is>
      </c>
      <c r="L256" s="7" t="n">
        <v>36000</v>
      </c>
      <c r="M256" s="4" t="inlineStr">
        <is>
          <t>FİDE KONSERVE</t>
        </is>
      </c>
      <c r="N256" s="4" t="inlineStr">
        <is>
          <t>ALIR</t>
        </is>
      </c>
      <c r="O256" s="23" t="n">
        <v>7.5</v>
      </c>
      <c r="P256" s="23" t="n">
        <v>7.5</v>
      </c>
      <c r="Q256" s="23" t="n">
        <v>7.5</v>
      </c>
      <c r="R256" s="9" t="n">
        <v>7.5</v>
      </c>
      <c r="S256" s="23" t="n">
        <v>7.5</v>
      </c>
      <c r="T256" s="23" t="n">
        <v>7.5</v>
      </c>
      <c r="U256" s="23" t="n">
        <v>7.5</v>
      </c>
      <c r="V256" s="23" t="n">
        <v>7.5</v>
      </c>
      <c r="W256" s="23" t="n">
        <v>7.5</v>
      </c>
      <c r="X256" s="23" t="n">
        <v>7.5</v>
      </c>
      <c r="Y256" s="9" t="n">
        <v>7.5</v>
      </c>
      <c r="Z256" s="23" t="n">
        <v>7.5</v>
      </c>
      <c r="AA256" s="23" t="n">
        <v>7.5</v>
      </c>
      <c r="AB256" s="23" t="n">
        <v>7.5</v>
      </c>
      <c r="AC256" s="23" t="n">
        <v>7.5</v>
      </c>
      <c r="AD256" s="23" t="n">
        <v>7.5</v>
      </c>
      <c r="AE256" s="23" t="n">
        <v>7.5</v>
      </c>
      <c r="AF256" s="9" t="n">
        <v>7.5</v>
      </c>
      <c r="AG256" s="23" t="n">
        <v>7.5</v>
      </c>
      <c r="AH256" s="23" t="n">
        <v>7.5</v>
      </c>
      <c r="AI256" s="23" t="n">
        <v>7.5</v>
      </c>
      <c r="AJ256" s="8" t="n">
        <v>0</v>
      </c>
      <c r="AK256" s="8" t="n">
        <v>0</v>
      </c>
      <c r="AL256" s="8" t="n">
        <v>0</v>
      </c>
      <c r="AM256" s="9" t="n">
        <v>0</v>
      </c>
      <c r="AN256" s="8" t="n">
        <v>0</v>
      </c>
      <c r="AO256" s="8" t="n">
        <v>0</v>
      </c>
      <c r="AP256" s="8" t="n">
        <v>0</v>
      </c>
      <c r="AQ256" s="8" t="n">
        <v>0</v>
      </c>
      <c r="AR256" s="8" t="n">
        <v>0</v>
      </c>
      <c r="AS256" s="8" t="n">
        <v>0</v>
      </c>
      <c r="AT256" s="10">
        <f>SUM(O256:AS256)</f>
        <v/>
      </c>
      <c r="AU256" s="11">
        <f>COUNTIF(O256:AS256, "&gt;0")</f>
        <v/>
      </c>
      <c r="AV256" s="12">
        <f>IF(AU256&gt;=5, 4, IF(AU256&gt;0, INT(AU256/6), 0))</f>
        <v/>
      </c>
      <c r="AW256" s="11" t="n">
        <v>0</v>
      </c>
      <c r="AX256" s="11" t="n">
        <v>0</v>
      </c>
      <c r="AY256" s="13">
        <f>MIN(31, AU256+AV256+AW256+AX256)</f>
        <v/>
      </c>
      <c r="AZ256" s="14">
        <f>31-AY256</f>
        <v/>
      </c>
      <c r="BA256" s="5">
        <f>IF(AX256&gt;0, "01-İstirahat", IF(AZ256&gt;0, "12-Birden Fazla", ""))</f>
        <v/>
      </c>
      <c r="BB256" s="10" t="n">
        <v>0</v>
      </c>
      <c r="BC256" s="8" t="n">
        <v>0</v>
      </c>
      <c r="BD256" s="9" t="n">
        <v>22.5</v>
      </c>
      <c r="BE256" s="7">
        <f>(L256/30)*AU256</f>
        <v/>
      </c>
      <c r="BF256" s="15">
        <f>(L256/225)*((BB256*1.5)-(BC256*1.0))</f>
        <v/>
      </c>
      <c r="BG256" s="16">
        <f>(L256/225)*1.5*BD256</f>
        <v/>
      </c>
      <c r="BH256" s="15">
        <f>BF256+BG256</f>
        <v/>
      </c>
      <c r="BI256" s="17">
        <f>BE256+BH256</f>
        <v/>
      </c>
      <c r="BJ256" s="7">
        <f>IFERROR(VLOOKUP(B256, Resmi_Bordro_SGK!B:M, 11, FALSE), 0)</f>
        <v/>
      </c>
      <c r="BK256" s="18">
        <f>IFERROR(VLOOKUP(B256, Icra_Takip!A:E, 4, FALSE), 0)</f>
        <v/>
      </c>
      <c r="BL256" s="17">
        <f>IF(BI256&gt;BJ256, BI256-BJ256-BK256, 0)</f>
        <v/>
      </c>
      <c r="BM256" s="17">
        <f>BI256-BK256</f>
        <v/>
      </c>
    </row>
    <row r="257" ht="19" customHeight="1">
      <c r="A257" s="4" t="n">
        <v>254</v>
      </c>
      <c r="B257" s="5" t="inlineStr"/>
      <c r="C257" s="6" t="inlineStr">
        <is>
          <t>MUHAMMED BATIBEY</t>
        </is>
      </c>
      <c r="D257" s="4" t="inlineStr"/>
      <c r="E257" s="4" t="inlineStr"/>
      <c r="F257" s="4" t="inlineStr"/>
      <c r="G257" s="4" t="inlineStr"/>
      <c r="H257" s="4" t="inlineStr">
        <is>
          <t>NORMAL</t>
        </is>
      </c>
      <c r="I257" s="4" t="inlineStr">
        <is>
          <t>MEVSİMLİK</t>
        </is>
      </c>
      <c r="J257" s="6" t="inlineStr"/>
      <c r="K257" s="6" t="inlineStr"/>
      <c r="L257" s="7" t="n">
        <v>28075.5</v>
      </c>
      <c r="M257" s="4" t="inlineStr">
        <is>
          <t>FİDE KONSERVE</t>
        </is>
      </c>
      <c r="N257" s="4" t="inlineStr">
        <is>
          <t>ALIR</t>
        </is>
      </c>
      <c r="O257" s="19" t="n">
        <v>0</v>
      </c>
      <c r="P257" s="19" t="n">
        <v>0</v>
      </c>
      <c r="Q257" s="19" t="n">
        <v>0</v>
      </c>
      <c r="R257" s="9" t="n">
        <v>0</v>
      </c>
      <c r="S257" s="19" t="n">
        <v>0</v>
      </c>
      <c r="T257" s="19" t="n">
        <v>0</v>
      </c>
      <c r="U257" s="19" t="n">
        <v>7</v>
      </c>
      <c r="V257" s="19" t="n">
        <v>0</v>
      </c>
      <c r="W257" s="19" t="n">
        <v>0</v>
      </c>
      <c r="X257" s="19" t="n">
        <v>0</v>
      </c>
      <c r="Y257" s="9" t="n">
        <v>0</v>
      </c>
      <c r="Z257" s="19" t="n">
        <v>0</v>
      </c>
      <c r="AA257" s="19" t="n">
        <v>0</v>
      </c>
      <c r="AB257" s="19" t="n">
        <v>0</v>
      </c>
      <c r="AC257" s="19" t="n">
        <v>0</v>
      </c>
      <c r="AD257" s="19" t="n">
        <v>0</v>
      </c>
      <c r="AE257" s="19" t="n">
        <v>0</v>
      </c>
      <c r="AF257" s="9" t="n">
        <v>0</v>
      </c>
      <c r="AG257" s="19" t="n">
        <v>0</v>
      </c>
      <c r="AH257" s="19" t="n">
        <v>0</v>
      </c>
      <c r="AI257" s="19" t="n">
        <v>0</v>
      </c>
      <c r="AJ257" s="19" t="n">
        <v>0</v>
      </c>
      <c r="AK257" s="19" t="n">
        <v>0</v>
      </c>
      <c r="AL257" s="19" t="n">
        <v>0</v>
      </c>
      <c r="AM257" s="9" t="n">
        <v>0</v>
      </c>
      <c r="AN257" s="19" t="n">
        <v>0</v>
      </c>
      <c r="AO257" s="19" t="n">
        <v>0</v>
      </c>
      <c r="AP257" s="19" t="n">
        <v>0</v>
      </c>
      <c r="AQ257" s="19" t="n">
        <v>0</v>
      </c>
      <c r="AR257" s="19" t="n">
        <v>0</v>
      </c>
      <c r="AS257" s="19" t="n">
        <v>0</v>
      </c>
      <c r="AT257" s="10">
        <f>SUM(O257:AS257)</f>
        <v/>
      </c>
      <c r="AU257" s="20">
        <f>COUNTIF(O257:AS257, "&gt;0")</f>
        <v/>
      </c>
      <c r="AV257" s="12">
        <f>IF(AU257&gt;=5, 4, IF(AU257&gt;0, INT(AU257/6), 0))</f>
        <v/>
      </c>
      <c r="AW257" s="20" t="n">
        <v>0</v>
      </c>
      <c r="AX257" s="20" t="n">
        <v>0</v>
      </c>
      <c r="AY257" s="13">
        <f>MIN(31, AU257+AV257+AW257+AX257)</f>
        <v/>
      </c>
      <c r="AZ257" s="14">
        <f>31-AY257</f>
        <v/>
      </c>
      <c r="BA257" s="21">
        <f>IF(AX257&gt;0, "01-İstirahat", IF(AZ257&gt;0, "12-Birden Fazla", ""))</f>
        <v/>
      </c>
      <c r="BB257" s="10" t="n">
        <v>0</v>
      </c>
      <c r="BC257" s="23" t="n">
        <v>0.5</v>
      </c>
      <c r="BD257" s="9" t="n">
        <v>0</v>
      </c>
      <c r="BE257" s="22">
        <f>(L257/30)*AU257</f>
        <v/>
      </c>
      <c r="BF257" s="15">
        <f>(L257/225)*((BB257*1.5)-(BC257*1.0))</f>
        <v/>
      </c>
      <c r="BG257" s="16">
        <f>(L257/225)*1.5*BD257</f>
        <v/>
      </c>
      <c r="BH257" s="15">
        <f>BF257+BG257</f>
        <v/>
      </c>
      <c r="BI257" s="17">
        <f>BE257+BH257</f>
        <v/>
      </c>
      <c r="BJ257" s="22">
        <f>IFERROR(VLOOKUP(B257, Resmi_Bordro_SGK!B:M, 11, FALSE), 0)</f>
        <v/>
      </c>
      <c r="BK257" s="18">
        <f>IFERROR(VLOOKUP(B257, Icra_Takip!A:E, 4, FALSE), 0)</f>
        <v/>
      </c>
      <c r="BL257" s="17">
        <f>IF(BI257&gt;BJ257, BI257-BJ257-BK257, 0)</f>
        <v/>
      </c>
      <c r="BM257" s="17">
        <f>BI257-BK257</f>
        <v/>
      </c>
    </row>
    <row r="258" ht="19" customHeight="1">
      <c r="A258" s="4" t="n">
        <v>255</v>
      </c>
      <c r="B258" s="5" t="inlineStr">
        <is>
          <t>99347757876</t>
        </is>
      </c>
      <c r="C258" s="6" t="inlineStr">
        <is>
          <t>MUHAMMED SAMİH SERHAN(SEMİH)</t>
        </is>
      </c>
      <c r="D258" s="4" t="inlineStr">
        <is>
          <t>E</t>
        </is>
      </c>
      <c r="E258" s="4" t="inlineStr"/>
      <c r="F258" s="4" t="inlineStr">
        <is>
          <t>19.01.2023</t>
        </is>
      </c>
      <c r="G258" s="4" t="inlineStr"/>
      <c r="H258" s="4" t="inlineStr">
        <is>
          <t>NORMAL</t>
        </is>
      </c>
      <c r="I258" s="4" t="inlineStr">
        <is>
          <t>DAİMİ</t>
        </is>
      </c>
      <c r="J258" s="6" t="inlineStr">
        <is>
          <t>AMBAR</t>
        </is>
      </c>
      <c r="K258" s="6" t="inlineStr">
        <is>
          <t>GÖBEL</t>
        </is>
      </c>
      <c r="L258" s="7" t="n">
        <v>36000</v>
      </c>
      <c r="M258" s="4" t="inlineStr">
        <is>
          <t>FİDE KONSERVE</t>
        </is>
      </c>
      <c r="N258" s="4" t="inlineStr">
        <is>
          <t>ALIR</t>
        </is>
      </c>
      <c r="O258" s="8" t="n">
        <v>5.5</v>
      </c>
      <c r="P258" s="8" t="n">
        <v>10.5</v>
      </c>
      <c r="Q258" s="8" t="n">
        <v>0</v>
      </c>
      <c r="R258" s="9" t="n">
        <v>7</v>
      </c>
      <c r="S258" s="8" t="n">
        <v>0</v>
      </c>
      <c r="T258" s="8" t="n">
        <v>10.5</v>
      </c>
      <c r="U258" s="8" t="n">
        <v>7.5</v>
      </c>
      <c r="V258" s="8" t="n">
        <v>9</v>
      </c>
      <c r="W258" s="8" t="n">
        <v>10</v>
      </c>
      <c r="X258" s="8" t="n">
        <v>6</v>
      </c>
      <c r="Y258" s="9" t="n">
        <v>7</v>
      </c>
      <c r="Z258" s="8" t="n">
        <v>3.5</v>
      </c>
      <c r="AA258" s="8" t="n">
        <v>7</v>
      </c>
      <c r="AB258" s="8" t="n">
        <v>5.5</v>
      </c>
      <c r="AC258" s="8" t="n">
        <v>9.5</v>
      </c>
      <c r="AD258" s="8" t="n">
        <v>8.5</v>
      </c>
      <c r="AE258" s="23" t="n">
        <v>8</v>
      </c>
      <c r="AF258" s="9" t="n">
        <v>7.5</v>
      </c>
      <c r="AG258" s="8" t="n">
        <v>5.5</v>
      </c>
      <c r="AH258" s="8" t="n">
        <v>9</v>
      </c>
      <c r="AI258" s="8" t="n">
        <v>5.5</v>
      </c>
      <c r="AJ258" s="8" t="n">
        <v>0</v>
      </c>
      <c r="AK258" s="8" t="n">
        <v>0</v>
      </c>
      <c r="AL258" s="8" t="n">
        <v>0</v>
      </c>
      <c r="AM258" s="9" t="n">
        <v>0</v>
      </c>
      <c r="AN258" s="8" t="n">
        <v>0</v>
      </c>
      <c r="AO258" s="8" t="n">
        <v>0</v>
      </c>
      <c r="AP258" s="8" t="n">
        <v>0</v>
      </c>
      <c r="AQ258" s="8" t="n">
        <v>0</v>
      </c>
      <c r="AR258" s="8" t="n">
        <v>0</v>
      </c>
      <c r="AS258" s="8" t="n">
        <v>0</v>
      </c>
      <c r="AT258" s="10">
        <f>SUM(O258:AS258)</f>
        <v/>
      </c>
      <c r="AU258" s="11">
        <f>COUNTIF(O258:AS258, "&gt;0")</f>
        <v/>
      </c>
      <c r="AV258" s="12">
        <f>IF(AU258&gt;=5, 4, IF(AU258&gt;0, INT(AU258/6), 0))</f>
        <v/>
      </c>
      <c r="AW258" s="11" t="n">
        <v>0</v>
      </c>
      <c r="AX258" s="11" t="n">
        <v>0</v>
      </c>
      <c r="AY258" s="13">
        <f>MIN(31, AU258+AV258+AW258+AX258)</f>
        <v/>
      </c>
      <c r="AZ258" s="14">
        <f>31-AY258</f>
        <v/>
      </c>
      <c r="BA258" s="5">
        <f>IF(AX258&gt;0, "01-İstirahat", IF(AZ258&gt;0, "12-Birden Fazla", ""))</f>
        <v/>
      </c>
      <c r="BB258" s="10" t="n">
        <v>19.5</v>
      </c>
      <c r="BC258" s="23" t="n">
        <v>14</v>
      </c>
      <c r="BD258" s="9" t="n">
        <v>21.5</v>
      </c>
      <c r="BE258" s="7">
        <f>(L258/30)*AU258</f>
        <v/>
      </c>
      <c r="BF258" s="15">
        <f>(L258/225)*((BB258*1.5)-(BC258*1.0))</f>
        <v/>
      </c>
      <c r="BG258" s="16">
        <f>(L258/225)*1.5*BD258</f>
        <v/>
      </c>
      <c r="BH258" s="15">
        <f>BF258+BG258</f>
        <v/>
      </c>
      <c r="BI258" s="17">
        <f>BE258+BH258</f>
        <v/>
      </c>
      <c r="BJ258" s="7">
        <f>IFERROR(VLOOKUP(B258, Resmi_Bordro_SGK!B:M, 11, FALSE), 0)</f>
        <v/>
      </c>
      <c r="BK258" s="18">
        <f>IFERROR(VLOOKUP(B258, Icra_Takip!A:E, 4, FALSE), 0)</f>
        <v/>
      </c>
      <c r="BL258" s="17">
        <f>IF(BI258&gt;BJ258, BI258-BJ258-BK258, 0)</f>
        <v/>
      </c>
      <c r="BM258" s="17">
        <f>BI258-BK258</f>
        <v/>
      </c>
    </row>
    <row r="259" ht="19" customHeight="1">
      <c r="A259" s="4" t="n">
        <v>256</v>
      </c>
      <c r="B259" s="5" t="inlineStr">
        <is>
          <t>23329391024</t>
        </is>
      </c>
      <c r="C259" s="6" t="inlineStr">
        <is>
          <t>MUKATDES KARAMANOĞLU</t>
        </is>
      </c>
      <c r="D259" s="4" t="inlineStr">
        <is>
          <t>K</t>
        </is>
      </c>
      <c r="E259" s="4" t="inlineStr"/>
      <c r="F259" s="4" t="inlineStr">
        <is>
          <t>24.10.2025</t>
        </is>
      </c>
      <c r="G259" s="4" t="inlineStr"/>
      <c r="H259" s="4" t="inlineStr">
        <is>
          <t>SGDP</t>
        </is>
      </c>
      <c r="I259" s="4" t="inlineStr">
        <is>
          <t>MEVSİMLİK</t>
        </is>
      </c>
      <c r="J259" s="6" t="inlineStr">
        <is>
          <t>BALIK TEMİZLEME</t>
        </is>
      </c>
      <c r="K259" s="6" t="inlineStr">
        <is>
          <t>BALIKESİR</t>
        </is>
      </c>
      <c r="L259" s="7" t="n">
        <v>33000</v>
      </c>
      <c r="M259" s="4" t="inlineStr">
        <is>
          <t>FİDE KONSERVE</t>
        </is>
      </c>
      <c r="N259" s="4" t="inlineStr">
        <is>
          <t>ALIR</t>
        </is>
      </c>
      <c r="O259" s="19" t="n">
        <v>8</v>
      </c>
      <c r="P259" s="19" t="n">
        <v>8.5</v>
      </c>
      <c r="Q259" s="19" t="n">
        <v>8</v>
      </c>
      <c r="R259" s="9" t="n">
        <v>0</v>
      </c>
      <c r="S259" s="19" t="n">
        <v>7.5</v>
      </c>
      <c r="T259" s="19" t="n">
        <v>8</v>
      </c>
      <c r="U259" s="19" t="n">
        <v>7.5</v>
      </c>
      <c r="V259" s="19" t="n">
        <v>8</v>
      </c>
      <c r="W259" s="19" t="n">
        <v>8</v>
      </c>
      <c r="X259" s="19" t="n">
        <v>8.5</v>
      </c>
      <c r="Y259" s="9" t="n">
        <v>0</v>
      </c>
      <c r="Z259" s="19" t="n">
        <v>7.5</v>
      </c>
      <c r="AA259" s="19" t="n">
        <v>7.5</v>
      </c>
      <c r="AB259" s="19" t="n">
        <v>8.5</v>
      </c>
      <c r="AC259" s="19" t="n">
        <v>7.5</v>
      </c>
      <c r="AD259" s="19" t="n">
        <v>7.5</v>
      </c>
      <c r="AE259" s="19" t="n">
        <v>8.5</v>
      </c>
      <c r="AF259" s="9" t="n">
        <v>0</v>
      </c>
      <c r="AG259" s="19" t="n">
        <v>8</v>
      </c>
      <c r="AH259" s="19" t="n">
        <v>7.5</v>
      </c>
      <c r="AI259" s="19" t="n">
        <v>7.5</v>
      </c>
      <c r="AJ259" s="19" t="n">
        <v>0</v>
      </c>
      <c r="AK259" s="19" t="n">
        <v>0</v>
      </c>
      <c r="AL259" s="19" t="n">
        <v>0</v>
      </c>
      <c r="AM259" s="9" t="n">
        <v>0</v>
      </c>
      <c r="AN259" s="19" t="n">
        <v>0</v>
      </c>
      <c r="AO259" s="19" t="n">
        <v>0</v>
      </c>
      <c r="AP259" s="19" t="n">
        <v>0</v>
      </c>
      <c r="AQ259" s="19" t="n">
        <v>0</v>
      </c>
      <c r="AR259" s="19" t="n">
        <v>0</v>
      </c>
      <c r="AS259" s="19" t="n">
        <v>0</v>
      </c>
      <c r="AT259" s="10">
        <f>SUM(O259:AS259)</f>
        <v/>
      </c>
      <c r="AU259" s="20">
        <f>COUNTIF(O259:AS259, "&gt;0")</f>
        <v/>
      </c>
      <c r="AV259" s="12">
        <f>IF(AU259&gt;=5, 4, IF(AU259&gt;0, INT(AU259/6), 0))</f>
        <v/>
      </c>
      <c r="AW259" s="20" t="n">
        <v>2</v>
      </c>
      <c r="AX259" s="20" t="n">
        <v>0</v>
      </c>
      <c r="AY259" s="13">
        <f>MIN(31, AU259+AV259+AW259+AX259)</f>
        <v/>
      </c>
      <c r="AZ259" s="14">
        <f>31-AY259</f>
        <v/>
      </c>
      <c r="BA259" s="21">
        <f>IF(AX259&gt;0, "01-İstirahat", IF(AZ259&gt;0, "12-Birden Fazla", ""))</f>
        <v/>
      </c>
      <c r="BB259" s="10" t="n">
        <v>7</v>
      </c>
      <c r="BC259" s="19" t="n">
        <v>0</v>
      </c>
      <c r="BD259" s="9" t="n">
        <v>0</v>
      </c>
      <c r="BE259" s="22">
        <f>(L259/30)*AU259</f>
        <v/>
      </c>
      <c r="BF259" s="15">
        <f>(L259/225)*((BB259*1.5)-(BC259*1.0))</f>
        <v/>
      </c>
      <c r="BG259" s="16">
        <f>(L259/225)*1.5*BD259</f>
        <v/>
      </c>
      <c r="BH259" s="15">
        <f>BF259+BG259</f>
        <v/>
      </c>
      <c r="BI259" s="17">
        <f>BE259+BH259</f>
        <v/>
      </c>
      <c r="BJ259" s="22">
        <f>IFERROR(VLOOKUP(B259, Resmi_Bordro_SGK!B:M, 11, FALSE), 0)</f>
        <v/>
      </c>
      <c r="BK259" s="18">
        <f>IFERROR(VLOOKUP(B259, Icra_Takip!A:E, 4, FALSE), 0)</f>
        <v/>
      </c>
      <c r="BL259" s="17">
        <f>IF(BI259&gt;BJ259, BI259-BJ259-BK259, 0)</f>
        <v/>
      </c>
      <c r="BM259" s="17">
        <f>BI259-BK259</f>
        <v/>
      </c>
    </row>
    <row r="260" ht="19" customHeight="1">
      <c r="A260" s="4" t="n">
        <v>257</v>
      </c>
      <c r="B260" s="5" t="inlineStr">
        <is>
          <t>15205679746</t>
        </is>
      </c>
      <c r="C260" s="6" t="inlineStr">
        <is>
          <t>MURAT YONSUL</t>
        </is>
      </c>
      <c r="D260" s="4" t="inlineStr">
        <is>
          <t>E</t>
        </is>
      </c>
      <c r="E260" s="4" t="inlineStr"/>
      <c r="F260" s="4" t="inlineStr">
        <is>
          <t>28.11.2025</t>
        </is>
      </c>
      <c r="G260" s="4" t="inlineStr"/>
      <c r="H260" s="4" t="inlineStr">
        <is>
          <t>SGDP</t>
        </is>
      </c>
      <c r="I260" s="4" t="inlineStr">
        <is>
          <t>DAİMİ</t>
        </is>
      </c>
      <c r="J260" s="6" t="inlineStr">
        <is>
          <t>AMBAR</t>
        </is>
      </c>
      <c r="K260" s="6" t="inlineStr">
        <is>
          <t>GÖBEL</t>
        </is>
      </c>
      <c r="L260" s="7" t="n">
        <v>36000</v>
      </c>
      <c r="M260" s="4" t="inlineStr">
        <is>
          <t>FİDE KONSERVE</t>
        </is>
      </c>
      <c r="N260" s="4" t="inlineStr">
        <is>
          <t>ALIR</t>
        </is>
      </c>
      <c r="O260" s="8" t="n">
        <v>11.5</v>
      </c>
      <c r="P260" s="23" t="n">
        <v>7.5</v>
      </c>
      <c r="Q260" s="8" t="n">
        <v>0</v>
      </c>
      <c r="R260" s="9" t="n">
        <v>8</v>
      </c>
      <c r="S260" s="8" t="n">
        <v>11</v>
      </c>
      <c r="T260" s="8" t="n">
        <v>15.5</v>
      </c>
      <c r="U260" s="8" t="n">
        <v>10.5</v>
      </c>
      <c r="V260" s="8" t="n">
        <v>8.5</v>
      </c>
      <c r="W260" s="8" t="n">
        <v>0</v>
      </c>
      <c r="X260" s="8" t="n">
        <v>14.5</v>
      </c>
      <c r="Y260" s="9" t="n">
        <v>7.5</v>
      </c>
      <c r="Z260" s="23" t="n">
        <v>7.5</v>
      </c>
      <c r="AA260" s="8" t="n">
        <v>10.5</v>
      </c>
      <c r="AB260" s="23" t="n">
        <v>7.5</v>
      </c>
      <c r="AC260" s="23" t="n">
        <v>7.5</v>
      </c>
      <c r="AD260" s="8" t="n">
        <v>9</v>
      </c>
      <c r="AE260" s="23" t="n">
        <v>7.5</v>
      </c>
      <c r="AF260" s="9" t="n">
        <v>7.5</v>
      </c>
      <c r="AG260" s="23" t="n">
        <v>7.5</v>
      </c>
      <c r="AH260" s="8" t="n">
        <v>10.5</v>
      </c>
      <c r="AI260" s="23" t="n">
        <v>7.5</v>
      </c>
      <c r="AJ260" s="8" t="n">
        <v>0</v>
      </c>
      <c r="AK260" s="8" t="n">
        <v>0</v>
      </c>
      <c r="AL260" s="8" t="n">
        <v>0</v>
      </c>
      <c r="AM260" s="9" t="n">
        <v>0</v>
      </c>
      <c r="AN260" s="8" t="n">
        <v>0</v>
      </c>
      <c r="AO260" s="8" t="n">
        <v>0</v>
      </c>
      <c r="AP260" s="8" t="n">
        <v>0</v>
      </c>
      <c r="AQ260" s="8" t="n">
        <v>0</v>
      </c>
      <c r="AR260" s="8" t="n">
        <v>0</v>
      </c>
      <c r="AS260" s="8" t="n">
        <v>0</v>
      </c>
      <c r="AT260" s="10">
        <f>SUM(O260:AS260)</f>
        <v/>
      </c>
      <c r="AU260" s="11">
        <f>COUNTIF(O260:AS260, "&gt;0")</f>
        <v/>
      </c>
      <c r="AV260" s="12">
        <f>IF(AU260&gt;=5, 4, IF(AU260&gt;0, INT(AU260/6), 0))</f>
        <v/>
      </c>
      <c r="AW260" s="11" t="n">
        <v>0</v>
      </c>
      <c r="AX260" s="11" t="n">
        <v>0</v>
      </c>
      <c r="AY260" s="13">
        <f>MIN(31, AU260+AV260+AW260+AX260)</f>
        <v/>
      </c>
      <c r="AZ260" s="14">
        <f>31-AY260</f>
        <v/>
      </c>
      <c r="BA260" s="5">
        <f>IF(AX260&gt;0, "01-İstirahat", IF(AZ260&gt;0, "12-Birden Fazla", ""))</f>
        <v/>
      </c>
      <c r="BB260" s="10" t="n">
        <v>34</v>
      </c>
      <c r="BC260" s="8" t="n">
        <v>0</v>
      </c>
      <c r="BD260" s="9" t="n">
        <v>23</v>
      </c>
      <c r="BE260" s="7">
        <f>(L260/30)*AU260</f>
        <v/>
      </c>
      <c r="BF260" s="15">
        <f>(L260/225)*((BB260*1.5)-(BC260*1.0))</f>
        <v/>
      </c>
      <c r="BG260" s="16">
        <f>(L260/225)*1.5*BD260</f>
        <v/>
      </c>
      <c r="BH260" s="15">
        <f>BF260+BG260</f>
        <v/>
      </c>
      <c r="BI260" s="17">
        <f>BE260+BH260</f>
        <v/>
      </c>
      <c r="BJ260" s="7">
        <f>IFERROR(VLOOKUP(B260, Resmi_Bordro_SGK!B:M, 11, FALSE), 0)</f>
        <v/>
      </c>
      <c r="BK260" s="18">
        <f>IFERROR(VLOOKUP(B260, Icra_Takip!A:E, 4, FALSE), 0)</f>
        <v/>
      </c>
      <c r="BL260" s="17">
        <f>IF(BI260&gt;BJ260, BI260-BJ260-BK260, 0)</f>
        <v/>
      </c>
      <c r="BM260" s="17">
        <f>BI260-BK260</f>
        <v/>
      </c>
    </row>
    <row r="261" ht="19" customHeight="1">
      <c r="A261" s="4" t="n">
        <v>258</v>
      </c>
      <c r="B261" s="5" t="inlineStr"/>
      <c r="C261" s="6" t="inlineStr">
        <is>
          <t>MUSTAFA BAYSAN</t>
        </is>
      </c>
      <c r="D261" s="4" t="inlineStr"/>
      <c r="E261" s="4" t="inlineStr"/>
      <c r="F261" s="4" t="inlineStr"/>
      <c r="G261" s="4" t="inlineStr"/>
      <c r="H261" s="4" t="inlineStr">
        <is>
          <t>NORMAL</t>
        </is>
      </c>
      <c r="I261" s="4" t="inlineStr">
        <is>
          <t>MEVSİMLİK</t>
        </is>
      </c>
      <c r="J261" s="6" t="inlineStr"/>
      <c r="K261" s="6" t="inlineStr"/>
      <c r="L261" s="7" t="n">
        <v>28075.5</v>
      </c>
      <c r="M261" s="4" t="inlineStr">
        <is>
          <t>FİDE KONSERVE</t>
        </is>
      </c>
      <c r="N261" s="4" t="inlineStr">
        <is>
          <t>ALIR</t>
        </is>
      </c>
      <c r="O261" s="19" t="n">
        <v>0</v>
      </c>
      <c r="P261" s="19" t="n">
        <v>0</v>
      </c>
      <c r="Q261" s="19" t="n">
        <v>0</v>
      </c>
      <c r="R261" s="9" t="n">
        <v>0</v>
      </c>
      <c r="S261" s="19" t="n">
        <v>0</v>
      </c>
      <c r="T261" s="19" t="n">
        <v>0</v>
      </c>
      <c r="U261" s="19" t="n">
        <v>0</v>
      </c>
      <c r="V261" s="23" t="n">
        <v>10.5</v>
      </c>
      <c r="W261" s="19" t="n">
        <v>10.5</v>
      </c>
      <c r="X261" s="19" t="n">
        <v>10.5</v>
      </c>
      <c r="Y261" s="9" t="n">
        <v>10.5</v>
      </c>
      <c r="Z261" s="19" t="n">
        <v>10.5</v>
      </c>
      <c r="AA261" s="19" t="n">
        <v>10.5</v>
      </c>
      <c r="AB261" s="19" t="n">
        <v>10.5</v>
      </c>
      <c r="AC261" s="19" t="n">
        <v>10.5</v>
      </c>
      <c r="AD261" s="19" t="n">
        <v>0</v>
      </c>
      <c r="AE261" s="19" t="n">
        <v>0</v>
      </c>
      <c r="AF261" s="9" t="n">
        <v>0</v>
      </c>
      <c r="AG261" s="19" t="n">
        <v>10.5</v>
      </c>
      <c r="AH261" s="19" t="n">
        <v>0</v>
      </c>
      <c r="AI261" s="19" t="n">
        <v>0</v>
      </c>
      <c r="AJ261" s="19" t="n">
        <v>0</v>
      </c>
      <c r="AK261" s="19" t="n">
        <v>0</v>
      </c>
      <c r="AL261" s="19" t="n">
        <v>0</v>
      </c>
      <c r="AM261" s="9" t="n">
        <v>0</v>
      </c>
      <c r="AN261" s="19" t="n">
        <v>0</v>
      </c>
      <c r="AO261" s="19" t="n">
        <v>0</v>
      </c>
      <c r="AP261" s="19" t="n">
        <v>0</v>
      </c>
      <c r="AQ261" s="19" t="n">
        <v>0</v>
      </c>
      <c r="AR261" s="19" t="n">
        <v>0</v>
      </c>
      <c r="AS261" s="19" t="n">
        <v>0</v>
      </c>
      <c r="AT261" s="10">
        <f>SUM(O261:AS261)</f>
        <v/>
      </c>
      <c r="AU261" s="20">
        <f>COUNTIF(O261:AS261, "&gt;0")</f>
        <v/>
      </c>
      <c r="AV261" s="12">
        <f>IF(AU261&gt;=5, 4, IF(AU261&gt;0, INT(AU261/6), 0))</f>
        <v/>
      </c>
      <c r="AW261" s="20" t="n">
        <v>0</v>
      </c>
      <c r="AX261" s="20" t="n">
        <v>0</v>
      </c>
      <c r="AY261" s="13">
        <f>MIN(31, AU261+AV261+AW261+AX261)</f>
        <v/>
      </c>
      <c r="AZ261" s="14">
        <f>31-AY261</f>
        <v/>
      </c>
      <c r="BA261" s="21">
        <f>IF(AX261&gt;0, "01-İstirahat", IF(AZ261&gt;0, "12-Birden Fazla", ""))</f>
        <v/>
      </c>
      <c r="BB261" s="10" t="n">
        <v>24</v>
      </c>
      <c r="BC261" s="19" t="n">
        <v>0</v>
      </c>
      <c r="BD261" s="9" t="n">
        <v>10.5</v>
      </c>
      <c r="BE261" s="22">
        <f>(L261/30)*AU261</f>
        <v/>
      </c>
      <c r="BF261" s="15">
        <f>(L261/225)*((BB261*1.5)-(BC261*1.0))</f>
        <v/>
      </c>
      <c r="BG261" s="16">
        <f>(L261/225)*1.5*BD261</f>
        <v/>
      </c>
      <c r="BH261" s="15">
        <f>BF261+BG261</f>
        <v/>
      </c>
      <c r="BI261" s="17">
        <f>BE261+BH261</f>
        <v/>
      </c>
      <c r="BJ261" s="22">
        <f>IFERROR(VLOOKUP(B261, Resmi_Bordro_SGK!B:M, 11, FALSE), 0)</f>
        <v/>
      </c>
      <c r="BK261" s="18">
        <f>IFERROR(VLOOKUP(B261, Icra_Takip!A:E, 4, FALSE), 0)</f>
        <v/>
      </c>
      <c r="BL261" s="17">
        <f>IF(BI261&gt;BJ261, BI261-BJ261-BK261, 0)</f>
        <v/>
      </c>
      <c r="BM261" s="17">
        <f>BI261-BK261</f>
        <v/>
      </c>
    </row>
    <row r="262" ht="19" customHeight="1">
      <c r="A262" s="4" t="n">
        <v>259</v>
      </c>
      <c r="B262" s="5" t="inlineStr">
        <is>
          <t>10324953142</t>
        </is>
      </c>
      <c r="C262" s="6" t="inlineStr">
        <is>
          <t>MUSTAFA KASACI</t>
        </is>
      </c>
      <c r="D262" s="4" t="inlineStr">
        <is>
          <t>E</t>
        </is>
      </c>
      <c r="E262" s="4" t="inlineStr"/>
      <c r="F262" s="4" t="inlineStr">
        <is>
          <t>08.08.2026</t>
        </is>
      </c>
      <c r="G262" s="4" t="inlineStr"/>
      <c r="H262" s="4" t="inlineStr">
        <is>
          <t>NORMAL</t>
        </is>
      </c>
      <c r="I262" s="4" t="inlineStr">
        <is>
          <t>MEVSİMLİK</t>
        </is>
      </c>
      <c r="J262" s="6" t="inlineStr">
        <is>
          <t>BALIK TEMİZLİK</t>
        </is>
      </c>
      <c r="K262" s="6" t="inlineStr">
        <is>
          <t>MKP</t>
        </is>
      </c>
      <c r="L262" s="7" t="n">
        <v>33000</v>
      </c>
      <c r="M262" s="4" t="inlineStr">
        <is>
          <t>FİDE KONSERVE</t>
        </is>
      </c>
      <c r="N262" s="4" t="inlineStr">
        <is>
          <t>ALIR</t>
        </is>
      </c>
      <c r="O262" s="8" t="n">
        <v>0</v>
      </c>
      <c r="P262" s="8" t="n">
        <v>0</v>
      </c>
      <c r="Q262" s="8" t="n">
        <v>0</v>
      </c>
      <c r="R262" s="9" t="n">
        <v>0</v>
      </c>
      <c r="S262" s="8" t="n">
        <v>0</v>
      </c>
      <c r="T262" s="8" t="n">
        <v>0</v>
      </c>
      <c r="U262" s="8" t="n">
        <v>0</v>
      </c>
      <c r="V262" s="8" t="n">
        <v>0</v>
      </c>
      <c r="W262" s="8" t="n">
        <v>0</v>
      </c>
      <c r="X262" s="8" t="n">
        <v>0</v>
      </c>
      <c r="Y262" s="9" t="n">
        <v>0</v>
      </c>
      <c r="Z262" s="8" t="n">
        <v>0</v>
      </c>
      <c r="AA262" s="8" t="n">
        <v>0</v>
      </c>
      <c r="AB262" s="8" t="n">
        <v>0</v>
      </c>
      <c r="AC262" s="8" t="n">
        <v>0</v>
      </c>
      <c r="AD262" s="8" t="n">
        <v>0</v>
      </c>
      <c r="AE262" s="8" t="n">
        <v>0</v>
      </c>
      <c r="AF262" s="9" t="n">
        <v>0</v>
      </c>
      <c r="AG262" s="8" t="n">
        <v>0</v>
      </c>
      <c r="AH262" s="8" t="n">
        <v>0</v>
      </c>
      <c r="AI262" s="8" t="n">
        <v>0</v>
      </c>
      <c r="AJ262" s="8" t="n">
        <v>0</v>
      </c>
      <c r="AK262" s="8" t="n">
        <v>0</v>
      </c>
      <c r="AL262" s="8" t="n">
        <v>0</v>
      </c>
      <c r="AM262" s="9" t="n">
        <v>0</v>
      </c>
      <c r="AN262" s="8" t="n">
        <v>0</v>
      </c>
      <c r="AO262" s="8" t="n">
        <v>0</v>
      </c>
      <c r="AP262" s="8" t="n">
        <v>0</v>
      </c>
      <c r="AQ262" s="8" t="n">
        <v>0</v>
      </c>
      <c r="AR262" s="8" t="n">
        <v>0</v>
      </c>
      <c r="AS262" s="8" t="n">
        <v>0</v>
      </c>
      <c r="AT262" s="10">
        <f>SUM(O262:AS262)</f>
        <v/>
      </c>
      <c r="AU262" s="11">
        <f>COUNTIF(O262:AS262, "&gt;0")</f>
        <v/>
      </c>
      <c r="AV262" s="12">
        <f>IF(AU262&gt;=5, 4, IF(AU262&gt;0, INT(AU262/6), 0))</f>
        <v/>
      </c>
      <c r="AW262" s="11" t="n">
        <v>0</v>
      </c>
      <c r="AX262" s="11" t="n">
        <v>0</v>
      </c>
      <c r="AY262" s="13">
        <f>MIN(31, AU262+AV262+AW262+AX262)</f>
        <v/>
      </c>
      <c r="AZ262" s="14">
        <f>31-AY262</f>
        <v/>
      </c>
      <c r="BA262" s="5">
        <f>IF(AX262&gt;0, "01-İstirahat", IF(AZ262&gt;0, "12-Birden Fazla", ""))</f>
        <v/>
      </c>
      <c r="BB262" s="10" t="n">
        <v>0</v>
      </c>
      <c r="BC262" s="8" t="n">
        <v>0</v>
      </c>
      <c r="BD262" s="9" t="n">
        <v>0</v>
      </c>
      <c r="BE262" s="7">
        <f>(L262/30)*AU262</f>
        <v/>
      </c>
      <c r="BF262" s="15">
        <f>(L262/225)*((BB262*1.5)-(BC262*1.0))</f>
        <v/>
      </c>
      <c r="BG262" s="16">
        <f>(L262/225)*1.5*BD262</f>
        <v/>
      </c>
      <c r="BH262" s="15">
        <f>BF262+BG262</f>
        <v/>
      </c>
      <c r="BI262" s="17">
        <f>BE262+BH262</f>
        <v/>
      </c>
      <c r="BJ262" s="7">
        <f>IFERROR(VLOOKUP(B262, Resmi_Bordro_SGK!B:M, 11, FALSE), 0)</f>
        <v/>
      </c>
      <c r="BK262" s="18">
        <f>IFERROR(VLOOKUP(B262, Icra_Takip!A:E, 4, FALSE), 0)</f>
        <v/>
      </c>
      <c r="BL262" s="17">
        <f>IF(BI262&gt;BJ262, BI262-BJ262-BK262, 0)</f>
        <v/>
      </c>
      <c r="BM262" s="17">
        <f>BI262-BK262</f>
        <v/>
      </c>
    </row>
    <row r="263" ht="19" customHeight="1">
      <c r="A263" s="4" t="n">
        <v>260</v>
      </c>
      <c r="B263" s="5" t="inlineStr">
        <is>
          <t>25621221832</t>
        </is>
      </c>
      <c r="C263" s="6" t="inlineStr">
        <is>
          <t>MUSTAFA KAYA</t>
        </is>
      </c>
      <c r="D263" s="4" t="inlineStr">
        <is>
          <t>E</t>
        </is>
      </c>
      <c r="E263" s="4" t="inlineStr"/>
      <c r="F263" s="4" t="inlineStr">
        <is>
          <t>02.06.2022</t>
        </is>
      </c>
      <c r="G263" s="4" t="inlineStr"/>
      <c r="H263" s="4" t="inlineStr">
        <is>
          <t>SGDP</t>
        </is>
      </c>
      <c r="I263" s="4" t="inlineStr">
        <is>
          <t>DAİMİ</t>
        </is>
      </c>
      <c r="J263" s="6" t="inlineStr">
        <is>
          <t>İŞLETME</t>
        </is>
      </c>
      <c r="K263" s="6" t="inlineStr">
        <is>
          <t>MKP</t>
        </is>
      </c>
      <c r="L263" s="7" t="n">
        <v>34000</v>
      </c>
      <c r="M263" s="4" t="inlineStr">
        <is>
          <t>FİDE KONSERVE</t>
        </is>
      </c>
      <c r="N263" s="4" t="inlineStr">
        <is>
          <t>ALIR</t>
        </is>
      </c>
      <c r="O263" s="19" t="n">
        <v>8</v>
      </c>
      <c r="P263" s="19" t="n">
        <v>8.5</v>
      </c>
      <c r="Q263" s="19" t="n">
        <v>8</v>
      </c>
      <c r="R263" s="9" t="n">
        <v>0</v>
      </c>
      <c r="S263" s="19" t="n">
        <v>10.5</v>
      </c>
      <c r="T263" s="19" t="n">
        <v>10.5</v>
      </c>
      <c r="U263" s="19" t="n">
        <v>10.5</v>
      </c>
      <c r="V263" s="19" t="n">
        <v>10.5</v>
      </c>
      <c r="W263" s="19" t="n">
        <v>10.5</v>
      </c>
      <c r="X263" s="19" t="n">
        <v>10.5</v>
      </c>
      <c r="Y263" s="9" t="n">
        <v>7.5</v>
      </c>
      <c r="Z263" s="19" t="n">
        <v>10.5</v>
      </c>
      <c r="AA263" s="19" t="n">
        <v>10.5</v>
      </c>
      <c r="AB263" s="19" t="n">
        <v>10.5</v>
      </c>
      <c r="AC263" s="19" t="n">
        <v>7.5</v>
      </c>
      <c r="AD263" s="19" t="n">
        <v>10.5</v>
      </c>
      <c r="AE263" s="19" t="n">
        <v>7.5</v>
      </c>
      <c r="AF263" s="9" t="n">
        <v>0</v>
      </c>
      <c r="AG263" s="19" t="n">
        <v>10.5</v>
      </c>
      <c r="AH263" s="19" t="n">
        <v>0</v>
      </c>
      <c r="AI263" s="19" t="n">
        <v>7.5</v>
      </c>
      <c r="AJ263" s="19" t="n">
        <v>0</v>
      </c>
      <c r="AK263" s="19" t="n">
        <v>0</v>
      </c>
      <c r="AL263" s="19" t="n">
        <v>0</v>
      </c>
      <c r="AM263" s="9" t="n">
        <v>0</v>
      </c>
      <c r="AN263" s="19" t="n">
        <v>0</v>
      </c>
      <c r="AO263" s="19" t="n">
        <v>0</v>
      </c>
      <c r="AP263" s="19" t="n">
        <v>0</v>
      </c>
      <c r="AQ263" s="19" t="n">
        <v>0</v>
      </c>
      <c r="AR263" s="19" t="n">
        <v>0</v>
      </c>
      <c r="AS263" s="19" t="n">
        <v>0</v>
      </c>
      <c r="AT263" s="10">
        <f>SUM(O263:AS263)</f>
        <v/>
      </c>
      <c r="AU263" s="20">
        <f>COUNTIF(O263:AS263, "&gt;0")</f>
        <v/>
      </c>
      <c r="AV263" s="12">
        <f>IF(AU263&gt;=5, 4, IF(AU263&gt;0, INT(AU263/6), 0))</f>
        <v/>
      </c>
      <c r="AW263" s="20" t="n">
        <v>0</v>
      </c>
      <c r="AX263" s="20" t="n">
        <v>0</v>
      </c>
      <c r="AY263" s="13">
        <f>MIN(31, AU263+AV263+AW263+AX263)</f>
        <v/>
      </c>
      <c r="AZ263" s="14">
        <f>31-AY263</f>
        <v/>
      </c>
      <c r="BA263" s="21">
        <f>IF(AX263&gt;0, "01-İstirahat", IF(AZ263&gt;0, "12-Birden Fazla", ""))</f>
        <v/>
      </c>
      <c r="BB263" s="10" t="n">
        <v>35</v>
      </c>
      <c r="BC263" s="19" t="n">
        <v>0</v>
      </c>
      <c r="BD263" s="9" t="n">
        <v>7.5</v>
      </c>
      <c r="BE263" s="22">
        <f>(L263/30)*AU263</f>
        <v/>
      </c>
      <c r="BF263" s="15">
        <f>(L263/225)*((BB263*1.5)-(BC263*1.0))</f>
        <v/>
      </c>
      <c r="BG263" s="16">
        <f>(L263/225)*1.5*BD263</f>
        <v/>
      </c>
      <c r="BH263" s="15">
        <f>BF263+BG263</f>
        <v/>
      </c>
      <c r="BI263" s="17">
        <f>BE263+BH263</f>
        <v/>
      </c>
      <c r="BJ263" s="22">
        <f>IFERROR(VLOOKUP(B263, Resmi_Bordro_SGK!B:M, 11, FALSE), 0)</f>
        <v/>
      </c>
      <c r="BK263" s="18">
        <f>IFERROR(VLOOKUP(B263, Icra_Takip!A:E, 4, FALSE), 0)</f>
        <v/>
      </c>
      <c r="BL263" s="17">
        <f>IF(BI263&gt;BJ263, BI263-BJ263-BK263, 0)</f>
        <v/>
      </c>
      <c r="BM263" s="17">
        <f>BI263-BK263</f>
        <v/>
      </c>
    </row>
    <row r="264" ht="19" customHeight="1">
      <c r="A264" s="4" t="n">
        <v>261</v>
      </c>
      <c r="B264" s="5" t="inlineStr"/>
      <c r="C264" s="6" t="inlineStr">
        <is>
          <t>MUSTAFA KURT</t>
        </is>
      </c>
      <c r="D264" s="4" t="inlineStr"/>
      <c r="E264" s="4" t="inlineStr"/>
      <c r="F264" s="4" t="inlineStr"/>
      <c r="G264" s="4" t="inlineStr"/>
      <c r="H264" s="4" t="inlineStr">
        <is>
          <t>NORMAL</t>
        </is>
      </c>
      <c r="I264" s="4" t="inlineStr">
        <is>
          <t>DAİMİ</t>
        </is>
      </c>
      <c r="J264" s="6" t="inlineStr"/>
      <c r="K264" s="6" t="inlineStr"/>
      <c r="L264" s="7" t="n">
        <v>28075.5</v>
      </c>
      <c r="M264" s="4" t="inlineStr">
        <is>
          <t>FİDE KONSERVE</t>
        </is>
      </c>
      <c r="N264" s="4" t="inlineStr">
        <is>
          <t>ALIR</t>
        </is>
      </c>
      <c r="O264" s="8" t="n">
        <v>10.5</v>
      </c>
      <c r="P264" s="8" t="n">
        <v>5</v>
      </c>
      <c r="Q264" s="8" t="n">
        <v>7.5</v>
      </c>
      <c r="R264" s="9" t="n">
        <v>0</v>
      </c>
      <c r="S264" s="8" t="n">
        <v>4</v>
      </c>
      <c r="T264" s="8" t="n">
        <v>10.5</v>
      </c>
      <c r="U264" s="8" t="n">
        <v>7.5</v>
      </c>
      <c r="V264" s="8" t="n">
        <v>10.5</v>
      </c>
      <c r="W264" s="8" t="n">
        <v>10.5</v>
      </c>
      <c r="X264" s="8" t="n">
        <v>7.5</v>
      </c>
      <c r="Y264" s="9" t="n">
        <v>0</v>
      </c>
      <c r="Z264" s="8" t="n">
        <v>10.5</v>
      </c>
      <c r="AA264" s="8" t="n">
        <v>10.5</v>
      </c>
      <c r="AB264" s="8" t="n">
        <v>7.5</v>
      </c>
      <c r="AC264" s="8" t="n">
        <v>7.5</v>
      </c>
      <c r="AD264" s="8" t="n">
        <v>10.5</v>
      </c>
      <c r="AE264" s="8" t="n">
        <v>7.5</v>
      </c>
      <c r="AF264" s="9" t="n">
        <v>0</v>
      </c>
      <c r="AG264" s="8" t="n">
        <v>10.5</v>
      </c>
      <c r="AH264" s="8" t="n">
        <v>7.5</v>
      </c>
      <c r="AI264" s="23" t="n">
        <v>7.5</v>
      </c>
      <c r="AJ264" s="8" t="n">
        <v>0</v>
      </c>
      <c r="AK264" s="8" t="n">
        <v>0</v>
      </c>
      <c r="AL264" s="8" t="n">
        <v>0</v>
      </c>
      <c r="AM264" s="9" t="n">
        <v>0</v>
      </c>
      <c r="AN264" s="8" t="n">
        <v>0</v>
      </c>
      <c r="AO264" s="8" t="n">
        <v>0</v>
      </c>
      <c r="AP264" s="8" t="n">
        <v>0</v>
      </c>
      <c r="AQ264" s="8" t="n">
        <v>0</v>
      </c>
      <c r="AR264" s="8" t="n">
        <v>0</v>
      </c>
      <c r="AS264" s="8" t="n">
        <v>0</v>
      </c>
      <c r="AT264" s="10">
        <f>SUM(O264:AS264)</f>
        <v/>
      </c>
      <c r="AU264" s="11">
        <f>COUNTIF(O264:AS264, "&gt;0")</f>
        <v/>
      </c>
      <c r="AV264" s="12">
        <f>IF(AU264&gt;=5, 4, IF(AU264&gt;0, INT(AU264/6), 0))</f>
        <v/>
      </c>
      <c r="AW264" s="11" t="n">
        <v>0</v>
      </c>
      <c r="AX264" s="11" t="n">
        <v>0</v>
      </c>
      <c r="AY264" s="13">
        <f>MIN(31, AU264+AV264+AW264+AX264)</f>
        <v/>
      </c>
      <c r="AZ264" s="14">
        <f>31-AY264</f>
        <v/>
      </c>
      <c r="BA264" s="5">
        <f>IF(AX264&gt;0, "01-İstirahat", IF(AZ264&gt;0, "12-Birden Fazla", ""))</f>
        <v/>
      </c>
      <c r="BB264" s="10" t="n">
        <v>24</v>
      </c>
      <c r="BC264" s="23" t="n">
        <v>6</v>
      </c>
      <c r="BD264" s="9" t="n">
        <v>0</v>
      </c>
      <c r="BE264" s="7">
        <f>(L264/30)*AU264</f>
        <v/>
      </c>
      <c r="BF264" s="15">
        <f>(L264/225)*((BB264*1.5)-(BC264*1.0))</f>
        <v/>
      </c>
      <c r="BG264" s="16">
        <f>(L264/225)*1.5*BD264</f>
        <v/>
      </c>
      <c r="BH264" s="15">
        <f>BF264+BG264</f>
        <v/>
      </c>
      <c r="BI264" s="17">
        <f>BE264+BH264</f>
        <v/>
      </c>
      <c r="BJ264" s="7">
        <f>IFERROR(VLOOKUP(B264, Resmi_Bordro_SGK!B:M, 11, FALSE), 0)</f>
        <v/>
      </c>
      <c r="BK264" s="18">
        <f>IFERROR(VLOOKUP(B264, Icra_Takip!A:E, 4, FALSE), 0)</f>
        <v/>
      </c>
      <c r="BL264" s="17">
        <f>IF(BI264&gt;BJ264, BI264-BJ264-BK264, 0)</f>
        <v/>
      </c>
      <c r="BM264" s="17">
        <f>BI264-BK264</f>
        <v/>
      </c>
    </row>
    <row r="265" ht="19" customHeight="1">
      <c r="A265" s="4" t="n">
        <v>262</v>
      </c>
      <c r="B265" s="5" t="inlineStr">
        <is>
          <t>21976553468</t>
        </is>
      </c>
      <c r="C265" s="6" t="inlineStr">
        <is>
          <t>MÜCAHİT ÇOLAK</t>
        </is>
      </c>
      <c r="D265" s="4" t="inlineStr">
        <is>
          <t>E</t>
        </is>
      </c>
      <c r="E265" s="4" t="inlineStr"/>
      <c r="F265" s="4" t="inlineStr">
        <is>
          <t>10.02.2026</t>
        </is>
      </c>
      <c r="G265" s="4" t="inlineStr"/>
      <c r="H265" s="4" t="inlineStr">
        <is>
          <t>NORMAL</t>
        </is>
      </c>
      <c r="I265" s="4" t="inlineStr">
        <is>
          <t>MEVSİMLİK</t>
        </is>
      </c>
      <c r="J265" s="6" t="inlineStr">
        <is>
          <t>BALIK TEMİZLEME</t>
        </is>
      </c>
      <c r="K265" s="6" t="inlineStr">
        <is>
          <t>KARACABEY</t>
        </is>
      </c>
      <c r="L265" s="7" t="n">
        <v>33000</v>
      </c>
      <c r="M265" s="4" t="inlineStr">
        <is>
          <t>FİDE KONSERVE</t>
        </is>
      </c>
      <c r="N265" s="4" t="inlineStr">
        <is>
          <t>ALIR</t>
        </is>
      </c>
      <c r="O265" s="19" t="n">
        <v>8</v>
      </c>
      <c r="P265" s="19" t="n">
        <v>8.5</v>
      </c>
      <c r="Q265" s="19" t="n">
        <v>8</v>
      </c>
      <c r="R265" s="9" t="n">
        <v>0</v>
      </c>
      <c r="S265" s="19" t="n">
        <v>7.5</v>
      </c>
      <c r="T265" s="19" t="n">
        <v>8</v>
      </c>
      <c r="U265" s="19" t="n">
        <v>8</v>
      </c>
      <c r="V265" s="19" t="n">
        <v>8</v>
      </c>
      <c r="W265" s="19" t="n">
        <v>0</v>
      </c>
      <c r="X265" s="19" t="n">
        <v>8.5</v>
      </c>
      <c r="Y265" s="9" t="n">
        <v>0</v>
      </c>
      <c r="Z265" s="19" t="n">
        <v>7.5</v>
      </c>
      <c r="AA265" s="19" t="n">
        <v>7.5</v>
      </c>
      <c r="AB265" s="19" t="n">
        <v>8.5</v>
      </c>
      <c r="AC265" s="19" t="n">
        <v>7.5</v>
      </c>
      <c r="AD265" s="19" t="n">
        <v>7.5</v>
      </c>
      <c r="AE265" s="19" t="n">
        <v>8.5</v>
      </c>
      <c r="AF265" s="9" t="n">
        <v>0</v>
      </c>
      <c r="AG265" s="19" t="n">
        <v>8.5</v>
      </c>
      <c r="AH265" s="19" t="n">
        <v>0</v>
      </c>
      <c r="AI265" s="19" t="n">
        <v>7.5</v>
      </c>
      <c r="AJ265" s="19" t="n">
        <v>0</v>
      </c>
      <c r="AK265" s="19" t="n">
        <v>0</v>
      </c>
      <c r="AL265" s="19" t="n">
        <v>0</v>
      </c>
      <c r="AM265" s="9" t="n">
        <v>0</v>
      </c>
      <c r="AN265" s="19" t="n">
        <v>0</v>
      </c>
      <c r="AO265" s="19" t="n">
        <v>0</v>
      </c>
      <c r="AP265" s="19" t="n">
        <v>0</v>
      </c>
      <c r="AQ265" s="19" t="n">
        <v>0</v>
      </c>
      <c r="AR265" s="19" t="n">
        <v>0</v>
      </c>
      <c r="AS265" s="19" t="n">
        <v>0</v>
      </c>
      <c r="AT265" s="10">
        <f>SUM(O265:AS265)</f>
        <v/>
      </c>
      <c r="AU265" s="20">
        <f>COUNTIF(O265:AS265, "&gt;0")</f>
        <v/>
      </c>
      <c r="AV265" s="12">
        <f>IF(AU265&gt;=5, 4, IF(AU265&gt;0, INT(AU265/6), 0))</f>
        <v/>
      </c>
      <c r="AW265" s="20" t="n">
        <v>0</v>
      </c>
      <c r="AX265" s="20" t="n">
        <v>0</v>
      </c>
      <c r="AY265" s="13">
        <f>MIN(31, AU265+AV265+AW265+AX265)</f>
        <v/>
      </c>
      <c r="AZ265" s="14">
        <f>31-AY265</f>
        <v/>
      </c>
      <c r="BA265" s="21">
        <f>IF(AX265&gt;0, "01-İstirahat", IF(AZ265&gt;0, "12-Birden Fazla", ""))</f>
        <v/>
      </c>
      <c r="BB265" s="10" t="n">
        <v>7.5</v>
      </c>
      <c r="BC265" s="19" t="n">
        <v>0</v>
      </c>
      <c r="BD265" s="9" t="n">
        <v>0</v>
      </c>
      <c r="BE265" s="22">
        <f>(L265/30)*AU265</f>
        <v/>
      </c>
      <c r="BF265" s="15">
        <f>(L265/225)*((BB265*1.5)-(BC265*1.0))</f>
        <v/>
      </c>
      <c r="BG265" s="16">
        <f>(L265/225)*1.5*BD265</f>
        <v/>
      </c>
      <c r="BH265" s="15">
        <f>BF265+BG265</f>
        <v/>
      </c>
      <c r="BI265" s="17">
        <f>BE265+BH265</f>
        <v/>
      </c>
      <c r="BJ265" s="22">
        <f>IFERROR(VLOOKUP(B265, Resmi_Bordro_SGK!B:M, 11, FALSE), 0)</f>
        <v/>
      </c>
      <c r="BK265" s="18">
        <f>IFERROR(VLOOKUP(B265, Icra_Takip!A:E, 4, FALSE), 0)</f>
        <v/>
      </c>
      <c r="BL265" s="17">
        <f>IF(BI265&gt;BJ265, BI265-BJ265-BK265, 0)</f>
        <v/>
      </c>
      <c r="BM265" s="17">
        <f>BI265-BK265</f>
        <v/>
      </c>
    </row>
    <row r="266" ht="19" customHeight="1">
      <c r="A266" s="4" t="n">
        <v>263</v>
      </c>
      <c r="B266" s="5" t="inlineStr">
        <is>
          <t>13216853414</t>
        </is>
      </c>
      <c r="C266" s="6" t="inlineStr">
        <is>
          <t>MÜMİN BUĞA</t>
        </is>
      </c>
      <c r="D266" s="4" t="inlineStr">
        <is>
          <t>E</t>
        </is>
      </c>
      <c r="E266" s="4" t="inlineStr"/>
      <c r="F266" s="4" t="inlineStr">
        <is>
          <t>02.04.2023</t>
        </is>
      </c>
      <c r="G266" s="4" t="inlineStr"/>
      <c r="H266" s="4" t="inlineStr">
        <is>
          <t>SGDP</t>
        </is>
      </c>
      <c r="I266" s="4" t="inlineStr">
        <is>
          <t>DAİMİ</t>
        </is>
      </c>
      <c r="J266" s="6" t="inlineStr">
        <is>
          <t>MEYDAN</t>
        </is>
      </c>
      <c r="K266" s="6" t="inlineStr">
        <is>
          <t>MKP</t>
        </is>
      </c>
      <c r="L266" s="7" t="n">
        <v>35000</v>
      </c>
      <c r="M266" s="4" t="inlineStr">
        <is>
          <t>FİDE KONSERVE</t>
        </is>
      </c>
      <c r="N266" s="4" t="inlineStr">
        <is>
          <t>ALIR</t>
        </is>
      </c>
      <c r="O266" s="8" t="n">
        <v>0</v>
      </c>
      <c r="P266" s="8" t="n">
        <v>0</v>
      </c>
      <c r="Q266" s="8" t="n">
        <v>0</v>
      </c>
      <c r="R266" s="9" t="n">
        <v>0</v>
      </c>
      <c r="S266" s="8" t="n">
        <v>0</v>
      </c>
      <c r="T266" s="8" t="n">
        <v>0</v>
      </c>
      <c r="U266" s="8" t="n">
        <v>0</v>
      </c>
      <c r="V266" s="8" t="n">
        <v>0</v>
      </c>
      <c r="W266" s="8" t="n">
        <v>0</v>
      </c>
      <c r="X266" s="8" t="n">
        <v>0</v>
      </c>
      <c r="Y266" s="9" t="n">
        <v>0</v>
      </c>
      <c r="Z266" s="8" t="n">
        <v>0</v>
      </c>
      <c r="AA266" s="8" t="n">
        <v>0</v>
      </c>
      <c r="AB266" s="8" t="n">
        <v>0</v>
      </c>
      <c r="AC266" s="8" t="n">
        <v>0</v>
      </c>
      <c r="AD266" s="8" t="n">
        <v>0</v>
      </c>
      <c r="AE266" s="8" t="n">
        <v>0</v>
      </c>
      <c r="AF266" s="9" t="n">
        <v>0</v>
      </c>
      <c r="AG266" s="8" t="n">
        <v>0</v>
      </c>
      <c r="AH266" s="8" t="n">
        <v>0</v>
      </c>
      <c r="AI266" s="8" t="n">
        <v>0</v>
      </c>
      <c r="AJ266" s="8" t="n">
        <v>0</v>
      </c>
      <c r="AK266" s="8" t="n">
        <v>0</v>
      </c>
      <c r="AL266" s="8" t="n">
        <v>0</v>
      </c>
      <c r="AM266" s="9" t="n">
        <v>0</v>
      </c>
      <c r="AN266" s="8" t="n">
        <v>0</v>
      </c>
      <c r="AO266" s="8" t="n">
        <v>0</v>
      </c>
      <c r="AP266" s="8" t="n">
        <v>0</v>
      </c>
      <c r="AQ266" s="8" t="n">
        <v>0</v>
      </c>
      <c r="AR266" s="8" t="n">
        <v>0</v>
      </c>
      <c r="AS266" s="8" t="n">
        <v>0</v>
      </c>
      <c r="AT266" s="10">
        <f>SUM(O266:AS266)</f>
        <v/>
      </c>
      <c r="AU266" s="11">
        <f>COUNTIF(O266:AS266, "&gt;0")</f>
        <v/>
      </c>
      <c r="AV266" s="12">
        <f>IF(AU266&gt;=5, 4, IF(AU266&gt;0, INT(AU266/6), 0))</f>
        <v/>
      </c>
      <c r="AW266" s="11" t="n">
        <v>0</v>
      </c>
      <c r="AX266" s="11" t="n">
        <v>0</v>
      </c>
      <c r="AY266" s="13">
        <f>MIN(31, AU266+AV266+AW266+AX266)</f>
        <v/>
      </c>
      <c r="AZ266" s="14">
        <f>31-AY266</f>
        <v/>
      </c>
      <c r="BA266" s="5">
        <f>IF(AX266&gt;0, "01-İstirahat", IF(AZ266&gt;0, "12-Birden Fazla", ""))</f>
        <v/>
      </c>
      <c r="BB266" s="10" t="n">
        <v>0</v>
      </c>
      <c r="BC266" s="8" t="n">
        <v>0</v>
      </c>
      <c r="BD266" s="9" t="n">
        <v>0</v>
      </c>
      <c r="BE266" s="7">
        <f>(L266/30)*AU266</f>
        <v/>
      </c>
      <c r="BF266" s="15">
        <f>(L266/225)*((BB266*1.5)-(BC266*1.0))</f>
        <v/>
      </c>
      <c r="BG266" s="16">
        <f>(L266/225)*1.5*BD266</f>
        <v/>
      </c>
      <c r="BH266" s="15">
        <f>BF266+BG266</f>
        <v/>
      </c>
      <c r="BI266" s="17">
        <f>BE266+BH266</f>
        <v/>
      </c>
      <c r="BJ266" s="7">
        <f>IFERROR(VLOOKUP(B266, Resmi_Bordro_SGK!B:M, 11, FALSE), 0)</f>
        <v/>
      </c>
      <c r="BK266" s="18">
        <f>IFERROR(VLOOKUP(B266, Icra_Takip!A:E, 4, FALSE), 0)</f>
        <v/>
      </c>
      <c r="BL266" s="17">
        <f>IF(BI266&gt;BJ266, BI266-BJ266-BK266, 0)</f>
        <v/>
      </c>
      <c r="BM266" s="17">
        <f>BI266-BK266</f>
        <v/>
      </c>
    </row>
    <row r="267" ht="19" customHeight="1">
      <c r="A267" s="4" t="n">
        <v>264</v>
      </c>
      <c r="B267" s="5" t="inlineStr">
        <is>
          <t>11896898268</t>
        </is>
      </c>
      <c r="C267" s="6" t="inlineStr">
        <is>
          <t>MÜNÜR TÜRKÇÜ</t>
        </is>
      </c>
      <c r="D267" s="4" t="inlineStr">
        <is>
          <t>E</t>
        </is>
      </c>
      <c r="E267" s="4" t="inlineStr"/>
      <c r="F267" s="4" t="inlineStr">
        <is>
          <t>27.07.2026</t>
        </is>
      </c>
      <c r="G267" s="4" t="inlineStr"/>
      <c r="H267" s="4" t="inlineStr">
        <is>
          <t>NORMAL</t>
        </is>
      </c>
      <c r="I267" s="4" t="inlineStr">
        <is>
          <t>MEVSİMLİK</t>
        </is>
      </c>
      <c r="J267" s="6" t="inlineStr">
        <is>
          <t>BALIK TEMİZLİK</t>
        </is>
      </c>
      <c r="K267" s="6" t="inlineStr">
        <is>
          <t>MKP</t>
        </is>
      </c>
      <c r="L267" s="7" t="n">
        <v>33000</v>
      </c>
      <c r="M267" s="4" t="inlineStr">
        <is>
          <t>FİDE KONSERVE</t>
        </is>
      </c>
      <c r="N267" s="4" t="inlineStr">
        <is>
          <t>ALIR</t>
        </is>
      </c>
      <c r="O267" s="19" t="n">
        <v>0</v>
      </c>
      <c r="P267" s="19" t="n">
        <v>0</v>
      </c>
      <c r="Q267" s="19" t="n">
        <v>0</v>
      </c>
      <c r="R267" s="9" t="n">
        <v>0</v>
      </c>
      <c r="S267" s="19" t="n">
        <v>0</v>
      </c>
      <c r="T267" s="19" t="n">
        <v>0</v>
      </c>
      <c r="U267" s="19" t="n">
        <v>0</v>
      </c>
      <c r="V267" s="19" t="n">
        <v>0</v>
      </c>
      <c r="W267" s="19" t="n">
        <v>0</v>
      </c>
      <c r="X267" s="19" t="n">
        <v>0</v>
      </c>
      <c r="Y267" s="9" t="n">
        <v>0</v>
      </c>
      <c r="Z267" s="19" t="n">
        <v>0</v>
      </c>
      <c r="AA267" s="19" t="n">
        <v>0</v>
      </c>
      <c r="AB267" s="19" t="n">
        <v>0</v>
      </c>
      <c r="AC267" s="19" t="n">
        <v>0</v>
      </c>
      <c r="AD267" s="19" t="n">
        <v>0</v>
      </c>
      <c r="AE267" s="19" t="n">
        <v>0</v>
      </c>
      <c r="AF267" s="9" t="n">
        <v>0</v>
      </c>
      <c r="AG267" s="19" t="n">
        <v>0</v>
      </c>
      <c r="AH267" s="19" t="n">
        <v>0</v>
      </c>
      <c r="AI267" s="19" t="n">
        <v>0</v>
      </c>
      <c r="AJ267" s="19" t="n">
        <v>0</v>
      </c>
      <c r="AK267" s="19" t="n">
        <v>0</v>
      </c>
      <c r="AL267" s="19" t="n">
        <v>0</v>
      </c>
      <c r="AM267" s="9" t="n">
        <v>0</v>
      </c>
      <c r="AN267" s="19" t="n">
        <v>0</v>
      </c>
      <c r="AO267" s="19" t="n">
        <v>0</v>
      </c>
      <c r="AP267" s="19" t="n">
        <v>0</v>
      </c>
      <c r="AQ267" s="19" t="n">
        <v>0</v>
      </c>
      <c r="AR267" s="19" t="n">
        <v>0</v>
      </c>
      <c r="AS267" s="19" t="n">
        <v>0</v>
      </c>
      <c r="AT267" s="10">
        <f>SUM(O267:AS267)</f>
        <v/>
      </c>
      <c r="AU267" s="20">
        <f>COUNTIF(O267:AS267, "&gt;0")</f>
        <v/>
      </c>
      <c r="AV267" s="12">
        <f>IF(AU267&gt;=5, 4, IF(AU267&gt;0, INT(AU267/6), 0))</f>
        <v/>
      </c>
      <c r="AW267" s="20" t="n">
        <v>0</v>
      </c>
      <c r="AX267" s="20" t="n">
        <v>0</v>
      </c>
      <c r="AY267" s="13">
        <f>MIN(31, AU267+AV267+AW267+AX267)</f>
        <v/>
      </c>
      <c r="AZ267" s="14">
        <f>31-AY267</f>
        <v/>
      </c>
      <c r="BA267" s="21">
        <f>IF(AX267&gt;0, "01-İstirahat", IF(AZ267&gt;0, "12-Birden Fazla", ""))</f>
        <v/>
      </c>
      <c r="BB267" s="10" t="n">
        <v>0</v>
      </c>
      <c r="BC267" s="19" t="n">
        <v>0</v>
      </c>
      <c r="BD267" s="9" t="n">
        <v>0</v>
      </c>
      <c r="BE267" s="22">
        <f>(L267/30)*AU267</f>
        <v/>
      </c>
      <c r="BF267" s="15">
        <f>(L267/225)*((BB267*1.5)-(BC267*1.0))</f>
        <v/>
      </c>
      <c r="BG267" s="16">
        <f>(L267/225)*1.5*BD267</f>
        <v/>
      </c>
      <c r="BH267" s="15">
        <f>BF267+BG267</f>
        <v/>
      </c>
      <c r="BI267" s="17">
        <f>BE267+BH267</f>
        <v/>
      </c>
      <c r="BJ267" s="22">
        <f>IFERROR(VLOOKUP(B267, Resmi_Bordro_SGK!B:M, 11, FALSE), 0)</f>
        <v/>
      </c>
      <c r="BK267" s="18">
        <f>IFERROR(VLOOKUP(B267, Icra_Takip!A:E, 4, FALSE), 0)</f>
        <v/>
      </c>
      <c r="BL267" s="17">
        <f>IF(BI267&gt;BJ267, BI267-BJ267-BK267, 0)</f>
        <v/>
      </c>
      <c r="BM267" s="17">
        <f>BI267-BK267</f>
        <v/>
      </c>
    </row>
    <row r="268" ht="19" customHeight="1">
      <c r="A268" s="4" t="n">
        <v>265</v>
      </c>
      <c r="B268" s="5" t="inlineStr">
        <is>
          <t>31195265912</t>
        </is>
      </c>
      <c r="C268" s="6" t="inlineStr">
        <is>
          <t>MÜRVET ÇAKAN</t>
        </is>
      </c>
      <c r="D268" s="4" t="inlineStr">
        <is>
          <t>K</t>
        </is>
      </c>
      <c r="E268" s="4" t="inlineStr"/>
      <c r="F268" s="4" t="inlineStr">
        <is>
          <t>22.06.2026</t>
        </is>
      </c>
      <c r="G268" s="4" t="inlineStr"/>
      <c r="H268" s="4" t="inlineStr">
        <is>
          <t>NORMAL</t>
        </is>
      </c>
      <c r="I268" s="4" t="inlineStr">
        <is>
          <t>MEVSİMLİK</t>
        </is>
      </c>
      <c r="J268" s="6" t="inlineStr">
        <is>
          <t>BALIK TEMİZLEME</t>
        </is>
      </c>
      <c r="K268" s="6" t="inlineStr">
        <is>
          <t>KARACABEY-HALİL</t>
        </is>
      </c>
      <c r="L268" s="7" t="n">
        <v>33000</v>
      </c>
      <c r="M268" s="4" t="inlineStr">
        <is>
          <t>FİDE KONSERVE</t>
        </is>
      </c>
      <c r="N268" s="4" t="inlineStr">
        <is>
          <t>ALIR</t>
        </is>
      </c>
      <c r="O268" s="8" t="n">
        <v>8</v>
      </c>
      <c r="P268" s="8" t="n">
        <v>8.5</v>
      </c>
      <c r="Q268" s="8" t="n">
        <v>8</v>
      </c>
      <c r="R268" s="9" t="n">
        <v>0</v>
      </c>
      <c r="S268" s="8" t="n">
        <v>7.5</v>
      </c>
      <c r="T268" s="8" t="n">
        <v>8</v>
      </c>
      <c r="U268" s="8" t="n">
        <v>8</v>
      </c>
      <c r="V268" s="8" t="n">
        <v>8</v>
      </c>
      <c r="W268" s="8" t="n">
        <v>8</v>
      </c>
      <c r="X268" s="8" t="n">
        <v>8.5</v>
      </c>
      <c r="Y268" s="9" t="n">
        <v>0</v>
      </c>
      <c r="Z268" s="8" t="n">
        <v>7.5</v>
      </c>
      <c r="AA268" s="8" t="n">
        <v>0</v>
      </c>
      <c r="AB268" s="8" t="n">
        <v>8.5</v>
      </c>
      <c r="AC268" s="8" t="n">
        <v>7.5</v>
      </c>
      <c r="AD268" s="8" t="n">
        <v>7.5</v>
      </c>
      <c r="AE268" s="8" t="n">
        <v>8.5</v>
      </c>
      <c r="AF268" s="9" t="n">
        <v>0</v>
      </c>
      <c r="AG268" s="8" t="n">
        <v>8.5</v>
      </c>
      <c r="AH268" s="8" t="n">
        <v>7.5</v>
      </c>
      <c r="AI268" s="8" t="n">
        <v>0</v>
      </c>
      <c r="AJ268" s="8" t="n">
        <v>0</v>
      </c>
      <c r="AK268" s="8" t="n">
        <v>0</v>
      </c>
      <c r="AL268" s="8" t="n">
        <v>0</v>
      </c>
      <c r="AM268" s="9" t="n">
        <v>0</v>
      </c>
      <c r="AN268" s="8" t="n">
        <v>0</v>
      </c>
      <c r="AO268" s="8" t="n">
        <v>0</v>
      </c>
      <c r="AP268" s="8" t="n">
        <v>0</v>
      </c>
      <c r="AQ268" s="8" t="n">
        <v>0</v>
      </c>
      <c r="AR268" s="8" t="n">
        <v>0</v>
      </c>
      <c r="AS268" s="8" t="n">
        <v>0</v>
      </c>
      <c r="AT268" s="10">
        <f>SUM(O268:AS268)</f>
        <v/>
      </c>
      <c r="AU268" s="11">
        <f>COUNTIF(O268:AS268, "&gt;0")</f>
        <v/>
      </c>
      <c r="AV268" s="12">
        <f>IF(AU268&gt;=5, 4, IF(AU268&gt;0, INT(AU268/6), 0))</f>
        <v/>
      </c>
      <c r="AW268" s="11" t="n">
        <v>0</v>
      </c>
      <c r="AX268" s="11" t="n">
        <v>0</v>
      </c>
      <c r="AY268" s="13">
        <f>MIN(31, AU268+AV268+AW268+AX268)</f>
        <v/>
      </c>
      <c r="AZ268" s="14">
        <f>31-AY268</f>
        <v/>
      </c>
      <c r="BA268" s="5">
        <f>IF(AX268&gt;0, "01-İstirahat", IF(AZ268&gt;0, "12-Birden Fazla", ""))</f>
        <v/>
      </c>
      <c r="BB268" s="10" t="n">
        <v>8</v>
      </c>
      <c r="BC268" s="8" t="n">
        <v>0</v>
      </c>
      <c r="BD268" s="9" t="n">
        <v>0</v>
      </c>
      <c r="BE268" s="7">
        <f>(L268/30)*AU268</f>
        <v/>
      </c>
      <c r="BF268" s="15">
        <f>(L268/225)*((BB268*1.5)-(BC268*1.0))</f>
        <v/>
      </c>
      <c r="BG268" s="16">
        <f>(L268/225)*1.5*BD268</f>
        <v/>
      </c>
      <c r="BH268" s="15">
        <f>BF268+BG268</f>
        <v/>
      </c>
      <c r="BI268" s="17">
        <f>BE268+BH268</f>
        <v/>
      </c>
      <c r="BJ268" s="7">
        <f>IFERROR(VLOOKUP(B268, Resmi_Bordro_SGK!B:M, 11, FALSE), 0)</f>
        <v/>
      </c>
      <c r="BK268" s="18">
        <f>IFERROR(VLOOKUP(B268, Icra_Takip!A:E, 4, FALSE), 0)</f>
        <v/>
      </c>
      <c r="BL268" s="17">
        <f>IF(BI268&gt;BJ268, BI268-BJ268-BK268, 0)</f>
        <v/>
      </c>
      <c r="BM268" s="17">
        <f>BI268-BK268</f>
        <v/>
      </c>
    </row>
    <row r="269" ht="19" customHeight="1">
      <c r="A269" s="4" t="n">
        <v>266</v>
      </c>
      <c r="B269" s="5" t="inlineStr">
        <is>
          <t>23539402008</t>
        </is>
      </c>
      <c r="C269" s="6" t="inlineStr">
        <is>
          <t>MÜRVET ŞAFAK</t>
        </is>
      </c>
      <c r="D269" s="4" t="inlineStr">
        <is>
          <t>K</t>
        </is>
      </c>
      <c r="E269" s="4" t="inlineStr"/>
      <c r="F269" s="4" t="inlineStr">
        <is>
          <t>29.01.2026</t>
        </is>
      </c>
      <c r="G269" s="4" t="inlineStr"/>
      <c r="H269" s="4" t="inlineStr">
        <is>
          <t>NORMAL</t>
        </is>
      </c>
      <c r="I269" s="4" t="inlineStr">
        <is>
          <t>MEVSİMLİK</t>
        </is>
      </c>
      <c r="J269" s="6" t="inlineStr">
        <is>
          <t>ÜRETİM</t>
        </is>
      </c>
      <c r="K269" s="6" t="inlineStr">
        <is>
          <t>SUSURLUK TUR-REŞAT</t>
        </is>
      </c>
      <c r="L269" s="7" t="n">
        <v>28075.5</v>
      </c>
      <c r="M269" s="4" t="inlineStr">
        <is>
          <t>FİDE KONSERVE</t>
        </is>
      </c>
      <c r="N269" s="4" t="inlineStr">
        <is>
          <t>ALIR</t>
        </is>
      </c>
      <c r="O269" s="19" t="n">
        <v>7.5</v>
      </c>
      <c r="P269" s="19" t="n">
        <v>7.5</v>
      </c>
      <c r="Q269" s="19" t="n">
        <v>0</v>
      </c>
      <c r="R269" s="9" t="n">
        <v>0</v>
      </c>
      <c r="S269" s="19" t="n">
        <v>0</v>
      </c>
      <c r="T269" s="19" t="n">
        <v>7.5</v>
      </c>
      <c r="U269" s="19" t="n">
        <v>7.5</v>
      </c>
      <c r="V269" s="19" t="n">
        <v>0</v>
      </c>
      <c r="W269" s="19" t="n">
        <v>7.5</v>
      </c>
      <c r="X269" s="19" t="n">
        <v>0</v>
      </c>
      <c r="Y269" s="9" t="n">
        <v>7.5</v>
      </c>
      <c r="Z269" s="19" t="n">
        <v>7.5</v>
      </c>
      <c r="AA269" s="19" t="n">
        <v>7.5</v>
      </c>
      <c r="AB269" s="19" t="n">
        <v>0</v>
      </c>
      <c r="AC269" s="19" t="n">
        <v>0</v>
      </c>
      <c r="AD269" s="19" t="n">
        <v>0</v>
      </c>
      <c r="AE269" s="19" t="n">
        <v>0</v>
      </c>
      <c r="AF269" s="9" t="n">
        <v>0</v>
      </c>
      <c r="AG269" s="19" t="n">
        <v>7.5</v>
      </c>
      <c r="AH269" s="19" t="n">
        <v>7.5</v>
      </c>
      <c r="AI269" s="19" t="n">
        <v>8.5</v>
      </c>
      <c r="AJ269" s="19" t="n">
        <v>0</v>
      </c>
      <c r="AK269" s="19" t="n">
        <v>0</v>
      </c>
      <c r="AL269" s="19" t="n">
        <v>0</v>
      </c>
      <c r="AM269" s="9" t="n">
        <v>0</v>
      </c>
      <c r="AN269" s="19" t="n">
        <v>0</v>
      </c>
      <c r="AO269" s="19" t="n">
        <v>0</v>
      </c>
      <c r="AP269" s="19" t="n">
        <v>0</v>
      </c>
      <c r="AQ269" s="19" t="n">
        <v>0</v>
      </c>
      <c r="AR269" s="19" t="n">
        <v>0</v>
      </c>
      <c r="AS269" s="19" t="n">
        <v>0</v>
      </c>
      <c r="AT269" s="10">
        <f>SUM(O269:AS269)</f>
        <v/>
      </c>
      <c r="AU269" s="20">
        <f>COUNTIF(O269:AS269, "&gt;0")</f>
        <v/>
      </c>
      <c r="AV269" s="12">
        <f>IF(AU269&gt;=5, 4, IF(AU269&gt;0, INT(AU269/6), 0))</f>
        <v/>
      </c>
      <c r="AW269" s="20" t="n">
        <v>0</v>
      </c>
      <c r="AX269" s="20" t="n">
        <v>0</v>
      </c>
      <c r="AY269" s="13">
        <f>MIN(31, AU269+AV269+AW269+AX269)</f>
        <v/>
      </c>
      <c r="AZ269" s="14">
        <f>31-AY269</f>
        <v/>
      </c>
      <c r="BA269" s="21">
        <f>IF(AX269&gt;0, "01-İstirahat", IF(AZ269&gt;0, "12-Birden Fazla", ""))</f>
        <v/>
      </c>
      <c r="BB269" s="10" t="n">
        <v>1</v>
      </c>
      <c r="BC269" s="19" t="n">
        <v>0</v>
      </c>
      <c r="BD269" s="9" t="n">
        <v>7.5</v>
      </c>
      <c r="BE269" s="22">
        <f>(L269/30)*AU269</f>
        <v/>
      </c>
      <c r="BF269" s="15">
        <f>(L269/225)*((BB269*1.5)-(BC269*1.0))</f>
        <v/>
      </c>
      <c r="BG269" s="16">
        <f>(L269/225)*1.5*BD269</f>
        <v/>
      </c>
      <c r="BH269" s="15">
        <f>BF269+BG269</f>
        <v/>
      </c>
      <c r="BI269" s="17">
        <f>BE269+BH269</f>
        <v/>
      </c>
      <c r="BJ269" s="22">
        <f>IFERROR(VLOOKUP(B269, Resmi_Bordro_SGK!B:M, 11, FALSE), 0)</f>
        <v/>
      </c>
      <c r="BK269" s="18">
        <f>IFERROR(VLOOKUP(B269, Icra_Takip!A:E, 4, FALSE), 0)</f>
        <v/>
      </c>
      <c r="BL269" s="17">
        <f>IF(BI269&gt;BJ269, BI269-BJ269-BK269, 0)</f>
        <v/>
      </c>
      <c r="BM269" s="17">
        <f>BI269-BK269</f>
        <v/>
      </c>
    </row>
    <row r="270" ht="19" customHeight="1">
      <c r="A270" s="4" t="n">
        <v>267</v>
      </c>
      <c r="B270" s="5" t="inlineStr">
        <is>
          <t>19129307822</t>
        </is>
      </c>
      <c r="C270" s="6" t="inlineStr">
        <is>
          <t>MÜNEVVER AKYILDIRIM</t>
        </is>
      </c>
      <c r="D270" s="4" t="inlineStr">
        <is>
          <t>K</t>
        </is>
      </c>
      <c r="E270" s="4" t="inlineStr"/>
      <c r="F270" s="4" t="inlineStr">
        <is>
          <t>06.07.2026</t>
        </is>
      </c>
      <c r="G270" s="4" t="inlineStr"/>
      <c r="H270" s="4" t="inlineStr">
        <is>
          <t>NORMAL</t>
        </is>
      </c>
      <c r="I270" s="4" t="inlineStr">
        <is>
          <t>MEVSİMLİK</t>
        </is>
      </c>
      <c r="J270" s="6" t="inlineStr">
        <is>
          <t>ÜRETİM</t>
        </is>
      </c>
      <c r="K270" s="6" t="inlineStr">
        <is>
          <t>KARACABEY-HALİL</t>
        </is>
      </c>
      <c r="L270" s="7" t="n">
        <v>28075.5</v>
      </c>
      <c r="M270" s="4" t="inlineStr">
        <is>
          <t>FİDE KONSERVE</t>
        </is>
      </c>
      <c r="N270" s="4" t="inlineStr">
        <is>
          <t>ALIR</t>
        </is>
      </c>
      <c r="O270" s="8" t="n">
        <v>0</v>
      </c>
      <c r="P270" s="8" t="n">
        <v>0</v>
      </c>
      <c r="Q270" s="8" t="n">
        <v>0</v>
      </c>
      <c r="R270" s="9" t="n">
        <v>0</v>
      </c>
      <c r="S270" s="8" t="n">
        <v>0</v>
      </c>
      <c r="T270" s="8" t="n">
        <v>0</v>
      </c>
      <c r="U270" s="8" t="n">
        <v>0</v>
      </c>
      <c r="V270" s="8" t="n">
        <v>0</v>
      </c>
      <c r="W270" s="8" t="n">
        <v>0</v>
      </c>
      <c r="X270" s="8" t="n">
        <v>0</v>
      </c>
      <c r="Y270" s="9" t="n">
        <v>0</v>
      </c>
      <c r="Z270" s="8" t="n">
        <v>0</v>
      </c>
      <c r="AA270" s="8" t="n">
        <v>0</v>
      </c>
      <c r="AB270" s="8" t="n">
        <v>0</v>
      </c>
      <c r="AC270" s="8" t="n">
        <v>0</v>
      </c>
      <c r="AD270" s="8" t="n">
        <v>0</v>
      </c>
      <c r="AE270" s="8" t="n">
        <v>0</v>
      </c>
      <c r="AF270" s="9" t="n">
        <v>0</v>
      </c>
      <c r="AG270" s="8" t="n">
        <v>0</v>
      </c>
      <c r="AH270" s="8" t="n">
        <v>0</v>
      </c>
      <c r="AI270" s="8" t="n">
        <v>0</v>
      </c>
      <c r="AJ270" s="8" t="n">
        <v>0</v>
      </c>
      <c r="AK270" s="8" t="n">
        <v>0</v>
      </c>
      <c r="AL270" s="8" t="n">
        <v>0</v>
      </c>
      <c r="AM270" s="9" t="n">
        <v>0</v>
      </c>
      <c r="AN270" s="8" t="n">
        <v>0</v>
      </c>
      <c r="AO270" s="8" t="n">
        <v>0</v>
      </c>
      <c r="AP270" s="8" t="n">
        <v>0</v>
      </c>
      <c r="AQ270" s="8" t="n">
        <v>0</v>
      </c>
      <c r="AR270" s="8" t="n">
        <v>0</v>
      </c>
      <c r="AS270" s="8" t="n">
        <v>0</v>
      </c>
      <c r="AT270" s="10">
        <f>SUM(O270:AS270)</f>
        <v/>
      </c>
      <c r="AU270" s="11">
        <f>COUNTIF(O270:AS270, "&gt;0")</f>
        <v/>
      </c>
      <c r="AV270" s="12">
        <f>IF(AU270&gt;=5, 4, IF(AU270&gt;0, INT(AU270/6), 0))</f>
        <v/>
      </c>
      <c r="AW270" s="11" t="n">
        <v>0</v>
      </c>
      <c r="AX270" s="11" t="n">
        <v>0</v>
      </c>
      <c r="AY270" s="13">
        <f>MIN(31, AU270+AV270+AW270+AX270)</f>
        <v/>
      </c>
      <c r="AZ270" s="14">
        <f>31-AY270</f>
        <v/>
      </c>
      <c r="BA270" s="5">
        <f>IF(AX270&gt;0, "01-İstirahat", IF(AZ270&gt;0, "12-Birden Fazla", ""))</f>
        <v/>
      </c>
      <c r="BB270" s="10" t="n">
        <v>0</v>
      </c>
      <c r="BC270" s="8" t="n">
        <v>0</v>
      </c>
      <c r="BD270" s="9" t="n">
        <v>0</v>
      </c>
      <c r="BE270" s="7">
        <f>(L270/30)*AU270</f>
        <v/>
      </c>
      <c r="BF270" s="15">
        <f>(L270/225)*((BB270*1.5)-(BC270*1.0))</f>
        <v/>
      </c>
      <c r="BG270" s="16">
        <f>(L270/225)*1.5*BD270</f>
        <v/>
      </c>
      <c r="BH270" s="15">
        <f>BF270+BG270</f>
        <v/>
      </c>
      <c r="BI270" s="17">
        <f>BE270+BH270</f>
        <v/>
      </c>
      <c r="BJ270" s="7">
        <f>IFERROR(VLOOKUP(B270, Resmi_Bordro_SGK!B:M, 11, FALSE), 0)</f>
        <v/>
      </c>
      <c r="BK270" s="18">
        <f>IFERROR(VLOOKUP(B270, Icra_Takip!A:E, 4, FALSE), 0)</f>
        <v/>
      </c>
      <c r="BL270" s="17">
        <f>IF(BI270&gt;BJ270, BI270-BJ270-BK270, 0)</f>
        <v/>
      </c>
      <c r="BM270" s="17">
        <f>BI270-BK270</f>
        <v/>
      </c>
    </row>
    <row r="271" ht="19" customHeight="1">
      <c r="A271" s="4" t="n">
        <v>268</v>
      </c>
      <c r="B271" s="5" t="inlineStr">
        <is>
          <t>33124024560</t>
        </is>
      </c>
      <c r="C271" s="6" t="inlineStr">
        <is>
          <t>MÜZEYYEN ERDİNÇ</t>
        </is>
      </c>
      <c r="D271" s="4" t="inlineStr">
        <is>
          <t>K</t>
        </is>
      </c>
      <c r="E271" s="4" t="inlineStr"/>
      <c r="F271" s="4" t="inlineStr">
        <is>
          <t>13.01.2025</t>
        </is>
      </c>
      <c r="G271" s="4" t="inlineStr"/>
      <c r="H271" s="4" t="inlineStr">
        <is>
          <t>SGDP</t>
        </is>
      </c>
      <c r="I271" s="4" t="inlineStr">
        <is>
          <t>MEVSİMLİK</t>
        </is>
      </c>
      <c r="J271" s="6" t="inlineStr">
        <is>
          <t>BALIK TEMİZLEME</t>
        </is>
      </c>
      <c r="K271" s="6" t="inlineStr">
        <is>
          <t>BALIKESİR</t>
        </is>
      </c>
      <c r="L271" s="7" t="n">
        <v>33000</v>
      </c>
      <c r="M271" s="4" t="inlineStr">
        <is>
          <t>FİDE KONSERVE</t>
        </is>
      </c>
      <c r="N271" s="4" t="inlineStr">
        <is>
          <t>ALIR</t>
        </is>
      </c>
      <c r="O271" s="19" t="n">
        <v>8</v>
      </c>
      <c r="P271" s="19" t="n">
        <v>8.5</v>
      </c>
      <c r="Q271" s="19" t="n">
        <v>8</v>
      </c>
      <c r="R271" s="9" t="n">
        <v>0</v>
      </c>
      <c r="S271" s="19" t="n">
        <v>7.5</v>
      </c>
      <c r="T271" s="19" t="n">
        <v>8</v>
      </c>
      <c r="U271" s="19" t="n">
        <v>8</v>
      </c>
      <c r="V271" s="19" t="n">
        <v>8</v>
      </c>
      <c r="W271" s="19" t="n">
        <v>8</v>
      </c>
      <c r="X271" s="19" t="n">
        <v>8.5</v>
      </c>
      <c r="Y271" s="9" t="n">
        <v>0</v>
      </c>
      <c r="Z271" s="19" t="n">
        <v>7.5</v>
      </c>
      <c r="AA271" s="19" t="n">
        <v>7.5</v>
      </c>
      <c r="AB271" s="19" t="n">
        <v>8.5</v>
      </c>
      <c r="AC271" s="19" t="n">
        <v>7.5</v>
      </c>
      <c r="AD271" s="19" t="n">
        <v>7.5</v>
      </c>
      <c r="AE271" s="19" t="n">
        <v>8.5</v>
      </c>
      <c r="AF271" s="9" t="n">
        <v>0</v>
      </c>
      <c r="AG271" s="19" t="n">
        <v>8</v>
      </c>
      <c r="AH271" s="19" t="n">
        <v>7.5</v>
      </c>
      <c r="AI271" s="19" t="n">
        <v>7.5</v>
      </c>
      <c r="AJ271" s="19" t="n">
        <v>0</v>
      </c>
      <c r="AK271" s="19" t="n">
        <v>0</v>
      </c>
      <c r="AL271" s="19" t="n">
        <v>0</v>
      </c>
      <c r="AM271" s="9" t="n">
        <v>0</v>
      </c>
      <c r="AN271" s="19" t="n">
        <v>0</v>
      </c>
      <c r="AO271" s="19" t="n">
        <v>0</v>
      </c>
      <c r="AP271" s="19" t="n">
        <v>0</v>
      </c>
      <c r="AQ271" s="19" t="n">
        <v>0</v>
      </c>
      <c r="AR271" s="19" t="n">
        <v>0</v>
      </c>
      <c r="AS271" s="19" t="n">
        <v>0</v>
      </c>
      <c r="AT271" s="10">
        <f>SUM(O271:AS271)</f>
        <v/>
      </c>
      <c r="AU271" s="20">
        <f>COUNTIF(O271:AS271, "&gt;0")</f>
        <v/>
      </c>
      <c r="AV271" s="12">
        <f>IF(AU271&gt;=5, 4, IF(AU271&gt;0, INT(AU271/6), 0))</f>
        <v/>
      </c>
      <c r="AW271" s="20" t="n">
        <v>0</v>
      </c>
      <c r="AX271" s="20" t="n">
        <v>0</v>
      </c>
      <c r="AY271" s="13">
        <f>MIN(31, AU271+AV271+AW271+AX271)</f>
        <v/>
      </c>
      <c r="AZ271" s="14">
        <f>31-AY271</f>
        <v/>
      </c>
      <c r="BA271" s="21">
        <f>IF(AX271&gt;0, "01-İstirahat", IF(AZ271&gt;0, "12-Birden Fazla", ""))</f>
        <v/>
      </c>
      <c r="BB271" s="10" t="n">
        <v>7.5</v>
      </c>
      <c r="BC271" s="19" t="n">
        <v>0</v>
      </c>
      <c r="BD271" s="9" t="n">
        <v>0</v>
      </c>
      <c r="BE271" s="22">
        <f>(L271/30)*AU271</f>
        <v/>
      </c>
      <c r="BF271" s="15">
        <f>(L271/225)*((BB271*1.5)-(BC271*1.0))</f>
        <v/>
      </c>
      <c r="BG271" s="16">
        <f>(L271/225)*1.5*BD271</f>
        <v/>
      </c>
      <c r="BH271" s="15">
        <f>BF271+BG271</f>
        <v/>
      </c>
      <c r="BI271" s="17">
        <f>BE271+BH271</f>
        <v/>
      </c>
      <c r="BJ271" s="22">
        <f>IFERROR(VLOOKUP(B271, Resmi_Bordro_SGK!B:M, 11, FALSE), 0)</f>
        <v/>
      </c>
      <c r="BK271" s="18">
        <f>IFERROR(VLOOKUP(B271, Icra_Takip!A:E, 4, FALSE), 0)</f>
        <v/>
      </c>
      <c r="BL271" s="17">
        <f>IF(BI271&gt;BJ271, BI271-BJ271-BK271, 0)</f>
        <v/>
      </c>
      <c r="BM271" s="17">
        <f>BI271-BK271</f>
        <v/>
      </c>
    </row>
    <row r="272" ht="19" customHeight="1">
      <c r="A272" s="4" t="n">
        <v>269</v>
      </c>
      <c r="B272" s="5" t="inlineStr">
        <is>
          <t>10060801714</t>
        </is>
      </c>
      <c r="C272" s="6" t="inlineStr">
        <is>
          <t>NACİ YAŞAR</t>
        </is>
      </c>
      <c r="D272" s="4" t="inlineStr">
        <is>
          <t>E</t>
        </is>
      </c>
      <c r="E272" s="4" t="inlineStr"/>
      <c r="F272" s="4" t="inlineStr">
        <is>
          <t>29.06.2026</t>
        </is>
      </c>
      <c r="G272" s="4" t="inlineStr"/>
      <c r="H272" s="4" t="inlineStr">
        <is>
          <t>NORMAL</t>
        </is>
      </c>
      <c r="I272" s="4" t="inlineStr">
        <is>
          <t>MEVSİMLİK</t>
        </is>
      </c>
      <c r="J272" s="6" t="inlineStr">
        <is>
          <t>ÜRETİM</t>
        </is>
      </c>
      <c r="K272" s="6" t="inlineStr">
        <is>
          <t>BİGADİÇ</t>
        </is>
      </c>
      <c r="L272" s="7" t="n">
        <v>28075.5</v>
      </c>
      <c r="M272" s="4" t="inlineStr">
        <is>
          <t>FİDE KONSERVE</t>
        </is>
      </c>
      <c r="N272" s="4" t="inlineStr">
        <is>
          <t>ALIR</t>
        </is>
      </c>
      <c r="O272" s="8" t="n">
        <v>0</v>
      </c>
      <c r="P272" s="8" t="n">
        <v>0</v>
      </c>
      <c r="Q272" s="8" t="n">
        <v>0</v>
      </c>
      <c r="R272" s="9" t="n">
        <v>0</v>
      </c>
      <c r="S272" s="8" t="n">
        <v>0</v>
      </c>
      <c r="T272" s="8" t="n">
        <v>0</v>
      </c>
      <c r="U272" s="8" t="n">
        <v>0</v>
      </c>
      <c r="V272" s="8" t="n">
        <v>0</v>
      </c>
      <c r="W272" s="8" t="n">
        <v>0</v>
      </c>
      <c r="X272" s="8" t="n">
        <v>0</v>
      </c>
      <c r="Y272" s="9" t="n">
        <v>0</v>
      </c>
      <c r="Z272" s="8" t="n">
        <v>0</v>
      </c>
      <c r="AA272" s="8" t="n">
        <v>0</v>
      </c>
      <c r="AB272" s="8" t="n">
        <v>0</v>
      </c>
      <c r="AC272" s="8" t="n">
        <v>0</v>
      </c>
      <c r="AD272" s="8" t="n">
        <v>0</v>
      </c>
      <c r="AE272" s="8" t="n">
        <v>0</v>
      </c>
      <c r="AF272" s="9" t="n">
        <v>0</v>
      </c>
      <c r="AG272" s="8" t="n">
        <v>0</v>
      </c>
      <c r="AH272" s="8" t="n">
        <v>0</v>
      </c>
      <c r="AI272" s="8" t="n">
        <v>0</v>
      </c>
      <c r="AJ272" s="8" t="n">
        <v>0</v>
      </c>
      <c r="AK272" s="8" t="n">
        <v>0</v>
      </c>
      <c r="AL272" s="8" t="n">
        <v>0</v>
      </c>
      <c r="AM272" s="9" t="n">
        <v>0</v>
      </c>
      <c r="AN272" s="8" t="n">
        <v>0</v>
      </c>
      <c r="AO272" s="8" t="n">
        <v>0</v>
      </c>
      <c r="AP272" s="8" t="n">
        <v>0</v>
      </c>
      <c r="AQ272" s="8" t="n">
        <v>0</v>
      </c>
      <c r="AR272" s="8" t="n">
        <v>0</v>
      </c>
      <c r="AS272" s="8" t="n">
        <v>0</v>
      </c>
      <c r="AT272" s="10">
        <f>SUM(O272:AS272)</f>
        <v/>
      </c>
      <c r="AU272" s="11">
        <f>COUNTIF(O272:AS272, "&gt;0")</f>
        <v/>
      </c>
      <c r="AV272" s="12">
        <f>IF(AU272&gt;=5, 4, IF(AU272&gt;0, INT(AU272/6), 0))</f>
        <v/>
      </c>
      <c r="AW272" s="11" t="n">
        <v>0</v>
      </c>
      <c r="AX272" s="11" t="n">
        <v>0</v>
      </c>
      <c r="AY272" s="13">
        <f>MIN(31, AU272+AV272+AW272+AX272)</f>
        <v/>
      </c>
      <c r="AZ272" s="14">
        <f>31-AY272</f>
        <v/>
      </c>
      <c r="BA272" s="5">
        <f>IF(AX272&gt;0, "01-İstirahat", IF(AZ272&gt;0, "12-Birden Fazla", ""))</f>
        <v/>
      </c>
      <c r="BB272" s="10" t="n">
        <v>0</v>
      </c>
      <c r="BC272" s="8" t="n">
        <v>0</v>
      </c>
      <c r="BD272" s="9" t="n">
        <v>0</v>
      </c>
      <c r="BE272" s="7">
        <f>(L272/30)*AU272</f>
        <v/>
      </c>
      <c r="BF272" s="15">
        <f>(L272/225)*((BB272*1.5)-(BC272*1.0))</f>
        <v/>
      </c>
      <c r="BG272" s="16">
        <f>(L272/225)*1.5*BD272</f>
        <v/>
      </c>
      <c r="BH272" s="15">
        <f>BF272+BG272</f>
        <v/>
      </c>
      <c r="BI272" s="17">
        <f>BE272+BH272</f>
        <v/>
      </c>
      <c r="BJ272" s="7">
        <f>IFERROR(VLOOKUP(B272, Resmi_Bordro_SGK!B:M, 11, FALSE), 0)</f>
        <v/>
      </c>
      <c r="BK272" s="18">
        <f>IFERROR(VLOOKUP(B272, Icra_Takip!A:E, 4, FALSE), 0)</f>
        <v/>
      </c>
      <c r="BL272" s="17">
        <f>IF(BI272&gt;BJ272, BI272-BJ272-BK272, 0)</f>
        <v/>
      </c>
      <c r="BM272" s="17">
        <f>BI272-BK272</f>
        <v/>
      </c>
    </row>
    <row r="273" ht="19" customHeight="1">
      <c r="A273" s="4" t="n">
        <v>270</v>
      </c>
      <c r="B273" s="5" t="inlineStr">
        <is>
          <t>12556753194</t>
        </is>
      </c>
      <c r="C273" s="6" t="inlineStr">
        <is>
          <t>NACİYE KARABULUT</t>
        </is>
      </c>
      <c r="D273" s="4" t="inlineStr">
        <is>
          <t>K</t>
        </is>
      </c>
      <c r="E273" s="4" t="inlineStr"/>
      <c r="F273" s="4" t="inlineStr">
        <is>
          <t>10.02.2026</t>
        </is>
      </c>
      <c r="G273" s="4" t="inlineStr"/>
      <c r="H273" s="4" t="inlineStr">
        <is>
          <t>NORMAL</t>
        </is>
      </c>
      <c r="I273" s="4" t="inlineStr">
        <is>
          <t>MEVSİMLİK</t>
        </is>
      </c>
      <c r="J273" s="6" t="inlineStr">
        <is>
          <t>BALIK TEMİZLEME</t>
        </is>
      </c>
      <c r="K273" s="6" t="inlineStr">
        <is>
          <t>BALIKESİR</t>
        </is>
      </c>
      <c r="L273" s="7" t="n">
        <v>33000</v>
      </c>
      <c r="M273" s="4" t="inlineStr">
        <is>
          <t>FİDE KONSERVE</t>
        </is>
      </c>
      <c r="N273" s="4" t="inlineStr">
        <is>
          <t>ALIR</t>
        </is>
      </c>
      <c r="O273" s="19" t="n">
        <v>8</v>
      </c>
      <c r="P273" s="19" t="n">
        <v>8</v>
      </c>
      <c r="Q273" s="19" t="n">
        <v>8</v>
      </c>
      <c r="R273" s="9" t="n">
        <v>0</v>
      </c>
      <c r="S273" s="19" t="n">
        <v>7.5</v>
      </c>
      <c r="T273" s="19" t="n">
        <v>8</v>
      </c>
      <c r="U273" s="19" t="n">
        <v>8</v>
      </c>
      <c r="V273" s="19" t="n">
        <v>8</v>
      </c>
      <c r="W273" s="19" t="n">
        <v>8</v>
      </c>
      <c r="X273" s="19" t="n">
        <v>8.5</v>
      </c>
      <c r="Y273" s="9" t="n">
        <v>0</v>
      </c>
      <c r="Z273" s="19" t="n">
        <v>7.5</v>
      </c>
      <c r="AA273" s="19" t="n">
        <v>7.5</v>
      </c>
      <c r="AB273" s="19" t="n">
        <v>8.5</v>
      </c>
      <c r="AC273" s="19" t="n">
        <v>7.5</v>
      </c>
      <c r="AD273" s="19" t="n">
        <v>7.5</v>
      </c>
      <c r="AE273" s="19" t="n">
        <v>8.5</v>
      </c>
      <c r="AF273" s="9" t="n">
        <v>0</v>
      </c>
      <c r="AG273" s="19" t="n">
        <v>8</v>
      </c>
      <c r="AH273" s="19" t="n">
        <v>7.5</v>
      </c>
      <c r="AI273" s="19" t="n">
        <v>7.5</v>
      </c>
      <c r="AJ273" s="19" t="n">
        <v>0</v>
      </c>
      <c r="AK273" s="19" t="n">
        <v>0</v>
      </c>
      <c r="AL273" s="19" t="n">
        <v>0</v>
      </c>
      <c r="AM273" s="9" t="n">
        <v>0</v>
      </c>
      <c r="AN273" s="19" t="n">
        <v>0</v>
      </c>
      <c r="AO273" s="19" t="n">
        <v>0</v>
      </c>
      <c r="AP273" s="19" t="n">
        <v>0</v>
      </c>
      <c r="AQ273" s="19" t="n">
        <v>0</v>
      </c>
      <c r="AR273" s="19" t="n">
        <v>0</v>
      </c>
      <c r="AS273" s="19" t="n">
        <v>0</v>
      </c>
      <c r="AT273" s="10">
        <f>SUM(O273:AS273)</f>
        <v/>
      </c>
      <c r="AU273" s="20">
        <f>COUNTIF(O273:AS273, "&gt;0")</f>
        <v/>
      </c>
      <c r="AV273" s="12">
        <f>IF(AU273&gt;=5, 4, IF(AU273&gt;0, INT(AU273/6), 0))</f>
        <v/>
      </c>
      <c r="AW273" s="20" t="n">
        <v>0</v>
      </c>
      <c r="AX273" s="20" t="n">
        <v>0</v>
      </c>
      <c r="AY273" s="13">
        <f>MIN(31, AU273+AV273+AW273+AX273)</f>
        <v/>
      </c>
      <c r="AZ273" s="14">
        <f>31-AY273</f>
        <v/>
      </c>
      <c r="BA273" s="21">
        <f>IF(AX273&gt;0, "01-İstirahat", IF(AZ273&gt;0, "12-Birden Fazla", ""))</f>
        <v/>
      </c>
      <c r="BB273" s="10" t="n">
        <v>7</v>
      </c>
      <c r="BC273" s="19" t="n">
        <v>0</v>
      </c>
      <c r="BD273" s="9" t="n">
        <v>0</v>
      </c>
      <c r="BE273" s="22">
        <f>(L273/30)*AU273</f>
        <v/>
      </c>
      <c r="BF273" s="15">
        <f>(L273/225)*((BB273*1.5)-(BC273*1.0))</f>
        <v/>
      </c>
      <c r="BG273" s="16">
        <f>(L273/225)*1.5*BD273</f>
        <v/>
      </c>
      <c r="BH273" s="15">
        <f>BF273+BG273</f>
        <v/>
      </c>
      <c r="BI273" s="17">
        <f>BE273+BH273</f>
        <v/>
      </c>
      <c r="BJ273" s="22">
        <f>IFERROR(VLOOKUP(B273, Resmi_Bordro_SGK!B:M, 11, FALSE), 0)</f>
        <v/>
      </c>
      <c r="BK273" s="18">
        <f>IFERROR(VLOOKUP(B273, Icra_Takip!A:E, 4, FALSE), 0)</f>
        <v/>
      </c>
      <c r="BL273" s="17">
        <f>IF(BI273&gt;BJ273, BI273-BJ273-BK273, 0)</f>
        <v/>
      </c>
      <c r="BM273" s="17">
        <f>BI273-BK273</f>
        <v/>
      </c>
    </row>
    <row r="274" ht="19" customHeight="1">
      <c r="A274" s="4" t="n">
        <v>271</v>
      </c>
      <c r="B274" s="5" t="inlineStr">
        <is>
          <t>28510235804</t>
        </is>
      </c>
      <c r="C274" s="6" t="inlineStr">
        <is>
          <t>NAİL AKSOY</t>
        </is>
      </c>
      <c r="D274" s="4" t="inlineStr">
        <is>
          <t>E</t>
        </is>
      </c>
      <c r="E274" s="4" t="inlineStr"/>
      <c r="F274" s="4" t="inlineStr">
        <is>
          <t>01.03.2024</t>
        </is>
      </c>
      <c r="G274" s="4" t="inlineStr"/>
      <c r="H274" s="4" t="inlineStr">
        <is>
          <t>SGDP</t>
        </is>
      </c>
      <c r="I274" s="4" t="inlineStr">
        <is>
          <t>DAİMİ</t>
        </is>
      </c>
      <c r="J274" s="6" t="inlineStr">
        <is>
          <t>ŞÖFÖR</t>
        </is>
      </c>
      <c r="K274" s="6" t="inlineStr">
        <is>
          <t>SUSURLUK</t>
        </is>
      </c>
      <c r="L274" s="7" t="n">
        <v>30185</v>
      </c>
      <c r="M274" s="4" t="inlineStr">
        <is>
          <t>FİDE KONSERVE</t>
        </is>
      </c>
      <c r="N274" s="4" t="inlineStr">
        <is>
          <t>ALIR</t>
        </is>
      </c>
      <c r="O274" s="8" t="n">
        <v>7.5</v>
      </c>
      <c r="P274" s="8" t="n">
        <v>7.5</v>
      </c>
      <c r="Q274" s="8" t="n">
        <v>7.5</v>
      </c>
      <c r="R274" s="9" t="n">
        <v>11</v>
      </c>
      <c r="S274" s="8" t="n">
        <v>7.5</v>
      </c>
      <c r="T274" s="8" t="n">
        <v>7.5</v>
      </c>
      <c r="U274" s="8" t="n">
        <v>7.5</v>
      </c>
      <c r="V274" s="8" t="n">
        <v>7.5</v>
      </c>
      <c r="W274" s="8" t="n">
        <v>7.5</v>
      </c>
      <c r="X274" s="8" t="n">
        <v>8</v>
      </c>
      <c r="Y274" s="9" t="n">
        <v>7.5</v>
      </c>
      <c r="Z274" s="8" t="n">
        <v>7.5</v>
      </c>
      <c r="AA274" s="8" t="n">
        <v>9.5</v>
      </c>
      <c r="AB274" s="8" t="n">
        <v>7.5</v>
      </c>
      <c r="AC274" s="8" t="n">
        <v>7.5</v>
      </c>
      <c r="AD274" s="8" t="n">
        <v>7.5</v>
      </c>
      <c r="AE274" s="8" t="n">
        <v>7.5</v>
      </c>
      <c r="AF274" s="9" t="n">
        <v>7.5</v>
      </c>
      <c r="AG274" s="8" t="n">
        <v>7.5</v>
      </c>
      <c r="AH274" s="8" t="n">
        <v>7.5</v>
      </c>
      <c r="AI274" s="8" t="n">
        <v>0</v>
      </c>
      <c r="AJ274" s="8" t="n">
        <v>0</v>
      </c>
      <c r="AK274" s="8" t="n">
        <v>0</v>
      </c>
      <c r="AL274" s="8" t="n">
        <v>0</v>
      </c>
      <c r="AM274" s="9" t="n">
        <v>0</v>
      </c>
      <c r="AN274" s="8" t="n">
        <v>0</v>
      </c>
      <c r="AO274" s="8" t="n">
        <v>0</v>
      </c>
      <c r="AP274" s="8" t="n">
        <v>0</v>
      </c>
      <c r="AQ274" s="8" t="n">
        <v>0</v>
      </c>
      <c r="AR274" s="8" t="n">
        <v>0</v>
      </c>
      <c r="AS274" s="8" t="n">
        <v>0</v>
      </c>
      <c r="AT274" s="10">
        <f>SUM(O274:AS274)</f>
        <v/>
      </c>
      <c r="AU274" s="11">
        <f>COUNTIF(O274:AS274, "&gt;0")</f>
        <v/>
      </c>
      <c r="AV274" s="12">
        <f>IF(AU274&gt;=5, 4, IF(AU274&gt;0, INT(AU274/6), 0))</f>
        <v/>
      </c>
      <c r="AW274" s="11" t="n">
        <v>0</v>
      </c>
      <c r="AX274" s="11" t="n">
        <v>0</v>
      </c>
      <c r="AY274" s="13">
        <f>MIN(31, AU274+AV274+AW274+AX274)</f>
        <v/>
      </c>
      <c r="AZ274" s="14">
        <f>31-AY274</f>
        <v/>
      </c>
      <c r="BA274" s="5">
        <f>IF(AX274&gt;0, "01-İstirahat", IF(AZ274&gt;0, "12-Birden Fazla", ""))</f>
        <v/>
      </c>
      <c r="BB274" s="10" t="n">
        <v>2</v>
      </c>
      <c r="BC274" s="8" t="n">
        <v>0</v>
      </c>
      <c r="BD274" s="9" t="n">
        <v>26</v>
      </c>
      <c r="BE274" s="7">
        <f>(L274/30)*AU274</f>
        <v/>
      </c>
      <c r="BF274" s="15">
        <f>(L274/225)*((BB274*1.5)-(BC274*1.0))</f>
        <v/>
      </c>
      <c r="BG274" s="16">
        <f>(L274/225)*1.5*BD274</f>
        <v/>
      </c>
      <c r="BH274" s="15">
        <f>BF274+BG274</f>
        <v/>
      </c>
      <c r="BI274" s="17">
        <f>BE274+BH274</f>
        <v/>
      </c>
      <c r="BJ274" s="7">
        <f>IFERROR(VLOOKUP(B274, Resmi_Bordro_SGK!B:M, 11, FALSE), 0)</f>
        <v/>
      </c>
      <c r="BK274" s="18">
        <f>IFERROR(VLOOKUP(B274, Icra_Takip!A:E, 4, FALSE), 0)</f>
        <v/>
      </c>
      <c r="BL274" s="17">
        <f>IF(BI274&gt;BJ274, BI274-BJ274-BK274, 0)</f>
        <v/>
      </c>
      <c r="BM274" s="17">
        <f>BI274-BK274</f>
        <v/>
      </c>
    </row>
    <row r="275" ht="19" customHeight="1">
      <c r="A275" s="4" t="n">
        <v>272</v>
      </c>
      <c r="B275" s="5" t="inlineStr">
        <is>
          <t>10762592620</t>
        </is>
      </c>
      <c r="C275" s="6" t="inlineStr">
        <is>
          <t>ÜNALAN BATIBEY</t>
        </is>
      </c>
      <c r="D275" s="4" t="inlineStr">
        <is>
          <t>K</t>
        </is>
      </c>
      <c r="E275" s="4" t="inlineStr"/>
      <c r="F275" s="4" t="inlineStr">
        <is>
          <t>29.06.2026</t>
        </is>
      </c>
      <c r="G275" s="4" t="inlineStr"/>
      <c r="H275" s="4" t="inlineStr">
        <is>
          <t>NORMAL</t>
        </is>
      </c>
      <c r="I275" s="4" t="inlineStr">
        <is>
          <t>MEVSİMLİK</t>
        </is>
      </c>
      <c r="J275" s="6" t="inlineStr">
        <is>
          <t>ÜRETİM</t>
        </is>
      </c>
      <c r="K275" s="6" t="inlineStr">
        <is>
          <t>SEVGİ</t>
        </is>
      </c>
      <c r="L275" s="7" t="n">
        <v>28075.5</v>
      </c>
      <c r="M275" s="4" t="inlineStr">
        <is>
          <t>FİDE KONSERVE</t>
        </is>
      </c>
      <c r="N275" s="4" t="inlineStr">
        <is>
          <t>ALIR</t>
        </is>
      </c>
      <c r="O275" s="19" t="n">
        <v>0</v>
      </c>
      <c r="P275" s="19" t="n">
        <v>0</v>
      </c>
      <c r="Q275" s="19" t="n">
        <v>0</v>
      </c>
      <c r="R275" s="9" t="n">
        <v>0</v>
      </c>
      <c r="S275" s="19" t="n">
        <v>0</v>
      </c>
      <c r="T275" s="19" t="n">
        <v>0</v>
      </c>
      <c r="U275" s="19" t="n">
        <v>0</v>
      </c>
      <c r="V275" s="19" t="n">
        <v>0</v>
      </c>
      <c r="W275" s="19" t="n">
        <v>0</v>
      </c>
      <c r="X275" s="19" t="n">
        <v>0</v>
      </c>
      <c r="Y275" s="9" t="n">
        <v>0</v>
      </c>
      <c r="Z275" s="19" t="n">
        <v>0</v>
      </c>
      <c r="AA275" s="19" t="n">
        <v>0</v>
      </c>
      <c r="AB275" s="19" t="n">
        <v>0</v>
      </c>
      <c r="AC275" s="19" t="n">
        <v>0</v>
      </c>
      <c r="AD275" s="19" t="n">
        <v>0</v>
      </c>
      <c r="AE275" s="19" t="n">
        <v>0</v>
      </c>
      <c r="AF275" s="9" t="n">
        <v>0</v>
      </c>
      <c r="AG275" s="19" t="n">
        <v>0</v>
      </c>
      <c r="AH275" s="19" t="n">
        <v>0</v>
      </c>
      <c r="AI275" s="19" t="n">
        <v>0</v>
      </c>
      <c r="AJ275" s="19" t="n">
        <v>0</v>
      </c>
      <c r="AK275" s="19" t="n">
        <v>0</v>
      </c>
      <c r="AL275" s="19" t="n">
        <v>0</v>
      </c>
      <c r="AM275" s="9" t="n">
        <v>0</v>
      </c>
      <c r="AN275" s="19" t="n">
        <v>0</v>
      </c>
      <c r="AO275" s="19" t="n">
        <v>0</v>
      </c>
      <c r="AP275" s="19" t="n">
        <v>0</v>
      </c>
      <c r="AQ275" s="19" t="n">
        <v>0</v>
      </c>
      <c r="AR275" s="19" t="n">
        <v>0</v>
      </c>
      <c r="AS275" s="19" t="n">
        <v>0</v>
      </c>
      <c r="AT275" s="10">
        <f>SUM(O275:AS275)</f>
        <v/>
      </c>
      <c r="AU275" s="20">
        <f>COUNTIF(O275:AS275, "&gt;0")</f>
        <v/>
      </c>
      <c r="AV275" s="12">
        <f>IF(AU275&gt;=5, 4, IF(AU275&gt;0, INT(AU275/6), 0))</f>
        <v/>
      </c>
      <c r="AW275" s="20" t="n">
        <v>0</v>
      </c>
      <c r="AX275" s="20" t="n">
        <v>0</v>
      </c>
      <c r="AY275" s="13">
        <f>MIN(31, AU275+AV275+AW275+AX275)</f>
        <v/>
      </c>
      <c r="AZ275" s="14">
        <f>31-AY275</f>
        <v/>
      </c>
      <c r="BA275" s="21">
        <f>IF(AX275&gt;0, "01-İstirahat", IF(AZ275&gt;0, "12-Birden Fazla", ""))</f>
        <v/>
      </c>
      <c r="BB275" s="10" t="n">
        <v>0</v>
      </c>
      <c r="BC275" s="19" t="n">
        <v>0</v>
      </c>
      <c r="BD275" s="9" t="n">
        <v>0</v>
      </c>
      <c r="BE275" s="22">
        <f>(L275/30)*AU275</f>
        <v/>
      </c>
      <c r="BF275" s="15">
        <f>(L275/225)*((BB275*1.5)-(BC275*1.0))</f>
        <v/>
      </c>
      <c r="BG275" s="16">
        <f>(L275/225)*1.5*BD275</f>
        <v/>
      </c>
      <c r="BH275" s="15">
        <f>BF275+BG275</f>
        <v/>
      </c>
      <c r="BI275" s="17">
        <f>BE275+BH275</f>
        <v/>
      </c>
      <c r="BJ275" s="22">
        <f>IFERROR(VLOOKUP(B275, Resmi_Bordro_SGK!B:M, 11, FALSE), 0)</f>
        <v/>
      </c>
      <c r="BK275" s="18">
        <f>IFERROR(VLOOKUP(B275, Icra_Takip!A:E, 4, FALSE), 0)</f>
        <v/>
      </c>
      <c r="BL275" s="17">
        <f>IF(BI275&gt;BJ275, BI275-BJ275-BK275, 0)</f>
        <v/>
      </c>
      <c r="BM275" s="17">
        <f>BI275-BK275</f>
        <v/>
      </c>
    </row>
    <row r="276" ht="19" customHeight="1">
      <c r="A276" s="4" t="n">
        <v>273</v>
      </c>
      <c r="B276" s="5" t="inlineStr">
        <is>
          <t>16324748870</t>
        </is>
      </c>
      <c r="C276" s="6" t="inlineStr">
        <is>
          <t>NAZMİYE ÇELİK</t>
        </is>
      </c>
      <c r="D276" s="4" t="inlineStr">
        <is>
          <t>K</t>
        </is>
      </c>
      <c r="E276" s="4" t="inlineStr"/>
      <c r="F276" s="4" t="inlineStr">
        <is>
          <t>07.07.2026</t>
        </is>
      </c>
      <c r="G276" s="4" t="inlineStr"/>
      <c r="H276" s="4" t="inlineStr">
        <is>
          <t>NORMAL</t>
        </is>
      </c>
      <c r="I276" s="4" t="inlineStr">
        <is>
          <t>MEVSİMLİK</t>
        </is>
      </c>
      <c r="J276" s="6" t="inlineStr">
        <is>
          <t>BALIK TEMİZLEME</t>
        </is>
      </c>
      <c r="K276" s="6" t="inlineStr">
        <is>
          <t>****</t>
        </is>
      </c>
      <c r="L276" s="7" t="n">
        <v>33000</v>
      </c>
      <c r="M276" s="4" t="inlineStr">
        <is>
          <t>FİDE KONSERVE</t>
        </is>
      </c>
      <c r="N276" s="4" t="inlineStr">
        <is>
          <t>ALIR</t>
        </is>
      </c>
      <c r="O276" s="8" t="n">
        <v>8</v>
      </c>
      <c r="P276" s="8" t="n">
        <v>8.5</v>
      </c>
      <c r="Q276" s="8" t="n">
        <v>8</v>
      </c>
      <c r="R276" s="9" t="n">
        <v>0</v>
      </c>
      <c r="S276" s="8" t="n">
        <v>7.5</v>
      </c>
      <c r="T276" s="8" t="n">
        <v>8.5</v>
      </c>
      <c r="U276" s="8" t="n">
        <v>8</v>
      </c>
      <c r="V276" s="8" t="n">
        <v>8</v>
      </c>
      <c r="W276" s="8" t="n">
        <v>8.5</v>
      </c>
      <c r="X276" s="8" t="n">
        <v>0</v>
      </c>
      <c r="Y276" s="9" t="n">
        <v>0</v>
      </c>
      <c r="Z276" s="8" t="n">
        <v>7.5</v>
      </c>
      <c r="AA276" s="8" t="n">
        <v>0</v>
      </c>
      <c r="AB276" s="8" t="n">
        <v>8.5</v>
      </c>
      <c r="AC276" s="8" t="n">
        <v>7.5</v>
      </c>
      <c r="AD276" s="8" t="n">
        <v>8</v>
      </c>
      <c r="AE276" s="8" t="n">
        <v>8.5</v>
      </c>
      <c r="AF276" s="9" t="n">
        <v>0</v>
      </c>
      <c r="AG276" s="8" t="n">
        <v>8.5</v>
      </c>
      <c r="AH276" s="8" t="n">
        <v>7.5</v>
      </c>
      <c r="AI276" s="8" t="n">
        <v>0</v>
      </c>
      <c r="AJ276" s="8" t="n">
        <v>0</v>
      </c>
      <c r="AK276" s="8" t="n">
        <v>0</v>
      </c>
      <c r="AL276" s="8" t="n">
        <v>0</v>
      </c>
      <c r="AM276" s="9" t="n">
        <v>0</v>
      </c>
      <c r="AN276" s="8" t="n">
        <v>0</v>
      </c>
      <c r="AO276" s="8" t="n">
        <v>0</v>
      </c>
      <c r="AP276" s="8" t="n">
        <v>0</v>
      </c>
      <c r="AQ276" s="8" t="n">
        <v>0</v>
      </c>
      <c r="AR276" s="8" t="n">
        <v>0</v>
      </c>
      <c r="AS276" s="8" t="n">
        <v>0</v>
      </c>
      <c r="AT276" s="10">
        <f>SUM(O276:AS276)</f>
        <v/>
      </c>
      <c r="AU276" s="11">
        <f>COUNTIF(O276:AS276, "&gt;0")</f>
        <v/>
      </c>
      <c r="AV276" s="12">
        <f>IF(AU276&gt;=5, 4, IF(AU276&gt;0, INT(AU276/6), 0))</f>
        <v/>
      </c>
      <c r="AW276" s="11" t="n">
        <v>0</v>
      </c>
      <c r="AX276" s="11" t="n">
        <v>0</v>
      </c>
      <c r="AY276" s="13">
        <f>MIN(31, AU276+AV276+AW276+AX276)</f>
        <v/>
      </c>
      <c r="AZ276" s="14">
        <f>31-AY276</f>
        <v/>
      </c>
      <c r="BA276" s="5">
        <f>IF(AX276&gt;0, "01-İstirahat", IF(AZ276&gt;0, "12-Birden Fazla", ""))</f>
        <v/>
      </c>
      <c r="BB276" s="10" t="n">
        <v>8.5</v>
      </c>
      <c r="BC276" s="8" t="n">
        <v>0</v>
      </c>
      <c r="BD276" s="9" t="n">
        <v>0</v>
      </c>
      <c r="BE276" s="7">
        <f>(L276/30)*AU276</f>
        <v/>
      </c>
      <c r="BF276" s="15">
        <f>(L276/225)*((BB276*1.5)-(BC276*1.0))</f>
        <v/>
      </c>
      <c r="BG276" s="16">
        <f>(L276/225)*1.5*BD276</f>
        <v/>
      </c>
      <c r="BH276" s="15">
        <f>BF276+BG276</f>
        <v/>
      </c>
      <c r="BI276" s="17">
        <f>BE276+BH276</f>
        <v/>
      </c>
      <c r="BJ276" s="7">
        <f>IFERROR(VLOOKUP(B276, Resmi_Bordro_SGK!B:M, 11, FALSE), 0)</f>
        <v/>
      </c>
      <c r="BK276" s="18">
        <f>IFERROR(VLOOKUP(B276, Icra_Takip!A:E, 4, FALSE), 0)</f>
        <v/>
      </c>
      <c r="BL276" s="17">
        <f>IF(BI276&gt;BJ276, BI276-BJ276-BK276, 0)</f>
        <v/>
      </c>
      <c r="BM276" s="17">
        <f>BI276-BK276</f>
        <v/>
      </c>
    </row>
    <row r="277" ht="19" customHeight="1">
      <c r="A277" s="4" t="n">
        <v>274</v>
      </c>
      <c r="B277" s="5" t="inlineStr">
        <is>
          <t>54874132756</t>
        </is>
      </c>
      <c r="C277" s="6" t="inlineStr">
        <is>
          <t>NECİFE BAĞ</t>
        </is>
      </c>
      <c r="D277" s="4" t="inlineStr">
        <is>
          <t>K</t>
        </is>
      </c>
      <c r="E277" s="4" t="inlineStr"/>
      <c r="F277" s="4" t="inlineStr">
        <is>
          <t>14.05.2026</t>
        </is>
      </c>
      <c r="G277" s="4" t="inlineStr"/>
      <c r="H277" s="4" t="inlineStr">
        <is>
          <t>NORMAL</t>
        </is>
      </c>
      <c r="I277" s="4" t="inlineStr">
        <is>
          <t>MEVSİMLİK</t>
        </is>
      </c>
      <c r="J277" s="6" t="inlineStr">
        <is>
          <t>BALIK TEMİZLEME</t>
        </is>
      </c>
      <c r="K277" s="6" t="inlineStr">
        <is>
          <t>KARACABEY</t>
        </is>
      </c>
      <c r="L277" s="7" t="n">
        <v>33000</v>
      </c>
      <c r="M277" s="4" t="inlineStr">
        <is>
          <t>FİDE KONSERVE</t>
        </is>
      </c>
      <c r="N277" s="4" t="inlineStr">
        <is>
          <t>ALIR</t>
        </is>
      </c>
      <c r="O277" s="19" t="n">
        <v>8</v>
      </c>
      <c r="P277" s="19" t="n">
        <v>8.5</v>
      </c>
      <c r="Q277" s="19" t="n">
        <v>8</v>
      </c>
      <c r="R277" s="9" t="n">
        <v>0</v>
      </c>
      <c r="S277" s="19" t="n">
        <v>0</v>
      </c>
      <c r="T277" s="19" t="n">
        <v>0</v>
      </c>
      <c r="U277" s="19" t="n">
        <v>0</v>
      </c>
      <c r="V277" s="19" t="n">
        <v>0</v>
      </c>
      <c r="W277" s="19" t="n">
        <v>0</v>
      </c>
      <c r="X277" s="19" t="n">
        <v>0</v>
      </c>
      <c r="Y277" s="9" t="n">
        <v>0</v>
      </c>
      <c r="Z277" s="19" t="n">
        <v>0</v>
      </c>
      <c r="AA277" s="19" t="n">
        <v>0</v>
      </c>
      <c r="AB277" s="19" t="n">
        <v>0</v>
      </c>
      <c r="AC277" s="19" t="n">
        <v>0</v>
      </c>
      <c r="AD277" s="19" t="n">
        <v>0</v>
      </c>
      <c r="AE277" s="19" t="n">
        <v>0</v>
      </c>
      <c r="AF277" s="9" t="n">
        <v>0</v>
      </c>
      <c r="AG277" s="19" t="n">
        <v>0</v>
      </c>
      <c r="AH277" s="19" t="n">
        <v>0</v>
      </c>
      <c r="AI277" s="19" t="n">
        <v>0</v>
      </c>
      <c r="AJ277" s="19" t="n">
        <v>0</v>
      </c>
      <c r="AK277" s="19" t="n">
        <v>0</v>
      </c>
      <c r="AL277" s="19" t="n">
        <v>0</v>
      </c>
      <c r="AM277" s="9" t="n">
        <v>0</v>
      </c>
      <c r="AN277" s="19" t="n">
        <v>0</v>
      </c>
      <c r="AO277" s="19" t="n">
        <v>0</v>
      </c>
      <c r="AP277" s="19" t="n">
        <v>0</v>
      </c>
      <c r="AQ277" s="19" t="n">
        <v>0</v>
      </c>
      <c r="AR277" s="19" t="n">
        <v>0</v>
      </c>
      <c r="AS277" s="19" t="n">
        <v>0</v>
      </c>
      <c r="AT277" s="10">
        <f>SUM(O277:AS277)</f>
        <v/>
      </c>
      <c r="AU277" s="20">
        <f>COUNTIF(O277:AS277, "&gt;0")</f>
        <v/>
      </c>
      <c r="AV277" s="12">
        <f>IF(AU277&gt;=5, 4, IF(AU277&gt;0, INT(AU277/6), 0))</f>
        <v/>
      </c>
      <c r="AW277" s="20" t="n">
        <v>0</v>
      </c>
      <c r="AX277" s="20" t="n">
        <v>0</v>
      </c>
      <c r="AY277" s="13">
        <f>MIN(31, AU277+AV277+AW277+AX277)</f>
        <v/>
      </c>
      <c r="AZ277" s="14">
        <f>31-AY277</f>
        <v/>
      </c>
      <c r="BA277" s="21">
        <f>IF(AX277&gt;0, "01-İstirahat", IF(AZ277&gt;0, "12-Birden Fazla", ""))</f>
        <v/>
      </c>
      <c r="BB277" s="10" t="n">
        <v>2</v>
      </c>
      <c r="BC277" s="19" t="n">
        <v>0</v>
      </c>
      <c r="BD277" s="9" t="n">
        <v>0</v>
      </c>
      <c r="BE277" s="22">
        <f>(L277/30)*AU277</f>
        <v/>
      </c>
      <c r="BF277" s="15">
        <f>(L277/225)*((BB277*1.5)-(BC277*1.0))</f>
        <v/>
      </c>
      <c r="BG277" s="16">
        <f>(L277/225)*1.5*BD277</f>
        <v/>
      </c>
      <c r="BH277" s="15">
        <f>BF277+BG277</f>
        <v/>
      </c>
      <c r="BI277" s="17">
        <f>BE277+BH277</f>
        <v/>
      </c>
      <c r="BJ277" s="22">
        <f>IFERROR(VLOOKUP(B277, Resmi_Bordro_SGK!B:M, 11, FALSE), 0)</f>
        <v/>
      </c>
      <c r="BK277" s="18">
        <f>IFERROR(VLOOKUP(B277, Icra_Takip!A:E, 4, FALSE), 0)</f>
        <v/>
      </c>
      <c r="BL277" s="17">
        <f>IF(BI277&gt;BJ277, BI277-BJ277-BK277, 0)</f>
        <v/>
      </c>
      <c r="BM277" s="17">
        <f>BI277-BK277</f>
        <v/>
      </c>
    </row>
    <row r="278" ht="19" customHeight="1">
      <c r="A278" s="4" t="n">
        <v>275</v>
      </c>
      <c r="B278" s="5" t="inlineStr">
        <is>
          <t>38710924712</t>
        </is>
      </c>
      <c r="C278" s="6" t="inlineStr">
        <is>
          <t>NECLA ABİ</t>
        </is>
      </c>
      <c r="D278" s="4" t="inlineStr">
        <is>
          <t>K</t>
        </is>
      </c>
      <c r="E278" s="4" t="inlineStr"/>
      <c r="F278" s="4" t="inlineStr">
        <is>
          <t>01.05.2026</t>
        </is>
      </c>
      <c r="G278" s="4" t="inlineStr"/>
      <c r="H278" s="4" t="inlineStr">
        <is>
          <t>NORMAL</t>
        </is>
      </c>
      <c r="I278" s="4" t="inlineStr">
        <is>
          <t>MEVSİMLİK</t>
        </is>
      </c>
      <c r="J278" s="6" t="inlineStr">
        <is>
          <t>BALIK TEMİZLEME</t>
        </is>
      </c>
      <c r="K278" s="6" t="inlineStr">
        <is>
          <t>GÜVEN TURİZM KARACABEY</t>
        </is>
      </c>
      <c r="L278" s="7" t="n">
        <v>33000</v>
      </c>
      <c r="M278" s="4" t="inlineStr">
        <is>
          <t>FİDE KONSERVE</t>
        </is>
      </c>
      <c r="N278" s="4" t="inlineStr">
        <is>
          <t>ALIR</t>
        </is>
      </c>
      <c r="O278" s="8" t="n">
        <v>0</v>
      </c>
      <c r="P278" s="8" t="n">
        <v>0</v>
      </c>
      <c r="Q278" s="8" t="n">
        <v>8</v>
      </c>
      <c r="R278" s="9" t="n">
        <v>0</v>
      </c>
      <c r="S278" s="8" t="n">
        <v>7.5</v>
      </c>
      <c r="T278" s="8" t="n">
        <v>8</v>
      </c>
      <c r="U278" s="8" t="n">
        <v>8</v>
      </c>
      <c r="V278" s="8" t="n">
        <v>8</v>
      </c>
      <c r="W278" s="8" t="n">
        <v>8.5</v>
      </c>
      <c r="X278" s="8" t="n">
        <v>8.5</v>
      </c>
      <c r="Y278" s="9" t="n">
        <v>0</v>
      </c>
      <c r="Z278" s="8" t="n">
        <v>7.5</v>
      </c>
      <c r="AA278" s="8" t="n">
        <v>7.5</v>
      </c>
      <c r="AB278" s="8" t="n">
        <v>8.5</v>
      </c>
      <c r="AC278" s="8" t="n">
        <v>7.5</v>
      </c>
      <c r="AD278" s="8" t="n">
        <v>0</v>
      </c>
      <c r="AE278" s="8" t="n">
        <v>8.5</v>
      </c>
      <c r="AF278" s="9" t="n">
        <v>0</v>
      </c>
      <c r="AG278" s="8" t="n">
        <v>8.5</v>
      </c>
      <c r="AH278" s="8" t="n">
        <v>7.5</v>
      </c>
      <c r="AI278" s="8" t="n">
        <v>7.5</v>
      </c>
      <c r="AJ278" s="8" t="n">
        <v>0</v>
      </c>
      <c r="AK278" s="8" t="n">
        <v>0</v>
      </c>
      <c r="AL278" s="8" t="n">
        <v>0</v>
      </c>
      <c r="AM278" s="9" t="n">
        <v>0</v>
      </c>
      <c r="AN278" s="8" t="n">
        <v>0</v>
      </c>
      <c r="AO278" s="8" t="n">
        <v>0</v>
      </c>
      <c r="AP278" s="8" t="n">
        <v>0</v>
      </c>
      <c r="AQ278" s="8" t="n">
        <v>0</v>
      </c>
      <c r="AR278" s="8" t="n">
        <v>0</v>
      </c>
      <c r="AS278" s="8" t="n">
        <v>0</v>
      </c>
      <c r="AT278" s="10">
        <f>SUM(O278:AS278)</f>
        <v/>
      </c>
      <c r="AU278" s="11">
        <f>COUNTIF(O278:AS278, "&gt;0")</f>
        <v/>
      </c>
      <c r="AV278" s="12">
        <f>IF(AU278&gt;=5, 4, IF(AU278&gt;0, INT(AU278/6), 0))</f>
        <v/>
      </c>
      <c r="AW278" s="11" t="n">
        <v>0</v>
      </c>
      <c r="AX278" s="11" t="n">
        <v>0</v>
      </c>
      <c r="AY278" s="13">
        <f>MIN(31, AU278+AV278+AW278+AX278)</f>
        <v/>
      </c>
      <c r="AZ278" s="14">
        <f>31-AY278</f>
        <v/>
      </c>
      <c r="BA278" s="5">
        <f>IF(AX278&gt;0, "01-İstirahat", IF(AZ278&gt;0, "12-Birden Fazla", ""))</f>
        <v/>
      </c>
      <c r="BB278" s="10" t="n">
        <v>7</v>
      </c>
      <c r="BC278" s="8" t="n">
        <v>0</v>
      </c>
      <c r="BD278" s="9" t="n">
        <v>0</v>
      </c>
      <c r="BE278" s="7">
        <f>(L278/30)*AU278</f>
        <v/>
      </c>
      <c r="BF278" s="15">
        <f>(L278/225)*((BB278*1.5)-(BC278*1.0))</f>
        <v/>
      </c>
      <c r="BG278" s="16">
        <f>(L278/225)*1.5*BD278</f>
        <v/>
      </c>
      <c r="BH278" s="15">
        <f>BF278+BG278</f>
        <v/>
      </c>
      <c r="BI278" s="17">
        <f>BE278+BH278</f>
        <v/>
      </c>
      <c r="BJ278" s="7">
        <f>IFERROR(VLOOKUP(B278, Resmi_Bordro_SGK!B:M, 11, FALSE), 0)</f>
        <v/>
      </c>
      <c r="BK278" s="18">
        <f>IFERROR(VLOOKUP(B278, Icra_Takip!A:E, 4, FALSE), 0)</f>
        <v/>
      </c>
      <c r="BL278" s="17">
        <f>IF(BI278&gt;BJ278, BI278-BJ278-BK278, 0)</f>
        <v/>
      </c>
      <c r="BM278" s="17">
        <f>BI278-BK278</f>
        <v/>
      </c>
    </row>
    <row r="279" ht="19" customHeight="1">
      <c r="A279" s="4" t="n">
        <v>276</v>
      </c>
      <c r="B279" s="5" t="inlineStr">
        <is>
          <t>24031385950</t>
        </is>
      </c>
      <c r="C279" s="6" t="inlineStr">
        <is>
          <t>NECMİ SEVER</t>
        </is>
      </c>
      <c r="D279" s="4" t="inlineStr">
        <is>
          <t>E</t>
        </is>
      </c>
      <c r="E279" s="4" t="inlineStr"/>
      <c r="F279" s="4" t="inlineStr">
        <is>
          <t>01.07.2025</t>
        </is>
      </c>
      <c r="G279" s="4" t="inlineStr"/>
      <c r="H279" s="4" t="inlineStr">
        <is>
          <t>NORMAL</t>
        </is>
      </c>
      <c r="I279" s="4" t="inlineStr">
        <is>
          <t>DAİMİ</t>
        </is>
      </c>
      <c r="J279" s="6" t="inlineStr">
        <is>
          <t>MEYDAN</t>
        </is>
      </c>
      <c r="K279" s="6" t="inlineStr">
        <is>
          <t>GÖBEL</t>
        </is>
      </c>
      <c r="L279" s="7" t="n">
        <v>28075.5</v>
      </c>
      <c r="M279" s="4" t="inlineStr">
        <is>
          <t>FİDE KONSERVE</t>
        </is>
      </c>
      <c r="N279" s="4" t="inlineStr">
        <is>
          <t>ALIR</t>
        </is>
      </c>
      <c r="O279" s="19" t="n">
        <v>7.5</v>
      </c>
      <c r="P279" s="19" t="n">
        <v>7.5</v>
      </c>
      <c r="Q279" s="19" t="n">
        <v>7.5</v>
      </c>
      <c r="R279" s="9" t="n">
        <v>0</v>
      </c>
      <c r="S279" s="19" t="n">
        <v>7.5</v>
      </c>
      <c r="T279" s="19" t="n">
        <v>7.5</v>
      </c>
      <c r="U279" s="19" t="n">
        <v>7.5</v>
      </c>
      <c r="V279" s="19" t="n">
        <v>7.5</v>
      </c>
      <c r="W279" s="19" t="n">
        <v>7.5</v>
      </c>
      <c r="X279" s="19" t="n">
        <v>7.5</v>
      </c>
      <c r="Y279" s="9" t="n">
        <v>0</v>
      </c>
      <c r="Z279" s="19" t="n">
        <v>8.5</v>
      </c>
      <c r="AA279" s="19" t="n">
        <v>7.5</v>
      </c>
      <c r="AB279" s="19" t="n">
        <v>7.5</v>
      </c>
      <c r="AC279" s="19" t="n">
        <v>7.5</v>
      </c>
      <c r="AD279" s="19" t="n">
        <v>7.5</v>
      </c>
      <c r="AE279" s="19" t="n">
        <v>7.5</v>
      </c>
      <c r="AF279" s="9" t="n">
        <v>0</v>
      </c>
      <c r="AG279" s="19" t="n">
        <v>7.5</v>
      </c>
      <c r="AH279" s="19" t="n">
        <v>7.5</v>
      </c>
      <c r="AI279" s="19" t="n">
        <v>7.5</v>
      </c>
      <c r="AJ279" s="19" t="n">
        <v>0</v>
      </c>
      <c r="AK279" s="19" t="n">
        <v>0</v>
      </c>
      <c r="AL279" s="19" t="n">
        <v>0</v>
      </c>
      <c r="AM279" s="9" t="n">
        <v>0</v>
      </c>
      <c r="AN279" s="19" t="n">
        <v>0</v>
      </c>
      <c r="AO279" s="19" t="n">
        <v>0</v>
      </c>
      <c r="AP279" s="19" t="n">
        <v>0</v>
      </c>
      <c r="AQ279" s="19" t="n">
        <v>0</v>
      </c>
      <c r="AR279" s="19" t="n">
        <v>0</v>
      </c>
      <c r="AS279" s="19" t="n">
        <v>0</v>
      </c>
      <c r="AT279" s="10">
        <f>SUM(O279:AS279)</f>
        <v/>
      </c>
      <c r="AU279" s="20">
        <f>COUNTIF(O279:AS279, "&gt;0")</f>
        <v/>
      </c>
      <c r="AV279" s="12">
        <f>IF(AU279&gt;=5, 4, IF(AU279&gt;0, INT(AU279/6), 0))</f>
        <v/>
      </c>
      <c r="AW279" s="20" t="n">
        <v>0</v>
      </c>
      <c r="AX279" s="20" t="n">
        <v>0</v>
      </c>
      <c r="AY279" s="13">
        <f>MIN(31, AU279+AV279+AW279+AX279)</f>
        <v/>
      </c>
      <c r="AZ279" s="14">
        <f>31-AY279</f>
        <v/>
      </c>
      <c r="BA279" s="21">
        <f>IF(AX279&gt;0, "01-İstirahat", IF(AZ279&gt;0, "12-Birden Fazla", ""))</f>
        <v/>
      </c>
      <c r="BB279" s="10" t="n">
        <v>1</v>
      </c>
      <c r="BC279" s="19" t="n">
        <v>0</v>
      </c>
      <c r="BD279" s="9" t="n">
        <v>0</v>
      </c>
      <c r="BE279" s="22">
        <f>(L279/30)*AU279</f>
        <v/>
      </c>
      <c r="BF279" s="15">
        <f>(L279/225)*((BB279*1.5)-(BC279*1.0))</f>
        <v/>
      </c>
      <c r="BG279" s="16">
        <f>(L279/225)*1.5*BD279</f>
        <v/>
      </c>
      <c r="BH279" s="15">
        <f>BF279+BG279</f>
        <v/>
      </c>
      <c r="BI279" s="17">
        <f>BE279+BH279</f>
        <v/>
      </c>
      <c r="BJ279" s="22">
        <f>IFERROR(VLOOKUP(B279, Resmi_Bordro_SGK!B:M, 11, FALSE), 0)</f>
        <v/>
      </c>
      <c r="BK279" s="18">
        <f>IFERROR(VLOOKUP(B279, Icra_Takip!A:E, 4, FALSE), 0)</f>
        <v/>
      </c>
      <c r="BL279" s="17">
        <f>IF(BI279&gt;BJ279, BI279-BJ279-BK279, 0)</f>
        <v/>
      </c>
      <c r="BM279" s="17">
        <f>BI279-BK279</f>
        <v/>
      </c>
    </row>
    <row r="280" ht="19" customHeight="1">
      <c r="A280" s="4" t="n">
        <v>277</v>
      </c>
      <c r="B280" s="5" t="inlineStr">
        <is>
          <t>21991561554</t>
        </is>
      </c>
      <c r="C280" s="6" t="inlineStr">
        <is>
          <t>NECMİYE ÜÜLKER</t>
        </is>
      </c>
      <c r="D280" s="4" t="inlineStr">
        <is>
          <t>K</t>
        </is>
      </c>
      <c r="E280" s="4" t="inlineStr"/>
      <c r="F280" s="4" t="inlineStr">
        <is>
          <t>08.05.2026</t>
        </is>
      </c>
      <c r="G280" s="4" t="inlineStr"/>
      <c r="H280" s="4" t="inlineStr">
        <is>
          <t>NORMAL</t>
        </is>
      </c>
      <c r="I280" s="4" t="inlineStr">
        <is>
          <t>MEVSİMLİK</t>
        </is>
      </c>
      <c r="J280" s="6" t="inlineStr">
        <is>
          <t>BALIK TEMİZLEME</t>
        </is>
      </c>
      <c r="K280" s="6" t="inlineStr">
        <is>
          <t>GÜVEN TURİZM-MKP</t>
        </is>
      </c>
      <c r="L280" s="7" t="n">
        <v>33000</v>
      </c>
      <c r="M280" s="4" t="inlineStr">
        <is>
          <t>FİDE KONSERVE</t>
        </is>
      </c>
      <c r="N280" s="4" t="inlineStr">
        <is>
          <t>ALIR</t>
        </is>
      </c>
      <c r="O280" s="8" t="n">
        <v>8</v>
      </c>
      <c r="P280" s="8" t="n">
        <v>8</v>
      </c>
      <c r="Q280" s="8" t="n">
        <v>0</v>
      </c>
      <c r="R280" s="9" t="n">
        <v>0</v>
      </c>
      <c r="S280" s="8" t="n">
        <v>7.5</v>
      </c>
      <c r="T280" s="8" t="n">
        <v>8</v>
      </c>
      <c r="U280" s="8" t="n">
        <v>8</v>
      </c>
      <c r="V280" s="8" t="n">
        <v>8</v>
      </c>
      <c r="W280" s="8" t="n">
        <v>8</v>
      </c>
      <c r="X280" s="8" t="n">
        <v>8.5</v>
      </c>
      <c r="Y280" s="9" t="n">
        <v>0</v>
      </c>
      <c r="Z280" s="8" t="n">
        <v>7.5</v>
      </c>
      <c r="AA280" s="8" t="n">
        <v>7.5</v>
      </c>
      <c r="AB280" s="8" t="n">
        <v>8.5</v>
      </c>
      <c r="AC280" s="8" t="n">
        <v>7.5</v>
      </c>
      <c r="AD280" s="8" t="n">
        <v>7.5</v>
      </c>
      <c r="AE280" s="8" t="n">
        <v>8.5</v>
      </c>
      <c r="AF280" s="9" t="n">
        <v>0</v>
      </c>
      <c r="AG280" s="8" t="n">
        <v>8</v>
      </c>
      <c r="AH280" s="8" t="n">
        <v>7.5</v>
      </c>
      <c r="AI280" s="8" t="n">
        <v>7.5</v>
      </c>
      <c r="AJ280" s="8" t="n">
        <v>0</v>
      </c>
      <c r="AK280" s="8" t="n">
        <v>0</v>
      </c>
      <c r="AL280" s="8" t="n">
        <v>0</v>
      </c>
      <c r="AM280" s="9" t="n">
        <v>0</v>
      </c>
      <c r="AN280" s="8" t="n">
        <v>0</v>
      </c>
      <c r="AO280" s="8" t="n">
        <v>0</v>
      </c>
      <c r="AP280" s="8" t="n">
        <v>0</v>
      </c>
      <c r="AQ280" s="8" t="n">
        <v>0</v>
      </c>
      <c r="AR280" s="8" t="n">
        <v>0</v>
      </c>
      <c r="AS280" s="8" t="n">
        <v>0</v>
      </c>
      <c r="AT280" s="10">
        <f>SUM(O280:AS280)</f>
        <v/>
      </c>
      <c r="AU280" s="11">
        <f>COUNTIF(O280:AS280, "&gt;0")</f>
        <v/>
      </c>
      <c r="AV280" s="12">
        <f>IF(AU280&gt;=5, 4, IF(AU280&gt;0, INT(AU280/6), 0))</f>
        <v/>
      </c>
      <c r="AW280" s="11" t="n">
        <v>0</v>
      </c>
      <c r="AX280" s="11" t="n">
        <v>0</v>
      </c>
      <c r="AY280" s="13">
        <f>MIN(31, AU280+AV280+AW280+AX280)</f>
        <v/>
      </c>
      <c r="AZ280" s="14">
        <f>31-AY280</f>
        <v/>
      </c>
      <c r="BA280" s="5">
        <f>IF(AX280&gt;0, "01-İstirahat", IF(AZ280&gt;0, "12-Birden Fazla", ""))</f>
        <v/>
      </c>
      <c r="BB280" s="10" t="n">
        <v>6.5</v>
      </c>
      <c r="BC280" s="8" t="n">
        <v>0</v>
      </c>
      <c r="BD280" s="9" t="n">
        <v>0</v>
      </c>
      <c r="BE280" s="7">
        <f>(L280/30)*AU280</f>
        <v/>
      </c>
      <c r="BF280" s="15">
        <f>(L280/225)*((BB280*1.5)-(BC280*1.0))</f>
        <v/>
      </c>
      <c r="BG280" s="16">
        <f>(L280/225)*1.5*BD280</f>
        <v/>
      </c>
      <c r="BH280" s="15">
        <f>BF280+BG280</f>
        <v/>
      </c>
      <c r="BI280" s="17">
        <f>BE280+BH280</f>
        <v/>
      </c>
      <c r="BJ280" s="7">
        <f>IFERROR(VLOOKUP(B280, Resmi_Bordro_SGK!B:M, 11, FALSE), 0)</f>
        <v/>
      </c>
      <c r="BK280" s="18">
        <f>IFERROR(VLOOKUP(B280, Icra_Takip!A:E, 4, FALSE), 0)</f>
        <v/>
      </c>
      <c r="BL280" s="17">
        <f>IF(BI280&gt;BJ280, BI280-BJ280-BK280, 0)</f>
        <v/>
      </c>
      <c r="BM280" s="17">
        <f>BI280-BK280</f>
        <v/>
      </c>
    </row>
    <row r="281" ht="19" customHeight="1">
      <c r="A281" s="4" t="n">
        <v>278</v>
      </c>
      <c r="B281" s="5" t="inlineStr">
        <is>
          <t>15842906410</t>
        </is>
      </c>
      <c r="C281" s="6" t="inlineStr">
        <is>
          <t>NERMİN BİÇER</t>
        </is>
      </c>
      <c r="D281" s="4" t="inlineStr">
        <is>
          <t>K</t>
        </is>
      </c>
      <c r="E281" s="4" t="inlineStr"/>
      <c r="F281" s="4" t="inlineStr">
        <is>
          <t>24.06.2026</t>
        </is>
      </c>
      <c r="G281" s="4" t="inlineStr"/>
      <c r="H281" s="4" t="inlineStr">
        <is>
          <t>NORMAL</t>
        </is>
      </c>
      <c r="I281" s="4" t="inlineStr">
        <is>
          <t>MEVSİMLİK</t>
        </is>
      </c>
      <c r="J281" s="6" t="inlineStr">
        <is>
          <t>ÜRETİM</t>
        </is>
      </c>
      <c r="K281" s="6" t="inlineStr">
        <is>
          <t>KARACABEY-HALİL</t>
        </is>
      </c>
      <c r="L281" s="7" t="n">
        <v>28075.5</v>
      </c>
      <c r="M281" s="4" t="inlineStr">
        <is>
          <t>FİDE KONSERVE</t>
        </is>
      </c>
      <c r="N281" s="4" t="inlineStr">
        <is>
          <t>ALIR</t>
        </is>
      </c>
      <c r="O281" s="19" t="n">
        <v>0</v>
      </c>
      <c r="P281" s="19" t="n">
        <v>0</v>
      </c>
      <c r="Q281" s="19" t="n">
        <v>0</v>
      </c>
      <c r="R281" s="9" t="n">
        <v>0</v>
      </c>
      <c r="S281" s="19" t="n">
        <v>0</v>
      </c>
      <c r="T281" s="19" t="n">
        <v>0</v>
      </c>
      <c r="U281" s="19" t="n">
        <v>0</v>
      </c>
      <c r="V281" s="19" t="n">
        <v>0</v>
      </c>
      <c r="W281" s="19" t="n">
        <v>0</v>
      </c>
      <c r="X281" s="19" t="n">
        <v>0</v>
      </c>
      <c r="Y281" s="9" t="n">
        <v>0</v>
      </c>
      <c r="Z281" s="19" t="n">
        <v>0</v>
      </c>
      <c r="AA281" s="19" t="n">
        <v>0</v>
      </c>
      <c r="AB281" s="19" t="n">
        <v>0</v>
      </c>
      <c r="AC281" s="19" t="n">
        <v>0</v>
      </c>
      <c r="AD281" s="19" t="n">
        <v>0</v>
      </c>
      <c r="AE281" s="19" t="n">
        <v>0</v>
      </c>
      <c r="AF281" s="9" t="n">
        <v>0</v>
      </c>
      <c r="AG281" s="19" t="n">
        <v>0</v>
      </c>
      <c r="AH281" s="19" t="n">
        <v>0</v>
      </c>
      <c r="AI281" s="19" t="n">
        <v>0</v>
      </c>
      <c r="AJ281" s="19" t="n">
        <v>0</v>
      </c>
      <c r="AK281" s="19" t="n">
        <v>0</v>
      </c>
      <c r="AL281" s="19" t="n">
        <v>0</v>
      </c>
      <c r="AM281" s="9" t="n">
        <v>0</v>
      </c>
      <c r="AN281" s="19" t="n">
        <v>0</v>
      </c>
      <c r="AO281" s="19" t="n">
        <v>0</v>
      </c>
      <c r="AP281" s="19" t="n">
        <v>0</v>
      </c>
      <c r="AQ281" s="19" t="n">
        <v>0</v>
      </c>
      <c r="AR281" s="19" t="n">
        <v>0</v>
      </c>
      <c r="AS281" s="19" t="n">
        <v>0</v>
      </c>
      <c r="AT281" s="10">
        <f>SUM(O281:AS281)</f>
        <v/>
      </c>
      <c r="AU281" s="20">
        <f>COUNTIF(O281:AS281, "&gt;0")</f>
        <v/>
      </c>
      <c r="AV281" s="12">
        <f>IF(AU281&gt;=5, 4, IF(AU281&gt;0, INT(AU281/6), 0))</f>
        <v/>
      </c>
      <c r="AW281" s="20" t="n">
        <v>0</v>
      </c>
      <c r="AX281" s="20" t="n">
        <v>0</v>
      </c>
      <c r="AY281" s="13">
        <f>MIN(31, AU281+AV281+AW281+AX281)</f>
        <v/>
      </c>
      <c r="AZ281" s="14">
        <f>31-AY281</f>
        <v/>
      </c>
      <c r="BA281" s="21">
        <f>IF(AX281&gt;0, "01-İstirahat", IF(AZ281&gt;0, "12-Birden Fazla", ""))</f>
        <v/>
      </c>
      <c r="BB281" s="10" t="n">
        <v>0</v>
      </c>
      <c r="BC281" s="19" t="n">
        <v>0</v>
      </c>
      <c r="BD281" s="9" t="n">
        <v>0</v>
      </c>
      <c r="BE281" s="22">
        <f>(L281/30)*AU281</f>
        <v/>
      </c>
      <c r="BF281" s="15">
        <f>(L281/225)*((BB281*1.5)-(BC281*1.0))</f>
        <v/>
      </c>
      <c r="BG281" s="16">
        <f>(L281/225)*1.5*BD281</f>
        <v/>
      </c>
      <c r="BH281" s="15">
        <f>BF281+BG281</f>
        <v/>
      </c>
      <c r="BI281" s="17">
        <f>BE281+BH281</f>
        <v/>
      </c>
      <c r="BJ281" s="22">
        <f>IFERROR(VLOOKUP(B281, Resmi_Bordro_SGK!B:M, 11, FALSE), 0)</f>
        <v/>
      </c>
      <c r="BK281" s="18">
        <f>IFERROR(VLOOKUP(B281, Icra_Takip!A:E, 4, FALSE), 0)</f>
        <v/>
      </c>
      <c r="BL281" s="17">
        <f>IF(BI281&gt;BJ281, BI281-BJ281-BK281, 0)</f>
        <v/>
      </c>
      <c r="BM281" s="17">
        <f>BI281-BK281</f>
        <v/>
      </c>
    </row>
    <row r="282" ht="19" customHeight="1">
      <c r="A282" s="4" t="n">
        <v>279</v>
      </c>
      <c r="B282" s="5" t="inlineStr">
        <is>
          <t>14452686422</t>
        </is>
      </c>
      <c r="C282" s="6" t="inlineStr">
        <is>
          <t>NESRİN GÜZEL</t>
        </is>
      </c>
      <c r="D282" s="4" t="inlineStr">
        <is>
          <t>K</t>
        </is>
      </c>
      <c r="E282" s="4" t="inlineStr"/>
      <c r="F282" s="4" t="inlineStr">
        <is>
          <t>27.06.2025</t>
        </is>
      </c>
      <c r="G282" s="4" t="inlineStr"/>
      <c r="H282" s="4" t="inlineStr">
        <is>
          <t>NORMAL</t>
        </is>
      </c>
      <c r="I282" s="4" t="inlineStr">
        <is>
          <t>MEVSİMLİK</t>
        </is>
      </c>
      <c r="J282" s="6" t="inlineStr">
        <is>
          <t>BALIK TEMİZLEME</t>
        </is>
      </c>
      <c r="K282" s="6" t="inlineStr">
        <is>
          <t>BALIKESİR</t>
        </is>
      </c>
      <c r="L282" s="7" t="n">
        <v>33000</v>
      </c>
      <c r="M282" s="4" t="inlineStr">
        <is>
          <t>FİDE KONSERVE</t>
        </is>
      </c>
      <c r="N282" s="4" t="inlineStr">
        <is>
          <t>ALIR</t>
        </is>
      </c>
      <c r="O282" s="8" t="n">
        <v>8</v>
      </c>
      <c r="P282" s="8" t="n">
        <v>8</v>
      </c>
      <c r="Q282" s="8" t="n">
        <v>8</v>
      </c>
      <c r="R282" s="9" t="n">
        <v>0</v>
      </c>
      <c r="S282" s="8" t="n">
        <v>7.5</v>
      </c>
      <c r="T282" s="8" t="n">
        <v>8</v>
      </c>
      <c r="U282" s="8" t="n">
        <v>7.5</v>
      </c>
      <c r="V282" s="8" t="n">
        <v>8</v>
      </c>
      <c r="W282" s="8" t="n">
        <v>8</v>
      </c>
      <c r="X282" s="8" t="n">
        <v>0</v>
      </c>
      <c r="Y282" s="9" t="n">
        <v>0</v>
      </c>
      <c r="Z282" s="8" t="n">
        <v>7.5</v>
      </c>
      <c r="AA282" s="8" t="n">
        <v>7.5</v>
      </c>
      <c r="AB282" s="8" t="n">
        <v>8.5</v>
      </c>
      <c r="AC282" s="8" t="n">
        <v>7.5</v>
      </c>
      <c r="AD282" s="8" t="n">
        <v>7.5</v>
      </c>
      <c r="AE282" s="8" t="n">
        <v>8.5</v>
      </c>
      <c r="AF282" s="9" t="n">
        <v>0</v>
      </c>
      <c r="AG282" s="8" t="n">
        <v>8</v>
      </c>
      <c r="AH282" s="8" t="n">
        <v>7.5</v>
      </c>
      <c r="AI282" s="8" t="n">
        <v>7.5</v>
      </c>
      <c r="AJ282" s="8" t="n">
        <v>0</v>
      </c>
      <c r="AK282" s="8" t="n">
        <v>0</v>
      </c>
      <c r="AL282" s="8" t="n">
        <v>0</v>
      </c>
      <c r="AM282" s="9" t="n">
        <v>0</v>
      </c>
      <c r="AN282" s="8" t="n">
        <v>0</v>
      </c>
      <c r="AO282" s="8" t="n">
        <v>0</v>
      </c>
      <c r="AP282" s="8" t="n">
        <v>0</v>
      </c>
      <c r="AQ282" s="8" t="n">
        <v>0</v>
      </c>
      <c r="AR282" s="8" t="n">
        <v>0</v>
      </c>
      <c r="AS282" s="8" t="n">
        <v>0</v>
      </c>
      <c r="AT282" s="10">
        <f>SUM(O282:AS282)</f>
        <v/>
      </c>
      <c r="AU282" s="11">
        <f>COUNTIF(O282:AS282, "&gt;0")</f>
        <v/>
      </c>
      <c r="AV282" s="12">
        <f>IF(AU282&gt;=5, 4, IF(AU282&gt;0, INT(AU282/6), 0))</f>
        <v/>
      </c>
      <c r="AW282" s="11" t="n">
        <v>2</v>
      </c>
      <c r="AX282" s="11" t="n">
        <v>0</v>
      </c>
      <c r="AY282" s="13">
        <f>MIN(31, AU282+AV282+AW282+AX282)</f>
        <v/>
      </c>
      <c r="AZ282" s="14">
        <f>31-AY282</f>
        <v/>
      </c>
      <c r="BA282" s="5">
        <f>IF(AX282&gt;0, "01-İstirahat", IF(AZ282&gt;0, "12-Birden Fazla", ""))</f>
        <v/>
      </c>
      <c r="BB282" s="10" t="n">
        <v>5.5</v>
      </c>
      <c r="BC282" s="8" t="n">
        <v>0</v>
      </c>
      <c r="BD282" s="9" t="n">
        <v>0</v>
      </c>
      <c r="BE282" s="7">
        <f>(L282/30)*AU282</f>
        <v/>
      </c>
      <c r="BF282" s="15">
        <f>(L282/225)*((BB282*1.5)-(BC282*1.0))</f>
        <v/>
      </c>
      <c r="BG282" s="16">
        <f>(L282/225)*1.5*BD282</f>
        <v/>
      </c>
      <c r="BH282" s="15">
        <f>BF282+BG282</f>
        <v/>
      </c>
      <c r="BI282" s="17">
        <f>BE282+BH282</f>
        <v/>
      </c>
      <c r="BJ282" s="7">
        <f>IFERROR(VLOOKUP(B282, Resmi_Bordro_SGK!B:M, 11, FALSE), 0)</f>
        <v/>
      </c>
      <c r="BK282" s="18">
        <f>IFERROR(VLOOKUP(B282, Icra_Takip!A:E, 4, FALSE), 0)</f>
        <v/>
      </c>
      <c r="BL282" s="17">
        <f>IF(BI282&gt;BJ282, BI282-BJ282-BK282, 0)</f>
        <v/>
      </c>
      <c r="BM282" s="17">
        <f>BI282-BK282</f>
        <v/>
      </c>
    </row>
    <row r="283" ht="19" customHeight="1">
      <c r="A283" s="4" t="n">
        <v>280</v>
      </c>
      <c r="B283" s="5" t="inlineStr">
        <is>
          <t>14296809650</t>
        </is>
      </c>
      <c r="C283" s="6" t="inlineStr">
        <is>
          <t>NESRİN KAR</t>
        </is>
      </c>
      <c r="D283" s="4" t="inlineStr">
        <is>
          <t>K</t>
        </is>
      </c>
      <c r="E283" s="4" t="inlineStr"/>
      <c r="F283" s="4" t="inlineStr">
        <is>
          <t>16.07.2026</t>
        </is>
      </c>
      <c r="G283" s="4" t="inlineStr">
        <is>
          <t>14.08.2026</t>
        </is>
      </c>
      <c r="H283" s="4" t="inlineStr">
        <is>
          <t>SGDP</t>
        </is>
      </c>
      <c r="I283" s="4" t="inlineStr">
        <is>
          <t>MEVSİMLİK</t>
        </is>
      </c>
      <c r="J283" s="6" t="inlineStr">
        <is>
          <t>BALIK TEMİZLEME</t>
        </is>
      </c>
      <c r="K283" s="6" t="inlineStr">
        <is>
          <t>GÜVEN TURİZM KARACABEY</t>
        </is>
      </c>
      <c r="L283" s="7" t="n">
        <v>33000</v>
      </c>
      <c r="M283" s="4" t="inlineStr">
        <is>
          <t>FİDE KONSERVE</t>
        </is>
      </c>
      <c r="N283" s="4" t="inlineStr">
        <is>
          <t>ALIR</t>
        </is>
      </c>
      <c r="O283" s="19" t="n">
        <v>0</v>
      </c>
      <c r="P283" s="19" t="n">
        <v>0</v>
      </c>
      <c r="Q283" s="19" t="n">
        <v>0</v>
      </c>
      <c r="R283" s="9" t="n">
        <v>0</v>
      </c>
      <c r="S283" s="19" t="n">
        <v>0</v>
      </c>
      <c r="T283" s="19" t="n">
        <v>0</v>
      </c>
      <c r="U283" s="19" t="n">
        <v>0</v>
      </c>
      <c r="V283" s="19" t="n">
        <v>0</v>
      </c>
      <c r="W283" s="19" t="n">
        <v>0</v>
      </c>
      <c r="X283" s="19" t="n">
        <v>0</v>
      </c>
      <c r="Y283" s="9" t="n">
        <v>0</v>
      </c>
      <c r="Z283" s="19" t="n">
        <v>0</v>
      </c>
      <c r="AA283" s="19" t="n">
        <v>0</v>
      </c>
      <c r="AB283" s="19" t="n">
        <v>0</v>
      </c>
      <c r="AC283" s="19" t="n">
        <v>0</v>
      </c>
      <c r="AD283" s="19" t="n">
        <v>0</v>
      </c>
      <c r="AE283" s="19" t="n">
        <v>0</v>
      </c>
      <c r="AF283" s="9" t="n">
        <v>0</v>
      </c>
      <c r="AG283" s="19" t="n">
        <v>0</v>
      </c>
      <c r="AH283" s="19" t="n">
        <v>0</v>
      </c>
      <c r="AI283" s="19" t="n">
        <v>0</v>
      </c>
      <c r="AJ283" s="19" t="n">
        <v>0</v>
      </c>
      <c r="AK283" s="19" t="n">
        <v>0</v>
      </c>
      <c r="AL283" s="19" t="n">
        <v>0</v>
      </c>
      <c r="AM283" s="9" t="n">
        <v>0</v>
      </c>
      <c r="AN283" s="19" t="n">
        <v>0</v>
      </c>
      <c r="AO283" s="19" t="n">
        <v>0</v>
      </c>
      <c r="AP283" s="19" t="n">
        <v>0</v>
      </c>
      <c r="AQ283" s="19" t="n">
        <v>0</v>
      </c>
      <c r="AR283" s="19" t="n">
        <v>0</v>
      </c>
      <c r="AS283" s="19" t="n">
        <v>0</v>
      </c>
      <c r="AT283" s="10">
        <f>SUM(O283:AS283)</f>
        <v/>
      </c>
      <c r="AU283" s="20">
        <f>COUNTIF(O283:AS283, "&gt;0")</f>
        <v/>
      </c>
      <c r="AV283" s="12">
        <f>IF(AU283&gt;=5, 4, IF(AU283&gt;0, INT(AU283/6), 0))</f>
        <v/>
      </c>
      <c r="AW283" s="20" t="n">
        <v>0</v>
      </c>
      <c r="AX283" s="20" t="n">
        <v>0</v>
      </c>
      <c r="AY283" s="13">
        <f>MIN(31, AU283+AV283+AW283+AX283)</f>
        <v/>
      </c>
      <c r="AZ283" s="14">
        <f>31-AY283</f>
        <v/>
      </c>
      <c r="BA283" s="21">
        <f>IF(AX283&gt;0, "01-İstirahat", IF(AZ283&gt;0, "12-Birden Fazla", ""))</f>
        <v/>
      </c>
      <c r="BB283" s="10" t="n">
        <v>0</v>
      </c>
      <c r="BC283" s="19" t="n">
        <v>0</v>
      </c>
      <c r="BD283" s="9" t="n">
        <v>0</v>
      </c>
      <c r="BE283" s="22">
        <f>(L283/30)*AU283</f>
        <v/>
      </c>
      <c r="BF283" s="15">
        <f>(L283/225)*((BB283*1.5)-(BC283*1.0))</f>
        <v/>
      </c>
      <c r="BG283" s="16">
        <f>(L283/225)*1.5*BD283</f>
        <v/>
      </c>
      <c r="BH283" s="15">
        <f>BF283+BG283</f>
        <v/>
      </c>
      <c r="BI283" s="17">
        <f>BE283+BH283</f>
        <v/>
      </c>
      <c r="BJ283" s="22">
        <f>IFERROR(VLOOKUP(B283, Resmi_Bordro_SGK!B:M, 11, FALSE), 0)</f>
        <v/>
      </c>
      <c r="BK283" s="18">
        <f>IFERROR(VLOOKUP(B283, Icra_Takip!A:E, 4, FALSE), 0)</f>
        <v/>
      </c>
      <c r="BL283" s="17">
        <f>IF(BI283&gt;BJ283, BI283-BJ283-BK283, 0)</f>
        <v/>
      </c>
      <c r="BM283" s="17">
        <f>BI283-BK283</f>
        <v/>
      </c>
    </row>
    <row r="284" ht="19" customHeight="1">
      <c r="A284" s="4" t="n">
        <v>281</v>
      </c>
      <c r="B284" s="5" t="inlineStr">
        <is>
          <t>20950594688</t>
        </is>
      </c>
      <c r="C284" s="6" t="inlineStr">
        <is>
          <t>NEŞE BAŞAR</t>
        </is>
      </c>
      <c r="D284" s="4" t="inlineStr">
        <is>
          <t>K</t>
        </is>
      </c>
      <c r="E284" s="4" t="inlineStr"/>
      <c r="F284" s="4" t="inlineStr">
        <is>
          <t>23.07.2026</t>
        </is>
      </c>
      <c r="G284" s="4" t="inlineStr"/>
      <c r="H284" s="4" t="inlineStr">
        <is>
          <t>NORMAL</t>
        </is>
      </c>
      <c r="I284" s="4" t="inlineStr">
        <is>
          <t>MEVSİMLİK</t>
        </is>
      </c>
      <c r="J284" s="6" t="inlineStr">
        <is>
          <t>BALIK TEMİZLEME</t>
        </is>
      </c>
      <c r="K284" s="6" t="inlineStr">
        <is>
          <t>GÜVEN TURİZM-MKP</t>
        </is>
      </c>
      <c r="L284" s="7" t="n">
        <v>33000</v>
      </c>
      <c r="M284" s="4" t="inlineStr">
        <is>
          <t>FİDE KONSERVE</t>
        </is>
      </c>
      <c r="N284" s="4" t="inlineStr">
        <is>
          <t>ALIR</t>
        </is>
      </c>
      <c r="O284" s="8" t="n">
        <v>0</v>
      </c>
      <c r="P284" s="8" t="n">
        <v>0</v>
      </c>
      <c r="Q284" s="8" t="n">
        <v>0</v>
      </c>
      <c r="R284" s="9" t="n">
        <v>0</v>
      </c>
      <c r="S284" s="8" t="n">
        <v>0</v>
      </c>
      <c r="T284" s="8" t="n">
        <v>0</v>
      </c>
      <c r="U284" s="8" t="n">
        <v>0</v>
      </c>
      <c r="V284" s="8" t="n">
        <v>0</v>
      </c>
      <c r="W284" s="8" t="n">
        <v>0</v>
      </c>
      <c r="X284" s="8" t="n">
        <v>0</v>
      </c>
      <c r="Y284" s="9" t="n">
        <v>0</v>
      </c>
      <c r="Z284" s="8" t="n">
        <v>0</v>
      </c>
      <c r="AA284" s="8" t="n">
        <v>0</v>
      </c>
      <c r="AB284" s="8" t="n">
        <v>0</v>
      </c>
      <c r="AC284" s="8" t="n">
        <v>0</v>
      </c>
      <c r="AD284" s="8" t="n">
        <v>0</v>
      </c>
      <c r="AE284" s="8" t="n">
        <v>0</v>
      </c>
      <c r="AF284" s="9" t="n">
        <v>0</v>
      </c>
      <c r="AG284" s="8" t="n">
        <v>0</v>
      </c>
      <c r="AH284" s="8" t="n">
        <v>0</v>
      </c>
      <c r="AI284" s="8" t="n">
        <v>0</v>
      </c>
      <c r="AJ284" s="8" t="n">
        <v>0</v>
      </c>
      <c r="AK284" s="8" t="n">
        <v>0</v>
      </c>
      <c r="AL284" s="8" t="n">
        <v>0</v>
      </c>
      <c r="AM284" s="9" t="n">
        <v>0</v>
      </c>
      <c r="AN284" s="8" t="n">
        <v>0</v>
      </c>
      <c r="AO284" s="8" t="n">
        <v>0</v>
      </c>
      <c r="AP284" s="8" t="n">
        <v>0</v>
      </c>
      <c r="AQ284" s="8" t="n">
        <v>0</v>
      </c>
      <c r="AR284" s="8" t="n">
        <v>0</v>
      </c>
      <c r="AS284" s="8" t="n">
        <v>0</v>
      </c>
      <c r="AT284" s="10">
        <f>SUM(O284:AS284)</f>
        <v/>
      </c>
      <c r="AU284" s="11">
        <f>COUNTIF(O284:AS284, "&gt;0")</f>
        <v/>
      </c>
      <c r="AV284" s="12">
        <f>IF(AU284&gt;=5, 4, IF(AU284&gt;0, INT(AU284/6), 0))</f>
        <v/>
      </c>
      <c r="AW284" s="11" t="n">
        <v>0</v>
      </c>
      <c r="AX284" s="11" t="n">
        <v>0</v>
      </c>
      <c r="AY284" s="13">
        <f>MIN(31, AU284+AV284+AW284+AX284)</f>
        <v/>
      </c>
      <c r="AZ284" s="14">
        <f>31-AY284</f>
        <v/>
      </c>
      <c r="BA284" s="5">
        <f>IF(AX284&gt;0, "01-İstirahat", IF(AZ284&gt;0, "12-Birden Fazla", ""))</f>
        <v/>
      </c>
      <c r="BB284" s="10" t="n">
        <v>0</v>
      </c>
      <c r="BC284" s="8" t="n">
        <v>0</v>
      </c>
      <c r="BD284" s="9" t="n">
        <v>0</v>
      </c>
      <c r="BE284" s="7">
        <f>(L284/30)*AU284</f>
        <v/>
      </c>
      <c r="BF284" s="15">
        <f>(L284/225)*((BB284*1.5)-(BC284*1.0))</f>
        <v/>
      </c>
      <c r="BG284" s="16">
        <f>(L284/225)*1.5*BD284</f>
        <v/>
      </c>
      <c r="BH284" s="15">
        <f>BF284+BG284</f>
        <v/>
      </c>
      <c r="BI284" s="17">
        <f>BE284+BH284</f>
        <v/>
      </c>
      <c r="BJ284" s="7">
        <f>IFERROR(VLOOKUP(B284, Resmi_Bordro_SGK!B:M, 11, FALSE), 0)</f>
        <v/>
      </c>
      <c r="BK284" s="18">
        <f>IFERROR(VLOOKUP(B284, Icra_Takip!A:E, 4, FALSE), 0)</f>
        <v/>
      </c>
      <c r="BL284" s="17">
        <f>IF(BI284&gt;BJ284, BI284-BJ284-BK284, 0)</f>
        <v/>
      </c>
      <c r="BM284" s="17">
        <f>BI284-BK284</f>
        <v/>
      </c>
    </row>
    <row r="285" ht="19" customHeight="1">
      <c r="A285" s="4" t="n">
        <v>282</v>
      </c>
      <c r="B285" s="5" t="inlineStr">
        <is>
          <t>28693874692</t>
        </is>
      </c>
      <c r="C285" s="6" t="inlineStr">
        <is>
          <t>NEŞVET ALKAN</t>
        </is>
      </c>
      <c r="D285" s="4" t="inlineStr">
        <is>
          <t>K</t>
        </is>
      </c>
      <c r="E285" s="4" t="inlineStr"/>
      <c r="F285" s="4" t="inlineStr">
        <is>
          <t>21.07.2026</t>
        </is>
      </c>
      <c r="G285" s="4" t="inlineStr"/>
      <c r="H285" s="4" t="inlineStr">
        <is>
          <t>NORMAL</t>
        </is>
      </c>
      <c r="I285" s="4" t="inlineStr">
        <is>
          <t>MEVSİMLİK</t>
        </is>
      </c>
      <c r="J285" s="6" t="inlineStr">
        <is>
          <t>ÜRETİM</t>
        </is>
      </c>
      <c r="K285" s="6" t="inlineStr">
        <is>
          <t>BİGADİÇ</t>
        </is>
      </c>
      <c r="L285" s="7" t="n">
        <v>28075.5</v>
      </c>
      <c r="M285" s="4" t="inlineStr">
        <is>
          <t>FİDE KONSERVE</t>
        </is>
      </c>
      <c r="N285" s="4" t="inlineStr">
        <is>
          <t>ALIR</t>
        </is>
      </c>
      <c r="O285" s="19" t="n">
        <v>0</v>
      </c>
      <c r="P285" s="19" t="n">
        <v>0</v>
      </c>
      <c r="Q285" s="19" t="n">
        <v>0</v>
      </c>
      <c r="R285" s="9" t="n">
        <v>0</v>
      </c>
      <c r="S285" s="19" t="n">
        <v>0</v>
      </c>
      <c r="T285" s="19" t="n">
        <v>0</v>
      </c>
      <c r="U285" s="19" t="n">
        <v>0</v>
      </c>
      <c r="V285" s="19" t="n">
        <v>0</v>
      </c>
      <c r="W285" s="19" t="n">
        <v>0</v>
      </c>
      <c r="X285" s="19" t="n">
        <v>0</v>
      </c>
      <c r="Y285" s="9" t="n">
        <v>0</v>
      </c>
      <c r="Z285" s="19" t="n">
        <v>0</v>
      </c>
      <c r="AA285" s="19" t="n">
        <v>0</v>
      </c>
      <c r="AB285" s="19" t="n">
        <v>0</v>
      </c>
      <c r="AC285" s="19" t="n">
        <v>0</v>
      </c>
      <c r="AD285" s="19" t="n">
        <v>0</v>
      </c>
      <c r="AE285" s="19" t="n">
        <v>0</v>
      </c>
      <c r="AF285" s="9" t="n">
        <v>0</v>
      </c>
      <c r="AG285" s="19" t="n">
        <v>0</v>
      </c>
      <c r="AH285" s="19" t="n">
        <v>0</v>
      </c>
      <c r="AI285" s="19" t="n">
        <v>0</v>
      </c>
      <c r="AJ285" s="19" t="n">
        <v>0</v>
      </c>
      <c r="AK285" s="19" t="n">
        <v>0</v>
      </c>
      <c r="AL285" s="19" t="n">
        <v>0</v>
      </c>
      <c r="AM285" s="9" t="n">
        <v>0</v>
      </c>
      <c r="AN285" s="19" t="n">
        <v>0</v>
      </c>
      <c r="AO285" s="19" t="n">
        <v>0</v>
      </c>
      <c r="AP285" s="19" t="n">
        <v>0</v>
      </c>
      <c r="AQ285" s="19" t="n">
        <v>0</v>
      </c>
      <c r="AR285" s="19" t="n">
        <v>0</v>
      </c>
      <c r="AS285" s="19" t="n">
        <v>0</v>
      </c>
      <c r="AT285" s="10">
        <f>SUM(O285:AS285)</f>
        <v/>
      </c>
      <c r="AU285" s="20">
        <f>COUNTIF(O285:AS285, "&gt;0")</f>
        <v/>
      </c>
      <c r="AV285" s="12">
        <f>IF(AU285&gt;=5, 4, IF(AU285&gt;0, INT(AU285/6), 0))</f>
        <v/>
      </c>
      <c r="AW285" s="20" t="n">
        <v>0</v>
      </c>
      <c r="AX285" s="20" t="n">
        <v>0</v>
      </c>
      <c r="AY285" s="13">
        <f>MIN(31, AU285+AV285+AW285+AX285)</f>
        <v/>
      </c>
      <c r="AZ285" s="14">
        <f>31-AY285</f>
        <v/>
      </c>
      <c r="BA285" s="21">
        <f>IF(AX285&gt;0, "01-İstirahat", IF(AZ285&gt;0, "12-Birden Fazla", ""))</f>
        <v/>
      </c>
      <c r="BB285" s="10" t="n">
        <v>0</v>
      </c>
      <c r="BC285" s="19" t="n">
        <v>0</v>
      </c>
      <c r="BD285" s="9" t="n">
        <v>0</v>
      </c>
      <c r="BE285" s="22">
        <f>(L285/30)*AU285</f>
        <v/>
      </c>
      <c r="BF285" s="15">
        <f>(L285/225)*((BB285*1.5)-(BC285*1.0))</f>
        <v/>
      </c>
      <c r="BG285" s="16">
        <f>(L285/225)*1.5*BD285</f>
        <v/>
      </c>
      <c r="BH285" s="15">
        <f>BF285+BG285</f>
        <v/>
      </c>
      <c r="BI285" s="17">
        <f>BE285+BH285</f>
        <v/>
      </c>
      <c r="BJ285" s="22">
        <f>IFERROR(VLOOKUP(B285, Resmi_Bordro_SGK!B:M, 11, FALSE), 0)</f>
        <v/>
      </c>
      <c r="BK285" s="18">
        <f>IFERROR(VLOOKUP(B285, Icra_Takip!A:E, 4, FALSE), 0)</f>
        <v/>
      </c>
      <c r="BL285" s="17">
        <f>IF(BI285&gt;BJ285, BI285-BJ285-BK285, 0)</f>
        <v/>
      </c>
      <c r="BM285" s="17">
        <f>BI285-BK285</f>
        <v/>
      </c>
    </row>
    <row r="286" ht="19" customHeight="1">
      <c r="A286" s="4" t="n">
        <v>283</v>
      </c>
      <c r="B286" s="5" t="inlineStr">
        <is>
          <t>10891931710</t>
        </is>
      </c>
      <c r="C286" s="6" t="inlineStr">
        <is>
          <t>NUR BAŞAR</t>
        </is>
      </c>
      <c r="D286" s="4" t="inlineStr">
        <is>
          <t>K</t>
        </is>
      </c>
      <c r="E286" s="4" t="inlineStr"/>
      <c r="F286" s="4" t="inlineStr">
        <is>
          <t>26.06.2026</t>
        </is>
      </c>
      <c r="G286" s="4" t="inlineStr"/>
      <c r="H286" s="4" t="inlineStr">
        <is>
          <t>NORMAL</t>
        </is>
      </c>
      <c r="I286" s="4" t="inlineStr">
        <is>
          <t>MEVSİMLİK</t>
        </is>
      </c>
      <c r="J286" s="6" t="inlineStr">
        <is>
          <t>ÜRETİM</t>
        </is>
      </c>
      <c r="K286" s="6" t="inlineStr">
        <is>
          <t>GÜVEN TURİZM-MKP</t>
        </is>
      </c>
      <c r="L286" s="7" t="n">
        <v>33000</v>
      </c>
      <c r="M286" s="4" t="inlineStr">
        <is>
          <t>FİDE KONSERVE</t>
        </is>
      </c>
      <c r="N286" s="4" t="inlineStr">
        <is>
          <t>ALIR</t>
        </is>
      </c>
      <c r="O286" s="8" t="n">
        <v>0</v>
      </c>
      <c r="P286" s="8" t="n">
        <v>0</v>
      </c>
      <c r="Q286" s="8" t="n">
        <v>0</v>
      </c>
      <c r="R286" s="9" t="n">
        <v>0</v>
      </c>
      <c r="S286" s="8" t="n">
        <v>0</v>
      </c>
      <c r="T286" s="8" t="n">
        <v>0</v>
      </c>
      <c r="U286" s="8" t="n">
        <v>0</v>
      </c>
      <c r="V286" s="8" t="n">
        <v>0</v>
      </c>
      <c r="W286" s="8" t="n">
        <v>0</v>
      </c>
      <c r="X286" s="8" t="n">
        <v>0</v>
      </c>
      <c r="Y286" s="9" t="n">
        <v>0</v>
      </c>
      <c r="Z286" s="8" t="n">
        <v>0</v>
      </c>
      <c r="AA286" s="8" t="n">
        <v>0</v>
      </c>
      <c r="AB286" s="8" t="n">
        <v>0</v>
      </c>
      <c r="AC286" s="8" t="n">
        <v>0</v>
      </c>
      <c r="AD286" s="8" t="n">
        <v>0</v>
      </c>
      <c r="AE286" s="8" t="n">
        <v>0</v>
      </c>
      <c r="AF286" s="9" t="n">
        <v>0</v>
      </c>
      <c r="AG286" s="8" t="n">
        <v>0</v>
      </c>
      <c r="AH286" s="8" t="n">
        <v>0</v>
      </c>
      <c r="AI286" s="8" t="n">
        <v>0</v>
      </c>
      <c r="AJ286" s="8" t="n">
        <v>0</v>
      </c>
      <c r="AK286" s="8" t="n">
        <v>0</v>
      </c>
      <c r="AL286" s="8" t="n">
        <v>0</v>
      </c>
      <c r="AM286" s="9" t="n">
        <v>0</v>
      </c>
      <c r="AN286" s="8" t="n">
        <v>0</v>
      </c>
      <c r="AO286" s="8" t="n">
        <v>0</v>
      </c>
      <c r="AP286" s="8" t="n">
        <v>0</v>
      </c>
      <c r="AQ286" s="8" t="n">
        <v>0</v>
      </c>
      <c r="AR286" s="8" t="n">
        <v>0</v>
      </c>
      <c r="AS286" s="8" t="n">
        <v>0</v>
      </c>
      <c r="AT286" s="10">
        <f>SUM(O286:AS286)</f>
        <v/>
      </c>
      <c r="AU286" s="11">
        <f>COUNTIF(O286:AS286, "&gt;0")</f>
        <v/>
      </c>
      <c r="AV286" s="12">
        <f>IF(AU286&gt;=5, 4, IF(AU286&gt;0, INT(AU286/6), 0))</f>
        <v/>
      </c>
      <c r="AW286" s="11" t="n">
        <v>0</v>
      </c>
      <c r="AX286" s="11" t="n">
        <v>0</v>
      </c>
      <c r="AY286" s="13">
        <f>MIN(31, AU286+AV286+AW286+AX286)</f>
        <v/>
      </c>
      <c r="AZ286" s="14">
        <f>31-AY286</f>
        <v/>
      </c>
      <c r="BA286" s="5">
        <f>IF(AX286&gt;0, "01-İstirahat", IF(AZ286&gt;0, "12-Birden Fazla", ""))</f>
        <v/>
      </c>
      <c r="BB286" s="10" t="n">
        <v>0</v>
      </c>
      <c r="BC286" s="8" t="n">
        <v>0</v>
      </c>
      <c r="BD286" s="9" t="n">
        <v>0</v>
      </c>
      <c r="BE286" s="7">
        <f>(L286/30)*AU286</f>
        <v/>
      </c>
      <c r="BF286" s="15">
        <f>(L286/225)*((BB286*1.5)-(BC286*1.0))</f>
        <v/>
      </c>
      <c r="BG286" s="16">
        <f>(L286/225)*1.5*BD286</f>
        <v/>
      </c>
      <c r="BH286" s="15">
        <f>BF286+BG286</f>
        <v/>
      </c>
      <c r="BI286" s="17">
        <f>BE286+BH286</f>
        <v/>
      </c>
      <c r="BJ286" s="7">
        <f>IFERROR(VLOOKUP(B286, Resmi_Bordro_SGK!B:M, 11, FALSE), 0)</f>
        <v/>
      </c>
      <c r="BK286" s="18">
        <f>IFERROR(VLOOKUP(B286, Icra_Takip!A:E, 4, FALSE), 0)</f>
        <v/>
      </c>
      <c r="BL286" s="17">
        <f>IF(BI286&gt;BJ286, BI286-BJ286-BK286, 0)</f>
        <v/>
      </c>
      <c r="BM286" s="17">
        <f>BI286-BK286</f>
        <v/>
      </c>
    </row>
    <row r="287" ht="19" customHeight="1">
      <c r="A287" s="4" t="n">
        <v>284</v>
      </c>
      <c r="B287" s="5" t="inlineStr">
        <is>
          <t>17902565544</t>
        </is>
      </c>
      <c r="C287" s="6" t="inlineStr">
        <is>
          <t>NURAY AVCI</t>
        </is>
      </c>
      <c r="D287" s="4" t="inlineStr">
        <is>
          <t>K</t>
        </is>
      </c>
      <c r="E287" s="4" t="inlineStr"/>
      <c r="F287" s="4" t="inlineStr">
        <is>
          <t>29.05.2025</t>
        </is>
      </c>
      <c r="G287" s="4" t="inlineStr"/>
      <c r="H287" s="4" t="inlineStr">
        <is>
          <t>NORMAL</t>
        </is>
      </c>
      <c r="I287" s="4" t="inlineStr">
        <is>
          <t>MEVSİMLİK</t>
        </is>
      </c>
      <c r="J287" s="6" t="inlineStr">
        <is>
          <t>YEMEKHANE</t>
        </is>
      </c>
      <c r="K287" s="6" t="inlineStr">
        <is>
          <t>BALIKESİR</t>
        </is>
      </c>
      <c r="L287" s="7" t="n">
        <v>28075.5</v>
      </c>
      <c r="M287" s="4" t="inlineStr">
        <is>
          <t>FİDE KONSERVE</t>
        </is>
      </c>
      <c r="N287" s="4" t="inlineStr">
        <is>
          <t>ALIR</t>
        </is>
      </c>
      <c r="O287" s="19" t="n">
        <v>8</v>
      </c>
      <c r="P287" s="19" t="n">
        <v>0</v>
      </c>
      <c r="Q287" s="19" t="n">
        <v>8</v>
      </c>
      <c r="R287" s="9" t="n">
        <v>0</v>
      </c>
      <c r="S287" s="19" t="n">
        <v>7.5</v>
      </c>
      <c r="T287" s="19" t="n">
        <v>8</v>
      </c>
      <c r="U287" s="19" t="n">
        <v>7.5</v>
      </c>
      <c r="V287" s="19" t="n">
        <v>8</v>
      </c>
      <c r="W287" s="19" t="n">
        <v>8</v>
      </c>
      <c r="X287" s="19" t="n">
        <v>8.5</v>
      </c>
      <c r="Y287" s="9" t="n">
        <v>0</v>
      </c>
      <c r="Z287" s="19" t="n">
        <v>0</v>
      </c>
      <c r="AA287" s="19" t="n">
        <v>7.5</v>
      </c>
      <c r="AB287" s="19" t="n">
        <v>0</v>
      </c>
      <c r="AC287" s="19" t="n">
        <v>7.5</v>
      </c>
      <c r="AD287" s="19" t="n">
        <v>7.5</v>
      </c>
      <c r="AE287" s="19" t="n">
        <v>8.5</v>
      </c>
      <c r="AF287" s="9" t="n">
        <v>0</v>
      </c>
      <c r="AG287" s="19" t="n">
        <v>8</v>
      </c>
      <c r="AH287" s="19" t="n">
        <v>7.5</v>
      </c>
      <c r="AI287" s="19" t="n">
        <v>7.5</v>
      </c>
      <c r="AJ287" s="19" t="n">
        <v>0</v>
      </c>
      <c r="AK287" s="19" t="n">
        <v>0</v>
      </c>
      <c r="AL287" s="19" t="n">
        <v>0</v>
      </c>
      <c r="AM287" s="9" t="n">
        <v>0</v>
      </c>
      <c r="AN287" s="19" t="n">
        <v>0</v>
      </c>
      <c r="AO287" s="19" t="n">
        <v>0</v>
      </c>
      <c r="AP287" s="19" t="n">
        <v>0</v>
      </c>
      <c r="AQ287" s="19" t="n">
        <v>0</v>
      </c>
      <c r="AR287" s="19" t="n">
        <v>0</v>
      </c>
      <c r="AS287" s="19" t="n">
        <v>0</v>
      </c>
      <c r="AT287" s="10">
        <f>SUM(O287:AS287)</f>
        <v/>
      </c>
      <c r="AU287" s="20">
        <f>COUNTIF(O287:AS287, "&gt;0")</f>
        <v/>
      </c>
      <c r="AV287" s="12">
        <f>IF(AU287&gt;=5, 4, IF(AU287&gt;0, INT(AU287/6), 0))</f>
        <v/>
      </c>
      <c r="AW287" s="20" t="n">
        <v>0</v>
      </c>
      <c r="AX287" s="20" t="n">
        <v>0</v>
      </c>
      <c r="AY287" s="13">
        <f>MIN(31, AU287+AV287+AW287+AX287)</f>
        <v/>
      </c>
      <c r="AZ287" s="14">
        <f>31-AY287</f>
        <v/>
      </c>
      <c r="BA287" s="21">
        <f>IF(AX287&gt;0, "01-İstirahat", IF(AZ287&gt;0, "12-Birden Fazla", ""))</f>
        <v/>
      </c>
      <c r="BB287" s="10" t="n">
        <v>5</v>
      </c>
      <c r="BC287" s="19" t="n">
        <v>0</v>
      </c>
      <c r="BD287" s="9" t="n">
        <v>0</v>
      </c>
      <c r="BE287" s="22">
        <f>(L287/30)*AU287</f>
        <v/>
      </c>
      <c r="BF287" s="15">
        <f>(L287/225)*((BB287*1.5)-(BC287*1.0))</f>
        <v/>
      </c>
      <c r="BG287" s="16">
        <f>(L287/225)*1.5*BD287</f>
        <v/>
      </c>
      <c r="BH287" s="15">
        <f>BF287+BG287</f>
        <v/>
      </c>
      <c r="BI287" s="17">
        <f>BE287+BH287</f>
        <v/>
      </c>
      <c r="BJ287" s="22">
        <f>IFERROR(VLOOKUP(B287, Resmi_Bordro_SGK!B:M, 11, FALSE), 0)</f>
        <v/>
      </c>
      <c r="BK287" s="18">
        <f>IFERROR(VLOOKUP(B287, Icra_Takip!A:E, 4, FALSE), 0)</f>
        <v/>
      </c>
      <c r="BL287" s="17">
        <f>IF(BI287&gt;BJ287, BI287-BJ287-BK287, 0)</f>
        <v/>
      </c>
      <c r="BM287" s="17">
        <f>BI287-BK287</f>
        <v/>
      </c>
    </row>
    <row r="288" ht="19" customHeight="1">
      <c r="A288" s="4" t="n">
        <v>285</v>
      </c>
      <c r="B288" s="5" t="inlineStr">
        <is>
          <t>25970637896</t>
        </is>
      </c>
      <c r="C288" s="6" t="inlineStr">
        <is>
          <t>NURAY ELİSÇIKIŞ</t>
        </is>
      </c>
      <c r="D288" s="4" t="inlineStr">
        <is>
          <t>K</t>
        </is>
      </c>
      <c r="E288" s="4" t="inlineStr"/>
      <c r="F288" s="4" t="inlineStr">
        <is>
          <t>02.10.2021</t>
        </is>
      </c>
      <c r="G288" s="4" t="inlineStr"/>
      <c r="H288" s="4" t="inlineStr">
        <is>
          <t>NORMAL</t>
        </is>
      </c>
      <c r="I288" s="4" t="inlineStr">
        <is>
          <t>MEVSİMLİK</t>
        </is>
      </c>
      <c r="J288" s="6" t="inlineStr">
        <is>
          <t>AMBAR</t>
        </is>
      </c>
      <c r="K288" s="6" t="inlineStr">
        <is>
          <t>BALIKESİR</t>
        </is>
      </c>
      <c r="L288" s="7" t="n">
        <v>28075.5</v>
      </c>
      <c r="M288" s="4" t="inlineStr">
        <is>
          <t>FİDE KONSERVE</t>
        </is>
      </c>
      <c r="N288" s="4" t="inlineStr">
        <is>
          <t>ALIR</t>
        </is>
      </c>
      <c r="O288" s="8" t="n">
        <v>8</v>
      </c>
      <c r="P288" s="8" t="n">
        <v>8</v>
      </c>
      <c r="Q288" s="8" t="n">
        <v>8</v>
      </c>
      <c r="R288" s="9" t="n">
        <v>0</v>
      </c>
      <c r="S288" s="8" t="n">
        <v>7.5</v>
      </c>
      <c r="T288" s="8" t="n">
        <v>8</v>
      </c>
      <c r="U288" s="8" t="n">
        <v>7.5</v>
      </c>
      <c r="V288" s="8" t="n">
        <v>8</v>
      </c>
      <c r="W288" s="8" t="n">
        <v>8</v>
      </c>
      <c r="X288" s="8" t="n">
        <v>8.5</v>
      </c>
      <c r="Y288" s="9" t="n">
        <v>0</v>
      </c>
      <c r="Z288" s="8" t="n">
        <v>7.5</v>
      </c>
      <c r="AA288" s="8" t="n">
        <v>7.5</v>
      </c>
      <c r="AB288" s="8" t="n">
        <v>8.5</v>
      </c>
      <c r="AC288" s="8" t="n">
        <v>7.5</v>
      </c>
      <c r="AD288" s="8" t="n">
        <v>7.5</v>
      </c>
      <c r="AE288" s="8" t="n">
        <v>8.5</v>
      </c>
      <c r="AF288" s="9" t="n">
        <v>0</v>
      </c>
      <c r="AG288" s="8" t="n">
        <v>8</v>
      </c>
      <c r="AH288" s="8" t="n">
        <v>7.5</v>
      </c>
      <c r="AI288" s="8" t="n">
        <v>7.5</v>
      </c>
      <c r="AJ288" s="8" t="n">
        <v>0</v>
      </c>
      <c r="AK288" s="8" t="n">
        <v>0</v>
      </c>
      <c r="AL288" s="8" t="n">
        <v>0</v>
      </c>
      <c r="AM288" s="9" t="n">
        <v>0</v>
      </c>
      <c r="AN288" s="8" t="n">
        <v>0</v>
      </c>
      <c r="AO288" s="8" t="n">
        <v>0</v>
      </c>
      <c r="AP288" s="8" t="n">
        <v>0</v>
      </c>
      <c r="AQ288" s="8" t="n">
        <v>0</v>
      </c>
      <c r="AR288" s="8" t="n">
        <v>0</v>
      </c>
      <c r="AS288" s="8" t="n">
        <v>0</v>
      </c>
      <c r="AT288" s="10">
        <f>SUM(O288:AS288)</f>
        <v/>
      </c>
      <c r="AU288" s="11">
        <f>COUNTIF(O288:AS288, "&gt;0")</f>
        <v/>
      </c>
      <c r="AV288" s="12">
        <f>IF(AU288&gt;=5, 4, IF(AU288&gt;0, INT(AU288/6), 0))</f>
        <v/>
      </c>
      <c r="AW288" s="11" t="n">
        <v>0</v>
      </c>
      <c r="AX288" s="11" t="n">
        <v>0</v>
      </c>
      <c r="AY288" s="13">
        <f>MIN(31, AU288+AV288+AW288+AX288)</f>
        <v/>
      </c>
      <c r="AZ288" s="14">
        <f>31-AY288</f>
        <v/>
      </c>
      <c r="BA288" s="5">
        <f>IF(AX288&gt;0, "01-İstirahat", IF(AZ288&gt;0, "12-Birden Fazla", ""))</f>
        <v/>
      </c>
      <c r="BB288" s="10" t="n">
        <v>6.5</v>
      </c>
      <c r="BC288" s="8" t="n">
        <v>0</v>
      </c>
      <c r="BD288" s="9" t="n">
        <v>0</v>
      </c>
      <c r="BE288" s="7">
        <f>(L288/30)*AU288</f>
        <v/>
      </c>
      <c r="BF288" s="15">
        <f>(L288/225)*((BB288*1.5)-(BC288*1.0))</f>
        <v/>
      </c>
      <c r="BG288" s="16">
        <f>(L288/225)*1.5*BD288</f>
        <v/>
      </c>
      <c r="BH288" s="15">
        <f>BF288+BG288</f>
        <v/>
      </c>
      <c r="BI288" s="17">
        <f>BE288+BH288</f>
        <v/>
      </c>
      <c r="BJ288" s="7">
        <f>IFERROR(VLOOKUP(B288, Resmi_Bordro_SGK!B:M, 11, FALSE), 0)</f>
        <v/>
      </c>
      <c r="BK288" s="18">
        <f>IFERROR(VLOOKUP(B288, Icra_Takip!A:E, 4, FALSE), 0)</f>
        <v/>
      </c>
      <c r="BL288" s="17">
        <f>IF(BI288&gt;BJ288, BI288-BJ288-BK288, 0)</f>
        <v/>
      </c>
      <c r="BM288" s="17">
        <f>BI288-BK288</f>
        <v/>
      </c>
    </row>
    <row r="289" ht="19" customHeight="1">
      <c r="A289" s="4" t="n">
        <v>286</v>
      </c>
      <c r="B289" s="5" t="inlineStr">
        <is>
          <t>38449011448</t>
        </is>
      </c>
      <c r="C289" s="6" t="inlineStr">
        <is>
          <t>NURAY LAÇİN</t>
        </is>
      </c>
      <c r="D289" s="4" t="inlineStr">
        <is>
          <t>K</t>
        </is>
      </c>
      <c r="E289" s="4" t="inlineStr"/>
      <c r="F289" s="4" t="inlineStr">
        <is>
          <t>17.06.2026</t>
        </is>
      </c>
      <c r="G289" s="4" t="inlineStr"/>
      <c r="H289" s="4" t="inlineStr">
        <is>
          <t>NORMAL</t>
        </is>
      </c>
      <c r="I289" s="4" t="inlineStr">
        <is>
          <t>MEVSİMLİK</t>
        </is>
      </c>
      <c r="J289" s="6" t="inlineStr">
        <is>
          <t>ÜRETİM</t>
        </is>
      </c>
      <c r="K289" s="6" t="inlineStr">
        <is>
          <t>GÜVEN TURİZM-MKP</t>
        </is>
      </c>
      <c r="L289" s="7" t="n">
        <v>28075.5</v>
      </c>
      <c r="M289" s="4" t="inlineStr">
        <is>
          <t>FİDE KONSERVE</t>
        </is>
      </c>
      <c r="N289" s="4" t="inlineStr">
        <is>
          <t>ALIR</t>
        </is>
      </c>
      <c r="O289" s="19" t="n">
        <v>0</v>
      </c>
      <c r="P289" s="19" t="n">
        <v>0</v>
      </c>
      <c r="Q289" s="19" t="n">
        <v>0</v>
      </c>
      <c r="R289" s="9" t="n">
        <v>0</v>
      </c>
      <c r="S289" s="19" t="n">
        <v>0</v>
      </c>
      <c r="T289" s="19" t="n">
        <v>0</v>
      </c>
      <c r="U289" s="19" t="n">
        <v>0</v>
      </c>
      <c r="V289" s="19" t="n">
        <v>0</v>
      </c>
      <c r="W289" s="19" t="n">
        <v>0</v>
      </c>
      <c r="X289" s="19" t="n">
        <v>0</v>
      </c>
      <c r="Y289" s="9" t="n">
        <v>0</v>
      </c>
      <c r="Z289" s="19" t="n">
        <v>0</v>
      </c>
      <c r="AA289" s="19" t="n">
        <v>0</v>
      </c>
      <c r="AB289" s="19" t="n">
        <v>0</v>
      </c>
      <c r="AC289" s="19" t="n">
        <v>0</v>
      </c>
      <c r="AD289" s="19" t="n">
        <v>0</v>
      </c>
      <c r="AE289" s="19" t="n">
        <v>0</v>
      </c>
      <c r="AF289" s="9" t="n">
        <v>0</v>
      </c>
      <c r="AG289" s="19" t="n">
        <v>0</v>
      </c>
      <c r="AH289" s="19" t="n">
        <v>0</v>
      </c>
      <c r="AI289" s="19" t="n">
        <v>0</v>
      </c>
      <c r="AJ289" s="19" t="n">
        <v>0</v>
      </c>
      <c r="AK289" s="19" t="n">
        <v>0</v>
      </c>
      <c r="AL289" s="19" t="n">
        <v>0</v>
      </c>
      <c r="AM289" s="9" t="n">
        <v>0</v>
      </c>
      <c r="AN289" s="19" t="n">
        <v>0</v>
      </c>
      <c r="AO289" s="19" t="n">
        <v>0</v>
      </c>
      <c r="AP289" s="19" t="n">
        <v>0</v>
      </c>
      <c r="AQ289" s="19" t="n">
        <v>0</v>
      </c>
      <c r="AR289" s="19" t="n">
        <v>0</v>
      </c>
      <c r="AS289" s="19" t="n">
        <v>0</v>
      </c>
      <c r="AT289" s="10">
        <f>SUM(O289:AS289)</f>
        <v/>
      </c>
      <c r="AU289" s="20">
        <f>COUNTIF(O289:AS289, "&gt;0")</f>
        <v/>
      </c>
      <c r="AV289" s="12">
        <f>IF(AU289&gt;=5, 4, IF(AU289&gt;0, INT(AU289/6), 0))</f>
        <v/>
      </c>
      <c r="AW289" s="20" t="n">
        <v>0</v>
      </c>
      <c r="AX289" s="20" t="n">
        <v>0</v>
      </c>
      <c r="AY289" s="13">
        <f>MIN(31, AU289+AV289+AW289+AX289)</f>
        <v/>
      </c>
      <c r="AZ289" s="14">
        <f>31-AY289</f>
        <v/>
      </c>
      <c r="BA289" s="21">
        <f>IF(AX289&gt;0, "01-İstirahat", IF(AZ289&gt;0, "12-Birden Fazla", ""))</f>
        <v/>
      </c>
      <c r="BB289" s="10" t="n">
        <v>0</v>
      </c>
      <c r="BC289" s="19" t="n">
        <v>0</v>
      </c>
      <c r="BD289" s="9" t="n">
        <v>0</v>
      </c>
      <c r="BE289" s="22">
        <f>(L289/30)*AU289</f>
        <v/>
      </c>
      <c r="BF289" s="15">
        <f>(L289/225)*((BB289*1.5)-(BC289*1.0))</f>
        <v/>
      </c>
      <c r="BG289" s="16">
        <f>(L289/225)*1.5*BD289</f>
        <v/>
      </c>
      <c r="BH289" s="15">
        <f>BF289+BG289</f>
        <v/>
      </c>
      <c r="BI289" s="17">
        <f>BE289+BH289</f>
        <v/>
      </c>
      <c r="BJ289" s="22">
        <f>IFERROR(VLOOKUP(B289, Resmi_Bordro_SGK!B:M, 11, FALSE), 0)</f>
        <v/>
      </c>
      <c r="BK289" s="18">
        <f>IFERROR(VLOOKUP(B289, Icra_Takip!A:E, 4, FALSE), 0)</f>
        <v/>
      </c>
      <c r="BL289" s="17">
        <f>IF(BI289&gt;BJ289, BI289-BJ289-BK289, 0)</f>
        <v/>
      </c>
      <c r="BM289" s="17">
        <f>BI289-BK289</f>
        <v/>
      </c>
    </row>
    <row r="290" ht="19" customHeight="1">
      <c r="A290" s="4" t="n">
        <v>287</v>
      </c>
      <c r="B290" s="5" t="inlineStr">
        <is>
          <t>21478446602</t>
        </is>
      </c>
      <c r="C290" s="6" t="inlineStr">
        <is>
          <t>NURCAN EREN</t>
        </is>
      </c>
      <c r="D290" s="4" t="inlineStr">
        <is>
          <t>K</t>
        </is>
      </c>
      <c r="E290" s="4" t="inlineStr"/>
      <c r="F290" s="4" t="inlineStr">
        <is>
          <t>10.02.2026</t>
        </is>
      </c>
      <c r="G290" s="4" t="inlineStr"/>
      <c r="H290" s="4" t="inlineStr">
        <is>
          <t>NORMAL</t>
        </is>
      </c>
      <c r="I290" s="4" t="inlineStr">
        <is>
          <t>MEVSİMLİK</t>
        </is>
      </c>
      <c r="J290" s="6" t="inlineStr">
        <is>
          <t>BALIK TEMİZLEME</t>
        </is>
      </c>
      <c r="K290" s="6" t="inlineStr">
        <is>
          <t>BALIKESİR</t>
        </is>
      </c>
      <c r="L290" s="7" t="n">
        <v>33000</v>
      </c>
      <c r="M290" s="4" t="inlineStr">
        <is>
          <t>FİDE KONSERVE</t>
        </is>
      </c>
      <c r="N290" s="4" t="inlineStr">
        <is>
          <t>ALIR</t>
        </is>
      </c>
      <c r="O290" s="8" t="n">
        <v>8</v>
      </c>
      <c r="P290" s="8" t="n">
        <v>8</v>
      </c>
      <c r="Q290" s="8" t="n">
        <v>8</v>
      </c>
      <c r="R290" s="9" t="n">
        <v>0</v>
      </c>
      <c r="S290" s="8" t="n">
        <v>7.5</v>
      </c>
      <c r="T290" s="8" t="n">
        <v>0</v>
      </c>
      <c r="U290" s="8" t="n">
        <v>8</v>
      </c>
      <c r="V290" s="8" t="n">
        <v>8</v>
      </c>
      <c r="W290" s="8" t="n">
        <v>8</v>
      </c>
      <c r="X290" s="8" t="n">
        <v>8.5</v>
      </c>
      <c r="Y290" s="9" t="n">
        <v>0</v>
      </c>
      <c r="Z290" s="8" t="n">
        <v>7.5</v>
      </c>
      <c r="AA290" s="8" t="n">
        <v>7.5</v>
      </c>
      <c r="AB290" s="8" t="n">
        <v>8.5</v>
      </c>
      <c r="AC290" s="8" t="n">
        <v>7.5</v>
      </c>
      <c r="AD290" s="8" t="n">
        <v>7.5</v>
      </c>
      <c r="AE290" s="8" t="n">
        <v>8.5</v>
      </c>
      <c r="AF290" s="9" t="n">
        <v>0</v>
      </c>
      <c r="AG290" s="8" t="n">
        <v>8</v>
      </c>
      <c r="AH290" s="8" t="n">
        <v>7.5</v>
      </c>
      <c r="AI290" s="8" t="n">
        <v>7.5</v>
      </c>
      <c r="AJ290" s="8" t="n">
        <v>0</v>
      </c>
      <c r="AK290" s="8" t="n">
        <v>0</v>
      </c>
      <c r="AL290" s="8" t="n">
        <v>0</v>
      </c>
      <c r="AM290" s="9" t="n">
        <v>0</v>
      </c>
      <c r="AN290" s="8" t="n">
        <v>0</v>
      </c>
      <c r="AO290" s="8" t="n">
        <v>0</v>
      </c>
      <c r="AP290" s="8" t="n">
        <v>0</v>
      </c>
      <c r="AQ290" s="8" t="n">
        <v>0</v>
      </c>
      <c r="AR290" s="8" t="n">
        <v>0</v>
      </c>
      <c r="AS290" s="8" t="n">
        <v>0</v>
      </c>
      <c r="AT290" s="10">
        <f>SUM(O290:AS290)</f>
        <v/>
      </c>
      <c r="AU290" s="11">
        <f>COUNTIF(O290:AS290, "&gt;0")</f>
        <v/>
      </c>
      <c r="AV290" s="12">
        <f>IF(AU290&gt;=5, 4, IF(AU290&gt;0, INT(AU290/6), 0))</f>
        <v/>
      </c>
      <c r="AW290" s="11" t="n">
        <v>0</v>
      </c>
      <c r="AX290" s="11" t="n">
        <v>0</v>
      </c>
      <c r="AY290" s="13">
        <f>MIN(31, AU290+AV290+AW290+AX290)</f>
        <v/>
      </c>
      <c r="AZ290" s="14">
        <f>31-AY290</f>
        <v/>
      </c>
      <c r="BA290" s="5">
        <f>IF(AX290&gt;0, "01-İstirahat", IF(AZ290&gt;0, "12-Birden Fazla", ""))</f>
        <v/>
      </c>
      <c r="BB290" s="10" t="n">
        <v>6.5</v>
      </c>
      <c r="BC290" s="8" t="n">
        <v>0</v>
      </c>
      <c r="BD290" s="9" t="n">
        <v>0</v>
      </c>
      <c r="BE290" s="7">
        <f>(L290/30)*AU290</f>
        <v/>
      </c>
      <c r="BF290" s="15">
        <f>(L290/225)*((BB290*1.5)-(BC290*1.0))</f>
        <v/>
      </c>
      <c r="BG290" s="16">
        <f>(L290/225)*1.5*BD290</f>
        <v/>
      </c>
      <c r="BH290" s="15">
        <f>BF290+BG290</f>
        <v/>
      </c>
      <c r="BI290" s="17">
        <f>BE290+BH290</f>
        <v/>
      </c>
      <c r="BJ290" s="7">
        <f>IFERROR(VLOOKUP(B290, Resmi_Bordro_SGK!B:M, 11, FALSE), 0)</f>
        <v/>
      </c>
      <c r="BK290" s="18">
        <f>IFERROR(VLOOKUP(B290, Icra_Takip!A:E, 4, FALSE), 0)</f>
        <v/>
      </c>
      <c r="BL290" s="17">
        <f>IF(BI290&gt;BJ290, BI290-BJ290-BK290, 0)</f>
        <v/>
      </c>
      <c r="BM290" s="17">
        <f>BI290-BK290</f>
        <v/>
      </c>
    </row>
    <row r="291" ht="19" customHeight="1">
      <c r="A291" s="4" t="n">
        <v>288</v>
      </c>
      <c r="B291" s="5" t="inlineStr"/>
      <c r="C291" s="6" t="inlineStr">
        <is>
          <t>NURCAN GARGALIOĞLU</t>
        </is>
      </c>
      <c r="D291" s="4" t="inlineStr"/>
      <c r="E291" s="4" t="inlineStr"/>
      <c r="F291" s="4" t="inlineStr"/>
      <c r="G291" s="4" t="inlineStr"/>
      <c r="H291" s="4" t="inlineStr">
        <is>
          <t>NORMAL</t>
        </is>
      </c>
      <c r="I291" s="4" t="inlineStr">
        <is>
          <t>MEVSİMLİK</t>
        </is>
      </c>
      <c r="J291" s="6" t="inlineStr"/>
      <c r="K291" s="6" t="inlineStr"/>
      <c r="L291" s="7" t="n">
        <v>28075.5</v>
      </c>
      <c r="M291" s="4" t="inlineStr">
        <is>
          <t>FİDE KONSERVE</t>
        </is>
      </c>
      <c r="N291" s="4" t="inlineStr">
        <is>
          <t>ALIR</t>
        </is>
      </c>
      <c r="O291" s="19" t="n">
        <v>0</v>
      </c>
      <c r="P291" s="19" t="n">
        <v>0</v>
      </c>
      <c r="Q291" s="19" t="n">
        <v>0</v>
      </c>
      <c r="R291" s="9" t="n">
        <v>0</v>
      </c>
      <c r="S291" s="19" t="n">
        <v>0</v>
      </c>
      <c r="T291" s="19" t="n">
        <v>0</v>
      </c>
      <c r="U291" s="19" t="n">
        <v>0</v>
      </c>
      <c r="V291" s="19" t="n">
        <v>0</v>
      </c>
      <c r="W291" s="19" t="n">
        <v>0</v>
      </c>
      <c r="X291" s="19" t="n">
        <v>0</v>
      </c>
      <c r="Y291" s="9" t="n">
        <v>0</v>
      </c>
      <c r="Z291" s="19" t="n">
        <v>0</v>
      </c>
      <c r="AA291" s="19" t="n">
        <v>0</v>
      </c>
      <c r="AB291" s="19" t="n">
        <v>0</v>
      </c>
      <c r="AC291" s="19" t="n">
        <v>0</v>
      </c>
      <c r="AD291" s="19" t="n">
        <v>0</v>
      </c>
      <c r="AE291" s="19" t="n">
        <v>0</v>
      </c>
      <c r="AF291" s="9" t="n">
        <v>0</v>
      </c>
      <c r="AG291" s="19" t="n">
        <v>0</v>
      </c>
      <c r="AH291" s="19" t="n">
        <v>0</v>
      </c>
      <c r="AI291" s="19" t="n">
        <v>0</v>
      </c>
      <c r="AJ291" s="19" t="n">
        <v>0</v>
      </c>
      <c r="AK291" s="19" t="n">
        <v>0</v>
      </c>
      <c r="AL291" s="19" t="n">
        <v>0</v>
      </c>
      <c r="AM291" s="9" t="n">
        <v>0</v>
      </c>
      <c r="AN291" s="19" t="n">
        <v>0</v>
      </c>
      <c r="AO291" s="19" t="n">
        <v>0</v>
      </c>
      <c r="AP291" s="19" t="n">
        <v>0</v>
      </c>
      <c r="AQ291" s="19" t="n">
        <v>0</v>
      </c>
      <c r="AR291" s="19" t="n">
        <v>0</v>
      </c>
      <c r="AS291" s="19" t="n">
        <v>0</v>
      </c>
      <c r="AT291" s="10">
        <f>SUM(O291:AS291)</f>
        <v/>
      </c>
      <c r="AU291" s="20">
        <f>COUNTIF(O291:AS291, "&gt;0")</f>
        <v/>
      </c>
      <c r="AV291" s="12">
        <f>IF(AU291&gt;=5, 4, IF(AU291&gt;0, INT(AU291/6), 0))</f>
        <v/>
      </c>
      <c r="AW291" s="20" t="n">
        <v>0</v>
      </c>
      <c r="AX291" s="20" t="n">
        <v>0</v>
      </c>
      <c r="AY291" s="13">
        <f>MIN(31, AU291+AV291+AW291+AX291)</f>
        <v/>
      </c>
      <c r="AZ291" s="14">
        <f>31-AY291</f>
        <v/>
      </c>
      <c r="BA291" s="21">
        <f>IF(AX291&gt;0, "01-İstirahat", IF(AZ291&gt;0, "12-Birden Fazla", ""))</f>
        <v/>
      </c>
      <c r="BB291" s="10" t="n">
        <v>0</v>
      </c>
      <c r="BC291" s="19" t="n">
        <v>0</v>
      </c>
      <c r="BD291" s="9" t="n">
        <v>0</v>
      </c>
      <c r="BE291" s="22">
        <f>(L291/30)*AU291</f>
        <v/>
      </c>
      <c r="BF291" s="15">
        <f>(L291/225)*((BB291*1.5)-(BC291*1.0))</f>
        <v/>
      </c>
      <c r="BG291" s="16">
        <f>(L291/225)*1.5*BD291</f>
        <v/>
      </c>
      <c r="BH291" s="15">
        <f>BF291+BG291</f>
        <v/>
      </c>
      <c r="BI291" s="17">
        <f>BE291+BH291</f>
        <v/>
      </c>
      <c r="BJ291" s="22">
        <f>IFERROR(VLOOKUP(B291, Resmi_Bordro_SGK!B:M, 11, FALSE), 0)</f>
        <v/>
      </c>
      <c r="BK291" s="18">
        <f>IFERROR(VLOOKUP(B291, Icra_Takip!A:E, 4, FALSE), 0)</f>
        <v/>
      </c>
      <c r="BL291" s="17">
        <f>IF(BI291&gt;BJ291, BI291-BJ291-BK291, 0)</f>
        <v/>
      </c>
      <c r="BM291" s="17">
        <f>BI291-BK291</f>
        <v/>
      </c>
    </row>
    <row r="292" ht="19" customHeight="1">
      <c r="A292" s="4" t="n">
        <v>289</v>
      </c>
      <c r="B292" s="5" t="inlineStr">
        <is>
          <t>15736612786</t>
        </is>
      </c>
      <c r="C292" s="6" t="inlineStr">
        <is>
          <t>NURGÜL ADIGÜL</t>
        </is>
      </c>
      <c r="D292" s="4" t="inlineStr">
        <is>
          <t>K</t>
        </is>
      </c>
      <c r="E292" s="4" t="inlineStr"/>
      <c r="F292" s="4" t="inlineStr">
        <is>
          <t>17.08.2026</t>
        </is>
      </c>
      <c r="G292" s="4" t="inlineStr"/>
      <c r="H292" s="4" t="inlineStr">
        <is>
          <t>NORMAL</t>
        </is>
      </c>
      <c r="I292" s="4" t="inlineStr">
        <is>
          <t>MEVSİMLİK</t>
        </is>
      </c>
      <c r="J292" s="6" t="inlineStr">
        <is>
          <t>ÜRETİM</t>
        </is>
      </c>
      <c r="K292" s="6" t="inlineStr">
        <is>
          <t>BİGADİÇ</t>
        </is>
      </c>
      <c r="L292" s="7" t="n">
        <v>28075.5</v>
      </c>
      <c r="M292" s="4" t="inlineStr">
        <is>
          <t>FİDE KONSERVE</t>
        </is>
      </c>
      <c r="N292" s="4" t="inlineStr">
        <is>
          <t>ALIR</t>
        </is>
      </c>
      <c r="O292" s="8" t="n">
        <v>7.5</v>
      </c>
      <c r="P292" s="8" t="n">
        <v>7.5</v>
      </c>
      <c r="Q292" s="8" t="n">
        <v>7.5</v>
      </c>
      <c r="R292" s="9" t="n">
        <v>0</v>
      </c>
      <c r="S292" s="8" t="n">
        <v>7.5</v>
      </c>
      <c r="T292" s="8" t="n">
        <v>7.5</v>
      </c>
      <c r="U292" s="8" t="n">
        <v>7.5</v>
      </c>
      <c r="V292" s="8" t="n">
        <v>7.5</v>
      </c>
      <c r="W292" s="8" t="n">
        <v>7.5</v>
      </c>
      <c r="X292" s="8" t="n">
        <v>7.5</v>
      </c>
      <c r="Y292" s="9" t="n">
        <v>0</v>
      </c>
      <c r="Z292" s="8" t="n">
        <v>7.5</v>
      </c>
      <c r="AA292" s="8" t="n">
        <v>7.5</v>
      </c>
      <c r="AB292" s="8" t="n">
        <v>8</v>
      </c>
      <c r="AC292" s="8" t="n">
        <v>7.5</v>
      </c>
      <c r="AD292" s="8" t="n">
        <v>7.5</v>
      </c>
      <c r="AE292" s="8" t="n">
        <v>7.5</v>
      </c>
      <c r="AF292" s="9" t="n">
        <v>0</v>
      </c>
      <c r="AG292" s="8" t="n">
        <v>7.5</v>
      </c>
      <c r="AH292" s="8" t="n">
        <v>7.5</v>
      </c>
      <c r="AI292" s="23" t="n">
        <v>7.5</v>
      </c>
      <c r="AJ292" s="8" t="n">
        <v>0</v>
      </c>
      <c r="AK292" s="8" t="n">
        <v>0</v>
      </c>
      <c r="AL292" s="8" t="n">
        <v>0</v>
      </c>
      <c r="AM292" s="9" t="n">
        <v>0</v>
      </c>
      <c r="AN292" s="8" t="n">
        <v>0</v>
      </c>
      <c r="AO292" s="8" t="n">
        <v>0</v>
      </c>
      <c r="AP292" s="8" t="n">
        <v>0</v>
      </c>
      <c r="AQ292" s="8" t="n">
        <v>0</v>
      </c>
      <c r="AR292" s="8" t="n">
        <v>0</v>
      </c>
      <c r="AS292" s="8" t="n">
        <v>0</v>
      </c>
      <c r="AT292" s="10">
        <f>SUM(O292:AS292)</f>
        <v/>
      </c>
      <c r="AU292" s="11">
        <f>COUNTIF(O292:AS292, "&gt;0")</f>
        <v/>
      </c>
      <c r="AV292" s="12">
        <f>IF(AU292&gt;=5, 4, IF(AU292&gt;0, INT(AU292/6), 0))</f>
        <v/>
      </c>
      <c r="AW292" s="11" t="n">
        <v>0</v>
      </c>
      <c r="AX292" s="11" t="n">
        <v>0</v>
      </c>
      <c r="AY292" s="13">
        <f>MIN(31, AU292+AV292+AW292+AX292)</f>
        <v/>
      </c>
      <c r="AZ292" s="14">
        <f>31-AY292</f>
        <v/>
      </c>
      <c r="BA292" s="5">
        <f>IF(AX292&gt;0, "01-İstirahat", IF(AZ292&gt;0, "12-Birden Fazla", ""))</f>
        <v/>
      </c>
      <c r="BB292" s="10" t="n">
        <v>0.5</v>
      </c>
      <c r="BC292" s="8" t="n">
        <v>0</v>
      </c>
      <c r="BD292" s="9" t="n">
        <v>0</v>
      </c>
      <c r="BE292" s="7">
        <f>(L292/30)*AU292</f>
        <v/>
      </c>
      <c r="BF292" s="15">
        <f>(L292/225)*((BB292*1.5)-(BC292*1.0))</f>
        <v/>
      </c>
      <c r="BG292" s="16">
        <f>(L292/225)*1.5*BD292</f>
        <v/>
      </c>
      <c r="BH292" s="15">
        <f>BF292+BG292</f>
        <v/>
      </c>
      <c r="BI292" s="17">
        <f>BE292+BH292</f>
        <v/>
      </c>
      <c r="BJ292" s="7">
        <f>IFERROR(VLOOKUP(B292, Resmi_Bordro_SGK!B:M, 11, FALSE), 0)</f>
        <v/>
      </c>
      <c r="BK292" s="18">
        <f>IFERROR(VLOOKUP(B292, Icra_Takip!A:E, 4, FALSE), 0)</f>
        <v/>
      </c>
      <c r="BL292" s="17">
        <f>IF(BI292&gt;BJ292, BI292-BJ292-BK292, 0)</f>
        <v/>
      </c>
      <c r="BM292" s="17">
        <f>BI292-BK292</f>
        <v/>
      </c>
    </row>
    <row r="293" ht="19" customHeight="1">
      <c r="A293" s="4" t="n">
        <v>290</v>
      </c>
      <c r="B293" s="5" t="inlineStr">
        <is>
          <t>13318692676</t>
        </is>
      </c>
      <c r="C293" s="6" t="inlineStr">
        <is>
          <t>NURGÜL PARLAS</t>
        </is>
      </c>
      <c r="D293" s="4" t="inlineStr">
        <is>
          <t>K</t>
        </is>
      </c>
      <c r="E293" s="4" t="inlineStr"/>
      <c r="F293" s="4" t="inlineStr">
        <is>
          <t>23.06.2026</t>
        </is>
      </c>
      <c r="G293" s="4" t="inlineStr"/>
      <c r="H293" s="4" t="inlineStr">
        <is>
          <t>NORMAL</t>
        </is>
      </c>
      <c r="I293" s="4" t="inlineStr">
        <is>
          <t>MEVSİMLİK</t>
        </is>
      </c>
      <c r="J293" s="6" t="inlineStr">
        <is>
          <t>ÜRETİM</t>
        </is>
      </c>
      <c r="K293" s="6" t="inlineStr">
        <is>
          <t>BİGADİÇ</t>
        </is>
      </c>
      <c r="L293" s="7" t="n">
        <v>28075.5</v>
      </c>
      <c r="M293" s="4" t="inlineStr">
        <is>
          <t>FİDE KONSERVE</t>
        </is>
      </c>
      <c r="N293" s="4" t="inlineStr">
        <is>
          <t>ALIR</t>
        </is>
      </c>
      <c r="O293" s="19" t="n">
        <v>7.5</v>
      </c>
      <c r="P293" s="19" t="n">
        <v>7.5</v>
      </c>
      <c r="Q293" s="19" t="n">
        <v>7.5</v>
      </c>
      <c r="R293" s="9" t="n">
        <v>0</v>
      </c>
      <c r="S293" s="19" t="n">
        <v>7.5</v>
      </c>
      <c r="T293" s="19" t="n">
        <v>7.5</v>
      </c>
      <c r="U293" s="19" t="n">
        <v>7.5</v>
      </c>
      <c r="V293" s="19" t="n">
        <v>7.5</v>
      </c>
      <c r="W293" s="19" t="n">
        <v>7.5</v>
      </c>
      <c r="X293" s="19" t="n">
        <v>7.5</v>
      </c>
      <c r="Y293" s="9" t="n">
        <v>0</v>
      </c>
      <c r="Z293" s="19" t="n">
        <v>7.5</v>
      </c>
      <c r="AA293" s="19" t="n">
        <v>7.5</v>
      </c>
      <c r="AB293" s="19" t="n">
        <v>8</v>
      </c>
      <c r="AC293" s="19" t="n">
        <v>7.5</v>
      </c>
      <c r="AD293" s="19" t="n">
        <v>7.5</v>
      </c>
      <c r="AE293" s="19" t="n">
        <v>7.5</v>
      </c>
      <c r="AF293" s="9" t="n">
        <v>0</v>
      </c>
      <c r="AG293" s="19" t="n">
        <v>7.5</v>
      </c>
      <c r="AH293" s="19" t="n">
        <v>7.5</v>
      </c>
      <c r="AI293" s="23" t="n">
        <v>7.5</v>
      </c>
      <c r="AJ293" s="19" t="n">
        <v>0</v>
      </c>
      <c r="AK293" s="19" t="n">
        <v>0</v>
      </c>
      <c r="AL293" s="19" t="n">
        <v>0</v>
      </c>
      <c r="AM293" s="9" t="n">
        <v>0</v>
      </c>
      <c r="AN293" s="19" t="n">
        <v>0</v>
      </c>
      <c r="AO293" s="19" t="n">
        <v>0</v>
      </c>
      <c r="AP293" s="19" t="n">
        <v>0</v>
      </c>
      <c r="AQ293" s="19" t="n">
        <v>0</v>
      </c>
      <c r="AR293" s="19" t="n">
        <v>0</v>
      </c>
      <c r="AS293" s="19" t="n">
        <v>0</v>
      </c>
      <c r="AT293" s="10">
        <f>SUM(O293:AS293)</f>
        <v/>
      </c>
      <c r="AU293" s="20">
        <f>COUNTIF(O293:AS293, "&gt;0")</f>
        <v/>
      </c>
      <c r="AV293" s="12">
        <f>IF(AU293&gt;=5, 4, IF(AU293&gt;0, INT(AU293/6), 0))</f>
        <v/>
      </c>
      <c r="AW293" s="20" t="n">
        <v>0</v>
      </c>
      <c r="AX293" s="20" t="n">
        <v>0</v>
      </c>
      <c r="AY293" s="13">
        <f>MIN(31, AU293+AV293+AW293+AX293)</f>
        <v/>
      </c>
      <c r="AZ293" s="14">
        <f>31-AY293</f>
        <v/>
      </c>
      <c r="BA293" s="21">
        <f>IF(AX293&gt;0, "01-İstirahat", IF(AZ293&gt;0, "12-Birden Fazla", ""))</f>
        <v/>
      </c>
      <c r="BB293" s="10" t="n">
        <v>0.5</v>
      </c>
      <c r="BC293" s="19" t="n">
        <v>0</v>
      </c>
      <c r="BD293" s="9" t="n">
        <v>0</v>
      </c>
      <c r="BE293" s="22">
        <f>(L293/30)*AU293</f>
        <v/>
      </c>
      <c r="BF293" s="15">
        <f>(L293/225)*((BB293*1.5)-(BC293*1.0))</f>
        <v/>
      </c>
      <c r="BG293" s="16">
        <f>(L293/225)*1.5*BD293</f>
        <v/>
      </c>
      <c r="BH293" s="15">
        <f>BF293+BG293</f>
        <v/>
      </c>
      <c r="BI293" s="17">
        <f>BE293+BH293</f>
        <v/>
      </c>
      <c r="BJ293" s="22">
        <f>IFERROR(VLOOKUP(B293, Resmi_Bordro_SGK!B:M, 11, FALSE), 0)</f>
        <v/>
      </c>
      <c r="BK293" s="18">
        <f>IFERROR(VLOOKUP(B293, Icra_Takip!A:E, 4, FALSE), 0)</f>
        <v/>
      </c>
      <c r="BL293" s="17">
        <f>IF(BI293&gt;BJ293, BI293-BJ293-BK293, 0)</f>
        <v/>
      </c>
      <c r="BM293" s="17">
        <f>BI293-BK293</f>
        <v/>
      </c>
    </row>
    <row r="294" ht="19" customHeight="1">
      <c r="A294" s="4" t="n">
        <v>291</v>
      </c>
      <c r="B294" s="5" t="inlineStr">
        <is>
          <t>27013044708</t>
        </is>
      </c>
      <c r="C294" s="6" t="inlineStr">
        <is>
          <t>NURGÜL SARI</t>
        </is>
      </c>
      <c r="D294" s="4" t="inlineStr">
        <is>
          <t>K</t>
        </is>
      </c>
      <c r="E294" s="4" t="inlineStr"/>
      <c r="F294" s="4" t="inlineStr">
        <is>
          <t>06.07.2026</t>
        </is>
      </c>
      <c r="G294" s="4" t="inlineStr"/>
      <c r="H294" s="4" t="inlineStr">
        <is>
          <t>NORMAL</t>
        </is>
      </c>
      <c r="I294" s="4" t="inlineStr">
        <is>
          <t>MEVSİMLİK</t>
        </is>
      </c>
      <c r="J294" s="6" t="inlineStr">
        <is>
          <t>ÜRETİM</t>
        </is>
      </c>
      <c r="K294" s="6" t="inlineStr">
        <is>
          <t>KARACABEY-HALİL</t>
        </is>
      </c>
      <c r="L294" s="7" t="n">
        <v>28075.5</v>
      </c>
      <c r="M294" s="4" t="inlineStr">
        <is>
          <t>FİDE KONSERVE</t>
        </is>
      </c>
      <c r="N294" s="4" t="inlineStr">
        <is>
          <t>ALIR</t>
        </is>
      </c>
      <c r="O294" s="8" t="n">
        <v>0</v>
      </c>
      <c r="P294" s="8" t="n">
        <v>0</v>
      </c>
      <c r="Q294" s="8" t="n">
        <v>0</v>
      </c>
      <c r="R294" s="9" t="n">
        <v>0</v>
      </c>
      <c r="S294" s="8" t="n">
        <v>0</v>
      </c>
      <c r="T294" s="8" t="n">
        <v>0</v>
      </c>
      <c r="U294" s="8" t="n">
        <v>0</v>
      </c>
      <c r="V294" s="8" t="n">
        <v>0</v>
      </c>
      <c r="W294" s="8" t="n">
        <v>0</v>
      </c>
      <c r="X294" s="8" t="n">
        <v>0</v>
      </c>
      <c r="Y294" s="9" t="n">
        <v>0</v>
      </c>
      <c r="Z294" s="8" t="n">
        <v>0</v>
      </c>
      <c r="AA294" s="8" t="n">
        <v>0</v>
      </c>
      <c r="AB294" s="8" t="n">
        <v>0</v>
      </c>
      <c r="AC294" s="8" t="n">
        <v>0</v>
      </c>
      <c r="AD294" s="8" t="n">
        <v>0</v>
      </c>
      <c r="AE294" s="8" t="n">
        <v>0</v>
      </c>
      <c r="AF294" s="9" t="n">
        <v>0</v>
      </c>
      <c r="AG294" s="8" t="n">
        <v>0</v>
      </c>
      <c r="AH294" s="8" t="n">
        <v>0</v>
      </c>
      <c r="AI294" s="8" t="n">
        <v>0</v>
      </c>
      <c r="AJ294" s="8" t="n">
        <v>0</v>
      </c>
      <c r="AK294" s="8" t="n">
        <v>0</v>
      </c>
      <c r="AL294" s="8" t="n">
        <v>0</v>
      </c>
      <c r="AM294" s="9" t="n">
        <v>0</v>
      </c>
      <c r="AN294" s="8" t="n">
        <v>0</v>
      </c>
      <c r="AO294" s="8" t="n">
        <v>0</v>
      </c>
      <c r="AP294" s="8" t="n">
        <v>0</v>
      </c>
      <c r="AQ294" s="8" t="n">
        <v>0</v>
      </c>
      <c r="AR294" s="8" t="n">
        <v>0</v>
      </c>
      <c r="AS294" s="8" t="n">
        <v>0</v>
      </c>
      <c r="AT294" s="10">
        <f>SUM(O294:AS294)</f>
        <v/>
      </c>
      <c r="AU294" s="11">
        <f>COUNTIF(O294:AS294, "&gt;0")</f>
        <v/>
      </c>
      <c r="AV294" s="12">
        <f>IF(AU294&gt;=5, 4, IF(AU294&gt;0, INT(AU294/6), 0))</f>
        <v/>
      </c>
      <c r="AW294" s="11" t="n">
        <v>0</v>
      </c>
      <c r="AX294" s="11" t="n">
        <v>0</v>
      </c>
      <c r="AY294" s="13">
        <f>MIN(31, AU294+AV294+AW294+AX294)</f>
        <v/>
      </c>
      <c r="AZ294" s="14">
        <f>31-AY294</f>
        <v/>
      </c>
      <c r="BA294" s="5">
        <f>IF(AX294&gt;0, "01-İstirahat", IF(AZ294&gt;0, "12-Birden Fazla", ""))</f>
        <v/>
      </c>
      <c r="BB294" s="10" t="n">
        <v>0</v>
      </c>
      <c r="BC294" s="8" t="n">
        <v>0</v>
      </c>
      <c r="BD294" s="9" t="n">
        <v>0</v>
      </c>
      <c r="BE294" s="7">
        <f>(L294/30)*AU294</f>
        <v/>
      </c>
      <c r="BF294" s="15">
        <f>(L294/225)*((BB294*1.5)-(BC294*1.0))</f>
        <v/>
      </c>
      <c r="BG294" s="16">
        <f>(L294/225)*1.5*BD294</f>
        <v/>
      </c>
      <c r="BH294" s="15">
        <f>BF294+BG294</f>
        <v/>
      </c>
      <c r="BI294" s="17">
        <f>BE294+BH294</f>
        <v/>
      </c>
      <c r="BJ294" s="7">
        <f>IFERROR(VLOOKUP(B294, Resmi_Bordro_SGK!B:M, 11, FALSE), 0)</f>
        <v/>
      </c>
      <c r="BK294" s="18">
        <f>IFERROR(VLOOKUP(B294, Icra_Takip!A:E, 4, FALSE), 0)</f>
        <v/>
      </c>
      <c r="BL294" s="17">
        <f>IF(BI294&gt;BJ294, BI294-BJ294-BK294, 0)</f>
        <v/>
      </c>
      <c r="BM294" s="17">
        <f>BI294-BK294</f>
        <v/>
      </c>
    </row>
    <row r="295" ht="19" customHeight="1">
      <c r="A295" s="4" t="n">
        <v>292</v>
      </c>
      <c r="B295" s="5" t="inlineStr">
        <is>
          <t>13420739290</t>
        </is>
      </c>
      <c r="C295" s="6" t="inlineStr">
        <is>
          <t>NURİ GÜLSER</t>
        </is>
      </c>
      <c r="D295" s="4" t="inlineStr">
        <is>
          <t>E</t>
        </is>
      </c>
      <c r="E295" s="4" t="inlineStr"/>
      <c r="F295" s="4" t="inlineStr">
        <is>
          <t>24.12.2019</t>
        </is>
      </c>
      <c r="G295" s="4" t="inlineStr"/>
      <c r="H295" s="4" t="inlineStr">
        <is>
          <t>SGDP-ENGELLİ</t>
        </is>
      </c>
      <c r="I295" s="4" t="inlineStr">
        <is>
          <t>DAİMİ</t>
        </is>
      </c>
      <c r="J295" s="6" t="inlineStr">
        <is>
          <t>KAPI GÖREVLİSİ</t>
        </is>
      </c>
      <c r="K295" s="6" t="inlineStr">
        <is>
          <t>GÖBEL</t>
        </is>
      </c>
      <c r="L295" s="7" t="n">
        <v>30185</v>
      </c>
      <c r="M295" s="4" t="inlineStr">
        <is>
          <t>FİDE KONSERVE</t>
        </is>
      </c>
      <c r="N295" s="4" t="inlineStr">
        <is>
          <t>ALIR</t>
        </is>
      </c>
      <c r="O295" s="19" t="n">
        <v>7.5</v>
      </c>
      <c r="P295" s="19" t="n">
        <v>7.5</v>
      </c>
      <c r="Q295" s="23" t="n">
        <v>7.5</v>
      </c>
      <c r="R295" s="9" t="n">
        <v>7.5</v>
      </c>
      <c r="S295" s="23" t="n">
        <v>2.5</v>
      </c>
      <c r="T295" s="19" t="n">
        <v>7.5</v>
      </c>
      <c r="U295" s="19" t="n">
        <v>7.5</v>
      </c>
      <c r="V295" s="19" t="n">
        <v>7.5</v>
      </c>
      <c r="W295" s="19" t="n">
        <v>7.5</v>
      </c>
      <c r="X295" s="19" t="n">
        <v>7.5</v>
      </c>
      <c r="Y295" s="9" t="n">
        <v>0</v>
      </c>
      <c r="Z295" s="19" t="n">
        <v>7.5</v>
      </c>
      <c r="AA295" s="19" t="n">
        <v>7.5</v>
      </c>
      <c r="AB295" s="23" t="n">
        <v>7.5</v>
      </c>
      <c r="AC295" s="23" t="n">
        <v>7.5</v>
      </c>
      <c r="AD295" s="19" t="n">
        <v>7</v>
      </c>
      <c r="AE295" s="19" t="n">
        <v>7.5</v>
      </c>
      <c r="AF295" s="9" t="n">
        <v>6</v>
      </c>
      <c r="AG295" s="19" t="n">
        <v>7.5</v>
      </c>
      <c r="AH295" s="23" t="n">
        <v>7.5</v>
      </c>
      <c r="AI295" s="19" t="n">
        <v>6.5</v>
      </c>
      <c r="AJ295" s="19" t="n">
        <v>0</v>
      </c>
      <c r="AK295" s="19" t="n">
        <v>0</v>
      </c>
      <c r="AL295" s="19" t="n">
        <v>0</v>
      </c>
      <c r="AM295" s="9" t="n">
        <v>0</v>
      </c>
      <c r="AN295" s="19" t="n">
        <v>0</v>
      </c>
      <c r="AO295" s="19" t="n">
        <v>0</v>
      </c>
      <c r="AP295" s="19" t="n">
        <v>0</v>
      </c>
      <c r="AQ295" s="19" t="n">
        <v>0</v>
      </c>
      <c r="AR295" s="19" t="n">
        <v>0</v>
      </c>
      <c r="AS295" s="19" t="n">
        <v>0</v>
      </c>
      <c r="AT295" s="10">
        <f>SUM(O295:AS295)</f>
        <v/>
      </c>
      <c r="AU295" s="20">
        <f>COUNTIF(O295:AS295, "&gt;0")</f>
        <v/>
      </c>
      <c r="AV295" s="12">
        <f>IF(AU295&gt;=5, 4, IF(AU295&gt;0, INT(AU295/6), 0))</f>
        <v/>
      </c>
      <c r="AW295" s="20" t="n">
        <v>0</v>
      </c>
      <c r="AX295" s="20" t="n">
        <v>0</v>
      </c>
      <c r="AY295" s="13">
        <f>MIN(31, AU295+AV295+AW295+AX295)</f>
        <v/>
      </c>
      <c r="AZ295" s="14">
        <f>31-AY295</f>
        <v/>
      </c>
      <c r="BA295" s="21">
        <f>IF(AX295&gt;0, "01-İstirahat", IF(AZ295&gt;0, "12-Birden Fazla", ""))</f>
        <v/>
      </c>
      <c r="BB295" s="10" t="n">
        <v>0</v>
      </c>
      <c r="BC295" s="23" t="n">
        <v>6.5</v>
      </c>
      <c r="BD295" s="9" t="n">
        <v>13.5</v>
      </c>
      <c r="BE295" s="22">
        <f>(L295/30)*AU295</f>
        <v/>
      </c>
      <c r="BF295" s="15">
        <f>(L295/225)*((BB295*1.5)-(BC295*1.0))</f>
        <v/>
      </c>
      <c r="BG295" s="16">
        <f>(L295/225)*1.5*BD295</f>
        <v/>
      </c>
      <c r="BH295" s="15">
        <f>BF295+BG295</f>
        <v/>
      </c>
      <c r="BI295" s="17">
        <f>BE295+BH295</f>
        <v/>
      </c>
      <c r="BJ295" s="22">
        <f>IFERROR(VLOOKUP(B295, Resmi_Bordro_SGK!B:M, 11, FALSE), 0)</f>
        <v/>
      </c>
      <c r="BK295" s="18">
        <f>IFERROR(VLOOKUP(B295, Icra_Takip!A:E, 4, FALSE), 0)</f>
        <v/>
      </c>
      <c r="BL295" s="17">
        <f>IF(BI295&gt;BJ295, BI295-BJ295-BK295, 0)</f>
        <v/>
      </c>
      <c r="BM295" s="17">
        <f>BI295-BK295</f>
        <v/>
      </c>
    </row>
    <row r="296" ht="19" customHeight="1">
      <c r="A296" s="4" t="n">
        <v>293</v>
      </c>
      <c r="B296" s="5" t="inlineStr">
        <is>
          <t>52996654668</t>
        </is>
      </c>
      <c r="C296" s="6" t="inlineStr">
        <is>
          <t>NURİYE AKKUŞ</t>
        </is>
      </c>
      <c r="D296" s="4" t="inlineStr">
        <is>
          <t>K</t>
        </is>
      </c>
      <c r="E296" s="4" t="inlineStr"/>
      <c r="F296" s="4" t="inlineStr">
        <is>
          <t>10.02.2026</t>
        </is>
      </c>
      <c r="G296" s="4" t="inlineStr"/>
      <c r="H296" s="4" t="inlineStr">
        <is>
          <t>NORMAL</t>
        </is>
      </c>
      <c r="I296" s="4" t="inlineStr">
        <is>
          <t>MEVSİMLİK</t>
        </is>
      </c>
      <c r="J296" s="6" t="inlineStr">
        <is>
          <t>BALIK TEMİZLEME</t>
        </is>
      </c>
      <c r="K296" s="6" t="inlineStr">
        <is>
          <t>BANDIRMA</t>
        </is>
      </c>
      <c r="L296" s="7" t="n">
        <v>33000</v>
      </c>
      <c r="M296" s="4" t="inlineStr">
        <is>
          <t>FİDE KONSERVE</t>
        </is>
      </c>
      <c r="N296" s="4" t="inlineStr">
        <is>
          <t>ALIR</t>
        </is>
      </c>
      <c r="O296" s="8" t="n">
        <v>8</v>
      </c>
      <c r="P296" s="8" t="n">
        <v>8.5</v>
      </c>
      <c r="Q296" s="8" t="n">
        <v>0</v>
      </c>
      <c r="R296" s="9" t="n">
        <v>0</v>
      </c>
      <c r="S296" s="8" t="n">
        <v>7.5</v>
      </c>
      <c r="T296" s="8" t="n">
        <v>8</v>
      </c>
      <c r="U296" s="8" t="n">
        <v>8</v>
      </c>
      <c r="V296" s="8" t="n">
        <v>8</v>
      </c>
      <c r="W296" s="8" t="n">
        <v>8.5</v>
      </c>
      <c r="X296" s="8" t="n">
        <v>8.5</v>
      </c>
      <c r="Y296" s="9" t="n">
        <v>0</v>
      </c>
      <c r="Z296" s="8" t="n">
        <v>7.5</v>
      </c>
      <c r="AA296" s="8" t="n">
        <v>7.5</v>
      </c>
      <c r="AB296" s="8" t="n">
        <v>8.5</v>
      </c>
      <c r="AC296" s="8" t="n">
        <v>7.5</v>
      </c>
      <c r="AD296" s="8" t="n">
        <v>0</v>
      </c>
      <c r="AE296" s="8" t="n">
        <v>0</v>
      </c>
      <c r="AF296" s="9" t="n">
        <v>0</v>
      </c>
      <c r="AG296" s="8" t="n">
        <v>8.5</v>
      </c>
      <c r="AH296" s="8" t="n">
        <v>0</v>
      </c>
      <c r="AI296" s="8" t="n">
        <v>0</v>
      </c>
      <c r="AJ296" s="8" t="n">
        <v>0</v>
      </c>
      <c r="AK296" s="8" t="n">
        <v>0</v>
      </c>
      <c r="AL296" s="8" t="n">
        <v>0</v>
      </c>
      <c r="AM296" s="9" t="n">
        <v>0</v>
      </c>
      <c r="AN296" s="8" t="n">
        <v>0</v>
      </c>
      <c r="AO296" s="8" t="n">
        <v>0</v>
      </c>
      <c r="AP296" s="8" t="n">
        <v>0</v>
      </c>
      <c r="AQ296" s="8" t="n">
        <v>0</v>
      </c>
      <c r="AR296" s="8" t="n">
        <v>0</v>
      </c>
      <c r="AS296" s="8" t="n">
        <v>0</v>
      </c>
      <c r="AT296" s="10">
        <f>SUM(O296:AS296)</f>
        <v/>
      </c>
      <c r="AU296" s="11">
        <f>COUNTIF(O296:AS296, "&gt;0")</f>
        <v/>
      </c>
      <c r="AV296" s="12">
        <f>IF(AU296&gt;=5, 4, IF(AU296&gt;0, INT(AU296/6), 0))</f>
        <v/>
      </c>
      <c r="AW296" s="11" t="n">
        <v>0</v>
      </c>
      <c r="AX296" s="11" t="n">
        <v>0</v>
      </c>
      <c r="AY296" s="13">
        <f>MIN(31, AU296+AV296+AW296+AX296)</f>
        <v/>
      </c>
      <c r="AZ296" s="14">
        <f>31-AY296</f>
        <v/>
      </c>
      <c r="BA296" s="5">
        <f>IF(AX296&gt;0, "01-İstirahat", IF(AZ296&gt;0, "12-Birden Fazla", ""))</f>
        <v/>
      </c>
      <c r="BB296" s="10" t="n">
        <v>7</v>
      </c>
      <c r="BC296" s="8" t="n">
        <v>0</v>
      </c>
      <c r="BD296" s="9" t="n">
        <v>0</v>
      </c>
      <c r="BE296" s="7">
        <f>(L296/30)*AU296</f>
        <v/>
      </c>
      <c r="BF296" s="15">
        <f>(L296/225)*((BB296*1.5)-(BC296*1.0))</f>
        <v/>
      </c>
      <c r="BG296" s="16">
        <f>(L296/225)*1.5*BD296</f>
        <v/>
      </c>
      <c r="BH296" s="15">
        <f>BF296+BG296</f>
        <v/>
      </c>
      <c r="BI296" s="17">
        <f>BE296+BH296</f>
        <v/>
      </c>
      <c r="BJ296" s="7">
        <f>IFERROR(VLOOKUP(B296, Resmi_Bordro_SGK!B:M, 11, FALSE), 0)</f>
        <v/>
      </c>
      <c r="BK296" s="18">
        <f>IFERROR(VLOOKUP(B296, Icra_Takip!A:E, 4, FALSE), 0)</f>
        <v/>
      </c>
      <c r="BL296" s="17">
        <f>IF(BI296&gt;BJ296, BI296-BJ296-BK296, 0)</f>
        <v/>
      </c>
      <c r="BM296" s="17">
        <f>BI296-BK296</f>
        <v/>
      </c>
    </row>
    <row r="297" ht="19" customHeight="1">
      <c r="A297" s="4" t="n">
        <v>294</v>
      </c>
      <c r="B297" s="5" t="inlineStr">
        <is>
          <t>46210702518</t>
        </is>
      </c>
      <c r="C297" s="6" t="inlineStr">
        <is>
          <t>NURİYE DERMENCİOĞLU</t>
        </is>
      </c>
      <c r="D297" s="4" t="inlineStr">
        <is>
          <t>K</t>
        </is>
      </c>
      <c r="E297" s="4" t="inlineStr"/>
      <c r="F297" s="4" t="inlineStr">
        <is>
          <t>02.06.2026</t>
        </is>
      </c>
      <c r="G297" s="4" t="inlineStr"/>
      <c r="H297" s="4" t="inlineStr">
        <is>
          <t>NORMAL</t>
        </is>
      </c>
      <c r="I297" s="4" t="inlineStr">
        <is>
          <t>MEVSİMLİK</t>
        </is>
      </c>
      <c r="J297" s="6" t="inlineStr">
        <is>
          <t>ÜRETİM</t>
        </is>
      </c>
      <c r="K297" s="6" t="inlineStr">
        <is>
          <t>KARACABEY-HALİL</t>
        </is>
      </c>
      <c r="L297" s="7" t="n">
        <v>28075.5</v>
      </c>
      <c r="M297" s="4" t="inlineStr">
        <is>
          <t>FİDE KONSERVE</t>
        </is>
      </c>
      <c r="N297" s="4" t="inlineStr">
        <is>
          <t>ALIR</t>
        </is>
      </c>
      <c r="O297" s="19" t="n">
        <v>0</v>
      </c>
      <c r="P297" s="19" t="n">
        <v>0</v>
      </c>
      <c r="Q297" s="19" t="n">
        <v>0</v>
      </c>
      <c r="R297" s="9" t="n">
        <v>0</v>
      </c>
      <c r="S297" s="19" t="n">
        <v>0</v>
      </c>
      <c r="T297" s="19" t="n">
        <v>0</v>
      </c>
      <c r="U297" s="19" t="n">
        <v>0</v>
      </c>
      <c r="V297" s="19" t="n">
        <v>0</v>
      </c>
      <c r="W297" s="19" t="n">
        <v>0</v>
      </c>
      <c r="X297" s="19" t="n">
        <v>0</v>
      </c>
      <c r="Y297" s="9" t="n">
        <v>0</v>
      </c>
      <c r="Z297" s="19" t="n">
        <v>0</v>
      </c>
      <c r="AA297" s="19" t="n">
        <v>0</v>
      </c>
      <c r="AB297" s="19" t="n">
        <v>0</v>
      </c>
      <c r="AC297" s="19" t="n">
        <v>0</v>
      </c>
      <c r="AD297" s="19" t="n">
        <v>0</v>
      </c>
      <c r="AE297" s="19" t="n">
        <v>0</v>
      </c>
      <c r="AF297" s="9" t="n">
        <v>0</v>
      </c>
      <c r="AG297" s="19" t="n">
        <v>0</v>
      </c>
      <c r="AH297" s="19" t="n">
        <v>0</v>
      </c>
      <c r="AI297" s="19" t="n">
        <v>0</v>
      </c>
      <c r="AJ297" s="19" t="n">
        <v>0</v>
      </c>
      <c r="AK297" s="19" t="n">
        <v>0</v>
      </c>
      <c r="AL297" s="19" t="n">
        <v>0</v>
      </c>
      <c r="AM297" s="9" t="n">
        <v>0</v>
      </c>
      <c r="AN297" s="19" t="n">
        <v>0</v>
      </c>
      <c r="AO297" s="19" t="n">
        <v>0</v>
      </c>
      <c r="AP297" s="19" t="n">
        <v>0</v>
      </c>
      <c r="AQ297" s="19" t="n">
        <v>0</v>
      </c>
      <c r="AR297" s="19" t="n">
        <v>0</v>
      </c>
      <c r="AS297" s="19" t="n">
        <v>0</v>
      </c>
      <c r="AT297" s="10">
        <f>SUM(O297:AS297)</f>
        <v/>
      </c>
      <c r="AU297" s="20">
        <f>COUNTIF(O297:AS297, "&gt;0")</f>
        <v/>
      </c>
      <c r="AV297" s="12">
        <f>IF(AU297&gt;=5, 4, IF(AU297&gt;0, INT(AU297/6), 0))</f>
        <v/>
      </c>
      <c r="AW297" s="20" t="n">
        <v>0</v>
      </c>
      <c r="AX297" s="20" t="n">
        <v>0</v>
      </c>
      <c r="AY297" s="13">
        <f>MIN(31, AU297+AV297+AW297+AX297)</f>
        <v/>
      </c>
      <c r="AZ297" s="14">
        <f>31-AY297</f>
        <v/>
      </c>
      <c r="BA297" s="21">
        <f>IF(AX297&gt;0, "01-İstirahat", IF(AZ297&gt;0, "12-Birden Fazla", ""))</f>
        <v/>
      </c>
      <c r="BB297" s="10" t="n">
        <v>0</v>
      </c>
      <c r="BC297" s="19" t="n">
        <v>0</v>
      </c>
      <c r="BD297" s="9" t="n">
        <v>0</v>
      </c>
      <c r="BE297" s="22">
        <f>(L297/30)*AU297</f>
        <v/>
      </c>
      <c r="BF297" s="15">
        <f>(L297/225)*((BB297*1.5)-(BC297*1.0))</f>
        <v/>
      </c>
      <c r="BG297" s="16">
        <f>(L297/225)*1.5*BD297</f>
        <v/>
      </c>
      <c r="BH297" s="15">
        <f>BF297+BG297</f>
        <v/>
      </c>
      <c r="BI297" s="17">
        <f>BE297+BH297</f>
        <v/>
      </c>
      <c r="BJ297" s="22">
        <f>IFERROR(VLOOKUP(B297, Resmi_Bordro_SGK!B:M, 11, FALSE), 0)</f>
        <v/>
      </c>
      <c r="BK297" s="18">
        <f>IFERROR(VLOOKUP(B297, Icra_Takip!A:E, 4, FALSE), 0)</f>
        <v/>
      </c>
      <c r="BL297" s="17">
        <f>IF(BI297&gt;BJ297, BI297-BJ297-BK297, 0)</f>
        <v/>
      </c>
      <c r="BM297" s="17">
        <f>BI297-BK297</f>
        <v/>
      </c>
    </row>
    <row r="298" ht="19" customHeight="1">
      <c r="A298" s="4" t="n">
        <v>295</v>
      </c>
      <c r="B298" s="5" t="inlineStr">
        <is>
          <t>31915073032</t>
        </is>
      </c>
      <c r="C298" s="6" t="inlineStr">
        <is>
          <t>NURİYE TEMREN</t>
        </is>
      </c>
      <c r="D298" s="4" t="inlineStr">
        <is>
          <t>K</t>
        </is>
      </c>
      <c r="E298" s="4" t="inlineStr"/>
      <c r="F298" s="4" t="inlineStr">
        <is>
          <t>01.07.2024</t>
        </is>
      </c>
      <c r="G298" s="4" t="inlineStr"/>
      <c r="H298" s="4" t="inlineStr">
        <is>
          <t>NORMAL</t>
        </is>
      </c>
      <c r="I298" s="4" t="inlineStr">
        <is>
          <t>MEVSİMLİK</t>
        </is>
      </c>
      <c r="J298" s="6" t="inlineStr">
        <is>
          <t>AMBAR</t>
        </is>
      </c>
      <c r="K298" s="6" t="inlineStr">
        <is>
          <t>BİGADİÇ</t>
        </is>
      </c>
      <c r="L298" s="7" t="n">
        <v>28075.5</v>
      </c>
      <c r="M298" s="4" t="inlineStr">
        <is>
          <t>FİDE KONSERVE</t>
        </is>
      </c>
      <c r="N298" s="4" t="inlineStr">
        <is>
          <t>ALIR</t>
        </is>
      </c>
      <c r="O298" s="8" t="n">
        <v>0</v>
      </c>
      <c r="P298" s="8" t="n">
        <v>0</v>
      </c>
      <c r="Q298" s="8" t="n">
        <v>0</v>
      </c>
      <c r="R298" s="9" t="n">
        <v>0</v>
      </c>
      <c r="S298" s="8" t="n">
        <v>0</v>
      </c>
      <c r="T298" s="8" t="n">
        <v>0</v>
      </c>
      <c r="U298" s="8" t="n">
        <v>0</v>
      </c>
      <c r="V298" s="8" t="n">
        <v>0</v>
      </c>
      <c r="W298" s="8" t="n">
        <v>0</v>
      </c>
      <c r="X298" s="8" t="n">
        <v>0</v>
      </c>
      <c r="Y298" s="9" t="n">
        <v>0</v>
      </c>
      <c r="Z298" s="8" t="n">
        <v>0</v>
      </c>
      <c r="AA298" s="8" t="n">
        <v>0</v>
      </c>
      <c r="AB298" s="8" t="n">
        <v>0</v>
      </c>
      <c r="AC298" s="8" t="n">
        <v>0</v>
      </c>
      <c r="AD298" s="8" t="n">
        <v>0</v>
      </c>
      <c r="AE298" s="8" t="n">
        <v>0</v>
      </c>
      <c r="AF298" s="9" t="n">
        <v>0</v>
      </c>
      <c r="AG298" s="8" t="n">
        <v>0</v>
      </c>
      <c r="AH298" s="8" t="n">
        <v>0</v>
      </c>
      <c r="AI298" s="8" t="n">
        <v>0</v>
      </c>
      <c r="AJ298" s="8" t="n">
        <v>0</v>
      </c>
      <c r="AK298" s="8" t="n">
        <v>0</v>
      </c>
      <c r="AL298" s="8" t="n">
        <v>0</v>
      </c>
      <c r="AM298" s="9" t="n">
        <v>0</v>
      </c>
      <c r="AN298" s="8" t="n">
        <v>0</v>
      </c>
      <c r="AO298" s="8" t="n">
        <v>0</v>
      </c>
      <c r="AP298" s="8" t="n">
        <v>0</v>
      </c>
      <c r="AQ298" s="8" t="n">
        <v>0</v>
      </c>
      <c r="AR298" s="8" t="n">
        <v>0</v>
      </c>
      <c r="AS298" s="8" t="n">
        <v>0</v>
      </c>
      <c r="AT298" s="10">
        <f>SUM(O298:AS298)</f>
        <v/>
      </c>
      <c r="AU298" s="11">
        <f>COUNTIF(O298:AS298, "&gt;0")</f>
        <v/>
      </c>
      <c r="AV298" s="12">
        <f>IF(AU298&gt;=5, 4, IF(AU298&gt;0, INT(AU298/6), 0))</f>
        <v/>
      </c>
      <c r="AW298" s="11" t="n">
        <v>0</v>
      </c>
      <c r="AX298" s="11" t="n">
        <v>0</v>
      </c>
      <c r="AY298" s="13">
        <f>MIN(31, AU298+AV298+AW298+AX298)</f>
        <v/>
      </c>
      <c r="AZ298" s="14">
        <f>31-AY298</f>
        <v/>
      </c>
      <c r="BA298" s="5">
        <f>IF(AX298&gt;0, "01-İstirahat", IF(AZ298&gt;0, "12-Birden Fazla", ""))</f>
        <v/>
      </c>
      <c r="BB298" s="10" t="n">
        <v>0</v>
      </c>
      <c r="BC298" s="8" t="n">
        <v>0</v>
      </c>
      <c r="BD298" s="9" t="n">
        <v>0</v>
      </c>
      <c r="BE298" s="7">
        <f>(L298/30)*AU298</f>
        <v/>
      </c>
      <c r="BF298" s="15">
        <f>(L298/225)*((BB298*1.5)-(BC298*1.0))</f>
        <v/>
      </c>
      <c r="BG298" s="16">
        <f>(L298/225)*1.5*BD298</f>
        <v/>
      </c>
      <c r="BH298" s="15">
        <f>BF298+BG298</f>
        <v/>
      </c>
      <c r="BI298" s="17">
        <f>BE298+BH298</f>
        <v/>
      </c>
      <c r="BJ298" s="7">
        <f>IFERROR(VLOOKUP(B298, Resmi_Bordro_SGK!B:M, 11, FALSE), 0)</f>
        <v/>
      </c>
      <c r="BK298" s="18">
        <f>IFERROR(VLOOKUP(B298, Icra_Takip!A:E, 4, FALSE), 0)</f>
        <v/>
      </c>
      <c r="BL298" s="17">
        <f>IF(BI298&gt;BJ298, BI298-BJ298-BK298, 0)</f>
        <v/>
      </c>
      <c r="BM298" s="17">
        <f>BI298-BK298</f>
        <v/>
      </c>
    </row>
    <row r="299" ht="19" customHeight="1">
      <c r="A299" s="4" t="n">
        <v>296</v>
      </c>
      <c r="B299" s="5" t="inlineStr">
        <is>
          <t>14865003748</t>
        </is>
      </c>
      <c r="C299" s="6" t="inlineStr">
        <is>
          <t>NURTEN ARİZ</t>
        </is>
      </c>
      <c r="D299" s="4" t="inlineStr">
        <is>
          <t>K</t>
        </is>
      </c>
      <c r="E299" s="4" t="inlineStr"/>
      <c r="F299" s="4" t="inlineStr">
        <is>
          <t>29.06.2026</t>
        </is>
      </c>
      <c r="G299" s="4" t="inlineStr"/>
      <c r="H299" s="4" t="inlineStr">
        <is>
          <t>NORMAL</t>
        </is>
      </c>
      <c r="I299" s="4" t="inlineStr">
        <is>
          <t>MEVSİMLİK</t>
        </is>
      </c>
      <c r="J299" s="6" t="inlineStr">
        <is>
          <t>KALİTE</t>
        </is>
      </c>
      <c r="K299" s="6" t="inlineStr">
        <is>
          <t>KARACABEY-HALİL</t>
        </is>
      </c>
      <c r="L299" s="7" t="n">
        <v>28075.5</v>
      </c>
      <c r="M299" s="4" t="inlineStr">
        <is>
          <t>FİDE KONSERVE</t>
        </is>
      </c>
      <c r="N299" s="4" t="inlineStr">
        <is>
          <t>ALIR</t>
        </is>
      </c>
      <c r="O299" s="19" t="n">
        <v>0</v>
      </c>
      <c r="P299" s="19" t="n">
        <v>0</v>
      </c>
      <c r="Q299" s="19" t="n">
        <v>0</v>
      </c>
      <c r="R299" s="9" t="n">
        <v>0</v>
      </c>
      <c r="S299" s="19" t="n">
        <v>0</v>
      </c>
      <c r="T299" s="19" t="n">
        <v>0</v>
      </c>
      <c r="U299" s="19" t="n">
        <v>0</v>
      </c>
      <c r="V299" s="19" t="n">
        <v>0</v>
      </c>
      <c r="W299" s="19" t="n">
        <v>0</v>
      </c>
      <c r="X299" s="19" t="n">
        <v>0</v>
      </c>
      <c r="Y299" s="9" t="n">
        <v>0</v>
      </c>
      <c r="Z299" s="19" t="n">
        <v>0</v>
      </c>
      <c r="AA299" s="19" t="n">
        <v>0</v>
      </c>
      <c r="AB299" s="19" t="n">
        <v>0</v>
      </c>
      <c r="AC299" s="19" t="n">
        <v>0</v>
      </c>
      <c r="AD299" s="19" t="n">
        <v>0</v>
      </c>
      <c r="AE299" s="19" t="n">
        <v>0</v>
      </c>
      <c r="AF299" s="9" t="n">
        <v>0</v>
      </c>
      <c r="AG299" s="19" t="n">
        <v>0</v>
      </c>
      <c r="AH299" s="19" t="n">
        <v>0</v>
      </c>
      <c r="AI299" s="19" t="n">
        <v>0</v>
      </c>
      <c r="AJ299" s="19" t="n">
        <v>0</v>
      </c>
      <c r="AK299" s="19" t="n">
        <v>0</v>
      </c>
      <c r="AL299" s="19" t="n">
        <v>0</v>
      </c>
      <c r="AM299" s="9" t="n">
        <v>0</v>
      </c>
      <c r="AN299" s="19" t="n">
        <v>0</v>
      </c>
      <c r="AO299" s="19" t="n">
        <v>0</v>
      </c>
      <c r="AP299" s="19" t="n">
        <v>0</v>
      </c>
      <c r="AQ299" s="19" t="n">
        <v>0</v>
      </c>
      <c r="AR299" s="19" t="n">
        <v>0</v>
      </c>
      <c r="AS299" s="19" t="n">
        <v>0</v>
      </c>
      <c r="AT299" s="10">
        <f>SUM(O299:AS299)</f>
        <v/>
      </c>
      <c r="AU299" s="20">
        <f>COUNTIF(O299:AS299, "&gt;0")</f>
        <v/>
      </c>
      <c r="AV299" s="12">
        <f>IF(AU299&gt;=5, 4, IF(AU299&gt;0, INT(AU299/6), 0))</f>
        <v/>
      </c>
      <c r="AW299" s="20" t="n">
        <v>0</v>
      </c>
      <c r="AX299" s="20" t="n">
        <v>0</v>
      </c>
      <c r="AY299" s="13">
        <f>MIN(31, AU299+AV299+AW299+AX299)</f>
        <v/>
      </c>
      <c r="AZ299" s="14">
        <f>31-AY299</f>
        <v/>
      </c>
      <c r="BA299" s="21">
        <f>IF(AX299&gt;0, "01-İstirahat", IF(AZ299&gt;0, "12-Birden Fazla", ""))</f>
        <v/>
      </c>
      <c r="BB299" s="10" t="n">
        <v>0</v>
      </c>
      <c r="BC299" s="19" t="n">
        <v>0</v>
      </c>
      <c r="BD299" s="9" t="n">
        <v>0</v>
      </c>
      <c r="BE299" s="22">
        <f>(L299/30)*AU299</f>
        <v/>
      </c>
      <c r="BF299" s="15">
        <f>(L299/225)*((BB299*1.5)-(BC299*1.0))</f>
        <v/>
      </c>
      <c r="BG299" s="16">
        <f>(L299/225)*1.5*BD299</f>
        <v/>
      </c>
      <c r="BH299" s="15">
        <f>BF299+BG299</f>
        <v/>
      </c>
      <c r="BI299" s="17">
        <f>BE299+BH299</f>
        <v/>
      </c>
      <c r="BJ299" s="22">
        <f>IFERROR(VLOOKUP(B299, Resmi_Bordro_SGK!B:M, 11, FALSE), 0)</f>
        <v/>
      </c>
      <c r="BK299" s="18">
        <f>IFERROR(VLOOKUP(B299, Icra_Takip!A:E, 4, FALSE), 0)</f>
        <v/>
      </c>
      <c r="BL299" s="17">
        <f>IF(BI299&gt;BJ299, BI299-BJ299-BK299, 0)</f>
        <v/>
      </c>
      <c r="BM299" s="17">
        <f>BI299-BK299</f>
        <v/>
      </c>
    </row>
    <row r="300" ht="19" customHeight="1">
      <c r="A300" s="4" t="n">
        <v>297</v>
      </c>
      <c r="B300" s="5" t="inlineStr">
        <is>
          <t>22186447318</t>
        </is>
      </c>
      <c r="C300" s="6" t="inlineStr">
        <is>
          <t>NURTEN CAN</t>
        </is>
      </c>
      <c r="D300" s="4" t="inlineStr">
        <is>
          <t>K</t>
        </is>
      </c>
      <c r="E300" s="4" t="inlineStr"/>
      <c r="F300" s="4" t="inlineStr">
        <is>
          <t>08.04.2023</t>
        </is>
      </c>
      <c r="G300" s="4" t="inlineStr"/>
      <c r="H300" s="4" t="inlineStr">
        <is>
          <t>NORMAL</t>
        </is>
      </c>
      <c r="I300" s="4" t="inlineStr">
        <is>
          <t>MEVSİMLİK</t>
        </is>
      </c>
      <c r="J300" s="6" t="inlineStr">
        <is>
          <t>ÜRETİM</t>
        </is>
      </c>
      <c r="K300" s="6" t="inlineStr">
        <is>
          <t>SUSURLUK TUR-REŞAT</t>
        </is>
      </c>
      <c r="L300" s="7" t="n">
        <v>28075.5</v>
      </c>
      <c r="M300" s="4" t="inlineStr">
        <is>
          <t>FİDE KONSERVE</t>
        </is>
      </c>
      <c r="N300" s="4" t="inlineStr">
        <is>
          <t>ALIR</t>
        </is>
      </c>
      <c r="O300" s="8" t="n">
        <v>7.5</v>
      </c>
      <c r="P300" s="8" t="n">
        <v>7.5</v>
      </c>
      <c r="Q300" s="8" t="n">
        <v>7.5</v>
      </c>
      <c r="R300" s="9" t="n">
        <v>0</v>
      </c>
      <c r="S300" s="8" t="n">
        <v>9.5</v>
      </c>
      <c r="T300" s="8" t="n">
        <v>7.5</v>
      </c>
      <c r="U300" s="8" t="n">
        <v>9.5</v>
      </c>
      <c r="V300" s="8" t="n">
        <v>7.5</v>
      </c>
      <c r="W300" s="8" t="n">
        <v>7.5</v>
      </c>
      <c r="X300" s="8" t="n">
        <v>7.5</v>
      </c>
      <c r="Y300" s="9" t="n">
        <v>0</v>
      </c>
      <c r="Z300" s="8" t="n">
        <v>7.5</v>
      </c>
      <c r="AA300" s="8" t="n">
        <v>9.5</v>
      </c>
      <c r="AB300" s="8" t="n">
        <v>9.5</v>
      </c>
      <c r="AC300" s="8" t="n">
        <v>9.5</v>
      </c>
      <c r="AD300" s="8" t="n">
        <v>7.5</v>
      </c>
      <c r="AE300" s="8" t="n">
        <v>12</v>
      </c>
      <c r="AF300" s="9" t="n">
        <v>0</v>
      </c>
      <c r="AG300" s="8" t="n">
        <v>7.5</v>
      </c>
      <c r="AH300" s="8" t="n">
        <v>7.5</v>
      </c>
      <c r="AI300" s="8" t="n">
        <v>7.5</v>
      </c>
      <c r="AJ300" s="8" t="n">
        <v>0</v>
      </c>
      <c r="AK300" s="8" t="n">
        <v>0</v>
      </c>
      <c r="AL300" s="8" t="n">
        <v>0</v>
      </c>
      <c r="AM300" s="9" t="n">
        <v>0</v>
      </c>
      <c r="AN300" s="8" t="n">
        <v>0</v>
      </c>
      <c r="AO300" s="8" t="n">
        <v>0</v>
      </c>
      <c r="AP300" s="8" t="n">
        <v>0</v>
      </c>
      <c r="AQ300" s="8" t="n">
        <v>0</v>
      </c>
      <c r="AR300" s="8" t="n">
        <v>0</v>
      </c>
      <c r="AS300" s="8" t="n">
        <v>0</v>
      </c>
      <c r="AT300" s="10">
        <f>SUM(O300:AS300)</f>
        <v/>
      </c>
      <c r="AU300" s="11">
        <f>COUNTIF(O300:AS300, "&gt;0")</f>
        <v/>
      </c>
      <c r="AV300" s="12">
        <f>IF(AU300&gt;=5, 4, IF(AU300&gt;0, INT(AU300/6), 0))</f>
        <v/>
      </c>
      <c r="AW300" s="11" t="n">
        <v>0</v>
      </c>
      <c r="AX300" s="11" t="n">
        <v>0</v>
      </c>
      <c r="AY300" s="13">
        <f>MIN(31, AU300+AV300+AW300+AX300)</f>
        <v/>
      </c>
      <c r="AZ300" s="14">
        <f>31-AY300</f>
        <v/>
      </c>
      <c r="BA300" s="5">
        <f>IF(AX300&gt;0, "01-İstirahat", IF(AZ300&gt;0, "12-Birden Fazla", ""))</f>
        <v/>
      </c>
      <c r="BB300" s="10" t="n">
        <v>14.5</v>
      </c>
      <c r="BC300" s="8" t="n">
        <v>0</v>
      </c>
      <c r="BD300" s="9" t="n">
        <v>0</v>
      </c>
      <c r="BE300" s="7">
        <f>(L300/30)*AU300</f>
        <v/>
      </c>
      <c r="BF300" s="15">
        <f>(L300/225)*((BB300*1.5)-(BC300*1.0))</f>
        <v/>
      </c>
      <c r="BG300" s="16">
        <f>(L300/225)*1.5*BD300</f>
        <v/>
      </c>
      <c r="BH300" s="15">
        <f>BF300+BG300</f>
        <v/>
      </c>
      <c r="BI300" s="17">
        <f>BE300+BH300</f>
        <v/>
      </c>
      <c r="BJ300" s="7">
        <f>IFERROR(VLOOKUP(B300, Resmi_Bordro_SGK!B:M, 11, FALSE), 0)</f>
        <v/>
      </c>
      <c r="BK300" s="18">
        <f>IFERROR(VLOOKUP(B300, Icra_Takip!A:E, 4, FALSE), 0)</f>
        <v/>
      </c>
      <c r="BL300" s="17">
        <f>IF(BI300&gt;BJ300, BI300-BJ300-BK300, 0)</f>
        <v/>
      </c>
      <c r="BM300" s="17">
        <f>BI300-BK300</f>
        <v/>
      </c>
    </row>
    <row r="301" ht="19" customHeight="1">
      <c r="A301" s="4" t="n">
        <v>298</v>
      </c>
      <c r="B301" s="5" t="inlineStr">
        <is>
          <t>27289383990</t>
        </is>
      </c>
      <c r="C301" s="6" t="inlineStr">
        <is>
          <t>NURTEN ERDEM</t>
        </is>
      </c>
      <c r="D301" s="4" t="inlineStr">
        <is>
          <t>K</t>
        </is>
      </c>
      <c r="E301" s="4" t="inlineStr"/>
      <c r="F301" s="4" t="inlineStr">
        <is>
          <t>08.05.2026</t>
        </is>
      </c>
      <c r="G301" s="4" t="inlineStr"/>
      <c r="H301" s="4" t="inlineStr">
        <is>
          <t>NORMAL</t>
        </is>
      </c>
      <c r="I301" s="4" t="inlineStr">
        <is>
          <t>MEVSİMLİK</t>
        </is>
      </c>
      <c r="J301" s="6" t="inlineStr">
        <is>
          <t>BALIK TEMİZLEME</t>
        </is>
      </c>
      <c r="K301" s="6" t="inlineStr">
        <is>
          <t>GÜVEN TURİZM-MKP</t>
        </is>
      </c>
      <c r="L301" s="7" t="n">
        <v>33000</v>
      </c>
      <c r="M301" s="4" t="inlineStr">
        <is>
          <t>FİDE KONSERVE</t>
        </is>
      </c>
      <c r="N301" s="4" t="inlineStr">
        <is>
          <t>ALIR</t>
        </is>
      </c>
      <c r="O301" s="19" t="n">
        <v>8</v>
      </c>
      <c r="P301" s="19" t="n">
        <v>0</v>
      </c>
      <c r="Q301" s="19" t="n">
        <v>8</v>
      </c>
      <c r="R301" s="9" t="n">
        <v>0</v>
      </c>
      <c r="S301" s="19" t="n">
        <v>7.5</v>
      </c>
      <c r="T301" s="19" t="n">
        <v>8.5</v>
      </c>
      <c r="U301" s="19" t="n">
        <v>8</v>
      </c>
      <c r="V301" s="19" t="n">
        <v>8</v>
      </c>
      <c r="W301" s="19" t="n">
        <v>8.5</v>
      </c>
      <c r="X301" s="19" t="n">
        <v>8.5</v>
      </c>
      <c r="Y301" s="9" t="n">
        <v>0</v>
      </c>
      <c r="Z301" s="19" t="n">
        <v>7.5</v>
      </c>
      <c r="AA301" s="19" t="n">
        <v>7.5</v>
      </c>
      <c r="AB301" s="19" t="n">
        <v>8.5</v>
      </c>
      <c r="AC301" s="19" t="n">
        <v>7.5</v>
      </c>
      <c r="AD301" s="19" t="n">
        <v>8</v>
      </c>
      <c r="AE301" s="19" t="n">
        <v>8.5</v>
      </c>
      <c r="AF301" s="9" t="n">
        <v>0</v>
      </c>
      <c r="AG301" s="19" t="n">
        <v>8.5</v>
      </c>
      <c r="AH301" s="19" t="n">
        <v>7.5</v>
      </c>
      <c r="AI301" s="19" t="n">
        <v>7.5</v>
      </c>
      <c r="AJ301" s="19" t="n">
        <v>0</v>
      </c>
      <c r="AK301" s="19" t="n">
        <v>0</v>
      </c>
      <c r="AL301" s="19" t="n">
        <v>0</v>
      </c>
      <c r="AM301" s="9" t="n">
        <v>0</v>
      </c>
      <c r="AN301" s="19" t="n">
        <v>0</v>
      </c>
      <c r="AO301" s="19" t="n">
        <v>0</v>
      </c>
      <c r="AP301" s="19" t="n">
        <v>0</v>
      </c>
      <c r="AQ301" s="19" t="n">
        <v>0</v>
      </c>
      <c r="AR301" s="19" t="n">
        <v>0</v>
      </c>
      <c r="AS301" s="19" t="n">
        <v>0</v>
      </c>
      <c r="AT301" s="10">
        <f>SUM(O301:AS301)</f>
        <v/>
      </c>
      <c r="AU301" s="20">
        <f>COUNTIF(O301:AS301, "&gt;0")</f>
        <v/>
      </c>
      <c r="AV301" s="12">
        <f>IF(AU301&gt;=5, 4, IF(AU301&gt;0, INT(AU301/6), 0))</f>
        <v/>
      </c>
      <c r="AW301" s="20" t="n">
        <v>0</v>
      </c>
      <c r="AX301" s="20" t="n">
        <v>0</v>
      </c>
      <c r="AY301" s="13">
        <f>MIN(31, AU301+AV301+AW301+AX301)</f>
        <v/>
      </c>
      <c r="AZ301" s="14">
        <f>31-AY301</f>
        <v/>
      </c>
      <c r="BA301" s="21">
        <f>IF(AX301&gt;0, "01-İstirahat", IF(AZ301&gt;0, "12-Birden Fazla", ""))</f>
        <v/>
      </c>
      <c r="BB301" s="10" t="n">
        <v>8.5</v>
      </c>
      <c r="BC301" s="19" t="n">
        <v>0</v>
      </c>
      <c r="BD301" s="9" t="n">
        <v>0</v>
      </c>
      <c r="BE301" s="22">
        <f>(L301/30)*AU301</f>
        <v/>
      </c>
      <c r="BF301" s="15">
        <f>(L301/225)*((BB301*1.5)-(BC301*1.0))</f>
        <v/>
      </c>
      <c r="BG301" s="16">
        <f>(L301/225)*1.5*BD301</f>
        <v/>
      </c>
      <c r="BH301" s="15">
        <f>BF301+BG301</f>
        <v/>
      </c>
      <c r="BI301" s="17">
        <f>BE301+BH301</f>
        <v/>
      </c>
      <c r="BJ301" s="22">
        <f>IFERROR(VLOOKUP(B301, Resmi_Bordro_SGK!B:M, 11, FALSE), 0)</f>
        <v/>
      </c>
      <c r="BK301" s="18">
        <f>IFERROR(VLOOKUP(B301, Icra_Takip!A:E, 4, FALSE), 0)</f>
        <v/>
      </c>
      <c r="BL301" s="17">
        <f>IF(BI301&gt;BJ301, BI301-BJ301-BK301, 0)</f>
        <v/>
      </c>
      <c r="BM301" s="17">
        <f>BI301-BK301</f>
        <v/>
      </c>
    </row>
    <row r="302" ht="19" customHeight="1">
      <c r="A302" s="4" t="n">
        <v>299</v>
      </c>
      <c r="B302" s="5" t="inlineStr">
        <is>
          <t>25750383418</t>
        </is>
      </c>
      <c r="C302" s="6" t="inlineStr">
        <is>
          <t>OĞUZHAN ÜNVER</t>
        </is>
      </c>
      <c r="D302" s="4" t="inlineStr">
        <is>
          <t>E</t>
        </is>
      </c>
      <c r="E302" s="4" t="inlineStr"/>
      <c r="F302" s="4" t="inlineStr">
        <is>
          <t>22.04.2026</t>
        </is>
      </c>
      <c r="G302" s="4" t="inlineStr"/>
      <c r="H302" s="4" t="inlineStr">
        <is>
          <t>NORMAL</t>
        </is>
      </c>
      <c r="I302" s="4" t="inlineStr">
        <is>
          <t>DAİMİ</t>
        </is>
      </c>
      <c r="J302" s="6" t="inlineStr">
        <is>
          <t>AMBAR</t>
        </is>
      </c>
      <c r="K302" s="6" t="inlineStr">
        <is>
          <t>BANDIRMA</t>
        </is>
      </c>
      <c r="L302" s="7" t="n">
        <v>50000</v>
      </c>
      <c r="M302" s="4" t="inlineStr">
        <is>
          <t>FİDE KONSERVE</t>
        </is>
      </c>
      <c r="N302" s="4" t="inlineStr">
        <is>
          <t>ALIR</t>
        </is>
      </c>
      <c r="O302" s="8" t="n">
        <v>0</v>
      </c>
      <c r="P302" s="8" t="n">
        <v>0</v>
      </c>
      <c r="Q302" s="8" t="n">
        <v>0</v>
      </c>
      <c r="R302" s="9" t="n">
        <v>0</v>
      </c>
      <c r="S302" s="8" t="n">
        <v>0</v>
      </c>
      <c r="T302" s="8" t="n">
        <v>0</v>
      </c>
      <c r="U302" s="8" t="n">
        <v>0</v>
      </c>
      <c r="V302" s="8" t="n">
        <v>0</v>
      </c>
      <c r="W302" s="8" t="n">
        <v>0</v>
      </c>
      <c r="X302" s="8" t="n">
        <v>0</v>
      </c>
      <c r="Y302" s="9" t="n">
        <v>0</v>
      </c>
      <c r="Z302" s="8" t="n">
        <v>0</v>
      </c>
      <c r="AA302" s="8" t="n">
        <v>0</v>
      </c>
      <c r="AB302" s="8" t="n">
        <v>0</v>
      </c>
      <c r="AC302" s="8" t="n">
        <v>0</v>
      </c>
      <c r="AD302" s="8" t="n">
        <v>0</v>
      </c>
      <c r="AE302" s="8" t="n">
        <v>0</v>
      </c>
      <c r="AF302" s="9" t="n">
        <v>0</v>
      </c>
      <c r="AG302" s="8" t="n">
        <v>0</v>
      </c>
      <c r="AH302" s="8" t="n">
        <v>0</v>
      </c>
      <c r="AI302" s="8" t="n">
        <v>0</v>
      </c>
      <c r="AJ302" s="8" t="n">
        <v>0</v>
      </c>
      <c r="AK302" s="8" t="n">
        <v>0</v>
      </c>
      <c r="AL302" s="8" t="n">
        <v>0</v>
      </c>
      <c r="AM302" s="9" t="n">
        <v>0</v>
      </c>
      <c r="AN302" s="8" t="n">
        <v>0</v>
      </c>
      <c r="AO302" s="8" t="n">
        <v>0</v>
      </c>
      <c r="AP302" s="8" t="n">
        <v>0</v>
      </c>
      <c r="AQ302" s="8" t="n">
        <v>0</v>
      </c>
      <c r="AR302" s="8" t="n">
        <v>0</v>
      </c>
      <c r="AS302" s="8" t="n">
        <v>0</v>
      </c>
      <c r="AT302" s="10">
        <f>SUM(O302:AS302)</f>
        <v/>
      </c>
      <c r="AU302" s="11">
        <f>COUNTIF(O302:AS302, "&gt;0")</f>
        <v/>
      </c>
      <c r="AV302" s="12">
        <f>IF(AU302&gt;=5, 4, IF(AU302&gt;0, INT(AU302/6), 0))</f>
        <v/>
      </c>
      <c r="AW302" s="11" t="n">
        <v>0</v>
      </c>
      <c r="AX302" s="11" t="n">
        <v>0</v>
      </c>
      <c r="AY302" s="13">
        <f>MIN(31, AU302+AV302+AW302+AX302)</f>
        <v/>
      </c>
      <c r="AZ302" s="14">
        <f>31-AY302</f>
        <v/>
      </c>
      <c r="BA302" s="5">
        <f>IF(AX302&gt;0, "01-İstirahat", IF(AZ302&gt;0, "12-Birden Fazla", ""))</f>
        <v/>
      </c>
      <c r="BB302" s="10" t="n">
        <v>0</v>
      </c>
      <c r="BC302" s="8" t="n">
        <v>0</v>
      </c>
      <c r="BD302" s="9" t="n">
        <v>0</v>
      </c>
      <c r="BE302" s="7">
        <f>(L302/30)*AU302</f>
        <v/>
      </c>
      <c r="BF302" s="15">
        <f>(L302/225)*((BB302*1.5)-(BC302*1.0))</f>
        <v/>
      </c>
      <c r="BG302" s="16">
        <f>(L302/225)*1.5*BD302</f>
        <v/>
      </c>
      <c r="BH302" s="15">
        <f>BF302+BG302</f>
        <v/>
      </c>
      <c r="BI302" s="17">
        <f>BE302+BH302</f>
        <v/>
      </c>
      <c r="BJ302" s="7">
        <f>IFERROR(VLOOKUP(B302, Resmi_Bordro_SGK!B:M, 11, FALSE), 0)</f>
        <v/>
      </c>
      <c r="BK302" s="18">
        <f>IFERROR(VLOOKUP(B302, Icra_Takip!A:E, 4, FALSE), 0)</f>
        <v/>
      </c>
      <c r="BL302" s="17">
        <f>IF(BI302&gt;BJ302, BI302-BJ302-BK302, 0)</f>
        <v/>
      </c>
      <c r="BM302" s="17">
        <f>BI302-BK302</f>
        <v/>
      </c>
    </row>
    <row r="303" ht="19" customHeight="1">
      <c r="A303" s="4" t="n">
        <v>300</v>
      </c>
      <c r="B303" s="5" t="inlineStr">
        <is>
          <t>11386906688</t>
        </is>
      </c>
      <c r="C303" s="6" t="inlineStr">
        <is>
          <t>OKTAY MUT</t>
        </is>
      </c>
      <c r="D303" s="4" t="inlineStr">
        <is>
          <t>E</t>
        </is>
      </c>
      <c r="E303" s="4" t="inlineStr"/>
      <c r="F303" s="4" t="inlineStr">
        <is>
          <t>17.02.2026</t>
        </is>
      </c>
      <c r="G303" s="4" t="inlineStr">
        <is>
          <t>07.08.2026</t>
        </is>
      </c>
      <c r="H303" s="4" t="inlineStr">
        <is>
          <t>NORMAL</t>
        </is>
      </c>
      <c r="I303" s="4" t="inlineStr">
        <is>
          <t>DAİMİ</t>
        </is>
      </c>
      <c r="J303" s="6" t="inlineStr">
        <is>
          <t>BAKIM</t>
        </is>
      </c>
      <c r="K303" s="6" t="inlineStr">
        <is>
          <t>KARACABEY-HALİL</t>
        </is>
      </c>
      <c r="L303" s="7" t="n">
        <v>28075.5</v>
      </c>
      <c r="M303" s="4" t="inlineStr">
        <is>
          <t>FİDE KONSERVE</t>
        </is>
      </c>
      <c r="N303" s="4" t="inlineStr">
        <is>
          <t>ALIR</t>
        </is>
      </c>
      <c r="O303" s="19" t="n">
        <v>0</v>
      </c>
      <c r="P303" s="19" t="n">
        <v>0</v>
      </c>
      <c r="Q303" s="19" t="n">
        <v>0</v>
      </c>
      <c r="R303" s="9" t="n">
        <v>0</v>
      </c>
      <c r="S303" s="19" t="n">
        <v>0</v>
      </c>
      <c r="T303" s="19" t="n">
        <v>0</v>
      </c>
      <c r="U303" s="19" t="n">
        <v>0</v>
      </c>
      <c r="V303" s="19" t="n">
        <v>0</v>
      </c>
      <c r="W303" s="19" t="n">
        <v>0</v>
      </c>
      <c r="X303" s="19" t="n">
        <v>0</v>
      </c>
      <c r="Y303" s="9" t="n">
        <v>0</v>
      </c>
      <c r="Z303" s="19" t="n">
        <v>0</v>
      </c>
      <c r="AA303" s="19" t="n">
        <v>0</v>
      </c>
      <c r="AB303" s="19" t="n">
        <v>0</v>
      </c>
      <c r="AC303" s="19" t="n">
        <v>0</v>
      </c>
      <c r="AD303" s="19" t="n">
        <v>0</v>
      </c>
      <c r="AE303" s="19" t="n">
        <v>0</v>
      </c>
      <c r="AF303" s="9" t="n">
        <v>0</v>
      </c>
      <c r="AG303" s="19" t="n">
        <v>0</v>
      </c>
      <c r="AH303" s="19" t="n">
        <v>0</v>
      </c>
      <c r="AI303" s="19" t="n">
        <v>0</v>
      </c>
      <c r="AJ303" s="19" t="n">
        <v>0</v>
      </c>
      <c r="AK303" s="19" t="n">
        <v>0</v>
      </c>
      <c r="AL303" s="19" t="n">
        <v>0</v>
      </c>
      <c r="AM303" s="9" t="n">
        <v>0</v>
      </c>
      <c r="AN303" s="19" t="n">
        <v>0</v>
      </c>
      <c r="AO303" s="19" t="n">
        <v>0</v>
      </c>
      <c r="AP303" s="19" t="n">
        <v>0</v>
      </c>
      <c r="AQ303" s="19" t="n">
        <v>0</v>
      </c>
      <c r="AR303" s="19" t="n">
        <v>0</v>
      </c>
      <c r="AS303" s="19" t="n">
        <v>0</v>
      </c>
      <c r="AT303" s="10">
        <f>SUM(O303:AS303)</f>
        <v/>
      </c>
      <c r="AU303" s="20">
        <f>COUNTIF(O303:AS303, "&gt;0")</f>
        <v/>
      </c>
      <c r="AV303" s="12">
        <f>IF(AU303&gt;=5, 4, IF(AU303&gt;0, INT(AU303/6), 0))</f>
        <v/>
      </c>
      <c r="AW303" s="20" t="n">
        <v>0</v>
      </c>
      <c r="AX303" s="20" t="n">
        <v>0</v>
      </c>
      <c r="AY303" s="13">
        <f>MIN(31, AU303+AV303+AW303+AX303)</f>
        <v/>
      </c>
      <c r="AZ303" s="14">
        <f>31-AY303</f>
        <v/>
      </c>
      <c r="BA303" s="21">
        <f>IF(AX303&gt;0, "01-İstirahat", IF(AZ303&gt;0, "12-Birden Fazla", ""))</f>
        <v/>
      </c>
      <c r="BB303" s="10" t="n">
        <v>0</v>
      </c>
      <c r="BC303" s="19" t="n">
        <v>0</v>
      </c>
      <c r="BD303" s="9" t="n">
        <v>0</v>
      </c>
      <c r="BE303" s="22">
        <f>(L303/30)*AU303</f>
        <v/>
      </c>
      <c r="BF303" s="15">
        <f>(L303/225)*((BB303*1.5)-(BC303*1.0))</f>
        <v/>
      </c>
      <c r="BG303" s="16">
        <f>(L303/225)*1.5*BD303</f>
        <v/>
      </c>
      <c r="BH303" s="15">
        <f>BF303+BG303</f>
        <v/>
      </c>
      <c r="BI303" s="17">
        <f>BE303+BH303</f>
        <v/>
      </c>
      <c r="BJ303" s="22">
        <f>IFERROR(VLOOKUP(B303, Resmi_Bordro_SGK!B:M, 11, FALSE), 0)</f>
        <v/>
      </c>
      <c r="BK303" s="18">
        <f>IFERROR(VLOOKUP(B303, Icra_Takip!A:E, 4, FALSE), 0)</f>
        <v/>
      </c>
      <c r="BL303" s="17">
        <f>IF(BI303&gt;BJ303, BI303-BJ303-BK303, 0)</f>
        <v/>
      </c>
      <c r="BM303" s="17">
        <f>BI303-BK303</f>
        <v/>
      </c>
    </row>
    <row r="304" ht="19" customHeight="1">
      <c r="A304" s="4" t="n">
        <v>301</v>
      </c>
      <c r="B304" s="5" t="inlineStr"/>
      <c r="C304" s="6" t="inlineStr">
        <is>
          <t>OSMAN GÖNÜL</t>
        </is>
      </c>
      <c r="D304" s="4" t="inlineStr"/>
      <c r="E304" s="4" t="inlineStr"/>
      <c r="F304" s="4" t="inlineStr"/>
      <c r="G304" s="4" t="inlineStr"/>
      <c r="H304" s="4" t="inlineStr">
        <is>
          <t>NORMAL</t>
        </is>
      </c>
      <c r="I304" s="4" t="inlineStr">
        <is>
          <t>MEVSİMLİK</t>
        </is>
      </c>
      <c r="J304" s="6" t="inlineStr"/>
      <c r="K304" s="6" t="inlineStr"/>
      <c r="L304" s="7" t="n">
        <v>28075.5</v>
      </c>
      <c r="M304" s="4" t="inlineStr">
        <is>
          <t>FİDE KONSERVE</t>
        </is>
      </c>
      <c r="N304" s="4" t="inlineStr">
        <is>
          <t>ALIR</t>
        </is>
      </c>
      <c r="O304" s="8" t="n">
        <v>0</v>
      </c>
      <c r="P304" s="8" t="n">
        <v>10.5</v>
      </c>
      <c r="Q304" s="8" t="n">
        <v>10.5</v>
      </c>
      <c r="R304" s="9" t="n">
        <v>0</v>
      </c>
      <c r="S304" s="8" t="n">
        <v>0</v>
      </c>
      <c r="T304" s="8" t="n">
        <v>10.5</v>
      </c>
      <c r="U304" s="8" t="n">
        <v>10.5</v>
      </c>
      <c r="V304" s="8" t="n">
        <v>10.5</v>
      </c>
      <c r="W304" s="8" t="n">
        <v>10.5</v>
      </c>
      <c r="X304" s="8" t="n">
        <v>10.5</v>
      </c>
      <c r="Y304" s="9" t="n">
        <v>0</v>
      </c>
      <c r="Z304" s="8" t="n">
        <v>10.5</v>
      </c>
      <c r="AA304" s="8" t="n">
        <v>10.5</v>
      </c>
      <c r="AB304" s="8" t="n">
        <v>10.5</v>
      </c>
      <c r="AC304" s="8" t="n">
        <v>0</v>
      </c>
      <c r="AD304" s="8" t="n">
        <v>0</v>
      </c>
      <c r="AE304" s="8" t="n">
        <v>0</v>
      </c>
      <c r="AF304" s="9" t="n">
        <v>0</v>
      </c>
      <c r="AG304" s="8" t="n">
        <v>10.5</v>
      </c>
      <c r="AH304" s="8" t="n">
        <v>0</v>
      </c>
      <c r="AI304" s="8" t="n">
        <v>0</v>
      </c>
      <c r="AJ304" s="8" t="n">
        <v>0</v>
      </c>
      <c r="AK304" s="8" t="n">
        <v>0</v>
      </c>
      <c r="AL304" s="8" t="n">
        <v>0</v>
      </c>
      <c r="AM304" s="9" t="n">
        <v>0</v>
      </c>
      <c r="AN304" s="8" t="n">
        <v>0</v>
      </c>
      <c r="AO304" s="8" t="n">
        <v>0</v>
      </c>
      <c r="AP304" s="8" t="n">
        <v>0</v>
      </c>
      <c r="AQ304" s="8" t="n">
        <v>0</v>
      </c>
      <c r="AR304" s="8" t="n">
        <v>0</v>
      </c>
      <c r="AS304" s="8" t="n">
        <v>0</v>
      </c>
      <c r="AT304" s="10">
        <f>SUM(O304:AS304)</f>
        <v/>
      </c>
      <c r="AU304" s="11">
        <f>COUNTIF(O304:AS304, "&gt;0")</f>
        <v/>
      </c>
      <c r="AV304" s="12">
        <f>IF(AU304&gt;=5, 4, IF(AU304&gt;0, INT(AU304/6), 0))</f>
        <v/>
      </c>
      <c r="AW304" s="11" t="n">
        <v>0</v>
      </c>
      <c r="AX304" s="11" t="n">
        <v>0</v>
      </c>
      <c r="AY304" s="13">
        <f>MIN(31, AU304+AV304+AW304+AX304)</f>
        <v/>
      </c>
      <c r="AZ304" s="14">
        <f>31-AY304</f>
        <v/>
      </c>
      <c r="BA304" s="5">
        <f>IF(AX304&gt;0, "01-İstirahat", IF(AZ304&gt;0, "12-Birden Fazla", ""))</f>
        <v/>
      </c>
      <c r="BB304" s="10" t="n">
        <v>33</v>
      </c>
      <c r="BC304" s="8" t="n">
        <v>0</v>
      </c>
      <c r="BD304" s="9" t="n">
        <v>0</v>
      </c>
      <c r="BE304" s="7">
        <f>(L304/30)*AU304</f>
        <v/>
      </c>
      <c r="BF304" s="15">
        <f>(L304/225)*((BB304*1.5)-(BC304*1.0))</f>
        <v/>
      </c>
      <c r="BG304" s="16">
        <f>(L304/225)*1.5*BD304</f>
        <v/>
      </c>
      <c r="BH304" s="15">
        <f>BF304+BG304</f>
        <v/>
      </c>
      <c r="BI304" s="17">
        <f>BE304+BH304</f>
        <v/>
      </c>
      <c r="BJ304" s="7">
        <f>IFERROR(VLOOKUP(B304, Resmi_Bordro_SGK!B:M, 11, FALSE), 0)</f>
        <v/>
      </c>
      <c r="BK304" s="18">
        <f>IFERROR(VLOOKUP(B304, Icra_Takip!A:E, 4, FALSE), 0)</f>
        <v/>
      </c>
      <c r="BL304" s="17">
        <f>IF(BI304&gt;BJ304, BI304-BJ304-BK304, 0)</f>
        <v/>
      </c>
      <c r="BM304" s="17">
        <f>BI304-BK304</f>
        <v/>
      </c>
    </row>
    <row r="305" ht="19" customHeight="1">
      <c r="A305" s="4" t="n">
        <v>302</v>
      </c>
      <c r="B305" s="5" t="inlineStr">
        <is>
          <t>13189854302</t>
        </is>
      </c>
      <c r="C305" s="6" t="inlineStr">
        <is>
          <t>OZAN BUĞA</t>
        </is>
      </c>
      <c r="D305" s="4" t="inlineStr">
        <is>
          <t>E</t>
        </is>
      </c>
      <c r="E305" s="4" t="inlineStr"/>
      <c r="F305" s="4" t="inlineStr">
        <is>
          <t>06.06.2024</t>
        </is>
      </c>
      <c r="G305" s="4" t="inlineStr"/>
      <c r="H305" s="4" t="inlineStr">
        <is>
          <t>NORMAL</t>
        </is>
      </c>
      <c r="I305" s="4" t="inlineStr">
        <is>
          <t>DAİMİ</t>
        </is>
      </c>
      <c r="J305" s="6" t="inlineStr">
        <is>
          <t>BAKIM</t>
        </is>
      </c>
      <c r="K305" s="6" t="inlineStr">
        <is>
          <t>MKP</t>
        </is>
      </c>
      <c r="L305" s="7" t="n">
        <v>42000</v>
      </c>
      <c r="M305" s="4" t="inlineStr">
        <is>
          <t>FİDE KONSERVE</t>
        </is>
      </c>
      <c r="N305" s="4" t="inlineStr">
        <is>
          <t>ALIR</t>
        </is>
      </c>
      <c r="O305" s="19" t="n">
        <v>7.5</v>
      </c>
      <c r="P305" s="19" t="n">
        <v>7.5</v>
      </c>
      <c r="Q305" s="19" t="n">
        <v>8</v>
      </c>
      <c r="R305" s="9" t="n">
        <v>0</v>
      </c>
      <c r="S305" s="19" t="n">
        <v>9.5</v>
      </c>
      <c r="T305" s="19" t="n">
        <v>7.5</v>
      </c>
      <c r="U305" s="19" t="n">
        <v>8.5</v>
      </c>
      <c r="V305" s="19" t="n">
        <v>7.5</v>
      </c>
      <c r="W305" s="19" t="n">
        <v>7.5</v>
      </c>
      <c r="X305" s="19" t="n">
        <v>7</v>
      </c>
      <c r="Y305" s="9" t="n">
        <v>7</v>
      </c>
      <c r="Z305" s="19" t="n">
        <v>7.5</v>
      </c>
      <c r="AA305" s="19" t="n">
        <v>8</v>
      </c>
      <c r="AB305" s="23" t="n">
        <v>6.82</v>
      </c>
      <c r="AC305" s="19" t="n">
        <v>8</v>
      </c>
      <c r="AD305" s="19" t="n">
        <v>7</v>
      </c>
      <c r="AE305" s="19" t="n">
        <v>4.5</v>
      </c>
      <c r="AF305" s="9" t="n">
        <v>0</v>
      </c>
      <c r="AG305" s="23" t="n">
        <v>11.45</v>
      </c>
      <c r="AH305" s="19" t="n">
        <v>0</v>
      </c>
      <c r="AI305" s="19" t="n">
        <v>7</v>
      </c>
      <c r="AJ305" s="19" t="n">
        <v>0</v>
      </c>
      <c r="AK305" s="19" t="n">
        <v>0</v>
      </c>
      <c r="AL305" s="19" t="n">
        <v>0</v>
      </c>
      <c r="AM305" s="9" t="n">
        <v>0</v>
      </c>
      <c r="AN305" s="19" t="n">
        <v>0</v>
      </c>
      <c r="AO305" s="19" t="n">
        <v>0</v>
      </c>
      <c r="AP305" s="19" t="n">
        <v>0</v>
      </c>
      <c r="AQ305" s="19" t="n">
        <v>0</v>
      </c>
      <c r="AR305" s="19" t="n">
        <v>0</v>
      </c>
      <c r="AS305" s="19" t="n">
        <v>0</v>
      </c>
      <c r="AT305" s="10">
        <f>SUM(O305:AS305)</f>
        <v/>
      </c>
      <c r="AU305" s="20">
        <f>COUNTIF(O305:AS305, "&gt;0")</f>
        <v/>
      </c>
      <c r="AV305" s="12">
        <f>IF(AU305&gt;=5, 4, IF(AU305&gt;0, INT(AU305/6), 0))</f>
        <v/>
      </c>
      <c r="AW305" s="20" t="n">
        <v>0</v>
      </c>
      <c r="AX305" s="20" t="n">
        <v>0</v>
      </c>
      <c r="AY305" s="13">
        <f>MIN(31, AU305+AV305+AW305+AX305)</f>
        <v/>
      </c>
      <c r="AZ305" s="14">
        <f>31-AY305</f>
        <v/>
      </c>
      <c r="BA305" s="21">
        <f>IF(AX305&gt;0, "01-İstirahat", IF(AZ305&gt;0, "12-Birden Fazla", ""))</f>
        <v/>
      </c>
      <c r="BB305" s="10" t="n">
        <v>6.95</v>
      </c>
      <c r="BC305" s="23" t="n">
        <v>5.18</v>
      </c>
      <c r="BD305" s="9" t="n">
        <v>7</v>
      </c>
      <c r="BE305" s="22">
        <f>(L305/30)*AU305</f>
        <v/>
      </c>
      <c r="BF305" s="15">
        <f>(L305/225)*((BB305*1.5)-(BC305*1.0))</f>
        <v/>
      </c>
      <c r="BG305" s="16">
        <f>(L305/225)*1.5*BD305</f>
        <v/>
      </c>
      <c r="BH305" s="15">
        <f>BF305+BG305</f>
        <v/>
      </c>
      <c r="BI305" s="17">
        <f>BE305+BH305</f>
        <v/>
      </c>
      <c r="BJ305" s="22">
        <f>IFERROR(VLOOKUP(B305, Resmi_Bordro_SGK!B:M, 11, FALSE), 0)</f>
        <v/>
      </c>
      <c r="BK305" s="18">
        <f>IFERROR(VLOOKUP(B305, Icra_Takip!A:E, 4, FALSE), 0)</f>
        <v/>
      </c>
      <c r="BL305" s="17">
        <f>IF(BI305&gt;BJ305, BI305-BJ305-BK305, 0)</f>
        <v/>
      </c>
      <c r="BM305" s="17">
        <f>BI305-BK305</f>
        <v/>
      </c>
    </row>
    <row r="306" ht="19" customHeight="1">
      <c r="A306" s="4" t="n">
        <v>303</v>
      </c>
      <c r="B306" s="5" t="inlineStr">
        <is>
          <t>10183850040</t>
        </is>
      </c>
      <c r="C306" s="6" t="inlineStr">
        <is>
          <t>ÖMER DURMUŞ</t>
        </is>
      </c>
      <c r="D306" s="4" t="inlineStr">
        <is>
          <t>E</t>
        </is>
      </c>
      <c r="E306" s="4" t="inlineStr"/>
      <c r="F306" s="4" t="inlineStr">
        <is>
          <t>29.06.2026</t>
        </is>
      </c>
      <c r="G306" s="4" t="inlineStr"/>
      <c r="H306" s="4" t="inlineStr">
        <is>
          <t>NORMAL</t>
        </is>
      </c>
      <c r="I306" s="4" t="inlineStr">
        <is>
          <t>MEVSİMLİK</t>
        </is>
      </c>
      <c r="J306" s="6" t="inlineStr">
        <is>
          <t>ÜRETİM</t>
        </is>
      </c>
      <c r="K306" s="6" t="inlineStr">
        <is>
          <t>SUSURLUK</t>
        </is>
      </c>
      <c r="L306" s="7" t="n">
        <v>28075.5</v>
      </c>
      <c r="M306" s="4" t="inlineStr">
        <is>
          <t>FİDE KONSERVE</t>
        </is>
      </c>
      <c r="N306" s="4" t="inlineStr">
        <is>
          <t>ALIR</t>
        </is>
      </c>
      <c r="O306" s="8" t="n">
        <v>0</v>
      </c>
      <c r="P306" s="8" t="n">
        <v>0</v>
      </c>
      <c r="Q306" s="8" t="n">
        <v>0</v>
      </c>
      <c r="R306" s="9" t="n">
        <v>0</v>
      </c>
      <c r="S306" s="8" t="n">
        <v>0</v>
      </c>
      <c r="T306" s="8" t="n">
        <v>0</v>
      </c>
      <c r="U306" s="8" t="n">
        <v>0</v>
      </c>
      <c r="V306" s="8" t="n">
        <v>0</v>
      </c>
      <c r="W306" s="8" t="n">
        <v>0</v>
      </c>
      <c r="X306" s="8" t="n">
        <v>0</v>
      </c>
      <c r="Y306" s="9" t="n">
        <v>0</v>
      </c>
      <c r="Z306" s="8" t="n">
        <v>0</v>
      </c>
      <c r="AA306" s="8" t="n">
        <v>0</v>
      </c>
      <c r="AB306" s="8" t="n">
        <v>0</v>
      </c>
      <c r="AC306" s="8" t="n">
        <v>0</v>
      </c>
      <c r="AD306" s="8" t="n">
        <v>0</v>
      </c>
      <c r="AE306" s="8" t="n">
        <v>0</v>
      </c>
      <c r="AF306" s="9" t="n">
        <v>0</v>
      </c>
      <c r="AG306" s="8" t="n">
        <v>0</v>
      </c>
      <c r="AH306" s="8" t="n">
        <v>0</v>
      </c>
      <c r="AI306" s="8" t="n">
        <v>0</v>
      </c>
      <c r="AJ306" s="8" t="n">
        <v>0</v>
      </c>
      <c r="AK306" s="8" t="n">
        <v>0</v>
      </c>
      <c r="AL306" s="8" t="n">
        <v>0</v>
      </c>
      <c r="AM306" s="9" t="n">
        <v>0</v>
      </c>
      <c r="AN306" s="8" t="n">
        <v>0</v>
      </c>
      <c r="AO306" s="8" t="n">
        <v>0</v>
      </c>
      <c r="AP306" s="8" t="n">
        <v>0</v>
      </c>
      <c r="AQ306" s="8" t="n">
        <v>0</v>
      </c>
      <c r="AR306" s="8" t="n">
        <v>0</v>
      </c>
      <c r="AS306" s="8" t="n">
        <v>0</v>
      </c>
      <c r="AT306" s="10">
        <f>SUM(O306:AS306)</f>
        <v/>
      </c>
      <c r="AU306" s="11">
        <f>COUNTIF(O306:AS306, "&gt;0")</f>
        <v/>
      </c>
      <c r="AV306" s="12">
        <f>IF(AU306&gt;=5, 4, IF(AU306&gt;0, INT(AU306/6), 0))</f>
        <v/>
      </c>
      <c r="AW306" s="11" t="n">
        <v>0</v>
      </c>
      <c r="AX306" s="11" t="n">
        <v>0</v>
      </c>
      <c r="AY306" s="13">
        <f>MIN(31, AU306+AV306+AW306+AX306)</f>
        <v/>
      </c>
      <c r="AZ306" s="14">
        <f>31-AY306</f>
        <v/>
      </c>
      <c r="BA306" s="5">
        <f>IF(AX306&gt;0, "01-İstirahat", IF(AZ306&gt;0, "12-Birden Fazla", ""))</f>
        <v/>
      </c>
      <c r="BB306" s="10" t="n">
        <v>0</v>
      </c>
      <c r="BC306" s="8" t="n">
        <v>0</v>
      </c>
      <c r="BD306" s="9" t="n">
        <v>0</v>
      </c>
      <c r="BE306" s="7">
        <f>(L306/30)*AU306</f>
        <v/>
      </c>
      <c r="BF306" s="15">
        <f>(L306/225)*((BB306*1.5)-(BC306*1.0))</f>
        <v/>
      </c>
      <c r="BG306" s="16">
        <f>(L306/225)*1.5*BD306</f>
        <v/>
      </c>
      <c r="BH306" s="15">
        <f>BF306+BG306</f>
        <v/>
      </c>
      <c r="BI306" s="17">
        <f>BE306+BH306</f>
        <v/>
      </c>
      <c r="BJ306" s="7">
        <f>IFERROR(VLOOKUP(B306, Resmi_Bordro_SGK!B:M, 11, FALSE), 0)</f>
        <v/>
      </c>
      <c r="BK306" s="18">
        <f>IFERROR(VLOOKUP(B306, Icra_Takip!A:E, 4, FALSE), 0)</f>
        <v/>
      </c>
      <c r="BL306" s="17">
        <f>IF(BI306&gt;BJ306, BI306-BJ306-BK306, 0)</f>
        <v/>
      </c>
      <c r="BM306" s="17">
        <f>BI306-BK306</f>
        <v/>
      </c>
    </row>
    <row r="307" ht="19" customHeight="1">
      <c r="A307" s="4" t="n">
        <v>304</v>
      </c>
      <c r="B307" s="5" t="inlineStr">
        <is>
          <t>18670663692</t>
        </is>
      </c>
      <c r="C307" s="6" t="inlineStr">
        <is>
          <t>ÖMÜR MERCAN</t>
        </is>
      </c>
      <c r="D307" s="4" t="inlineStr">
        <is>
          <t>K</t>
        </is>
      </c>
      <c r="E307" s="4" t="inlineStr"/>
      <c r="F307" s="4" t="inlineStr">
        <is>
          <t>29.06.2026</t>
        </is>
      </c>
      <c r="G307" s="4" t="inlineStr"/>
      <c r="H307" s="4" t="inlineStr">
        <is>
          <t>NORMAL</t>
        </is>
      </c>
      <c r="I307" s="4" t="inlineStr">
        <is>
          <t>MEVSİMLİK</t>
        </is>
      </c>
      <c r="J307" s="6" t="inlineStr">
        <is>
          <t>ÜRETİM</t>
        </is>
      </c>
      <c r="K307" s="6" t="inlineStr">
        <is>
          <t>KARACABEY-HALİL</t>
        </is>
      </c>
      <c r="L307" s="7" t="n">
        <v>28075.5</v>
      </c>
      <c r="M307" s="4" t="inlineStr">
        <is>
          <t>FİDE KONSERVE</t>
        </is>
      </c>
      <c r="N307" s="4" t="inlineStr">
        <is>
          <t>ALIR</t>
        </is>
      </c>
      <c r="O307" s="19" t="n">
        <v>0</v>
      </c>
      <c r="P307" s="19" t="n">
        <v>0</v>
      </c>
      <c r="Q307" s="19" t="n">
        <v>0</v>
      </c>
      <c r="R307" s="9" t="n">
        <v>0</v>
      </c>
      <c r="S307" s="19" t="n">
        <v>0</v>
      </c>
      <c r="T307" s="19" t="n">
        <v>0</v>
      </c>
      <c r="U307" s="19" t="n">
        <v>0</v>
      </c>
      <c r="V307" s="19" t="n">
        <v>0</v>
      </c>
      <c r="W307" s="19" t="n">
        <v>0</v>
      </c>
      <c r="X307" s="19" t="n">
        <v>0</v>
      </c>
      <c r="Y307" s="9" t="n">
        <v>0</v>
      </c>
      <c r="Z307" s="19" t="n">
        <v>0</v>
      </c>
      <c r="AA307" s="19" t="n">
        <v>0</v>
      </c>
      <c r="AB307" s="19" t="n">
        <v>0</v>
      </c>
      <c r="AC307" s="19" t="n">
        <v>0</v>
      </c>
      <c r="AD307" s="19" t="n">
        <v>0</v>
      </c>
      <c r="AE307" s="19" t="n">
        <v>0</v>
      </c>
      <c r="AF307" s="9" t="n">
        <v>0</v>
      </c>
      <c r="AG307" s="19" t="n">
        <v>0</v>
      </c>
      <c r="AH307" s="19" t="n">
        <v>0</v>
      </c>
      <c r="AI307" s="19" t="n">
        <v>0</v>
      </c>
      <c r="AJ307" s="19" t="n">
        <v>0</v>
      </c>
      <c r="AK307" s="19" t="n">
        <v>0</v>
      </c>
      <c r="AL307" s="19" t="n">
        <v>0</v>
      </c>
      <c r="AM307" s="9" t="n">
        <v>0</v>
      </c>
      <c r="AN307" s="19" t="n">
        <v>0</v>
      </c>
      <c r="AO307" s="19" t="n">
        <v>0</v>
      </c>
      <c r="AP307" s="19" t="n">
        <v>0</v>
      </c>
      <c r="AQ307" s="19" t="n">
        <v>0</v>
      </c>
      <c r="AR307" s="19" t="n">
        <v>0</v>
      </c>
      <c r="AS307" s="19" t="n">
        <v>0</v>
      </c>
      <c r="AT307" s="10">
        <f>SUM(O307:AS307)</f>
        <v/>
      </c>
      <c r="AU307" s="20">
        <f>COUNTIF(O307:AS307, "&gt;0")</f>
        <v/>
      </c>
      <c r="AV307" s="12">
        <f>IF(AU307&gt;=5, 4, IF(AU307&gt;0, INT(AU307/6), 0))</f>
        <v/>
      </c>
      <c r="AW307" s="20" t="n">
        <v>0</v>
      </c>
      <c r="AX307" s="20" t="n">
        <v>0</v>
      </c>
      <c r="AY307" s="13">
        <f>MIN(31, AU307+AV307+AW307+AX307)</f>
        <v/>
      </c>
      <c r="AZ307" s="14">
        <f>31-AY307</f>
        <v/>
      </c>
      <c r="BA307" s="21">
        <f>IF(AX307&gt;0, "01-İstirahat", IF(AZ307&gt;0, "12-Birden Fazla", ""))</f>
        <v/>
      </c>
      <c r="BB307" s="10" t="n">
        <v>0</v>
      </c>
      <c r="BC307" s="19" t="n">
        <v>0</v>
      </c>
      <c r="BD307" s="9" t="n">
        <v>0</v>
      </c>
      <c r="BE307" s="22">
        <f>(L307/30)*AU307</f>
        <v/>
      </c>
      <c r="BF307" s="15">
        <f>(L307/225)*((BB307*1.5)-(BC307*1.0))</f>
        <v/>
      </c>
      <c r="BG307" s="16">
        <f>(L307/225)*1.5*BD307</f>
        <v/>
      </c>
      <c r="BH307" s="15">
        <f>BF307+BG307</f>
        <v/>
      </c>
      <c r="BI307" s="17">
        <f>BE307+BH307</f>
        <v/>
      </c>
      <c r="BJ307" s="22">
        <f>IFERROR(VLOOKUP(B307, Resmi_Bordro_SGK!B:M, 11, FALSE), 0)</f>
        <v/>
      </c>
      <c r="BK307" s="18">
        <f>IFERROR(VLOOKUP(B307, Icra_Takip!A:E, 4, FALSE), 0)</f>
        <v/>
      </c>
      <c r="BL307" s="17">
        <f>IF(BI307&gt;BJ307, BI307-BJ307-BK307, 0)</f>
        <v/>
      </c>
      <c r="BM307" s="17">
        <f>BI307-BK307</f>
        <v/>
      </c>
    </row>
    <row r="308" ht="19" customHeight="1">
      <c r="A308" s="4" t="n">
        <v>305</v>
      </c>
      <c r="B308" s="5" t="inlineStr">
        <is>
          <t>33037193346</t>
        </is>
      </c>
      <c r="C308" s="6" t="inlineStr">
        <is>
          <t>ÖMÜR SEPETÇİ</t>
        </is>
      </c>
      <c r="D308" s="4" t="inlineStr">
        <is>
          <t>E</t>
        </is>
      </c>
      <c r="E308" s="4" t="inlineStr"/>
      <c r="F308" s="4" t="inlineStr">
        <is>
          <t>17.08.2026</t>
        </is>
      </c>
      <c r="G308" s="4" t="inlineStr"/>
      <c r="H308" s="4" t="inlineStr">
        <is>
          <t>NORMAL</t>
        </is>
      </c>
      <c r="I308" s="4" t="inlineStr">
        <is>
          <t>MEVSİMLİK</t>
        </is>
      </c>
      <c r="J308" s="6" t="inlineStr">
        <is>
          <t>ÜRETİM</t>
        </is>
      </c>
      <c r="K308" s="6" t="inlineStr">
        <is>
          <t>GÜVEN</t>
        </is>
      </c>
      <c r="L308" s="7" t="n">
        <v>33000</v>
      </c>
      <c r="M308" s="4" t="inlineStr">
        <is>
          <t>FİDE KONSERVE</t>
        </is>
      </c>
      <c r="N308" s="4" t="inlineStr">
        <is>
          <t>ALIR</t>
        </is>
      </c>
      <c r="O308" s="8" t="n">
        <v>8</v>
      </c>
      <c r="P308" s="8" t="n">
        <v>0</v>
      </c>
      <c r="Q308" s="23" t="n">
        <v>7.5</v>
      </c>
      <c r="R308" s="9" t="n">
        <v>0</v>
      </c>
      <c r="S308" s="8" t="n">
        <v>7.5</v>
      </c>
      <c r="T308" s="23" t="n">
        <v>14</v>
      </c>
      <c r="U308" s="8" t="n">
        <v>7.5</v>
      </c>
      <c r="V308" s="8" t="n">
        <v>0</v>
      </c>
      <c r="W308" s="8" t="n">
        <v>8</v>
      </c>
      <c r="X308" s="8" t="n">
        <v>0</v>
      </c>
      <c r="Y308" s="9" t="n">
        <v>0</v>
      </c>
      <c r="Z308" s="8" t="n">
        <v>7.5</v>
      </c>
      <c r="AA308" s="8" t="n">
        <v>7.5</v>
      </c>
      <c r="AB308" s="8" t="n">
        <v>8</v>
      </c>
      <c r="AC308" s="8" t="n">
        <v>7.5</v>
      </c>
      <c r="AD308" s="8" t="n">
        <v>7.5</v>
      </c>
      <c r="AE308" s="8" t="n">
        <v>8.5</v>
      </c>
      <c r="AF308" s="9" t="n">
        <v>0</v>
      </c>
      <c r="AG308" s="8" t="n">
        <v>8</v>
      </c>
      <c r="AH308" s="8" t="n">
        <v>7.5</v>
      </c>
      <c r="AI308" s="8" t="n">
        <v>0</v>
      </c>
      <c r="AJ308" s="8" t="n">
        <v>0</v>
      </c>
      <c r="AK308" s="8" t="n">
        <v>0</v>
      </c>
      <c r="AL308" s="8" t="n">
        <v>0</v>
      </c>
      <c r="AM308" s="9" t="n">
        <v>0</v>
      </c>
      <c r="AN308" s="8" t="n">
        <v>0</v>
      </c>
      <c r="AO308" s="8" t="n">
        <v>0</v>
      </c>
      <c r="AP308" s="8" t="n">
        <v>0</v>
      </c>
      <c r="AQ308" s="8" t="n">
        <v>0</v>
      </c>
      <c r="AR308" s="8" t="n">
        <v>0</v>
      </c>
      <c r="AS308" s="8" t="n">
        <v>0</v>
      </c>
      <c r="AT308" s="10">
        <f>SUM(O308:AS308)</f>
        <v/>
      </c>
      <c r="AU308" s="11">
        <f>COUNTIF(O308:AS308, "&gt;0")</f>
        <v/>
      </c>
      <c r="AV308" s="12">
        <f>IF(AU308&gt;=5, 4, IF(AU308&gt;0, INT(AU308/6), 0))</f>
        <v/>
      </c>
      <c r="AW308" s="11" t="n">
        <v>0</v>
      </c>
      <c r="AX308" s="11" t="n">
        <v>0</v>
      </c>
      <c r="AY308" s="13">
        <f>MIN(31, AU308+AV308+AW308+AX308)</f>
        <v/>
      </c>
      <c r="AZ308" s="14">
        <f>31-AY308</f>
        <v/>
      </c>
      <c r="BA308" s="5">
        <f>IF(AX308&gt;0, "01-İstirahat", IF(AZ308&gt;0, "12-Birden Fazla", ""))</f>
        <v/>
      </c>
      <c r="BB308" s="10" t="n">
        <v>11.5</v>
      </c>
      <c r="BC308" s="8" t="n">
        <v>0</v>
      </c>
      <c r="BD308" s="9" t="n">
        <v>0</v>
      </c>
      <c r="BE308" s="7">
        <f>(L308/30)*AU308</f>
        <v/>
      </c>
      <c r="BF308" s="15">
        <f>(L308/225)*((BB308*1.5)-(BC308*1.0))</f>
        <v/>
      </c>
      <c r="BG308" s="16">
        <f>(L308/225)*1.5*BD308</f>
        <v/>
      </c>
      <c r="BH308" s="15">
        <f>BF308+BG308</f>
        <v/>
      </c>
      <c r="BI308" s="17">
        <f>BE308+BH308</f>
        <v/>
      </c>
      <c r="BJ308" s="7">
        <f>IFERROR(VLOOKUP(B308, Resmi_Bordro_SGK!B:M, 11, FALSE), 0)</f>
        <v/>
      </c>
      <c r="BK308" s="18">
        <f>IFERROR(VLOOKUP(B308, Icra_Takip!A:E, 4, FALSE), 0)</f>
        <v/>
      </c>
      <c r="BL308" s="17">
        <f>IF(BI308&gt;BJ308, BI308-BJ308-BK308, 0)</f>
        <v/>
      </c>
      <c r="BM308" s="17">
        <f>BI308-BK308</f>
        <v/>
      </c>
    </row>
    <row r="309" ht="19" customHeight="1">
      <c r="A309" s="4" t="n">
        <v>306</v>
      </c>
      <c r="B309" s="5" t="inlineStr">
        <is>
          <t>27235386938</t>
        </is>
      </c>
      <c r="C309" s="6" t="inlineStr">
        <is>
          <t>ÖMÜRLÜ FERİK</t>
        </is>
      </c>
      <c r="D309" s="4" t="inlineStr">
        <is>
          <t>E</t>
        </is>
      </c>
      <c r="E309" s="4" t="inlineStr"/>
      <c r="F309" s="4" t="inlineStr">
        <is>
          <t>25.09.2022</t>
        </is>
      </c>
      <c r="G309" s="4" t="inlineStr"/>
      <c r="H309" s="4" t="inlineStr">
        <is>
          <t>SGDP</t>
        </is>
      </c>
      <c r="I309" s="4" t="inlineStr">
        <is>
          <t>DAİMİ</t>
        </is>
      </c>
      <c r="J309" s="6" t="inlineStr">
        <is>
          <t>KAZAN</t>
        </is>
      </c>
      <c r="K309" s="6" t="inlineStr">
        <is>
          <t>MKP</t>
        </is>
      </c>
      <c r="L309" s="7" t="n">
        <v>30185</v>
      </c>
      <c r="M309" s="4" t="inlineStr">
        <is>
          <t>FİDE KONSERVE</t>
        </is>
      </c>
      <c r="N309" s="4" t="inlineStr">
        <is>
          <t>ALIR</t>
        </is>
      </c>
      <c r="O309" s="19" t="n">
        <v>8</v>
      </c>
      <c r="P309" s="23" t="n">
        <v>7.5</v>
      </c>
      <c r="Q309" s="19" t="n">
        <v>10.5</v>
      </c>
      <c r="R309" s="9" t="n">
        <v>10.5</v>
      </c>
      <c r="S309" s="19" t="n">
        <v>10.5</v>
      </c>
      <c r="T309" s="19" t="n">
        <v>8</v>
      </c>
      <c r="U309" s="19" t="n">
        <v>10.5</v>
      </c>
      <c r="V309" s="19" t="n">
        <v>8</v>
      </c>
      <c r="W309" s="19" t="n">
        <v>8</v>
      </c>
      <c r="X309" s="19" t="n">
        <v>10.5</v>
      </c>
      <c r="Y309" s="9" t="n">
        <v>9.5</v>
      </c>
      <c r="Z309" s="19" t="n">
        <v>7.5</v>
      </c>
      <c r="AA309" s="19" t="n">
        <v>7.5</v>
      </c>
      <c r="AB309" s="19" t="n">
        <v>10.5</v>
      </c>
      <c r="AC309" s="19" t="n">
        <v>10.5</v>
      </c>
      <c r="AD309" s="19" t="n">
        <v>8</v>
      </c>
      <c r="AE309" s="19" t="n">
        <v>10.5</v>
      </c>
      <c r="AF309" s="9" t="n">
        <v>0</v>
      </c>
      <c r="AG309" s="19" t="n">
        <v>8.5</v>
      </c>
      <c r="AH309" s="19" t="n">
        <v>10.5</v>
      </c>
      <c r="AI309" s="19" t="n">
        <v>7.5</v>
      </c>
      <c r="AJ309" s="19" t="n">
        <v>0</v>
      </c>
      <c r="AK309" s="19" t="n">
        <v>0</v>
      </c>
      <c r="AL309" s="19" t="n">
        <v>0</v>
      </c>
      <c r="AM309" s="9" t="n">
        <v>0</v>
      </c>
      <c r="AN309" s="19" t="n">
        <v>0</v>
      </c>
      <c r="AO309" s="19" t="n">
        <v>0</v>
      </c>
      <c r="AP309" s="19" t="n">
        <v>0</v>
      </c>
      <c r="AQ309" s="19" t="n">
        <v>0</v>
      </c>
      <c r="AR309" s="19" t="n">
        <v>0</v>
      </c>
      <c r="AS309" s="19" t="n">
        <v>0</v>
      </c>
      <c r="AT309" s="10">
        <f>SUM(O309:AS309)</f>
        <v/>
      </c>
      <c r="AU309" s="20">
        <f>COUNTIF(O309:AS309, "&gt;0")</f>
        <v/>
      </c>
      <c r="AV309" s="12">
        <f>IF(AU309&gt;=5, 4, IF(AU309&gt;0, INT(AU309/6), 0))</f>
        <v/>
      </c>
      <c r="AW309" s="20" t="n">
        <v>0</v>
      </c>
      <c r="AX309" s="20" t="n">
        <v>0</v>
      </c>
      <c r="AY309" s="13">
        <f>MIN(31, AU309+AV309+AW309+AX309)</f>
        <v/>
      </c>
      <c r="AZ309" s="14">
        <f>31-AY309</f>
        <v/>
      </c>
      <c r="BA309" s="21">
        <f>IF(AX309&gt;0, "01-İstirahat", IF(AZ309&gt;0, "12-Birden Fazla", ""))</f>
        <v/>
      </c>
      <c r="BB309" s="10" t="n">
        <v>27.5</v>
      </c>
      <c r="BC309" s="19" t="n">
        <v>0</v>
      </c>
      <c r="BD309" s="9" t="n">
        <v>20</v>
      </c>
      <c r="BE309" s="22">
        <f>(L309/30)*AU309</f>
        <v/>
      </c>
      <c r="BF309" s="15">
        <f>(L309/225)*((BB309*1.5)-(BC309*1.0))</f>
        <v/>
      </c>
      <c r="BG309" s="16">
        <f>(L309/225)*1.5*BD309</f>
        <v/>
      </c>
      <c r="BH309" s="15">
        <f>BF309+BG309</f>
        <v/>
      </c>
      <c r="BI309" s="17">
        <f>BE309+BH309</f>
        <v/>
      </c>
      <c r="BJ309" s="22">
        <f>IFERROR(VLOOKUP(B309, Resmi_Bordro_SGK!B:M, 11, FALSE), 0)</f>
        <v/>
      </c>
      <c r="BK309" s="18">
        <f>IFERROR(VLOOKUP(B309, Icra_Takip!A:E, 4, FALSE), 0)</f>
        <v/>
      </c>
      <c r="BL309" s="17">
        <f>IF(BI309&gt;BJ309, BI309-BJ309-BK309, 0)</f>
        <v/>
      </c>
      <c r="BM309" s="17">
        <f>BI309-BK309</f>
        <v/>
      </c>
    </row>
    <row r="310" ht="19" customHeight="1">
      <c r="A310" s="4" t="n">
        <v>307</v>
      </c>
      <c r="B310" s="5" t="inlineStr">
        <is>
          <t>16826938946</t>
        </is>
      </c>
      <c r="C310" s="6" t="inlineStr">
        <is>
          <t>ÖZNUR KÜLTER</t>
        </is>
      </c>
      <c r="D310" s="4" t="inlineStr">
        <is>
          <t>K</t>
        </is>
      </c>
      <c r="E310" s="4" t="inlineStr"/>
      <c r="F310" s="4" t="inlineStr">
        <is>
          <t>18.08.2026</t>
        </is>
      </c>
      <c r="G310" s="4" t="inlineStr"/>
      <c r="H310" s="4" t="inlineStr">
        <is>
          <t>NORMAL</t>
        </is>
      </c>
      <c r="I310" s="4" t="inlineStr">
        <is>
          <t>MEVSİMLİK</t>
        </is>
      </c>
      <c r="J310" s="6" t="inlineStr">
        <is>
          <t>BALIK TEMİZLEME</t>
        </is>
      </c>
      <c r="K310" s="6" t="inlineStr">
        <is>
          <t>GÜVEN TURİZM-MKP</t>
        </is>
      </c>
      <c r="L310" s="7" t="n">
        <v>33000</v>
      </c>
      <c r="M310" s="4" t="inlineStr">
        <is>
          <t>FİDE KONSERVE</t>
        </is>
      </c>
      <c r="N310" s="4" t="inlineStr">
        <is>
          <t>ALIR</t>
        </is>
      </c>
      <c r="O310" s="8" t="n">
        <v>0</v>
      </c>
      <c r="P310" s="8" t="n">
        <v>0</v>
      </c>
      <c r="Q310" s="8" t="n">
        <v>0</v>
      </c>
      <c r="R310" s="9" t="n">
        <v>0</v>
      </c>
      <c r="S310" s="8" t="n">
        <v>0</v>
      </c>
      <c r="T310" s="8" t="n">
        <v>0</v>
      </c>
      <c r="U310" s="8" t="n">
        <v>0</v>
      </c>
      <c r="V310" s="8" t="n">
        <v>0</v>
      </c>
      <c r="W310" s="8" t="n">
        <v>0</v>
      </c>
      <c r="X310" s="8" t="n">
        <v>0</v>
      </c>
      <c r="Y310" s="9" t="n">
        <v>0</v>
      </c>
      <c r="Z310" s="8" t="n">
        <v>0</v>
      </c>
      <c r="AA310" s="8" t="n">
        <v>0</v>
      </c>
      <c r="AB310" s="8" t="n">
        <v>0</v>
      </c>
      <c r="AC310" s="8" t="n">
        <v>0</v>
      </c>
      <c r="AD310" s="8" t="n">
        <v>0</v>
      </c>
      <c r="AE310" s="8" t="n">
        <v>0</v>
      </c>
      <c r="AF310" s="9" t="n">
        <v>0</v>
      </c>
      <c r="AG310" s="8" t="n">
        <v>0</v>
      </c>
      <c r="AH310" s="8" t="n">
        <v>0</v>
      </c>
      <c r="AI310" s="8" t="n">
        <v>0</v>
      </c>
      <c r="AJ310" s="8" t="n">
        <v>0</v>
      </c>
      <c r="AK310" s="8" t="n">
        <v>0</v>
      </c>
      <c r="AL310" s="8" t="n">
        <v>0</v>
      </c>
      <c r="AM310" s="9" t="n">
        <v>0</v>
      </c>
      <c r="AN310" s="8" t="n">
        <v>0</v>
      </c>
      <c r="AO310" s="8" t="n">
        <v>0</v>
      </c>
      <c r="AP310" s="8" t="n">
        <v>0</v>
      </c>
      <c r="AQ310" s="8" t="n">
        <v>0</v>
      </c>
      <c r="AR310" s="8" t="n">
        <v>0</v>
      </c>
      <c r="AS310" s="8" t="n">
        <v>0</v>
      </c>
      <c r="AT310" s="10">
        <f>SUM(O310:AS310)</f>
        <v/>
      </c>
      <c r="AU310" s="11">
        <f>COUNTIF(O310:AS310, "&gt;0")</f>
        <v/>
      </c>
      <c r="AV310" s="12">
        <f>IF(AU310&gt;=5, 4, IF(AU310&gt;0, INT(AU310/6), 0))</f>
        <v/>
      </c>
      <c r="AW310" s="11" t="n">
        <v>0</v>
      </c>
      <c r="AX310" s="11" t="n">
        <v>0</v>
      </c>
      <c r="AY310" s="13">
        <f>MIN(31, AU310+AV310+AW310+AX310)</f>
        <v/>
      </c>
      <c r="AZ310" s="14">
        <f>31-AY310</f>
        <v/>
      </c>
      <c r="BA310" s="5">
        <f>IF(AX310&gt;0, "01-İstirahat", IF(AZ310&gt;0, "12-Birden Fazla", ""))</f>
        <v/>
      </c>
      <c r="BB310" s="10" t="n">
        <v>0</v>
      </c>
      <c r="BC310" s="8" t="n">
        <v>0</v>
      </c>
      <c r="BD310" s="9" t="n">
        <v>0</v>
      </c>
      <c r="BE310" s="7">
        <f>(L310/30)*AU310</f>
        <v/>
      </c>
      <c r="BF310" s="15">
        <f>(L310/225)*((BB310*1.5)-(BC310*1.0))</f>
        <v/>
      </c>
      <c r="BG310" s="16">
        <f>(L310/225)*1.5*BD310</f>
        <v/>
      </c>
      <c r="BH310" s="15">
        <f>BF310+BG310</f>
        <v/>
      </c>
      <c r="BI310" s="17">
        <f>BE310+BH310</f>
        <v/>
      </c>
      <c r="BJ310" s="7">
        <f>IFERROR(VLOOKUP(B310, Resmi_Bordro_SGK!B:M, 11, FALSE), 0)</f>
        <v/>
      </c>
      <c r="BK310" s="18">
        <f>IFERROR(VLOOKUP(B310, Icra_Takip!A:E, 4, FALSE), 0)</f>
        <v/>
      </c>
      <c r="BL310" s="17">
        <f>IF(BI310&gt;BJ310, BI310-BJ310-BK310, 0)</f>
        <v/>
      </c>
      <c r="BM310" s="17">
        <f>BI310-BK310</f>
        <v/>
      </c>
    </row>
    <row r="311" ht="19" customHeight="1">
      <c r="A311" s="4" t="n">
        <v>308</v>
      </c>
      <c r="B311" s="5" t="inlineStr"/>
      <c r="C311" s="6" t="inlineStr">
        <is>
          <t>ÖZLEM BİLGİÇ</t>
        </is>
      </c>
      <c r="D311" s="4" t="inlineStr"/>
      <c r="E311" s="4" t="inlineStr"/>
      <c r="F311" s="4" t="inlineStr"/>
      <c r="G311" s="4" t="inlineStr"/>
      <c r="H311" s="4" t="inlineStr">
        <is>
          <t>NORMAL</t>
        </is>
      </c>
      <c r="I311" s="4" t="inlineStr">
        <is>
          <t>MEVSİMLİK</t>
        </is>
      </c>
      <c r="J311" s="6" t="inlineStr"/>
      <c r="K311" s="6" t="inlineStr"/>
      <c r="L311" s="7" t="n">
        <v>28075.5</v>
      </c>
      <c r="M311" s="4" t="inlineStr">
        <is>
          <t>FİDE KONSERVE</t>
        </is>
      </c>
      <c r="N311" s="4" t="inlineStr">
        <is>
          <t>ALIR</t>
        </is>
      </c>
      <c r="O311" s="19" t="n">
        <v>0</v>
      </c>
      <c r="P311" s="23" t="n">
        <v>7.5</v>
      </c>
      <c r="Q311" s="19" t="n">
        <v>8</v>
      </c>
      <c r="R311" s="9" t="n">
        <v>0</v>
      </c>
      <c r="S311" s="19" t="n">
        <v>7.5</v>
      </c>
      <c r="T311" s="19" t="n">
        <v>8</v>
      </c>
      <c r="U311" s="19" t="n">
        <v>8</v>
      </c>
      <c r="V311" s="19" t="n">
        <v>8</v>
      </c>
      <c r="W311" s="19" t="n">
        <v>8.5</v>
      </c>
      <c r="X311" s="19" t="n">
        <v>8.5</v>
      </c>
      <c r="Y311" s="9" t="n">
        <v>0</v>
      </c>
      <c r="Z311" s="19" t="n">
        <v>7.5</v>
      </c>
      <c r="AA311" s="19" t="n">
        <v>7.5</v>
      </c>
      <c r="AB311" s="19" t="n">
        <v>8.5</v>
      </c>
      <c r="AC311" s="19" t="n">
        <v>7.5</v>
      </c>
      <c r="AD311" s="19" t="n">
        <v>7.5</v>
      </c>
      <c r="AE311" s="19" t="n">
        <v>8.5</v>
      </c>
      <c r="AF311" s="9" t="n">
        <v>0</v>
      </c>
      <c r="AG311" s="19" t="n">
        <v>0</v>
      </c>
      <c r="AH311" s="19" t="n">
        <v>7.5</v>
      </c>
      <c r="AI311" s="19" t="n">
        <v>7.5</v>
      </c>
      <c r="AJ311" s="19" t="n">
        <v>0</v>
      </c>
      <c r="AK311" s="19" t="n">
        <v>0</v>
      </c>
      <c r="AL311" s="19" t="n">
        <v>0</v>
      </c>
      <c r="AM311" s="9" t="n">
        <v>0</v>
      </c>
      <c r="AN311" s="19" t="n">
        <v>0</v>
      </c>
      <c r="AO311" s="19" t="n">
        <v>0</v>
      </c>
      <c r="AP311" s="19" t="n">
        <v>0</v>
      </c>
      <c r="AQ311" s="19" t="n">
        <v>0</v>
      </c>
      <c r="AR311" s="19" t="n">
        <v>0</v>
      </c>
      <c r="AS311" s="19" t="n">
        <v>0</v>
      </c>
      <c r="AT311" s="10">
        <f>SUM(O311:AS311)</f>
        <v/>
      </c>
      <c r="AU311" s="20">
        <f>COUNTIF(O311:AS311, "&gt;0")</f>
        <v/>
      </c>
      <c r="AV311" s="12">
        <f>IF(AU311&gt;=5, 4, IF(AU311&gt;0, INT(AU311/6), 0))</f>
        <v/>
      </c>
      <c r="AW311" s="20" t="n">
        <v>0</v>
      </c>
      <c r="AX311" s="20" t="n">
        <v>0</v>
      </c>
      <c r="AY311" s="13">
        <f>MIN(31, AU311+AV311+AW311+AX311)</f>
        <v/>
      </c>
      <c r="AZ311" s="14">
        <f>31-AY311</f>
        <v/>
      </c>
      <c r="BA311" s="21">
        <f>IF(AX311&gt;0, "01-İstirahat", IF(AZ311&gt;0, "12-Birden Fazla", ""))</f>
        <v/>
      </c>
      <c r="BB311" s="10" t="n">
        <v>6</v>
      </c>
      <c r="BC311" s="19" t="n">
        <v>0</v>
      </c>
      <c r="BD311" s="9" t="n">
        <v>0</v>
      </c>
      <c r="BE311" s="22">
        <f>(L311/30)*AU311</f>
        <v/>
      </c>
      <c r="BF311" s="15">
        <f>(L311/225)*((BB311*1.5)-(BC311*1.0))</f>
        <v/>
      </c>
      <c r="BG311" s="16">
        <f>(L311/225)*1.5*BD311</f>
        <v/>
      </c>
      <c r="BH311" s="15">
        <f>BF311+BG311</f>
        <v/>
      </c>
      <c r="BI311" s="17">
        <f>BE311+BH311</f>
        <v/>
      </c>
      <c r="BJ311" s="22">
        <f>IFERROR(VLOOKUP(B311, Resmi_Bordro_SGK!B:M, 11, FALSE), 0)</f>
        <v/>
      </c>
      <c r="BK311" s="18">
        <f>IFERROR(VLOOKUP(B311, Icra_Takip!A:E, 4, FALSE), 0)</f>
        <v/>
      </c>
      <c r="BL311" s="17">
        <f>IF(BI311&gt;BJ311, BI311-BJ311-BK311, 0)</f>
        <v/>
      </c>
      <c r="BM311" s="17">
        <f>BI311-BK311</f>
        <v/>
      </c>
    </row>
    <row r="312" ht="19" customHeight="1">
      <c r="A312" s="4" t="n">
        <v>309</v>
      </c>
      <c r="B312" s="5" t="inlineStr">
        <is>
          <t>67618165842</t>
        </is>
      </c>
      <c r="C312" s="6" t="inlineStr">
        <is>
          <t>PINAR KÜÇÜK</t>
        </is>
      </c>
      <c r="D312" s="4" t="inlineStr">
        <is>
          <t>K</t>
        </is>
      </c>
      <c r="E312" s="4" t="inlineStr"/>
      <c r="F312" s="4" t="inlineStr">
        <is>
          <t>20.07.2026</t>
        </is>
      </c>
      <c r="G312" s="4" t="inlineStr">
        <is>
          <t>07.08.2026</t>
        </is>
      </c>
      <c r="H312" s="4" t="inlineStr">
        <is>
          <t>NORMAL</t>
        </is>
      </c>
      <c r="I312" s="4" t="inlineStr">
        <is>
          <t>MEVSİMLİK</t>
        </is>
      </c>
      <c r="J312" s="6" t="inlineStr">
        <is>
          <t>ÜRETİM</t>
        </is>
      </c>
      <c r="K312" s="6" t="inlineStr">
        <is>
          <t>KARACABEY-HALİL</t>
        </is>
      </c>
      <c r="L312" s="7" t="n">
        <v>28075.5</v>
      </c>
      <c r="M312" s="4" t="inlineStr">
        <is>
          <t>FİDE KONSERVE</t>
        </is>
      </c>
      <c r="N312" s="4" t="inlineStr">
        <is>
          <t>ALIR</t>
        </is>
      </c>
      <c r="O312" s="8" t="n">
        <v>0</v>
      </c>
      <c r="P312" s="8" t="n">
        <v>0</v>
      </c>
      <c r="Q312" s="8" t="n">
        <v>0</v>
      </c>
      <c r="R312" s="9" t="n">
        <v>0</v>
      </c>
      <c r="S312" s="8" t="n">
        <v>0</v>
      </c>
      <c r="T312" s="8" t="n">
        <v>0</v>
      </c>
      <c r="U312" s="8" t="n">
        <v>0</v>
      </c>
      <c r="V312" s="8" t="n">
        <v>0</v>
      </c>
      <c r="W312" s="8" t="n">
        <v>0</v>
      </c>
      <c r="X312" s="8" t="n">
        <v>0</v>
      </c>
      <c r="Y312" s="9" t="n">
        <v>0</v>
      </c>
      <c r="Z312" s="8" t="n">
        <v>0</v>
      </c>
      <c r="AA312" s="8" t="n">
        <v>0</v>
      </c>
      <c r="AB312" s="8" t="n">
        <v>0</v>
      </c>
      <c r="AC312" s="8" t="n">
        <v>0</v>
      </c>
      <c r="AD312" s="8" t="n">
        <v>0</v>
      </c>
      <c r="AE312" s="8" t="n">
        <v>0</v>
      </c>
      <c r="AF312" s="9" t="n">
        <v>0</v>
      </c>
      <c r="AG312" s="8" t="n">
        <v>0</v>
      </c>
      <c r="AH312" s="8" t="n">
        <v>0</v>
      </c>
      <c r="AI312" s="8" t="n">
        <v>0</v>
      </c>
      <c r="AJ312" s="8" t="n">
        <v>0</v>
      </c>
      <c r="AK312" s="8" t="n">
        <v>0</v>
      </c>
      <c r="AL312" s="8" t="n">
        <v>0</v>
      </c>
      <c r="AM312" s="9" t="n">
        <v>0</v>
      </c>
      <c r="AN312" s="8" t="n">
        <v>0</v>
      </c>
      <c r="AO312" s="8" t="n">
        <v>0</v>
      </c>
      <c r="AP312" s="8" t="n">
        <v>0</v>
      </c>
      <c r="AQ312" s="8" t="n">
        <v>0</v>
      </c>
      <c r="AR312" s="8" t="n">
        <v>0</v>
      </c>
      <c r="AS312" s="8" t="n">
        <v>0</v>
      </c>
      <c r="AT312" s="10">
        <f>SUM(O312:AS312)</f>
        <v/>
      </c>
      <c r="AU312" s="11">
        <f>COUNTIF(O312:AS312, "&gt;0")</f>
        <v/>
      </c>
      <c r="AV312" s="12">
        <f>IF(AU312&gt;=5, 4, IF(AU312&gt;0, INT(AU312/6), 0))</f>
        <v/>
      </c>
      <c r="AW312" s="11" t="n">
        <v>0</v>
      </c>
      <c r="AX312" s="11" t="n">
        <v>0</v>
      </c>
      <c r="AY312" s="13">
        <f>MIN(31, AU312+AV312+AW312+AX312)</f>
        <v/>
      </c>
      <c r="AZ312" s="14">
        <f>31-AY312</f>
        <v/>
      </c>
      <c r="BA312" s="5">
        <f>IF(AX312&gt;0, "01-İstirahat", IF(AZ312&gt;0, "12-Birden Fazla", ""))</f>
        <v/>
      </c>
      <c r="BB312" s="10" t="n">
        <v>0</v>
      </c>
      <c r="BC312" s="8" t="n">
        <v>0</v>
      </c>
      <c r="BD312" s="9" t="n">
        <v>0</v>
      </c>
      <c r="BE312" s="7">
        <f>(L312/30)*AU312</f>
        <v/>
      </c>
      <c r="BF312" s="15">
        <f>(L312/225)*((BB312*1.5)-(BC312*1.0))</f>
        <v/>
      </c>
      <c r="BG312" s="16">
        <f>(L312/225)*1.5*BD312</f>
        <v/>
      </c>
      <c r="BH312" s="15">
        <f>BF312+BG312</f>
        <v/>
      </c>
      <c r="BI312" s="17">
        <f>BE312+BH312</f>
        <v/>
      </c>
      <c r="BJ312" s="7">
        <f>IFERROR(VLOOKUP(B312, Resmi_Bordro_SGK!B:M, 11, FALSE), 0)</f>
        <v/>
      </c>
      <c r="BK312" s="18">
        <f>IFERROR(VLOOKUP(B312, Icra_Takip!A:E, 4, FALSE), 0)</f>
        <v/>
      </c>
      <c r="BL312" s="17">
        <f>IF(BI312&gt;BJ312, BI312-BJ312-BK312, 0)</f>
        <v/>
      </c>
      <c r="BM312" s="17">
        <f>BI312-BK312</f>
        <v/>
      </c>
    </row>
    <row r="313" ht="19" customHeight="1">
      <c r="A313" s="4" t="n">
        <v>310</v>
      </c>
      <c r="B313" s="5" t="inlineStr"/>
      <c r="C313" s="6" t="inlineStr">
        <is>
          <t>PELİNSU PEÇENEK</t>
        </is>
      </c>
      <c r="D313" s="4" t="inlineStr"/>
      <c r="E313" s="4" t="inlineStr"/>
      <c r="F313" s="4" t="inlineStr"/>
      <c r="G313" s="4" t="inlineStr"/>
      <c r="H313" s="4" t="inlineStr">
        <is>
          <t>NORMAL</t>
        </is>
      </c>
      <c r="I313" s="4" t="inlineStr">
        <is>
          <t>MEVSİMLİK</t>
        </is>
      </c>
      <c r="J313" s="6" t="inlineStr"/>
      <c r="K313" s="6" t="inlineStr"/>
      <c r="L313" s="7" t="n">
        <v>28075.5</v>
      </c>
      <c r="M313" s="4" t="inlineStr">
        <is>
          <t>FİDE KONSERVE</t>
        </is>
      </c>
      <c r="N313" s="4" t="inlineStr">
        <is>
          <t>ALIR</t>
        </is>
      </c>
      <c r="O313" s="19" t="n">
        <v>0</v>
      </c>
      <c r="P313" s="19" t="n">
        <v>0</v>
      </c>
      <c r="Q313" s="19" t="n">
        <v>0</v>
      </c>
      <c r="R313" s="9" t="n">
        <v>0</v>
      </c>
      <c r="S313" s="19" t="n">
        <v>0</v>
      </c>
      <c r="T313" s="19" t="n">
        <v>0</v>
      </c>
      <c r="U313" s="19" t="n">
        <v>0</v>
      </c>
      <c r="V313" s="19" t="n">
        <v>0</v>
      </c>
      <c r="W313" s="19" t="n">
        <v>0</v>
      </c>
      <c r="X313" s="19" t="n">
        <v>0</v>
      </c>
      <c r="Y313" s="9" t="n">
        <v>0</v>
      </c>
      <c r="Z313" s="19" t="n">
        <v>0</v>
      </c>
      <c r="AA313" s="19" t="n">
        <v>0</v>
      </c>
      <c r="AB313" s="19" t="n">
        <v>0</v>
      </c>
      <c r="AC313" s="19" t="n">
        <v>0</v>
      </c>
      <c r="AD313" s="19" t="n">
        <v>0</v>
      </c>
      <c r="AE313" s="19" t="n">
        <v>0</v>
      </c>
      <c r="AF313" s="9" t="n">
        <v>0</v>
      </c>
      <c r="AG313" s="19" t="n">
        <v>0</v>
      </c>
      <c r="AH313" s="19" t="n">
        <v>0</v>
      </c>
      <c r="AI313" s="19" t="n">
        <v>0</v>
      </c>
      <c r="AJ313" s="19" t="n">
        <v>0</v>
      </c>
      <c r="AK313" s="19" t="n">
        <v>0</v>
      </c>
      <c r="AL313" s="19" t="n">
        <v>0</v>
      </c>
      <c r="AM313" s="9" t="n">
        <v>0</v>
      </c>
      <c r="AN313" s="19" t="n">
        <v>0</v>
      </c>
      <c r="AO313" s="19" t="n">
        <v>0</v>
      </c>
      <c r="AP313" s="19" t="n">
        <v>0</v>
      </c>
      <c r="AQ313" s="19" t="n">
        <v>0</v>
      </c>
      <c r="AR313" s="19" t="n">
        <v>0</v>
      </c>
      <c r="AS313" s="19" t="n">
        <v>0</v>
      </c>
      <c r="AT313" s="10">
        <f>SUM(O313:AS313)</f>
        <v/>
      </c>
      <c r="AU313" s="20">
        <f>COUNTIF(O313:AS313, "&gt;0")</f>
        <v/>
      </c>
      <c r="AV313" s="12">
        <f>IF(AU313&gt;=5, 4, IF(AU313&gt;0, INT(AU313/6), 0))</f>
        <v/>
      </c>
      <c r="AW313" s="20" t="n">
        <v>0</v>
      </c>
      <c r="AX313" s="20" t="n">
        <v>0</v>
      </c>
      <c r="AY313" s="13">
        <f>MIN(31, AU313+AV313+AW313+AX313)</f>
        <v/>
      </c>
      <c r="AZ313" s="14">
        <f>31-AY313</f>
        <v/>
      </c>
      <c r="BA313" s="21">
        <f>IF(AX313&gt;0, "01-İstirahat", IF(AZ313&gt;0, "12-Birden Fazla", ""))</f>
        <v/>
      </c>
      <c r="BB313" s="10" t="n">
        <v>0</v>
      </c>
      <c r="BC313" s="19" t="n">
        <v>0</v>
      </c>
      <c r="BD313" s="9" t="n">
        <v>0</v>
      </c>
      <c r="BE313" s="22">
        <f>(L313/30)*AU313</f>
        <v/>
      </c>
      <c r="BF313" s="15">
        <f>(L313/225)*((BB313*1.5)-(BC313*1.0))</f>
        <v/>
      </c>
      <c r="BG313" s="16">
        <f>(L313/225)*1.5*BD313</f>
        <v/>
      </c>
      <c r="BH313" s="15">
        <f>BF313+BG313</f>
        <v/>
      </c>
      <c r="BI313" s="17">
        <f>BE313+BH313</f>
        <v/>
      </c>
      <c r="BJ313" s="22">
        <f>IFERROR(VLOOKUP(B313, Resmi_Bordro_SGK!B:M, 11, FALSE), 0)</f>
        <v/>
      </c>
      <c r="BK313" s="18">
        <f>IFERROR(VLOOKUP(B313, Icra_Takip!A:E, 4, FALSE), 0)</f>
        <v/>
      </c>
      <c r="BL313" s="17">
        <f>IF(BI313&gt;BJ313, BI313-BJ313-BK313, 0)</f>
        <v/>
      </c>
      <c r="BM313" s="17">
        <f>BI313-BK313</f>
        <v/>
      </c>
    </row>
    <row r="314" ht="19" customHeight="1">
      <c r="A314" s="4" t="n">
        <v>311</v>
      </c>
      <c r="B314" s="5" t="inlineStr"/>
      <c r="C314" s="6" t="inlineStr">
        <is>
          <t>PERİHAN KOZAK</t>
        </is>
      </c>
      <c r="D314" s="4" t="inlineStr"/>
      <c r="E314" s="4" t="inlineStr"/>
      <c r="F314" s="4" t="inlineStr"/>
      <c r="G314" s="4" t="inlineStr"/>
      <c r="H314" s="4" t="inlineStr">
        <is>
          <t>NORMAL</t>
        </is>
      </c>
      <c r="I314" s="4" t="inlineStr">
        <is>
          <t>MEVSİMLİK</t>
        </is>
      </c>
      <c r="J314" s="6" t="inlineStr"/>
      <c r="K314" s="6" t="inlineStr"/>
      <c r="L314" s="7" t="n">
        <v>28075.5</v>
      </c>
      <c r="M314" s="4" t="inlineStr">
        <is>
          <t>FİDE KONSERVE</t>
        </is>
      </c>
      <c r="N314" s="4" t="inlineStr">
        <is>
          <t>ALIR</t>
        </is>
      </c>
      <c r="O314" s="8" t="n">
        <v>0</v>
      </c>
      <c r="P314" s="8" t="n">
        <v>0</v>
      </c>
      <c r="Q314" s="8" t="n">
        <v>0</v>
      </c>
      <c r="R314" s="9" t="n">
        <v>0</v>
      </c>
      <c r="S314" s="8" t="n">
        <v>0</v>
      </c>
      <c r="T314" s="8" t="n">
        <v>0</v>
      </c>
      <c r="U314" s="8" t="n">
        <v>0</v>
      </c>
      <c r="V314" s="8" t="n">
        <v>0</v>
      </c>
      <c r="W314" s="8" t="n">
        <v>0</v>
      </c>
      <c r="X314" s="8" t="n">
        <v>0</v>
      </c>
      <c r="Y314" s="9" t="n">
        <v>0</v>
      </c>
      <c r="Z314" s="8" t="n">
        <v>0</v>
      </c>
      <c r="AA314" s="8" t="n">
        <v>0</v>
      </c>
      <c r="AB314" s="8" t="n">
        <v>0</v>
      </c>
      <c r="AC314" s="8" t="n">
        <v>0</v>
      </c>
      <c r="AD314" s="8" t="n">
        <v>0</v>
      </c>
      <c r="AE314" s="8" t="n">
        <v>0</v>
      </c>
      <c r="AF314" s="9" t="n">
        <v>0</v>
      </c>
      <c r="AG314" s="8" t="n">
        <v>0</v>
      </c>
      <c r="AH314" s="8" t="n">
        <v>0</v>
      </c>
      <c r="AI314" s="8" t="n">
        <v>0</v>
      </c>
      <c r="AJ314" s="8" t="n">
        <v>0</v>
      </c>
      <c r="AK314" s="8" t="n">
        <v>0</v>
      </c>
      <c r="AL314" s="8" t="n">
        <v>0</v>
      </c>
      <c r="AM314" s="9" t="n">
        <v>0</v>
      </c>
      <c r="AN314" s="8" t="n">
        <v>0</v>
      </c>
      <c r="AO314" s="8" t="n">
        <v>0</v>
      </c>
      <c r="AP314" s="8" t="n">
        <v>0</v>
      </c>
      <c r="AQ314" s="8" t="n">
        <v>0</v>
      </c>
      <c r="AR314" s="8" t="n">
        <v>0</v>
      </c>
      <c r="AS314" s="8" t="n">
        <v>0</v>
      </c>
      <c r="AT314" s="10">
        <f>SUM(O314:AS314)</f>
        <v/>
      </c>
      <c r="AU314" s="11">
        <f>COUNTIF(O314:AS314, "&gt;0")</f>
        <v/>
      </c>
      <c r="AV314" s="12">
        <f>IF(AU314&gt;=5, 4, IF(AU314&gt;0, INT(AU314/6), 0))</f>
        <v/>
      </c>
      <c r="AW314" s="11" t="n">
        <v>0</v>
      </c>
      <c r="AX314" s="11" t="n">
        <v>0</v>
      </c>
      <c r="AY314" s="13">
        <f>MIN(31, AU314+AV314+AW314+AX314)</f>
        <v/>
      </c>
      <c r="AZ314" s="14">
        <f>31-AY314</f>
        <v/>
      </c>
      <c r="BA314" s="5">
        <f>IF(AX314&gt;0, "01-İstirahat", IF(AZ314&gt;0, "12-Birden Fazla", ""))</f>
        <v/>
      </c>
      <c r="BB314" s="10" t="n">
        <v>0</v>
      </c>
      <c r="BC314" s="8" t="n">
        <v>0</v>
      </c>
      <c r="BD314" s="9" t="n">
        <v>0</v>
      </c>
      <c r="BE314" s="7">
        <f>(L314/30)*AU314</f>
        <v/>
      </c>
      <c r="BF314" s="15">
        <f>(L314/225)*((BB314*1.5)-(BC314*1.0))</f>
        <v/>
      </c>
      <c r="BG314" s="16">
        <f>(L314/225)*1.5*BD314</f>
        <v/>
      </c>
      <c r="BH314" s="15">
        <f>BF314+BG314</f>
        <v/>
      </c>
      <c r="BI314" s="17">
        <f>BE314+BH314</f>
        <v/>
      </c>
      <c r="BJ314" s="7">
        <f>IFERROR(VLOOKUP(B314, Resmi_Bordro_SGK!B:M, 11, FALSE), 0)</f>
        <v/>
      </c>
      <c r="BK314" s="18">
        <f>IFERROR(VLOOKUP(B314, Icra_Takip!A:E, 4, FALSE), 0)</f>
        <v/>
      </c>
      <c r="BL314" s="17">
        <f>IF(BI314&gt;BJ314, BI314-BJ314-BK314, 0)</f>
        <v/>
      </c>
      <c r="BM314" s="17">
        <f>BI314-BK314</f>
        <v/>
      </c>
    </row>
    <row r="315" ht="19" customHeight="1">
      <c r="A315" s="4" t="n">
        <v>312</v>
      </c>
      <c r="B315" s="5" t="inlineStr"/>
      <c r="C315" s="6" t="inlineStr">
        <is>
          <t>PERİHAN YAZAN</t>
        </is>
      </c>
      <c r="D315" s="4" t="inlineStr"/>
      <c r="E315" s="4" t="inlineStr"/>
      <c r="F315" s="4" t="inlineStr"/>
      <c r="G315" s="4" t="inlineStr"/>
      <c r="H315" s="4" t="inlineStr">
        <is>
          <t>NORMAL</t>
        </is>
      </c>
      <c r="I315" s="4" t="inlineStr">
        <is>
          <t>MEVSİMLİK</t>
        </is>
      </c>
      <c r="J315" s="6" t="inlineStr"/>
      <c r="K315" s="6" t="inlineStr"/>
      <c r="L315" s="7" t="n">
        <v>28075.5</v>
      </c>
      <c r="M315" s="4" t="inlineStr">
        <is>
          <t>FİDE KONSERVE</t>
        </is>
      </c>
      <c r="N315" s="4" t="inlineStr">
        <is>
          <t>ALIR</t>
        </is>
      </c>
      <c r="O315" s="19" t="n">
        <v>0</v>
      </c>
      <c r="P315" s="19" t="n">
        <v>0</v>
      </c>
      <c r="Q315" s="19" t="n">
        <v>0</v>
      </c>
      <c r="R315" s="9" t="n">
        <v>0</v>
      </c>
      <c r="S315" s="19" t="n">
        <v>0</v>
      </c>
      <c r="T315" s="19" t="n">
        <v>0</v>
      </c>
      <c r="U315" s="19" t="n">
        <v>0</v>
      </c>
      <c r="V315" s="19" t="n">
        <v>0</v>
      </c>
      <c r="W315" s="19" t="n">
        <v>0</v>
      </c>
      <c r="X315" s="19" t="n">
        <v>0</v>
      </c>
      <c r="Y315" s="9" t="n">
        <v>0</v>
      </c>
      <c r="Z315" s="19" t="n">
        <v>0</v>
      </c>
      <c r="AA315" s="19" t="n">
        <v>0</v>
      </c>
      <c r="AB315" s="19" t="n">
        <v>0</v>
      </c>
      <c r="AC315" s="19" t="n">
        <v>0</v>
      </c>
      <c r="AD315" s="19" t="n">
        <v>0</v>
      </c>
      <c r="AE315" s="19" t="n">
        <v>0</v>
      </c>
      <c r="AF315" s="9" t="n">
        <v>0</v>
      </c>
      <c r="AG315" s="19" t="n">
        <v>0</v>
      </c>
      <c r="AH315" s="19" t="n">
        <v>0</v>
      </c>
      <c r="AI315" s="19" t="n">
        <v>0</v>
      </c>
      <c r="AJ315" s="19" t="n">
        <v>0</v>
      </c>
      <c r="AK315" s="19" t="n">
        <v>0</v>
      </c>
      <c r="AL315" s="19" t="n">
        <v>0</v>
      </c>
      <c r="AM315" s="9" t="n">
        <v>0</v>
      </c>
      <c r="AN315" s="19" t="n">
        <v>0</v>
      </c>
      <c r="AO315" s="19" t="n">
        <v>0</v>
      </c>
      <c r="AP315" s="19" t="n">
        <v>0</v>
      </c>
      <c r="AQ315" s="19" t="n">
        <v>0</v>
      </c>
      <c r="AR315" s="19" t="n">
        <v>0</v>
      </c>
      <c r="AS315" s="19" t="n">
        <v>0</v>
      </c>
      <c r="AT315" s="10">
        <f>SUM(O315:AS315)</f>
        <v/>
      </c>
      <c r="AU315" s="20">
        <f>COUNTIF(O315:AS315, "&gt;0")</f>
        <v/>
      </c>
      <c r="AV315" s="12">
        <f>IF(AU315&gt;=5, 4, IF(AU315&gt;0, INT(AU315/6), 0))</f>
        <v/>
      </c>
      <c r="AW315" s="20" t="n">
        <v>0</v>
      </c>
      <c r="AX315" s="20" t="n">
        <v>0</v>
      </c>
      <c r="AY315" s="13">
        <f>MIN(31, AU315+AV315+AW315+AX315)</f>
        <v/>
      </c>
      <c r="AZ315" s="14">
        <f>31-AY315</f>
        <v/>
      </c>
      <c r="BA315" s="21">
        <f>IF(AX315&gt;0, "01-İstirahat", IF(AZ315&gt;0, "12-Birden Fazla", ""))</f>
        <v/>
      </c>
      <c r="BB315" s="10" t="n">
        <v>0</v>
      </c>
      <c r="BC315" s="19" t="n">
        <v>0</v>
      </c>
      <c r="BD315" s="9" t="n">
        <v>0</v>
      </c>
      <c r="BE315" s="22">
        <f>(L315/30)*AU315</f>
        <v/>
      </c>
      <c r="BF315" s="15">
        <f>(L315/225)*((BB315*1.5)-(BC315*1.0))</f>
        <v/>
      </c>
      <c r="BG315" s="16">
        <f>(L315/225)*1.5*BD315</f>
        <v/>
      </c>
      <c r="BH315" s="15">
        <f>BF315+BG315</f>
        <v/>
      </c>
      <c r="BI315" s="17">
        <f>BE315+BH315</f>
        <v/>
      </c>
      <c r="BJ315" s="22">
        <f>IFERROR(VLOOKUP(B315, Resmi_Bordro_SGK!B:M, 11, FALSE), 0)</f>
        <v/>
      </c>
      <c r="BK315" s="18">
        <f>IFERROR(VLOOKUP(B315, Icra_Takip!A:E, 4, FALSE), 0)</f>
        <v/>
      </c>
      <c r="BL315" s="17">
        <f>IF(BI315&gt;BJ315, BI315-BJ315-BK315, 0)</f>
        <v/>
      </c>
      <c r="BM315" s="17">
        <f>BI315-BK315</f>
        <v/>
      </c>
    </row>
    <row r="316" ht="19" customHeight="1">
      <c r="A316" s="4" t="n">
        <v>313</v>
      </c>
      <c r="B316" s="5" t="inlineStr"/>
      <c r="C316" s="6" t="inlineStr">
        <is>
          <t>PINAR UZER</t>
        </is>
      </c>
      <c r="D316" s="4" t="inlineStr"/>
      <c r="E316" s="4" t="inlineStr"/>
      <c r="F316" s="4" t="inlineStr"/>
      <c r="G316" s="4" t="inlineStr"/>
      <c r="H316" s="4" t="inlineStr">
        <is>
          <t>NORMAL</t>
        </is>
      </c>
      <c r="I316" s="4" t="inlineStr">
        <is>
          <t>MEVSİMLİK</t>
        </is>
      </c>
      <c r="J316" s="6" t="inlineStr"/>
      <c r="K316" s="6" t="inlineStr"/>
      <c r="L316" s="7" t="n">
        <v>28075.5</v>
      </c>
      <c r="M316" s="4" t="inlineStr">
        <is>
          <t>FİDE KONSERVE</t>
        </is>
      </c>
      <c r="N316" s="4" t="inlineStr">
        <is>
          <t>ALIR</t>
        </is>
      </c>
      <c r="O316" s="8" t="n">
        <v>0</v>
      </c>
      <c r="P316" s="8" t="n">
        <v>0</v>
      </c>
      <c r="Q316" s="8" t="n">
        <v>0</v>
      </c>
      <c r="R316" s="9" t="n">
        <v>0</v>
      </c>
      <c r="S316" s="8" t="n">
        <v>0</v>
      </c>
      <c r="T316" s="8" t="n">
        <v>0</v>
      </c>
      <c r="U316" s="8" t="n">
        <v>0</v>
      </c>
      <c r="V316" s="8" t="n">
        <v>0</v>
      </c>
      <c r="W316" s="8" t="n">
        <v>0</v>
      </c>
      <c r="X316" s="8" t="n">
        <v>0</v>
      </c>
      <c r="Y316" s="9" t="n">
        <v>0</v>
      </c>
      <c r="Z316" s="8" t="n">
        <v>0</v>
      </c>
      <c r="AA316" s="8" t="n">
        <v>0</v>
      </c>
      <c r="AB316" s="8" t="n">
        <v>0</v>
      </c>
      <c r="AC316" s="8" t="n">
        <v>0</v>
      </c>
      <c r="AD316" s="8" t="n">
        <v>0</v>
      </c>
      <c r="AE316" s="8" t="n">
        <v>0</v>
      </c>
      <c r="AF316" s="9" t="n">
        <v>0</v>
      </c>
      <c r="AG316" s="8" t="n">
        <v>0</v>
      </c>
      <c r="AH316" s="8" t="n">
        <v>0</v>
      </c>
      <c r="AI316" s="8" t="n">
        <v>0</v>
      </c>
      <c r="AJ316" s="8" t="n">
        <v>0</v>
      </c>
      <c r="AK316" s="8" t="n">
        <v>0</v>
      </c>
      <c r="AL316" s="8" t="n">
        <v>0</v>
      </c>
      <c r="AM316" s="9" t="n">
        <v>0</v>
      </c>
      <c r="AN316" s="8" t="n">
        <v>0</v>
      </c>
      <c r="AO316" s="8" t="n">
        <v>0</v>
      </c>
      <c r="AP316" s="8" t="n">
        <v>0</v>
      </c>
      <c r="AQ316" s="8" t="n">
        <v>0</v>
      </c>
      <c r="AR316" s="8" t="n">
        <v>0</v>
      </c>
      <c r="AS316" s="8" t="n">
        <v>0</v>
      </c>
      <c r="AT316" s="10">
        <f>SUM(O316:AS316)</f>
        <v/>
      </c>
      <c r="AU316" s="11">
        <f>COUNTIF(O316:AS316, "&gt;0")</f>
        <v/>
      </c>
      <c r="AV316" s="12">
        <f>IF(AU316&gt;=5, 4, IF(AU316&gt;0, INT(AU316/6), 0))</f>
        <v/>
      </c>
      <c r="AW316" s="11" t="n">
        <v>0</v>
      </c>
      <c r="AX316" s="11" t="n">
        <v>0</v>
      </c>
      <c r="AY316" s="13">
        <f>MIN(31, AU316+AV316+AW316+AX316)</f>
        <v/>
      </c>
      <c r="AZ316" s="14">
        <f>31-AY316</f>
        <v/>
      </c>
      <c r="BA316" s="5">
        <f>IF(AX316&gt;0, "01-İstirahat", IF(AZ316&gt;0, "12-Birden Fazla", ""))</f>
        <v/>
      </c>
      <c r="BB316" s="10" t="n">
        <v>0</v>
      </c>
      <c r="BC316" s="8" t="n">
        <v>0</v>
      </c>
      <c r="BD316" s="9" t="n">
        <v>0</v>
      </c>
      <c r="BE316" s="7">
        <f>(L316/30)*AU316</f>
        <v/>
      </c>
      <c r="BF316" s="15">
        <f>(L316/225)*((BB316*1.5)-(BC316*1.0))</f>
        <v/>
      </c>
      <c r="BG316" s="16">
        <f>(L316/225)*1.5*BD316</f>
        <v/>
      </c>
      <c r="BH316" s="15">
        <f>BF316+BG316</f>
        <v/>
      </c>
      <c r="BI316" s="17">
        <f>BE316+BH316</f>
        <v/>
      </c>
      <c r="BJ316" s="7">
        <f>IFERROR(VLOOKUP(B316, Resmi_Bordro_SGK!B:M, 11, FALSE), 0)</f>
        <v/>
      </c>
      <c r="BK316" s="18">
        <f>IFERROR(VLOOKUP(B316, Icra_Takip!A:E, 4, FALSE), 0)</f>
        <v/>
      </c>
      <c r="BL316" s="17">
        <f>IF(BI316&gt;BJ316, BI316-BJ316-BK316, 0)</f>
        <v/>
      </c>
      <c r="BM316" s="17">
        <f>BI316-BK316</f>
        <v/>
      </c>
    </row>
    <row r="317" ht="19" customHeight="1">
      <c r="A317" s="4" t="n">
        <v>314</v>
      </c>
      <c r="B317" s="5" t="inlineStr">
        <is>
          <t>29677146866</t>
        </is>
      </c>
      <c r="C317" s="6" t="inlineStr">
        <is>
          <t>RABİYE ÇENECİOĞLU</t>
        </is>
      </c>
      <c r="D317" s="4" t="inlineStr">
        <is>
          <t>K</t>
        </is>
      </c>
      <c r="E317" s="4" t="inlineStr"/>
      <c r="F317" s="4" t="inlineStr">
        <is>
          <t>10.02.2026</t>
        </is>
      </c>
      <c r="G317" s="4" t="inlineStr"/>
      <c r="H317" s="4" t="inlineStr">
        <is>
          <t>NORMAL</t>
        </is>
      </c>
      <c r="I317" s="4" t="inlineStr">
        <is>
          <t>MEVSİMLİK</t>
        </is>
      </c>
      <c r="J317" s="6" t="inlineStr">
        <is>
          <t>BALIK TEMİZLEME</t>
        </is>
      </c>
      <c r="K317" s="6" t="inlineStr">
        <is>
          <t>BALIKESİR</t>
        </is>
      </c>
      <c r="L317" s="7" t="n">
        <v>33000</v>
      </c>
      <c r="M317" s="4" t="inlineStr">
        <is>
          <t>FİDE KONSERVE</t>
        </is>
      </c>
      <c r="N317" s="4" t="inlineStr">
        <is>
          <t>ALIR</t>
        </is>
      </c>
      <c r="O317" s="19" t="n">
        <v>8</v>
      </c>
      <c r="P317" s="19" t="n">
        <v>8</v>
      </c>
      <c r="Q317" s="19" t="n">
        <v>8</v>
      </c>
      <c r="R317" s="9" t="n">
        <v>0</v>
      </c>
      <c r="S317" s="19" t="n">
        <v>7.5</v>
      </c>
      <c r="T317" s="19" t="n">
        <v>8</v>
      </c>
      <c r="U317" s="19" t="n">
        <v>7.5</v>
      </c>
      <c r="V317" s="19" t="n">
        <v>8</v>
      </c>
      <c r="W317" s="19" t="n">
        <v>8</v>
      </c>
      <c r="X317" s="19" t="n">
        <v>8.5</v>
      </c>
      <c r="Y317" s="9" t="n">
        <v>0</v>
      </c>
      <c r="Z317" s="19" t="n">
        <v>7.5</v>
      </c>
      <c r="AA317" s="19" t="n">
        <v>7.5</v>
      </c>
      <c r="AB317" s="19" t="n">
        <v>8.5</v>
      </c>
      <c r="AC317" s="19" t="n">
        <v>7.5</v>
      </c>
      <c r="AD317" s="19" t="n">
        <v>7.5</v>
      </c>
      <c r="AE317" s="19" t="n">
        <v>8.5</v>
      </c>
      <c r="AF317" s="9" t="n">
        <v>0</v>
      </c>
      <c r="AG317" s="19" t="n">
        <v>8</v>
      </c>
      <c r="AH317" s="19" t="n">
        <v>0</v>
      </c>
      <c r="AI317" s="19" t="n">
        <v>7.5</v>
      </c>
      <c r="AJ317" s="19" t="n">
        <v>0</v>
      </c>
      <c r="AK317" s="19" t="n">
        <v>0</v>
      </c>
      <c r="AL317" s="19" t="n">
        <v>0</v>
      </c>
      <c r="AM317" s="9" t="n">
        <v>0</v>
      </c>
      <c r="AN317" s="19" t="n">
        <v>0</v>
      </c>
      <c r="AO317" s="19" t="n">
        <v>0</v>
      </c>
      <c r="AP317" s="19" t="n">
        <v>0</v>
      </c>
      <c r="AQ317" s="19" t="n">
        <v>0</v>
      </c>
      <c r="AR317" s="19" t="n">
        <v>0</v>
      </c>
      <c r="AS317" s="19" t="n">
        <v>0</v>
      </c>
      <c r="AT317" s="10">
        <f>SUM(O317:AS317)</f>
        <v/>
      </c>
      <c r="AU317" s="20">
        <f>COUNTIF(O317:AS317, "&gt;0")</f>
        <v/>
      </c>
      <c r="AV317" s="12">
        <f>IF(AU317&gt;=5, 4, IF(AU317&gt;0, INT(AU317/6), 0))</f>
        <v/>
      </c>
      <c r="AW317" s="20" t="n">
        <v>2</v>
      </c>
      <c r="AX317" s="20" t="n">
        <v>0</v>
      </c>
      <c r="AY317" s="13">
        <f>MIN(31, AU317+AV317+AW317+AX317)</f>
        <v/>
      </c>
      <c r="AZ317" s="14">
        <f>31-AY317</f>
        <v/>
      </c>
      <c r="BA317" s="21">
        <f>IF(AX317&gt;0, "01-İstirahat", IF(AZ317&gt;0, "12-Birden Fazla", ""))</f>
        <v/>
      </c>
      <c r="BB317" s="10" t="n">
        <v>6.5</v>
      </c>
      <c r="BC317" s="19" t="n">
        <v>0</v>
      </c>
      <c r="BD317" s="9" t="n">
        <v>0</v>
      </c>
      <c r="BE317" s="22">
        <f>(L317/30)*AU317</f>
        <v/>
      </c>
      <c r="BF317" s="15">
        <f>(L317/225)*((BB317*1.5)-(BC317*1.0))</f>
        <v/>
      </c>
      <c r="BG317" s="16">
        <f>(L317/225)*1.5*BD317</f>
        <v/>
      </c>
      <c r="BH317" s="15">
        <f>BF317+BG317</f>
        <v/>
      </c>
      <c r="BI317" s="17">
        <f>BE317+BH317</f>
        <v/>
      </c>
      <c r="BJ317" s="22">
        <f>IFERROR(VLOOKUP(B317, Resmi_Bordro_SGK!B:M, 11, FALSE), 0)</f>
        <v/>
      </c>
      <c r="BK317" s="18">
        <f>IFERROR(VLOOKUP(B317, Icra_Takip!A:E, 4, FALSE), 0)</f>
        <v/>
      </c>
      <c r="BL317" s="17">
        <f>IF(BI317&gt;BJ317, BI317-BJ317-BK317, 0)</f>
        <v/>
      </c>
      <c r="BM317" s="17">
        <f>BI317-BK317</f>
        <v/>
      </c>
    </row>
    <row r="318" ht="19" customHeight="1">
      <c r="A318" s="4" t="n">
        <v>315</v>
      </c>
      <c r="B318" s="5" t="inlineStr">
        <is>
          <t>29359208356</t>
        </is>
      </c>
      <c r="C318" s="6" t="inlineStr">
        <is>
          <t>RAMAZAN KÜÇÜKÇÇAKIR</t>
        </is>
      </c>
      <c r="D318" s="4" t="inlineStr">
        <is>
          <t>E</t>
        </is>
      </c>
      <c r="E318" s="4" t="inlineStr"/>
      <c r="F318" s="4" t="inlineStr">
        <is>
          <t>11.01.2024</t>
        </is>
      </c>
      <c r="G318" s="4" t="inlineStr"/>
      <c r="H318" s="4" t="inlineStr">
        <is>
          <t>SGDP</t>
        </is>
      </c>
      <c r="I318" s="4" t="inlineStr">
        <is>
          <t>DAİMİ</t>
        </is>
      </c>
      <c r="J318" s="6" t="inlineStr">
        <is>
          <t>ŞÖFÖR</t>
        </is>
      </c>
      <c r="K318" s="6" t="inlineStr">
        <is>
          <t>SUSURLUK</t>
        </is>
      </c>
      <c r="L318" s="7" t="n">
        <v>30000</v>
      </c>
      <c r="M318" s="4" t="inlineStr">
        <is>
          <t>FİDE KONSERVE</t>
        </is>
      </c>
      <c r="N318" s="4" t="inlineStr">
        <is>
          <t>ALIR</t>
        </is>
      </c>
      <c r="O318" s="8" t="n">
        <v>7.5</v>
      </c>
      <c r="P318" s="8" t="n">
        <v>7.5</v>
      </c>
      <c r="Q318" s="8" t="n">
        <v>7.5</v>
      </c>
      <c r="R318" s="9" t="n">
        <v>0</v>
      </c>
      <c r="S318" s="8" t="n">
        <v>7.5</v>
      </c>
      <c r="T318" s="8" t="n">
        <v>6</v>
      </c>
      <c r="U318" s="8" t="n">
        <v>7.5</v>
      </c>
      <c r="V318" s="8" t="n">
        <v>7.5</v>
      </c>
      <c r="W318" s="8" t="n">
        <v>7.5</v>
      </c>
      <c r="X318" s="8" t="n">
        <v>7.5</v>
      </c>
      <c r="Y318" s="9" t="n">
        <v>7.5</v>
      </c>
      <c r="Z318" s="8" t="n">
        <v>7.5</v>
      </c>
      <c r="AA318" s="8" t="n">
        <v>7.5</v>
      </c>
      <c r="AB318" s="8" t="n">
        <v>7</v>
      </c>
      <c r="AC318" s="8" t="n">
        <v>7.5</v>
      </c>
      <c r="AD318" s="8" t="n">
        <v>8</v>
      </c>
      <c r="AE318" s="8" t="n">
        <v>7.5</v>
      </c>
      <c r="AF318" s="9" t="n">
        <v>7.5</v>
      </c>
      <c r="AG318" s="8" t="n">
        <v>7.5</v>
      </c>
      <c r="AH318" s="8" t="n">
        <v>9</v>
      </c>
      <c r="AI318" s="8" t="n">
        <v>4.5</v>
      </c>
      <c r="AJ318" s="8" t="n">
        <v>0</v>
      </c>
      <c r="AK318" s="8" t="n">
        <v>0</v>
      </c>
      <c r="AL318" s="8" t="n">
        <v>0</v>
      </c>
      <c r="AM318" s="9" t="n">
        <v>0</v>
      </c>
      <c r="AN318" s="8" t="n">
        <v>0</v>
      </c>
      <c r="AO318" s="8" t="n">
        <v>0</v>
      </c>
      <c r="AP318" s="8" t="n">
        <v>0</v>
      </c>
      <c r="AQ318" s="8" t="n">
        <v>0</v>
      </c>
      <c r="AR318" s="8" t="n">
        <v>0</v>
      </c>
      <c r="AS318" s="8" t="n">
        <v>0</v>
      </c>
      <c r="AT318" s="10">
        <f>SUM(O318:AS318)</f>
        <v/>
      </c>
      <c r="AU318" s="11">
        <f>COUNTIF(O318:AS318, "&gt;0")</f>
        <v/>
      </c>
      <c r="AV318" s="12">
        <f>IF(AU318&gt;=5, 4, IF(AU318&gt;0, INT(AU318/6), 0))</f>
        <v/>
      </c>
      <c r="AW318" s="11" t="n">
        <v>0</v>
      </c>
      <c r="AX318" s="11" t="n">
        <v>0</v>
      </c>
      <c r="AY318" s="13">
        <f>MIN(31, AU318+AV318+AW318+AX318)</f>
        <v/>
      </c>
      <c r="AZ318" s="14">
        <f>31-AY318</f>
        <v/>
      </c>
      <c r="BA318" s="5">
        <f>IF(AX318&gt;0, "01-İstirahat", IF(AZ318&gt;0, "12-Birden Fazla", ""))</f>
        <v/>
      </c>
      <c r="BB318" s="10" t="n">
        <v>2</v>
      </c>
      <c r="BC318" s="23" t="n">
        <v>5</v>
      </c>
      <c r="BD318" s="9" t="n">
        <v>15</v>
      </c>
      <c r="BE318" s="7">
        <f>(L318/30)*AU318</f>
        <v/>
      </c>
      <c r="BF318" s="15">
        <f>(L318/225)*((BB318*1.5)-(BC318*1.0))</f>
        <v/>
      </c>
      <c r="BG318" s="16">
        <f>(L318/225)*1.5*BD318</f>
        <v/>
      </c>
      <c r="BH318" s="15">
        <f>BF318+BG318</f>
        <v/>
      </c>
      <c r="BI318" s="17">
        <f>BE318+BH318</f>
        <v/>
      </c>
      <c r="BJ318" s="7">
        <f>IFERROR(VLOOKUP(B318, Resmi_Bordro_SGK!B:M, 11, FALSE), 0)</f>
        <v/>
      </c>
      <c r="BK318" s="18">
        <f>IFERROR(VLOOKUP(B318, Icra_Takip!A:E, 4, FALSE), 0)</f>
        <v/>
      </c>
      <c r="BL318" s="17">
        <f>IF(BI318&gt;BJ318, BI318-BJ318-BK318, 0)</f>
        <v/>
      </c>
      <c r="BM318" s="17">
        <f>BI318-BK318</f>
        <v/>
      </c>
    </row>
    <row r="319" ht="19" customHeight="1">
      <c r="A319" s="4" t="n">
        <v>316</v>
      </c>
      <c r="B319" s="5" t="inlineStr">
        <is>
          <t>24022385860</t>
        </is>
      </c>
      <c r="C319" s="6" t="inlineStr">
        <is>
          <t>RECEP İÇÖZ</t>
        </is>
      </c>
      <c r="D319" s="4" t="inlineStr">
        <is>
          <t>E</t>
        </is>
      </c>
      <c r="E319" s="4" t="inlineStr"/>
      <c r="F319" s="4" t="inlineStr">
        <is>
          <t>27.07.2026</t>
        </is>
      </c>
      <c r="G319" s="4" t="inlineStr"/>
      <c r="H319" s="4" t="inlineStr">
        <is>
          <t>NORMAL</t>
        </is>
      </c>
      <c r="I319" s="4" t="inlineStr">
        <is>
          <t>DAİMİ</t>
        </is>
      </c>
      <c r="J319" s="6" t="inlineStr">
        <is>
          <t>MEYDAN</t>
        </is>
      </c>
      <c r="K319" s="6" t="inlineStr">
        <is>
          <t>GÖBEL</t>
        </is>
      </c>
      <c r="L319" s="7" t="n">
        <v>33000</v>
      </c>
      <c r="M319" s="4" t="inlineStr">
        <is>
          <t>FİDE KONSERVE</t>
        </is>
      </c>
      <c r="N319" s="4" t="inlineStr">
        <is>
          <t>ALIR</t>
        </is>
      </c>
      <c r="O319" s="19" t="n">
        <v>7.5</v>
      </c>
      <c r="P319" s="19" t="n">
        <v>7.5</v>
      </c>
      <c r="Q319" s="19" t="n">
        <v>7.5</v>
      </c>
      <c r="R319" s="9" t="n">
        <v>7.5</v>
      </c>
      <c r="S319" s="19" t="n">
        <v>4</v>
      </c>
      <c r="T319" s="19" t="n">
        <v>9</v>
      </c>
      <c r="U319" s="19" t="n">
        <v>7.5</v>
      </c>
      <c r="V319" s="19" t="n">
        <v>7.5</v>
      </c>
      <c r="W319" s="19" t="n">
        <v>7.5</v>
      </c>
      <c r="X319" s="19" t="n">
        <v>7.5</v>
      </c>
      <c r="Y319" s="9" t="n">
        <v>7.5</v>
      </c>
      <c r="Z319" s="19" t="n">
        <v>4</v>
      </c>
      <c r="AA319" s="19" t="n">
        <v>7.5</v>
      </c>
      <c r="AB319" s="19" t="n">
        <v>7.5</v>
      </c>
      <c r="AC319" s="19" t="n">
        <v>6.5</v>
      </c>
      <c r="AD319" s="19" t="n">
        <v>7.5</v>
      </c>
      <c r="AE319" s="19" t="n">
        <v>7.5</v>
      </c>
      <c r="AF319" s="9" t="n">
        <v>7.5</v>
      </c>
      <c r="AG319" s="19" t="n">
        <v>7.5</v>
      </c>
      <c r="AH319" s="19" t="n">
        <v>7.5</v>
      </c>
      <c r="AI319" s="23" t="n">
        <v>7.5</v>
      </c>
      <c r="AJ319" s="19" t="n">
        <v>0</v>
      </c>
      <c r="AK319" s="19" t="n">
        <v>0</v>
      </c>
      <c r="AL319" s="19" t="n">
        <v>0</v>
      </c>
      <c r="AM319" s="9" t="n">
        <v>0</v>
      </c>
      <c r="AN319" s="19" t="n">
        <v>0</v>
      </c>
      <c r="AO319" s="19" t="n">
        <v>0</v>
      </c>
      <c r="AP319" s="19" t="n">
        <v>0</v>
      </c>
      <c r="AQ319" s="19" t="n">
        <v>0</v>
      </c>
      <c r="AR319" s="19" t="n">
        <v>0</v>
      </c>
      <c r="AS319" s="19" t="n">
        <v>0</v>
      </c>
      <c r="AT319" s="10">
        <f>SUM(O319:AS319)</f>
        <v/>
      </c>
      <c r="AU319" s="20">
        <f>COUNTIF(O319:AS319, "&gt;0")</f>
        <v/>
      </c>
      <c r="AV319" s="12">
        <f>IF(AU319&gt;=5, 4, IF(AU319&gt;0, INT(AU319/6), 0))</f>
        <v/>
      </c>
      <c r="AW319" s="20" t="n">
        <v>0</v>
      </c>
      <c r="AX319" s="20" t="n">
        <v>0</v>
      </c>
      <c r="AY319" s="13">
        <f>MIN(31, AU319+AV319+AW319+AX319)</f>
        <v/>
      </c>
      <c r="AZ319" s="14">
        <f>31-AY319</f>
        <v/>
      </c>
      <c r="BA319" s="21">
        <f>IF(AX319&gt;0, "01-İstirahat", IF(AZ319&gt;0, "12-Birden Fazla", ""))</f>
        <v/>
      </c>
      <c r="BB319" s="10" t="n">
        <v>1.5</v>
      </c>
      <c r="BC319" s="23" t="n">
        <v>8</v>
      </c>
      <c r="BD319" s="9" t="n">
        <v>22.5</v>
      </c>
      <c r="BE319" s="22">
        <f>(L319/30)*AU319</f>
        <v/>
      </c>
      <c r="BF319" s="15">
        <f>(L319/225)*((BB319*1.5)-(BC319*1.0))</f>
        <v/>
      </c>
      <c r="BG319" s="16">
        <f>(L319/225)*1.5*BD319</f>
        <v/>
      </c>
      <c r="BH319" s="15">
        <f>BF319+BG319</f>
        <v/>
      </c>
      <c r="BI319" s="17">
        <f>BE319+BH319</f>
        <v/>
      </c>
      <c r="BJ319" s="22">
        <f>IFERROR(VLOOKUP(B319, Resmi_Bordro_SGK!B:M, 11, FALSE), 0)</f>
        <v/>
      </c>
      <c r="BK319" s="18">
        <f>IFERROR(VLOOKUP(B319, Icra_Takip!A:E, 4, FALSE), 0)</f>
        <v/>
      </c>
      <c r="BL319" s="17">
        <f>IF(BI319&gt;BJ319, BI319-BJ319-BK319, 0)</f>
        <v/>
      </c>
      <c r="BM319" s="17">
        <f>BI319-BK319</f>
        <v/>
      </c>
    </row>
    <row r="320" ht="19" customHeight="1">
      <c r="A320" s="4" t="n">
        <v>317</v>
      </c>
      <c r="B320" s="5" t="inlineStr">
        <is>
          <t>58345081116</t>
        </is>
      </c>
      <c r="C320" s="6" t="inlineStr">
        <is>
          <t>REYHAN ÇELİK</t>
        </is>
      </c>
      <c r="D320" s="4" t="inlineStr">
        <is>
          <t>E</t>
        </is>
      </c>
      <c r="E320" s="4" t="inlineStr"/>
      <c r="F320" s="4" t="inlineStr">
        <is>
          <t>08.07.2026</t>
        </is>
      </c>
      <c r="G320" s="4" t="inlineStr"/>
      <c r="H320" s="4" t="inlineStr">
        <is>
          <t>NORMAL</t>
        </is>
      </c>
      <c r="I320" s="4" t="inlineStr">
        <is>
          <t>MEVSİMLİK</t>
        </is>
      </c>
      <c r="J320" s="6" t="inlineStr">
        <is>
          <t>BALIK DOLUM</t>
        </is>
      </c>
      <c r="K320" s="6" t="inlineStr">
        <is>
          <t>KARACABEY-HALİL</t>
        </is>
      </c>
      <c r="L320" s="7" t="n">
        <v>33000</v>
      </c>
      <c r="M320" s="4" t="inlineStr">
        <is>
          <t>FİDE KONSERVE</t>
        </is>
      </c>
      <c r="N320" s="4" t="inlineStr">
        <is>
          <t>ALIR</t>
        </is>
      </c>
      <c r="O320" s="8" t="n">
        <v>0</v>
      </c>
      <c r="P320" s="8" t="n">
        <v>0</v>
      </c>
      <c r="Q320" s="8" t="n">
        <v>0</v>
      </c>
      <c r="R320" s="9" t="n">
        <v>0</v>
      </c>
      <c r="S320" s="8" t="n">
        <v>0</v>
      </c>
      <c r="T320" s="8" t="n">
        <v>0</v>
      </c>
      <c r="U320" s="8" t="n">
        <v>0</v>
      </c>
      <c r="V320" s="8" t="n">
        <v>0</v>
      </c>
      <c r="W320" s="8" t="n">
        <v>0</v>
      </c>
      <c r="X320" s="8" t="n">
        <v>0</v>
      </c>
      <c r="Y320" s="9" t="n">
        <v>0</v>
      </c>
      <c r="Z320" s="8" t="n">
        <v>0</v>
      </c>
      <c r="AA320" s="8" t="n">
        <v>0</v>
      </c>
      <c r="AB320" s="8" t="n">
        <v>0</v>
      </c>
      <c r="AC320" s="8" t="n">
        <v>0</v>
      </c>
      <c r="AD320" s="8" t="n">
        <v>0</v>
      </c>
      <c r="AE320" s="8" t="n">
        <v>0</v>
      </c>
      <c r="AF320" s="9" t="n">
        <v>0</v>
      </c>
      <c r="AG320" s="8" t="n">
        <v>0</v>
      </c>
      <c r="AH320" s="8" t="n">
        <v>0</v>
      </c>
      <c r="AI320" s="8" t="n">
        <v>0</v>
      </c>
      <c r="AJ320" s="8" t="n">
        <v>0</v>
      </c>
      <c r="AK320" s="8" t="n">
        <v>0</v>
      </c>
      <c r="AL320" s="8" t="n">
        <v>0</v>
      </c>
      <c r="AM320" s="9" t="n">
        <v>0</v>
      </c>
      <c r="AN320" s="8" t="n">
        <v>0</v>
      </c>
      <c r="AO320" s="8" t="n">
        <v>0</v>
      </c>
      <c r="AP320" s="8" t="n">
        <v>0</v>
      </c>
      <c r="AQ320" s="8" t="n">
        <v>0</v>
      </c>
      <c r="AR320" s="8" t="n">
        <v>0</v>
      </c>
      <c r="AS320" s="8" t="n">
        <v>0</v>
      </c>
      <c r="AT320" s="10">
        <f>SUM(O320:AS320)</f>
        <v/>
      </c>
      <c r="AU320" s="11">
        <f>COUNTIF(O320:AS320, "&gt;0")</f>
        <v/>
      </c>
      <c r="AV320" s="12">
        <f>IF(AU320&gt;=5, 4, IF(AU320&gt;0, INT(AU320/6), 0))</f>
        <v/>
      </c>
      <c r="AW320" s="11" t="n">
        <v>0</v>
      </c>
      <c r="AX320" s="11" t="n">
        <v>0</v>
      </c>
      <c r="AY320" s="13">
        <f>MIN(31, AU320+AV320+AW320+AX320)</f>
        <v/>
      </c>
      <c r="AZ320" s="14">
        <f>31-AY320</f>
        <v/>
      </c>
      <c r="BA320" s="5">
        <f>IF(AX320&gt;0, "01-İstirahat", IF(AZ320&gt;0, "12-Birden Fazla", ""))</f>
        <v/>
      </c>
      <c r="BB320" s="10" t="n">
        <v>0</v>
      </c>
      <c r="BC320" s="8" t="n">
        <v>0</v>
      </c>
      <c r="BD320" s="9" t="n">
        <v>0</v>
      </c>
      <c r="BE320" s="7">
        <f>(L320/30)*AU320</f>
        <v/>
      </c>
      <c r="BF320" s="15">
        <f>(L320/225)*((BB320*1.5)-(BC320*1.0))</f>
        <v/>
      </c>
      <c r="BG320" s="16">
        <f>(L320/225)*1.5*BD320</f>
        <v/>
      </c>
      <c r="BH320" s="15">
        <f>BF320+BG320</f>
        <v/>
      </c>
      <c r="BI320" s="17">
        <f>BE320+BH320</f>
        <v/>
      </c>
      <c r="BJ320" s="7">
        <f>IFERROR(VLOOKUP(B320, Resmi_Bordro_SGK!B:M, 11, FALSE), 0)</f>
        <v/>
      </c>
      <c r="BK320" s="18">
        <f>IFERROR(VLOOKUP(B320, Icra_Takip!A:E, 4, FALSE), 0)</f>
        <v/>
      </c>
      <c r="BL320" s="17">
        <f>IF(BI320&gt;BJ320, BI320-BJ320-BK320, 0)</f>
        <v/>
      </c>
      <c r="BM320" s="17">
        <f>BI320-BK320</f>
        <v/>
      </c>
    </row>
    <row r="321" ht="19" customHeight="1">
      <c r="A321" s="4" t="n">
        <v>318</v>
      </c>
      <c r="B321" s="5" t="inlineStr">
        <is>
          <t>28108249688</t>
        </is>
      </c>
      <c r="C321" s="6" t="inlineStr">
        <is>
          <t>RIDVAN DEMİRDAK</t>
        </is>
      </c>
      <c r="D321" s="4" t="inlineStr">
        <is>
          <t>E</t>
        </is>
      </c>
      <c r="E321" s="4" t="inlineStr"/>
      <c r="F321" s="4" t="inlineStr">
        <is>
          <t>12.10.2022</t>
        </is>
      </c>
      <c r="G321" s="4" t="inlineStr"/>
      <c r="H321" s="4" t="inlineStr">
        <is>
          <t>SGDP</t>
        </is>
      </c>
      <c r="I321" s="4" t="inlineStr">
        <is>
          <t>DAİMİ</t>
        </is>
      </c>
      <c r="J321" s="6" t="inlineStr">
        <is>
          <t>ŞÖFÖR</t>
        </is>
      </c>
      <c r="K321" s="6" t="inlineStr">
        <is>
          <t>GÖBEL</t>
        </is>
      </c>
      <c r="L321" s="7" t="n">
        <v>30185</v>
      </c>
      <c r="M321" s="4" t="inlineStr">
        <is>
          <t>FİDE KONSERVE</t>
        </is>
      </c>
      <c r="N321" s="4" t="inlineStr">
        <is>
          <t>ALIR</t>
        </is>
      </c>
      <c r="O321" s="19" t="n">
        <v>7.5</v>
      </c>
      <c r="P321" s="19" t="n">
        <v>7.5</v>
      </c>
      <c r="Q321" s="19" t="n">
        <v>7.5</v>
      </c>
      <c r="R321" s="9" t="n">
        <v>7.5</v>
      </c>
      <c r="S321" s="19" t="n">
        <v>9</v>
      </c>
      <c r="T321" s="19" t="n">
        <v>7.5</v>
      </c>
      <c r="U321" s="19" t="n">
        <v>0</v>
      </c>
      <c r="V321" s="23" t="n">
        <v>14.5</v>
      </c>
      <c r="W321" s="23" t="n">
        <v>7.5</v>
      </c>
      <c r="X321" s="19" t="n">
        <v>7.5</v>
      </c>
      <c r="Y321" s="9" t="n">
        <v>7.5</v>
      </c>
      <c r="Z321" s="19" t="n">
        <v>7.5</v>
      </c>
      <c r="AA321" s="23" t="n">
        <v>7.5</v>
      </c>
      <c r="AB321" s="19" t="n">
        <v>7.5</v>
      </c>
      <c r="AC321" s="19" t="n">
        <v>7.5</v>
      </c>
      <c r="AD321" s="19" t="n">
        <v>7</v>
      </c>
      <c r="AE321" s="19" t="n">
        <v>7.5</v>
      </c>
      <c r="AF321" s="9" t="n">
        <v>8</v>
      </c>
      <c r="AG321" s="23" t="n">
        <v>7.5</v>
      </c>
      <c r="AH321" s="19" t="n">
        <v>7.5</v>
      </c>
      <c r="AI321" s="23" t="n">
        <v>7.5</v>
      </c>
      <c r="AJ321" s="19" t="n">
        <v>0</v>
      </c>
      <c r="AK321" s="19" t="n">
        <v>0</v>
      </c>
      <c r="AL321" s="19" t="n">
        <v>0</v>
      </c>
      <c r="AM321" s="9" t="n">
        <v>0</v>
      </c>
      <c r="AN321" s="19" t="n">
        <v>0</v>
      </c>
      <c r="AO321" s="19" t="n">
        <v>0</v>
      </c>
      <c r="AP321" s="19" t="n">
        <v>0</v>
      </c>
      <c r="AQ321" s="19" t="n">
        <v>0</v>
      </c>
      <c r="AR321" s="19" t="n">
        <v>0</v>
      </c>
      <c r="AS321" s="19" t="n">
        <v>0</v>
      </c>
      <c r="AT321" s="10">
        <f>SUM(O321:AS321)</f>
        <v/>
      </c>
      <c r="AU321" s="20">
        <f>COUNTIF(O321:AS321, "&gt;0")</f>
        <v/>
      </c>
      <c r="AV321" s="12">
        <f>IF(AU321&gt;=5, 4, IF(AU321&gt;0, INT(AU321/6), 0))</f>
        <v/>
      </c>
      <c r="AW321" s="20" t="n">
        <v>0</v>
      </c>
      <c r="AX321" s="20" t="n">
        <v>0</v>
      </c>
      <c r="AY321" s="13">
        <f>MIN(31, AU321+AV321+AW321+AX321)</f>
        <v/>
      </c>
      <c r="AZ321" s="14">
        <f>31-AY321</f>
        <v/>
      </c>
      <c r="BA321" s="21">
        <f>IF(AX321&gt;0, "01-İstirahat", IF(AZ321&gt;0, "12-Birden Fazla", ""))</f>
        <v/>
      </c>
      <c r="BB321" s="10" t="n">
        <v>8.5</v>
      </c>
      <c r="BC321" s="23" t="n">
        <v>0.5</v>
      </c>
      <c r="BD321" s="9" t="n">
        <v>23</v>
      </c>
      <c r="BE321" s="22">
        <f>(L321/30)*AU321</f>
        <v/>
      </c>
      <c r="BF321" s="15">
        <f>(L321/225)*((BB321*1.5)-(BC321*1.0))</f>
        <v/>
      </c>
      <c r="BG321" s="16">
        <f>(L321/225)*1.5*BD321</f>
        <v/>
      </c>
      <c r="BH321" s="15">
        <f>BF321+BG321</f>
        <v/>
      </c>
      <c r="BI321" s="17">
        <f>BE321+BH321</f>
        <v/>
      </c>
      <c r="BJ321" s="22">
        <f>IFERROR(VLOOKUP(B321, Resmi_Bordro_SGK!B:M, 11, FALSE), 0)</f>
        <v/>
      </c>
      <c r="BK321" s="18">
        <f>IFERROR(VLOOKUP(B321, Icra_Takip!A:E, 4, FALSE), 0)</f>
        <v/>
      </c>
      <c r="BL321" s="17">
        <f>IF(BI321&gt;BJ321, BI321-BJ321-BK321, 0)</f>
        <v/>
      </c>
      <c r="BM321" s="17">
        <f>BI321-BK321</f>
        <v/>
      </c>
    </row>
    <row r="322" ht="19" customHeight="1">
      <c r="A322" s="4" t="n">
        <v>319</v>
      </c>
      <c r="B322" s="5" t="inlineStr">
        <is>
          <t>14170472208</t>
        </is>
      </c>
      <c r="C322" s="6" t="inlineStr">
        <is>
          <t>RESİME AKYILDIRIM</t>
        </is>
      </c>
      <c r="D322" s="4" t="inlineStr">
        <is>
          <t>K</t>
        </is>
      </c>
      <c r="E322" s="4" t="inlineStr"/>
      <c r="F322" s="4" t="inlineStr">
        <is>
          <t>06.07.2026</t>
        </is>
      </c>
      <c r="G322" s="4" t="inlineStr"/>
      <c r="H322" s="4" t="inlineStr">
        <is>
          <t>NORMAL</t>
        </is>
      </c>
      <c r="I322" s="4" t="inlineStr">
        <is>
          <t>MEVSİMLİK</t>
        </is>
      </c>
      <c r="J322" s="6" t="inlineStr">
        <is>
          <t>ÜRETİM</t>
        </is>
      </c>
      <c r="K322" s="6" t="inlineStr">
        <is>
          <t>KARACABEY-HALİL</t>
        </is>
      </c>
      <c r="L322" s="7" t="n">
        <v>28075.5</v>
      </c>
      <c r="M322" s="4" t="inlineStr">
        <is>
          <t>FİDE KONSERVE</t>
        </is>
      </c>
      <c r="N322" s="4" t="inlineStr">
        <is>
          <t>ALIR</t>
        </is>
      </c>
      <c r="O322" s="8" t="n">
        <v>0</v>
      </c>
      <c r="P322" s="8" t="n">
        <v>0</v>
      </c>
      <c r="Q322" s="8" t="n">
        <v>0</v>
      </c>
      <c r="R322" s="9" t="n">
        <v>0</v>
      </c>
      <c r="S322" s="8" t="n">
        <v>0</v>
      </c>
      <c r="T322" s="8" t="n">
        <v>0</v>
      </c>
      <c r="U322" s="8" t="n">
        <v>0</v>
      </c>
      <c r="V322" s="8" t="n">
        <v>0</v>
      </c>
      <c r="W322" s="8" t="n">
        <v>0</v>
      </c>
      <c r="X322" s="8" t="n">
        <v>0</v>
      </c>
      <c r="Y322" s="9" t="n">
        <v>0</v>
      </c>
      <c r="Z322" s="8" t="n">
        <v>0</v>
      </c>
      <c r="AA322" s="8" t="n">
        <v>0</v>
      </c>
      <c r="AB322" s="8" t="n">
        <v>0</v>
      </c>
      <c r="AC322" s="8" t="n">
        <v>0</v>
      </c>
      <c r="AD322" s="8" t="n">
        <v>0</v>
      </c>
      <c r="AE322" s="8" t="n">
        <v>0</v>
      </c>
      <c r="AF322" s="9" t="n">
        <v>0</v>
      </c>
      <c r="AG322" s="8" t="n">
        <v>0</v>
      </c>
      <c r="AH322" s="8" t="n">
        <v>0</v>
      </c>
      <c r="AI322" s="8" t="n">
        <v>0</v>
      </c>
      <c r="AJ322" s="8" t="n">
        <v>0</v>
      </c>
      <c r="AK322" s="8" t="n">
        <v>0</v>
      </c>
      <c r="AL322" s="8" t="n">
        <v>0</v>
      </c>
      <c r="AM322" s="9" t="n">
        <v>0</v>
      </c>
      <c r="AN322" s="8" t="n">
        <v>0</v>
      </c>
      <c r="AO322" s="8" t="n">
        <v>0</v>
      </c>
      <c r="AP322" s="8" t="n">
        <v>0</v>
      </c>
      <c r="AQ322" s="8" t="n">
        <v>0</v>
      </c>
      <c r="AR322" s="8" t="n">
        <v>0</v>
      </c>
      <c r="AS322" s="8" t="n">
        <v>0</v>
      </c>
      <c r="AT322" s="10">
        <f>SUM(O322:AS322)</f>
        <v/>
      </c>
      <c r="AU322" s="11">
        <f>COUNTIF(O322:AS322, "&gt;0")</f>
        <v/>
      </c>
      <c r="AV322" s="12">
        <f>IF(AU322&gt;=5, 4, IF(AU322&gt;0, INT(AU322/6), 0))</f>
        <v/>
      </c>
      <c r="AW322" s="11" t="n">
        <v>0</v>
      </c>
      <c r="AX322" s="11" t="n">
        <v>0</v>
      </c>
      <c r="AY322" s="13">
        <f>MIN(31, AU322+AV322+AW322+AX322)</f>
        <v/>
      </c>
      <c r="AZ322" s="14">
        <f>31-AY322</f>
        <v/>
      </c>
      <c r="BA322" s="5">
        <f>IF(AX322&gt;0, "01-İstirahat", IF(AZ322&gt;0, "12-Birden Fazla", ""))</f>
        <v/>
      </c>
      <c r="BB322" s="10" t="n">
        <v>0</v>
      </c>
      <c r="BC322" s="8" t="n">
        <v>0</v>
      </c>
      <c r="BD322" s="9" t="n">
        <v>0</v>
      </c>
      <c r="BE322" s="7">
        <f>(L322/30)*AU322</f>
        <v/>
      </c>
      <c r="BF322" s="15">
        <f>(L322/225)*((BB322*1.5)-(BC322*1.0))</f>
        <v/>
      </c>
      <c r="BG322" s="16">
        <f>(L322/225)*1.5*BD322</f>
        <v/>
      </c>
      <c r="BH322" s="15">
        <f>BF322+BG322</f>
        <v/>
      </c>
      <c r="BI322" s="17">
        <f>BE322+BH322</f>
        <v/>
      </c>
      <c r="BJ322" s="7">
        <f>IFERROR(VLOOKUP(B322, Resmi_Bordro_SGK!B:M, 11, FALSE), 0)</f>
        <v/>
      </c>
      <c r="BK322" s="18">
        <f>IFERROR(VLOOKUP(B322, Icra_Takip!A:E, 4, FALSE), 0)</f>
        <v/>
      </c>
      <c r="BL322" s="17">
        <f>IF(BI322&gt;BJ322, BI322-BJ322-BK322, 0)</f>
        <v/>
      </c>
      <c r="BM322" s="17">
        <f>BI322-BK322</f>
        <v/>
      </c>
    </row>
    <row r="323" ht="19" customHeight="1">
      <c r="A323" s="4" t="n">
        <v>320</v>
      </c>
      <c r="B323" s="5" t="inlineStr"/>
      <c r="C323" s="6" t="inlineStr">
        <is>
          <t>ROJDA DAĞ</t>
        </is>
      </c>
      <c r="D323" s="4" t="inlineStr"/>
      <c r="E323" s="4" t="inlineStr"/>
      <c r="F323" s="4" t="inlineStr"/>
      <c r="G323" s="4" t="inlineStr"/>
      <c r="H323" s="4" t="inlineStr">
        <is>
          <t>NORMAL</t>
        </is>
      </c>
      <c r="I323" s="4" t="inlineStr">
        <is>
          <t>MEVSİMLİK</t>
        </is>
      </c>
      <c r="J323" s="6" t="inlineStr"/>
      <c r="K323" s="6" t="inlineStr"/>
      <c r="L323" s="7" t="n">
        <v>28075.5</v>
      </c>
      <c r="M323" s="4" t="inlineStr">
        <is>
          <t>FİDE KONSERVE</t>
        </is>
      </c>
      <c r="N323" s="4" t="inlineStr">
        <is>
          <t>ALIR</t>
        </is>
      </c>
      <c r="O323" s="19" t="n">
        <v>0</v>
      </c>
      <c r="P323" s="19" t="n">
        <v>0</v>
      </c>
      <c r="Q323" s="19" t="n">
        <v>0</v>
      </c>
      <c r="R323" s="9" t="n">
        <v>0</v>
      </c>
      <c r="S323" s="19" t="n">
        <v>0</v>
      </c>
      <c r="T323" s="19" t="n">
        <v>0</v>
      </c>
      <c r="U323" s="19" t="n">
        <v>0</v>
      </c>
      <c r="V323" s="19" t="n">
        <v>0</v>
      </c>
      <c r="W323" s="19" t="n">
        <v>0</v>
      </c>
      <c r="X323" s="19" t="n">
        <v>0</v>
      </c>
      <c r="Y323" s="9" t="n">
        <v>0</v>
      </c>
      <c r="Z323" s="19" t="n">
        <v>0</v>
      </c>
      <c r="AA323" s="19" t="n">
        <v>0</v>
      </c>
      <c r="AB323" s="19" t="n">
        <v>0</v>
      </c>
      <c r="AC323" s="19" t="n">
        <v>0</v>
      </c>
      <c r="AD323" s="19" t="n">
        <v>0</v>
      </c>
      <c r="AE323" s="19" t="n">
        <v>0</v>
      </c>
      <c r="AF323" s="9" t="n">
        <v>0</v>
      </c>
      <c r="AG323" s="19" t="n">
        <v>0</v>
      </c>
      <c r="AH323" s="19" t="n">
        <v>0</v>
      </c>
      <c r="AI323" s="19" t="n">
        <v>0</v>
      </c>
      <c r="AJ323" s="19" t="n">
        <v>0</v>
      </c>
      <c r="AK323" s="19" t="n">
        <v>0</v>
      </c>
      <c r="AL323" s="19" t="n">
        <v>0</v>
      </c>
      <c r="AM323" s="9" t="n">
        <v>0</v>
      </c>
      <c r="AN323" s="19" t="n">
        <v>0</v>
      </c>
      <c r="AO323" s="19" t="n">
        <v>0</v>
      </c>
      <c r="AP323" s="19" t="n">
        <v>0</v>
      </c>
      <c r="AQ323" s="19" t="n">
        <v>0</v>
      </c>
      <c r="AR323" s="19" t="n">
        <v>0</v>
      </c>
      <c r="AS323" s="19" t="n">
        <v>0</v>
      </c>
      <c r="AT323" s="10">
        <f>SUM(O323:AS323)</f>
        <v/>
      </c>
      <c r="AU323" s="20">
        <f>COUNTIF(O323:AS323, "&gt;0")</f>
        <v/>
      </c>
      <c r="AV323" s="12">
        <f>IF(AU323&gt;=5, 4, IF(AU323&gt;0, INT(AU323/6), 0))</f>
        <v/>
      </c>
      <c r="AW323" s="20" t="n">
        <v>0</v>
      </c>
      <c r="AX323" s="20" t="n">
        <v>0</v>
      </c>
      <c r="AY323" s="13">
        <f>MIN(31, AU323+AV323+AW323+AX323)</f>
        <v/>
      </c>
      <c r="AZ323" s="14">
        <f>31-AY323</f>
        <v/>
      </c>
      <c r="BA323" s="21">
        <f>IF(AX323&gt;0, "01-İstirahat", IF(AZ323&gt;0, "12-Birden Fazla", ""))</f>
        <v/>
      </c>
      <c r="BB323" s="10" t="n">
        <v>0</v>
      </c>
      <c r="BC323" s="19" t="n">
        <v>0</v>
      </c>
      <c r="BD323" s="9" t="n">
        <v>0</v>
      </c>
      <c r="BE323" s="22">
        <f>(L323/30)*AU323</f>
        <v/>
      </c>
      <c r="BF323" s="15">
        <f>(L323/225)*((BB323*1.5)-(BC323*1.0))</f>
        <v/>
      </c>
      <c r="BG323" s="16">
        <f>(L323/225)*1.5*BD323</f>
        <v/>
      </c>
      <c r="BH323" s="15">
        <f>BF323+BG323</f>
        <v/>
      </c>
      <c r="BI323" s="17">
        <f>BE323+BH323</f>
        <v/>
      </c>
      <c r="BJ323" s="22">
        <f>IFERROR(VLOOKUP(B323, Resmi_Bordro_SGK!B:M, 11, FALSE), 0)</f>
        <v/>
      </c>
      <c r="BK323" s="18">
        <f>IFERROR(VLOOKUP(B323, Icra_Takip!A:E, 4, FALSE), 0)</f>
        <v/>
      </c>
      <c r="BL323" s="17">
        <f>IF(BI323&gt;BJ323, BI323-BJ323-BK323, 0)</f>
        <v/>
      </c>
      <c r="BM323" s="17">
        <f>BI323-BK323</f>
        <v/>
      </c>
    </row>
    <row r="324" ht="19" customHeight="1">
      <c r="A324" s="4" t="n">
        <v>321</v>
      </c>
      <c r="B324" s="5" t="inlineStr">
        <is>
          <t>14191471570</t>
        </is>
      </c>
      <c r="C324" s="6" t="inlineStr">
        <is>
          <t>RUKİYE GÜNER</t>
        </is>
      </c>
      <c r="D324" s="4" t="inlineStr">
        <is>
          <t>K</t>
        </is>
      </c>
      <c r="E324" s="4" t="inlineStr"/>
      <c r="F324" s="4" t="inlineStr">
        <is>
          <t>06.07.2026</t>
        </is>
      </c>
      <c r="G324" s="4" t="inlineStr"/>
      <c r="H324" s="4" t="inlineStr">
        <is>
          <t>NORMAL</t>
        </is>
      </c>
      <c r="I324" s="4" t="inlineStr">
        <is>
          <t>MEVSİMLİK</t>
        </is>
      </c>
      <c r="J324" s="6" t="inlineStr">
        <is>
          <t>ÜRETİM</t>
        </is>
      </c>
      <c r="K324" s="6" t="inlineStr">
        <is>
          <t>KARACABEY-HALİL</t>
        </is>
      </c>
      <c r="L324" s="7" t="n">
        <v>28075.5</v>
      </c>
      <c r="M324" s="4" t="inlineStr">
        <is>
          <t>FİDE KONSERVE</t>
        </is>
      </c>
      <c r="N324" s="4" t="inlineStr">
        <is>
          <t>ALIR</t>
        </is>
      </c>
      <c r="O324" s="8" t="n">
        <v>0</v>
      </c>
      <c r="P324" s="8" t="n">
        <v>0</v>
      </c>
      <c r="Q324" s="8" t="n">
        <v>0</v>
      </c>
      <c r="R324" s="9" t="n">
        <v>0</v>
      </c>
      <c r="S324" s="8" t="n">
        <v>0</v>
      </c>
      <c r="T324" s="8" t="n">
        <v>0</v>
      </c>
      <c r="U324" s="8" t="n">
        <v>0</v>
      </c>
      <c r="V324" s="8" t="n">
        <v>0</v>
      </c>
      <c r="W324" s="8" t="n">
        <v>0</v>
      </c>
      <c r="X324" s="8" t="n">
        <v>0</v>
      </c>
      <c r="Y324" s="9" t="n">
        <v>0</v>
      </c>
      <c r="Z324" s="8" t="n">
        <v>0</v>
      </c>
      <c r="AA324" s="8" t="n">
        <v>0</v>
      </c>
      <c r="AB324" s="8" t="n">
        <v>0</v>
      </c>
      <c r="AC324" s="8" t="n">
        <v>0</v>
      </c>
      <c r="AD324" s="8" t="n">
        <v>0</v>
      </c>
      <c r="AE324" s="8" t="n">
        <v>0</v>
      </c>
      <c r="AF324" s="9" t="n">
        <v>0</v>
      </c>
      <c r="AG324" s="8" t="n">
        <v>0</v>
      </c>
      <c r="AH324" s="8" t="n">
        <v>0</v>
      </c>
      <c r="AI324" s="8" t="n">
        <v>0</v>
      </c>
      <c r="AJ324" s="8" t="n">
        <v>0</v>
      </c>
      <c r="AK324" s="8" t="n">
        <v>0</v>
      </c>
      <c r="AL324" s="8" t="n">
        <v>0</v>
      </c>
      <c r="AM324" s="9" t="n">
        <v>0</v>
      </c>
      <c r="AN324" s="8" t="n">
        <v>0</v>
      </c>
      <c r="AO324" s="8" t="n">
        <v>0</v>
      </c>
      <c r="AP324" s="8" t="n">
        <v>0</v>
      </c>
      <c r="AQ324" s="8" t="n">
        <v>0</v>
      </c>
      <c r="AR324" s="8" t="n">
        <v>0</v>
      </c>
      <c r="AS324" s="8" t="n">
        <v>0</v>
      </c>
      <c r="AT324" s="10">
        <f>SUM(O324:AS324)</f>
        <v/>
      </c>
      <c r="AU324" s="11">
        <f>COUNTIF(O324:AS324, "&gt;0")</f>
        <v/>
      </c>
      <c r="AV324" s="12">
        <f>IF(AU324&gt;=5, 4, IF(AU324&gt;0, INT(AU324/6), 0))</f>
        <v/>
      </c>
      <c r="AW324" s="11" t="n">
        <v>0</v>
      </c>
      <c r="AX324" s="11" t="n">
        <v>0</v>
      </c>
      <c r="AY324" s="13">
        <f>MIN(31, AU324+AV324+AW324+AX324)</f>
        <v/>
      </c>
      <c r="AZ324" s="14">
        <f>31-AY324</f>
        <v/>
      </c>
      <c r="BA324" s="5">
        <f>IF(AX324&gt;0, "01-İstirahat", IF(AZ324&gt;0, "12-Birden Fazla", ""))</f>
        <v/>
      </c>
      <c r="BB324" s="10" t="n">
        <v>0</v>
      </c>
      <c r="BC324" s="8" t="n">
        <v>0</v>
      </c>
      <c r="BD324" s="9" t="n">
        <v>0</v>
      </c>
      <c r="BE324" s="7">
        <f>(L324/30)*AU324</f>
        <v/>
      </c>
      <c r="BF324" s="15">
        <f>(L324/225)*((BB324*1.5)-(BC324*1.0))</f>
        <v/>
      </c>
      <c r="BG324" s="16">
        <f>(L324/225)*1.5*BD324</f>
        <v/>
      </c>
      <c r="BH324" s="15">
        <f>BF324+BG324</f>
        <v/>
      </c>
      <c r="BI324" s="17">
        <f>BE324+BH324</f>
        <v/>
      </c>
      <c r="BJ324" s="7">
        <f>IFERROR(VLOOKUP(B324, Resmi_Bordro_SGK!B:M, 11, FALSE), 0)</f>
        <v/>
      </c>
      <c r="BK324" s="18">
        <f>IFERROR(VLOOKUP(B324, Icra_Takip!A:E, 4, FALSE), 0)</f>
        <v/>
      </c>
      <c r="BL324" s="17">
        <f>IF(BI324&gt;BJ324, BI324-BJ324-BK324, 0)</f>
        <v/>
      </c>
      <c r="BM324" s="17">
        <f>BI324-BK324</f>
        <v/>
      </c>
    </row>
    <row r="325" ht="19" customHeight="1">
      <c r="A325" s="4" t="n">
        <v>322</v>
      </c>
      <c r="B325" s="5" t="inlineStr">
        <is>
          <t>16561742068</t>
        </is>
      </c>
      <c r="C325" s="6" t="inlineStr">
        <is>
          <t>RUKİYE UZUN</t>
        </is>
      </c>
      <c r="D325" s="4" t="inlineStr">
        <is>
          <t>K</t>
        </is>
      </c>
      <c r="E325" s="4" t="inlineStr"/>
      <c r="F325" s="4" t="inlineStr">
        <is>
          <t>13.04.2026</t>
        </is>
      </c>
      <c r="G325" s="4" t="inlineStr"/>
      <c r="H325" s="4" t="inlineStr">
        <is>
          <t>NORMAL</t>
        </is>
      </c>
      <c r="I325" s="4" t="inlineStr">
        <is>
          <t>MEVSİMLİK</t>
        </is>
      </c>
      <c r="J325" s="6" t="inlineStr">
        <is>
          <t>BALIK TEMİZLEME</t>
        </is>
      </c>
      <c r="K325" s="6" t="inlineStr">
        <is>
          <t>GÜVEN TURİZM KARACABEY</t>
        </is>
      </c>
      <c r="L325" s="7" t="n">
        <v>33000</v>
      </c>
      <c r="M325" s="4" t="inlineStr">
        <is>
          <t>FİDE KONSERVE</t>
        </is>
      </c>
      <c r="N325" s="4" t="inlineStr">
        <is>
          <t>ALIR</t>
        </is>
      </c>
      <c r="O325" s="19" t="n">
        <v>8</v>
      </c>
      <c r="P325" s="19" t="n">
        <v>8.5</v>
      </c>
      <c r="Q325" s="19" t="n">
        <v>8</v>
      </c>
      <c r="R325" s="9" t="n">
        <v>0</v>
      </c>
      <c r="S325" s="19" t="n">
        <v>0</v>
      </c>
      <c r="T325" s="19" t="n">
        <v>8.5</v>
      </c>
      <c r="U325" s="19" t="n">
        <v>8</v>
      </c>
      <c r="V325" s="19" t="n">
        <v>8</v>
      </c>
      <c r="W325" s="19" t="n">
        <v>8.5</v>
      </c>
      <c r="X325" s="19" t="n">
        <v>8.5</v>
      </c>
      <c r="Y325" s="9" t="n">
        <v>0</v>
      </c>
      <c r="Z325" s="19" t="n">
        <v>7.5</v>
      </c>
      <c r="AA325" s="19" t="n">
        <v>7.5</v>
      </c>
      <c r="AB325" s="19" t="n">
        <v>0</v>
      </c>
      <c r="AC325" s="19" t="n">
        <v>0</v>
      </c>
      <c r="AD325" s="19" t="n">
        <v>0</v>
      </c>
      <c r="AE325" s="19" t="n">
        <v>0</v>
      </c>
      <c r="AF325" s="9" t="n">
        <v>0</v>
      </c>
      <c r="AG325" s="19" t="n">
        <v>8.5</v>
      </c>
      <c r="AH325" s="19" t="n">
        <v>7.5</v>
      </c>
      <c r="AI325" s="19" t="n">
        <v>7.5</v>
      </c>
      <c r="AJ325" s="19" t="n">
        <v>0</v>
      </c>
      <c r="AK325" s="19" t="n">
        <v>0</v>
      </c>
      <c r="AL325" s="19" t="n">
        <v>0</v>
      </c>
      <c r="AM325" s="9" t="n">
        <v>0</v>
      </c>
      <c r="AN325" s="19" t="n">
        <v>0</v>
      </c>
      <c r="AO325" s="19" t="n">
        <v>0</v>
      </c>
      <c r="AP325" s="19" t="n">
        <v>0</v>
      </c>
      <c r="AQ325" s="19" t="n">
        <v>0</v>
      </c>
      <c r="AR325" s="19" t="n">
        <v>0</v>
      </c>
      <c r="AS325" s="19" t="n">
        <v>0</v>
      </c>
      <c r="AT325" s="10">
        <f>SUM(O325:AS325)</f>
        <v/>
      </c>
      <c r="AU325" s="20">
        <f>COUNTIF(O325:AS325, "&gt;0")</f>
        <v/>
      </c>
      <c r="AV325" s="12">
        <f>IF(AU325&gt;=5, 4, IF(AU325&gt;0, INT(AU325/6), 0))</f>
        <v/>
      </c>
      <c r="AW325" s="20" t="n">
        <v>0</v>
      </c>
      <c r="AX325" s="20" t="n">
        <v>0</v>
      </c>
      <c r="AY325" s="13">
        <f>MIN(31, AU325+AV325+AW325+AX325)</f>
        <v/>
      </c>
      <c r="AZ325" s="14">
        <f>31-AY325</f>
        <v/>
      </c>
      <c r="BA325" s="21">
        <f>IF(AX325&gt;0, "01-İstirahat", IF(AZ325&gt;0, "12-Birden Fazla", ""))</f>
        <v/>
      </c>
      <c r="BB325" s="10" t="n">
        <v>7</v>
      </c>
      <c r="BC325" s="19" t="n">
        <v>0</v>
      </c>
      <c r="BD325" s="9" t="n">
        <v>0</v>
      </c>
      <c r="BE325" s="22">
        <f>(L325/30)*AU325</f>
        <v/>
      </c>
      <c r="BF325" s="15">
        <f>(L325/225)*((BB325*1.5)-(BC325*1.0))</f>
        <v/>
      </c>
      <c r="BG325" s="16">
        <f>(L325/225)*1.5*BD325</f>
        <v/>
      </c>
      <c r="BH325" s="15">
        <f>BF325+BG325</f>
        <v/>
      </c>
      <c r="BI325" s="17">
        <f>BE325+BH325</f>
        <v/>
      </c>
      <c r="BJ325" s="22">
        <f>IFERROR(VLOOKUP(B325, Resmi_Bordro_SGK!B:M, 11, FALSE), 0)</f>
        <v/>
      </c>
      <c r="BK325" s="18">
        <f>IFERROR(VLOOKUP(B325, Icra_Takip!A:E, 4, FALSE), 0)</f>
        <v/>
      </c>
      <c r="BL325" s="17">
        <f>IF(BI325&gt;BJ325, BI325-BJ325-BK325, 0)</f>
        <v/>
      </c>
      <c r="BM325" s="17">
        <f>BI325-BK325</f>
        <v/>
      </c>
    </row>
    <row r="326" ht="19" customHeight="1">
      <c r="A326" s="4" t="n">
        <v>323</v>
      </c>
      <c r="B326" s="5" t="inlineStr">
        <is>
          <t>17335367982</t>
        </is>
      </c>
      <c r="C326" s="6" t="inlineStr">
        <is>
          <t>SABİHA AKIN</t>
        </is>
      </c>
      <c r="D326" s="4" t="inlineStr">
        <is>
          <t>K</t>
        </is>
      </c>
      <c r="E326" s="4" t="inlineStr"/>
      <c r="F326" s="4" t="inlineStr">
        <is>
          <t>12.06.2026</t>
        </is>
      </c>
      <c r="G326" s="4" t="inlineStr"/>
      <c r="H326" s="4" t="inlineStr">
        <is>
          <t>NORMAL</t>
        </is>
      </c>
      <c r="I326" s="4" t="inlineStr">
        <is>
          <t>MEVSİMLİK</t>
        </is>
      </c>
      <c r="J326" s="6" t="inlineStr">
        <is>
          <t>ÜRETİM</t>
        </is>
      </c>
      <c r="K326" s="6" t="inlineStr">
        <is>
          <t>KARACABEY-HALİL</t>
        </is>
      </c>
      <c r="L326" s="7" t="n">
        <v>28075.5</v>
      </c>
      <c r="M326" s="4" t="inlineStr">
        <is>
          <t>FİDE KONSERVE</t>
        </is>
      </c>
      <c r="N326" s="4" t="inlineStr">
        <is>
          <t>ALIR</t>
        </is>
      </c>
      <c r="O326" s="8" t="n">
        <v>7.5</v>
      </c>
      <c r="P326" s="8" t="n">
        <v>0</v>
      </c>
      <c r="Q326" s="8" t="n">
        <v>7.5</v>
      </c>
      <c r="R326" s="9" t="n">
        <v>0</v>
      </c>
      <c r="S326" s="8" t="n">
        <v>10.5</v>
      </c>
      <c r="T326" s="8" t="n">
        <v>10.5</v>
      </c>
      <c r="U326" s="8" t="n">
        <v>0</v>
      </c>
      <c r="V326" s="8" t="n">
        <v>10.5</v>
      </c>
      <c r="W326" s="8" t="n">
        <v>10.5</v>
      </c>
      <c r="X326" s="8" t="n">
        <v>0</v>
      </c>
      <c r="Y326" s="9" t="n">
        <v>0</v>
      </c>
      <c r="Z326" s="8" t="n">
        <v>10.5</v>
      </c>
      <c r="AA326" s="8" t="n">
        <v>0</v>
      </c>
      <c r="AB326" s="8" t="n">
        <v>10.5</v>
      </c>
      <c r="AC326" s="8" t="n">
        <v>10.5</v>
      </c>
      <c r="AD326" s="8" t="n">
        <v>10.5</v>
      </c>
      <c r="AE326" s="8" t="n">
        <v>0</v>
      </c>
      <c r="AF326" s="9" t="n">
        <v>0</v>
      </c>
      <c r="AG326" s="8" t="n">
        <v>8</v>
      </c>
      <c r="AH326" s="8" t="n">
        <v>0</v>
      </c>
      <c r="AI326" s="8" t="n">
        <v>7.5</v>
      </c>
      <c r="AJ326" s="8" t="n">
        <v>0</v>
      </c>
      <c r="AK326" s="8" t="n">
        <v>0</v>
      </c>
      <c r="AL326" s="8" t="n">
        <v>0</v>
      </c>
      <c r="AM326" s="9" t="n">
        <v>0</v>
      </c>
      <c r="AN326" s="8" t="n">
        <v>0</v>
      </c>
      <c r="AO326" s="8" t="n">
        <v>0</v>
      </c>
      <c r="AP326" s="8" t="n">
        <v>0</v>
      </c>
      <c r="AQ326" s="8" t="n">
        <v>0</v>
      </c>
      <c r="AR326" s="8" t="n">
        <v>0</v>
      </c>
      <c r="AS326" s="8" t="n">
        <v>0</v>
      </c>
      <c r="AT326" s="10">
        <f>SUM(O326:AS326)</f>
        <v/>
      </c>
      <c r="AU326" s="11">
        <f>COUNTIF(O326:AS326, "&gt;0")</f>
        <v/>
      </c>
      <c r="AV326" s="12">
        <f>IF(AU326&gt;=5, 4, IF(AU326&gt;0, INT(AU326/6), 0))</f>
        <v/>
      </c>
      <c r="AW326" s="11" t="n">
        <v>0</v>
      </c>
      <c r="AX326" s="11" t="n">
        <v>0</v>
      </c>
      <c r="AY326" s="13">
        <f>MIN(31, AU326+AV326+AW326+AX326)</f>
        <v/>
      </c>
      <c r="AZ326" s="14">
        <f>31-AY326</f>
        <v/>
      </c>
      <c r="BA326" s="5">
        <f>IF(AX326&gt;0, "01-İstirahat", IF(AZ326&gt;0, "12-Birden Fazla", ""))</f>
        <v/>
      </c>
      <c r="BB326" s="10" t="n">
        <v>24.5</v>
      </c>
      <c r="BC326" s="8" t="n">
        <v>0</v>
      </c>
      <c r="BD326" s="9" t="n">
        <v>0</v>
      </c>
      <c r="BE326" s="7">
        <f>(L326/30)*AU326</f>
        <v/>
      </c>
      <c r="BF326" s="15">
        <f>(L326/225)*((BB326*1.5)-(BC326*1.0))</f>
        <v/>
      </c>
      <c r="BG326" s="16">
        <f>(L326/225)*1.5*BD326</f>
        <v/>
      </c>
      <c r="BH326" s="15">
        <f>BF326+BG326</f>
        <v/>
      </c>
      <c r="BI326" s="17">
        <f>BE326+BH326</f>
        <v/>
      </c>
      <c r="BJ326" s="7">
        <f>IFERROR(VLOOKUP(B326, Resmi_Bordro_SGK!B:M, 11, FALSE), 0)</f>
        <v/>
      </c>
      <c r="BK326" s="18">
        <f>IFERROR(VLOOKUP(B326, Icra_Takip!A:E, 4, FALSE), 0)</f>
        <v/>
      </c>
      <c r="BL326" s="17">
        <f>IF(BI326&gt;BJ326, BI326-BJ326-BK326, 0)</f>
        <v/>
      </c>
      <c r="BM326" s="17">
        <f>BI326-BK326</f>
        <v/>
      </c>
    </row>
    <row r="327" ht="19" customHeight="1">
      <c r="A327" s="4" t="n">
        <v>324</v>
      </c>
      <c r="B327" s="5" t="inlineStr">
        <is>
          <t>31027151864</t>
        </is>
      </c>
      <c r="C327" s="6" t="inlineStr">
        <is>
          <t>SABİHA GİRGİN</t>
        </is>
      </c>
      <c r="D327" s="4" t="inlineStr">
        <is>
          <t>K</t>
        </is>
      </c>
      <c r="E327" s="4" t="inlineStr"/>
      <c r="F327" s="4" t="inlineStr">
        <is>
          <t>20.05.2025</t>
        </is>
      </c>
      <c r="G327" s="4" t="inlineStr">
        <is>
          <t>07.08.2026</t>
        </is>
      </c>
      <c r="H327" s="4" t="inlineStr">
        <is>
          <t>NORMAL</t>
        </is>
      </c>
      <c r="I327" s="4" t="inlineStr">
        <is>
          <t>MEVSİMLİK</t>
        </is>
      </c>
      <c r="J327" s="6" t="inlineStr">
        <is>
          <t>ÜRETİM</t>
        </is>
      </c>
      <c r="K327" s="6" t="inlineStr">
        <is>
          <t>SUSURLUK TUR-REŞAT</t>
        </is>
      </c>
      <c r="L327" s="7" t="n">
        <v>28075.5</v>
      </c>
      <c r="M327" s="4" t="inlineStr">
        <is>
          <t>FİDE KONSERVE</t>
        </is>
      </c>
      <c r="N327" s="4" t="inlineStr">
        <is>
          <t>ALIR</t>
        </is>
      </c>
      <c r="O327" s="19" t="n">
        <v>7.5</v>
      </c>
      <c r="P327" s="19" t="n">
        <v>7.5</v>
      </c>
      <c r="Q327" s="19" t="n">
        <v>0</v>
      </c>
      <c r="R327" s="9" t="n">
        <v>0</v>
      </c>
      <c r="S327" s="19" t="n">
        <v>7.5</v>
      </c>
      <c r="T327" s="19" t="n">
        <v>0</v>
      </c>
      <c r="U327" s="19" t="n">
        <v>0</v>
      </c>
      <c r="V327" s="19" t="n">
        <v>0</v>
      </c>
      <c r="W327" s="19" t="n">
        <v>7.5</v>
      </c>
      <c r="X327" s="19" t="n">
        <v>7.5</v>
      </c>
      <c r="Y327" s="9" t="n">
        <v>7.5</v>
      </c>
      <c r="Z327" s="19" t="n">
        <v>0</v>
      </c>
      <c r="AA327" s="19" t="n">
        <v>7.5</v>
      </c>
      <c r="AB327" s="19" t="n">
        <v>10</v>
      </c>
      <c r="AC327" s="19" t="n">
        <v>0</v>
      </c>
      <c r="AD327" s="19" t="n">
        <v>0</v>
      </c>
      <c r="AE327" s="19" t="n">
        <v>0</v>
      </c>
      <c r="AF327" s="9" t="n">
        <v>0</v>
      </c>
      <c r="AG327" s="19" t="n">
        <v>7.5</v>
      </c>
      <c r="AH327" s="19" t="n">
        <v>7.5</v>
      </c>
      <c r="AI327" s="19" t="n">
        <v>8.5</v>
      </c>
      <c r="AJ327" s="19" t="n">
        <v>0</v>
      </c>
      <c r="AK327" s="19" t="n">
        <v>0</v>
      </c>
      <c r="AL327" s="19" t="n">
        <v>0</v>
      </c>
      <c r="AM327" s="9" t="n">
        <v>0</v>
      </c>
      <c r="AN327" s="19" t="n">
        <v>0</v>
      </c>
      <c r="AO327" s="19" t="n">
        <v>0</v>
      </c>
      <c r="AP327" s="19" t="n">
        <v>0</v>
      </c>
      <c r="AQ327" s="19" t="n">
        <v>0</v>
      </c>
      <c r="AR327" s="19" t="n">
        <v>0</v>
      </c>
      <c r="AS327" s="19" t="n">
        <v>0</v>
      </c>
      <c r="AT327" s="10">
        <f>SUM(O327:AS327)</f>
        <v/>
      </c>
      <c r="AU327" s="20">
        <f>COUNTIF(O327:AS327, "&gt;0")</f>
        <v/>
      </c>
      <c r="AV327" s="12">
        <f>IF(AU327&gt;=5, 4, IF(AU327&gt;0, INT(AU327/6), 0))</f>
        <v/>
      </c>
      <c r="AW327" s="20" t="n">
        <v>0</v>
      </c>
      <c r="AX327" s="20" t="n">
        <v>0</v>
      </c>
      <c r="AY327" s="13">
        <f>MIN(31, AU327+AV327+AW327+AX327)</f>
        <v/>
      </c>
      <c r="AZ327" s="14">
        <f>31-AY327</f>
        <v/>
      </c>
      <c r="BA327" s="21">
        <f>IF(AX327&gt;0, "01-İstirahat", IF(AZ327&gt;0, "12-Birden Fazla", ""))</f>
        <v/>
      </c>
      <c r="BB327" s="10" t="n">
        <v>3.5</v>
      </c>
      <c r="BC327" s="19" t="n">
        <v>0</v>
      </c>
      <c r="BD327" s="9" t="n">
        <v>7.5</v>
      </c>
      <c r="BE327" s="22">
        <f>(L327/30)*AU327</f>
        <v/>
      </c>
      <c r="BF327" s="15">
        <f>(L327/225)*((BB327*1.5)-(BC327*1.0))</f>
        <v/>
      </c>
      <c r="BG327" s="16">
        <f>(L327/225)*1.5*BD327</f>
        <v/>
      </c>
      <c r="BH327" s="15">
        <f>BF327+BG327</f>
        <v/>
      </c>
      <c r="BI327" s="17">
        <f>BE327+BH327</f>
        <v/>
      </c>
      <c r="BJ327" s="22">
        <f>IFERROR(VLOOKUP(B327, Resmi_Bordro_SGK!B:M, 11, FALSE), 0)</f>
        <v/>
      </c>
      <c r="BK327" s="18">
        <f>IFERROR(VLOOKUP(B327, Icra_Takip!A:E, 4, FALSE), 0)</f>
        <v/>
      </c>
      <c r="BL327" s="17">
        <f>IF(BI327&gt;BJ327, BI327-BJ327-BK327, 0)</f>
        <v/>
      </c>
      <c r="BM327" s="17">
        <f>BI327-BK327</f>
        <v/>
      </c>
    </row>
    <row r="328" ht="19" customHeight="1">
      <c r="A328" s="4" t="n">
        <v>325</v>
      </c>
      <c r="B328" s="5" t="inlineStr">
        <is>
          <t>34807027090</t>
        </is>
      </c>
      <c r="C328" s="6" t="inlineStr">
        <is>
          <t>SABRİ ACAR</t>
        </is>
      </c>
      <c r="D328" s="4" t="inlineStr">
        <is>
          <t>E</t>
        </is>
      </c>
      <c r="E328" s="4" t="inlineStr"/>
      <c r="F328" s="4" t="inlineStr">
        <is>
          <t>03.11.2025</t>
        </is>
      </c>
      <c r="G328" s="4" t="inlineStr"/>
      <c r="H328" s="4" t="inlineStr">
        <is>
          <t>SGDP</t>
        </is>
      </c>
      <c r="I328" s="4" t="inlineStr">
        <is>
          <t>DAİMİ</t>
        </is>
      </c>
      <c r="J328" s="6" t="inlineStr">
        <is>
          <t>YENİ BALIK HATTI</t>
        </is>
      </c>
      <c r="K328" s="6" t="inlineStr">
        <is>
          <t>ÜMİTELİ</t>
        </is>
      </c>
      <c r="L328" s="7" t="n">
        <v>32500</v>
      </c>
      <c r="M328" s="4" t="inlineStr">
        <is>
          <t>FİDE KONSERVE</t>
        </is>
      </c>
      <c r="N328" s="4" t="inlineStr">
        <is>
          <t>ALIR</t>
        </is>
      </c>
      <c r="O328" s="23" t="n">
        <v>7.5</v>
      </c>
      <c r="P328" s="23" t="n">
        <v>14.7</v>
      </c>
      <c r="Q328" s="8" t="n">
        <v>0</v>
      </c>
      <c r="R328" s="9" t="n">
        <v>7.5</v>
      </c>
      <c r="S328" s="8" t="n">
        <v>7.5</v>
      </c>
      <c r="T328" s="8" t="n">
        <v>7.5</v>
      </c>
      <c r="U328" s="8" t="n">
        <v>7.5</v>
      </c>
      <c r="V328" s="23" t="n">
        <v>7.5</v>
      </c>
      <c r="W328" s="8" t="n">
        <v>7.5</v>
      </c>
      <c r="X328" s="8" t="n">
        <v>0</v>
      </c>
      <c r="Y328" s="9" t="n">
        <v>7.5</v>
      </c>
      <c r="Z328" s="8" t="n">
        <v>7.5</v>
      </c>
      <c r="AA328" s="8" t="n">
        <v>7.5</v>
      </c>
      <c r="AB328" s="8" t="n">
        <v>7.5</v>
      </c>
      <c r="AC328" s="8" t="n">
        <v>7.5</v>
      </c>
      <c r="AD328" s="8" t="n">
        <v>7.5</v>
      </c>
      <c r="AE328" s="8" t="n">
        <v>0</v>
      </c>
      <c r="AF328" s="9" t="n">
        <v>7.5</v>
      </c>
      <c r="AG328" s="8" t="n">
        <v>7.5</v>
      </c>
      <c r="AH328" s="8" t="n">
        <v>7.5</v>
      </c>
      <c r="AI328" s="8" t="n">
        <v>0</v>
      </c>
      <c r="AJ328" s="8" t="n">
        <v>0</v>
      </c>
      <c r="AK328" s="8" t="n">
        <v>0</v>
      </c>
      <c r="AL328" s="8" t="n">
        <v>0</v>
      </c>
      <c r="AM328" s="9" t="n">
        <v>0</v>
      </c>
      <c r="AN328" s="8" t="n">
        <v>0</v>
      </c>
      <c r="AO328" s="8" t="n">
        <v>0</v>
      </c>
      <c r="AP328" s="8" t="n">
        <v>0</v>
      </c>
      <c r="AQ328" s="8" t="n">
        <v>0</v>
      </c>
      <c r="AR328" s="8" t="n">
        <v>0</v>
      </c>
      <c r="AS328" s="8" t="n">
        <v>0</v>
      </c>
      <c r="AT328" s="10">
        <f>SUM(O328:AS328)</f>
        <v/>
      </c>
      <c r="AU328" s="11">
        <f>COUNTIF(O328:AS328, "&gt;0")</f>
        <v/>
      </c>
      <c r="AV328" s="12">
        <f>IF(AU328&gt;=5, 4, IF(AU328&gt;0, INT(AU328/6), 0))</f>
        <v/>
      </c>
      <c r="AW328" s="11" t="n">
        <v>0</v>
      </c>
      <c r="AX328" s="11" t="n">
        <v>0</v>
      </c>
      <c r="AY328" s="13">
        <f>MIN(31, AU328+AV328+AW328+AX328)</f>
        <v/>
      </c>
      <c r="AZ328" s="14">
        <f>31-AY328</f>
        <v/>
      </c>
      <c r="BA328" s="5">
        <f>IF(AX328&gt;0, "01-İstirahat", IF(AZ328&gt;0, "12-Birden Fazla", ""))</f>
        <v/>
      </c>
      <c r="BB328" s="10" t="n">
        <v>7.2</v>
      </c>
      <c r="BC328" s="8" t="n">
        <v>0</v>
      </c>
      <c r="BD328" s="9" t="n">
        <v>22.5</v>
      </c>
      <c r="BE328" s="7">
        <f>(L328/30)*AU328</f>
        <v/>
      </c>
      <c r="BF328" s="15">
        <f>(L328/225)*((BB328*1.5)-(BC328*1.0))</f>
        <v/>
      </c>
      <c r="BG328" s="16">
        <f>(L328/225)*1.5*BD328</f>
        <v/>
      </c>
      <c r="BH328" s="15">
        <f>BF328+BG328</f>
        <v/>
      </c>
      <c r="BI328" s="17">
        <f>BE328+BH328</f>
        <v/>
      </c>
      <c r="BJ328" s="7">
        <f>IFERROR(VLOOKUP(B328, Resmi_Bordro_SGK!B:M, 11, FALSE), 0)</f>
        <v/>
      </c>
      <c r="BK328" s="18">
        <f>IFERROR(VLOOKUP(B328, Icra_Takip!A:E, 4, FALSE), 0)</f>
        <v/>
      </c>
      <c r="BL328" s="17">
        <f>IF(BI328&gt;BJ328, BI328-BJ328-BK328, 0)</f>
        <v/>
      </c>
      <c r="BM328" s="17">
        <f>BI328-BK328</f>
        <v/>
      </c>
    </row>
    <row r="329" ht="19" customHeight="1">
      <c r="A329" s="4" t="n">
        <v>326</v>
      </c>
      <c r="B329" s="5" t="inlineStr"/>
      <c r="C329" s="6" t="inlineStr">
        <is>
          <t>SAADET YAŞAR</t>
        </is>
      </c>
      <c r="D329" s="4" t="inlineStr"/>
      <c r="E329" s="4" t="inlineStr"/>
      <c r="F329" s="4" t="inlineStr"/>
      <c r="G329" s="4" t="inlineStr"/>
      <c r="H329" s="4" t="inlineStr">
        <is>
          <t>NORMAL</t>
        </is>
      </c>
      <c r="I329" s="4" t="inlineStr">
        <is>
          <t>MEVSİMLİK</t>
        </is>
      </c>
      <c r="J329" s="6" t="inlineStr"/>
      <c r="K329" s="6" t="inlineStr"/>
      <c r="L329" s="7" t="n">
        <v>28075.5</v>
      </c>
      <c r="M329" s="4" t="inlineStr">
        <is>
          <t>FİDE KONSERVE</t>
        </is>
      </c>
      <c r="N329" s="4" t="inlineStr">
        <is>
          <t>ALIR</t>
        </is>
      </c>
      <c r="O329" s="19" t="n">
        <v>0</v>
      </c>
      <c r="P329" s="19" t="n">
        <v>0</v>
      </c>
      <c r="Q329" s="19" t="n">
        <v>0</v>
      </c>
      <c r="R329" s="9" t="n">
        <v>0</v>
      </c>
      <c r="S329" s="19" t="n">
        <v>0</v>
      </c>
      <c r="T329" s="19" t="n">
        <v>0</v>
      </c>
      <c r="U329" s="19" t="n">
        <v>0</v>
      </c>
      <c r="V329" s="19" t="n">
        <v>0</v>
      </c>
      <c r="W329" s="19" t="n">
        <v>0</v>
      </c>
      <c r="X329" s="19" t="n">
        <v>0</v>
      </c>
      <c r="Y329" s="9" t="n">
        <v>0</v>
      </c>
      <c r="Z329" s="19" t="n">
        <v>0</v>
      </c>
      <c r="AA329" s="19" t="n">
        <v>0</v>
      </c>
      <c r="AB329" s="19" t="n">
        <v>0</v>
      </c>
      <c r="AC329" s="19" t="n">
        <v>0</v>
      </c>
      <c r="AD329" s="19" t="n">
        <v>0</v>
      </c>
      <c r="AE329" s="19" t="n">
        <v>0</v>
      </c>
      <c r="AF329" s="9" t="n">
        <v>0</v>
      </c>
      <c r="AG329" s="19" t="n">
        <v>0</v>
      </c>
      <c r="AH329" s="19" t="n">
        <v>0</v>
      </c>
      <c r="AI329" s="19" t="n">
        <v>0</v>
      </c>
      <c r="AJ329" s="19" t="n">
        <v>0</v>
      </c>
      <c r="AK329" s="19" t="n">
        <v>0</v>
      </c>
      <c r="AL329" s="19" t="n">
        <v>0</v>
      </c>
      <c r="AM329" s="9" t="n">
        <v>0</v>
      </c>
      <c r="AN329" s="19" t="n">
        <v>0</v>
      </c>
      <c r="AO329" s="19" t="n">
        <v>0</v>
      </c>
      <c r="AP329" s="19" t="n">
        <v>0</v>
      </c>
      <c r="AQ329" s="19" t="n">
        <v>0</v>
      </c>
      <c r="AR329" s="19" t="n">
        <v>0</v>
      </c>
      <c r="AS329" s="19" t="n">
        <v>0</v>
      </c>
      <c r="AT329" s="10">
        <f>SUM(O329:AS329)</f>
        <v/>
      </c>
      <c r="AU329" s="20">
        <f>COUNTIF(O329:AS329, "&gt;0")</f>
        <v/>
      </c>
      <c r="AV329" s="12">
        <f>IF(AU329&gt;=5, 4, IF(AU329&gt;0, INT(AU329/6), 0))</f>
        <v/>
      </c>
      <c r="AW329" s="20" t="n">
        <v>0</v>
      </c>
      <c r="AX329" s="20" t="n">
        <v>0</v>
      </c>
      <c r="AY329" s="13">
        <f>MIN(31, AU329+AV329+AW329+AX329)</f>
        <v/>
      </c>
      <c r="AZ329" s="14">
        <f>31-AY329</f>
        <v/>
      </c>
      <c r="BA329" s="21">
        <f>IF(AX329&gt;0, "01-İstirahat", IF(AZ329&gt;0, "12-Birden Fazla", ""))</f>
        <v/>
      </c>
      <c r="BB329" s="10" t="n">
        <v>0</v>
      </c>
      <c r="BC329" s="19" t="n">
        <v>0</v>
      </c>
      <c r="BD329" s="9" t="n">
        <v>0</v>
      </c>
      <c r="BE329" s="22">
        <f>(L329/30)*AU329</f>
        <v/>
      </c>
      <c r="BF329" s="15">
        <f>(L329/225)*((BB329*1.5)-(BC329*1.0))</f>
        <v/>
      </c>
      <c r="BG329" s="16">
        <f>(L329/225)*1.5*BD329</f>
        <v/>
      </c>
      <c r="BH329" s="15">
        <f>BF329+BG329</f>
        <v/>
      </c>
      <c r="BI329" s="17">
        <f>BE329+BH329</f>
        <v/>
      </c>
      <c r="BJ329" s="22">
        <f>IFERROR(VLOOKUP(B329, Resmi_Bordro_SGK!B:M, 11, FALSE), 0)</f>
        <v/>
      </c>
      <c r="BK329" s="18">
        <f>IFERROR(VLOOKUP(B329, Icra_Takip!A:E, 4, FALSE), 0)</f>
        <v/>
      </c>
      <c r="BL329" s="17">
        <f>IF(BI329&gt;BJ329, BI329-BJ329-BK329, 0)</f>
        <v/>
      </c>
      <c r="BM329" s="17">
        <f>BI329-BK329</f>
        <v/>
      </c>
    </row>
    <row r="330" ht="19" customHeight="1">
      <c r="A330" s="4" t="n">
        <v>327</v>
      </c>
      <c r="B330" s="5" t="inlineStr"/>
      <c r="C330" s="6" t="inlineStr">
        <is>
          <t>SAHRA TÜRKÇÜ</t>
        </is>
      </c>
      <c r="D330" s="4" t="inlineStr"/>
      <c r="E330" s="4" t="inlineStr"/>
      <c r="F330" s="4" t="inlineStr"/>
      <c r="G330" s="4" t="inlineStr"/>
      <c r="H330" s="4" t="inlineStr">
        <is>
          <t>NORMAL</t>
        </is>
      </c>
      <c r="I330" s="4" t="inlineStr">
        <is>
          <t>MEVSİMLİK</t>
        </is>
      </c>
      <c r="J330" s="6" t="inlineStr"/>
      <c r="K330" s="6" t="inlineStr"/>
      <c r="L330" s="7" t="n">
        <v>28075.5</v>
      </c>
      <c r="M330" s="4" t="inlineStr">
        <is>
          <t>FİDE KONSERVE</t>
        </is>
      </c>
      <c r="N330" s="4" t="inlineStr">
        <is>
          <t>ALIR</t>
        </is>
      </c>
      <c r="O330" s="8" t="n">
        <v>0</v>
      </c>
      <c r="P330" s="23" t="n">
        <v>6.5</v>
      </c>
      <c r="Q330" s="8" t="n">
        <v>6.5</v>
      </c>
      <c r="R330" s="9" t="n">
        <v>0</v>
      </c>
      <c r="S330" s="8" t="n">
        <v>0</v>
      </c>
      <c r="T330" s="8" t="n">
        <v>0</v>
      </c>
      <c r="U330" s="8" t="n">
        <v>6.5</v>
      </c>
      <c r="V330" s="8" t="n">
        <v>0</v>
      </c>
      <c r="W330" s="8" t="n">
        <v>0</v>
      </c>
      <c r="X330" s="8" t="n">
        <v>0</v>
      </c>
      <c r="Y330" s="9" t="n">
        <v>0</v>
      </c>
      <c r="Z330" s="8" t="n">
        <v>0</v>
      </c>
      <c r="AA330" s="8" t="n">
        <v>0</v>
      </c>
      <c r="AB330" s="8" t="n">
        <v>0</v>
      </c>
      <c r="AC330" s="8" t="n">
        <v>0</v>
      </c>
      <c r="AD330" s="8" t="n">
        <v>0</v>
      </c>
      <c r="AE330" s="8" t="n">
        <v>0</v>
      </c>
      <c r="AF330" s="9" t="n">
        <v>0</v>
      </c>
      <c r="AG330" s="8" t="n">
        <v>0</v>
      </c>
      <c r="AH330" s="8" t="n">
        <v>0</v>
      </c>
      <c r="AI330" s="8" t="n">
        <v>0</v>
      </c>
      <c r="AJ330" s="8" t="n">
        <v>0</v>
      </c>
      <c r="AK330" s="8" t="n">
        <v>0</v>
      </c>
      <c r="AL330" s="8" t="n">
        <v>0</v>
      </c>
      <c r="AM330" s="9" t="n">
        <v>0</v>
      </c>
      <c r="AN330" s="8" t="n">
        <v>0</v>
      </c>
      <c r="AO330" s="8" t="n">
        <v>0</v>
      </c>
      <c r="AP330" s="8" t="n">
        <v>0</v>
      </c>
      <c r="AQ330" s="8" t="n">
        <v>0</v>
      </c>
      <c r="AR330" s="8" t="n">
        <v>0</v>
      </c>
      <c r="AS330" s="8" t="n">
        <v>0</v>
      </c>
      <c r="AT330" s="10">
        <f>SUM(O330:AS330)</f>
        <v/>
      </c>
      <c r="AU330" s="11">
        <f>COUNTIF(O330:AS330, "&gt;0")</f>
        <v/>
      </c>
      <c r="AV330" s="12">
        <f>IF(AU330&gt;=5, 4, IF(AU330&gt;0, INT(AU330/6), 0))</f>
        <v/>
      </c>
      <c r="AW330" s="11" t="n">
        <v>0</v>
      </c>
      <c r="AX330" s="11" t="n">
        <v>0</v>
      </c>
      <c r="AY330" s="13">
        <f>MIN(31, AU330+AV330+AW330+AX330)</f>
        <v/>
      </c>
      <c r="AZ330" s="14">
        <f>31-AY330</f>
        <v/>
      </c>
      <c r="BA330" s="5">
        <f>IF(AX330&gt;0, "01-İstirahat", IF(AZ330&gt;0, "12-Birden Fazla", ""))</f>
        <v/>
      </c>
      <c r="BB330" s="10" t="n">
        <v>3</v>
      </c>
      <c r="BC330" s="23" t="n">
        <v>3</v>
      </c>
      <c r="BD330" s="9" t="n">
        <v>0</v>
      </c>
      <c r="BE330" s="7">
        <f>(L330/30)*AU330</f>
        <v/>
      </c>
      <c r="BF330" s="15">
        <f>(L330/225)*((BB330*1.5)-(BC330*1.0))</f>
        <v/>
      </c>
      <c r="BG330" s="16">
        <f>(L330/225)*1.5*BD330</f>
        <v/>
      </c>
      <c r="BH330" s="15">
        <f>BF330+BG330</f>
        <v/>
      </c>
      <c r="BI330" s="17">
        <f>BE330+BH330</f>
        <v/>
      </c>
      <c r="BJ330" s="7">
        <f>IFERROR(VLOOKUP(B330, Resmi_Bordro_SGK!B:M, 11, FALSE), 0)</f>
        <v/>
      </c>
      <c r="BK330" s="18">
        <f>IFERROR(VLOOKUP(B330, Icra_Takip!A:E, 4, FALSE), 0)</f>
        <v/>
      </c>
      <c r="BL330" s="17">
        <f>IF(BI330&gt;BJ330, BI330-BJ330-BK330, 0)</f>
        <v/>
      </c>
      <c r="BM330" s="17">
        <f>BI330-BK330</f>
        <v/>
      </c>
    </row>
    <row r="331" ht="19" customHeight="1">
      <c r="A331" s="4" t="n">
        <v>328</v>
      </c>
      <c r="B331" s="5" t="inlineStr">
        <is>
          <t>16579732808</t>
        </is>
      </c>
      <c r="C331" s="6" t="inlineStr">
        <is>
          <t>SANİYE AKBAY</t>
        </is>
      </c>
      <c r="D331" s="4" t="inlineStr">
        <is>
          <t>K</t>
        </is>
      </c>
      <c r="E331" s="4" t="inlineStr"/>
      <c r="F331" s="4" t="inlineStr">
        <is>
          <t>12.08.2026</t>
        </is>
      </c>
      <c r="G331" s="4" t="inlineStr"/>
      <c r="H331" s="4" t="inlineStr">
        <is>
          <t>NORMAL</t>
        </is>
      </c>
      <c r="I331" s="4" t="inlineStr">
        <is>
          <t>MEVSİMLİK</t>
        </is>
      </c>
      <c r="J331" s="6" t="inlineStr">
        <is>
          <t>ÜRETİM</t>
        </is>
      </c>
      <c r="K331" s="6" t="inlineStr">
        <is>
          <t>SEVGİ</t>
        </is>
      </c>
      <c r="L331" s="7" t="n">
        <v>28075.5</v>
      </c>
      <c r="M331" s="4" t="inlineStr">
        <is>
          <t>FİDE KONSERVE</t>
        </is>
      </c>
      <c r="N331" s="4" t="inlineStr">
        <is>
          <t>ALIR</t>
        </is>
      </c>
      <c r="O331" s="19" t="n">
        <v>10.5</v>
      </c>
      <c r="P331" s="19" t="n">
        <v>10.5</v>
      </c>
      <c r="Q331" s="19" t="n">
        <v>10.5</v>
      </c>
      <c r="R331" s="9" t="n">
        <v>10.5</v>
      </c>
      <c r="S331" s="19" t="n">
        <v>10.5</v>
      </c>
      <c r="T331" s="19" t="n">
        <v>10.5</v>
      </c>
      <c r="U331" s="19" t="n">
        <v>10.5</v>
      </c>
      <c r="V331" s="19" t="n">
        <v>10.5</v>
      </c>
      <c r="W331" s="19" t="n">
        <v>0</v>
      </c>
      <c r="X331" s="19" t="n">
        <v>0</v>
      </c>
      <c r="Y331" s="9" t="n">
        <v>0</v>
      </c>
      <c r="Z331" s="19" t="n">
        <v>0</v>
      </c>
      <c r="AA331" s="19" t="n">
        <v>0</v>
      </c>
      <c r="AB331" s="19" t="n">
        <v>0</v>
      </c>
      <c r="AC331" s="19" t="n">
        <v>0</v>
      </c>
      <c r="AD331" s="19" t="n">
        <v>0</v>
      </c>
      <c r="AE331" s="19" t="n">
        <v>0</v>
      </c>
      <c r="AF331" s="9" t="n">
        <v>0</v>
      </c>
      <c r="AG331" s="19" t="n">
        <v>10.5</v>
      </c>
      <c r="AH331" s="19" t="n">
        <v>0</v>
      </c>
      <c r="AI331" s="19" t="n">
        <v>0</v>
      </c>
      <c r="AJ331" s="19" t="n">
        <v>0</v>
      </c>
      <c r="AK331" s="19" t="n">
        <v>0</v>
      </c>
      <c r="AL331" s="19" t="n">
        <v>0</v>
      </c>
      <c r="AM331" s="9" t="n">
        <v>0</v>
      </c>
      <c r="AN331" s="19" t="n">
        <v>0</v>
      </c>
      <c r="AO331" s="19" t="n">
        <v>0</v>
      </c>
      <c r="AP331" s="19" t="n">
        <v>0</v>
      </c>
      <c r="AQ331" s="19" t="n">
        <v>0</v>
      </c>
      <c r="AR331" s="19" t="n">
        <v>0</v>
      </c>
      <c r="AS331" s="19" t="n">
        <v>0</v>
      </c>
      <c r="AT331" s="10">
        <f>SUM(O331:AS331)</f>
        <v/>
      </c>
      <c r="AU331" s="20">
        <f>COUNTIF(O331:AS331, "&gt;0")</f>
        <v/>
      </c>
      <c r="AV331" s="12">
        <f>IF(AU331&gt;=5, 4, IF(AU331&gt;0, INT(AU331/6), 0))</f>
        <v/>
      </c>
      <c r="AW331" s="20" t="n">
        <v>0</v>
      </c>
      <c r="AX331" s="20" t="n">
        <v>0</v>
      </c>
      <c r="AY331" s="13">
        <f>MIN(31, AU331+AV331+AW331+AX331)</f>
        <v/>
      </c>
      <c r="AZ331" s="14">
        <f>31-AY331</f>
        <v/>
      </c>
      <c r="BA331" s="21">
        <f>IF(AX331&gt;0, "01-İstirahat", IF(AZ331&gt;0, "12-Birden Fazla", ""))</f>
        <v/>
      </c>
      <c r="BB331" s="10" t="n">
        <v>24</v>
      </c>
      <c r="BC331" s="19" t="n">
        <v>0</v>
      </c>
      <c r="BD331" s="9" t="n">
        <v>10.5</v>
      </c>
      <c r="BE331" s="22">
        <f>(L331/30)*AU331</f>
        <v/>
      </c>
      <c r="BF331" s="15">
        <f>(L331/225)*((BB331*1.5)-(BC331*1.0))</f>
        <v/>
      </c>
      <c r="BG331" s="16">
        <f>(L331/225)*1.5*BD331</f>
        <v/>
      </c>
      <c r="BH331" s="15">
        <f>BF331+BG331</f>
        <v/>
      </c>
      <c r="BI331" s="17">
        <f>BE331+BH331</f>
        <v/>
      </c>
      <c r="BJ331" s="22">
        <f>IFERROR(VLOOKUP(B331, Resmi_Bordro_SGK!B:M, 11, FALSE), 0)</f>
        <v/>
      </c>
      <c r="BK331" s="18">
        <f>IFERROR(VLOOKUP(B331, Icra_Takip!A:E, 4, FALSE), 0)</f>
        <v/>
      </c>
      <c r="BL331" s="17">
        <f>IF(BI331&gt;BJ331, BI331-BJ331-BK331, 0)</f>
        <v/>
      </c>
      <c r="BM331" s="17">
        <f>BI331-BK331</f>
        <v/>
      </c>
    </row>
    <row r="332" ht="19" customHeight="1">
      <c r="A332" s="4" t="n">
        <v>329</v>
      </c>
      <c r="B332" s="5" t="inlineStr">
        <is>
          <t>33640164108</t>
        </is>
      </c>
      <c r="C332" s="6" t="inlineStr">
        <is>
          <t>SAMET YUMİTKAN</t>
        </is>
      </c>
      <c r="D332" s="4" t="inlineStr">
        <is>
          <t>E</t>
        </is>
      </c>
      <c r="E332" s="4" t="inlineStr"/>
      <c r="F332" s="4" t="inlineStr">
        <is>
          <t>01.07.2026</t>
        </is>
      </c>
      <c r="G332" s="4" t="inlineStr"/>
      <c r="H332" s="4" t="inlineStr">
        <is>
          <t>NORMAL</t>
        </is>
      </c>
      <c r="I332" s="4" t="inlineStr">
        <is>
          <t>MEVSİMLİK</t>
        </is>
      </c>
      <c r="J332" s="6" t="inlineStr">
        <is>
          <t>ÜRETİM</t>
        </is>
      </c>
      <c r="K332" s="6" t="inlineStr">
        <is>
          <t>KARACABEY-HALİL</t>
        </is>
      </c>
      <c r="L332" s="7" t="n">
        <v>28075.5</v>
      </c>
      <c r="M332" s="4" t="inlineStr">
        <is>
          <t>FİDE KONSERVE</t>
        </is>
      </c>
      <c r="N332" s="4" t="inlineStr">
        <is>
          <t>ALIR</t>
        </is>
      </c>
      <c r="O332" s="8" t="n">
        <v>10.5</v>
      </c>
      <c r="P332" s="23" t="n">
        <v>7.5</v>
      </c>
      <c r="Q332" s="8" t="n">
        <v>7.5</v>
      </c>
      <c r="R332" s="9" t="n">
        <v>0</v>
      </c>
      <c r="S332" s="8" t="n">
        <v>10.5</v>
      </c>
      <c r="T332" s="8" t="n">
        <v>10.5</v>
      </c>
      <c r="U332" s="8" t="n">
        <v>10.5</v>
      </c>
      <c r="V332" s="8" t="n">
        <v>0</v>
      </c>
      <c r="W332" s="8" t="n">
        <v>10.5</v>
      </c>
      <c r="X332" s="8" t="n">
        <v>10.5</v>
      </c>
      <c r="Y332" s="9" t="n">
        <v>0</v>
      </c>
      <c r="Z332" s="8" t="n">
        <v>7.5</v>
      </c>
      <c r="AA332" s="8" t="n">
        <v>10.5</v>
      </c>
      <c r="AB332" s="8" t="n">
        <v>0</v>
      </c>
      <c r="AC332" s="8" t="n">
        <v>0</v>
      </c>
      <c r="AD332" s="8" t="n">
        <v>0</v>
      </c>
      <c r="AE332" s="8" t="n">
        <v>0</v>
      </c>
      <c r="AF332" s="9" t="n">
        <v>0</v>
      </c>
      <c r="AG332" s="8" t="n">
        <v>8</v>
      </c>
      <c r="AH332" s="23" t="n">
        <v>7.5</v>
      </c>
      <c r="AI332" s="8" t="n">
        <v>7.5</v>
      </c>
      <c r="AJ332" s="8" t="n">
        <v>0</v>
      </c>
      <c r="AK332" s="8" t="n">
        <v>0</v>
      </c>
      <c r="AL332" s="8" t="n">
        <v>0</v>
      </c>
      <c r="AM332" s="9" t="n">
        <v>0</v>
      </c>
      <c r="AN332" s="8" t="n">
        <v>0</v>
      </c>
      <c r="AO332" s="8" t="n">
        <v>0</v>
      </c>
      <c r="AP332" s="8" t="n">
        <v>0</v>
      </c>
      <c r="AQ332" s="8" t="n">
        <v>0</v>
      </c>
      <c r="AR332" s="8" t="n">
        <v>0</v>
      </c>
      <c r="AS332" s="8" t="n">
        <v>0</v>
      </c>
      <c r="AT332" s="10">
        <f>SUM(O332:AS332)</f>
        <v/>
      </c>
      <c r="AU332" s="11">
        <f>COUNTIF(O332:AS332, "&gt;0")</f>
        <v/>
      </c>
      <c r="AV332" s="12">
        <f>IF(AU332&gt;=5, 4, IF(AU332&gt;0, INT(AU332/6), 0))</f>
        <v/>
      </c>
      <c r="AW332" s="11" t="n">
        <v>0</v>
      </c>
      <c r="AX332" s="11" t="n">
        <v>0</v>
      </c>
      <c r="AY332" s="13">
        <f>MIN(31, AU332+AV332+AW332+AX332)</f>
        <v/>
      </c>
      <c r="AZ332" s="14">
        <f>31-AY332</f>
        <v/>
      </c>
      <c r="BA332" s="5">
        <f>IF(AX332&gt;0, "01-İstirahat", IF(AZ332&gt;0, "12-Birden Fazla", ""))</f>
        <v/>
      </c>
      <c r="BB332" s="10" t="n">
        <v>21.5</v>
      </c>
      <c r="BC332" s="8" t="n">
        <v>0</v>
      </c>
      <c r="BD332" s="9" t="n">
        <v>0</v>
      </c>
      <c r="BE332" s="7">
        <f>(L332/30)*AU332</f>
        <v/>
      </c>
      <c r="BF332" s="15">
        <f>(L332/225)*((BB332*1.5)-(BC332*1.0))</f>
        <v/>
      </c>
      <c r="BG332" s="16">
        <f>(L332/225)*1.5*BD332</f>
        <v/>
      </c>
      <c r="BH332" s="15">
        <f>BF332+BG332</f>
        <v/>
      </c>
      <c r="BI332" s="17">
        <f>BE332+BH332</f>
        <v/>
      </c>
      <c r="BJ332" s="7">
        <f>IFERROR(VLOOKUP(B332, Resmi_Bordro_SGK!B:M, 11, FALSE), 0)</f>
        <v/>
      </c>
      <c r="BK332" s="18">
        <f>IFERROR(VLOOKUP(B332, Icra_Takip!A:E, 4, FALSE), 0)</f>
        <v/>
      </c>
      <c r="BL332" s="17">
        <f>IF(BI332&gt;BJ332, BI332-BJ332-BK332, 0)</f>
        <v/>
      </c>
      <c r="BM332" s="17">
        <f>BI332-BK332</f>
        <v/>
      </c>
    </row>
    <row r="333" ht="19" customHeight="1">
      <c r="A333" s="4" t="n">
        <v>330</v>
      </c>
      <c r="B333" s="5" t="inlineStr">
        <is>
          <t>30373124058</t>
        </is>
      </c>
      <c r="C333" s="6" t="inlineStr">
        <is>
          <t>SANİYE CEYLAN</t>
        </is>
      </c>
      <c r="D333" s="4" t="inlineStr">
        <is>
          <t>K</t>
        </is>
      </c>
      <c r="E333" s="4" t="inlineStr"/>
      <c r="F333" s="4" t="inlineStr">
        <is>
          <t>05.05.2023</t>
        </is>
      </c>
      <c r="G333" s="4" t="inlineStr"/>
      <c r="H333" s="4" t="inlineStr">
        <is>
          <t>NORMAL</t>
        </is>
      </c>
      <c r="I333" s="4" t="inlineStr">
        <is>
          <t>MEVSİMLİK</t>
        </is>
      </c>
      <c r="J333" s="6" t="inlineStr">
        <is>
          <t>AMBAR</t>
        </is>
      </c>
      <c r="K333" s="6" t="inlineStr">
        <is>
          <t>BİGADİÇ</t>
        </is>
      </c>
      <c r="L333" s="7" t="n">
        <v>28075.5</v>
      </c>
      <c r="M333" s="4" t="inlineStr">
        <is>
          <t>FİDE KONSERVE</t>
        </is>
      </c>
      <c r="N333" s="4" t="inlineStr">
        <is>
          <t>ALIR</t>
        </is>
      </c>
      <c r="O333" s="19" t="n">
        <v>7.5</v>
      </c>
      <c r="P333" s="19" t="n">
        <v>7.5</v>
      </c>
      <c r="Q333" s="19" t="n">
        <v>7.5</v>
      </c>
      <c r="R333" s="9" t="n">
        <v>0</v>
      </c>
      <c r="S333" s="19" t="n">
        <v>7.5</v>
      </c>
      <c r="T333" s="19" t="n">
        <v>7.5</v>
      </c>
      <c r="U333" s="19" t="n">
        <v>7.5</v>
      </c>
      <c r="V333" s="19" t="n">
        <v>7.5</v>
      </c>
      <c r="W333" s="19" t="n">
        <v>7.5</v>
      </c>
      <c r="X333" s="19" t="n">
        <v>7.5</v>
      </c>
      <c r="Y333" s="9" t="n">
        <v>0</v>
      </c>
      <c r="Z333" s="19" t="n">
        <v>8.5</v>
      </c>
      <c r="AA333" s="19" t="n">
        <v>7.5</v>
      </c>
      <c r="AB333" s="19" t="n">
        <v>7.5</v>
      </c>
      <c r="AC333" s="19" t="n">
        <v>8</v>
      </c>
      <c r="AD333" s="19" t="n">
        <v>7.5</v>
      </c>
      <c r="AE333" s="19" t="n">
        <v>7.5</v>
      </c>
      <c r="AF333" s="9" t="n">
        <v>7.5</v>
      </c>
      <c r="AG333" s="19" t="n">
        <v>7.5</v>
      </c>
      <c r="AH333" s="19" t="n">
        <v>7.5</v>
      </c>
      <c r="AI333" s="19" t="n">
        <v>7.5</v>
      </c>
      <c r="AJ333" s="19" t="n">
        <v>0</v>
      </c>
      <c r="AK333" s="19" t="n">
        <v>0</v>
      </c>
      <c r="AL333" s="19" t="n">
        <v>0</v>
      </c>
      <c r="AM333" s="9" t="n">
        <v>0</v>
      </c>
      <c r="AN333" s="19" t="n">
        <v>0</v>
      </c>
      <c r="AO333" s="19" t="n">
        <v>0</v>
      </c>
      <c r="AP333" s="19" t="n">
        <v>0</v>
      </c>
      <c r="AQ333" s="19" t="n">
        <v>0</v>
      </c>
      <c r="AR333" s="19" t="n">
        <v>0</v>
      </c>
      <c r="AS333" s="19" t="n">
        <v>0</v>
      </c>
      <c r="AT333" s="10">
        <f>SUM(O333:AS333)</f>
        <v/>
      </c>
      <c r="AU333" s="20">
        <f>COUNTIF(O333:AS333, "&gt;0")</f>
        <v/>
      </c>
      <c r="AV333" s="12">
        <f>IF(AU333&gt;=5, 4, IF(AU333&gt;0, INT(AU333/6), 0))</f>
        <v/>
      </c>
      <c r="AW333" s="20" t="n">
        <v>4</v>
      </c>
      <c r="AX333" s="20" t="n">
        <v>0</v>
      </c>
      <c r="AY333" s="13">
        <f>MIN(31, AU333+AV333+AW333+AX333)</f>
        <v/>
      </c>
      <c r="AZ333" s="14">
        <f>31-AY333</f>
        <v/>
      </c>
      <c r="BA333" s="21">
        <f>IF(AX333&gt;0, "01-İstirahat", IF(AZ333&gt;0, "12-Birden Fazla", ""))</f>
        <v/>
      </c>
      <c r="BB333" s="10" t="n">
        <v>1.5</v>
      </c>
      <c r="BC333" s="19" t="n">
        <v>0</v>
      </c>
      <c r="BD333" s="9" t="n">
        <v>7.5</v>
      </c>
      <c r="BE333" s="22">
        <f>(L333/30)*AU333</f>
        <v/>
      </c>
      <c r="BF333" s="15">
        <f>(L333/225)*((BB333*1.5)-(BC333*1.0))</f>
        <v/>
      </c>
      <c r="BG333" s="16">
        <f>(L333/225)*1.5*BD333</f>
        <v/>
      </c>
      <c r="BH333" s="15">
        <f>BF333+BG333</f>
        <v/>
      </c>
      <c r="BI333" s="17">
        <f>BE333+BH333</f>
        <v/>
      </c>
      <c r="BJ333" s="22">
        <f>IFERROR(VLOOKUP(B333, Resmi_Bordro_SGK!B:M, 11, FALSE), 0)</f>
        <v/>
      </c>
      <c r="BK333" s="18">
        <f>IFERROR(VLOOKUP(B333, Icra_Takip!A:E, 4, FALSE), 0)</f>
        <v/>
      </c>
      <c r="BL333" s="17">
        <f>IF(BI333&gt;BJ333, BI333-BJ333-BK333, 0)</f>
        <v/>
      </c>
      <c r="BM333" s="17">
        <f>BI333-BK333</f>
        <v/>
      </c>
    </row>
    <row r="334" ht="19" customHeight="1">
      <c r="A334" s="4" t="n">
        <v>331</v>
      </c>
      <c r="B334" s="5" t="inlineStr">
        <is>
          <t>14164714154</t>
        </is>
      </c>
      <c r="C334" s="6" t="inlineStr">
        <is>
          <t>SARA EROĞLU</t>
        </is>
      </c>
      <c r="D334" s="4" t="inlineStr">
        <is>
          <t>K</t>
        </is>
      </c>
      <c r="E334" s="4" t="inlineStr"/>
      <c r="F334" s="4" t="inlineStr">
        <is>
          <t>20.08.2022</t>
        </is>
      </c>
      <c r="G334" s="4" t="inlineStr"/>
      <c r="H334" s="4" t="inlineStr">
        <is>
          <t>NORMAL</t>
        </is>
      </c>
      <c r="I334" s="4" t="inlineStr">
        <is>
          <t>MEVSİMLİK</t>
        </is>
      </c>
      <c r="J334" s="6" t="inlineStr">
        <is>
          <t>AMBAR</t>
        </is>
      </c>
      <c r="K334" s="6" t="inlineStr">
        <is>
          <t>BALIKESİR</t>
        </is>
      </c>
      <c r="L334" s="7" t="n">
        <v>28075.5</v>
      </c>
      <c r="M334" s="4" t="inlineStr">
        <is>
          <t>FİDE KONSERVE</t>
        </is>
      </c>
      <c r="N334" s="4" t="inlineStr">
        <is>
          <t>ALIR</t>
        </is>
      </c>
      <c r="O334" s="8" t="n">
        <v>8</v>
      </c>
      <c r="P334" s="8" t="n">
        <v>8</v>
      </c>
      <c r="Q334" s="8" t="n">
        <v>8</v>
      </c>
      <c r="R334" s="9" t="n">
        <v>0</v>
      </c>
      <c r="S334" s="8" t="n">
        <v>7.5</v>
      </c>
      <c r="T334" s="8" t="n">
        <v>7.5</v>
      </c>
      <c r="U334" s="8" t="n">
        <v>7.5</v>
      </c>
      <c r="V334" s="8" t="n">
        <v>8</v>
      </c>
      <c r="W334" s="8" t="n">
        <v>8</v>
      </c>
      <c r="X334" s="8" t="n">
        <v>7.5</v>
      </c>
      <c r="Y334" s="9" t="n">
        <v>0</v>
      </c>
      <c r="Z334" s="8" t="n">
        <v>7.5</v>
      </c>
      <c r="AA334" s="8" t="n">
        <v>7.5</v>
      </c>
      <c r="AB334" s="8" t="n">
        <v>7.5</v>
      </c>
      <c r="AC334" s="8" t="n">
        <v>7.5</v>
      </c>
      <c r="AD334" s="8" t="n">
        <v>10.5</v>
      </c>
      <c r="AE334" s="8" t="n">
        <v>7.5</v>
      </c>
      <c r="AF334" s="9" t="n">
        <v>7.5</v>
      </c>
      <c r="AG334" s="8" t="n">
        <v>8</v>
      </c>
      <c r="AH334" s="8" t="n">
        <v>7.5</v>
      </c>
      <c r="AI334" s="8" t="n">
        <v>0</v>
      </c>
      <c r="AJ334" s="8" t="n">
        <v>0</v>
      </c>
      <c r="AK334" s="8" t="n">
        <v>0</v>
      </c>
      <c r="AL334" s="8" t="n">
        <v>0</v>
      </c>
      <c r="AM334" s="9" t="n">
        <v>0</v>
      </c>
      <c r="AN334" s="8" t="n">
        <v>0</v>
      </c>
      <c r="AO334" s="8" t="n">
        <v>0</v>
      </c>
      <c r="AP334" s="8" t="n">
        <v>0</v>
      </c>
      <c r="AQ334" s="8" t="n">
        <v>0</v>
      </c>
      <c r="AR334" s="8" t="n">
        <v>0</v>
      </c>
      <c r="AS334" s="8" t="n">
        <v>0</v>
      </c>
      <c r="AT334" s="10">
        <f>SUM(O334:AS334)</f>
        <v/>
      </c>
      <c r="AU334" s="11">
        <f>COUNTIF(O334:AS334, "&gt;0")</f>
        <v/>
      </c>
      <c r="AV334" s="12">
        <f>IF(AU334&gt;=5, 4, IF(AU334&gt;0, INT(AU334/6), 0))</f>
        <v/>
      </c>
      <c r="AW334" s="11" t="n">
        <v>0</v>
      </c>
      <c r="AX334" s="11" t="n">
        <v>0</v>
      </c>
      <c r="AY334" s="13">
        <f>MIN(31, AU334+AV334+AW334+AX334)</f>
        <v/>
      </c>
      <c r="AZ334" s="14">
        <f>31-AY334</f>
        <v/>
      </c>
      <c r="BA334" s="5">
        <f>IF(AX334&gt;0, "01-İstirahat", IF(AZ334&gt;0, "12-Birden Fazla", ""))</f>
        <v/>
      </c>
      <c r="BB334" s="10" t="n">
        <v>6</v>
      </c>
      <c r="BC334" s="8" t="n">
        <v>0</v>
      </c>
      <c r="BD334" s="9" t="n">
        <v>7.5</v>
      </c>
      <c r="BE334" s="7">
        <f>(L334/30)*AU334</f>
        <v/>
      </c>
      <c r="BF334" s="15">
        <f>(L334/225)*((BB334*1.5)-(BC334*1.0))</f>
        <v/>
      </c>
      <c r="BG334" s="16">
        <f>(L334/225)*1.5*BD334</f>
        <v/>
      </c>
      <c r="BH334" s="15">
        <f>BF334+BG334</f>
        <v/>
      </c>
      <c r="BI334" s="17">
        <f>BE334+BH334</f>
        <v/>
      </c>
      <c r="BJ334" s="7">
        <f>IFERROR(VLOOKUP(B334, Resmi_Bordro_SGK!B:M, 11, FALSE), 0)</f>
        <v/>
      </c>
      <c r="BK334" s="18">
        <f>IFERROR(VLOOKUP(B334, Icra_Takip!A:E, 4, FALSE), 0)</f>
        <v/>
      </c>
      <c r="BL334" s="17">
        <f>IF(BI334&gt;BJ334, BI334-BJ334-BK334, 0)</f>
        <v/>
      </c>
      <c r="BM334" s="17">
        <f>BI334-BK334</f>
        <v/>
      </c>
    </row>
    <row r="335" ht="19" customHeight="1">
      <c r="A335" s="4" t="n">
        <v>332</v>
      </c>
      <c r="B335" s="5" t="inlineStr">
        <is>
          <t>18847656960</t>
        </is>
      </c>
      <c r="C335" s="6" t="inlineStr">
        <is>
          <t>SEÇİL ARIBOĞA</t>
        </is>
      </c>
      <c r="D335" s="4" t="inlineStr">
        <is>
          <t>K</t>
        </is>
      </c>
      <c r="E335" s="4" t="inlineStr"/>
      <c r="F335" s="4" t="inlineStr">
        <is>
          <t>10.02.2026</t>
        </is>
      </c>
      <c r="G335" s="4" t="inlineStr"/>
      <c r="H335" s="4" t="inlineStr">
        <is>
          <t>NORMAL</t>
        </is>
      </c>
      <c r="I335" s="4" t="inlineStr">
        <is>
          <t>MEVSİMLİK</t>
        </is>
      </c>
      <c r="J335" s="6" t="inlineStr">
        <is>
          <t>ÜRETİM</t>
        </is>
      </c>
      <c r="K335" s="6" t="inlineStr">
        <is>
          <t>KARACABEY-HALİL</t>
        </is>
      </c>
      <c r="L335" s="7" t="n">
        <v>28075.5</v>
      </c>
      <c r="M335" s="4" t="inlineStr">
        <is>
          <t>FİDE KONSERVE</t>
        </is>
      </c>
      <c r="N335" s="4" t="inlineStr">
        <is>
          <t>ALIR</t>
        </is>
      </c>
      <c r="O335" s="19" t="n">
        <v>10.5</v>
      </c>
      <c r="P335" s="19" t="n">
        <v>10.5</v>
      </c>
      <c r="Q335" s="19" t="n">
        <v>10.5</v>
      </c>
      <c r="R335" s="9" t="n">
        <v>0</v>
      </c>
      <c r="S335" s="19" t="n">
        <v>10.5</v>
      </c>
      <c r="T335" s="19" t="n">
        <v>10.5</v>
      </c>
      <c r="U335" s="19" t="n">
        <v>10.5</v>
      </c>
      <c r="V335" s="19" t="n">
        <v>0</v>
      </c>
      <c r="W335" s="19" t="n">
        <v>0</v>
      </c>
      <c r="X335" s="19" t="n">
        <v>0</v>
      </c>
      <c r="Y335" s="9" t="n">
        <v>0</v>
      </c>
      <c r="Z335" s="19" t="n">
        <v>0</v>
      </c>
      <c r="AA335" s="19" t="n">
        <v>10.5</v>
      </c>
      <c r="AB335" s="19" t="n">
        <v>10.5</v>
      </c>
      <c r="AC335" s="19" t="n">
        <v>10.5</v>
      </c>
      <c r="AD335" s="19" t="n">
        <v>10.5</v>
      </c>
      <c r="AE335" s="19" t="n">
        <v>10.5</v>
      </c>
      <c r="AF335" s="9" t="n">
        <v>0</v>
      </c>
      <c r="AG335" s="19" t="n">
        <v>10.5</v>
      </c>
      <c r="AH335" s="19" t="n">
        <v>7.5</v>
      </c>
      <c r="AI335" s="19" t="n">
        <v>7.5</v>
      </c>
      <c r="AJ335" s="19" t="n">
        <v>0</v>
      </c>
      <c r="AK335" s="19" t="n">
        <v>0</v>
      </c>
      <c r="AL335" s="19" t="n">
        <v>0</v>
      </c>
      <c r="AM335" s="9" t="n">
        <v>0</v>
      </c>
      <c r="AN335" s="19" t="n">
        <v>0</v>
      </c>
      <c r="AO335" s="19" t="n">
        <v>0</v>
      </c>
      <c r="AP335" s="19" t="n">
        <v>0</v>
      </c>
      <c r="AQ335" s="19" t="n">
        <v>0</v>
      </c>
      <c r="AR335" s="19" t="n">
        <v>0</v>
      </c>
      <c r="AS335" s="19" t="n">
        <v>0</v>
      </c>
      <c r="AT335" s="10">
        <f>SUM(O335:AS335)</f>
        <v/>
      </c>
      <c r="AU335" s="20">
        <f>COUNTIF(O335:AS335, "&gt;0")</f>
        <v/>
      </c>
      <c r="AV335" s="12">
        <f>IF(AU335&gt;=5, 4, IF(AU335&gt;0, INT(AU335/6), 0))</f>
        <v/>
      </c>
      <c r="AW335" s="20" t="n">
        <v>0</v>
      </c>
      <c r="AX335" s="20" t="n">
        <v>0</v>
      </c>
      <c r="AY335" s="13">
        <f>MIN(31, AU335+AV335+AW335+AX335)</f>
        <v/>
      </c>
      <c r="AZ335" s="14">
        <f>31-AY335</f>
        <v/>
      </c>
      <c r="BA335" s="21">
        <f>IF(AX335&gt;0, "01-İstirahat", IF(AZ335&gt;0, "12-Birden Fazla", ""))</f>
        <v/>
      </c>
      <c r="BB335" s="10" t="n">
        <v>36</v>
      </c>
      <c r="BC335" s="19" t="n">
        <v>0</v>
      </c>
      <c r="BD335" s="9" t="n">
        <v>0</v>
      </c>
      <c r="BE335" s="22">
        <f>(L335/30)*AU335</f>
        <v/>
      </c>
      <c r="BF335" s="15">
        <f>(L335/225)*((BB335*1.5)-(BC335*1.0))</f>
        <v/>
      </c>
      <c r="BG335" s="16">
        <f>(L335/225)*1.5*BD335</f>
        <v/>
      </c>
      <c r="BH335" s="15">
        <f>BF335+BG335</f>
        <v/>
      </c>
      <c r="BI335" s="17">
        <f>BE335+BH335</f>
        <v/>
      </c>
      <c r="BJ335" s="22">
        <f>IFERROR(VLOOKUP(B335, Resmi_Bordro_SGK!B:M, 11, FALSE), 0)</f>
        <v/>
      </c>
      <c r="BK335" s="18">
        <f>IFERROR(VLOOKUP(B335, Icra_Takip!A:E, 4, FALSE), 0)</f>
        <v/>
      </c>
      <c r="BL335" s="17">
        <f>IF(BI335&gt;BJ335, BI335-BJ335-BK335, 0)</f>
        <v/>
      </c>
      <c r="BM335" s="17">
        <f>BI335-BK335</f>
        <v/>
      </c>
    </row>
    <row r="336" ht="19" customHeight="1">
      <c r="A336" s="4" t="n">
        <v>333</v>
      </c>
      <c r="B336" s="5" t="inlineStr">
        <is>
          <t>35194113502</t>
        </is>
      </c>
      <c r="C336" s="6" t="inlineStr">
        <is>
          <t>SEDA ERDOĞAN</t>
        </is>
      </c>
      <c r="D336" s="4" t="inlineStr">
        <is>
          <t>K</t>
        </is>
      </c>
      <c r="E336" s="4" t="inlineStr"/>
      <c r="F336" s="4" t="inlineStr">
        <is>
          <t>08.06.2026</t>
        </is>
      </c>
      <c r="G336" s="4" t="inlineStr"/>
      <c r="H336" s="4" t="inlineStr">
        <is>
          <t>NORMAL</t>
        </is>
      </c>
      <c r="I336" s="4" t="inlineStr">
        <is>
          <t>MEVSİMLİK</t>
        </is>
      </c>
      <c r="J336" s="6" t="inlineStr">
        <is>
          <t>BALIK TEMİZLEME</t>
        </is>
      </c>
      <c r="K336" s="6" t="inlineStr">
        <is>
          <t>KARACABEY-HALİL</t>
        </is>
      </c>
      <c r="L336" s="7" t="n">
        <v>33000</v>
      </c>
      <c r="M336" s="4" t="inlineStr">
        <is>
          <t>FİDE KONSERVE</t>
        </is>
      </c>
      <c r="N336" s="4" t="inlineStr">
        <is>
          <t>ALIR</t>
        </is>
      </c>
      <c r="O336" s="8" t="n">
        <v>0</v>
      </c>
      <c r="P336" s="8" t="n">
        <v>0</v>
      </c>
      <c r="Q336" s="8" t="n">
        <v>0</v>
      </c>
      <c r="R336" s="9" t="n">
        <v>0</v>
      </c>
      <c r="S336" s="8" t="n">
        <v>0</v>
      </c>
      <c r="T336" s="8" t="n">
        <v>0</v>
      </c>
      <c r="U336" s="8" t="n">
        <v>0</v>
      </c>
      <c r="V336" s="8" t="n">
        <v>0</v>
      </c>
      <c r="W336" s="8" t="n">
        <v>0</v>
      </c>
      <c r="X336" s="8" t="n">
        <v>0</v>
      </c>
      <c r="Y336" s="9" t="n">
        <v>0</v>
      </c>
      <c r="Z336" s="8" t="n">
        <v>0</v>
      </c>
      <c r="AA336" s="8" t="n">
        <v>0</v>
      </c>
      <c r="AB336" s="8" t="n">
        <v>0</v>
      </c>
      <c r="AC336" s="8" t="n">
        <v>0</v>
      </c>
      <c r="AD336" s="8" t="n">
        <v>0</v>
      </c>
      <c r="AE336" s="8" t="n">
        <v>0</v>
      </c>
      <c r="AF336" s="9" t="n">
        <v>0</v>
      </c>
      <c r="AG336" s="8" t="n">
        <v>0</v>
      </c>
      <c r="AH336" s="8" t="n">
        <v>0</v>
      </c>
      <c r="AI336" s="8" t="n">
        <v>0</v>
      </c>
      <c r="AJ336" s="8" t="n">
        <v>0</v>
      </c>
      <c r="AK336" s="8" t="n">
        <v>0</v>
      </c>
      <c r="AL336" s="8" t="n">
        <v>0</v>
      </c>
      <c r="AM336" s="9" t="n">
        <v>0</v>
      </c>
      <c r="AN336" s="8" t="n">
        <v>0</v>
      </c>
      <c r="AO336" s="8" t="n">
        <v>0</v>
      </c>
      <c r="AP336" s="8" t="n">
        <v>0</v>
      </c>
      <c r="AQ336" s="8" t="n">
        <v>0</v>
      </c>
      <c r="AR336" s="8" t="n">
        <v>0</v>
      </c>
      <c r="AS336" s="8" t="n">
        <v>0</v>
      </c>
      <c r="AT336" s="10">
        <f>SUM(O336:AS336)</f>
        <v/>
      </c>
      <c r="AU336" s="11">
        <f>COUNTIF(O336:AS336, "&gt;0")</f>
        <v/>
      </c>
      <c r="AV336" s="12">
        <f>IF(AU336&gt;=5, 4, IF(AU336&gt;0, INT(AU336/6), 0))</f>
        <v/>
      </c>
      <c r="AW336" s="11" t="n">
        <v>0</v>
      </c>
      <c r="AX336" s="11" t="n">
        <v>0</v>
      </c>
      <c r="AY336" s="13">
        <f>MIN(31, AU336+AV336+AW336+AX336)</f>
        <v/>
      </c>
      <c r="AZ336" s="14">
        <f>31-AY336</f>
        <v/>
      </c>
      <c r="BA336" s="5">
        <f>IF(AX336&gt;0, "01-İstirahat", IF(AZ336&gt;0, "12-Birden Fazla", ""))</f>
        <v/>
      </c>
      <c r="BB336" s="10" t="n">
        <v>0</v>
      </c>
      <c r="BC336" s="8" t="n">
        <v>0</v>
      </c>
      <c r="BD336" s="9" t="n">
        <v>0</v>
      </c>
      <c r="BE336" s="7">
        <f>(L336/30)*AU336</f>
        <v/>
      </c>
      <c r="BF336" s="15">
        <f>(L336/225)*((BB336*1.5)-(BC336*1.0))</f>
        <v/>
      </c>
      <c r="BG336" s="16">
        <f>(L336/225)*1.5*BD336</f>
        <v/>
      </c>
      <c r="BH336" s="15">
        <f>BF336+BG336</f>
        <v/>
      </c>
      <c r="BI336" s="17">
        <f>BE336+BH336</f>
        <v/>
      </c>
      <c r="BJ336" s="7">
        <f>IFERROR(VLOOKUP(B336, Resmi_Bordro_SGK!B:M, 11, FALSE), 0)</f>
        <v/>
      </c>
      <c r="BK336" s="18">
        <f>IFERROR(VLOOKUP(B336, Icra_Takip!A:E, 4, FALSE), 0)</f>
        <v/>
      </c>
      <c r="BL336" s="17">
        <f>IF(BI336&gt;BJ336, BI336-BJ336-BK336, 0)</f>
        <v/>
      </c>
      <c r="BM336" s="17">
        <f>BI336-BK336</f>
        <v/>
      </c>
    </row>
    <row r="337" ht="19" customHeight="1">
      <c r="A337" s="4" t="n">
        <v>334</v>
      </c>
      <c r="B337" s="5" t="inlineStr">
        <is>
          <t>23024749922</t>
        </is>
      </c>
      <c r="C337" s="6" t="inlineStr">
        <is>
          <t>SEDEF DUMAN</t>
        </is>
      </c>
      <c r="D337" s="4" t="inlineStr">
        <is>
          <t>K</t>
        </is>
      </c>
      <c r="E337" s="4" t="inlineStr"/>
      <c r="F337" s="4" t="inlineStr">
        <is>
          <t>26.07.2026</t>
        </is>
      </c>
      <c r="G337" s="4" t="inlineStr"/>
      <c r="H337" s="4" t="inlineStr">
        <is>
          <t>NORMAL</t>
        </is>
      </c>
      <c r="I337" s="4" t="inlineStr">
        <is>
          <t>MEVSİMLİK</t>
        </is>
      </c>
      <c r="J337" s="6" t="inlineStr">
        <is>
          <t>ÜRETİM</t>
        </is>
      </c>
      <c r="K337" s="6" t="inlineStr">
        <is>
          <t>KARACABEY-HALİL</t>
        </is>
      </c>
      <c r="L337" s="7" t="n">
        <v>28075.5</v>
      </c>
      <c r="M337" s="4" t="inlineStr">
        <is>
          <t>FİDE KONSERVE</t>
        </is>
      </c>
      <c r="N337" s="4" t="inlineStr">
        <is>
          <t>ALIR</t>
        </is>
      </c>
      <c r="O337" s="19" t="n">
        <v>0</v>
      </c>
      <c r="P337" s="19" t="n">
        <v>0</v>
      </c>
      <c r="Q337" s="19" t="n">
        <v>0</v>
      </c>
      <c r="R337" s="9" t="n">
        <v>0</v>
      </c>
      <c r="S337" s="19" t="n">
        <v>0</v>
      </c>
      <c r="T337" s="19" t="n">
        <v>0</v>
      </c>
      <c r="U337" s="19" t="n">
        <v>0</v>
      </c>
      <c r="V337" s="19" t="n">
        <v>0</v>
      </c>
      <c r="W337" s="19" t="n">
        <v>0</v>
      </c>
      <c r="X337" s="19" t="n">
        <v>0</v>
      </c>
      <c r="Y337" s="9" t="n">
        <v>0</v>
      </c>
      <c r="Z337" s="19" t="n">
        <v>0</v>
      </c>
      <c r="AA337" s="19" t="n">
        <v>0</v>
      </c>
      <c r="AB337" s="19" t="n">
        <v>0</v>
      </c>
      <c r="AC337" s="19" t="n">
        <v>0</v>
      </c>
      <c r="AD337" s="19" t="n">
        <v>0</v>
      </c>
      <c r="AE337" s="19" t="n">
        <v>0</v>
      </c>
      <c r="AF337" s="9" t="n">
        <v>0</v>
      </c>
      <c r="AG337" s="19" t="n">
        <v>0</v>
      </c>
      <c r="AH337" s="19" t="n">
        <v>0</v>
      </c>
      <c r="AI337" s="19" t="n">
        <v>0</v>
      </c>
      <c r="AJ337" s="19" t="n">
        <v>0</v>
      </c>
      <c r="AK337" s="19" t="n">
        <v>0</v>
      </c>
      <c r="AL337" s="19" t="n">
        <v>0</v>
      </c>
      <c r="AM337" s="9" t="n">
        <v>0</v>
      </c>
      <c r="AN337" s="19" t="n">
        <v>0</v>
      </c>
      <c r="AO337" s="19" t="n">
        <v>0</v>
      </c>
      <c r="AP337" s="19" t="n">
        <v>0</v>
      </c>
      <c r="AQ337" s="19" t="n">
        <v>0</v>
      </c>
      <c r="AR337" s="19" t="n">
        <v>0</v>
      </c>
      <c r="AS337" s="19" t="n">
        <v>0</v>
      </c>
      <c r="AT337" s="10">
        <f>SUM(O337:AS337)</f>
        <v/>
      </c>
      <c r="AU337" s="20">
        <f>COUNTIF(O337:AS337, "&gt;0")</f>
        <v/>
      </c>
      <c r="AV337" s="12">
        <f>IF(AU337&gt;=5, 4, IF(AU337&gt;0, INT(AU337/6), 0))</f>
        <v/>
      </c>
      <c r="AW337" s="20" t="n">
        <v>0</v>
      </c>
      <c r="AX337" s="20" t="n">
        <v>0</v>
      </c>
      <c r="AY337" s="13">
        <f>MIN(31, AU337+AV337+AW337+AX337)</f>
        <v/>
      </c>
      <c r="AZ337" s="14">
        <f>31-AY337</f>
        <v/>
      </c>
      <c r="BA337" s="21">
        <f>IF(AX337&gt;0, "01-İstirahat", IF(AZ337&gt;0, "12-Birden Fazla", ""))</f>
        <v/>
      </c>
      <c r="BB337" s="10" t="n">
        <v>0</v>
      </c>
      <c r="BC337" s="19" t="n">
        <v>0</v>
      </c>
      <c r="BD337" s="9" t="n">
        <v>0</v>
      </c>
      <c r="BE337" s="22">
        <f>(L337/30)*AU337</f>
        <v/>
      </c>
      <c r="BF337" s="15">
        <f>(L337/225)*((BB337*1.5)-(BC337*1.0))</f>
        <v/>
      </c>
      <c r="BG337" s="16">
        <f>(L337/225)*1.5*BD337</f>
        <v/>
      </c>
      <c r="BH337" s="15">
        <f>BF337+BG337</f>
        <v/>
      </c>
      <c r="BI337" s="17">
        <f>BE337+BH337</f>
        <v/>
      </c>
      <c r="BJ337" s="22">
        <f>IFERROR(VLOOKUP(B337, Resmi_Bordro_SGK!B:M, 11, FALSE), 0)</f>
        <v/>
      </c>
      <c r="BK337" s="18">
        <f>IFERROR(VLOOKUP(B337, Icra_Takip!A:E, 4, FALSE), 0)</f>
        <v/>
      </c>
      <c r="BL337" s="17">
        <f>IF(BI337&gt;BJ337, BI337-BJ337-BK337, 0)</f>
        <v/>
      </c>
      <c r="BM337" s="17">
        <f>BI337-BK337</f>
        <v/>
      </c>
    </row>
    <row r="338" ht="19" customHeight="1">
      <c r="A338" s="4" t="n">
        <v>335</v>
      </c>
      <c r="B338" s="5" t="inlineStr">
        <is>
          <t>24178356332</t>
        </is>
      </c>
      <c r="C338" s="6" t="inlineStr">
        <is>
          <t>SEHER ÖZDEN</t>
        </is>
      </c>
      <c r="D338" s="4" t="inlineStr">
        <is>
          <t>K</t>
        </is>
      </c>
      <c r="E338" s="4" t="inlineStr"/>
      <c r="F338" s="4" t="inlineStr">
        <is>
          <t>02.01.2023</t>
        </is>
      </c>
      <c r="G338" s="4" t="inlineStr"/>
      <c r="H338" s="4" t="inlineStr">
        <is>
          <t>NORMAL</t>
        </is>
      </c>
      <c r="I338" s="4" t="inlineStr">
        <is>
          <t>DAİMİ</t>
        </is>
      </c>
      <c r="J338" s="6" t="inlineStr">
        <is>
          <t>YEMEKHANE</t>
        </is>
      </c>
      <c r="K338" s="6" t="inlineStr">
        <is>
          <t>BALIKESİR</t>
        </is>
      </c>
      <c r="L338" s="7" t="n">
        <v>28075.5</v>
      </c>
      <c r="M338" s="4" t="inlineStr">
        <is>
          <t>FİDE KONSERVE</t>
        </is>
      </c>
      <c r="N338" s="4" t="inlineStr">
        <is>
          <t>ALIR</t>
        </is>
      </c>
      <c r="O338" s="8" t="n">
        <v>8</v>
      </c>
      <c r="P338" s="8" t="n">
        <v>8.5</v>
      </c>
      <c r="Q338" s="8" t="n">
        <v>8</v>
      </c>
      <c r="R338" s="9" t="n">
        <v>0</v>
      </c>
      <c r="S338" s="8" t="n">
        <v>7.5</v>
      </c>
      <c r="T338" s="8" t="n">
        <v>8</v>
      </c>
      <c r="U338" s="23" t="n">
        <v>19.5</v>
      </c>
      <c r="V338" s="8" t="n">
        <v>8</v>
      </c>
      <c r="W338" s="8" t="n">
        <v>8</v>
      </c>
      <c r="X338" s="8" t="n">
        <v>8.5</v>
      </c>
      <c r="Y338" s="9" t="n">
        <v>7.5</v>
      </c>
      <c r="Z338" s="8" t="n">
        <v>7.5</v>
      </c>
      <c r="AA338" s="8" t="n">
        <v>7.5</v>
      </c>
      <c r="AB338" s="8" t="n">
        <v>8.5</v>
      </c>
      <c r="AC338" s="8" t="n">
        <v>7.5</v>
      </c>
      <c r="AD338" s="8" t="n">
        <v>7.5</v>
      </c>
      <c r="AE338" s="8" t="n">
        <v>8.5</v>
      </c>
      <c r="AF338" s="9" t="n">
        <v>6</v>
      </c>
      <c r="AG338" s="8" t="n">
        <v>8</v>
      </c>
      <c r="AH338" s="8" t="n">
        <v>7.5</v>
      </c>
      <c r="AI338" s="8" t="n">
        <v>7.5</v>
      </c>
      <c r="AJ338" s="8" t="n">
        <v>0</v>
      </c>
      <c r="AK338" s="8" t="n">
        <v>0</v>
      </c>
      <c r="AL338" s="8" t="n">
        <v>0</v>
      </c>
      <c r="AM338" s="9" t="n">
        <v>0</v>
      </c>
      <c r="AN338" s="8" t="n">
        <v>0</v>
      </c>
      <c r="AO338" s="8" t="n">
        <v>0</v>
      </c>
      <c r="AP338" s="8" t="n">
        <v>0</v>
      </c>
      <c r="AQ338" s="8" t="n">
        <v>0</v>
      </c>
      <c r="AR338" s="8" t="n">
        <v>0</v>
      </c>
      <c r="AS338" s="8" t="n">
        <v>0</v>
      </c>
      <c r="AT338" s="10">
        <f>SUM(O338:AS338)</f>
        <v/>
      </c>
      <c r="AU338" s="11">
        <f>COUNTIF(O338:AS338, "&gt;0")</f>
        <v/>
      </c>
      <c r="AV338" s="12">
        <f>IF(AU338&gt;=5, 4, IF(AU338&gt;0, INT(AU338/6), 0))</f>
        <v/>
      </c>
      <c r="AW338" s="11" t="n">
        <v>0</v>
      </c>
      <c r="AX338" s="11" t="n">
        <v>0</v>
      </c>
      <c r="AY338" s="13">
        <f>MIN(31, AU338+AV338+AW338+AX338)</f>
        <v/>
      </c>
      <c r="AZ338" s="14">
        <f>31-AY338</f>
        <v/>
      </c>
      <c r="BA338" s="5">
        <f>IF(AX338&gt;0, "01-İstirahat", IF(AZ338&gt;0, "12-Birden Fazla", ""))</f>
        <v/>
      </c>
      <c r="BB338" s="10" t="n">
        <v>19</v>
      </c>
      <c r="BC338" s="8" t="n">
        <v>0</v>
      </c>
      <c r="BD338" s="9" t="n">
        <v>13.5</v>
      </c>
      <c r="BE338" s="7">
        <f>(L338/30)*AU338</f>
        <v/>
      </c>
      <c r="BF338" s="15">
        <f>(L338/225)*((BB338*1.5)-(BC338*1.0))</f>
        <v/>
      </c>
      <c r="BG338" s="16">
        <f>(L338/225)*1.5*BD338</f>
        <v/>
      </c>
      <c r="BH338" s="15">
        <f>BF338+BG338</f>
        <v/>
      </c>
      <c r="BI338" s="17">
        <f>BE338+BH338</f>
        <v/>
      </c>
      <c r="BJ338" s="7">
        <f>IFERROR(VLOOKUP(B338, Resmi_Bordro_SGK!B:M, 11, FALSE), 0)</f>
        <v/>
      </c>
      <c r="BK338" s="18">
        <f>IFERROR(VLOOKUP(B338, Icra_Takip!A:E, 4, FALSE), 0)</f>
        <v/>
      </c>
      <c r="BL338" s="17">
        <f>IF(BI338&gt;BJ338, BI338-BJ338-BK338, 0)</f>
        <v/>
      </c>
      <c r="BM338" s="17">
        <f>BI338-BK338</f>
        <v/>
      </c>
    </row>
    <row r="339" ht="19" customHeight="1">
      <c r="A339" s="4" t="n">
        <v>336</v>
      </c>
      <c r="B339" s="5" t="inlineStr">
        <is>
          <t>11248811624</t>
        </is>
      </c>
      <c r="C339" s="6" t="inlineStr">
        <is>
          <t>SELAHATTİN SÜGÜT</t>
        </is>
      </c>
      <c r="D339" s="4" t="inlineStr">
        <is>
          <t>E</t>
        </is>
      </c>
      <c r="E339" s="4" t="inlineStr"/>
      <c r="F339" s="4" t="inlineStr">
        <is>
          <t>17.05.2023</t>
        </is>
      </c>
      <c r="G339" s="4" t="inlineStr"/>
      <c r="H339" s="4" t="inlineStr">
        <is>
          <t>SGDP-ENGELLİ</t>
        </is>
      </c>
      <c r="I339" s="4" t="inlineStr">
        <is>
          <t>DAİMİ</t>
        </is>
      </c>
      <c r="J339" s="6" t="inlineStr">
        <is>
          <t>ŞÖFÖR</t>
        </is>
      </c>
      <c r="K339" s="6" t="inlineStr">
        <is>
          <t>GÖBEL</t>
        </is>
      </c>
      <c r="L339" s="7" t="n">
        <v>30185</v>
      </c>
      <c r="M339" s="4" t="inlineStr">
        <is>
          <t>FİDE KONSERVE</t>
        </is>
      </c>
      <c r="N339" s="4" t="inlineStr">
        <is>
          <t>ALIR</t>
        </is>
      </c>
      <c r="O339" s="19" t="n">
        <v>11.5</v>
      </c>
      <c r="P339" s="23" t="n">
        <v>8</v>
      </c>
      <c r="Q339" s="19" t="n">
        <v>8.5</v>
      </c>
      <c r="R339" s="9" t="n">
        <v>7.5</v>
      </c>
      <c r="S339" s="19" t="n">
        <v>7.5</v>
      </c>
      <c r="T339" s="19" t="n">
        <v>0</v>
      </c>
      <c r="U339" s="19" t="n">
        <v>0</v>
      </c>
      <c r="V339" s="19" t="n">
        <v>0</v>
      </c>
      <c r="W339" s="19" t="n">
        <v>0</v>
      </c>
      <c r="X339" s="19" t="n">
        <v>0</v>
      </c>
      <c r="Y339" s="9" t="n">
        <v>0</v>
      </c>
      <c r="Z339" s="19" t="n">
        <v>0</v>
      </c>
      <c r="AA339" s="19" t="n">
        <v>0</v>
      </c>
      <c r="AB339" s="19" t="n">
        <v>0</v>
      </c>
      <c r="AC339" s="19" t="n">
        <v>0</v>
      </c>
      <c r="AD339" s="19" t="n">
        <v>0</v>
      </c>
      <c r="AE339" s="19" t="n">
        <v>0</v>
      </c>
      <c r="AF339" s="9" t="n">
        <v>0</v>
      </c>
      <c r="AG339" s="23" t="n">
        <v>7.5</v>
      </c>
      <c r="AH339" s="19" t="n">
        <v>0</v>
      </c>
      <c r="AI339" s="19" t="n">
        <v>0</v>
      </c>
      <c r="AJ339" s="19" t="n">
        <v>0</v>
      </c>
      <c r="AK339" s="19" t="n">
        <v>0</v>
      </c>
      <c r="AL339" s="19" t="n">
        <v>0</v>
      </c>
      <c r="AM339" s="9" t="n">
        <v>0</v>
      </c>
      <c r="AN339" s="19" t="n">
        <v>0</v>
      </c>
      <c r="AO339" s="19" t="n">
        <v>0</v>
      </c>
      <c r="AP339" s="19" t="n">
        <v>0</v>
      </c>
      <c r="AQ339" s="19" t="n">
        <v>0</v>
      </c>
      <c r="AR339" s="19" t="n">
        <v>0</v>
      </c>
      <c r="AS339" s="19" t="n">
        <v>0</v>
      </c>
      <c r="AT339" s="10">
        <f>SUM(O339:AS339)</f>
        <v/>
      </c>
      <c r="AU339" s="20">
        <f>COUNTIF(O339:AS339, "&gt;0")</f>
        <v/>
      </c>
      <c r="AV339" s="12">
        <f>IF(AU339&gt;=5, 4, IF(AU339&gt;0, INT(AU339/6), 0))</f>
        <v/>
      </c>
      <c r="AW339" s="20" t="n">
        <v>0</v>
      </c>
      <c r="AX339" s="20" t="n">
        <v>0</v>
      </c>
      <c r="AY339" s="13">
        <f>MIN(31, AU339+AV339+AW339+AX339)</f>
        <v/>
      </c>
      <c r="AZ339" s="14">
        <f>31-AY339</f>
        <v/>
      </c>
      <c r="BA339" s="21">
        <f>IF(AX339&gt;0, "01-İstirahat", IF(AZ339&gt;0, "12-Birden Fazla", ""))</f>
        <v/>
      </c>
      <c r="BB339" s="10" t="n">
        <v>9.5</v>
      </c>
      <c r="BC339" s="19" t="n">
        <v>0</v>
      </c>
      <c r="BD339" s="9" t="n">
        <v>7.5</v>
      </c>
      <c r="BE339" s="22">
        <f>(L339/30)*AU339</f>
        <v/>
      </c>
      <c r="BF339" s="15">
        <f>(L339/225)*((BB339*1.5)-(BC339*1.0))</f>
        <v/>
      </c>
      <c r="BG339" s="16">
        <f>(L339/225)*1.5*BD339</f>
        <v/>
      </c>
      <c r="BH339" s="15">
        <f>BF339+BG339</f>
        <v/>
      </c>
      <c r="BI339" s="17">
        <f>BE339+BH339</f>
        <v/>
      </c>
      <c r="BJ339" s="22">
        <f>IFERROR(VLOOKUP(B339, Resmi_Bordro_SGK!B:M, 11, FALSE), 0)</f>
        <v/>
      </c>
      <c r="BK339" s="18">
        <f>IFERROR(VLOOKUP(B339, Icra_Takip!A:E, 4, FALSE), 0)</f>
        <v/>
      </c>
      <c r="BL339" s="17">
        <f>IF(BI339&gt;BJ339, BI339-BJ339-BK339, 0)</f>
        <v/>
      </c>
      <c r="BM339" s="17">
        <f>BI339-BK339</f>
        <v/>
      </c>
    </row>
    <row r="340" ht="19" customHeight="1">
      <c r="A340" s="4" t="n">
        <v>337</v>
      </c>
      <c r="B340" s="5" t="inlineStr">
        <is>
          <t>19723478966</t>
        </is>
      </c>
      <c r="C340" s="6" t="inlineStr">
        <is>
          <t>SELMA AYHAN</t>
        </is>
      </c>
      <c r="D340" s="4" t="inlineStr">
        <is>
          <t>K</t>
        </is>
      </c>
      <c r="E340" s="4" t="inlineStr"/>
      <c r="F340" s="4" t="inlineStr">
        <is>
          <t>25.06.2026</t>
        </is>
      </c>
      <c r="G340" s="4" t="inlineStr"/>
      <c r="H340" s="4" t="inlineStr">
        <is>
          <t>NORMAL</t>
        </is>
      </c>
      <c r="I340" s="4" t="inlineStr">
        <is>
          <t>MEVSİMLİK</t>
        </is>
      </c>
      <c r="J340" s="6" t="inlineStr">
        <is>
          <t>ÜRETİM</t>
        </is>
      </c>
      <c r="K340" s="6" t="inlineStr">
        <is>
          <t>BİGADİÇ</t>
        </is>
      </c>
      <c r="L340" s="7" t="n">
        <v>28075.5</v>
      </c>
      <c r="M340" s="4" t="inlineStr">
        <is>
          <t>FİDE KONSERVE</t>
        </is>
      </c>
      <c r="N340" s="4" t="inlineStr">
        <is>
          <t>ALIR</t>
        </is>
      </c>
      <c r="O340" s="8" t="n">
        <v>7.5</v>
      </c>
      <c r="P340" s="8" t="n">
        <v>7.5</v>
      </c>
      <c r="Q340" s="8" t="n">
        <v>7.5</v>
      </c>
      <c r="R340" s="9" t="n">
        <v>14.5</v>
      </c>
      <c r="S340" s="8" t="n">
        <v>7.5</v>
      </c>
      <c r="T340" s="8" t="n">
        <v>7.5</v>
      </c>
      <c r="U340" s="8" t="n">
        <v>7.5</v>
      </c>
      <c r="V340" s="8" t="n">
        <v>7.5</v>
      </c>
      <c r="W340" s="23" t="n">
        <v>14.5</v>
      </c>
      <c r="X340" s="8" t="n">
        <v>0</v>
      </c>
      <c r="Y340" s="9" t="n">
        <v>0</v>
      </c>
      <c r="Z340" s="8" t="n">
        <v>0</v>
      </c>
      <c r="AA340" s="8" t="n">
        <v>0</v>
      </c>
      <c r="AB340" s="8" t="n">
        <v>0</v>
      </c>
      <c r="AC340" s="8" t="n">
        <v>0</v>
      </c>
      <c r="AD340" s="8" t="n">
        <v>0</v>
      </c>
      <c r="AE340" s="8" t="n">
        <v>0</v>
      </c>
      <c r="AF340" s="9" t="n">
        <v>0</v>
      </c>
      <c r="AG340" s="8" t="n">
        <v>0</v>
      </c>
      <c r="AH340" s="8" t="n">
        <v>7.5</v>
      </c>
      <c r="AI340" s="23" t="n">
        <v>7.5</v>
      </c>
      <c r="AJ340" s="8" t="n">
        <v>0</v>
      </c>
      <c r="AK340" s="8" t="n">
        <v>0</v>
      </c>
      <c r="AL340" s="8" t="n">
        <v>0</v>
      </c>
      <c r="AM340" s="9" t="n">
        <v>0</v>
      </c>
      <c r="AN340" s="8" t="n">
        <v>0</v>
      </c>
      <c r="AO340" s="8" t="n">
        <v>0</v>
      </c>
      <c r="AP340" s="8" t="n">
        <v>0</v>
      </c>
      <c r="AQ340" s="8" t="n">
        <v>0</v>
      </c>
      <c r="AR340" s="8" t="n">
        <v>0</v>
      </c>
      <c r="AS340" s="8" t="n">
        <v>0</v>
      </c>
      <c r="AT340" s="10">
        <f>SUM(O340:AS340)</f>
        <v/>
      </c>
      <c r="AU340" s="11">
        <f>COUNTIF(O340:AS340, "&gt;0")</f>
        <v/>
      </c>
      <c r="AV340" s="12">
        <f>IF(AU340&gt;=5, 4, IF(AU340&gt;0, INT(AU340/6), 0))</f>
        <v/>
      </c>
      <c r="AW340" s="11" t="n">
        <v>0</v>
      </c>
      <c r="AX340" s="11" t="n">
        <v>0</v>
      </c>
      <c r="AY340" s="13">
        <f>MIN(31, AU340+AV340+AW340+AX340)</f>
        <v/>
      </c>
      <c r="AZ340" s="14">
        <f>31-AY340</f>
        <v/>
      </c>
      <c r="BA340" s="5">
        <f>IF(AX340&gt;0, "01-İstirahat", IF(AZ340&gt;0, "12-Birden Fazla", ""))</f>
        <v/>
      </c>
      <c r="BB340" s="10" t="n">
        <v>7</v>
      </c>
      <c r="BC340" s="8" t="n">
        <v>0</v>
      </c>
      <c r="BD340" s="9" t="n">
        <v>14.5</v>
      </c>
      <c r="BE340" s="7">
        <f>(L340/30)*AU340</f>
        <v/>
      </c>
      <c r="BF340" s="15">
        <f>(L340/225)*((BB340*1.5)-(BC340*1.0))</f>
        <v/>
      </c>
      <c r="BG340" s="16">
        <f>(L340/225)*1.5*BD340</f>
        <v/>
      </c>
      <c r="BH340" s="15">
        <f>BF340+BG340</f>
        <v/>
      </c>
      <c r="BI340" s="17">
        <f>BE340+BH340</f>
        <v/>
      </c>
      <c r="BJ340" s="7">
        <f>IFERROR(VLOOKUP(B340, Resmi_Bordro_SGK!B:M, 11, FALSE), 0)</f>
        <v/>
      </c>
      <c r="BK340" s="18">
        <f>IFERROR(VLOOKUP(B340, Icra_Takip!A:E, 4, FALSE), 0)</f>
        <v/>
      </c>
      <c r="BL340" s="17">
        <f>IF(BI340&gt;BJ340, BI340-BJ340-BK340, 0)</f>
        <v/>
      </c>
      <c r="BM340" s="17">
        <f>BI340-BK340</f>
        <v/>
      </c>
    </row>
    <row r="341" ht="19" customHeight="1">
      <c r="A341" s="4" t="n">
        <v>338</v>
      </c>
      <c r="B341" s="5" t="inlineStr">
        <is>
          <t>49369567458</t>
        </is>
      </c>
      <c r="C341" s="6" t="inlineStr">
        <is>
          <t>SELMA TUNÇ</t>
        </is>
      </c>
      <c r="D341" s="4" t="inlineStr">
        <is>
          <t>K</t>
        </is>
      </c>
      <c r="E341" s="4" t="inlineStr"/>
      <c r="F341" s="4" t="inlineStr">
        <is>
          <t>12.11.2025</t>
        </is>
      </c>
      <c r="G341" s="4" t="inlineStr"/>
      <c r="H341" s="4" t="inlineStr">
        <is>
          <t>NORMAL</t>
        </is>
      </c>
      <c r="I341" s="4" t="inlineStr">
        <is>
          <t>MEVSİMLİK</t>
        </is>
      </c>
      <c r="J341" s="6" t="inlineStr">
        <is>
          <t>BALIK TEMİZLEME</t>
        </is>
      </c>
      <c r="K341" s="6" t="inlineStr">
        <is>
          <t>BALIKESİR</t>
        </is>
      </c>
      <c r="L341" s="7" t="n">
        <v>33000</v>
      </c>
      <c r="M341" s="4" t="inlineStr">
        <is>
          <t>FİDE KONSERVE</t>
        </is>
      </c>
      <c r="N341" s="4" t="inlineStr">
        <is>
          <t>ALIR</t>
        </is>
      </c>
      <c r="O341" s="19" t="n">
        <v>8</v>
      </c>
      <c r="P341" s="19" t="n">
        <v>8.5</v>
      </c>
      <c r="Q341" s="19" t="n">
        <v>8</v>
      </c>
      <c r="R341" s="9" t="n">
        <v>0</v>
      </c>
      <c r="S341" s="19" t="n">
        <v>7.5</v>
      </c>
      <c r="T341" s="19" t="n">
        <v>8</v>
      </c>
      <c r="U341" s="19" t="n">
        <v>8</v>
      </c>
      <c r="V341" s="19" t="n">
        <v>8</v>
      </c>
      <c r="W341" s="19" t="n">
        <v>8</v>
      </c>
      <c r="X341" s="19" t="n">
        <v>8.5</v>
      </c>
      <c r="Y341" s="9" t="n">
        <v>0</v>
      </c>
      <c r="Z341" s="19" t="n">
        <v>0</v>
      </c>
      <c r="AA341" s="19" t="n">
        <v>0</v>
      </c>
      <c r="AB341" s="19" t="n">
        <v>0</v>
      </c>
      <c r="AC341" s="19" t="n">
        <v>0</v>
      </c>
      <c r="AD341" s="19" t="n">
        <v>0</v>
      </c>
      <c r="AE341" s="19" t="n">
        <v>8.5</v>
      </c>
      <c r="AF341" s="9" t="n">
        <v>0</v>
      </c>
      <c r="AG341" s="19" t="n">
        <v>8</v>
      </c>
      <c r="AH341" s="19" t="n">
        <v>0</v>
      </c>
      <c r="AI341" s="19" t="n">
        <v>7.5</v>
      </c>
      <c r="AJ341" s="19" t="n">
        <v>0</v>
      </c>
      <c r="AK341" s="19" t="n">
        <v>0</v>
      </c>
      <c r="AL341" s="19" t="n">
        <v>0</v>
      </c>
      <c r="AM341" s="9" t="n">
        <v>0</v>
      </c>
      <c r="AN341" s="19" t="n">
        <v>0</v>
      </c>
      <c r="AO341" s="19" t="n">
        <v>0</v>
      </c>
      <c r="AP341" s="19" t="n">
        <v>0</v>
      </c>
      <c r="AQ341" s="19" t="n">
        <v>0</v>
      </c>
      <c r="AR341" s="19" t="n">
        <v>0</v>
      </c>
      <c r="AS341" s="19" t="n">
        <v>0</v>
      </c>
      <c r="AT341" s="10">
        <f>SUM(O341:AS341)</f>
        <v/>
      </c>
      <c r="AU341" s="20">
        <f>COUNTIF(O341:AS341, "&gt;0")</f>
        <v/>
      </c>
      <c r="AV341" s="12">
        <f>IF(AU341&gt;=5, 4, IF(AU341&gt;0, INT(AU341/6), 0))</f>
        <v/>
      </c>
      <c r="AW341" s="20" t="n">
        <v>0</v>
      </c>
      <c r="AX341" s="20" t="n">
        <v>0</v>
      </c>
      <c r="AY341" s="13">
        <f>MIN(31, AU341+AV341+AW341+AX341)</f>
        <v/>
      </c>
      <c r="AZ341" s="14">
        <f>31-AY341</f>
        <v/>
      </c>
      <c r="BA341" s="21">
        <f>IF(AX341&gt;0, "01-İstirahat", IF(AZ341&gt;0, "12-Birden Fazla", ""))</f>
        <v/>
      </c>
      <c r="BB341" s="10" t="n">
        <v>6.5</v>
      </c>
      <c r="BC341" s="19" t="n">
        <v>0</v>
      </c>
      <c r="BD341" s="9" t="n">
        <v>0</v>
      </c>
      <c r="BE341" s="22">
        <f>(L341/30)*AU341</f>
        <v/>
      </c>
      <c r="BF341" s="15">
        <f>(L341/225)*((BB341*1.5)-(BC341*1.0))</f>
        <v/>
      </c>
      <c r="BG341" s="16">
        <f>(L341/225)*1.5*BD341</f>
        <v/>
      </c>
      <c r="BH341" s="15">
        <f>BF341+BG341</f>
        <v/>
      </c>
      <c r="BI341" s="17">
        <f>BE341+BH341</f>
        <v/>
      </c>
      <c r="BJ341" s="22">
        <f>IFERROR(VLOOKUP(B341, Resmi_Bordro_SGK!B:M, 11, FALSE), 0)</f>
        <v/>
      </c>
      <c r="BK341" s="18">
        <f>IFERROR(VLOOKUP(B341, Icra_Takip!A:E, 4, FALSE), 0)</f>
        <v/>
      </c>
      <c r="BL341" s="17">
        <f>IF(BI341&gt;BJ341, BI341-BJ341-BK341, 0)</f>
        <v/>
      </c>
      <c r="BM341" s="17">
        <f>BI341-BK341</f>
        <v/>
      </c>
    </row>
    <row r="342" ht="19" customHeight="1">
      <c r="A342" s="4" t="n">
        <v>339</v>
      </c>
      <c r="B342" s="5" t="inlineStr">
        <is>
          <t>33451458564</t>
        </is>
      </c>
      <c r="C342" s="6" t="inlineStr">
        <is>
          <t>SELMATA ANIK</t>
        </is>
      </c>
      <c r="D342" s="4" t="inlineStr">
        <is>
          <t>K</t>
        </is>
      </c>
      <c r="E342" s="4" t="inlineStr"/>
      <c r="F342" s="4" t="inlineStr">
        <is>
          <t>15.07.2026</t>
        </is>
      </c>
      <c r="G342" s="4" t="inlineStr"/>
      <c r="H342" s="4" t="inlineStr">
        <is>
          <t>NORMAL</t>
        </is>
      </c>
      <c r="I342" s="4" t="inlineStr">
        <is>
          <t>MEVSİMLİK</t>
        </is>
      </c>
      <c r="J342" s="6" t="inlineStr">
        <is>
          <t>ÜRETİM</t>
        </is>
      </c>
      <c r="K342" s="6" t="inlineStr">
        <is>
          <t>KARACABEY-HALİL</t>
        </is>
      </c>
      <c r="L342" s="7" t="n">
        <v>28075.5</v>
      </c>
      <c r="M342" s="4" t="inlineStr">
        <is>
          <t>FİDE KONSERVE</t>
        </is>
      </c>
      <c r="N342" s="4" t="inlineStr">
        <is>
          <t>ALIR</t>
        </is>
      </c>
      <c r="O342" s="8" t="n">
        <v>10.5</v>
      </c>
      <c r="P342" s="8" t="n">
        <v>10.5</v>
      </c>
      <c r="Q342" s="8" t="n">
        <v>10.5</v>
      </c>
      <c r="R342" s="9" t="n">
        <v>0</v>
      </c>
      <c r="S342" s="8" t="n">
        <v>10.5</v>
      </c>
      <c r="T342" s="8" t="n">
        <v>10.5</v>
      </c>
      <c r="U342" s="8" t="n">
        <v>10.5</v>
      </c>
      <c r="V342" s="8" t="n">
        <v>10.5</v>
      </c>
      <c r="W342" s="8" t="n">
        <v>10.5</v>
      </c>
      <c r="X342" s="8" t="n">
        <v>10.5</v>
      </c>
      <c r="Y342" s="9" t="n">
        <v>0</v>
      </c>
      <c r="Z342" s="8" t="n">
        <v>10.5</v>
      </c>
      <c r="AA342" s="8" t="n">
        <v>10.5</v>
      </c>
      <c r="AB342" s="8" t="n">
        <v>10.5</v>
      </c>
      <c r="AC342" s="8" t="n">
        <v>10.5</v>
      </c>
      <c r="AD342" s="8" t="n">
        <v>0</v>
      </c>
      <c r="AE342" s="8" t="n">
        <v>0</v>
      </c>
      <c r="AF342" s="9" t="n">
        <v>0</v>
      </c>
      <c r="AG342" s="8" t="n">
        <v>10.5</v>
      </c>
      <c r="AH342" s="8" t="n">
        <v>0</v>
      </c>
      <c r="AI342" s="8" t="n">
        <v>0</v>
      </c>
      <c r="AJ342" s="8" t="n">
        <v>0</v>
      </c>
      <c r="AK342" s="8" t="n">
        <v>0</v>
      </c>
      <c r="AL342" s="8" t="n">
        <v>0</v>
      </c>
      <c r="AM342" s="9" t="n">
        <v>0</v>
      </c>
      <c r="AN342" s="8" t="n">
        <v>0</v>
      </c>
      <c r="AO342" s="8" t="n">
        <v>0</v>
      </c>
      <c r="AP342" s="8" t="n">
        <v>0</v>
      </c>
      <c r="AQ342" s="8" t="n">
        <v>0</v>
      </c>
      <c r="AR342" s="8" t="n">
        <v>0</v>
      </c>
      <c r="AS342" s="8" t="n">
        <v>0</v>
      </c>
      <c r="AT342" s="10">
        <f>SUM(O342:AS342)</f>
        <v/>
      </c>
      <c r="AU342" s="11">
        <f>COUNTIF(O342:AS342, "&gt;0")</f>
        <v/>
      </c>
      <c r="AV342" s="12">
        <f>IF(AU342&gt;=5, 4, IF(AU342&gt;0, INT(AU342/6), 0))</f>
        <v/>
      </c>
      <c r="AW342" s="11" t="n">
        <v>0</v>
      </c>
      <c r="AX342" s="11" t="n">
        <v>0</v>
      </c>
      <c r="AY342" s="13">
        <f>MIN(31, AU342+AV342+AW342+AX342)</f>
        <v/>
      </c>
      <c r="AZ342" s="14">
        <f>31-AY342</f>
        <v/>
      </c>
      <c r="BA342" s="5">
        <f>IF(AX342&gt;0, "01-İstirahat", IF(AZ342&gt;0, "12-Birden Fazla", ""))</f>
        <v/>
      </c>
      <c r="BB342" s="10" t="n">
        <v>42</v>
      </c>
      <c r="BC342" s="8" t="n">
        <v>0</v>
      </c>
      <c r="BD342" s="9" t="n">
        <v>0</v>
      </c>
      <c r="BE342" s="7">
        <f>(L342/30)*AU342</f>
        <v/>
      </c>
      <c r="BF342" s="15">
        <f>(L342/225)*((BB342*1.5)-(BC342*1.0))</f>
        <v/>
      </c>
      <c r="BG342" s="16">
        <f>(L342/225)*1.5*BD342</f>
        <v/>
      </c>
      <c r="BH342" s="15">
        <f>BF342+BG342</f>
        <v/>
      </c>
      <c r="BI342" s="17">
        <f>BE342+BH342</f>
        <v/>
      </c>
      <c r="BJ342" s="7">
        <f>IFERROR(VLOOKUP(B342, Resmi_Bordro_SGK!B:M, 11, FALSE), 0)</f>
        <v/>
      </c>
      <c r="BK342" s="18">
        <f>IFERROR(VLOOKUP(B342, Icra_Takip!A:E, 4, FALSE), 0)</f>
        <v/>
      </c>
      <c r="BL342" s="17">
        <f>IF(BI342&gt;BJ342, BI342-BJ342-BK342, 0)</f>
        <v/>
      </c>
      <c r="BM342" s="17">
        <f>BI342-BK342</f>
        <v/>
      </c>
    </row>
    <row r="343" ht="19" customHeight="1">
      <c r="A343" s="4" t="n">
        <v>340</v>
      </c>
      <c r="B343" s="5" t="inlineStr">
        <is>
          <t>46825626414</t>
        </is>
      </c>
      <c r="C343" s="6" t="inlineStr">
        <is>
          <t>SEMANUR GÜLIŞIK</t>
        </is>
      </c>
      <c r="D343" s="4" t="inlineStr">
        <is>
          <t>K</t>
        </is>
      </c>
      <c r="E343" s="4" t="inlineStr"/>
      <c r="F343" s="4" t="inlineStr">
        <is>
          <t>10.02.2026</t>
        </is>
      </c>
      <c r="G343" s="4" t="inlineStr"/>
      <c r="H343" s="4" t="inlineStr">
        <is>
          <t>NORMAL</t>
        </is>
      </c>
      <c r="I343" s="4" t="inlineStr">
        <is>
          <t>DAİMİ</t>
        </is>
      </c>
      <c r="J343" s="6" t="inlineStr">
        <is>
          <t>FORMEN</t>
        </is>
      </c>
      <c r="K343" s="6" t="inlineStr">
        <is>
          <t>KARACABEY</t>
        </is>
      </c>
      <c r="L343" s="7" t="n">
        <v>34000</v>
      </c>
      <c r="M343" s="4" t="inlineStr">
        <is>
          <t>FİDE KONSERVE</t>
        </is>
      </c>
      <c r="N343" s="4" t="inlineStr">
        <is>
          <t>ALIR</t>
        </is>
      </c>
      <c r="O343" s="19" t="n">
        <v>8</v>
      </c>
      <c r="P343" s="19" t="n">
        <v>8.5</v>
      </c>
      <c r="Q343" s="19" t="n">
        <v>7.5</v>
      </c>
      <c r="R343" s="9" t="n">
        <v>0</v>
      </c>
      <c r="S343" s="19" t="n">
        <v>7.5</v>
      </c>
      <c r="T343" s="19" t="n">
        <v>0</v>
      </c>
      <c r="U343" s="19" t="n">
        <v>0</v>
      </c>
      <c r="V343" s="19" t="n">
        <v>8</v>
      </c>
      <c r="W343" s="19" t="n">
        <v>8.5</v>
      </c>
      <c r="X343" s="19" t="n">
        <v>8.5</v>
      </c>
      <c r="Y343" s="9" t="n">
        <v>0</v>
      </c>
      <c r="Z343" s="19" t="n">
        <v>7.5</v>
      </c>
      <c r="AA343" s="19" t="n">
        <v>7.5</v>
      </c>
      <c r="AB343" s="19" t="n">
        <v>8.5</v>
      </c>
      <c r="AC343" s="19" t="n">
        <v>7.5</v>
      </c>
      <c r="AD343" s="19" t="n">
        <v>12</v>
      </c>
      <c r="AE343" s="19" t="n">
        <v>7.5</v>
      </c>
      <c r="AF343" s="9" t="n">
        <v>0</v>
      </c>
      <c r="AG343" s="19" t="n">
        <v>8.5</v>
      </c>
      <c r="AH343" s="19" t="n">
        <v>7.5</v>
      </c>
      <c r="AI343" s="23" t="n">
        <v>8</v>
      </c>
      <c r="AJ343" s="19" t="n">
        <v>0</v>
      </c>
      <c r="AK343" s="19" t="n">
        <v>0</v>
      </c>
      <c r="AL343" s="19" t="n">
        <v>0</v>
      </c>
      <c r="AM343" s="9" t="n">
        <v>0</v>
      </c>
      <c r="AN343" s="19" t="n">
        <v>0</v>
      </c>
      <c r="AO343" s="19" t="n">
        <v>0</v>
      </c>
      <c r="AP343" s="19" t="n">
        <v>0</v>
      </c>
      <c r="AQ343" s="19" t="n">
        <v>0</v>
      </c>
      <c r="AR343" s="19" t="n">
        <v>0</v>
      </c>
      <c r="AS343" s="19" t="n">
        <v>0</v>
      </c>
      <c r="AT343" s="10">
        <f>SUM(O343:AS343)</f>
        <v/>
      </c>
      <c r="AU343" s="20">
        <f>COUNTIF(O343:AS343, "&gt;0")</f>
        <v/>
      </c>
      <c r="AV343" s="12">
        <f>IF(AU343&gt;=5, 4, IF(AU343&gt;0, INT(AU343/6), 0))</f>
        <v/>
      </c>
      <c r="AW343" s="20" t="n">
        <v>0</v>
      </c>
      <c r="AX343" s="20" t="n">
        <v>0</v>
      </c>
      <c r="AY343" s="13">
        <f>MIN(31, AU343+AV343+AW343+AX343)</f>
        <v/>
      </c>
      <c r="AZ343" s="14">
        <f>31-AY343</f>
        <v/>
      </c>
      <c r="BA343" s="21">
        <f>IF(AX343&gt;0, "01-İstirahat", IF(AZ343&gt;0, "12-Birden Fazla", ""))</f>
        <v/>
      </c>
      <c r="BB343" s="10" t="n">
        <v>11</v>
      </c>
      <c r="BC343" s="19" t="n">
        <v>0</v>
      </c>
      <c r="BD343" s="9" t="n">
        <v>0</v>
      </c>
      <c r="BE343" s="22">
        <f>(L343/30)*AU343</f>
        <v/>
      </c>
      <c r="BF343" s="15">
        <f>(L343/225)*((BB343*1.5)-(BC343*1.0))</f>
        <v/>
      </c>
      <c r="BG343" s="16">
        <f>(L343/225)*1.5*BD343</f>
        <v/>
      </c>
      <c r="BH343" s="15">
        <f>BF343+BG343</f>
        <v/>
      </c>
      <c r="BI343" s="17">
        <f>BE343+BH343</f>
        <v/>
      </c>
      <c r="BJ343" s="22">
        <f>IFERROR(VLOOKUP(B343, Resmi_Bordro_SGK!B:M, 11, FALSE), 0)</f>
        <v/>
      </c>
      <c r="BK343" s="18">
        <f>IFERROR(VLOOKUP(B343, Icra_Takip!A:E, 4, FALSE), 0)</f>
        <v/>
      </c>
      <c r="BL343" s="17">
        <f>IF(BI343&gt;BJ343, BI343-BJ343-BK343, 0)</f>
        <v/>
      </c>
      <c r="BM343" s="17">
        <f>BI343-BK343</f>
        <v/>
      </c>
    </row>
    <row r="344" ht="19" customHeight="1">
      <c r="A344" s="4" t="n">
        <v>341</v>
      </c>
      <c r="B344" s="5" t="inlineStr">
        <is>
          <t>19633628390</t>
        </is>
      </c>
      <c r="C344" s="6" t="inlineStr">
        <is>
          <t>SERAP KURUMLU</t>
        </is>
      </c>
      <c r="D344" s="4" t="inlineStr">
        <is>
          <t>K</t>
        </is>
      </c>
      <c r="E344" s="4" t="inlineStr"/>
      <c r="F344" s="4" t="inlineStr">
        <is>
          <t>20.07.2026</t>
        </is>
      </c>
      <c r="G344" s="4" t="inlineStr"/>
      <c r="H344" s="4" t="inlineStr">
        <is>
          <t>NORMAL</t>
        </is>
      </c>
      <c r="I344" s="4" t="inlineStr">
        <is>
          <t>MEVSİMLİK</t>
        </is>
      </c>
      <c r="J344" s="6" t="inlineStr">
        <is>
          <t>BALIK TEMİZLEME</t>
        </is>
      </c>
      <c r="K344" s="6" t="inlineStr">
        <is>
          <t>****</t>
        </is>
      </c>
      <c r="L344" s="7" t="n">
        <v>33000</v>
      </c>
      <c r="M344" s="4" t="inlineStr">
        <is>
          <t>FİDE KONSERVE</t>
        </is>
      </c>
      <c r="N344" s="4" t="inlineStr">
        <is>
          <t>ALIR</t>
        </is>
      </c>
      <c r="O344" s="8" t="n">
        <v>0</v>
      </c>
      <c r="P344" s="8" t="n">
        <v>0</v>
      </c>
      <c r="Q344" s="8" t="n">
        <v>0</v>
      </c>
      <c r="R344" s="9" t="n">
        <v>0</v>
      </c>
      <c r="S344" s="8" t="n">
        <v>0</v>
      </c>
      <c r="T344" s="8" t="n">
        <v>0</v>
      </c>
      <c r="U344" s="8" t="n">
        <v>0</v>
      </c>
      <c r="V344" s="8" t="n">
        <v>0</v>
      </c>
      <c r="W344" s="8" t="n">
        <v>0</v>
      </c>
      <c r="X344" s="8" t="n">
        <v>0</v>
      </c>
      <c r="Y344" s="9" t="n">
        <v>0</v>
      </c>
      <c r="Z344" s="8" t="n">
        <v>0</v>
      </c>
      <c r="AA344" s="8" t="n">
        <v>0</v>
      </c>
      <c r="AB344" s="8" t="n">
        <v>0</v>
      </c>
      <c r="AC344" s="8" t="n">
        <v>0</v>
      </c>
      <c r="AD344" s="8" t="n">
        <v>0</v>
      </c>
      <c r="AE344" s="8" t="n">
        <v>0</v>
      </c>
      <c r="AF344" s="9" t="n">
        <v>0</v>
      </c>
      <c r="AG344" s="8" t="n">
        <v>0</v>
      </c>
      <c r="AH344" s="8" t="n">
        <v>0</v>
      </c>
      <c r="AI344" s="8" t="n">
        <v>0</v>
      </c>
      <c r="AJ344" s="8" t="n">
        <v>0</v>
      </c>
      <c r="AK344" s="8" t="n">
        <v>0</v>
      </c>
      <c r="AL344" s="8" t="n">
        <v>0</v>
      </c>
      <c r="AM344" s="9" t="n">
        <v>0</v>
      </c>
      <c r="AN344" s="8" t="n">
        <v>0</v>
      </c>
      <c r="AO344" s="8" t="n">
        <v>0</v>
      </c>
      <c r="AP344" s="8" t="n">
        <v>0</v>
      </c>
      <c r="AQ344" s="8" t="n">
        <v>0</v>
      </c>
      <c r="AR344" s="8" t="n">
        <v>0</v>
      </c>
      <c r="AS344" s="8" t="n">
        <v>0</v>
      </c>
      <c r="AT344" s="10">
        <f>SUM(O344:AS344)</f>
        <v/>
      </c>
      <c r="AU344" s="11">
        <f>COUNTIF(O344:AS344, "&gt;0")</f>
        <v/>
      </c>
      <c r="AV344" s="12">
        <f>IF(AU344&gt;=5, 4, IF(AU344&gt;0, INT(AU344/6), 0))</f>
        <v/>
      </c>
      <c r="AW344" s="11" t="n">
        <v>0</v>
      </c>
      <c r="AX344" s="11" t="n">
        <v>0</v>
      </c>
      <c r="AY344" s="13">
        <f>MIN(31, AU344+AV344+AW344+AX344)</f>
        <v/>
      </c>
      <c r="AZ344" s="14">
        <f>31-AY344</f>
        <v/>
      </c>
      <c r="BA344" s="5">
        <f>IF(AX344&gt;0, "01-İstirahat", IF(AZ344&gt;0, "12-Birden Fazla", ""))</f>
        <v/>
      </c>
      <c r="BB344" s="10" t="n">
        <v>0</v>
      </c>
      <c r="BC344" s="8" t="n">
        <v>0</v>
      </c>
      <c r="BD344" s="9" t="n">
        <v>0</v>
      </c>
      <c r="BE344" s="7">
        <f>(L344/30)*AU344</f>
        <v/>
      </c>
      <c r="BF344" s="15">
        <f>(L344/225)*((BB344*1.5)-(BC344*1.0))</f>
        <v/>
      </c>
      <c r="BG344" s="16">
        <f>(L344/225)*1.5*BD344</f>
        <v/>
      </c>
      <c r="BH344" s="15">
        <f>BF344+BG344</f>
        <v/>
      </c>
      <c r="BI344" s="17">
        <f>BE344+BH344</f>
        <v/>
      </c>
      <c r="BJ344" s="7">
        <f>IFERROR(VLOOKUP(B344, Resmi_Bordro_SGK!B:M, 11, FALSE), 0)</f>
        <v/>
      </c>
      <c r="BK344" s="18">
        <f>IFERROR(VLOOKUP(B344, Icra_Takip!A:E, 4, FALSE), 0)</f>
        <v/>
      </c>
      <c r="BL344" s="17">
        <f>IF(BI344&gt;BJ344, BI344-BJ344-BK344, 0)</f>
        <v/>
      </c>
      <c r="BM344" s="17">
        <f>BI344-BK344</f>
        <v/>
      </c>
    </row>
    <row r="345" ht="19" customHeight="1">
      <c r="A345" s="4" t="n">
        <v>342</v>
      </c>
      <c r="B345" s="5" t="inlineStr">
        <is>
          <t>24136488860</t>
        </is>
      </c>
      <c r="C345" s="6" t="inlineStr">
        <is>
          <t>SEREN BURHAN</t>
        </is>
      </c>
      <c r="D345" s="4" t="inlineStr">
        <is>
          <t>K</t>
        </is>
      </c>
      <c r="E345" s="4" t="inlineStr"/>
      <c r="F345" s="4" t="inlineStr">
        <is>
          <t>05.06.2026</t>
        </is>
      </c>
      <c r="G345" s="4" t="inlineStr"/>
      <c r="H345" s="4" t="inlineStr">
        <is>
          <t>NORMAL</t>
        </is>
      </c>
      <c r="I345" s="4" t="inlineStr">
        <is>
          <t>MEVSİMLİK</t>
        </is>
      </c>
      <c r="J345" s="6" t="inlineStr">
        <is>
          <t>BALIK TEMİZLEME</t>
        </is>
      </c>
      <c r="K345" s="6" t="inlineStr">
        <is>
          <t>GÜVEN TURİZM-MKP</t>
        </is>
      </c>
      <c r="L345" s="7" t="n">
        <v>33000</v>
      </c>
      <c r="M345" s="4" t="inlineStr">
        <is>
          <t>FİDE KONSERVE</t>
        </is>
      </c>
      <c r="N345" s="4" t="inlineStr">
        <is>
          <t>ALIR</t>
        </is>
      </c>
      <c r="O345" s="19" t="n">
        <v>8</v>
      </c>
      <c r="P345" s="19" t="n">
        <v>8.5</v>
      </c>
      <c r="Q345" s="19" t="n">
        <v>8</v>
      </c>
      <c r="R345" s="9" t="n">
        <v>0</v>
      </c>
      <c r="S345" s="19" t="n">
        <v>7.5</v>
      </c>
      <c r="T345" s="19" t="n">
        <v>8.5</v>
      </c>
      <c r="U345" s="19" t="n">
        <v>0</v>
      </c>
      <c r="V345" s="19" t="n">
        <v>0</v>
      </c>
      <c r="W345" s="19" t="n">
        <v>0</v>
      </c>
      <c r="X345" s="19" t="n">
        <v>0</v>
      </c>
      <c r="Y345" s="9" t="n">
        <v>0</v>
      </c>
      <c r="Z345" s="19" t="n">
        <v>0</v>
      </c>
      <c r="AA345" s="19" t="n">
        <v>0</v>
      </c>
      <c r="AB345" s="19" t="n">
        <v>0</v>
      </c>
      <c r="AC345" s="19" t="n">
        <v>0</v>
      </c>
      <c r="AD345" s="19" t="n">
        <v>0</v>
      </c>
      <c r="AE345" s="19" t="n">
        <v>0</v>
      </c>
      <c r="AF345" s="9" t="n">
        <v>0</v>
      </c>
      <c r="AG345" s="19" t="n">
        <v>0</v>
      </c>
      <c r="AH345" s="19" t="n">
        <v>0</v>
      </c>
      <c r="AI345" s="19" t="n">
        <v>0</v>
      </c>
      <c r="AJ345" s="19" t="n">
        <v>0</v>
      </c>
      <c r="AK345" s="19" t="n">
        <v>0</v>
      </c>
      <c r="AL345" s="19" t="n">
        <v>0</v>
      </c>
      <c r="AM345" s="9" t="n">
        <v>0</v>
      </c>
      <c r="AN345" s="19" t="n">
        <v>0</v>
      </c>
      <c r="AO345" s="19" t="n">
        <v>0</v>
      </c>
      <c r="AP345" s="19" t="n">
        <v>0</v>
      </c>
      <c r="AQ345" s="19" t="n">
        <v>0</v>
      </c>
      <c r="AR345" s="19" t="n">
        <v>0</v>
      </c>
      <c r="AS345" s="19" t="n">
        <v>0</v>
      </c>
      <c r="AT345" s="10">
        <f>SUM(O345:AS345)</f>
        <v/>
      </c>
      <c r="AU345" s="20">
        <f>COUNTIF(O345:AS345, "&gt;0")</f>
        <v/>
      </c>
      <c r="AV345" s="12">
        <f>IF(AU345&gt;=5, 4, IF(AU345&gt;0, INT(AU345/6), 0))</f>
        <v/>
      </c>
      <c r="AW345" s="20" t="n">
        <v>0</v>
      </c>
      <c r="AX345" s="20" t="n">
        <v>0</v>
      </c>
      <c r="AY345" s="13">
        <f>MIN(31, AU345+AV345+AW345+AX345)</f>
        <v/>
      </c>
      <c r="AZ345" s="14">
        <f>31-AY345</f>
        <v/>
      </c>
      <c r="BA345" s="21">
        <f>IF(AX345&gt;0, "01-İstirahat", IF(AZ345&gt;0, "12-Birden Fazla", ""))</f>
        <v/>
      </c>
      <c r="BB345" s="10" t="n">
        <v>3</v>
      </c>
      <c r="BC345" s="19" t="n">
        <v>0</v>
      </c>
      <c r="BD345" s="9" t="n">
        <v>0</v>
      </c>
      <c r="BE345" s="22">
        <f>(L345/30)*AU345</f>
        <v/>
      </c>
      <c r="BF345" s="15">
        <f>(L345/225)*((BB345*1.5)-(BC345*1.0))</f>
        <v/>
      </c>
      <c r="BG345" s="16">
        <f>(L345/225)*1.5*BD345</f>
        <v/>
      </c>
      <c r="BH345" s="15">
        <f>BF345+BG345</f>
        <v/>
      </c>
      <c r="BI345" s="17">
        <f>BE345+BH345</f>
        <v/>
      </c>
      <c r="BJ345" s="22">
        <f>IFERROR(VLOOKUP(B345, Resmi_Bordro_SGK!B:M, 11, FALSE), 0)</f>
        <v/>
      </c>
      <c r="BK345" s="18">
        <f>IFERROR(VLOOKUP(B345, Icra_Takip!A:E, 4, FALSE), 0)</f>
        <v/>
      </c>
      <c r="BL345" s="17">
        <f>IF(BI345&gt;BJ345, BI345-BJ345-BK345, 0)</f>
        <v/>
      </c>
      <c r="BM345" s="17">
        <f>BI345-BK345</f>
        <v/>
      </c>
    </row>
    <row r="346" ht="19" customHeight="1">
      <c r="A346" s="4" t="n">
        <v>343</v>
      </c>
      <c r="B346" s="5" t="inlineStr"/>
      <c r="C346" s="6" t="inlineStr">
        <is>
          <t>SERHAT KATMIŞ</t>
        </is>
      </c>
      <c r="D346" s="4" t="inlineStr"/>
      <c r="E346" s="4" t="inlineStr"/>
      <c r="F346" s="4" t="inlineStr"/>
      <c r="G346" s="4" t="inlineStr"/>
      <c r="H346" s="4" t="inlineStr">
        <is>
          <t>NORMAL</t>
        </is>
      </c>
      <c r="I346" s="4" t="inlineStr">
        <is>
          <t>MEVSİMLİK</t>
        </is>
      </c>
      <c r="J346" s="6" t="inlineStr"/>
      <c r="K346" s="6" t="inlineStr"/>
      <c r="L346" s="7" t="n">
        <v>28075.5</v>
      </c>
      <c r="M346" s="4" t="inlineStr">
        <is>
          <t>FİDE KONSERVE</t>
        </is>
      </c>
      <c r="N346" s="4" t="inlineStr">
        <is>
          <t>ALIR</t>
        </is>
      </c>
      <c r="O346" s="8" t="n">
        <v>0</v>
      </c>
      <c r="P346" s="8" t="n">
        <v>0</v>
      </c>
      <c r="Q346" s="8" t="n">
        <v>0</v>
      </c>
      <c r="R346" s="9" t="n">
        <v>0</v>
      </c>
      <c r="S346" s="8" t="n">
        <v>0</v>
      </c>
      <c r="T346" s="8" t="n">
        <v>0</v>
      </c>
      <c r="U346" s="8" t="n">
        <v>0</v>
      </c>
      <c r="V346" s="8" t="n">
        <v>0</v>
      </c>
      <c r="W346" s="8" t="n">
        <v>0</v>
      </c>
      <c r="X346" s="8" t="n">
        <v>0</v>
      </c>
      <c r="Y346" s="9" t="n">
        <v>0</v>
      </c>
      <c r="Z346" s="8" t="n">
        <v>0</v>
      </c>
      <c r="AA346" s="8" t="n">
        <v>0</v>
      </c>
      <c r="AB346" s="8" t="n">
        <v>0</v>
      </c>
      <c r="AC346" s="8" t="n">
        <v>0</v>
      </c>
      <c r="AD346" s="8" t="n">
        <v>0</v>
      </c>
      <c r="AE346" s="8" t="n">
        <v>0</v>
      </c>
      <c r="AF346" s="9" t="n">
        <v>0</v>
      </c>
      <c r="AG346" s="8" t="n">
        <v>0</v>
      </c>
      <c r="AH346" s="8" t="n">
        <v>0</v>
      </c>
      <c r="AI346" s="8" t="n">
        <v>0</v>
      </c>
      <c r="AJ346" s="8" t="n">
        <v>0</v>
      </c>
      <c r="AK346" s="8" t="n">
        <v>0</v>
      </c>
      <c r="AL346" s="8" t="n">
        <v>0</v>
      </c>
      <c r="AM346" s="9" t="n">
        <v>0</v>
      </c>
      <c r="AN346" s="8" t="n">
        <v>0</v>
      </c>
      <c r="AO346" s="8" t="n">
        <v>0</v>
      </c>
      <c r="AP346" s="8" t="n">
        <v>0</v>
      </c>
      <c r="AQ346" s="8" t="n">
        <v>0</v>
      </c>
      <c r="AR346" s="8" t="n">
        <v>0</v>
      </c>
      <c r="AS346" s="8" t="n">
        <v>0</v>
      </c>
      <c r="AT346" s="10">
        <f>SUM(O346:AS346)</f>
        <v/>
      </c>
      <c r="AU346" s="11">
        <f>COUNTIF(O346:AS346, "&gt;0")</f>
        <v/>
      </c>
      <c r="AV346" s="12">
        <f>IF(AU346&gt;=5, 4, IF(AU346&gt;0, INT(AU346/6), 0))</f>
        <v/>
      </c>
      <c r="AW346" s="11" t="n">
        <v>0</v>
      </c>
      <c r="AX346" s="11" t="n">
        <v>0</v>
      </c>
      <c r="AY346" s="13">
        <f>MIN(31, AU346+AV346+AW346+AX346)</f>
        <v/>
      </c>
      <c r="AZ346" s="14">
        <f>31-AY346</f>
        <v/>
      </c>
      <c r="BA346" s="5">
        <f>IF(AX346&gt;0, "01-İstirahat", IF(AZ346&gt;0, "12-Birden Fazla", ""))</f>
        <v/>
      </c>
      <c r="BB346" s="10" t="n">
        <v>0</v>
      </c>
      <c r="BC346" s="8" t="n">
        <v>0</v>
      </c>
      <c r="BD346" s="9" t="n">
        <v>0</v>
      </c>
      <c r="BE346" s="7">
        <f>(L346/30)*AU346</f>
        <v/>
      </c>
      <c r="BF346" s="15">
        <f>(L346/225)*((BB346*1.5)-(BC346*1.0))</f>
        <v/>
      </c>
      <c r="BG346" s="16">
        <f>(L346/225)*1.5*BD346</f>
        <v/>
      </c>
      <c r="BH346" s="15">
        <f>BF346+BG346</f>
        <v/>
      </c>
      <c r="BI346" s="17">
        <f>BE346+BH346</f>
        <v/>
      </c>
      <c r="BJ346" s="7">
        <f>IFERROR(VLOOKUP(B346, Resmi_Bordro_SGK!B:M, 11, FALSE), 0)</f>
        <v/>
      </c>
      <c r="BK346" s="18">
        <f>IFERROR(VLOOKUP(B346, Icra_Takip!A:E, 4, FALSE), 0)</f>
        <v/>
      </c>
      <c r="BL346" s="17">
        <f>IF(BI346&gt;BJ346, BI346-BJ346-BK346, 0)</f>
        <v/>
      </c>
      <c r="BM346" s="17">
        <f>BI346-BK346</f>
        <v/>
      </c>
    </row>
    <row r="347" ht="19" customHeight="1">
      <c r="A347" s="4" t="n">
        <v>344</v>
      </c>
      <c r="B347" s="5" t="inlineStr">
        <is>
          <t>16231745504</t>
        </is>
      </c>
      <c r="C347" s="6" t="inlineStr">
        <is>
          <t>SERKAN YUMİTKAN</t>
        </is>
      </c>
      <c r="D347" s="4" t="inlineStr">
        <is>
          <t>E</t>
        </is>
      </c>
      <c r="E347" s="4" t="inlineStr"/>
      <c r="F347" s="4" t="inlineStr">
        <is>
          <t>01.07.2026</t>
        </is>
      </c>
      <c r="G347" s="4" t="inlineStr"/>
      <c r="H347" s="4" t="inlineStr">
        <is>
          <t>NORMAL</t>
        </is>
      </c>
      <c r="I347" s="4" t="inlineStr">
        <is>
          <t>MEVSİMLİK</t>
        </is>
      </c>
      <c r="J347" s="6" t="inlineStr">
        <is>
          <t>ÜRETİM</t>
        </is>
      </c>
      <c r="K347" s="6" t="inlineStr">
        <is>
          <t>KARACABEY-HALİL</t>
        </is>
      </c>
      <c r="L347" s="7" t="n">
        <v>28075.5</v>
      </c>
      <c r="M347" s="4" t="inlineStr">
        <is>
          <t>FİDE KONSERVE</t>
        </is>
      </c>
      <c r="N347" s="4" t="inlineStr">
        <is>
          <t>ALIR</t>
        </is>
      </c>
      <c r="O347" s="19" t="n">
        <v>0</v>
      </c>
      <c r="P347" s="19" t="n">
        <v>10.5</v>
      </c>
      <c r="Q347" s="19" t="n">
        <v>0</v>
      </c>
      <c r="R347" s="9" t="n">
        <v>0</v>
      </c>
      <c r="S347" s="19" t="n">
        <v>10.5</v>
      </c>
      <c r="T347" s="19" t="n">
        <v>10.5</v>
      </c>
      <c r="U347" s="19" t="n">
        <v>0</v>
      </c>
      <c r="V347" s="19" t="n">
        <v>10.5</v>
      </c>
      <c r="W347" s="19" t="n">
        <v>10.5</v>
      </c>
      <c r="X347" s="19" t="n">
        <v>10.5</v>
      </c>
      <c r="Y347" s="9" t="n">
        <v>0</v>
      </c>
      <c r="Z347" s="19" t="n">
        <v>10.5</v>
      </c>
      <c r="AA347" s="19" t="n">
        <v>10.5</v>
      </c>
      <c r="AB347" s="19" t="n">
        <v>10.5</v>
      </c>
      <c r="AC347" s="23" t="n">
        <v>7.5</v>
      </c>
      <c r="AD347" s="19" t="n">
        <v>10.5</v>
      </c>
      <c r="AE347" s="19" t="n">
        <v>7.5</v>
      </c>
      <c r="AF347" s="9" t="n">
        <v>0</v>
      </c>
      <c r="AG347" s="19" t="n">
        <v>10.5</v>
      </c>
      <c r="AH347" s="19" t="n">
        <v>7.5</v>
      </c>
      <c r="AI347" s="19" t="n">
        <v>7.5</v>
      </c>
      <c r="AJ347" s="19" t="n">
        <v>0</v>
      </c>
      <c r="AK347" s="19" t="n">
        <v>0</v>
      </c>
      <c r="AL347" s="19" t="n">
        <v>0</v>
      </c>
      <c r="AM347" s="9" t="n">
        <v>0</v>
      </c>
      <c r="AN347" s="19" t="n">
        <v>0</v>
      </c>
      <c r="AO347" s="19" t="n">
        <v>0</v>
      </c>
      <c r="AP347" s="19" t="n">
        <v>0</v>
      </c>
      <c r="AQ347" s="19" t="n">
        <v>0</v>
      </c>
      <c r="AR347" s="19" t="n">
        <v>0</v>
      </c>
      <c r="AS347" s="19" t="n">
        <v>0</v>
      </c>
      <c r="AT347" s="10">
        <f>SUM(O347:AS347)</f>
        <v/>
      </c>
      <c r="AU347" s="20">
        <f>COUNTIF(O347:AS347, "&gt;0")</f>
        <v/>
      </c>
      <c r="AV347" s="12">
        <f>IF(AU347&gt;=5, 4, IF(AU347&gt;0, INT(AU347/6), 0))</f>
        <v/>
      </c>
      <c r="AW347" s="20" t="n">
        <v>0</v>
      </c>
      <c r="AX347" s="20" t="n">
        <v>0</v>
      </c>
      <c r="AY347" s="13">
        <f>MIN(31, AU347+AV347+AW347+AX347)</f>
        <v/>
      </c>
      <c r="AZ347" s="14">
        <f>31-AY347</f>
        <v/>
      </c>
      <c r="BA347" s="21">
        <f>IF(AX347&gt;0, "01-İstirahat", IF(AZ347&gt;0, "12-Birden Fazla", ""))</f>
        <v/>
      </c>
      <c r="BB347" s="10" t="n">
        <v>33</v>
      </c>
      <c r="BC347" s="19" t="n">
        <v>0</v>
      </c>
      <c r="BD347" s="9" t="n">
        <v>0</v>
      </c>
      <c r="BE347" s="22">
        <f>(L347/30)*AU347</f>
        <v/>
      </c>
      <c r="BF347" s="15">
        <f>(L347/225)*((BB347*1.5)-(BC347*1.0))</f>
        <v/>
      </c>
      <c r="BG347" s="16">
        <f>(L347/225)*1.5*BD347</f>
        <v/>
      </c>
      <c r="BH347" s="15">
        <f>BF347+BG347</f>
        <v/>
      </c>
      <c r="BI347" s="17">
        <f>BE347+BH347</f>
        <v/>
      </c>
      <c r="BJ347" s="22">
        <f>IFERROR(VLOOKUP(B347, Resmi_Bordro_SGK!B:M, 11, FALSE), 0)</f>
        <v/>
      </c>
      <c r="BK347" s="18">
        <f>IFERROR(VLOOKUP(B347, Icra_Takip!A:E, 4, FALSE), 0)</f>
        <v/>
      </c>
      <c r="BL347" s="17">
        <f>IF(BI347&gt;BJ347, BI347-BJ347-BK347, 0)</f>
        <v/>
      </c>
      <c r="BM347" s="17">
        <f>BI347-BK347</f>
        <v/>
      </c>
    </row>
    <row r="348" ht="19" customHeight="1">
      <c r="A348" s="4" t="n">
        <v>345</v>
      </c>
      <c r="B348" s="5" t="inlineStr">
        <is>
          <t>13696829374</t>
        </is>
      </c>
      <c r="C348" s="6" t="inlineStr">
        <is>
          <t>SERPİL İİPEK</t>
        </is>
      </c>
      <c r="D348" s="4" t="inlineStr">
        <is>
          <t>K</t>
        </is>
      </c>
      <c r="E348" s="4" t="inlineStr"/>
      <c r="F348" s="4" t="inlineStr">
        <is>
          <t>21.08.2026</t>
        </is>
      </c>
      <c r="G348" s="4" t="inlineStr"/>
      <c r="H348" s="4" t="inlineStr">
        <is>
          <t>NORMAL</t>
        </is>
      </c>
      <c r="I348" s="4" t="inlineStr">
        <is>
          <t>MEVSİMLİK</t>
        </is>
      </c>
      <c r="J348" s="6" t="inlineStr"/>
      <c r="K348" s="6" t="inlineStr"/>
      <c r="L348" s="7" t="n">
        <v>28075.5</v>
      </c>
      <c r="M348" s="4" t="inlineStr">
        <is>
          <t>FİDE KONSERVE</t>
        </is>
      </c>
      <c r="N348" s="4" t="inlineStr">
        <is>
          <t>ALIR</t>
        </is>
      </c>
      <c r="O348" s="23" t="n">
        <v>7.5</v>
      </c>
      <c r="P348" s="8" t="n">
        <v>10.5</v>
      </c>
      <c r="Q348" s="23" t="n">
        <v>7.5</v>
      </c>
      <c r="R348" s="9" t="n">
        <v>0</v>
      </c>
      <c r="S348" s="8" t="n">
        <v>10.5</v>
      </c>
      <c r="T348" s="8" t="n">
        <v>10.5</v>
      </c>
      <c r="U348" s="8" t="n">
        <v>10.5</v>
      </c>
      <c r="V348" s="8" t="n">
        <v>10.5</v>
      </c>
      <c r="W348" s="8" t="n">
        <v>10.5</v>
      </c>
      <c r="X348" s="8" t="n">
        <v>8.5</v>
      </c>
      <c r="Y348" s="9" t="n">
        <v>0</v>
      </c>
      <c r="Z348" s="8" t="n">
        <v>10.5</v>
      </c>
      <c r="AA348" s="8" t="n">
        <v>7.5</v>
      </c>
      <c r="AB348" s="8" t="n">
        <v>10.5</v>
      </c>
      <c r="AC348" s="8" t="n">
        <v>10.5</v>
      </c>
      <c r="AD348" s="8" t="n">
        <v>10.5</v>
      </c>
      <c r="AE348" s="8" t="n">
        <v>10.5</v>
      </c>
      <c r="AF348" s="9" t="n">
        <v>0</v>
      </c>
      <c r="AG348" s="8" t="n">
        <v>10.5</v>
      </c>
      <c r="AH348" s="8" t="n">
        <v>7.5</v>
      </c>
      <c r="AI348" s="8" t="n">
        <v>7.5</v>
      </c>
      <c r="AJ348" s="8" t="n">
        <v>0</v>
      </c>
      <c r="AK348" s="8" t="n">
        <v>0</v>
      </c>
      <c r="AL348" s="8" t="n">
        <v>0</v>
      </c>
      <c r="AM348" s="9" t="n">
        <v>0</v>
      </c>
      <c r="AN348" s="8" t="n">
        <v>0</v>
      </c>
      <c r="AO348" s="8" t="n">
        <v>0</v>
      </c>
      <c r="AP348" s="8" t="n">
        <v>0</v>
      </c>
      <c r="AQ348" s="8" t="n">
        <v>0</v>
      </c>
      <c r="AR348" s="8" t="n">
        <v>0</v>
      </c>
      <c r="AS348" s="8" t="n">
        <v>0</v>
      </c>
      <c r="AT348" s="10">
        <f>SUM(O348:AS348)</f>
        <v/>
      </c>
      <c r="AU348" s="11">
        <f>COUNTIF(O348:AS348, "&gt;0")</f>
        <v/>
      </c>
      <c r="AV348" s="12">
        <f>IF(AU348&gt;=5, 4, IF(AU348&gt;0, INT(AU348/6), 0))</f>
        <v/>
      </c>
      <c r="AW348" s="11" t="n">
        <v>0</v>
      </c>
      <c r="AX348" s="11" t="n">
        <v>0</v>
      </c>
      <c r="AY348" s="13">
        <f>MIN(31, AU348+AV348+AW348+AX348)</f>
        <v/>
      </c>
      <c r="AZ348" s="14">
        <f>31-AY348</f>
        <v/>
      </c>
      <c r="BA348" s="5">
        <f>IF(AX348&gt;0, "01-İstirahat", IF(AZ348&gt;0, "12-Birden Fazla", ""))</f>
        <v/>
      </c>
      <c r="BB348" s="10" t="n">
        <v>37</v>
      </c>
      <c r="BC348" s="8" t="n">
        <v>0</v>
      </c>
      <c r="BD348" s="9" t="n">
        <v>0</v>
      </c>
      <c r="BE348" s="7">
        <f>(L348/30)*AU348</f>
        <v/>
      </c>
      <c r="BF348" s="15">
        <f>(L348/225)*((BB348*1.5)-(BC348*1.0))</f>
        <v/>
      </c>
      <c r="BG348" s="16">
        <f>(L348/225)*1.5*BD348</f>
        <v/>
      </c>
      <c r="BH348" s="15">
        <f>BF348+BG348</f>
        <v/>
      </c>
      <c r="BI348" s="17">
        <f>BE348+BH348</f>
        <v/>
      </c>
      <c r="BJ348" s="7">
        <f>IFERROR(VLOOKUP(B348, Resmi_Bordro_SGK!B:M, 11, FALSE), 0)</f>
        <v/>
      </c>
      <c r="BK348" s="18">
        <f>IFERROR(VLOOKUP(B348, Icra_Takip!A:E, 4, FALSE), 0)</f>
        <v/>
      </c>
      <c r="BL348" s="17">
        <f>IF(BI348&gt;BJ348, BI348-BJ348-BK348, 0)</f>
        <v/>
      </c>
      <c r="BM348" s="17">
        <f>BI348-BK348</f>
        <v/>
      </c>
    </row>
    <row r="349" ht="19" customHeight="1">
      <c r="A349" s="4" t="n">
        <v>346</v>
      </c>
      <c r="B349" s="5" t="inlineStr"/>
      <c r="C349" s="6" t="inlineStr">
        <is>
          <t>SELİM KIRAY</t>
        </is>
      </c>
      <c r="D349" s="4" t="inlineStr"/>
      <c r="E349" s="4" t="inlineStr"/>
      <c r="F349" s="4" t="inlineStr"/>
      <c r="G349" s="4" t="inlineStr"/>
      <c r="H349" s="4" t="inlineStr">
        <is>
          <t>NORMAL</t>
        </is>
      </c>
      <c r="I349" s="4" t="inlineStr">
        <is>
          <t>MEVSİMLİK</t>
        </is>
      </c>
      <c r="J349" s="6" t="inlineStr"/>
      <c r="K349" s="6" t="inlineStr"/>
      <c r="L349" s="7" t="n">
        <v>28075.5</v>
      </c>
      <c r="M349" s="4" t="inlineStr">
        <is>
          <t>FİDE KONSERVE</t>
        </is>
      </c>
      <c r="N349" s="4" t="inlineStr">
        <is>
          <t>ALIR</t>
        </is>
      </c>
      <c r="O349" s="19" t="n">
        <v>8.5</v>
      </c>
      <c r="P349" s="19" t="n">
        <v>7</v>
      </c>
      <c r="Q349" s="19" t="n">
        <v>8.5</v>
      </c>
      <c r="R349" s="9" t="n">
        <v>0</v>
      </c>
      <c r="S349" s="19" t="n">
        <v>0</v>
      </c>
      <c r="T349" s="19" t="n">
        <v>8.5</v>
      </c>
      <c r="U349" s="19" t="n">
        <v>6</v>
      </c>
      <c r="V349" s="19" t="n">
        <v>10</v>
      </c>
      <c r="W349" s="19" t="n">
        <v>0</v>
      </c>
      <c r="X349" s="19" t="n">
        <v>13.5</v>
      </c>
      <c r="Y349" s="9" t="n">
        <v>0</v>
      </c>
      <c r="Z349" s="19" t="n">
        <v>0</v>
      </c>
      <c r="AA349" s="19" t="n">
        <v>0</v>
      </c>
      <c r="AB349" s="19" t="n">
        <v>9</v>
      </c>
      <c r="AC349" s="19" t="n">
        <v>7.5</v>
      </c>
      <c r="AD349" s="19" t="n">
        <v>0</v>
      </c>
      <c r="AE349" s="19" t="n">
        <v>9</v>
      </c>
      <c r="AF349" s="9" t="n">
        <v>0</v>
      </c>
      <c r="AG349" s="19" t="n">
        <v>7</v>
      </c>
      <c r="AH349" s="19" t="n">
        <v>0</v>
      </c>
      <c r="AI349" s="19" t="n">
        <v>6</v>
      </c>
      <c r="AJ349" s="19" t="n">
        <v>0</v>
      </c>
      <c r="AK349" s="19" t="n">
        <v>0</v>
      </c>
      <c r="AL349" s="19" t="n">
        <v>0</v>
      </c>
      <c r="AM349" s="9" t="n">
        <v>0</v>
      </c>
      <c r="AN349" s="19" t="n">
        <v>0</v>
      </c>
      <c r="AO349" s="19" t="n">
        <v>0</v>
      </c>
      <c r="AP349" s="19" t="n">
        <v>0</v>
      </c>
      <c r="AQ349" s="19" t="n">
        <v>0</v>
      </c>
      <c r="AR349" s="19" t="n">
        <v>0</v>
      </c>
      <c r="AS349" s="19" t="n">
        <v>0</v>
      </c>
      <c r="AT349" s="10">
        <f>SUM(O349:AS349)</f>
        <v/>
      </c>
      <c r="AU349" s="20">
        <f>COUNTIF(O349:AS349, "&gt;0")</f>
        <v/>
      </c>
      <c r="AV349" s="12">
        <f>IF(AU349&gt;=5, 4, IF(AU349&gt;0, INT(AU349/6), 0))</f>
        <v/>
      </c>
      <c r="AW349" s="20" t="n">
        <v>0</v>
      </c>
      <c r="AX349" s="20" t="n">
        <v>0</v>
      </c>
      <c r="AY349" s="13">
        <f>MIN(31, AU349+AV349+AW349+AX349)</f>
        <v/>
      </c>
      <c r="AZ349" s="14">
        <f>31-AY349</f>
        <v/>
      </c>
      <c r="BA349" s="21">
        <f>IF(AX349&gt;0, "01-İstirahat", IF(AZ349&gt;0, "12-Birden Fazla", ""))</f>
        <v/>
      </c>
      <c r="BB349" s="10" t="n">
        <v>25</v>
      </c>
      <c r="BC349" s="23" t="n">
        <v>4</v>
      </c>
      <c r="BD349" s="9" t="n">
        <v>0</v>
      </c>
      <c r="BE349" s="22">
        <f>(L349/30)*AU349</f>
        <v/>
      </c>
      <c r="BF349" s="15">
        <f>(L349/225)*((BB349*1.5)-(BC349*1.0))</f>
        <v/>
      </c>
      <c r="BG349" s="16">
        <f>(L349/225)*1.5*BD349</f>
        <v/>
      </c>
      <c r="BH349" s="15">
        <f>BF349+BG349</f>
        <v/>
      </c>
      <c r="BI349" s="17">
        <f>BE349+BH349</f>
        <v/>
      </c>
      <c r="BJ349" s="22">
        <f>IFERROR(VLOOKUP(B349, Resmi_Bordro_SGK!B:M, 11, FALSE), 0)</f>
        <v/>
      </c>
      <c r="BK349" s="18">
        <f>IFERROR(VLOOKUP(B349, Icra_Takip!A:E, 4, FALSE), 0)</f>
        <v/>
      </c>
      <c r="BL349" s="17">
        <f>IF(BI349&gt;BJ349, BI349-BJ349-BK349, 0)</f>
        <v/>
      </c>
      <c r="BM349" s="17">
        <f>BI349-BK349</f>
        <v/>
      </c>
    </row>
    <row r="350" ht="19" customHeight="1">
      <c r="A350" s="4" t="n">
        <v>347</v>
      </c>
      <c r="B350" s="5" t="inlineStr">
        <is>
          <t>33641052206</t>
        </is>
      </c>
      <c r="C350" s="6" t="inlineStr">
        <is>
          <t>SEVDA AKKOYUN</t>
        </is>
      </c>
      <c r="D350" s="4" t="inlineStr">
        <is>
          <t>K</t>
        </is>
      </c>
      <c r="E350" s="4" t="inlineStr"/>
      <c r="F350" s="4" t="inlineStr">
        <is>
          <t>01.07.2026</t>
        </is>
      </c>
      <c r="G350" s="4" t="inlineStr"/>
      <c r="H350" s="4" t="inlineStr">
        <is>
          <t>NORMAL</t>
        </is>
      </c>
      <c r="I350" s="4" t="inlineStr">
        <is>
          <t>MEVSİMLİK</t>
        </is>
      </c>
      <c r="J350" s="6" t="inlineStr">
        <is>
          <t>ÜRETİM</t>
        </is>
      </c>
      <c r="K350" s="6" t="inlineStr">
        <is>
          <t>GÜVEN</t>
        </is>
      </c>
      <c r="L350" s="7" t="n">
        <v>28075.5</v>
      </c>
      <c r="M350" s="4" t="inlineStr">
        <is>
          <t>FİDE KONSERVE</t>
        </is>
      </c>
      <c r="N350" s="4" t="inlineStr">
        <is>
          <t>ALIR</t>
        </is>
      </c>
      <c r="O350" s="8" t="n">
        <v>0</v>
      </c>
      <c r="P350" s="8" t="n">
        <v>0</v>
      </c>
      <c r="Q350" s="8" t="n">
        <v>0</v>
      </c>
      <c r="R350" s="9" t="n">
        <v>0</v>
      </c>
      <c r="S350" s="8" t="n">
        <v>0</v>
      </c>
      <c r="T350" s="8" t="n">
        <v>0</v>
      </c>
      <c r="U350" s="8" t="n">
        <v>0</v>
      </c>
      <c r="V350" s="8" t="n">
        <v>0</v>
      </c>
      <c r="W350" s="8" t="n">
        <v>0</v>
      </c>
      <c r="X350" s="8" t="n">
        <v>0</v>
      </c>
      <c r="Y350" s="9" t="n">
        <v>0</v>
      </c>
      <c r="Z350" s="8" t="n">
        <v>0</v>
      </c>
      <c r="AA350" s="8" t="n">
        <v>0</v>
      </c>
      <c r="AB350" s="8" t="n">
        <v>0</v>
      </c>
      <c r="AC350" s="8" t="n">
        <v>0</v>
      </c>
      <c r="AD350" s="8" t="n">
        <v>0</v>
      </c>
      <c r="AE350" s="8" t="n">
        <v>0</v>
      </c>
      <c r="AF350" s="9" t="n">
        <v>0</v>
      </c>
      <c r="AG350" s="8" t="n">
        <v>0</v>
      </c>
      <c r="AH350" s="8" t="n">
        <v>0</v>
      </c>
      <c r="AI350" s="8" t="n">
        <v>0</v>
      </c>
      <c r="AJ350" s="8" t="n">
        <v>0</v>
      </c>
      <c r="AK350" s="8" t="n">
        <v>0</v>
      </c>
      <c r="AL350" s="8" t="n">
        <v>0</v>
      </c>
      <c r="AM350" s="9" t="n">
        <v>0</v>
      </c>
      <c r="AN350" s="8" t="n">
        <v>0</v>
      </c>
      <c r="AO350" s="8" t="n">
        <v>0</v>
      </c>
      <c r="AP350" s="8" t="n">
        <v>0</v>
      </c>
      <c r="AQ350" s="8" t="n">
        <v>0</v>
      </c>
      <c r="AR350" s="8" t="n">
        <v>0</v>
      </c>
      <c r="AS350" s="8" t="n">
        <v>0</v>
      </c>
      <c r="AT350" s="10">
        <f>SUM(O350:AS350)</f>
        <v/>
      </c>
      <c r="AU350" s="11">
        <f>COUNTIF(O350:AS350, "&gt;0")</f>
        <v/>
      </c>
      <c r="AV350" s="12">
        <f>IF(AU350&gt;=5, 4, IF(AU350&gt;0, INT(AU350/6), 0))</f>
        <v/>
      </c>
      <c r="AW350" s="11" t="n">
        <v>0</v>
      </c>
      <c r="AX350" s="11" t="n">
        <v>0</v>
      </c>
      <c r="AY350" s="13">
        <f>MIN(31, AU350+AV350+AW350+AX350)</f>
        <v/>
      </c>
      <c r="AZ350" s="14">
        <f>31-AY350</f>
        <v/>
      </c>
      <c r="BA350" s="5">
        <f>IF(AX350&gt;0, "01-İstirahat", IF(AZ350&gt;0, "12-Birden Fazla", ""))</f>
        <v/>
      </c>
      <c r="BB350" s="10" t="n">
        <v>0</v>
      </c>
      <c r="BC350" s="8" t="n">
        <v>0</v>
      </c>
      <c r="BD350" s="9" t="n">
        <v>0</v>
      </c>
      <c r="BE350" s="7">
        <f>(L350/30)*AU350</f>
        <v/>
      </c>
      <c r="BF350" s="15">
        <f>(L350/225)*((BB350*1.5)-(BC350*1.0))</f>
        <v/>
      </c>
      <c r="BG350" s="16">
        <f>(L350/225)*1.5*BD350</f>
        <v/>
      </c>
      <c r="BH350" s="15">
        <f>BF350+BG350</f>
        <v/>
      </c>
      <c r="BI350" s="17">
        <f>BE350+BH350</f>
        <v/>
      </c>
      <c r="BJ350" s="7">
        <f>IFERROR(VLOOKUP(B350, Resmi_Bordro_SGK!B:M, 11, FALSE), 0)</f>
        <v/>
      </c>
      <c r="BK350" s="18">
        <f>IFERROR(VLOOKUP(B350, Icra_Takip!A:E, 4, FALSE), 0)</f>
        <v/>
      </c>
      <c r="BL350" s="17">
        <f>IF(BI350&gt;BJ350, BI350-BJ350-BK350, 0)</f>
        <v/>
      </c>
      <c r="BM350" s="17">
        <f>BI350-BK350</f>
        <v/>
      </c>
    </row>
    <row r="351" ht="19" customHeight="1">
      <c r="A351" s="4" t="n">
        <v>348</v>
      </c>
      <c r="B351" s="5" t="inlineStr">
        <is>
          <t>13498698468</t>
        </is>
      </c>
      <c r="C351" s="6" t="inlineStr">
        <is>
          <t>SEVGİ AYCAN</t>
        </is>
      </c>
      <c r="D351" s="4" t="inlineStr">
        <is>
          <t>K</t>
        </is>
      </c>
      <c r="E351" s="4" t="inlineStr"/>
      <c r="F351" s="4" t="inlineStr">
        <is>
          <t>23.05.2025</t>
        </is>
      </c>
      <c r="G351" s="4" t="inlineStr"/>
      <c r="H351" s="4" t="inlineStr">
        <is>
          <t>NORMAL</t>
        </is>
      </c>
      <c r="I351" s="4" t="inlineStr">
        <is>
          <t>MEVSİMLİK</t>
        </is>
      </c>
      <c r="J351" s="6" t="inlineStr">
        <is>
          <t>BALIK TEMİZLEME</t>
        </is>
      </c>
      <c r="K351" s="6" t="inlineStr">
        <is>
          <t>BANDIRMA</t>
        </is>
      </c>
      <c r="L351" s="7" t="n">
        <v>33000</v>
      </c>
      <c r="M351" s="4" t="inlineStr">
        <is>
          <t>FİDE KONSERVE</t>
        </is>
      </c>
      <c r="N351" s="4" t="inlineStr">
        <is>
          <t>ALIR</t>
        </is>
      </c>
      <c r="O351" s="19" t="n">
        <v>0</v>
      </c>
      <c r="P351" s="19" t="n">
        <v>0</v>
      </c>
      <c r="Q351" s="19" t="n">
        <v>0</v>
      </c>
      <c r="R351" s="9" t="n">
        <v>0</v>
      </c>
      <c r="S351" s="19" t="n">
        <v>7.5</v>
      </c>
      <c r="T351" s="19" t="n">
        <v>8.5</v>
      </c>
      <c r="U351" s="19" t="n">
        <v>8</v>
      </c>
      <c r="V351" s="19" t="n">
        <v>8</v>
      </c>
      <c r="W351" s="19" t="n">
        <v>8.5</v>
      </c>
      <c r="X351" s="19" t="n">
        <v>8.5</v>
      </c>
      <c r="Y351" s="9" t="n">
        <v>0</v>
      </c>
      <c r="Z351" s="19" t="n">
        <v>7.5</v>
      </c>
      <c r="AA351" s="19" t="n">
        <v>7.5</v>
      </c>
      <c r="AB351" s="19" t="n">
        <v>8.5</v>
      </c>
      <c r="AC351" s="19" t="n">
        <v>7.5</v>
      </c>
      <c r="AD351" s="19" t="n">
        <v>8</v>
      </c>
      <c r="AE351" s="19" t="n">
        <v>0</v>
      </c>
      <c r="AF351" s="9" t="n">
        <v>0</v>
      </c>
      <c r="AG351" s="19" t="n">
        <v>8.5</v>
      </c>
      <c r="AH351" s="19" t="n">
        <v>7.5</v>
      </c>
      <c r="AI351" s="19" t="n">
        <v>7.5</v>
      </c>
      <c r="AJ351" s="19" t="n">
        <v>0</v>
      </c>
      <c r="AK351" s="19" t="n">
        <v>0</v>
      </c>
      <c r="AL351" s="19" t="n">
        <v>0</v>
      </c>
      <c r="AM351" s="9" t="n">
        <v>0</v>
      </c>
      <c r="AN351" s="19" t="n">
        <v>0</v>
      </c>
      <c r="AO351" s="19" t="n">
        <v>0</v>
      </c>
      <c r="AP351" s="19" t="n">
        <v>0</v>
      </c>
      <c r="AQ351" s="19" t="n">
        <v>0</v>
      </c>
      <c r="AR351" s="19" t="n">
        <v>0</v>
      </c>
      <c r="AS351" s="19" t="n">
        <v>0</v>
      </c>
      <c r="AT351" s="10">
        <f>SUM(O351:AS351)</f>
        <v/>
      </c>
      <c r="AU351" s="20">
        <f>COUNTIF(O351:AS351, "&gt;0")</f>
        <v/>
      </c>
      <c r="AV351" s="12">
        <f>IF(AU351&gt;=5, 4, IF(AU351&gt;0, INT(AU351/6), 0))</f>
        <v/>
      </c>
      <c r="AW351" s="20" t="n">
        <v>0</v>
      </c>
      <c r="AX351" s="20" t="n">
        <v>0</v>
      </c>
      <c r="AY351" s="13">
        <f>MIN(31, AU351+AV351+AW351+AX351)</f>
        <v/>
      </c>
      <c r="AZ351" s="14">
        <f>31-AY351</f>
        <v/>
      </c>
      <c r="BA351" s="21">
        <f>IF(AX351&gt;0, "01-İstirahat", IF(AZ351&gt;0, "12-Birden Fazla", ""))</f>
        <v/>
      </c>
      <c r="BB351" s="10" t="n">
        <v>6.5</v>
      </c>
      <c r="BC351" s="19" t="n">
        <v>0</v>
      </c>
      <c r="BD351" s="9" t="n">
        <v>0</v>
      </c>
      <c r="BE351" s="22">
        <f>(L351/30)*AU351</f>
        <v/>
      </c>
      <c r="BF351" s="15">
        <f>(L351/225)*((BB351*1.5)-(BC351*1.0))</f>
        <v/>
      </c>
      <c r="BG351" s="16">
        <f>(L351/225)*1.5*BD351</f>
        <v/>
      </c>
      <c r="BH351" s="15">
        <f>BF351+BG351</f>
        <v/>
      </c>
      <c r="BI351" s="17">
        <f>BE351+BH351</f>
        <v/>
      </c>
      <c r="BJ351" s="22">
        <f>IFERROR(VLOOKUP(B351, Resmi_Bordro_SGK!B:M, 11, FALSE), 0)</f>
        <v/>
      </c>
      <c r="BK351" s="18">
        <f>IFERROR(VLOOKUP(B351, Icra_Takip!A:E, 4, FALSE), 0)</f>
        <v/>
      </c>
      <c r="BL351" s="17">
        <f>IF(BI351&gt;BJ351, BI351-BJ351-BK351, 0)</f>
        <v/>
      </c>
      <c r="BM351" s="17">
        <f>BI351-BK351</f>
        <v/>
      </c>
    </row>
    <row r="352" ht="19" customHeight="1">
      <c r="A352" s="4" t="n">
        <v>349</v>
      </c>
      <c r="B352" s="5" t="inlineStr">
        <is>
          <t>12203562360</t>
        </is>
      </c>
      <c r="C352" s="6" t="inlineStr">
        <is>
          <t>SEVGÜL YİLDİRİM</t>
        </is>
      </c>
      <c r="D352" s="4" t="inlineStr">
        <is>
          <t>K</t>
        </is>
      </c>
      <c r="E352" s="4" t="inlineStr"/>
      <c r="F352" s="4" t="inlineStr">
        <is>
          <t>02.06.2026</t>
        </is>
      </c>
      <c r="G352" s="4" t="inlineStr"/>
      <c r="H352" s="4" t="inlineStr">
        <is>
          <t>NORMAL</t>
        </is>
      </c>
      <c r="I352" s="4" t="inlineStr">
        <is>
          <t>MEVSİMLİK</t>
        </is>
      </c>
      <c r="J352" s="6" t="inlineStr">
        <is>
          <t>ÜRETİM</t>
        </is>
      </c>
      <c r="K352" s="6" t="inlineStr">
        <is>
          <t>KARACABEY-HALİL</t>
        </is>
      </c>
      <c r="L352" s="7" t="n">
        <v>28075.5</v>
      </c>
      <c r="M352" s="4" t="inlineStr">
        <is>
          <t>FİDE KONSERVE</t>
        </is>
      </c>
      <c r="N352" s="4" t="inlineStr">
        <is>
          <t>ALIR</t>
        </is>
      </c>
      <c r="O352" s="8" t="n">
        <v>0</v>
      </c>
      <c r="P352" s="8" t="n">
        <v>0</v>
      </c>
      <c r="Q352" s="8" t="n">
        <v>0</v>
      </c>
      <c r="R352" s="9" t="n">
        <v>0</v>
      </c>
      <c r="S352" s="8" t="n">
        <v>0</v>
      </c>
      <c r="T352" s="8" t="n">
        <v>0</v>
      </c>
      <c r="U352" s="8" t="n">
        <v>0</v>
      </c>
      <c r="V352" s="8" t="n">
        <v>0</v>
      </c>
      <c r="W352" s="8" t="n">
        <v>0</v>
      </c>
      <c r="X352" s="8" t="n">
        <v>0</v>
      </c>
      <c r="Y352" s="9" t="n">
        <v>0</v>
      </c>
      <c r="Z352" s="8" t="n">
        <v>0</v>
      </c>
      <c r="AA352" s="8" t="n">
        <v>0</v>
      </c>
      <c r="AB352" s="8" t="n">
        <v>0</v>
      </c>
      <c r="AC352" s="8" t="n">
        <v>0</v>
      </c>
      <c r="AD352" s="8" t="n">
        <v>0</v>
      </c>
      <c r="AE352" s="8" t="n">
        <v>0</v>
      </c>
      <c r="AF352" s="9" t="n">
        <v>0</v>
      </c>
      <c r="AG352" s="8" t="n">
        <v>0</v>
      </c>
      <c r="AH352" s="8" t="n">
        <v>0</v>
      </c>
      <c r="AI352" s="8" t="n">
        <v>0</v>
      </c>
      <c r="AJ352" s="8" t="n">
        <v>0</v>
      </c>
      <c r="AK352" s="8" t="n">
        <v>0</v>
      </c>
      <c r="AL352" s="8" t="n">
        <v>0</v>
      </c>
      <c r="AM352" s="9" t="n">
        <v>0</v>
      </c>
      <c r="AN352" s="8" t="n">
        <v>0</v>
      </c>
      <c r="AO352" s="8" t="n">
        <v>0</v>
      </c>
      <c r="AP352" s="8" t="n">
        <v>0</v>
      </c>
      <c r="AQ352" s="8" t="n">
        <v>0</v>
      </c>
      <c r="AR352" s="8" t="n">
        <v>0</v>
      </c>
      <c r="AS352" s="8" t="n">
        <v>0</v>
      </c>
      <c r="AT352" s="10">
        <f>SUM(O352:AS352)</f>
        <v/>
      </c>
      <c r="AU352" s="11">
        <f>COUNTIF(O352:AS352, "&gt;0")</f>
        <v/>
      </c>
      <c r="AV352" s="12">
        <f>IF(AU352&gt;=5, 4, IF(AU352&gt;0, INT(AU352/6), 0))</f>
        <v/>
      </c>
      <c r="AW352" s="11" t="n">
        <v>0</v>
      </c>
      <c r="AX352" s="11" t="n">
        <v>0</v>
      </c>
      <c r="AY352" s="13">
        <f>MIN(31, AU352+AV352+AW352+AX352)</f>
        <v/>
      </c>
      <c r="AZ352" s="14">
        <f>31-AY352</f>
        <v/>
      </c>
      <c r="BA352" s="5">
        <f>IF(AX352&gt;0, "01-İstirahat", IF(AZ352&gt;0, "12-Birden Fazla", ""))</f>
        <v/>
      </c>
      <c r="BB352" s="10" t="n">
        <v>0</v>
      </c>
      <c r="BC352" s="8" t="n">
        <v>0</v>
      </c>
      <c r="BD352" s="9" t="n">
        <v>0</v>
      </c>
      <c r="BE352" s="7">
        <f>(L352/30)*AU352</f>
        <v/>
      </c>
      <c r="BF352" s="15">
        <f>(L352/225)*((BB352*1.5)-(BC352*1.0))</f>
        <v/>
      </c>
      <c r="BG352" s="16">
        <f>(L352/225)*1.5*BD352</f>
        <v/>
      </c>
      <c r="BH352" s="15">
        <f>BF352+BG352</f>
        <v/>
      </c>
      <c r="BI352" s="17">
        <f>BE352+BH352</f>
        <v/>
      </c>
      <c r="BJ352" s="7">
        <f>IFERROR(VLOOKUP(B352, Resmi_Bordro_SGK!B:M, 11, FALSE), 0)</f>
        <v/>
      </c>
      <c r="BK352" s="18">
        <f>IFERROR(VLOOKUP(B352, Icra_Takip!A:E, 4, FALSE), 0)</f>
        <v/>
      </c>
      <c r="BL352" s="17">
        <f>IF(BI352&gt;BJ352, BI352-BJ352-BK352, 0)</f>
        <v/>
      </c>
      <c r="BM352" s="17">
        <f>BI352-BK352</f>
        <v/>
      </c>
    </row>
    <row r="353" ht="19" customHeight="1">
      <c r="A353" s="4" t="n">
        <v>350</v>
      </c>
      <c r="B353" s="5" t="inlineStr">
        <is>
          <t>17611699134</t>
        </is>
      </c>
      <c r="C353" s="6" t="inlineStr">
        <is>
          <t>SEVİLAY DÖNMEZ</t>
        </is>
      </c>
      <c r="D353" s="4" t="inlineStr">
        <is>
          <t>K</t>
        </is>
      </c>
      <c r="E353" s="4" t="inlineStr"/>
      <c r="F353" s="4" t="inlineStr">
        <is>
          <t>29.04.2026</t>
        </is>
      </c>
      <c r="G353" s="4" t="inlineStr"/>
      <c r="H353" s="4" t="inlineStr">
        <is>
          <t>NORMAL</t>
        </is>
      </c>
      <c r="I353" s="4" t="inlineStr">
        <is>
          <t>MEVSİMLİK</t>
        </is>
      </c>
      <c r="J353" s="6" t="inlineStr">
        <is>
          <t>BALIK TEMİZLEME</t>
        </is>
      </c>
      <c r="K353" s="6" t="inlineStr">
        <is>
          <t>GÜVEN TURİZM KARACABEY</t>
        </is>
      </c>
      <c r="L353" s="7" t="n">
        <v>33000</v>
      </c>
      <c r="M353" s="4" t="inlineStr">
        <is>
          <t>FİDE KONSERVE</t>
        </is>
      </c>
      <c r="N353" s="4" t="inlineStr">
        <is>
          <t>ALIR</t>
        </is>
      </c>
      <c r="O353" s="19" t="n">
        <v>8</v>
      </c>
      <c r="P353" s="19" t="n">
        <v>0</v>
      </c>
      <c r="Q353" s="19" t="n">
        <v>8</v>
      </c>
      <c r="R353" s="9" t="n">
        <v>0</v>
      </c>
      <c r="S353" s="19" t="n">
        <v>7.5</v>
      </c>
      <c r="T353" s="19" t="n">
        <v>8.5</v>
      </c>
      <c r="U353" s="19" t="n">
        <v>8</v>
      </c>
      <c r="V353" s="19" t="n">
        <v>0</v>
      </c>
      <c r="W353" s="19" t="n">
        <v>8.5</v>
      </c>
      <c r="X353" s="19" t="n">
        <v>8.5</v>
      </c>
      <c r="Y353" s="9" t="n">
        <v>0</v>
      </c>
      <c r="Z353" s="19" t="n">
        <v>7.5</v>
      </c>
      <c r="AA353" s="19" t="n">
        <v>7.5</v>
      </c>
      <c r="AB353" s="19" t="n">
        <v>0</v>
      </c>
      <c r="AC353" s="19" t="n">
        <v>7.5</v>
      </c>
      <c r="AD353" s="19" t="n">
        <v>8</v>
      </c>
      <c r="AE353" s="19" t="n">
        <v>8.5</v>
      </c>
      <c r="AF353" s="9" t="n">
        <v>0</v>
      </c>
      <c r="AG353" s="19" t="n">
        <v>8.5</v>
      </c>
      <c r="AH353" s="19" t="n">
        <v>7.5</v>
      </c>
      <c r="AI353" s="19" t="n">
        <v>7.5</v>
      </c>
      <c r="AJ353" s="19" t="n">
        <v>0</v>
      </c>
      <c r="AK353" s="19" t="n">
        <v>0</v>
      </c>
      <c r="AL353" s="19" t="n">
        <v>0</v>
      </c>
      <c r="AM353" s="9" t="n">
        <v>0</v>
      </c>
      <c r="AN353" s="19" t="n">
        <v>0</v>
      </c>
      <c r="AO353" s="19" t="n">
        <v>0</v>
      </c>
      <c r="AP353" s="19" t="n">
        <v>0</v>
      </c>
      <c r="AQ353" s="19" t="n">
        <v>0</v>
      </c>
      <c r="AR353" s="19" t="n">
        <v>0</v>
      </c>
      <c r="AS353" s="19" t="n">
        <v>0</v>
      </c>
      <c r="AT353" s="10">
        <f>SUM(O353:AS353)</f>
        <v/>
      </c>
      <c r="AU353" s="20">
        <f>COUNTIF(O353:AS353, "&gt;0")</f>
        <v/>
      </c>
      <c r="AV353" s="12">
        <f>IF(AU353&gt;=5, 4, IF(AU353&gt;0, INT(AU353/6), 0))</f>
        <v/>
      </c>
      <c r="AW353" s="20" t="n">
        <v>0</v>
      </c>
      <c r="AX353" s="20" t="n">
        <v>0</v>
      </c>
      <c r="AY353" s="13">
        <f>MIN(31, AU353+AV353+AW353+AX353)</f>
        <v/>
      </c>
      <c r="AZ353" s="14">
        <f>31-AY353</f>
        <v/>
      </c>
      <c r="BA353" s="21">
        <f>IF(AX353&gt;0, "01-İstirahat", IF(AZ353&gt;0, "12-Birden Fazla", ""))</f>
        <v/>
      </c>
      <c r="BB353" s="10" t="n">
        <v>7</v>
      </c>
      <c r="BC353" s="19" t="n">
        <v>0</v>
      </c>
      <c r="BD353" s="9" t="n">
        <v>0</v>
      </c>
      <c r="BE353" s="22">
        <f>(L353/30)*AU353</f>
        <v/>
      </c>
      <c r="BF353" s="15">
        <f>(L353/225)*((BB353*1.5)-(BC353*1.0))</f>
        <v/>
      </c>
      <c r="BG353" s="16">
        <f>(L353/225)*1.5*BD353</f>
        <v/>
      </c>
      <c r="BH353" s="15">
        <f>BF353+BG353</f>
        <v/>
      </c>
      <c r="BI353" s="17">
        <f>BE353+BH353</f>
        <v/>
      </c>
      <c r="BJ353" s="22">
        <f>IFERROR(VLOOKUP(B353, Resmi_Bordro_SGK!B:M, 11, FALSE), 0)</f>
        <v/>
      </c>
      <c r="BK353" s="18">
        <f>IFERROR(VLOOKUP(B353, Icra_Takip!A:E, 4, FALSE), 0)</f>
        <v/>
      </c>
      <c r="BL353" s="17">
        <f>IF(BI353&gt;BJ353, BI353-BJ353-BK353, 0)</f>
        <v/>
      </c>
      <c r="BM353" s="17">
        <f>BI353-BK353</f>
        <v/>
      </c>
    </row>
    <row r="354" ht="19" customHeight="1">
      <c r="A354" s="4" t="n">
        <v>351</v>
      </c>
      <c r="B354" s="5" t="inlineStr">
        <is>
          <t>22744536362</t>
        </is>
      </c>
      <c r="C354" s="6" t="inlineStr">
        <is>
          <t>SEVİM MAKAK</t>
        </is>
      </c>
      <c r="D354" s="4" t="inlineStr">
        <is>
          <t>K</t>
        </is>
      </c>
      <c r="E354" s="4" t="inlineStr"/>
      <c r="F354" s="4" t="inlineStr">
        <is>
          <t>06.01.2025</t>
        </is>
      </c>
      <c r="G354" s="4" t="inlineStr"/>
      <c r="H354" s="4" t="inlineStr">
        <is>
          <t>SGDP</t>
        </is>
      </c>
      <c r="I354" s="4" t="inlineStr">
        <is>
          <t>MEVSİMLİK</t>
        </is>
      </c>
      <c r="J354" s="6" t="inlineStr">
        <is>
          <t>BALIK DOLUM</t>
        </is>
      </c>
      <c r="K354" s="6" t="inlineStr">
        <is>
          <t>MKP</t>
        </is>
      </c>
      <c r="L354" s="7" t="n">
        <v>33000</v>
      </c>
      <c r="M354" s="4" t="inlineStr">
        <is>
          <t>FİDE KONSERVE</t>
        </is>
      </c>
      <c r="N354" s="4" t="inlineStr">
        <is>
          <t>ALIR</t>
        </is>
      </c>
      <c r="O354" s="8" t="n">
        <v>0</v>
      </c>
      <c r="P354" s="8" t="n">
        <v>0</v>
      </c>
      <c r="Q354" s="8" t="n">
        <v>0</v>
      </c>
      <c r="R354" s="9" t="n">
        <v>0</v>
      </c>
      <c r="S354" s="8" t="n">
        <v>0</v>
      </c>
      <c r="T354" s="8" t="n">
        <v>0</v>
      </c>
      <c r="U354" s="8" t="n">
        <v>0</v>
      </c>
      <c r="V354" s="8" t="n">
        <v>0</v>
      </c>
      <c r="W354" s="8" t="n">
        <v>0</v>
      </c>
      <c r="X354" s="8" t="n">
        <v>0</v>
      </c>
      <c r="Y354" s="9" t="n">
        <v>0</v>
      </c>
      <c r="Z354" s="8" t="n">
        <v>0</v>
      </c>
      <c r="AA354" s="8" t="n">
        <v>0</v>
      </c>
      <c r="AB354" s="8" t="n">
        <v>0</v>
      </c>
      <c r="AC354" s="8" t="n">
        <v>0</v>
      </c>
      <c r="AD354" s="8" t="n">
        <v>0</v>
      </c>
      <c r="AE354" s="8" t="n">
        <v>0</v>
      </c>
      <c r="AF354" s="9" t="n">
        <v>0</v>
      </c>
      <c r="AG354" s="8" t="n">
        <v>0</v>
      </c>
      <c r="AH354" s="8" t="n">
        <v>0</v>
      </c>
      <c r="AI354" s="8" t="n">
        <v>0</v>
      </c>
      <c r="AJ354" s="8" t="n">
        <v>0</v>
      </c>
      <c r="AK354" s="8" t="n">
        <v>0</v>
      </c>
      <c r="AL354" s="8" t="n">
        <v>0</v>
      </c>
      <c r="AM354" s="9" t="n">
        <v>0</v>
      </c>
      <c r="AN354" s="8" t="n">
        <v>0</v>
      </c>
      <c r="AO354" s="8" t="n">
        <v>0</v>
      </c>
      <c r="AP354" s="8" t="n">
        <v>0</v>
      </c>
      <c r="AQ354" s="8" t="n">
        <v>0</v>
      </c>
      <c r="AR354" s="8" t="n">
        <v>0</v>
      </c>
      <c r="AS354" s="8" t="n">
        <v>0</v>
      </c>
      <c r="AT354" s="10">
        <f>SUM(O354:AS354)</f>
        <v/>
      </c>
      <c r="AU354" s="11">
        <f>COUNTIF(O354:AS354, "&gt;0")</f>
        <v/>
      </c>
      <c r="AV354" s="12">
        <f>IF(AU354&gt;=5, 4, IF(AU354&gt;0, INT(AU354/6), 0))</f>
        <v/>
      </c>
      <c r="AW354" s="11" t="n">
        <v>0</v>
      </c>
      <c r="AX354" s="11" t="n">
        <v>0</v>
      </c>
      <c r="AY354" s="13">
        <f>MIN(31, AU354+AV354+AW354+AX354)</f>
        <v/>
      </c>
      <c r="AZ354" s="14">
        <f>31-AY354</f>
        <v/>
      </c>
      <c r="BA354" s="5">
        <f>IF(AX354&gt;0, "01-İstirahat", IF(AZ354&gt;0, "12-Birden Fazla", ""))</f>
        <v/>
      </c>
      <c r="BB354" s="10" t="n">
        <v>0</v>
      </c>
      <c r="BC354" s="8" t="n">
        <v>0</v>
      </c>
      <c r="BD354" s="9" t="n">
        <v>0</v>
      </c>
      <c r="BE354" s="7">
        <f>(L354/30)*AU354</f>
        <v/>
      </c>
      <c r="BF354" s="15">
        <f>(L354/225)*((BB354*1.5)-(BC354*1.0))</f>
        <v/>
      </c>
      <c r="BG354" s="16">
        <f>(L354/225)*1.5*BD354</f>
        <v/>
      </c>
      <c r="BH354" s="15">
        <f>BF354+BG354</f>
        <v/>
      </c>
      <c r="BI354" s="17">
        <f>BE354+BH354</f>
        <v/>
      </c>
      <c r="BJ354" s="7">
        <f>IFERROR(VLOOKUP(B354, Resmi_Bordro_SGK!B:M, 11, FALSE), 0)</f>
        <v/>
      </c>
      <c r="BK354" s="18">
        <f>IFERROR(VLOOKUP(B354, Icra_Takip!A:E, 4, FALSE), 0)</f>
        <v/>
      </c>
      <c r="BL354" s="17">
        <f>IF(BI354&gt;BJ354, BI354-BJ354-BK354, 0)</f>
        <v/>
      </c>
      <c r="BM354" s="17">
        <f>BI354-BK354</f>
        <v/>
      </c>
    </row>
    <row r="355" ht="19" customHeight="1">
      <c r="A355" s="4" t="n">
        <v>352</v>
      </c>
      <c r="B355" s="5" t="inlineStr">
        <is>
          <t>42014033940</t>
        </is>
      </c>
      <c r="C355" s="6" t="inlineStr">
        <is>
          <t>SÇEVİKAT ÇELİK</t>
        </is>
      </c>
      <c r="D355" s="4" t="inlineStr">
        <is>
          <t>K</t>
        </is>
      </c>
      <c r="E355" s="4" t="inlineStr"/>
      <c r="F355" s="4" t="inlineStr">
        <is>
          <t>23.06.2026</t>
        </is>
      </c>
      <c r="G355" s="4" t="inlineStr"/>
      <c r="H355" s="4" t="inlineStr">
        <is>
          <t>NORMAL</t>
        </is>
      </c>
      <c r="I355" s="4" t="inlineStr">
        <is>
          <t>MEVSİMLİK</t>
        </is>
      </c>
      <c r="J355" s="6" t="inlineStr">
        <is>
          <t>ÜRETİM</t>
        </is>
      </c>
      <c r="K355" s="6" t="inlineStr">
        <is>
          <t>SEVGİ</t>
        </is>
      </c>
      <c r="L355" s="7" t="n">
        <v>28075.5</v>
      </c>
      <c r="M355" s="4" t="inlineStr">
        <is>
          <t>FİDE KONSERVE</t>
        </is>
      </c>
      <c r="N355" s="4" t="inlineStr">
        <is>
          <t>ALIR</t>
        </is>
      </c>
      <c r="O355" s="19" t="n">
        <v>0</v>
      </c>
      <c r="P355" s="19" t="n">
        <v>0</v>
      </c>
      <c r="Q355" s="19" t="n">
        <v>0</v>
      </c>
      <c r="R355" s="9" t="n">
        <v>0</v>
      </c>
      <c r="S355" s="19" t="n">
        <v>0</v>
      </c>
      <c r="T355" s="19" t="n">
        <v>0</v>
      </c>
      <c r="U355" s="19" t="n">
        <v>0</v>
      </c>
      <c r="V355" s="19" t="n">
        <v>0</v>
      </c>
      <c r="W355" s="19" t="n">
        <v>0</v>
      </c>
      <c r="X355" s="19" t="n">
        <v>0</v>
      </c>
      <c r="Y355" s="9" t="n">
        <v>0</v>
      </c>
      <c r="Z355" s="19" t="n">
        <v>0</v>
      </c>
      <c r="AA355" s="19" t="n">
        <v>0</v>
      </c>
      <c r="AB355" s="19" t="n">
        <v>0</v>
      </c>
      <c r="AC355" s="19" t="n">
        <v>0</v>
      </c>
      <c r="AD355" s="19" t="n">
        <v>0</v>
      </c>
      <c r="AE355" s="19" t="n">
        <v>0</v>
      </c>
      <c r="AF355" s="9" t="n">
        <v>0</v>
      </c>
      <c r="AG355" s="19" t="n">
        <v>0</v>
      </c>
      <c r="AH355" s="19" t="n">
        <v>0</v>
      </c>
      <c r="AI355" s="19" t="n">
        <v>0</v>
      </c>
      <c r="AJ355" s="19" t="n">
        <v>0</v>
      </c>
      <c r="AK355" s="19" t="n">
        <v>0</v>
      </c>
      <c r="AL355" s="19" t="n">
        <v>0</v>
      </c>
      <c r="AM355" s="9" t="n">
        <v>0</v>
      </c>
      <c r="AN355" s="19" t="n">
        <v>0</v>
      </c>
      <c r="AO355" s="19" t="n">
        <v>0</v>
      </c>
      <c r="AP355" s="19" t="n">
        <v>0</v>
      </c>
      <c r="AQ355" s="19" t="n">
        <v>0</v>
      </c>
      <c r="AR355" s="19" t="n">
        <v>0</v>
      </c>
      <c r="AS355" s="19" t="n">
        <v>0</v>
      </c>
      <c r="AT355" s="10">
        <f>SUM(O355:AS355)</f>
        <v/>
      </c>
      <c r="AU355" s="20">
        <f>COUNTIF(O355:AS355, "&gt;0")</f>
        <v/>
      </c>
      <c r="AV355" s="12">
        <f>IF(AU355&gt;=5, 4, IF(AU355&gt;0, INT(AU355/6), 0))</f>
        <v/>
      </c>
      <c r="AW355" s="20" t="n">
        <v>0</v>
      </c>
      <c r="AX355" s="20" t="n">
        <v>0</v>
      </c>
      <c r="AY355" s="13">
        <f>MIN(31, AU355+AV355+AW355+AX355)</f>
        <v/>
      </c>
      <c r="AZ355" s="14">
        <f>31-AY355</f>
        <v/>
      </c>
      <c r="BA355" s="21">
        <f>IF(AX355&gt;0, "01-İstirahat", IF(AZ355&gt;0, "12-Birden Fazla", ""))</f>
        <v/>
      </c>
      <c r="BB355" s="10" t="n">
        <v>0</v>
      </c>
      <c r="BC355" s="19" t="n">
        <v>0</v>
      </c>
      <c r="BD355" s="9" t="n">
        <v>0</v>
      </c>
      <c r="BE355" s="22">
        <f>(L355/30)*AU355</f>
        <v/>
      </c>
      <c r="BF355" s="15">
        <f>(L355/225)*((BB355*1.5)-(BC355*1.0))</f>
        <v/>
      </c>
      <c r="BG355" s="16">
        <f>(L355/225)*1.5*BD355</f>
        <v/>
      </c>
      <c r="BH355" s="15">
        <f>BF355+BG355</f>
        <v/>
      </c>
      <c r="BI355" s="17">
        <f>BE355+BH355</f>
        <v/>
      </c>
      <c r="BJ355" s="22">
        <f>IFERROR(VLOOKUP(B355, Resmi_Bordro_SGK!B:M, 11, FALSE), 0)</f>
        <v/>
      </c>
      <c r="BK355" s="18">
        <f>IFERROR(VLOOKUP(B355, Icra_Takip!A:E, 4, FALSE), 0)</f>
        <v/>
      </c>
      <c r="BL355" s="17">
        <f>IF(BI355&gt;BJ355, BI355-BJ355-BK355, 0)</f>
        <v/>
      </c>
      <c r="BM355" s="17">
        <f>BI355-BK355</f>
        <v/>
      </c>
    </row>
    <row r="356" ht="19" customHeight="1">
      <c r="A356" s="4" t="n">
        <v>353</v>
      </c>
      <c r="B356" s="5" t="inlineStr">
        <is>
          <t>15250777510</t>
        </is>
      </c>
      <c r="C356" s="6" t="inlineStr">
        <is>
          <t>SEZAİ ÇELİK</t>
        </is>
      </c>
      <c r="D356" s="4" t="inlineStr">
        <is>
          <t>E</t>
        </is>
      </c>
      <c r="E356" s="4" t="inlineStr">
        <is>
          <t>23.06.2026</t>
        </is>
      </c>
      <c r="F356" s="4" t="inlineStr">
        <is>
          <t>24.06.2026</t>
        </is>
      </c>
      <c r="G356" s="4" t="inlineStr"/>
      <c r="H356" s="4" t="inlineStr">
        <is>
          <t>NORMAL</t>
        </is>
      </c>
      <c r="I356" s="4" t="inlineStr">
        <is>
          <t>MEVSİMLİK</t>
        </is>
      </c>
      <c r="J356" s="6" t="inlineStr">
        <is>
          <t>BALIK</t>
        </is>
      </c>
      <c r="K356" s="6" t="inlineStr">
        <is>
          <t>KARACABEY-HALİL</t>
        </is>
      </c>
      <c r="L356" s="7" t="n">
        <v>33000</v>
      </c>
      <c r="M356" s="4" t="inlineStr">
        <is>
          <t>FİDE KONSERVE</t>
        </is>
      </c>
      <c r="N356" s="4" t="inlineStr">
        <is>
          <t>ALIR</t>
        </is>
      </c>
      <c r="O356" s="8" t="n">
        <v>0</v>
      </c>
      <c r="P356" s="8" t="n">
        <v>0</v>
      </c>
      <c r="Q356" s="8" t="n">
        <v>0</v>
      </c>
      <c r="R356" s="9" t="n">
        <v>0</v>
      </c>
      <c r="S356" s="8" t="n">
        <v>0</v>
      </c>
      <c r="T356" s="8" t="n">
        <v>0</v>
      </c>
      <c r="U356" s="8" t="n">
        <v>0</v>
      </c>
      <c r="V356" s="8" t="n">
        <v>0</v>
      </c>
      <c r="W356" s="8" t="n">
        <v>0</v>
      </c>
      <c r="X356" s="8" t="n">
        <v>0</v>
      </c>
      <c r="Y356" s="9" t="n">
        <v>0</v>
      </c>
      <c r="Z356" s="8" t="n">
        <v>7.5</v>
      </c>
      <c r="AA356" s="8" t="n">
        <v>7.5</v>
      </c>
      <c r="AB356" s="8" t="n">
        <v>0</v>
      </c>
      <c r="AC356" s="8" t="n">
        <v>7.5</v>
      </c>
      <c r="AD356" s="8" t="n">
        <v>7.5</v>
      </c>
      <c r="AE356" s="8" t="n">
        <v>7.5</v>
      </c>
      <c r="AF356" s="9" t="n">
        <v>0</v>
      </c>
      <c r="AG356" s="8" t="n">
        <v>7.5</v>
      </c>
      <c r="AH356" s="8" t="n">
        <v>7.5</v>
      </c>
      <c r="AI356" s="8" t="n">
        <v>7.5</v>
      </c>
      <c r="AJ356" s="8" t="n">
        <v>0</v>
      </c>
      <c r="AK356" s="8" t="n">
        <v>0</v>
      </c>
      <c r="AL356" s="8" t="n">
        <v>0</v>
      </c>
      <c r="AM356" s="9" t="n">
        <v>0</v>
      </c>
      <c r="AN356" s="8" t="n">
        <v>0</v>
      </c>
      <c r="AO356" s="8" t="n">
        <v>0</v>
      </c>
      <c r="AP356" s="8" t="n">
        <v>0</v>
      </c>
      <c r="AQ356" s="8" t="n">
        <v>0</v>
      </c>
      <c r="AR356" s="8" t="n">
        <v>0</v>
      </c>
      <c r="AS356" s="8" t="n">
        <v>0</v>
      </c>
      <c r="AT356" s="10">
        <f>SUM(O356:AS356)</f>
        <v/>
      </c>
      <c r="AU356" s="11">
        <f>COUNTIF(O356:AS356, "&gt;0")</f>
        <v/>
      </c>
      <c r="AV356" s="12">
        <f>IF(AU356&gt;=5, 4, IF(AU356&gt;0, INT(AU356/6), 0))</f>
        <v/>
      </c>
      <c r="AW356" s="11" t="n">
        <v>0</v>
      </c>
      <c r="AX356" s="11" t="n">
        <v>0</v>
      </c>
      <c r="AY356" s="13">
        <f>MIN(31, AU356+AV356+AW356+AX356)</f>
        <v/>
      </c>
      <c r="AZ356" s="14">
        <f>31-AY356</f>
        <v/>
      </c>
      <c r="BA356" s="5">
        <f>IF(AX356&gt;0, "01-İstirahat", IF(AZ356&gt;0, "12-Birden Fazla", ""))</f>
        <v/>
      </c>
      <c r="BB356" s="10" t="n">
        <v>0</v>
      </c>
      <c r="BC356" s="8" t="n">
        <v>0</v>
      </c>
      <c r="BD356" s="9" t="n">
        <v>0</v>
      </c>
      <c r="BE356" s="7">
        <f>(L356/30)*AU356</f>
        <v/>
      </c>
      <c r="BF356" s="15">
        <f>(L356/225)*((BB356*1.5)-(BC356*1.0))</f>
        <v/>
      </c>
      <c r="BG356" s="16">
        <f>(L356/225)*1.5*BD356</f>
        <v/>
      </c>
      <c r="BH356" s="15">
        <f>BF356+BG356</f>
        <v/>
      </c>
      <c r="BI356" s="17">
        <f>BE356+BH356</f>
        <v/>
      </c>
      <c r="BJ356" s="7">
        <f>IFERROR(VLOOKUP(B356, Resmi_Bordro_SGK!B:M, 11, FALSE), 0)</f>
        <v/>
      </c>
      <c r="BK356" s="18">
        <f>IFERROR(VLOOKUP(B356, Icra_Takip!A:E, 4, FALSE), 0)</f>
        <v/>
      </c>
      <c r="BL356" s="17">
        <f>IF(BI356&gt;BJ356, BI356-BJ356-BK356, 0)</f>
        <v/>
      </c>
      <c r="BM356" s="17">
        <f>BI356-BK356</f>
        <v/>
      </c>
    </row>
    <row r="357" ht="19" customHeight="1">
      <c r="A357" s="4" t="n">
        <v>354</v>
      </c>
      <c r="B357" s="5" t="inlineStr">
        <is>
          <t>29200163070</t>
        </is>
      </c>
      <c r="C357" s="6" t="inlineStr">
        <is>
          <t>SEZGİN YILDIRIM</t>
        </is>
      </c>
      <c r="D357" s="4" t="inlineStr">
        <is>
          <t>E</t>
        </is>
      </c>
      <c r="E357" s="4" t="inlineStr"/>
      <c r="F357" s="4" t="inlineStr">
        <is>
          <t>23.06.2026</t>
        </is>
      </c>
      <c r="G357" s="4" t="inlineStr"/>
      <c r="H357" s="4" t="inlineStr">
        <is>
          <t>SGDP</t>
        </is>
      </c>
      <c r="I357" s="4" t="inlineStr">
        <is>
          <t>MEVSİMLİK</t>
        </is>
      </c>
      <c r="J357" s="6" t="inlineStr">
        <is>
          <t>ÜRETİM</t>
        </is>
      </c>
      <c r="K357" s="6" t="inlineStr">
        <is>
          <t>BİGADİÇ</t>
        </is>
      </c>
      <c r="L357" s="7" t="n">
        <v>30185</v>
      </c>
      <c r="M357" s="4" t="inlineStr">
        <is>
          <t>FİDE KONSERVE</t>
        </is>
      </c>
      <c r="N357" s="4" t="inlineStr">
        <is>
          <t>ALIR</t>
        </is>
      </c>
      <c r="O357" s="19" t="n">
        <v>7.5</v>
      </c>
      <c r="P357" s="19" t="n">
        <v>7.5</v>
      </c>
      <c r="Q357" s="19" t="n">
        <v>7.5</v>
      </c>
      <c r="R357" s="9" t="n">
        <v>0</v>
      </c>
      <c r="S357" s="19" t="n">
        <v>7.5</v>
      </c>
      <c r="T357" s="19" t="n">
        <v>7.5</v>
      </c>
      <c r="U357" s="19" t="n">
        <v>7.5</v>
      </c>
      <c r="V357" s="19" t="n">
        <v>7.5</v>
      </c>
      <c r="W357" s="19" t="n">
        <v>7.5</v>
      </c>
      <c r="X357" s="19" t="n">
        <v>7.5</v>
      </c>
      <c r="Y357" s="9" t="n">
        <v>0</v>
      </c>
      <c r="Z357" s="19" t="n">
        <v>7.5</v>
      </c>
      <c r="AA357" s="19" t="n">
        <v>7.5</v>
      </c>
      <c r="AB357" s="19" t="n">
        <v>8</v>
      </c>
      <c r="AC357" s="19" t="n">
        <v>7.5</v>
      </c>
      <c r="AD357" s="19" t="n">
        <v>7.5</v>
      </c>
      <c r="AE357" s="19" t="n">
        <v>7.5</v>
      </c>
      <c r="AF357" s="9" t="n">
        <v>0</v>
      </c>
      <c r="AG357" s="19" t="n">
        <v>7.5</v>
      </c>
      <c r="AH357" s="19" t="n">
        <v>7.5</v>
      </c>
      <c r="AI357" s="23" t="n">
        <v>7.5</v>
      </c>
      <c r="AJ357" s="19" t="n">
        <v>0</v>
      </c>
      <c r="AK357" s="19" t="n">
        <v>0</v>
      </c>
      <c r="AL357" s="19" t="n">
        <v>0</v>
      </c>
      <c r="AM357" s="9" t="n">
        <v>0</v>
      </c>
      <c r="AN357" s="19" t="n">
        <v>0</v>
      </c>
      <c r="AO357" s="19" t="n">
        <v>0</v>
      </c>
      <c r="AP357" s="19" t="n">
        <v>0</v>
      </c>
      <c r="AQ357" s="19" t="n">
        <v>0</v>
      </c>
      <c r="AR357" s="19" t="n">
        <v>0</v>
      </c>
      <c r="AS357" s="19" t="n">
        <v>0</v>
      </c>
      <c r="AT357" s="10">
        <f>SUM(O357:AS357)</f>
        <v/>
      </c>
      <c r="AU357" s="20">
        <f>COUNTIF(O357:AS357, "&gt;0")</f>
        <v/>
      </c>
      <c r="AV357" s="12">
        <f>IF(AU357&gt;=5, 4, IF(AU357&gt;0, INT(AU357/6), 0))</f>
        <v/>
      </c>
      <c r="AW357" s="20" t="n">
        <v>0</v>
      </c>
      <c r="AX357" s="20" t="n">
        <v>0</v>
      </c>
      <c r="AY357" s="13">
        <f>MIN(31, AU357+AV357+AW357+AX357)</f>
        <v/>
      </c>
      <c r="AZ357" s="14">
        <f>31-AY357</f>
        <v/>
      </c>
      <c r="BA357" s="21">
        <f>IF(AX357&gt;0, "01-İstirahat", IF(AZ357&gt;0, "12-Birden Fazla", ""))</f>
        <v/>
      </c>
      <c r="BB357" s="10" t="n">
        <v>0.5</v>
      </c>
      <c r="BC357" s="19" t="n">
        <v>0</v>
      </c>
      <c r="BD357" s="9" t="n">
        <v>0</v>
      </c>
      <c r="BE357" s="22">
        <f>(L357/30)*AU357</f>
        <v/>
      </c>
      <c r="BF357" s="15">
        <f>(L357/225)*((BB357*1.5)-(BC357*1.0))</f>
        <v/>
      </c>
      <c r="BG357" s="16">
        <f>(L357/225)*1.5*BD357</f>
        <v/>
      </c>
      <c r="BH357" s="15">
        <f>BF357+BG357</f>
        <v/>
      </c>
      <c r="BI357" s="17">
        <f>BE357+BH357</f>
        <v/>
      </c>
      <c r="BJ357" s="22">
        <f>IFERROR(VLOOKUP(B357, Resmi_Bordro_SGK!B:M, 11, FALSE), 0)</f>
        <v/>
      </c>
      <c r="BK357" s="18">
        <f>IFERROR(VLOOKUP(B357, Icra_Takip!A:E, 4, FALSE), 0)</f>
        <v/>
      </c>
      <c r="BL357" s="17">
        <f>IF(BI357&gt;BJ357, BI357-BJ357-BK357, 0)</f>
        <v/>
      </c>
      <c r="BM357" s="17">
        <f>BI357-BK357</f>
        <v/>
      </c>
    </row>
    <row r="358" ht="19" customHeight="1">
      <c r="A358" s="4" t="n">
        <v>355</v>
      </c>
      <c r="B358" s="5" t="inlineStr"/>
      <c r="C358" s="6" t="inlineStr">
        <is>
          <t>SEZGİN İLGÖREN</t>
        </is>
      </c>
      <c r="D358" s="4" t="inlineStr"/>
      <c r="E358" s="4" t="inlineStr"/>
      <c r="F358" s="4" t="inlineStr"/>
      <c r="G358" s="4" t="inlineStr"/>
      <c r="H358" s="4" t="inlineStr">
        <is>
          <t>NORMAL</t>
        </is>
      </c>
      <c r="I358" s="4" t="inlineStr">
        <is>
          <t>MEVSİMLİK</t>
        </is>
      </c>
      <c r="J358" s="6" t="inlineStr"/>
      <c r="K358" s="6" t="inlineStr"/>
      <c r="L358" s="7" t="n">
        <v>28075.5</v>
      </c>
      <c r="M358" s="4" t="inlineStr">
        <is>
          <t>FİDE KONSERVE</t>
        </is>
      </c>
      <c r="N358" s="4" t="inlineStr">
        <is>
          <t>ALIR</t>
        </is>
      </c>
      <c r="O358" s="8" t="n">
        <v>8.5</v>
      </c>
      <c r="P358" s="8" t="n">
        <v>9</v>
      </c>
      <c r="Q358" s="8" t="n">
        <v>8.5</v>
      </c>
      <c r="R358" s="9" t="n">
        <v>0</v>
      </c>
      <c r="S358" s="8" t="n">
        <v>8</v>
      </c>
      <c r="T358" s="8" t="n">
        <v>8.5</v>
      </c>
      <c r="U358" s="8" t="n">
        <v>6</v>
      </c>
      <c r="V358" s="8" t="n">
        <v>8</v>
      </c>
      <c r="W358" s="8" t="n">
        <v>8</v>
      </c>
      <c r="X358" s="8" t="n">
        <v>13.5</v>
      </c>
      <c r="Y358" s="9" t="n">
        <v>0</v>
      </c>
      <c r="Z358" s="8" t="n">
        <v>7.5</v>
      </c>
      <c r="AA358" s="8" t="n">
        <v>7.5</v>
      </c>
      <c r="AB358" s="8" t="n">
        <v>9</v>
      </c>
      <c r="AC358" s="8" t="n">
        <v>7.5</v>
      </c>
      <c r="AD358" s="8" t="n">
        <v>9</v>
      </c>
      <c r="AE358" s="8" t="n">
        <v>9</v>
      </c>
      <c r="AF358" s="9" t="n">
        <v>0</v>
      </c>
      <c r="AG358" s="8" t="n">
        <v>7</v>
      </c>
      <c r="AH358" s="8" t="n">
        <v>8</v>
      </c>
      <c r="AI358" s="8" t="n">
        <v>8</v>
      </c>
      <c r="AJ358" s="8" t="n">
        <v>0</v>
      </c>
      <c r="AK358" s="8" t="n">
        <v>0</v>
      </c>
      <c r="AL358" s="8" t="n">
        <v>0</v>
      </c>
      <c r="AM358" s="9" t="n">
        <v>0</v>
      </c>
      <c r="AN358" s="8" t="n">
        <v>0</v>
      </c>
      <c r="AO358" s="8" t="n">
        <v>0</v>
      </c>
      <c r="AP358" s="8" t="n">
        <v>0</v>
      </c>
      <c r="AQ358" s="8" t="n">
        <v>0</v>
      </c>
      <c r="AR358" s="8" t="n">
        <v>0</v>
      </c>
      <c r="AS358" s="8" t="n">
        <v>0</v>
      </c>
      <c r="AT358" s="10">
        <f>SUM(O358:AS358)</f>
        <v/>
      </c>
      <c r="AU358" s="11">
        <f>COUNTIF(O358:AS358, "&gt;0")</f>
        <v/>
      </c>
      <c r="AV358" s="12">
        <f>IF(AU358&gt;=5, 4, IF(AU358&gt;0, INT(AU358/6), 0))</f>
        <v/>
      </c>
      <c r="AW358" s="11" t="n">
        <v>0</v>
      </c>
      <c r="AX358" s="11" t="n">
        <v>0</v>
      </c>
      <c r="AY358" s="13">
        <f>MIN(31, AU358+AV358+AW358+AX358)</f>
        <v/>
      </c>
      <c r="AZ358" s="14">
        <f>31-AY358</f>
        <v/>
      </c>
      <c r="BA358" s="5">
        <f>IF(AX358&gt;0, "01-İstirahat", IF(AZ358&gt;0, "12-Birden Fazla", ""))</f>
        <v/>
      </c>
      <c r="BB358" s="10" t="n">
        <v>38.5</v>
      </c>
      <c r="BC358" s="23" t="n">
        <v>2</v>
      </c>
      <c r="BD358" s="9" t="n">
        <v>0</v>
      </c>
      <c r="BE358" s="7">
        <f>(L358/30)*AU358</f>
        <v/>
      </c>
      <c r="BF358" s="15">
        <f>(L358/225)*((BB358*1.5)-(BC358*1.0))</f>
        <v/>
      </c>
      <c r="BG358" s="16">
        <f>(L358/225)*1.5*BD358</f>
        <v/>
      </c>
      <c r="BH358" s="15">
        <f>BF358+BG358</f>
        <v/>
      </c>
      <c r="BI358" s="17">
        <f>BE358+BH358</f>
        <v/>
      </c>
      <c r="BJ358" s="7">
        <f>IFERROR(VLOOKUP(B358, Resmi_Bordro_SGK!B:M, 11, FALSE), 0)</f>
        <v/>
      </c>
      <c r="BK358" s="18">
        <f>IFERROR(VLOOKUP(B358, Icra_Takip!A:E, 4, FALSE), 0)</f>
        <v/>
      </c>
      <c r="BL358" s="17">
        <f>IF(BI358&gt;BJ358, BI358-BJ358-BK358, 0)</f>
        <v/>
      </c>
      <c r="BM358" s="17">
        <f>BI358-BK358</f>
        <v/>
      </c>
    </row>
    <row r="359" ht="19" customHeight="1">
      <c r="A359" s="4" t="n">
        <v>356</v>
      </c>
      <c r="B359" s="5" t="inlineStr"/>
      <c r="C359" s="6" t="inlineStr">
        <is>
          <t>SEYMA ÇARDAK</t>
        </is>
      </c>
      <c r="D359" s="4" t="inlineStr"/>
      <c r="E359" s="4" t="inlineStr"/>
      <c r="F359" s="4" t="inlineStr"/>
      <c r="G359" s="4" t="inlineStr"/>
      <c r="H359" s="4" t="inlineStr">
        <is>
          <t>NORMAL</t>
        </is>
      </c>
      <c r="I359" s="4" t="inlineStr">
        <is>
          <t>MEVSİMLİK</t>
        </is>
      </c>
      <c r="J359" s="6" t="inlineStr"/>
      <c r="K359" s="6" t="inlineStr"/>
      <c r="L359" s="7" t="n">
        <v>28075.5</v>
      </c>
      <c r="M359" s="4" t="inlineStr">
        <is>
          <t>FİDE KONSERVE</t>
        </is>
      </c>
      <c r="N359" s="4" t="inlineStr">
        <is>
          <t>ALIR</t>
        </is>
      </c>
      <c r="O359" s="19" t="n">
        <v>0</v>
      </c>
      <c r="P359" s="19" t="n">
        <v>0</v>
      </c>
      <c r="Q359" s="19" t="n">
        <v>0</v>
      </c>
      <c r="R359" s="9" t="n">
        <v>0</v>
      </c>
      <c r="S359" s="19" t="n">
        <v>0</v>
      </c>
      <c r="T359" s="19" t="n">
        <v>0</v>
      </c>
      <c r="U359" s="19" t="n">
        <v>0</v>
      </c>
      <c r="V359" s="19" t="n">
        <v>0</v>
      </c>
      <c r="W359" s="19" t="n">
        <v>0</v>
      </c>
      <c r="X359" s="19" t="n">
        <v>0</v>
      </c>
      <c r="Y359" s="9" t="n">
        <v>0</v>
      </c>
      <c r="Z359" s="19" t="n">
        <v>0</v>
      </c>
      <c r="AA359" s="19" t="n">
        <v>0</v>
      </c>
      <c r="AB359" s="19" t="n">
        <v>0</v>
      </c>
      <c r="AC359" s="19" t="n">
        <v>0</v>
      </c>
      <c r="AD359" s="19" t="n">
        <v>0</v>
      </c>
      <c r="AE359" s="19" t="n">
        <v>0</v>
      </c>
      <c r="AF359" s="9" t="n">
        <v>0</v>
      </c>
      <c r="AG359" s="19" t="n">
        <v>0</v>
      </c>
      <c r="AH359" s="19" t="n">
        <v>0</v>
      </c>
      <c r="AI359" s="19" t="n">
        <v>0</v>
      </c>
      <c r="AJ359" s="19" t="n">
        <v>0</v>
      </c>
      <c r="AK359" s="19" t="n">
        <v>0</v>
      </c>
      <c r="AL359" s="19" t="n">
        <v>0</v>
      </c>
      <c r="AM359" s="9" t="n">
        <v>0</v>
      </c>
      <c r="AN359" s="19" t="n">
        <v>0</v>
      </c>
      <c r="AO359" s="19" t="n">
        <v>0</v>
      </c>
      <c r="AP359" s="19" t="n">
        <v>0</v>
      </c>
      <c r="AQ359" s="19" t="n">
        <v>0</v>
      </c>
      <c r="AR359" s="19" t="n">
        <v>0</v>
      </c>
      <c r="AS359" s="19" t="n">
        <v>0</v>
      </c>
      <c r="AT359" s="10">
        <f>SUM(O359:AS359)</f>
        <v/>
      </c>
      <c r="AU359" s="20">
        <f>COUNTIF(O359:AS359, "&gt;0")</f>
        <v/>
      </c>
      <c r="AV359" s="12">
        <f>IF(AU359&gt;=5, 4, IF(AU359&gt;0, INT(AU359/6), 0))</f>
        <v/>
      </c>
      <c r="AW359" s="20" t="n">
        <v>0</v>
      </c>
      <c r="AX359" s="20" t="n">
        <v>0</v>
      </c>
      <c r="AY359" s="13">
        <f>MIN(31, AU359+AV359+AW359+AX359)</f>
        <v/>
      </c>
      <c r="AZ359" s="14">
        <f>31-AY359</f>
        <v/>
      </c>
      <c r="BA359" s="21">
        <f>IF(AX359&gt;0, "01-İstirahat", IF(AZ359&gt;0, "12-Birden Fazla", ""))</f>
        <v/>
      </c>
      <c r="BB359" s="10" t="n">
        <v>0</v>
      </c>
      <c r="BC359" s="19" t="n">
        <v>0</v>
      </c>
      <c r="BD359" s="9" t="n">
        <v>0</v>
      </c>
      <c r="BE359" s="22">
        <f>(L359/30)*AU359</f>
        <v/>
      </c>
      <c r="BF359" s="15">
        <f>(L359/225)*((BB359*1.5)-(BC359*1.0))</f>
        <v/>
      </c>
      <c r="BG359" s="16">
        <f>(L359/225)*1.5*BD359</f>
        <v/>
      </c>
      <c r="BH359" s="15">
        <f>BF359+BG359</f>
        <v/>
      </c>
      <c r="BI359" s="17">
        <f>BE359+BH359</f>
        <v/>
      </c>
      <c r="BJ359" s="22">
        <f>IFERROR(VLOOKUP(B359, Resmi_Bordro_SGK!B:M, 11, FALSE), 0)</f>
        <v/>
      </c>
      <c r="BK359" s="18">
        <f>IFERROR(VLOOKUP(B359, Icra_Takip!A:E, 4, FALSE), 0)</f>
        <v/>
      </c>
      <c r="BL359" s="17">
        <f>IF(BI359&gt;BJ359, BI359-BJ359-BK359, 0)</f>
        <v/>
      </c>
      <c r="BM359" s="17">
        <f>BI359-BK359</f>
        <v/>
      </c>
    </row>
    <row r="360" ht="19" customHeight="1">
      <c r="A360" s="4" t="n">
        <v>357</v>
      </c>
      <c r="B360" s="5" t="inlineStr">
        <is>
          <t>29267383640</t>
        </is>
      </c>
      <c r="C360" s="6" t="inlineStr">
        <is>
          <t>SIDIKA KARSLI</t>
        </is>
      </c>
      <c r="D360" s="4" t="inlineStr">
        <is>
          <t>K</t>
        </is>
      </c>
      <c r="E360" s="4" t="inlineStr"/>
      <c r="F360" s="4" t="inlineStr">
        <is>
          <t>05.01.2024</t>
        </is>
      </c>
      <c r="G360" s="4" t="inlineStr"/>
      <c r="H360" s="4" t="inlineStr">
        <is>
          <t>NORMAL</t>
        </is>
      </c>
      <c r="I360" s="4" t="inlineStr">
        <is>
          <t>DAİMİ</t>
        </is>
      </c>
      <c r="J360" s="6" t="inlineStr">
        <is>
          <t>İNSAN KAYNAKLARI</t>
        </is>
      </c>
      <c r="K360" s="6" t="inlineStr">
        <is>
          <t>SUSURLUK</t>
        </is>
      </c>
      <c r="L360" s="7" t="n">
        <v>37000</v>
      </c>
      <c r="M360" s="4" t="inlineStr">
        <is>
          <t>FİDE KONSERVE</t>
        </is>
      </c>
      <c r="N360" s="4" t="inlineStr">
        <is>
          <t>ALIR</t>
        </is>
      </c>
      <c r="O360" s="8" t="n">
        <v>0</v>
      </c>
      <c r="P360" s="8" t="n">
        <v>0</v>
      </c>
      <c r="Q360" s="8" t="n">
        <v>0</v>
      </c>
      <c r="R360" s="9" t="n">
        <v>0</v>
      </c>
      <c r="S360" s="8" t="n">
        <v>0</v>
      </c>
      <c r="T360" s="8" t="n">
        <v>0</v>
      </c>
      <c r="U360" s="8" t="n">
        <v>0</v>
      </c>
      <c r="V360" s="8" t="n">
        <v>0</v>
      </c>
      <c r="W360" s="8" t="n">
        <v>0</v>
      </c>
      <c r="X360" s="8" t="n">
        <v>0</v>
      </c>
      <c r="Y360" s="9" t="n">
        <v>0</v>
      </c>
      <c r="Z360" s="8" t="n">
        <v>0</v>
      </c>
      <c r="AA360" s="8" t="n">
        <v>0</v>
      </c>
      <c r="AB360" s="8" t="n">
        <v>0</v>
      </c>
      <c r="AC360" s="8" t="n">
        <v>0</v>
      </c>
      <c r="AD360" s="8" t="n">
        <v>0</v>
      </c>
      <c r="AE360" s="8" t="n">
        <v>0</v>
      </c>
      <c r="AF360" s="9" t="n">
        <v>0</v>
      </c>
      <c r="AG360" s="8" t="n">
        <v>0</v>
      </c>
      <c r="AH360" s="8" t="n">
        <v>0</v>
      </c>
      <c r="AI360" s="8" t="n">
        <v>0</v>
      </c>
      <c r="AJ360" s="8" t="n">
        <v>0</v>
      </c>
      <c r="AK360" s="8" t="n">
        <v>0</v>
      </c>
      <c r="AL360" s="8" t="n">
        <v>0</v>
      </c>
      <c r="AM360" s="9" t="n">
        <v>0</v>
      </c>
      <c r="AN360" s="8" t="n">
        <v>0</v>
      </c>
      <c r="AO360" s="8" t="n">
        <v>0</v>
      </c>
      <c r="AP360" s="8" t="n">
        <v>0</v>
      </c>
      <c r="AQ360" s="8" t="n">
        <v>0</v>
      </c>
      <c r="AR360" s="8" t="n">
        <v>0</v>
      </c>
      <c r="AS360" s="8" t="n">
        <v>0</v>
      </c>
      <c r="AT360" s="10">
        <f>SUM(O360:AS360)</f>
        <v/>
      </c>
      <c r="AU360" s="11">
        <f>COUNTIF(O360:AS360, "&gt;0")</f>
        <v/>
      </c>
      <c r="AV360" s="12">
        <f>IF(AU360&gt;=5, 4, IF(AU360&gt;0, INT(AU360/6), 0))</f>
        <v/>
      </c>
      <c r="AW360" s="11" t="n">
        <v>0</v>
      </c>
      <c r="AX360" s="11" t="n">
        <v>0</v>
      </c>
      <c r="AY360" s="13">
        <f>MIN(31, AU360+AV360+AW360+AX360)</f>
        <v/>
      </c>
      <c r="AZ360" s="14">
        <f>31-AY360</f>
        <v/>
      </c>
      <c r="BA360" s="5">
        <f>IF(AX360&gt;0, "01-İstirahat", IF(AZ360&gt;0, "12-Birden Fazla", ""))</f>
        <v/>
      </c>
      <c r="BB360" s="10" t="n">
        <v>0</v>
      </c>
      <c r="BC360" s="8" t="n">
        <v>0</v>
      </c>
      <c r="BD360" s="9" t="n">
        <v>0</v>
      </c>
      <c r="BE360" s="7">
        <f>(L360/30)*AU360</f>
        <v/>
      </c>
      <c r="BF360" s="15">
        <f>(L360/225)*((BB360*1.5)-(BC360*1.0))</f>
        <v/>
      </c>
      <c r="BG360" s="16">
        <f>(L360/225)*1.5*BD360</f>
        <v/>
      </c>
      <c r="BH360" s="15">
        <f>BF360+BG360</f>
        <v/>
      </c>
      <c r="BI360" s="17">
        <f>BE360+BH360</f>
        <v/>
      </c>
      <c r="BJ360" s="7">
        <f>IFERROR(VLOOKUP(B360, Resmi_Bordro_SGK!B:M, 11, FALSE), 0)</f>
        <v/>
      </c>
      <c r="BK360" s="18">
        <f>IFERROR(VLOOKUP(B360, Icra_Takip!A:E, 4, FALSE), 0)</f>
        <v/>
      </c>
      <c r="BL360" s="17">
        <f>IF(BI360&gt;BJ360, BI360-BJ360-BK360, 0)</f>
        <v/>
      </c>
      <c r="BM360" s="17">
        <f>BI360-BK360</f>
        <v/>
      </c>
    </row>
    <row r="361" ht="19" customHeight="1">
      <c r="A361" s="4" t="n">
        <v>358</v>
      </c>
      <c r="B361" s="5" t="inlineStr">
        <is>
          <t>18442962398</t>
        </is>
      </c>
      <c r="C361" s="6" t="inlineStr">
        <is>
          <t>SILA GÜNEŞ</t>
        </is>
      </c>
      <c r="D361" s="4" t="inlineStr">
        <is>
          <t>K</t>
        </is>
      </c>
      <c r="E361" s="4" t="inlineStr"/>
      <c r="F361" s="4" t="inlineStr">
        <is>
          <t>13.07.2026</t>
        </is>
      </c>
      <c r="G361" s="4" t="inlineStr">
        <is>
          <t>04.08.2026</t>
        </is>
      </c>
      <c r="H361" s="4" t="inlineStr">
        <is>
          <t>NORMAL</t>
        </is>
      </c>
      <c r="I361" s="4" t="inlineStr">
        <is>
          <t>MEVSİMLİK</t>
        </is>
      </c>
      <c r="J361" s="6" t="inlineStr">
        <is>
          <t>ÜRETİM</t>
        </is>
      </c>
      <c r="K361" s="6" t="inlineStr">
        <is>
          <t>SEVGİ</t>
        </is>
      </c>
      <c r="L361" s="7" t="n">
        <v>28075.5</v>
      </c>
      <c r="M361" s="4" t="inlineStr">
        <is>
          <t>FİDE KONSERVE</t>
        </is>
      </c>
      <c r="N361" s="4" t="inlineStr">
        <is>
          <t>ALIR</t>
        </is>
      </c>
      <c r="O361" s="19" t="n">
        <v>0</v>
      </c>
      <c r="P361" s="19" t="n">
        <v>0</v>
      </c>
      <c r="Q361" s="19" t="n">
        <v>0</v>
      </c>
      <c r="R361" s="9" t="n">
        <v>0</v>
      </c>
      <c r="S361" s="19" t="n">
        <v>0</v>
      </c>
      <c r="T361" s="19" t="n">
        <v>0</v>
      </c>
      <c r="U361" s="19" t="n">
        <v>0</v>
      </c>
      <c r="V361" s="19" t="n">
        <v>0</v>
      </c>
      <c r="W361" s="19" t="n">
        <v>0</v>
      </c>
      <c r="X361" s="19" t="n">
        <v>0</v>
      </c>
      <c r="Y361" s="9" t="n">
        <v>0</v>
      </c>
      <c r="Z361" s="19" t="n">
        <v>0</v>
      </c>
      <c r="AA361" s="19" t="n">
        <v>0</v>
      </c>
      <c r="AB361" s="19" t="n">
        <v>0</v>
      </c>
      <c r="AC361" s="19" t="n">
        <v>0</v>
      </c>
      <c r="AD361" s="19" t="n">
        <v>0</v>
      </c>
      <c r="AE361" s="19" t="n">
        <v>0</v>
      </c>
      <c r="AF361" s="9" t="n">
        <v>0</v>
      </c>
      <c r="AG361" s="19" t="n">
        <v>0</v>
      </c>
      <c r="AH361" s="19" t="n">
        <v>0</v>
      </c>
      <c r="AI361" s="19" t="n">
        <v>0</v>
      </c>
      <c r="AJ361" s="19" t="n">
        <v>0</v>
      </c>
      <c r="AK361" s="19" t="n">
        <v>0</v>
      </c>
      <c r="AL361" s="19" t="n">
        <v>0</v>
      </c>
      <c r="AM361" s="9" t="n">
        <v>0</v>
      </c>
      <c r="AN361" s="19" t="n">
        <v>0</v>
      </c>
      <c r="AO361" s="19" t="n">
        <v>0</v>
      </c>
      <c r="AP361" s="19" t="n">
        <v>0</v>
      </c>
      <c r="AQ361" s="19" t="n">
        <v>0</v>
      </c>
      <c r="AR361" s="19" t="n">
        <v>0</v>
      </c>
      <c r="AS361" s="19" t="n">
        <v>0</v>
      </c>
      <c r="AT361" s="10">
        <f>SUM(O361:AS361)</f>
        <v/>
      </c>
      <c r="AU361" s="20">
        <f>COUNTIF(O361:AS361, "&gt;0")</f>
        <v/>
      </c>
      <c r="AV361" s="12">
        <f>IF(AU361&gt;=5, 4, IF(AU361&gt;0, INT(AU361/6), 0))</f>
        <v/>
      </c>
      <c r="AW361" s="20" t="n">
        <v>0</v>
      </c>
      <c r="AX361" s="20" t="n">
        <v>0</v>
      </c>
      <c r="AY361" s="13">
        <f>MIN(31, AU361+AV361+AW361+AX361)</f>
        <v/>
      </c>
      <c r="AZ361" s="14">
        <f>31-AY361</f>
        <v/>
      </c>
      <c r="BA361" s="21">
        <f>IF(AX361&gt;0, "01-İstirahat", IF(AZ361&gt;0, "12-Birden Fazla", ""))</f>
        <v/>
      </c>
      <c r="BB361" s="10" t="n">
        <v>0</v>
      </c>
      <c r="BC361" s="19" t="n">
        <v>0</v>
      </c>
      <c r="BD361" s="9" t="n">
        <v>0</v>
      </c>
      <c r="BE361" s="22">
        <f>(L361/30)*AU361</f>
        <v/>
      </c>
      <c r="BF361" s="15">
        <f>(L361/225)*((BB361*1.5)-(BC361*1.0))</f>
        <v/>
      </c>
      <c r="BG361" s="16">
        <f>(L361/225)*1.5*BD361</f>
        <v/>
      </c>
      <c r="BH361" s="15">
        <f>BF361+BG361</f>
        <v/>
      </c>
      <c r="BI361" s="17">
        <f>BE361+BH361</f>
        <v/>
      </c>
      <c r="BJ361" s="22">
        <f>IFERROR(VLOOKUP(B361, Resmi_Bordro_SGK!B:M, 11, FALSE), 0)</f>
        <v/>
      </c>
      <c r="BK361" s="18">
        <f>IFERROR(VLOOKUP(B361, Icra_Takip!A:E, 4, FALSE), 0)</f>
        <v/>
      </c>
      <c r="BL361" s="17">
        <f>IF(BI361&gt;BJ361, BI361-BJ361-BK361, 0)</f>
        <v/>
      </c>
      <c r="BM361" s="17">
        <f>BI361-BK361</f>
        <v/>
      </c>
    </row>
    <row r="362" ht="19" customHeight="1">
      <c r="A362" s="4" t="n">
        <v>359</v>
      </c>
      <c r="B362" s="5" t="inlineStr"/>
      <c r="C362" s="6" t="inlineStr">
        <is>
          <t>SILA YAVAŞ</t>
        </is>
      </c>
      <c r="D362" s="4" t="inlineStr"/>
      <c r="E362" s="4" t="inlineStr"/>
      <c r="F362" s="4" t="inlineStr"/>
      <c r="G362" s="4" t="inlineStr"/>
      <c r="H362" s="4" t="inlineStr">
        <is>
          <t>NORMAL</t>
        </is>
      </c>
      <c r="I362" s="4" t="inlineStr">
        <is>
          <t>MEVSİMLİK</t>
        </is>
      </c>
      <c r="J362" s="6" t="inlineStr"/>
      <c r="K362" s="6" t="inlineStr"/>
      <c r="L362" s="7" t="n">
        <v>28075.5</v>
      </c>
      <c r="M362" s="4" t="inlineStr">
        <is>
          <t>FİDE KONSERVE</t>
        </is>
      </c>
      <c r="N362" s="4" t="inlineStr">
        <is>
          <t>ALIR</t>
        </is>
      </c>
      <c r="O362" s="8" t="n">
        <v>0</v>
      </c>
      <c r="P362" s="8" t="n">
        <v>0</v>
      </c>
      <c r="Q362" s="8" t="n">
        <v>0</v>
      </c>
      <c r="R362" s="9" t="n">
        <v>0</v>
      </c>
      <c r="S362" s="8" t="n">
        <v>0</v>
      </c>
      <c r="T362" s="8" t="n">
        <v>0</v>
      </c>
      <c r="U362" s="8" t="n">
        <v>0</v>
      </c>
      <c r="V362" s="8" t="n">
        <v>0</v>
      </c>
      <c r="W362" s="8" t="n">
        <v>0</v>
      </c>
      <c r="X362" s="8" t="n">
        <v>0</v>
      </c>
      <c r="Y362" s="9" t="n">
        <v>0</v>
      </c>
      <c r="Z362" s="8" t="n">
        <v>0</v>
      </c>
      <c r="AA362" s="8" t="n">
        <v>0</v>
      </c>
      <c r="AB362" s="8" t="n">
        <v>0</v>
      </c>
      <c r="AC362" s="8" t="n">
        <v>0</v>
      </c>
      <c r="AD362" s="8" t="n">
        <v>0</v>
      </c>
      <c r="AE362" s="8" t="n">
        <v>0</v>
      </c>
      <c r="AF362" s="9" t="n">
        <v>0</v>
      </c>
      <c r="AG362" s="8" t="n">
        <v>0</v>
      </c>
      <c r="AH362" s="8" t="n">
        <v>0</v>
      </c>
      <c r="AI362" s="8" t="n">
        <v>0</v>
      </c>
      <c r="AJ362" s="8" t="n">
        <v>0</v>
      </c>
      <c r="AK362" s="8" t="n">
        <v>0</v>
      </c>
      <c r="AL362" s="8" t="n">
        <v>0</v>
      </c>
      <c r="AM362" s="9" t="n">
        <v>0</v>
      </c>
      <c r="AN362" s="8" t="n">
        <v>0</v>
      </c>
      <c r="AO362" s="8" t="n">
        <v>0</v>
      </c>
      <c r="AP362" s="8" t="n">
        <v>0</v>
      </c>
      <c r="AQ362" s="8" t="n">
        <v>0</v>
      </c>
      <c r="AR362" s="8" t="n">
        <v>0</v>
      </c>
      <c r="AS362" s="8" t="n">
        <v>0</v>
      </c>
      <c r="AT362" s="10">
        <f>SUM(O362:AS362)</f>
        <v/>
      </c>
      <c r="AU362" s="11">
        <f>COUNTIF(O362:AS362, "&gt;0")</f>
        <v/>
      </c>
      <c r="AV362" s="12">
        <f>IF(AU362&gt;=5, 4, IF(AU362&gt;0, INT(AU362/6), 0))</f>
        <v/>
      </c>
      <c r="AW362" s="11" t="n">
        <v>0</v>
      </c>
      <c r="AX362" s="11" t="n">
        <v>0</v>
      </c>
      <c r="AY362" s="13">
        <f>MIN(31, AU362+AV362+AW362+AX362)</f>
        <v/>
      </c>
      <c r="AZ362" s="14">
        <f>31-AY362</f>
        <v/>
      </c>
      <c r="BA362" s="5">
        <f>IF(AX362&gt;0, "01-İstirahat", IF(AZ362&gt;0, "12-Birden Fazla", ""))</f>
        <v/>
      </c>
      <c r="BB362" s="10" t="n">
        <v>0</v>
      </c>
      <c r="BC362" s="8" t="n">
        <v>0</v>
      </c>
      <c r="BD362" s="9" t="n">
        <v>0</v>
      </c>
      <c r="BE362" s="7">
        <f>(L362/30)*AU362</f>
        <v/>
      </c>
      <c r="BF362" s="15">
        <f>(L362/225)*((BB362*1.5)-(BC362*1.0))</f>
        <v/>
      </c>
      <c r="BG362" s="16">
        <f>(L362/225)*1.5*BD362</f>
        <v/>
      </c>
      <c r="BH362" s="15">
        <f>BF362+BG362</f>
        <v/>
      </c>
      <c r="BI362" s="17">
        <f>BE362+BH362</f>
        <v/>
      </c>
      <c r="BJ362" s="7">
        <f>IFERROR(VLOOKUP(B362, Resmi_Bordro_SGK!B:M, 11, FALSE), 0)</f>
        <v/>
      </c>
      <c r="BK362" s="18">
        <f>IFERROR(VLOOKUP(B362, Icra_Takip!A:E, 4, FALSE), 0)</f>
        <v/>
      </c>
      <c r="BL362" s="17">
        <f>IF(BI362&gt;BJ362, BI362-BJ362-BK362, 0)</f>
        <v/>
      </c>
      <c r="BM362" s="17">
        <f>BI362-BK362</f>
        <v/>
      </c>
    </row>
    <row r="363" ht="19" customHeight="1">
      <c r="A363" s="4" t="n">
        <v>360</v>
      </c>
      <c r="B363" s="5" t="inlineStr">
        <is>
          <t>10582783284</t>
        </is>
      </c>
      <c r="C363" s="6" t="inlineStr">
        <is>
          <t>SİBEL ÇÇAKIR</t>
        </is>
      </c>
      <c r="D363" s="4" t="inlineStr">
        <is>
          <t>K</t>
        </is>
      </c>
      <c r="E363" s="4" t="inlineStr"/>
      <c r="F363" s="4" t="inlineStr">
        <is>
          <t>11.02.2023</t>
        </is>
      </c>
      <c r="G363" s="4" t="inlineStr"/>
      <c r="H363" s="4" t="inlineStr">
        <is>
          <t>NORMAL</t>
        </is>
      </c>
      <c r="I363" s="4" t="inlineStr">
        <is>
          <t>MEVSİMLİK</t>
        </is>
      </c>
      <c r="J363" s="6" t="inlineStr">
        <is>
          <t>ÜRETİM</t>
        </is>
      </c>
      <c r="K363" s="6" t="inlineStr">
        <is>
          <t>BİGADİÇ</t>
        </is>
      </c>
      <c r="L363" s="7" t="n">
        <v>28075.5</v>
      </c>
      <c r="M363" s="4" t="inlineStr">
        <is>
          <t>FİDE KONSERVE</t>
        </is>
      </c>
      <c r="N363" s="4" t="inlineStr">
        <is>
          <t>ALIR</t>
        </is>
      </c>
      <c r="O363" s="19" t="n">
        <v>7.5</v>
      </c>
      <c r="P363" s="19" t="n">
        <v>7.5</v>
      </c>
      <c r="Q363" s="19" t="n">
        <v>7.5</v>
      </c>
      <c r="R363" s="9" t="n">
        <v>14.5</v>
      </c>
      <c r="S363" s="19" t="n">
        <v>7.5</v>
      </c>
      <c r="T363" s="19" t="n">
        <v>7.5</v>
      </c>
      <c r="U363" s="19" t="n">
        <v>7.5</v>
      </c>
      <c r="V363" s="19" t="n">
        <v>7.5</v>
      </c>
      <c r="W363" s="19" t="n">
        <v>7.5</v>
      </c>
      <c r="X363" s="19" t="n">
        <v>7.5</v>
      </c>
      <c r="Y363" s="9" t="n">
        <v>0</v>
      </c>
      <c r="Z363" s="19" t="n">
        <v>7.5</v>
      </c>
      <c r="AA363" s="23" t="n">
        <v>7.5</v>
      </c>
      <c r="AB363" s="19" t="n">
        <v>8</v>
      </c>
      <c r="AC363" s="19" t="n">
        <v>7.5</v>
      </c>
      <c r="AD363" s="19" t="n">
        <v>7.5</v>
      </c>
      <c r="AE363" s="19" t="n">
        <v>7.5</v>
      </c>
      <c r="AF363" s="9" t="n">
        <v>0</v>
      </c>
      <c r="AG363" s="19" t="n">
        <v>7.5</v>
      </c>
      <c r="AH363" s="19" t="n">
        <v>7.5</v>
      </c>
      <c r="AI363" s="23" t="n">
        <v>7.5</v>
      </c>
      <c r="AJ363" s="19" t="n">
        <v>0</v>
      </c>
      <c r="AK363" s="19" t="n">
        <v>0</v>
      </c>
      <c r="AL363" s="19" t="n">
        <v>0</v>
      </c>
      <c r="AM363" s="9" t="n">
        <v>0</v>
      </c>
      <c r="AN363" s="19" t="n">
        <v>0</v>
      </c>
      <c r="AO363" s="19" t="n">
        <v>0</v>
      </c>
      <c r="AP363" s="19" t="n">
        <v>0</v>
      </c>
      <c r="AQ363" s="19" t="n">
        <v>0</v>
      </c>
      <c r="AR363" s="19" t="n">
        <v>0</v>
      </c>
      <c r="AS363" s="19" t="n">
        <v>0</v>
      </c>
      <c r="AT363" s="10">
        <f>SUM(O363:AS363)</f>
        <v/>
      </c>
      <c r="AU363" s="20">
        <f>COUNTIF(O363:AS363, "&gt;0")</f>
        <v/>
      </c>
      <c r="AV363" s="12">
        <f>IF(AU363&gt;=5, 4, IF(AU363&gt;0, INT(AU363/6), 0))</f>
        <v/>
      </c>
      <c r="AW363" s="20" t="n">
        <v>0</v>
      </c>
      <c r="AX363" s="20" t="n">
        <v>0</v>
      </c>
      <c r="AY363" s="13">
        <f>MIN(31, AU363+AV363+AW363+AX363)</f>
        <v/>
      </c>
      <c r="AZ363" s="14">
        <f>31-AY363</f>
        <v/>
      </c>
      <c r="BA363" s="21">
        <f>IF(AX363&gt;0, "01-İstirahat", IF(AZ363&gt;0, "12-Birden Fazla", ""))</f>
        <v/>
      </c>
      <c r="BB363" s="10" t="n">
        <v>0.5</v>
      </c>
      <c r="BC363" s="19" t="n">
        <v>0</v>
      </c>
      <c r="BD363" s="9" t="n">
        <v>14.5</v>
      </c>
      <c r="BE363" s="22">
        <f>(L363/30)*AU363</f>
        <v/>
      </c>
      <c r="BF363" s="15">
        <f>(L363/225)*((BB363*1.5)-(BC363*1.0))</f>
        <v/>
      </c>
      <c r="BG363" s="16">
        <f>(L363/225)*1.5*BD363</f>
        <v/>
      </c>
      <c r="BH363" s="15">
        <f>BF363+BG363</f>
        <v/>
      </c>
      <c r="BI363" s="17">
        <f>BE363+BH363</f>
        <v/>
      </c>
      <c r="BJ363" s="22">
        <f>IFERROR(VLOOKUP(B363, Resmi_Bordro_SGK!B:M, 11, FALSE), 0)</f>
        <v/>
      </c>
      <c r="BK363" s="18">
        <f>IFERROR(VLOOKUP(B363, Icra_Takip!A:E, 4, FALSE), 0)</f>
        <v/>
      </c>
      <c r="BL363" s="17">
        <f>IF(BI363&gt;BJ363, BI363-BJ363-BK363, 0)</f>
        <v/>
      </c>
      <c r="BM363" s="17">
        <f>BI363-BK363</f>
        <v/>
      </c>
    </row>
    <row r="364" ht="19" customHeight="1">
      <c r="A364" s="4" t="n">
        <v>361</v>
      </c>
      <c r="B364" s="5" t="inlineStr">
        <is>
          <t>10780950730</t>
        </is>
      </c>
      <c r="C364" s="6" t="inlineStr">
        <is>
          <t>SİBEL ÇİFTÇİ</t>
        </is>
      </c>
      <c r="D364" s="4" t="inlineStr">
        <is>
          <t>K</t>
        </is>
      </c>
      <c r="E364" s="4" t="inlineStr"/>
      <c r="F364" s="4" t="inlineStr">
        <is>
          <t>15.06.2026</t>
        </is>
      </c>
      <c r="G364" s="4" t="inlineStr"/>
      <c r="H364" s="4" t="inlineStr">
        <is>
          <t>NORMAL</t>
        </is>
      </c>
      <c r="I364" s="4" t="inlineStr">
        <is>
          <t>MEVSİMLİK</t>
        </is>
      </c>
      <c r="J364" s="6" t="inlineStr">
        <is>
          <t>BALIK TEMİZLEME</t>
        </is>
      </c>
      <c r="K364" s="6" t="inlineStr">
        <is>
          <t>MKP</t>
        </is>
      </c>
      <c r="L364" s="7" t="n">
        <v>33000</v>
      </c>
      <c r="M364" s="4" t="inlineStr">
        <is>
          <t>FİDE KONSERVE</t>
        </is>
      </c>
      <c r="N364" s="4" t="inlineStr">
        <is>
          <t>ALIR</t>
        </is>
      </c>
      <c r="O364" s="8" t="n">
        <v>0</v>
      </c>
      <c r="P364" s="8" t="n">
        <v>0</v>
      </c>
      <c r="Q364" s="8" t="n">
        <v>0</v>
      </c>
      <c r="R364" s="9" t="n">
        <v>0</v>
      </c>
      <c r="S364" s="8" t="n">
        <v>0</v>
      </c>
      <c r="T364" s="8" t="n">
        <v>0</v>
      </c>
      <c r="U364" s="8" t="n">
        <v>0</v>
      </c>
      <c r="V364" s="8" t="n">
        <v>0</v>
      </c>
      <c r="W364" s="8" t="n">
        <v>0</v>
      </c>
      <c r="X364" s="8" t="n">
        <v>0</v>
      </c>
      <c r="Y364" s="9" t="n">
        <v>0</v>
      </c>
      <c r="Z364" s="8" t="n">
        <v>0</v>
      </c>
      <c r="AA364" s="8" t="n">
        <v>0</v>
      </c>
      <c r="AB364" s="8" t="n">
        <v>0</v>
      </c>
      <c r="AC364" s="8" t="n">
        <v>0</v>
      </c>
      <c r="AD364" s="8" t="n">
        <v>0</v>
      </c>
      <c r="AE364" s="8" t="n">
        <v>0</v>
      </c>
      <c r="AF364" s="9" t="n">
        <v>0</v>
      </c>
      <c r="AG364" s="8" t="n">
        <v>0</v>
      </c>
      <c r="AH364" s="8" t="n">
        <v>0</v>
      </c>
      <c r="AI364" s="8" t="n">
        <v>0</v>
      </c>
      <c r="AJ364" s="8" t="n">
        <v>0</v>
      </c>
      <c r="AK364" s="8" t="n">
        <v>0</v>
      </c>
      <c r="AL364" s="8" t="n">
        <v>0</v>
      </c>
      <c r="AM364" s="9" t="n">
        <v>0</v>
      </c>
      <c r="AN364" s="8" t="n">
        <v>0</v>
      </c>
      <c r="AO364" s="8" t="n">
        <v>0</v>
      </c>
      <c r="AP364" s="8" t="n">
        <v>0</v>
      </c>
      <c r="AQ364" s="8" t="n">
        <v>0</v>
      </c>
      <c r="AR364" s="8" t="n">
        <v>0</v>
      </c>
      <c r="AS364" s="8" t="n">
        <v>0</v>
      </c>
      <c r="AT364" s="10">
        <f>SUM(O364:AS364)</f>
        <v/>
      </c>
      <c r="AU364" s="11">
        <f>COUNTIF(O364:AS364, "&gt;0")</f>
        <v/>
      </c>
      <c r="AV364" s="12">
        <f>IF(AU364&gt;=5, 4, IF(AU364&gt;0, INT(AU364/6), 0))</f>
        <v/>
      </c>
      <c r="AW364" s="11" t="n">
        <v>0</v>
      </c>
      <c r="AX364" s="11" t="n">
        <v>0</v>
      </c>
      <c r="AY364" s="13">
        <f>MIN(31, AU364+AV364+AW364+AX364)</f>
        <v/>
      </c>
      <c r="AZ364" s="14">
        <f>31-AY364</f>
        <v/>
      </c>
      <c r="BA364" s="5">
        <f>IF(AX364&gt;0, "01-İstirahat", IF(AZ364&gt;0, "12-Birden Fazla", ""))</f>
        <v/>
      </c>
      <c r="BB364" s="10" t="n">
        <v>0</v>
      </c>
      <c r="BC364" s="8" t="n">
        <v>0</v>
      </c>
      <c r="BD364" s="9" t="n">
        <v>0</v>
      </c>
      <c r="BE364" s="7">
        <f>(L364/30)*AU364</f>
        <v/>
      </c>
      <c r="BF364" s="15">
        <f>(L364/225)*((BB364*1.5)-(BC364*1.0))</f>
        <v/>
      </c>
      <c r="BG364" s="16">
        <f>(L364/225)*1.5*BD364</f>
        <v/>
      </c>
      <c r="BH364" s="15">
        <f>BF364+BG364</f>
        <v/>
      </c>
      <c r="BI364" s="17">
        <f>BE364+BH364</f>
        <v/>
      </c>
      <c r="BJ364" s="7">
        <f>IFERROR(VLOOKUP(B364, Resmi_Bordro_SGK!B:M, 11, FALSE), 0)</f>
        <v/>
      </c>
      <c r="BK364" s="18">
        <f>IFERROR(VLOOKUP(B364, Icra_Takip!A:E, 4, FALSE), 0)</f>
        <v/>
      </c>
      <c r="BL364" s="17">
        <f>IF(BI364&gt;BJ364, BI364-BJ364-BK364, 0)</f>
        <v/>
      </c>
      <c r="BM364" s="17">
        <f>BI364-BK364</f>
        <v/>
      </c>
    </row>
    <row r="365" ht="19" customHeight="1">
      <c r="A365" s="4" t="n">
        <v>362</v>
      </c>
      <c r="B365" s="5" t="inlineStr">
        <is>
          <t>28979029792</t>
        </is>
      </c>
      <c r="C365" s="6" t="inlineStr">
        <is>
          <t>SİNEM PİRİZOĞLU</t>
        </is>
      </c>
      <c r="D365" s="4" t="inlineStr">
        <is>
          <t>K</t>
        </is>
      </c>
      <c r="E365" s="4" t="inlineStr"/>
      <c r="F365" s="4" t="inlineStr">
        <is>
          <t>10.08.2026</t>
        </is>
      </c>
      <c r="G365" s="4" t="inlineStr"/>
      <c r="H365" s="4" t="inlineStr">
        <is>
          <t>NORMAL</t>
        </is>
      </c>
      <c r="I365" s="4" t="inlineStr">
        <is>
          <t>MEVSİMLİK</t>
        </is>
      </c>
      <c r="J365" s="6" t="inlineStr">
        <is>
          <t>ÜRETİM</t>
        </is>
      </c>
      <c r="K365" s="6" t="inlineStr">
        <is>
          <t>SEVGİ</t>
        </is>
      </c>
      <c r="L365" s="7" t="n">
        <v>28075.5</v>
      </c>
      <c r="M365" s="4" t="inlineStr">
        <is>
          <t>FİDE KONSERVE</t>
        </is>
      </c>
      <c r="N365" s="4" t="inlineStr">
        <is>
          <t>ALIR</t>
        </is>
      </c>
      <c r="O365" s="19" t="n">
        <v>0</v>
      </c>
      <c r="P365" s="19" t="n">
        <v>0</v>
      </c>
      <c r="Q365" s="19" t="n">
        <v>0</v>
      </c>
      <c r="R365" s="9" t="n">
        <v>0</v>
      </c>
      <c r="S365" s="19" t="n">
        <v>0</v>
      </c>
      <c r="T365" s="19" t="n">
        <v>0</v>
      </c>
      <c r="U365" s="19" t="n">
        <v>0</v>
      </c>
      <c r="V365" s="19" t="n">
        <v>0</v>
      </c>
      <c r="W365" s="19" t="n">
        <v>0</v>
      </c>
      <c r="X365" s="19" t="n">
        <v>0</v>
      </c>
      <c r="Y365" s="9" t="n">
        <v>0</v>
      </c>
      <c r="Z365" s="19" t="n">
        <v>0</v>
      </c>
      <c r="AA365" s="19" t="n">
        <v>0</v>
      </c>
      <c r="AB365" s="19" t="n">
        <v>0</v>
      </c>
      <c r="AC365" s="19" t="n">
        <v>0</v>
      </c>
      <c r="AD365" s="19" t="n">
        <v>0</v>
      </c>
      <c r="AE365" s="19" t="n">
        <v>0</v>
      </c>
      <c r="AF365" s="9" t="n">
        <v>0</v>
      </c>
      <c r="AG365" s="19" t="n">
        <v>0</v>
      </c>
      <c r="AH365" s="19" t="n">
        <v>0</v>
      </c>
      <c r="AI365" s="19" t="n">
        <v>0</v>
      </c>
      <c r="AJ365" s="19" t="n">
        <v>0</v>
      </c>
      <c r="AK365" s="19" t="n">
        <v>0</v>
      </c>
      <c r="AL365" s="19" t="n">
        <v>0</v>
      </c>
      <c r="AM365" s="9" t="n">
        <v>0</v>
      </c>
      <c r="AN365" s="19" t="n">
        <v>0</v>
      </c>
      <c r="AO365" s="19" t="n">
        <v>0</v>
      </c>
      <c r="AP365" s="19" t="n">
        <v>0</v>
      </c>
      <c r="AQ365" s="19" t="n">
        <v>0</v>
      </c>
      <c r="AR365" s="19" t="n">
        <v>0</v>
      </c>
      <c r="AS365" s="19" t="n">
        <v>0</v>
      </c>
      <c r="AT365" s="10">
        <f>SUM(O365:AS365)</f>
        <v/>
      </c>
      <c r="AU365" s="20">
        <f>COUNTIF(O365:AS365, "&gt;0")</f>
        <v/>
      </c>
      <c r="AV365" s="12">
        <f>IF(AU365&gt;=5, 4, IF(AU365&gt;0, INT(AU365/6), 0))</f>
        <v/>
      </c>
      <c r="AW365" s="20" t="n">
        <v>0</v>
      </c>
      <c r="AX365" s="20" t="n">
        <v>0</v>
      </c>
      <c r="AY365" s="13">
        <f>MIN(31, AU365+AV365+AW365+AX365)</f>
        <v/>
      </c>
      <c r="AZ365" s="14">
        <f>31-AY365</f>
        <v/>
      </c>
      <c r="BA365" s="21">
        <f>IF(AX365&gt;0, "01-İstirahat", IF(AZ365&gt;0, "12-Birden Fazla", ""))</f>
        <v/>
      </c>
      <c r="BB365" s="10" t="n">
        <v>0</v>
      </c>
      <c r="BC365" s="19" t="n">
        <v>0</v>
      </c>
      <c r="BD365" s="9" t="n">
        <v>0</v>
      </c>
      <c r="BE365" s="22">
        <f>(L365/30)*AU365</f>
        <v/>
      </c>
      <c r="BF365" s="15">
        <f>(L365/225)*((BB365*1.5)-(BC365*1.0))</f>
        <v/>
      </c>
      <c r="BG365" s="16">
        <f>(L365/225)*1.5*BD365</f>
        <v/>
      </c>
      <c r="BH365" s="15">
        <f>BF365+BG365</f>
        <v/>
      </c>
      <c r="BI365" s="17">
        <f>BE365+BH365</f>
        <v/>
      </c>
      <c r="BJ365" s="22">
        <f>IFERROR(VLOOKUP(B365, Resmi_Bordro_SGK!B:M, 11, FALSE), 0)</f>
        <v/>
      </c>
      <c r="BK365" s="18">
        <f>IFERROR(VLOOKUP(B365, Icra_Takip!A:E, 4, FALSE), 0)</f>
        <v/>
      </c>
      <c r="BL365" s="17">
        <f>IF(BI365&gt;BJ365, BI365-BJ365-BK365, 0)</f>
        <v/>
      </c>
      <c r="BM365" s="17">
        <f>BI365-BK365</f>
        <v/>
      </c>
    </row>
    <row r="366" ht="19" customHeight="1">
      <c r="A366" s="4" t="n">
        <v>363</v>
      </c>
      <c r="B366" s="5" t="inlineStr">
        <is>
          <t>17473728638</t>
        </is>
      </c>
      <c r="C366" s="6" t="inlineStr">
        <is>
          <t>SONGÜL DUMAN</t>
        </is>
      </c>
      <c r="D366" s="4" t="inlineStr">
        <is>
          <t>K</t>
        </is>
      </c>
      <c r="E366" s="4" t="inlineStr"/>
      <c r="F366" s="4" t="inlineStr">
        <is>
          <t>26.07.2026</t>
        </is>
      </c>
      <c r="G366" s="4" t="inlineStr"/>
      <c r="H366" s="4" t="inlineStr">
        <is>
          <t>NORMAL</t>
        </is>
      </c>
      <c r="I366" s="4" t="inlineStr">
        <is>
          <t>MEVSİMLİK</t>
        </is>
      </c>
      <c r="J366" s="6" t="inlineStr">
        <is>
          <t>ÜRETİM</t>
        </is>
      </c>
      <c r="K366" s="6" t="inlineStr">
        <is>
          <t>KARACABEY-HALİL</t>
        </is>
      </c>
      <c r="L366" s="7" t="n">
        <v>28075.5</v>
      </c>
      <c r="M366" s="4" t="inlineStr">
        <is>
          <t>FİDE KONSERVE</t>
        </is>
      </c>
      <c r="N366" s="4" t="inlineStr">
        <is>
          <t>ALIR</t>
        </is>
      </c>
      <c r="O366" s="8" t="n">
        <v>0</v>
      </c>
      <c r="P366" s="8" t="n">
        <v>0</v>
      </c>
      <c r="Q366" s="8" t="n">
        <v>0</v>
      </c>
      <c r="R366" s="9" t="n">
        <v>0</v>
      </c>
      <c r="S366" s="8" t="n">
        <v>0</v>
      </c>
      <c r="T366" s="8" t="n">
        <v>0</v>
      </c>
      <c r="U366" s="8" t="n">
        <v>0</v>
      </c>
      <c r="V366" s="8" t="n">
        <v>0</v>
      </c>
      <c r="W366" s="8" t="n">
        <v>0</v>
      </c>
      <c r="X366" s="8" t="n">
        <v>0</v>
      </c>
      <c r="Y366" s="9" t="n">
        <v>0</v>
      </c>
      <c r="Z366" s="8" t="n">
        <v>0</v>
      </c>
      <c r="AA366" s="8" t="n">
        <v>0</v>
      </c>
      <c r="AB366" s="8" t="n">
        <v>0</v>
      </c>
      <c r="AC366" s="8" t="n">
        <v>0</v>
      </c>
      <c r="AD366" s="8" t="n">
        <v>0</v>
      </c>
      <c r="AE366" s="8" t="n">
        <v>0</v>
      </c>
      <c r="AF366" s="9" t="n">
        <v>0</v>
      </c>
      <c r="AG366" s="8" t="n">
        <v>0</v>
      </c>
      <c r="AH366" s="8" t="n">
        <v>0</v>
      </c>
      <c r="AI366" s="8" t="n">
        <v>0</v>
      </c>
      <c r="AJ366" s="8" t="n">
        <v>0</v>
      </c>
      <c r="AK366" s="8" t="n">
        <v>0</v>
      </c>
      <c r="AL366" s="8" t="n">
        <v>0</v>
      </c>
      <c r="AM366" s="9" t="n">
        <v>0</v>
      </c>
      <c r="AN366" s="8" t="n">
        <v>0</v>
      </c>
      <c r="AO366" s="8" t="n">
        <v>0</v>
      </c>
      <c r="AP366" s="8" t="n">
        <v>0</v>
      </c>
      <c r="AQ366" s="8" t="n">
        <v>0</v>
      </c>
      <c r="AR366" s="8" t="n">
        <v>0</v>
      </c>
      <c r="AS366" s="8" t="n">
        <v>0</v>
      </c>
      <c r="AT366" s="10">
        <f>SUM(O366:AS366)</f>
        <v/>
      </c>
      <c r="AU366" s="11">
        <f>COUNTIF(O366:AS366, "&gt;0")</f>
        <v/>
      </c>
      <c r="AV366" s="12">
        <f>IF(AU366&gt;=5, 4, IF(AU366&gt;0, INT(AU366/6), 0))</f>
        <v/>
      </c>
      <c r="AW366" s="11" t="n">
        <v>0</v>
      </c>
      <c r="AX366" s="11" t="n">
        <v>0</v>
      </c>
      <c r="AY366" s="13">
        <f>MIN(31, AU366+AV366+AW366+AX366)</f>
        <v/>
      </c>
      <c r="AZ366" s="14">
        <f>31-AY366</f>
        <v/>
      </c>
      <c r="BA366" s="5">
        <f>IF(AX366&gt;0, "01-İstirahat", IF(AZ366&gt;0, "12-Birden Fazla", ""))</f>
        <v/>
      </c>
      <c r="BB366" s="10" t="n">
        <v>0</v>
      </c>
      <c r="BC366" s="8" t="n">
        <v>0</v>
      </c>
      <c r="BD366" s="9" t="n">
        <v>0</v>
      </c>
      <c r="BE366" s="7">
        <f>(L366/30)*AU366</f>
        <v/>
      </c>
      <c r="BF366" s="15">
        <f>(L366/225)*((BB366*1.5)-(BC366*1.0))</f>
        <v/>
      </c>
      <c r="BG366" s="16">
        <f>(L366/225)*1.5*BD366</f>
        <v/>
      </c>
      <c r="BH366" s="15">
        <f>BF366+BG366</f>
        <v/>
      </c>
      <c r="BI366" s="17">
        <f>BE366+BH366</f>
        <v/>
      </c>
      <c r="BJ366" s="7">
        <f>IFERROR(VLOOKUP(B366, Resmi_Bordro_SGK!B:M, 11, FALSE), 0)</f>
        <v/>
      </c>
      <c r="BK366" s="18">
        <f>IFERROR(VLOOKUP(B366, Icra_Takip!A:E, 4, FALSE), 0)</f>
        <v/>
      </c>
      <c r="BL366" s="17">
        <f>IF(BI366&gt;BJ366, BI366-BJ366-BK366, 0)</f>
        <v/>
      </c>
      <c r="BM366" s="17">
        <f>BI366-BK366</f>
        <v/>
      </c>
    </row>
    <row r="367" ht="19" customHeight="1">
      <c r="A367" s="4" t="n">
        <v>364</v>
      </c>
      <c r="B367" s="5" t="inlineStr">
        <is>
          <t>55963096430</t>
        </is>
      </c>
      <c r="C367" s="6" t="inlineStr">
        <is>
          <t>SULTAN BAĞ</t>
        </is>
      </c>
      <c r="D367" s="4" t="inlineStr">
        <is>
          <t>K</t>
        </is>
      </c>
      <c r="E367" s="4" t="inlineStr"/>
      <c r="F367" s="4" t="inlineStr">
        <is>
          <t>10.02.2026</t>
        </is>
      </c>
      <c r="G367" s="4" t="inlineStr"/>
      <c r="H367" s="4" t="inlineStr">
        <is>
          <t>NORMAL</t>
        </is>
      </c>
      <c r="I367" s="4" t="inlineStr">
        <is>
          <t>MEVSİMLİK</t>
        </is>
      </c>
      <c r="J367" s="6" t="inlineStr">
        <is>
          <t>BALIK TEMİZLEME</t>
        </is>
      </c>
      <c r="K367" s="6" t="inlineStr">
        <is>
          <t>KARACABEY</t>
        </is>
      </c>
      <c r="L367" s="7" t="n">
        <v>33000</v>
      </c>
      <c r="M367" s="4" t="inlineStr">
        <is>
          <t>FİDE KONSERVE</t>
        </is>
      </c>
      <c r="N367" s="4" t="inlineStr">
        <is>
          <t>ALIR</t>
        </is>
      </c>
      <c r="O367" s="19" t="n">
        <v>8</v>
      </c>
      <c r="P367" s="19" t="n">
        <v>8.5</v>
      </c>
      <c r="Q367" s="19" t="n">
        <v>8</v>
      </c>
      <c r="R367" s="9" t="n">
        <v>0</v>
      </c>
      <c r="S367" s="19" t="n">
        <v>0</v>
      </c>
      <c r="T367" s="19" t="n">
        <v>0</v>
      </c>
      <c r="U367" s="19" t="n">
        <v>0</v>
      </c>
      <c r="V367" s="19" t="n">
        <v>0</v>
      </c>
      <c r="W367" s="19" t="n">
        <v>0</v>
      </c>
      <c r="X367" s="19" t="n">
        <v>0</v>
      </c>
      <c r="Y367" s="9" t="n">
        <v>0</v>
      </c>
      <c r="Z367" s="19" t="n">
        <v>0</v>
      </c>
      <c r="AA367" s="19" t="n">
        <v>0</v>
      </c>
      <c r="AB367" s="19" t="n">
        <v>0</v>
      </c>
      <c r="AC367" s="19" t="n">
        <v>0</v>
      </c>
      <c r="AD367" s="19" t="n">
        <v>0</v>
      </c>
      <c r="AE367" s="19" t="n">
        <v>0</v>
      </c>
      <c r="AF367" s="9" t="n">
        <v>0</v>
      </c>
      <c r="AG367" s="19" t="n">
        <v>0</v>
      </c>
      <c r="AH367" s="19" t="n">
        <v>0</v>
      </c>
      <c r="AI367" s="19" t="n">
        <v>0</v>
      </c>
      <c r="AJ367" s="19" t="n">
        <v>0</v>
      </c>
      <c r="AK367" s="19" t="n">
        <v>0</v>
      </c>
      <c r="AL367" s="19" t="n">
        <v>0</v>
      </c>
      <c r="AM367" s="9" t="n">
        <v>0</v>
      </c>
      <c r="AN367" s="19" t="n">
        <v>0</v>
      </c>
      <c r="AO367" s="19" t="n">
        <v>0</v>
      </c>
      <c r="AP367" s="19" t="n">
        <v>0</v>
      </c>
      <c r="AQ367" s="19" t="n">
        <v>0</v>
      </c>
      <c r="AR367" s="19" t="n">
        <v>0</v>
      </c>
      <c r="AS367" s="19" t="n">
        <v>0</v>
      </c>
      <c r="AT367" s="10">
        <f>SUM(O367:AS367)</f>
        <v/>
      </c>
      <c r="AU367" s="20">
        <f>COUNTIF(O367:AS367, "&gt;0")</f>
        <v/>
      </c>
      <c r="AV367" s="12">
        <f>IF(AU367&gt;=5, 4, IF(AU367&gt;0, INT(AU367/6), 0))</f>
        <v/>
      </c>
      <c r="AW367" s="20" t="n">
        <v>0</v>
      </c>
      <c r="AX367" s="20" t="n">
        <v>0</v>
      </c>
      <c r="AY367" s="13">
        <f>MIN(31, AU367+AV367+AW367+AX367)</f>
        <v/>
      </c>
      <c r="AZ367" s="14">
        <f>31-AY367</f>
        <v/>
      </c>
      <c r="BA367" s="21">
        <f>IF(AX367&gt;0, "01-İstirahat", IF(AZ367&gt;0, "12-Birden Fazla", ""))</f>
        <v/>
      </c>
      <c r="BB367" s="10" t="n">
        <v>2</v>
      </c>
      <c r="BC367" s="19" t="n">
        <v>0</v>
      </c>
      <c r="BD367" s="9" t="n">
        <v>0</v>
      </c>
      <c r="BE367" s="22">
        <f>(L367/30)*AU367</f>
        <v/>
      </c>
      <c r="BF367" s="15">
        <f>(L367/225)*((BB367*1.5)-(BC367*1.0))</f>
        <v/>
      </c>
      <c r="BG367" s="16">
        <f>(L367/225)*1.5*BD367</f>
        <v/>
      </c>
      <c r="BH367" s="15">
        <f>BF367+BG367</f>
        <v/>
      </c>
      <c r="BI367" s="17">
        <f>BE367+BH367</f>
        <v/>
      </c>
      <c r="BJ367" s="22">
        <f>IFERROR(VLOOKUP(B367, Resmi_Bordro_SGK!B:M, 11, FALSE), 0)</f>
        <v/>
      </c>
      <c r="BK367" s="18">
        <f>IFERROR(VLOOKUP(B367, Icra_Takip!A:E, 4, FALSE), 0)</f>
        <v/>
      </c>
      <c r="BL367" s="17">
        <f>IF(BI367&gt;BJ367, BI367-BJ367-BK367, 0)</f>
        <v/>
      </c>
      <c r="BM367" s="17">
        <f>BI367-BK367</f>
        <v/>
      </c>
    </row>
    <row r="368" ht="19" customHeight="1">
      <c r="A368" s="4" t="n">
        <v>365</v>
      </c>
      <c r="B368" s="5" t="inlineStr">
        <is>
          <t>13720827796</t>
        </is>
      </c>
      <c r="C368" s="6" t="inlineStr">
        <is>
          <t>ŞADİ BAŞARICI</t>
        </is>
      </c>
      <c r="D368" s="4" t="inlineStr">
        <is>
          <t>E</t>
        </is>
      </c>
      <c r="E368" s="4" t="inlineStr"/>
      <c r="F368" s="4" t="inlineStr">
        <is>
          <t>14.06.2023</t>
        </is>
      </c>
      <c r="G368" s="4" t="inlineStr"/>
      <c r="H368" s="4" t="inlineStr">
        <is>
          <t>NORMAL</t>
        </is>
      </c>
      <c r="I368" s="4" t="inlineStr">
        <is>
          <t>DAİMİ</t>
        </is>
      </c>
      <c r="J368" s="6" t="inlineStr">
        <is>
          <t>BAKIM</t>
        </is>
      </c>
      <c r="K368" s="6" t="inlineStr">
        <is>
          <t>KARACABEY</t>
        </is>
      </c>
      <c r="L368" s="7" t="n">
        <v>42000</v>
      </c>
      <c r="M368" s="4" t="inlineStr">
        <is>
          <t>FİDE KONSERVE</t>
        </is>
      </c>
      <c r="N368" s="4" t="inlineStr">
        <is>
          <t>ALIR</t>
        </is>
      </c>
      <c r="O368" s="8" t="n">
        <v>8</v>
      </c>
      <c r="P368" s="8" t="n">
        <v>7.5</v>
      </c>
      <c r="Q368" s="8" t="n">
        <v>0</v>
      </c>
      <c r="R368" s="9" t="n">
        <v>8</v>
      </c>
      <c r="S368" s="8" t="n">
        <v>7.5</v>
      </c>
      <c r="T368" s="8" t="n">
        <v>8.5</v>
      </c>
      <c r="U368" s="8" t="n">
        <v>8</v>
      </c>
      <c r="V368" s="8" t="n">
        <v>8.5</v>
      </c>
      <c r="W368" s="8" t="n">
        <v>7.5</v>
      </c>
      <c r="X368" s="8" t="n">
        <v>7.5</v>
      </c>
      <c r="Y368" s="9" t="n">
        <v>8</v>
      </c>
      <c r="Z368" s="8" t="n">
        <v>8</v>
      </c>
      <c r="AA368" s="8" t="n">
        <v>7.5</v>
      </c>
      <c r="AB368" s="8" t="n">
        <v>7.5</v>
      </c>
      <c r="AC368" s="8" t="n">
        <v>7.5</v>
      </c>
      <c r="AD368" s="8" t="n">
        <v>0</v>
      </c>
      <c r="AE368" s="8" t="n">
        <v>10.5</v>
      </c>
      <c r="AF368" s="9" t="n">
        <v>0</v>
      </c>
      <c r="AG368" s="8" t="n">
        <v>7.5</v>
      </c>
      <c r="AH368" s="8" t="n">
        <v>8</v>
      </c>
      <c r="AI368" s="23" t="n">
        <v>7.5</v>
      </c>
      <c r="AJ368" s="8" t="n">
        <v>0</v>
      </c>
      <c r="AK368" s="8" t="n">
        <v>0</v>
      </c>
      <c r="AL368" s="8" t="n">
        <v>0</v>
      </c>
      <c r="AM368" s="9" t="n">
        <v>0</v>
      </c>
      <c r="AN368" s="8" t="n">
        <v>0</v>
      </c>
      <c r="AO368" s="8" t="n">
        <v>0</v>
      </c>
      <c r="AP368" s="8" t="n">
        <v>0</v>
      </c>
      <c r="AQ368" s="8" t="n">
        <v>0</v>
      </c>
      <c r="AR368" s="8" t="n">
        <v>0</v>
      </c>
      <c r="AS368" s="8" t="n">
        <v>0</v>
      </c>
      <c r="AT368" s="10">
        <f>SUM(O368:AS368)</f>
        <v/>
      </c>
      <c r="AU368" s="11">
        <f>COUNTIF(O368:AS368, "&gt;0")</f>
        <v/>
      </c>
      <c r="AV368" s="12">
        <f>IF(AU368&gt;=5, 4, IF(AU368&gt;0, INT(AU368/6), 0))</f>
        <v/>
      </c>
      <c r="AW368" s="11" t="n">
        <v>0</v>
      </c>
      <c r="AX368" s="11" t="n">
        <v>0</v>
      </c>
      <c r="AY368" s="13">
        <f>MIN(31, AU368+AV368+AW368+AX368)</f>
        <v/>
      </c>
      <c r="AZ368" s="14">
        <f>31-AY368</f>
        <v/>
      </c>
      <c r="BA368" s="5">
        <f>IF(AX368&gt;0, "01-İstirahat", IF(AZ368&gt;0, "12-Birden Fazla", ""))</f>
        <v/>
      </c>
      <c r="BB368" s="10" t="n">
        <v>7.5</v>
      </c>
      <c r="BC368" s="8" t="n">
        <v>0</v>
      </c>
      <c r="BD368" s="9" t="n">
        <v>16</v>
      </c>
      <c r="BE368" s="7">
        <f>(L368/30)*AU368</f>
        <v/>
      </c>
      <c r="BF368" s="15">
        <f>(L368/225)*((BB368*1.5)-(BC368*1.0))</f>
        <v/>
      </c>
      <c r="BG368" s="16">
        <f>(L368/225)*1.5*BD368</f>
        <v/>
      </c>
      <c r="BH368" s="15">
        <f>BF368+BG368</f>
        <v/>
      </c>
      <c r="BI368" s="17">
        <f>BE368+BH368</f>
        <v/>
      </c>
      <c r="BJ368" s="7">
        <f>IFERROR(VLOOKUP(B368, Resmi_Bordro_SGK!B:M, 11, FALSE), 0)</f>
        <v/>
      </c>
      <c r="BK368" s="18">
        <f>IFERROR(VLOOKUP(B368, Icra_Takip!A:E, 4, FALSE), 0)</f>
        <v/>
      </c>
      <c r="BL368" s="17">
        <f>IF(BI368&gt;BJ368, BI368-BJ368-BK368, 0)</f>
        <v/>
      </c>
      <c r="BM368" s="17">
        <f>BI368-BK368</f>
        <v/>
      </c>
    </row>
    <row r="369" ht="19" customHeight="1">
      <c r="A369" s="4" t="n">
        <v>366</v>
      </c>
      <c r="B369" s="5" t="inlineStr">
        <is>
          <t>24721461636</t>
        </is>
      </c>
      <c r="C369" s="6" t="inlineStr">
        <is>
          <t>ŞADİYE AKIN</t>
        </is>
      </c>
      <c r="D369" s="4" t="inlineStr">
        <is>
          <t>K</t>
        </is>
      </c>
      <c r="E369" s="4" t="inlineStr"/>
      <c r="F369" s="4" t="inlineStr">
        <is>
          <t>10.02.2026</t>
        </is>
      </c>
      <c r="G369" s="4" t="inlineStr"/>
      <c r="H369" s="4" t="inlineStr">
        <is>
          <t>NORMAL</t>
        </is>
      </c>
      <c r="I369" s="4" t="inlineStr">
        <is>
          <t>MEVSİMLİK</t>
        </is>
      </c>
      <c r="J369" s="6" t="inlineStr">
        <is>
          <t>BALIK TEMİZLEME</t>
        </is>
      </c>
      <c r="K369" s="6" t="inlineStr">
        <is>
          <t>KARACABEY-HALİL</t>
        </is>
      </c>
      <c r="L369" s="7" t="n">
        <v>33000</v>
      </c>
      <c r="M369" s="4" t="inlineStr">
        <is>
          <t>FİDE KONSERVE</t>
        </is>
      </c>
      <c r="N369" s="4" t="inlineStr">
        <is>
          <t>ALIR</t>
        </is>
      </c>
      <c r="O369" s="19" t="n">
        <v>8</v>
      </c>
      <c r="P369" s="19" t="n">
        <v>8</v>
      </c>
      <c r="Q369" s="19" t="n">
        <v>8</v>
      </c>
      <c r="R369" s="9" t="n">
        <v>0</v>
      </c>
      <c r="S369" s="19" t="n">
        <v>0</v>
      </c>
      <c r="T369" s="19" t="n">
        <v>0</v>
      </c>
      <c r="U369" s="19" t="n">
        <v>0</v>
      </c>
      <c r="V369" s="19" t="n">
        <v>0</v>
      </c>
      <c r="W369" s="19" t="n">
        <v>0</v>
      </c>
      <c r="X369" s="19" t="n">
        <v>0</v>
      </c>
      <c r="Y369" s="9" t="n">
        <v>0</v>
      </c>
      <c r="Z369" s="19" t="n">
        <v>7.5</v>
      </c>
      <c r="AA369" s="19" t="n">
        <v>7.5</v>
      </c>
      <c r="AB369" s="19" t="n">
        <v>8.5</v>
      </c>
      <c r="AC369" s="19" t="n">
        <v>7.5</v>
      </c>
      <c r="AD369" s="19" t="n">
        <v>7.5</v>
      </c>
      <c r="AE369" s="19" t="n">
        <v>8.5</v>
      </c>
      <c r="AF369" s="9" t="n">
        <v>0</v>
      </c>
      <c r="AG369" s="19" t="n">
        <v>0</v>
      </c>
      <c r="AH369" s="19" t="n">
        <v>7.5</v>
      </c>
      <c r="AI369" s="19" t="n">
        <v>7.5</v>
      </c>
      <c r="AJ369" s="19" t="n">
        <v>0</v>
      </c>
      <c r="AK369" s="19" t="n">
        <v>0</v>
      </c>
      <c r="AL369" s="19" t="n">
        <v>0</v>
      </c>
      <c r="AM369" s="9" t="n">
        <v>0</v>
      </c>
      <c r="AN369" s="19" t="n">
        <v>0</v>
      </c>
      <c r="AO369" s="19" t="n">
        <v>0</v>
      </c>
      <c r="AP369" s="19" t="n">
        <v>0</v>
      </c>
      <c r="AQ369" s="19" t="n">
        <v>0</v>
      </c>
      <c r="AR369" s="19" t="n">
        <v>0</v>
      </c>
      <c r="AS369" s="19" t="n">
        <v>0</v>
      </c>
      <c r="AT369" s="10">
        <f>SUM(O369:AS369)</f>
        <v/>
      </c>
      <c r="AU369" s="20">
        <f>COUNTIF(O369:AS369, "&gt;0")</f>
        <v/>
      </c>
      <c r="AV369" s="12">
        <f>IF(AU369&gt;=5, 4, IF(AU369&gt;0, INT(AU369/6), 0))</f>
        <v/>
      </c>
      <c r="AW369" s="20" t="n">
        <v>0</v>
      </c>
      <c r="AX369" s="20" t="n">
        <v>0</v>
      </c>
      <c r="AY369" s="13">
        <f>MIN(31, AU369+AV369+AW369+AX369)</f>
        <v/>
      </c>
      <c r="AZ369" s="14">
        <f>31-AY369</f>
        <v/>
      </c>
      <c r="BA369" s="21">
        <f>IF(AX369&gt;0, "01-İstirahat", IF(AZ369&gt;0, "12-Birden Fazla", ""))</f>
        <v/>
      </c>
      <c r="BB369" s="10" t="n">
        <v>3.5</v>
      </c>
      <c r="BC369" s="19" t="n">
        <v>0</v>
      </c>
      <c r="BD369" s="9" t="n">
        <v>0</v>
      </c>
      <c r="BE369" s="22">
        <f>(L369/30)*AU369</f>
        <v/>
      </c>
      <c r="BF369" s="15">
        <f>(L369/225)*((BB369*1.5)-(BC369*1.0))</f>
        <v/>
      </c>
      <c r="BG369" s="16">
        <f>(L369/225)*1.5*BD369</f>
        <v/>
      </c>
      <c r="BH369" s="15">
        <f>BF369+BG369</f>
        <v/>
      </c>
      <c r="BI369" s="17">
        <f>BE369+BH369</f>
        <v/>
      </c>
      <c r="BJ369" s="22">
        <f>IFERROR(VLOOKUP(B369, Resmi_Bordro_SGK!B:M, 11, FALSE), 0)</f>
        <v/>
      </c>
      <c r="BK369" s="18">
        <f>IFERROR(VLOOKUP(B369, Icra_Takip!A:E, 4, FALSE), 0)</f>
        <v/>
      </c>
      <c r="BL369" s="17">
        <f>IF(BI369&gt;BJ369, BI369-BJ369-BK369, 0)</f>
        <v/>
      </c>
      <c r="BM369" s="17">
        <f>BI369-BK369</f>
        <v/>
      </c>
    </row>
    <row r="370" ht="19" customHeight="1">
      <c r="A370" s="4" t="n">
        <v>367</v>
      </c>
      <c r="B370" s="5" t="inlineStr">
        <is>
          <t>29113591304</t>
        </is>
      </c>
      <c r="C370" s="6" t="inlineStr">
        <is>
          <t>ŞADİYE ÇELİK</t>
        </is>
      </c>
      <c r="D370" s="4" t="inlineStr">
        <is>
          <t>K</t>
        </is>
      </c>
      <c r="E370" s="4" t="inlineStr"/>
      <c r="F370" s="4" t="inlineStr">
        <is>
          <t>11.06.2026</t>
        </is>
      </c>
      <c r="G370" s="4" t="inlineStr"/>
      <c r="H370" s="4" t="inlineStr">
        <is>
          <t>NORMAL</t>
        </is>
      </c>
      <c r="I370" s="4" t="inlineStr">
        <is>
          <t>MEVSİMLİK</t>
        </is>
      </c>
      <c r="J370" s="6" t="inlineStr">
        <is>
          <t>ÜRETİM</t>
        </is>
      </c>
      <c r="K370" s="6" t="inlineStr">
        <is>
          <t>KARACABEY-HALİL</t>
        </is>
      </c>
      <c r="L370" s="7" t="n">
        <v>28075.5</v>
      </c>
      <c r="M370" s="4" t="inlineStr">
        <is>
          <t>FİDE KONSERVE</t>
        </is>
      </c>
      <c r="N370" s="4" t="inlineStr">
        <is>
          <t>ALIR</t>
        </is>
      </c>
      <c r="O370" s="8" t="n">
        <v>0</v>
      </c>
      <c r="P370" s="8" t="n">
        <v>0</v>
      </c>
      <c r="Q370" s="8" t="n">
        <v>0</v>
      </c>
      <c r="R370" s="9" t="n">
        <v>0</v>
      </c>
      <c r="S370" s="8" t="n">
        <v>0</v>
      </c>
      <c r="T370" s="8" t="n">
        <v>0</v>
      </c>
      <c r="U370" s="8" t="n">
        <v>0</v>
      </c>
      <c r="V370" s="8" t="n">
        <v>0</v>
      </c>
      <c r="W370" s="8" t="n">
        <v>0</v>
      </c>
      <c r="X370" s="8" t="n">
        <v>0</v>
      </c>
      <c r="Y370" s="9" t="n">
        <v>0</v>
      </c>
      <c r="Z370" s="8" t="n">
        <v>0</v>
      </c>
      <c r="AA370" s="8" t="n">
        <v>0</v>
      </c>
      <c r="AB370" s="8" t="n">
        <v>0</v>
      </c>
      <c r="AC370" s="8" t="n">
        <v>0</v>
      </c>
      <c r="AD370" s="8" t="n">
        <v>0</v>
      </c>
      <c r="AE370" s="8" t="n">
        <v>0</v>
      </c>
      <c r="AF370" s="9" t="n">
        <v>0</v>
      </c>
      <c r="AG370" s="8" t="n">
        <v>0</v>
      </c>
      <c r="AH370" s="8" t="n">
        <v>0</v>
      </c>
      <c r="AI370" s="8" t="n">
        <v>0</v>
      </c>
      <c r="AJ370" s="8" t="n">
        <v>0</v>
      </c>
      <c r="AK370" s="8" t="n">
        <v>0</v>
      </c>
      <c r="AL370" s="8" t="n">
        <v>0</v>
      </c>
      <c r="AM370" s="9" t="n">
        <v>0</v>
      </c>
      <c r="AN370" s="8" t="n">
        <v>0</v>
      </c>
      <c r="AO370" s="8" t="n">
        <v>0</v>
      </c>
      <c r="AP370" s="8" t="n">
        <v>0</v>
      </c>
      <c r="AQ370" s="8" t="n">
        <v>0</v>
      </c>
      <c r="AR370" s="8" t="n">
        <v>0</v>
      </c>
      <c r="AS370" s="8" t="n">
        <v>0</v>
      </c>
      <c r="AT370" s="10">
        <f>SUM(O370:AS370)</f>
        <v/>
      </c>
      <c r="AU370" s="11">
        <f>COUNTIF(O370:AS370, "&gt;0")</f>
        <v/>
      </c>
      <c r="AV370" s="12">
        <f>IF(AU370&gt;=5, 4, IF(AU370&gt;0, INT(AU370/6), 0))</f>
        <v/>
      </c>
      <c r="AW370" s="11" t="n">
        <v>0</v>
      </c>
      <c r="AX370" s="11" t="n">
        <v>0</v>
      </c>
      <c r="AY370" s="13">
        <f>MIN(31, AU370+AV370+AW370+AX370)</f>
        <v/>
      </c>
      <c r="AZ370" s="14">
        <f>31-AY370</f>
        <v/>
      </c>
      <c r="BA370" s="5">
        <f>IF(AX370&gt;0, "01-İstirahat", IF(AZ370&gt;0, "12-Birden Fazla", ""))</f>
        <v/>
      </c>
      <c r="BB370" s="10" t="n">
        <v>0</v>
      </c>
      <c r="BC370" s="8" t="n">
        <v>0</v>
      </c>
      <c r="BD370" s="9" t="n">
        <v>0</v>
      </c>
      <c r="BE370" s="7">
        <f>(L370/30)*AU370</f>
        <v/>
      </c>
      <c r="BF370" s="15">
        <f>(L370/225)*((BB370*1.5)-(BC370*1.0))</f>
        <v/>
      </c>
      <c r="BG370" s="16">
        <f>(L370/225)*1.5*BD370</f>
        <v/>
      </c>
      <c r="BH370" s="15">
        <f>BF370+BG370</f>
        <v/>
      </c>
      <c r="BI370" s="17">
        <f>BE370+BH370</f>
        <v/>
      </c>
      <c r="BJ370" s="7">
        <f>IFERROR(VLOOKUP(B370, Resmi_Bordro_SGK!B:M, 11, FALSE), 0)</f>
        <v/>
      </c>
      <c r="BK370" s="18">
        <f>IFERROR(VLOOKUP(B370, Icra_Takip!A:E, 4, FALSE), 0)</f>
        <v/>
      </c>
      <c r="BL370" s="17">
        <f>IF(BI370&gt;BJ370, BI370-BJ370-BK370, 0)</f>
        <v/>
      </c>
      <c r="BM370" s="17">
        <f>BI370-BK370</f>
        <v/>
      </c>
    </row>
    <row r="371" ht="19" customHeight="1">
      <c r="A371" s="4" t="n">
        <v>368</v>
      </c>
      <c r="B371" s="5" t="inlineStr">
        <is>
          <t>58846251650</t>
        </is>
      </c>
      <c r="C371" s="6" t="inlineStr">
        <is>
          <t>ŞAHİN TEMEL</t>
        </is>
      </c>
      <c r="D371" s="4" t="inlineStr">
        <is>
          <t>E</t>
        </is>
      </c>
      <c r="E371" s="4" t="inlineStr"/>
      <c r="F371" s="4" t="inlineStr">
        <is>
          <t>10.02.2026</t>
        </is>
      </c>
      <c r="G371" s="4" t="inlineStr"/>
      <c r="H371" s="4" t="inlineStr">
        <is>
          <t>NORMAL</t>
        </is>
      </c>
      <c r="I371" s="4" t="inlineStr">
        <is>
          <t>MEVSİMLİK</t>
        </is>
      </c>
      <c r="J371" s="6" t="inlineStr">
        <is>
          <t>BALIK KESİM</t>
        </is>
      </c>
      <c r="K371" s="6" t="inlineStr">
        <is>
          <t>KARACABEY-HALİL</t>
        </is>
      </c>
      <c r="L371" s="7" t="n">
        <v>28075.5</v>
      </c>
      <c r="M371" s="4" t="inlineStr">
        <is>
          <t>FİDE KONSERVE</t>
        </is>
      </c>
      <c r="N371" s="4" t="inlineStr">
        <is>
          <t>ALIR</t>
        </is>
      </c>
      <c r="O371" s="19" t="n">
        <v>0</v>
      </c>
      <c r="P371" s="19" t="n">
        <v>0</v>
      </c>
      <c r="Q371" s="19" t="n">
        <v>0</v>
      </c>
      <c r="R371" s="9" t="n">
        <v>0</v>
      </c>
      <c r="S371" s="19" t="n">
        <v>0</v>
      </c>
      <c r="T371" s="19" t="n">
        <v>0</v>
      </c>
      <c r="U371" s="19" t="n">
        <v>0</v>
      </c>
      <c r="V371" s="19" t="n">
        <v>0</v>
      </c>
      <c r="W371" s="19" t="n">
        <v>0</v>
      </c>
      <c r="X371" s="19" t="n">
        <v>0</v>
      </c>
      <c r="Y371" s="9" t="n">
        <v>0</v>
      </c>
      <c r="Z371" s="19" t="n">
        <v>0</v>
      </c>
      <c r="AA371" s="19" t="n">
        <v>0</v>
      </c>
      <c r="AB371" s="19" t="n">
        <v>0</v>
      </c>
      <c r="AC371" s="19" t="n">
        <v>0</v>
      </c>
      <c r="AD371" s="19" t="n">
        <v>0</v>
      </c>
      <c r="AE371" s="19" t="n">
        <v>0</v>
      </c>
      <c r="AF371" s="9" t="n">
        <v>0</v>
      </c>
      <c r="AG371" s="19" t="n">
        <v>0</v>
      </c>
      <c r="AH371" s="19" t="n">
        <v>0</v>
      </c>
      <c r="AI371" s="19" t="n">
        <v>0</v>
      </c>
      <c r="AJ371" s="19" t="n">
        <v>0</v>
      </c>
      <c r="AK371" s="19" t="n">
        <v>0</v>
      </c>
      <c r="AL371" s="19" t="n">
        <v>0</v>
      </c>
      <c r="AM371" s="9" t="n">
        <v>0</v>
      </c>
      <c r="AN371" s="19" t="n">
        <v>0</v>
      </c>
      <c r="AO371" s="19" t="n">
        <v>0</v>
      </c>
      <c r="AP371" s="19" t="n">
        <v>0</v>
      </c>
      <c r="AQ371" s="19" t="n">
        <v>0</v>
      </c>
      <c r="AR371" s="19" t="n">
        <v>0</v>
      </c>
      <c r="AS371" s="19" t="n">
        <v>0</v>
      </c>
      <c r="AT371" s="10">
        <f>SUM(O371:AS371)</f>
        <v/>
      </c>
      <c r="AU371" s="20">
        <f>COUNTIF(O371:AS371, "&gt;0")</f>
        <v/>
      </c>
      <c r="AV371" s="12">
        <f>IF(AU371&gt;=5, 4, IF(AU371&gt;0, INT(AU371/6), 0))</f>
        <v/>
      </c>
      <c r="AW371" s="20" t="n">
        <v>0</v>
      </c>
      <c r="AX371" s="20" t="n">
        <v>0</v>
      </c>
      <c r="AY371" s="13">
        <f>MIN(31, AU371+AV371+AW371+AX371)</f>
        <v/>
      </c>
      <c r="AZ371" s="14">
        <f>31-AY371</f>
        <v/>
      </c>
      <c r="BA371" s="21">
        <f>IF(AX371&gt;0, "01-İstirahat", IF(AZ371&gt;0, "12-Birden Fazla", ""))</f>
        <v/>
      </c>
      <c r="BB371" s="10" t="n">
        <v>0</v>
      </c>
      <c r="BC371" s="19" t="n">
        <v>0</v>
      </c>
      <c r="BD371" s="9" t="n">
        <v>0</v>
      </c>
      <c r="BE371" s="22">
        <f>(L371/30)*AU371</f>
        <v/>
      </c>
      <c r="BF371" s="15">
        <f>(L371/225)*((BB371*1.5)-(BC371*1.0))</f>
        <v/>
      </c>
      <c r="BG371" s="16">
        <f>(L371/225)*1.5*BD371</f>
        <v/>
      </c>
      <c r="BH371" s="15">
        <f>BF371+BG371</f>
        <v/>
      </c>
      <c r="BI371" s="17">
        <f>BE371+BH371</f>
        <v/>
      </c>
      <c r="BJ371" s="22">
        <f>IFERROR(VLOOKUP(B371, Resmi_Bordro_SGK!B:M, 11, FALSE), 0)</f>
        <v/>
      </c>
      <c r="BK371" s="18">
        <f>IFERROR(VLOOKUP(B371, Icra_Takip!A:E, 4, FALSE), 0)</f>
        <v/>
      </c>
      <c r="BL371" s="17">
        <f>IF(BI371&gt;BJ371, BI371-BJ371-BK371, 0)</f>
        <v/>
      </c>
      <c r="BM371" s="17">
        <f>BI371-BK371</f>
        <v/>
      </c>
    </row>
    <row r="372" ht="19" customHeight="1">
      <c r="A372" s="4" t="n">
        <v>369</v>
      </c>
      <c r="B372" s="5" t="inlineStr">
        <is>
          <t>12112732380</t>
        </is>
      </c>
      <c r="C372" s="6" t="inlineStr">
        <is>
          <t>ŞAHİNDE YILDIZ</t>
        </is>
      </c>
      <c r="D372" s="4" t="inlineStr">
        <is>
          <t>K</t>
        </is>
      </c>
      <c r="E372" s="4" t="inlineStr"/>
      <c r="F372" s="4" t="inlineStr">
        <is>
          <t>22.05.2025</t>
        </is>
      </c>
      <c r="G372" s="4" t="inlineStr"/>
      <c r="H372" s="4" t="inlineStr">
        <is>
          <t>NORMAL</t>
        </is>
      </c>
      <c r="I372" s="4" t="inlineStr">
        <is>
          <t>MEVSİMLİK</t>
        </is>
      </c>
      <c r="J372" s="6" t="inlineStr">
        <is>
          <t>ÜRETİM</t>
        </is>
      </c>
      <c r="K372" s="6" t="inlineStr">
        <is>
          <t>BİGADİÇ</t>
        </is>
      </c>
      <c r="L372" s="7" t="n">
        <v>28075.5</v>
      </c>
      <c r="M372" s="4" t="inlineStr">
        <is>
          <t>FİDE KONSERVE</t>
        </is>
      </c>
      <c r="N372" s="4" t="inlineStr">
        <is>
          <t>ALIR</t>
        </is>
      </c>
      <c r="O372" s="8" t="n">
        <v>0</v>
      </c>
      <c r="P372" s="8" t="n">
        <v>0</v>
      </c>
      <c r="Q372" s="8" t="n">
        <v>0</v>
      </c>
      <c r="R372" s="9" t="n">
        <v>0</v>
      </c>
      <c r="S372" s="8" t="n">
        <v>0</v>
      </c>
      <c r="T372" s="8" t="n">
        <v>0</v>
      </c>
      <c r="U372" s="8" t="n">
        <v>0</v>
      </c>
      <c r="V372" s="8" t="n">
        <v>0</v>
      </c>
      <c r="W372" s="8" t="n">
        <v>0</v>
      </c>
      <c r="X372" s="8" t="n">
        <v>0</v>
      </c>
      <c r="Y372" s="9" t="n">
        <v>0</v>
      </c>
      <c r="Z372" s="8" t="n">
        <v>0</v>
      </c>
      <c r="AA372" s="8" t="n">
        <v>0</v>
      </c>
      <c r="AB372" s="8" t="n">
        <v>0</v>
      </c>
      <c r="AC372" s="8" t="n">
        <v>0</v>
      </c>
      <c r="AD372" s="8" t="n">
        <v>0</v>
      </c>
      <c r="AE372" s="8" t="n">
        <v>0</v>
      </c>
      <c r="AF372" s="9" t="n">
        <v>0</v>
      </c>
      <c r="AG372" s="8" t="n">
        <v>0</v>
      </c>
      <c r="AH372" s="8" t="n">
        <v>0</v>
      </c>
      <c r="AI372" s="8" t="n">
        <v>0</v>
      </c>
      <c r="AJ372" s="8" t="n">
        <v>0</v>
      </c>
      <c r="AK372" s="8" t="n">
        <v>0</v>
      </c>
      <c r="AL372" s="8" t="n">
        <v>0</v>
      </c>
      <c r="AM372" s="9" t="n">
        <v>0</v>
      </c>
      <c r="AN372" s="8" t="n">
        <v>0</v>
      </c>
      <c r="AO372" s="8" t="n">
        <v>0</v>
      </c>
      <c r="AP372" s="8" t="n">
        <v>0</v>
      </c>
      <c r="AQ372" s="8" t="n">
        <v>0</v>
      </c>
      <c r="AR372" s="8" t="n">
        <v>0</v>
      </c>
      <c r="AS372" s="8" t="n">
        <v>0</v>
      </c>
      <c r="AT372" s="10">
        <f>SUM(O372:AS372)</f>
        <v/>
      </c>
      <c r="AU372" s="11">
        <f>COUNTIF(O372:AS372, "&gt;0")</f>
        <v/>
      </c>
      <c r="AV372" s="12">
        <f>IF(AU372&gt;=5, 4, IF(AU372&gt;0, INT(AU372/6), 0))</f>
        <v/>
      </c>
      <c r="AW372" s="11" t="n">
        <v>0</v>
      </c>
      <c r="AX372" s="11" t="n">
        <v>0</v>
      </c>
      <c r="AY372" s="13">
        <f>MIN(31, AU372+AV372+AW372+AX372)</f>
        <v/>
      </c>
      <c r="AZ372" s="14">
        <f>31-AY372</f>
        <v/>
      </c>
      <c r="BA372" s="5">
        <f>IF(AX372&gt;0, "01-İstirahat", IF(AZ372&gt;0, "12-Birden Fazla", ""))</f>
        <v/>
      </c>
      <c r="BB372" s="10" t="n">
        <v>0</v>
      </c>
      <c r="BC372" s="8" t="n">
        <v>0</v>
      </c>
      <c r="BD372" s="9" t="n">
        <v>0</v>
      </c>
      <c r="BE372" s="7">
        <f>(L372/30)*AU372</f>
        <v/>
      </c>
      <c r="BF372" s="15">
        <f>(L372/225)*((BB372*1.5)-(BC372*1.0))</f>
        <v/>
      </c>
      <c r="BG372" s="16">
        <f>(L372/225)*1.5*BD372</f>
        <v/>
      </c>
      <c r="BH372" s="15">
        <f>BF372+BG372</f>
        <v/>
      </c>
      <c r="BI372" s="17">
        <f>BE372+BH372</f>
        <v/>
      </c>
      <c r="BJ372" s="7">
        <f>IFERROR(VLOOKUP(B372, Resmi_Bordro_SGK!B:M, 11, FALSE), 0)</f>
        <v/>
      </c>
      <c r="BK372" s="18">
        <f>IFERROR(VLOOKUP(B372, Icra_Takip!A:E, 4, FALSE), 0)</f>
        <v/>
      </c>
      <c r="BL372" s="17">
        <f>IF(BI372&gt;BJ372, BI372-BJ372-BK372, 0)</f>
        <v/>
      </c>
      <c r="BM372" s="17">
        <f>BI372-BK372</f>
        <v/>
      </c>
    </row>
    <row r="373" ht="19" customHeight="1">
      <c r="A373" s="4" t="n">
        <v>370</v>
      </c>
      <c r="B373" s="5" t="inlineStr">
        <is>
          <t>38233180558</t>
        </is>
      </c>
      <c r="C373" s="6" t="inlineStr">
        <is>
          <t>ŞAKİR KARAKAŞ</t>
        </is>
      </c>
      <c r="D373" s="4" t="inlineStr">
        <is>
          <t>E</t>
        </is>
      </c>
      <c r="E373" s="4" t="inlineStr"/>
      <c r="F373" s="4" t="inlineStr">
        <is>
          <t>01.04.2022</t>
        </is>
      </c>
      <c r="G373" s="4" t="inlineStr"/>
      <c r="H373" s="4" t="inlineStr">
        <is>
          <t>SGDP</t>
        </is>
      </c>
      <c r="I373" s="4" t="inlineStr">
        <is>
          <t>DAİMİ</t>
        </is>
      </c>
      <c r="J373" s="6" t="inlineStr">
        <is>
          <t>AMBAR</t>
        </is>
      </c>
      <c r="K373" s="6" t="inlineStr">
        <is>
          <t>BANDIRMA</t>
        </is>
      </c>
      <c r="L373" s="7" t="n">
        <v>37000</v>
      </c>
      <c r="M373" s="4" t="inlineStr">
        <is>
          <t>FİDE KONSERVE</t>
        </is>
      </c>
      <c r="N373" s="4" t="inlineStr">
        <is>
          <t>ALIR</t>
        </is>
      </c>
      <c r="O373" s="19" t="n">
        <v>8</v>
      </c>
      <c r="P373" s="19" t="n">
        <v>8.5</v>
      </c>
      <c r="Q373" s="19" t="n">
        <v>8</v>
      </c>
      <c r="R373" s="9" t="n">
        <v>0</v>
      </c>
      <c r="S373" s="19" t="n">
        <v>3</v>
      </c>
      <c r="T373" s="19" t="n">
        <v>8</v>
      </c>
      <c r="U373" s="19" t="n">
        <v>7.5</v>
      </c>
      <c r="V373" s="19" t="n">
        <v>8</v>
      </c>
      <c r="W373" s="19" t="n">
        <v>8</v>
      </c>
      <c r="X373" s="19" t="n">
        <v>8.5</v>
      </c>
      <c r="Y373" s="9" t="n">
        <v>0</v>
      </c>
      <c r="Z373" s="19" t="n">
        <v>7.5</v>
      </c>
      <c r="AA373" s="19" t="n">
        <v>1</v>
      </c>
      <c r="AB373" s="19" t="n">
        <v>8.5</v>
      </c>
      <c r="AC373" s="19" t="n">
        <v>7.5</v>
      </c>
      <c r="AD373" s="19" t="n">
        <v>7.5</v>
      </c>
      <c r="AE373" s="19" t="n">
        <v>8.5</v>
      </c>
      <c r="AF373" s="9" t="n">
        <v>0</v>
      </c>
      <c r="AG373" s="19" t="n">
        <v>8</v>
      </c>
      <c r="AH373" s="19" t="n">
        <v>7.5</v>
      </c>
      <c r="AI373" s="19" t="n">
        <v>7.5</v>
      </c>
      <c r="AJ373" s="19" t="n">
        <v>0</v>
      </c>
      <c r="AK373" s="19" t="n">
        <v>0</v>
      </c>
      <c r="AL373" s="19" t="n">
        <v>0</v>
      </c>
      <c r="AM373" s="9" t="n">
        <v>0</v>
      </c>
      <c r="AN373" s="19" t="n">
        <v>0</v>
      </c>
      <c r="AO373" s="19" t="n">
        <v>0</v>
      </c>
      <c r="AP373" s="19" t="n">
        <v>0</v>
      </c>
      <c r="AQ373" s="19" t="n">
        <v>0</v>
      </c>
      <c r="AR373" s="19" t="n">
        <v>0</v>
      </c>
      <c r="AS373" s="19" t="n">
        <v>0</v>
      </c>
      <c r="AT373" s="10">
        <f>SUM(O373:AS373)</f>
        <v/>
      </c>
      <c r="AU373" s="20">
        <f>COUNTIF(O373:AS373, "&gt;0")</f>
        <v/>
      </c>
      <c r="AV373" s="12">
        <f>IF(AU373&gt;=5, 4, IF(AU373&gt;0, INT(AU373/6), 0))</f>
        <v/>
      </c>
      <c r="AW373" s="20" t="n">
        <v>0</v>
      </c>
      <c r="AX373" s="20" t="n">
        <v>0</v>
      </c>
      <c r="AY373" s="13">
        <f>MIN(31, AU373+AV373+AW373+AX373)</f>
        <v/>
      </c>
      <c r="AZ373" s="14">
        <f>31-AY373</f>
        <v/>
      </c>
      <c r="BA373" s="21">
        <f>IF(AX373&gt;0, "01-İstirahat", IF(AZ373&gt;0, "12-Birden Fazla", ""))</f>
        <v/>
      </c>
      <c r="BB373" s="10" t="n">
        <v>7</v>
      </c>
      <c r="BC373" s="23" t="n">
        <v>11</v>
      </c>
      <c r="BD373" s="9" t="n">
        <v>0</v>
      </c>
      <c r="BE373" s="22">
        <f>(L373/30)*AU373</f>
        <v/>
      </c>
      <c r="BF373" s="15">
        <f>(L373/225)*((BB373*1.5)-(BC373*1.0))</f>
        <v/>
      </c>
      <c r="BG373" s="16">
        <f>(L373/225)*1.5*BD373</f>
        <v/>
      </c>
      <c r="BH373" s="15">
        <f>BF373+BG373</f>
        <v/>
      </c>
      <c r="BI373" s="17">
        <f>BE373+BH373</f>
        <v/>
      </c>
      <c r="BJ373" s="22">
        <f>IFERROR(VLOOKUP(B373, Resmi_Bordro_SGK!B:M, 11, FALSE), 0)</f>
        <v/>
      </c>
      <c r="BK373" s="18">
        <f>IFERROR(VLOOKUP(B373, Icra_Takip!A:E, 4, FALSE), 0)</f>
        <v/>
      </c>
      <c r="BL373" s="17">
        <f>IF(BI373&gt;BJ373, BI373-BJ373-BK373, 0)</f>
        <v/>
      </c>
      <c r="BM373" s="17">
        <f>BI373-BK373</f>
        <v/>
      </c>
    </row>
    <row r="374" ht="19" customHeight="1">
      <c r="A374" s="4" t="n">
        <v>371</v>
      </c>
      <c r="B374" s="5" t="inlineStr"/>
      <c r="C374" s="6" t="inlineStr">
        <is>
          <t>ŞARİSTAN AYDIN</t>
        </is>
      </c>
      <c r="D374" s="4" t="inlineStr"/>
      <c r="E374" s="4" t="inlineStr"/>
      <c r="F374" s="4" t="inlineStr"/>
      <c r="G374" s="4" t="inlineStr"/>
      <c r="H374" s="4" t="inlineStr">
        <is>
          <t>NORMAL</t>
        </is>
      </c>
      <c r="I374" s="4" t="inlineStr">
        <is>
          <t>MEVSİMLİK</t>
        </is>
      </c>
      <c r="J374" s="6" t="inlineStr"/>
      <c r="K374" s="6" t="inlineStr"/>
      <c r="L374" s="7" t="n">
        <v>28075.5</v>
      </c>
      <c r="M374" s="4" t="inlineStr">
        <is>
          <t>FİDE KONSERVE</t>
        </is>
      </c>
      <c r="N374" s="4" t="inlineStr">
        <is>
          <t>ALIR</t>
        </is>
      </c>
      <c r="O374" s="8" t="n">
        <v>0</v>
      </c>
      <c r="P374" s="8" t="n">
        <v>0</v>
      </c>
      <c r="Q374" s="23" t="n">
        <v>7.5</v>
      </c>
      <c r="R374" s="9" t="n">
        <v>7.5</v>
      </c>
      <c r="S374" s="8" t="n">
        <v>0</v>
      </c>
      <c r="T374" s="23" t="n">
        <v>7.5</v>
      </c>
      <c r="U374" s="8" t="n">
        <v>10.5</v>
      </c>
      <c r="V374" s="8" t="n">
        <v>10.5</v>
      </c>
      <c r="W374" s="8" t="n">
        <v>0</v>
      </c>
      <c r="X374" s="8" t="n">
        <v>7.5</v>
      </c>
      <c r="Y374" s="9" t="n">
        <v>0</v>
      </c>
      <c r="Z374" s="8" t="n">
        <v>7.5</v>
      </c>
      <c r="AA374" s="8" t="n">
        <v>10.5</v>
      </c>
      <c r="AB374" s="8" t="n">
        <v>10.5</v>
      </c>
      <c r="AC374" s="8" t="n">
        <v>10.5</v>
      </c>
      <c r="AD374" s="8" t="n">
        <v>10.5</v>
      </c>
      <c r="AE374" s="8" t="n">
        <v>10.5</v>
      </c>
      <c r="AF374" s="9" t="n">
        <v>0</v>
      </c>
      <c r="AG374" s="8" t="n">
        <v>10.5</v>
      </c>
      <c r="AH374" s="8" t="n">
        <v>7.5</v>
      </c>
      <c r="AI374" s="8" t="n">
        <v>0</v>
      </c>
      <c r="AJ374" s="8" t="n">
        <v>0</v>
      </c>
      <c r="AK374" s="8" t="n">
        <v>0</v>
      </c>
      <c r="AL374" s="8" t="n">
        <v>0</v>
      </c>
      <c r="AM374" s="9" t="n">
        <v>0</v>
      </c>
      <c r="AN374" s="8" t="n">
        <v>0</v>
      </c>
      <c r="AO374" s="8" t="n">
        <v>0</v>
      </c>
      <c r="AP374" s="8" t="n">
        <v>0</v>
      </c>
      <c r="AQ374" s="8" t="n">
        <v>0</v>
      </c>
      <c r="AR374" s="8" t="n">
        <v>0</v>
      </c>
      <c r="AS374" s="8" t="n">
        <v>0</v>
      </c>
      <c r="AT374" s="10">
        <f>SUM(O374:AS374)</f>
        <v/>
      </c>
      <c r="AU374" s="11">
        <f>COUNTIF(O374:AS374, "&gt;0")</f>
        <v/>
      </c>
      <c r="AV374" s="12">
        <f>IF(AU374&gt;=5, 4, IF(AU374&gt;0, INT(AU374/6), 0))</f>
        <v/>
      </c>
      <c r="AW374" s="11" t="n">
        <v>0</v>
      </c>
      <c r="AX374" s="11" t="n">
        <v>0</v>
      </c>
      <c r="AY374" s="13">
        <f>MIN(31, AU374+AV374+AW374+AX374)</f>
        <v/>
      </c>
      <c r="AZ374" s="14">
        <f>31-AY374</f>
        <v/>
      </c>
      <c r="BA374" s="5">
        <f>IF(AX374&gt;0, "01-İstirahat", IF(AZ374&gt;0, "12-Birden Fazla", ""))</f>
        <v/>
      </c>
      <c r="BB374" s="10" t="n">
        <v>24</v>
      </c>
      <c r="BC374" s="8" t="n">
        <v>0</v>
      </c>
      <c r="BD374" s="9" t="n">
        <v>7.5</v>
      </c>
      <c r="BE374" s="7">
        <f>(L374/30)*AU374</f>
        <v/>
      </c>
      <c r="BF374" s="15">
        <f>(L374/225)*((BB374*1.5)-(BC374*1.0))</f>
        <v/>
      </c>
      <c r="BG374" s="16">
        <f>(L374/225)*1.5*BD374</f>
        <v/>
      </c>
      <c r="BH374" s="15">
        <f>BF374+BG374</f>
        <v/>
      </c>
      <c r="BI374" s="17">
        <f>BE374+BH374</f>
        <v/>
      </c>
      <c r="BJ374" s="7">
        <f>IFERROR(VLOOKUP(B374, Resmi_Bordro_SGK!B:M, 11, FALSE), 0)</f>
        <v/>
      </c>
      <c r="BK374" s="18">
        <f>IFERROR(VLOOKUP(B374, Icra_Takip!A:E, 4, FALSE), 0)</f>
        <v/>
      </c>
      <c r="BL374" s="17">
        <f>IF(BI374&gt;BJ374, BI374-BJ374-BK374, 0)</f>
        <v/>
      </c>
      <c r="BM374" s="17">
        <f>BI374-BK374</f>
        <v/>
      </c>
    </row>
    <row r="375" ht="19" customHeight="1">
      <c r="A375" s="4" t="n">
        <v>372</v>
      </c>
      <c r="B375" s="5" t="inlineStr">
        <is>
          <t>25192322242</t>
        </is>
      </c>
      <c r="C375" s="6" t="inlineStr">
        <is>
          <t>ŞAYİKA KOPARAN</t>
        </is>
      </c>
      <c r="D375" s="4" t="inlineStr">
        <is>
          <t>K</t>
        </is>
      </c>
      <c r="E375" s="4" t="inlineStr"/>
      <c r="F375" s="4" t="inlineStr">
        <is>
          <t>06.03.2023</t>
        </is>
      </c>
      <c r="G375" s="4" t="inlineStr"/>
      <c r="H375" s="4" t="inlineStr">
        <is>
          <t>NORMAL</t>
        </is>
      </c>
      <c r="I375" s="4" t="inlineStr">
        <is>
          <t>MEVSİMLİK</t>
        </is>
      </c>
      <c r="J375" s="6" t="inlineStr">
        <is>
          <t>AMBAR</t>
        </is>
      </c>
      <c r="K375" s="6" t="inlineStr">
        <is>
          <t>BİGADİÇ</t>
        </is>
      </c>
      <c r="L375" s="7" t="n">
        <v>28075.5</v>
      </c>
      <c r="M375" s="4" t="inlineStr">
        <is>
          <t>FİDE KONSERVE</t>
        </is>
      </c>
      <c r="N375" s="4" t="inlineStr">
        <is>
          <t>ALIR</t>
        </is>
      </c>
      <c r="O375" s="19" t="n">
        <v>7.5</v>
      </c>
      <c r="P375" s="19" t="n">
        <v>7.5</v>
      </c>
      <c r="Q375" s="19" t="n">
        <v>7.5</v>
      </c>
      <c r="R375" s="9" t="n">
        <v>0</v>
      </c>
      <c r="S375" s="19" t="n">
        <v>0</v>
      </c>
      <c r="T375" s="19" t="n">
        <v>0</v>
      </c>
      <c r="U375" s="19" t="n">
        <v>0</v>
      </c>
      <c r="V375" s="19" t="n">
        <v>0</v>
      </c>
      <c r="W375" s="19" t="n">
        <v>0</v>
      </c>
      <c r="X375" s="19" t="n">
        <v>0</v>
      </c>
      <c r="Y375" s="9" t="n">
        <v>0</v>
      </c>
      <c r="Z375" s="19" t="n">
        <v>0</v>
      </c>
      <c r="AA375" s="19" t="n">
        <v>0</v>
      </c>
      <c r="AB375" s="19" t="n">
        <v>0</v>
      </c>
      <c r="AC375" s="19" t="n">
        <v>0</v>
      </c>
      <c r="AD375" s="19" t="n">
        <v>0</v>
      </c>
      <c r="AE375" s="19" t="n">
        <v>0</v>
      </c>
      <c r="AF375" s="9" t="n">
        <v>0</v>
      </c>
      <c r="AG375" s="19" t="n">
        <v>0</v>
      </c>
      <c r="AH375" s="19" t="n">
        <v>0</v>
      </c>
      <c r="AI375" s="19" t="n">
        <v>0</v>
      </c>
      <c r="AJ375" s="19" t="n">
        <v>0</v>
      </c>
      <c r="AK375" s="19" t="n">
        <v>0</v>
      </c>
      <c r="AL375" s="19" t="n">
        <v>0</v>
      </c>
      <c r="AM375" s="9" t="n">
        <v>0</v>
      </c>
      <c r="AN375" s="19" t="n">
        <v>0</v>
      </c>
      <c r="AO375" s="19" t="n">
        <v>0</v>
      </c>
      <c r="AP375" s="19" t="n">
        <v>0</v>
      </c>
      <c r="AQ375" s="19" t="n">
        <v>0</v>
      </c>
      <c r="AR375" s="19" t="n">
        <v>0</v>
      </c>
      <c r="AS375" s="19" t="n">
        <v>0</v>
      </c>
      <c r="AT375" s="10">
        <f>SUM(O375:AS375)</f>
        <v/>
      </c>
      <c r="AU375" s="20">
        <f>COUNTIF(O375:AS375, "&gt;0")</f>
        <v/>
      </c>
      <c r="AV375" s="12">
        <f>IF(AU375&gt;=5, 4, IF(AU375&gt;0, INT(AU375/6), 0))</f>
        <v/>
      </c>
      <c r="AW375" s="20" t="n">
        <v>0</v>
      </c>
      <c r="AX375" s="20" t="n">
        <v>0</v>
      </c>
      <c r="AY375" s="13">
        <f>MIN(31, AU375+AV375+AW375+AX375)</f>
        <v/>
      </c>
      <c r="AZ375" s="14">
        <f>31-AY375</f>
        <v/>
      </c>
      <c r="BA375" s="21">
        <f>IF(AX375&gt;0, "01-İstirahat", IF(AZ375&gt;0, "12-Birden Fazla", ""))</f>
        <v/>
      </c>
      <c r="BB375" s="10" t="n">
        <v>0</v>
      </c>
      <c r="BC375" s="19" t="n">
        <v>0</v>
      </c>
      <c r="BD375" s="9" t="n">
        <v>0</v>
      </c>
      <c r="BE375" s="22">
        <f>(L375/30)*AU375</f>
        <v/>
      </c>
      <c r="BF375" s="15">
        <f>(L375/225)*((BB375*1.5)-(BC375*1.0))</f>
        <v/>
      </c>
      <c r="BG375" s="16">
        <f>(L375/225)*1.5*BD375</f>
        <v/>
      </c>
      <c r="BH375" s="15">
        <f>BF375+BG375</f>
        <v/>
      </c>
      <c r="BI375" s="17">
        <f>BE375+BH375</f>
        <v/>
      </c>
      <c r="BJ375" s="22">
        <f>IFERROR(VLOOKUP(B375, Resmi_Bordro_SGK!B:M, 11, FALSE), 0)</f>
        <v/>
      </c>
      <c r="BK375" s="18">
        <f>IFERROR(VLOOKUP(B375, Icra_Takip!A:E, 4, FALSE), 0)</f>
        <v/>
      </c>
      <c r="BL375" s="17">
        <f>IF(BI375&gt;BJ375, BI375-BJ375-BK375, 0)</f>
        <v/>
      </c>
      <c r="BM375" s="17">
        <f>BI375-BK375</f>
        <v/>
      </c>
    </row>
    <row r="376" ht="19" customHeight="1">
      <c r="A376" s="4" t="n">
        <v>373</v>
      </c>
      <c r="B376" s="5" t="inlineStr">
        <is>
          <t>38240191356</t>
        </is>
      </c>
      <c r="C376" s="6" t="inlineStr">
        <is>
          <t>ŞENGÜL ALEMİN</t>
        </is>
      </c>
      <c r="D376" s="4" t="inlineStr">
        <is>
          <t>K</t>
        </is>
      </c>
      <c r="E376" s="4" t="inlineStr"/>
      <c r="F376" s="4" t="inlineStr">
        <is>
          <t>03.07.2026</t>
        </is>
      </c>
      <c r="G376" s="4" t="inlineStr"/>
      <c r="H376" s="4" t="inlineStr">
        <is>
          <t>NORMAL</t>
        </is>
      </c>
      <c r="I376" s="4" t="inlineStr">
        <is>
          <t>MEVSİMLİK</t>
        </is>
      </c>
      <c r="J376" s="6" t="inlineStr">
        <is>
          <t>ÜRETİM</t>
        </is>
      </c>
      <c r="K376" s="6" t="inlineStr">
        <is>
          <t>KARACABEY-HALİL</t>
        </is>
      </c>
      <c r="L376" s="7" t="n">
        <v>28075.5</v>
      </c>
      <c r="M376" s="4" t="inlineStr">
        <is>
          <t>FİDE KONSERVE</t>
        </is>
      </c>
      <c r="N376" s="4" t="inlineStr">
        <is>
          <t>ALIR</t>
        </is>
      </c>
      <c r="O376" s="8" t="n">
        <v>10.5</v>
      </c>
      <c r="P376" s="8" t="n">
        <v>10.5</v>
      </c>
      <c r="Q376" s="23" t="n">
        <v>7.5</v>
      </c>
      <c r="R376" s="9" t="n">
        <v>7.5</v>
      </c>
      <c r="S376" s="8" t="n">
        <v>0</v>
      </c>
      <c r="T376" s="8" t="n">
        <v>0</v>
      </c>
      <c r="U376" s="8" t="n">
        <v>10.5</v>
      </c>
      <c r="V376" s="8" t="n">
        <v>10.5</v>
      </c>
      <c r="W376" s="8" t="n">
        <v>0</v>
      </c>
      <c r="X376" s="23" t="n">
        <v>7.5</v>
      </c>
      <c r="Y376" s="9" t="n">
        <v>0</v>
      </c>
      <c r="Z376" s="8" t="n">
        <v>10.5</v>
      </c>
      <c r="AA376" s="23" t="n">
        <v>7.5</v>
      </c>
      <c r="AB376" s="8" t="n">
        <v>0</v>
      </c>
      <c r="AC376" s="8" t="n">
        <v>0</v>
      </c>
      <c r="AD376" s="8" t="n">
        <v>0</v>
      </c>
      <c r="AE376" s="8" t="n">
        <v>0</v>
      </c>
      <c r="AF376" s="9" t="n">
        <v>0</v>
      </c>
      <c r="AG376" s="8" t="n">
        <v>10.5</v>
      </c>
      <c r="AH376" s="8" t="n">
        <v>0</v>
      </c>
      <c r="AI376" s="8" t="n">
        <v>0</v>
      </c>
      <c r="AJ376" s="8" t="n">
        <v>0</v>
      </c>
      <c r="AK376" s="8" t="n">
        <v>0</v>
      </c>
      <c r="AL376" s="8" t="n">
        <v>0</v>
      </c>
      <c r="AM376" s="9" t="n">
        <v>0</v>
      </c>
      <c r="AN376" s="8" t="n">
        <v>0</v>
      </c>
      <c r="AO376" s="8" t="n">
        <v>0</v>
      </c>
      <c r="AP376" s="8" t="n">
        <v>0</v>
      </c>
      <c r="AQ376" s="8" t="n">
        <v>0</v>
      </c>
      <c r="AR376" s="8" t="n">
        <v>0</v>
      </c>
      <c r="AS376" s="8" t="n">
        <v>0</v>
      </c>
      <c r="AT376" s="10">
        <f>SUM(O376:AS376)</f>
        <v/>
      </c>
      <c r="AU376" s="11">
        <f>COUNTIF(O376:AS376, "&gt;0")</f>
        <v/>
      </c>
      <c r="AV376" s="12">
        <f>IF(AU376&gt;=5, 4, IF(AU376&gt;0, INT(AU376/6), 0))</f>
        <v/>
      </c>
      <c r="AW376" s="11" t="n">
        <v>0</v>
      </c>
      <c r="AX376" s="11" t="n">
        <v>0</v>
      </c>
      <c r="AY376" s="13">
        <f>MIN(31, AU376+AV376+AW376+AX376)</f>
        <v/>
      </c>
      <c r="AZ376" s="14">
        <f>31-AY376</f>
        <v/>
      </c>
      <c r="BA376" s="5">
        <f>IF(AX376&gt;0, "01-İstirahat", IF(AZ376&gt;0, "12-Birden Fazla", ""))</f>
        <v/>
      </c>
      <c r="BB376" s="10" t="n">
        <v>18</v>
      </c>
      <c r="BC376" s="8" t="n">
        <v>0</v>
      </c>
      <c r="BD376" s="9" t="n">
        <v>7.5</v>
      </c>
      <c r="BE376" s="7">
        <f>(L376/30)*AU376</f>
        <v/>
      </c>
      <c r="BF376" s="15">
        <f>(L376/225)*((BB376*1.5)-(BC376*1.0))</f>
        <v/>
      </c>
      <c r="BG376" s="16">
        <f>(L376/225)*1.5*BD376</f>
        <v/>
      </c>
      <c r="BH376" s="15">
        <f>BF376+BG376</f>
        <v/>
      </c>
      <c r="BI376" s="17">
        <f>BE376+BH376</f>
        <v/>
      </c>
      <c r="BJ376" s="7">
        <f>IFERROR(VLOOKUP(B376, Resmi_Bordro_SGK!B:M, 11, FALSE), 0)</f>
        <v/>
      </c>
      <c r="BK376" s="18">
        <f>IFERROR(VLOOKUP(B376, Icra_Takip!A:E, 4, FALSE), 0)</f>
        <v/>
      </c>
      <c r="BL376" s="17">
        <f>IF(BI376&gt;BJ376, BI376-BJ376-BK376, 0)</f>
        <v/>
      </c>
      <c r="BM376" s="17">
        <f>BI376-BK376</f>
        <v/>
      </c>
    </row>
    <row r="377" ht="19" customHeight="1">
      <c r="A377" s="4" t="n">
        <v>374</v>
      </c>
      <c r="B377" s="5" t="inlineStr"/>
      <c r="C377" s="6" t="inlineStr">
        <is>
          <t>ŞENGÜL MEMİŞ</t>
        </is>
      </c>
      <c r="D377" s="4" t="inlineStr"/>
      <c r="E377" s="4" t="inlineStr"/>
      <c r="F377" s="4" t="inlineStr"/>
      <c r="G377" s="4" t="inlineStr"/>
      <c r="H377" s="4" t="inlineStr">
        <is>
          <t>NORMAL</t>
        </is>
      </c>
      <c r="I377" s="4" t="inlineStr">
        <is>
          <t>MEVSİMLİK</t>
        </is>
      </c>
      <c r="J377" s="6" t="inlineStr"/>
      <c r="K377" s="6" t="inlineStr"/>
      <c r="L377" s="7" t="n">
        <v>28075.5</v>
      </c>
      <c r="M377" s="4" t="inlineStr">
        <is>
          <t>FİDE KONSERVE</t>
        </is>
      </c>
      <c r="N377" s="4" t="inlineStr">
        <is>
          <t>ALIR</t>
        </is>
      </c>
      <c r="O377" s="19" t="n">
        <v>0</v>
      </c>
      <c r="P377" s="19" t="n">
        <v>0</v>
      </c>
      <c r="Q377" s="19" t="n">
        <v>0</v>
      </c>
      <c r="R377" s="9" t="n">
        <v>0</v>
      </c>
      <c r="S377" s="19" t="n">
        <v>0</v>
      </c>
      <c r="T377" s="19" t="n">
        <v>0</v>
      </c>
      <c r="U377" s="19" t="n">
        <v>0</v>
      </c>
      <c r="V377" s="19" t="n">
        <v>0</v>
      </c>
      <c r="W377" s="19" t="n">
        <v>0</v>
      </c>
      <c r="X377" s="19" t="n">
        <v>0</v>
      </c>
      <c r="Y377" s="9" t="n">
        <v>0</v>
      </c>
      <c r="Z377" s="19" t="n">
        <v>0</v>
      </c>
      <c r="AA377" s="19" t="n">
        <v>0</v>
      </c>
      <c r="AB377" s="19" t="n">
        <v>0</v>
      </c>
      <c r="AC377" s="19" t="n">
        <v>0</v>
      </c>
      <c r="AD377" s="19" t="n">
        <v>0</v>
      </c>
      <c r="AE377" s="19" t="n">
        <v>0</v>
      </c>
      <c r="AF377" s="9" t="n">
        <v>0</v>
      </c>
      <c r="AG377" s="19" t="n">
        <v>0</v>
      </c>
      <c r="AH377" s="19" t="n">
        <v>0</v>
      </c>
      <c r="AI377" s="19" t="n">
        <v>0</v>
      </c>
      <c r="AJ377" s="19" t="n">
        <v>0</v>
      </c>
      <c r="AK377" s="19" t="n">
        <v>0</v>
      </c>
      <c r="AL377" s="19" t="n">
        <v>0</v>
      </c>
      <c r="AM377" s="9" t="n">
        <v>0</v>
      </c>
      <c r="AN377" s="19" t="n">
        <v>0</v>
      </c>
      <c r="AO377" s="19" t="n">
        <v>0</v>
      </c>
      <c r="AP377" s="19" t="n">
        <v>0</v>
      </c>
      <c r="AQ377" s="19" t="n">
        <v>0</v>
      </c>
      <c r="AR377" s="19" t="n">
        <v>0</v>
      </c>
      <c r="AS377" s="19" t="n">
        <v>0</v>
      </c>
      <c r="AT377" s="10">
        <f>SUM(O377:AS377)</f>
        <v/>
      </c>
      <c r="AU377" s="20">
        <f>COUNTIF(O377:AS377, "&gt;0")</f>
        <v/>
      </c>
      <c r="AV377" s="12">
        <f>IF(AU377&gt;=5, 4, IF(AU377&gt;0, INT(AU377/6), 0))</f>
        <v/>
      </c>
      <c r="AW377" s="20" t="n">
        <v>0</v>
      </c>
      <c r="AX377" s="20" t="n">
        <v>0</v>
      </c>
      <c r="AY377" s="13">
        <f>MIN(31, AU377+AV377+AW377+AX377)</f>
        <v/>
      </c>
      <c r="AZ377" s="14">
        <f>31-AY377</f>
        <v/>
      </c>
      <c r="BA377" s="21">
        <f>IF(AX377&gt;0, "01-İstirahat", IF(AZ377&gt;0, "12-Birden Fazla", ""))</f>
        <v/>
      </c>
      <c r="BB377" s="10" t="n">
        <v>0</v>
      </c>
      <c r="BC377" s="19" t="n">
        <v>0</v>
      </c>
      <c r="BD377" s="9" t="n">
        <v>0</v>
      </c>
      <c r="BE377" s="22">
        <f>(L377/30)*AU377</f>
        <v/>
      </c>
      <c r="BF377" s="15">
        <f>(L377/225)*((BB377*1.5)-(BC377*1.0))</f>
        <v/>
      </c>
      <c r="BG377" s="16">
        <f>(L377/225)*1.5*BD377</f>
        <v/>
      </c>
      <c r="BH377" s="15">
        <f>BF377+BG377</f>
        <v/>
      </c>
      <c r="BI377" s="17">
        <f>BE377+BH377</f>
        <v/>
      </c>
      <c r="BJ377" s="22">
        <f>IFERROR(VLOOKUP(B377, Resmi_Bordro_SGK!B:M, 11, FALSE), 0)</f>
        <v/>
      </c>
      <c r="BK377" s="18">
        <f>IFERROR(VLOOKUP(B377, Icra_Takip!A:E, 4, FALSE), 0)</f>
        <v/>
      </c>
      <c r="BL377" s="17">
        <f>IF(BI377&gt;BJ377, BI377-BJ377-BK377, 0)</f>
        <v/>
      </c>
      <c r="BM377" s="17">
        <f>BI377-BK377</f>
        <v/>
      </c>
    </row>
    <row r="378" ht="19" customHeight="1">
      <c r="A378" s="4" t="n">
        <v>375</v>
      </c>
      <c r="B378" s="5" t="inlineStr">
        <is>
          <t>10255820520</t>
        </is>
      </c>
      <c r="C378" s="6" t="inlineStr">
        <is>
          <t>ŞERBANE SARAN</t>
        </is>
      </c>
      <c r="D378" s="4" t="inlineStr">
        <is>
          <t>K</t>
        </is>
      </c>
      <c r="E378" s="4" t="inlineStr"/>
      <c r="F378" s="4" t="inlineStr">
        <is>
          <t>10.02.2026</t>
        </is>
      </c>
      <c r="G378" s="4" t="inlineStr"/>
      <c r="H378" s="4" t="inlineStr">
        <is>
          <t>NORMAL</t>
        </is>
      </c>
      <c r="I378" s="4" t="inlineStr">
        <is>
          <t>MEVSİMLİK</t>
        </is>
      </c>
      <c r="J378" s="6" t="inlineStr">
        <is>
          <t>BALIK TEMİZLEME</t>
        </is>
      </c>
      <c r="K378" s="6" t="inlineStr">
        <is>
          <t>BALIKESİR</t>
        </is>
      </c>
      <c r="L378" s="7" t="n">
        <v>33000</v>
      </c>
      <c r="M378" s="4" t="inlineStr">
        <is>
          <t>FİDE KONSERVE</t>
        </is>
      </c>
      <c r="N378" s="4" t="inlineStr">
        <is>
          <t>ALIR</t>
        </is>
      </c>
      <c r="O378" s="8" t="n">
        <v>8</v>
      </c>
      <c r="P378" s="8" t="n">
        <v>8.5</v>
      </c>
      <c r="Q378" s="8" t="n">
        <v>8</v>
      </c>
      <c r="R378" s="9" t="n">
        <v>0</v>
      </c>
      <c r="S378" s="8" t="n">
        <v>7.5</v>
      </c>
      <c r="T378" s="8" t="n">
        <v>8</v>
      </c>
      <c r="U378" s="8" t="n">
        <v>8</v>
      </c>
      <c r="V378" s="8" t="n">
        <v>8</v>
      </c>
      <c r="W378" s="8" t="n">
        <v>8.5</v>
      </c>
      <c r="X378" s="8" t="n">
        <v>8.5</v>
      </c>
      <c r="Y378" s="9" t="n">
        <v>0</v>
      </c>
      <c r="Z378" s="8" t="n">
        <v>7.5</v>
      </c>
      <c r="AA378" s="8" t="n">
        <v>7.5</v>
      </c>
      <c r="AB378" s="8" t="n">
        <v>8.5</v>
      </c>
      <c r="AC378" s="8" t="n">
        <v>7.5</v>
      </c>
      <c r="AD378" s="8" t="n">
        <v>7.5</v>
      </c>
      <c r="AE378" s="8" t="n">
        <v>8.5</v>
      </c>
      <c r="AF378" s="9" t="n">
        <v>0</v>
      </c>
      <c r="AG378" s="8" t="n">
        <v>8</v>
      </c>
      <c r="AH378" s="8" t="n">
        <v>7.5</v>
      </c>
      <c r="AI378" s="8" t="n">
        <v>7.5</v>
      </c>
      <c r="AJ378" s="8" t="n">
        <v>0</v>
      </c>
      <c r="AK378" s="8" t="n">
        <v>0</v>
      </c>
      <c r="AL378" s="8" t="n">
        <v>0</v>
      </c>
      <c r="AM378" s="9" t="n">
        <v>0</v>
      </c>
      <c r="AN378" s="8" t="n">
        <v>0</v>
      </c>
      <c r="AO378" s="8" t="n">
        <v>0</v>
      </c>
      <c r="AP378" s="8" t="n">
        <v>0</v>
      </c>
      <c r="AQ378" s="8" t="n">
        <v>0</v>
      </c>
      <c r="AR378" s="8" t="n">
        <v>0</v>
      </c>
      <c r="AS378" s="8" t="n">
        <v>0</v>
      </c>
      <c r="AT378" s="10">
        <f>SUM(O378:AS378)</f>
        <v/>
      </c>
      <c r="AU378" s="11">
        <f>COUNTIF(O378:AS378, "&gt;0")</f>
        <v/>
      </c>
      <c r="AV378" s="12">
        <f>IF(AU378&gt;=5, 4, IF(AU378&gt;0, INT(AU378/6), 0))</f>
        <v/>
      </c>
      <c r="AW378" s="11" t="n">
        <v>2</v>
      </c>
      <c r="AX378" s="11" t="n">
        <v>0</v>
      </c>
      <c r="AY378" s="13">
        <f>MIN(31, AU378+AV378+AW378+AX378)</f>
        <v/>
      </c>
      <c r="AZ378" s="14">
        <f>31-AY378</f>
        <v/>
      </c>
      <c r="BA378" s="5">
        <f>IF(AX378&gt;0, "01-İstirahat", IF(AZ378&gt;0, "12-Birden Fazla", ""))</f>
        <v/>
      </c>
      <c r="BB378" s="10" t="n">
        <v>8</v>
      </c>
      <c r="BC378" s="8" t="n">
        <v>0</v>
      </c>
      <c r="BD378" s="9" t="n">
        <v>0</v>
      </c>
      <c r="BE378" s="7">
        <f>(L378/30)*AU378</f>
        <v/>
      </c>
      <c r="BF378" s="15">
        <f>(L378/225)*((BB378*1.5)-(BC378*1.0))</f>
        <v/>
      </c>
      <c r="BG378" s="16">
        <f>(L378/225)*1.5*BD378</f>
        <v/>
      </c>
      <c r="BH378" s="15">
        <f>BF378+BG378</f>
        <v/>
      </c>
      <c r="BI378" s="17">
        <f>BE378+BH378</f>
        <v/>
      </c>
      <c r="BJ378" s="7">
        <f>IFERROR(VLOOKUP(B378, Resmi_Bordro_SGK!B:M, 11, FALSE), 0)</f>
        <v/>
      </c>
      <c r="BK378" s="18">
        <f>IFERROR(VLOOKUP(B378, Icra_Takip!A:E, 4, FALSE), 0)</f>
        <v/>
      </c>
      <c r="BL378" s="17">
        <f>IF(BI378&gt;BJ378, BI378-BJ378-BK378, 0)</f>
        <v/>
      </c>
      <c r="BM378" s="17">
        <f>BI378-BK378</f>
        <v/>
      </c>
    </row>
    <row r="379" ht="19" customHeight="1">
      <c r="A379" s="4" t="n">
        <v>376</v>
      </c>
      <c r="B379" s="5" t="inlineStr">
        <is>
          <t>10303951732</t>
        </is>
      </c>
      <c r="C379" s="6" t="inlineStr">
        <is>
          <t>ŞERİFE EKTİREN</t>
        </is>
      </c>
      <c r="D379" s="4" t="inlineStr">
        <is>
          <t>K</t>
        </is>
      </c>
      <c r="E379" s="4" t="inlineStr"/>
      <c r="F379" s="4" t="inlineStr">
        <is>
          <t>23.03.2026</t>
        </is>
      </c>
      <c r="G379" s="4" t="inlineStr"/>
      <c r="H379" s="4" t="inlineStr">
        <is>
          <t>NORMAL</t>
        </is>
      </c>
      <c r="I379" s="4" t="inlineStr">
        <is>
          <t>MEVSİMLİK</t>
        </is>
      </c>
      <c r="J379" s="6" t="inlineStr">
        <is>
          <t>BALIK TEMİZLEME</t>
        </is>
      </c>
      <c r="K379" s="6" t="inlineStr">
        <is>
          <t>KARACABEY-HALİL</t>
        </is>
      </c>
      <c r="L379" s="7" t="n">
        <v>33000</v>
      </c>
      <c r="M379" s="4" t="inlineStr">
        <is>
          <t>FİDE KONSERVE</t>
        </is>
      </c>
      <c r="N379" s="4" t="inlineStr">
        <is>
          <t>ALIR</t>
        </is>
      </c>
      <c r="O379" s="19" t="n">
        <v>0</v>
      </c>
      <c r="P379" s="19" t="n">
        <v>0</v>
      </c>
      <c r="Q379" s="19" t="n">
        <v>0</v>
      </c>
      <c r="R379" s="9" t="n">
        <v>0</v>
      </c>
      <c r="S379" s="19" t="n">
        <v>0</v>
      </c>
      <c r="T379" s="19" t="n">
        <v>0</v>
      </c>
      <c r="U379" s="19" t="n">
        <v>0</v>
      </c>
      <c r="V379" s="19" t="n">
        <v>0</v>
      </c>
      <c r="W379" s="19" t="n">
        <v>0</v>
      </c>
      <c r="X379" s="19" t="n">
        <v>0</v>
      </c>
      <c r="Y379" s="9" t="n">
        <v>0</v>
      </c>
      <c r="Z379" s="19" t="n">
        <v>0</v>
      </c>
      <c r="AA379" s="19" t="n">
        <v>0</v>
      </c>
      <c r="AB379" s="19" t="n">
        <v>0</v>
      </c>
      <c r="AC379" s="19" t="n">
        <v>0</v>
      </c>
      <c r="AD379" s="19" t="n">
        <v>0</v>
      </c>
      <c r="AE379" s="19" t="n">
        <v>0</v>
      </c>
      <c r="AF379" s="9" t="n">
        <v>0</v>
      </c>
      <c r="AG379" s="19" t="n">
        <v>0</v>
      </c>
      <c r="AH379" s="19" t="n">
        <v>0</v>
      </c>
      <c r="AI379" s="19" t="n">
        <v>0</v>
      </c>
      <c r="AJ379" s="19" t="n">
        <v>0</v>
      </c>
      <c r="AK379" s="19" t="n">
        <v>0</v>
      </c>
      <c r="AL379" s="19" t="n">
        <v>0</v>
      </c>
      <c r="AM379" s="9" t="n">
        <v>0</v>
      </c>
      <c r="AN379" s="19" t="n">
        <v>0</v>
      </c>
      <c r="AO379" s="19" t="n">
        <v>0</v>
      </c>
      <c r="AP379" s="19" t="n">
        <v>0</v>
      </c>
      <c r="AQ379" s="19" t="n">
        <v>0</v>
      </c>
      <c r="AR379" s="19" t="n">
        <v>0</v>
      </c>
      <c r="AS379" s="19" t="n">
        <v>0</v>
      </c>
      <c r="AT379" s="10">
        <f>SUM(O379:AS379)</f>
        <v/>
      </c>
      <c r="AU379" s="20">
        <f>COUNTIF(O379:AS379, "&gt;0")</f>
        <v/>
      </c>
      <c r="AV379" s="12">
        <f>IF(AU379&gt;=5, 4, IF(AU379&gt;0, INT(AU379/6), 0))</f>
        <v/>
      </c>
      <c r="AW379" s="20" t="n">
        <v>0</v>
      </c>
      <c r="AX379" s="20" t="n">
        <v>0</v>
      </c>
      <c r="AY379" s="13">
        <f>MIN(31, AU379+AV379+AW379+AX379)</f>
        <v/>
      </c>
      <c r="AZ379" s="14">
        <f>31-AY379</f>
        <v/>
      </c>
      <c r="BA379" s="21">
        <f>IF(AX379&gt;0, "01-İstirahat", IF(AZ379&gt;0, "12-Birden Fazla", ""))</f>
        <v/>
      </c>
      <c r="BB379" s="10" t="n">
        <v>0</v>
      </c>
      <c r="BC379" s="19" t="n">
        <v>0</v>
      </c>
      <c r="BD379" s="9" t="n">
        <v>0</v>
      </c>
      <c r="BE379" s="22">
        <f>(L379/30)*AU379</f>
        <v/>
      </c>
      <c r="BF379" s="15">
        <f>(L379/225)*((BB379*1.5)-(BC379*1.0))</f>
        <v/>
      </c>
      <c r="BG379" s="16">
        <f>(L379/225)*1.5*BD379</f>
        <v/>
      </c>
      <c r="BH379" s="15">
        <f>BF379+BG379</f>
        <v/>
      </c>
      <c r="BI379" s="17">
        <f>BE379+BH379</f>
        <v/>
      </c>
      <c r="BJ379" s="22">
        <f>IFERROR(VLOOKUP(B379, Resmi_Bordro_SGK!B:M, 11, FALSE), 0)</f>
        <v/>
      </c>
      <c r="BK379" s="18">
        <f>IFERROR(VLOOKUP(B379, Icra_Takip!A:E, 4, FALSE), 0)</f>
        <v/>
      </c>
      <c r="BL379" s="17">
        <f>IF(BI379&gt;BJ379, BI379-BJ379-BK379, 0)</f>
        <v/>
      </c>
      <c r="BM379" s="17">
        <f>BI379-BK379</f>
        <v/>
      </c>
    </row>
    <row r="380" ht="19" customHeight="1">
      <c r="A380" s="4" t="n">
        <v>377</v>
      </c>
      <c r="B380" s="5" t="inlineStr">
        <is>
          <t>11116950790</t>
        </is>
      </c>
      <c r="C380" s="6" t="inlineStr">
        <is>
          <t>ŞEVVAL BALKAN</t>
        </is>
      </c>
      <c r="D380" s="4" t="inlineStr">
        <is>
          <t>K</t>
        </is>
      </c>
      <c r="E380" s="4" t="inlineStr"/>
      <c r="F380" s="4" t="inlineStr">
        <is>
          <t>29.06.2026</t>
        </is>
      </c>
      <c r="G380" s="4" t="inlineStr"/>
      <c r="H380" s="4" t="inlineStr">
        <is>
          <t>NORMAL</t>
        </is>
      </c>
      <c r="I380" s="4" t="inlineStr">
        <is>
          <t>MEVSİMLİK</t>
        </is>
      </c>
      <c r="J380" s="6" t="inlineStr">
        <is>
          <t>ÜRETİM</t>
        </is>
      </c>
      <c r="K380" s="6" t="inlineStr">
        <is>
          <t>KARACABEY-HALİL</t>
        </is>
      </c>
      <c r="L380" s="7" t="n">
        <v>28075.5</v>
      </c>
      <c r="M380" s="4" t="inlineStr">
        <is>
          <t>FİDE KONSERVE</t>
        </is>
      </c>
      <c r="N380" s="4" t="inlineStr">
        <is>
          <t>ALIR</t>
        </is>
      </c>
      <c r="O380" s="8" t="n">
        <v>0</v>
      </c>
      <c r="P380" s="8" t="n">
        <v>0</v>
      </c>
      <c r="Q380" s="8" t="n">
        <v>0</v>
      </c>
      <c r="R380" s="9" t="n">
        <v>0</v>
      </c>
      <c r="S380" s="8" t="n">
        <v>0</v>
      </c>
      <c r="T380" s="8" t="n">
        <v>0</v>
      </c>
      <c r="U380" s="8" t="n">
        <v>0</v>
      </c>
      <c r="V380" s="8" t="n">
        <v>0</v>
      </c>
      <c r="W380" s="8" t="n">
        <v>0</v>
      </c>
      <c r="X380" s="8" t="n">
        <v>0</v>
      </c>
      <c r="Y380" s="9" t="n">
        <v>0</v>
      </c>
      <c r="Z380" s="8" t="n">
        <v>0</v>
      </c>
      <c r="AA380" s="8" t="n">
        <v>0</v>
      </c>
      <c r="AB380" s="8" t="n">
        <v>0</v>
      </c>
      <c r="AC380" s="8" t="n">
        <v>0</v>
      </c>
      <c r="AD380" s="8" t="n">
        <v>0</v>
      </c>
      <c r="AE380" s="8" t="n">
        <v>0</v>
      </c>
      <c r="AF380" s="9" t="n">
        <v>0</v>
      </c>
      <c r="AG380" s="8" t="n">
        <v>0</v>
      </c>
      <c r="AH380" s="8" t="n">
        <v>0</v>
      </c>
      <c r="AI380" s="8" t="n">
        <v>0</v>
      </c>
      <c r="AJ380" s="8" t="n">
        <v>0</v>
      </c>
      <c r="AK380" s="8" t="n">
        <v>0</v>
      </c>
      <c r="AL380" s="8" t="n">
        <v>0</v>
      </c>
      <c r="AM380" s="9" t="n">
        <v>0</v>
      </c>
      <c r="AN380" s="8" t="n">
        <v>0</v>
      </c>
      <c r="AO380" s="8" t="n">
        <v>0</v>
      </c>
      <c r="AP380" s="8" t="n">
        <v>0</v>
      </c>
      <c r="AQ380" s="8" t="n">
        <v>0</v>
      </c>
      <c r="AR380" s="8" t="n">
        <v>0</v>
      </c>
      <c r="AS380" s="8" t="n">
        <v>0</v>
      </c>
      <c r="AT380" s="10">
        <f>SUM(O380:AS380)</f>
        <v/>
      </c>
      <c r="AU380" s="11">
        <f>COUNTIF(O380:AS380, "&gt;0")</f>
        <v/>
      </c>
      <c r="AV380" s="12">
        <f>IF(AU380&gt;=5, 4, IF(AU380&gt;0, INT(AU380/6), 0))</f>
        <v/>
      </c>
      <c r="AW380" s="11" t="n">
        <v>0</v>
      </c>
      <c r="AX380" s="11" t="n">
        <v>0</v>
      </c>
      <c r="AY380" s="13">
        <f>MIN(31, AU380+AV380+AW380+AX380)</f>
        <v/>
      </c>
      <c r="AZ380" s="14">
        <f>31-AY380</f>
        <v/>
      </c>
      <c r="BA380" s="5">
        <f>IF(AX380&gt;0, "01-İstirahat", IF(AZ380&gt;0, "12-Birden Fazla", ""))</f>
        <v/>
      </c>
      <c r="BB380" s="10" t="n">
        <v>0</v>
      </c>
      <c r="BC380" s="8" t="n">
        <v>0</v>
      </c>
      <c r="BD380" s="9" t="n">
        <v>0</v>
      </c>
      <c r="BE380" s="7">
        <f>(L380/30)*AU380</f>
        <v/>
      </c>
      <c r="BF380" s="15">
        <f>(L380/225)*((BB380*1.5)-(BC380*1.0))</f>
        <v/>
      </c>
      <c r="BG380" s="16">
        <f>(L380/225)*1.5*BD380</f>
        <v/>
      </c>
      <c r="BH380" s="15">
        <f>BF380+BG380</f>
        <v/>
      </c>
      <c r="BI380" s="17">
        <f>BE380+BH380</f>
        <v/>
      </c>
      <c r="BJ380" s="7">
        <f>IFERROR(VLOOKUP(B380, Resmi_Bordro_SGK!B:M, 11, FALSE), 0)</f>
        <v/>
      </c>
      <c r="BK380" s="18">
        <f>IFERROR(VLOOKUP(B380, Icra_Takip!A:E, 4, FALSE), 0)</f>
        <v/>
      </c>
      <c r="BL380" s="17">
        <f>IF(BI380&gt;BJ380, BI380-BJ380-BK380, 0)</f>
        <v/>
      </c>
      <c r="BM380" s="17">
        <f>BI380-BK380</f>
        <v/>
      </c>
    </row>
    <row r="381" ht="19" customHeight="1">
      <c r="A381" s="4" t="n">
        <v>378</v>
      </c>
      <c r="B381" s="5" t="inlineStr"/>
      <c r="C381" s="6" t="inlineStr">
        <is>
          <t>ŞEYMA İİPEK</t>
        </is>
      </c>
      <c r="D381" s="4" t="inlineStr"/>
      <c r="E381" s="4" t="inlineStr"/>
      <c r="F381" s="4" t="inlineStr"/>
      <c r="G381" s="4" t="inlineStr"/>
      <c r="H381" s="4" t="inlineStr">
        <is>
          <t>NORMAL</t>
        </is>
      </c>
      <c r="I381" s="4" t="inlineStr">
        <is>
          <t>MEVSİMLİK</t>
        </is>
      </c>
      <c r="J381" s="6" t="inlineStr"/>
      <c r="K381" s="6" t="inlineStr"/>
      <c r="L381" s="7" t="n">
        <v>28075.5</v>
      </c>
      <c r="M381" s="4" t="inlineStr">
        <is>
          <t>FİDE KONSERVE</t>
        </is>
      </c>
      <c r="N381" s="4" t="inlineStr">
        <is>
          <t>ALIR</t>
        </is>
      </c>
      <c r="O381" s="19" t="n">
        <v>0</v>
      </c>
      <c r="P381" s="19" t="n">
        <v>8.5</v>
      </c>
      <c r="Q381" s="19" t="n">
        <v>8</v>
      </c>
      <c r="R381" s="9" t="n">
        <v>0</v>
      </c>
      <c r="S381" s="19" t="n">
        <v>0</v>
      </c>
      <c r="T381" s="19" t="n">
        <v>8.5</v>
      </c>
      <c r="U381" s="19" t="n">
        <v>7.5</v>
      </c>
      <c r="V381" s="19" t="n">
        <v>8</v>
      </c>
      <c r="W381" s="19" t="n">
        <v>8</v>
      </c>
      <c r="X381" s="19" t="n">
        <v>8.5</v>
      </c>
      <c r="Y381" s="9" t="n">
        <v>0</v>
      </c>
      <c r="Z381" s="19" t="n">
        <v>7.5</v>
      </c>
      <c r="AA381" s="19" t="n">
        <v>7.5</v>
      </c>
      <c r="AB381" s="19" t="n">
        <v>10.5</v>
      </c>
      <c r="AC381" s="19" t="n">
        <v>7.5</v>
      </c>
      <c r="AD381" s="19" t="n">
        <v>7.5</v>
      </c>
      <c r="AE381" s="19" t="n">
        <v>8.5</v>
      </c>
      <c r="AF381" s="9" t="n">
        <v>0</v>
      </c>
      <c r="AG381" s="19" t="n">
        <v>7.5</v>
      </c>
      <c r="AH381" s="19" t="n">
        <v>7.5</v>
      </c>
      <c r="AI381" s="19" t="n">
        <v>7.5</v>
      </c>
      <c r="AJ381" s="19" t="n">
        <v>0</v>
      </c>
      <c r="AK381" s="19" t="n">
        <v>0</v>
      </c>
      <c r="AL381" s="19" t="n">
        <v>0</v>
      </c>
      <c r="AM381" s="9" t="n">
        <v>0</v>
      </c>
      <c r="AN381" s="19" t="n">
        <v>0</v>
      </c>
      <c r="AO381" s="19" t="n">
        <v>0</v>
      </c>
      <c r="AP381" s="19" t="n">
        <v>0</v>
      </c>
      <c r="AQ381" s="19" t="n">
        <v>0</v>
      </c>
      <c r="AR381" s="19" t="n">
        <v>0</v>
      </c>
      <c r="AS381" s="19" t="n">
        <v>0</v>
      </c>
      <c r="AT381" s="10">
        <f>SUM(O381:AS381)</f>
        <v/>
      </c>
      <c r="AU381" s="20">
        <f>COUNTIF(O381:AS381, "&gt;0")</f>
        <v/>
      </c>
      <c r="AV381" s="12">
        <f>IF(AU381&gt;=5, 4, IF(AU381&gt;0, INT(AU381/6), 0))</f>
        <v/>
      </c>
      <c r="AW381" s="20" t="n">
        <v>0</v>
      </c>
      <c r="AX381" s="20" t="n">
        <v>0</v>
      </c>
      <c r="AY381" s="13">
        <f>MIN(31, AU381+AV381+AW381+AX381)</f>
        <v/>
      </c>
      <c r="AZ381" s="14">
        <f>31-AY381</f>
        <v/>
      </c>
      <c r="BA381" s="21">
        <f>IF(AX381&gt;0, "01-İstirahat", IF(AZ381&gt;0, "12-Birden Fazla", ""))</f>
        <v/>
      </c>
      <c r="BB381" s="10" t="n">
        <v>8.5</v>
      </c>
      <c r="BC381" s="19" t="n">
        <v>0</v>
      </c>
      <c r="BD381" s="9" t="n">
        <v>0</v>
      </c>
      <c r="BE381" s="22">
        <f>(L381/30)*AU381</f>
        <v/>
      </c>
      <c r="BF381" s="15">
        <f>(L381/225)*((BB381*1.5)-(BC381*1.0))</f>
        <v/>
      </c>
      <c r="BG381" s="16">
        <f>(L381/225)*1.5*BD381</f>
        <v/>
      </c>
      <c r="BH381" s="15">
        <f>BF381+BG381</f>
        <v/>
      </c>
      <c r="BI381" s="17">
        <f>BE381+BH381</f>
        <v/>
      </c>
      <c r="BJ381" s="22">
        <f>IFERROR(VLOOKUP(B381, Resmi_Bordro_SGK!B:M, 11, FALSE), 0)</f>
        <v/>
      </c>
      <c r="BK381" s="18">
        <f>IFERROR(VLOOKUP(B381, Icra_Takip!A:E, 4, FALSE), 0)</f>
        <v/>
      </c>
      <c r="BL381" s="17">
        <f>IF(BI381&gt;BJ381, BI381-BJ381-BK381, 0)</f>
        <v/>
      </c>
      <c r="BM381" s="17">
        <f>BI381-BK381</f>
        <v/>
      </c>
    </row>
    <row r="382" ht="19" customHeight="1">
      <c r="A382" s="4" t="n">
        <v>379</v>
      </c>
      <c r="B382" s="5" t="inlineStr">
        <is>
          <t>10240797202</t>
        </is>
      </c>
      <c r="C382" s="6" t="inlineStr">
        <is>
          <t>TALHA KURT</t>
        </is>
      </c>
      <c r="D382" s="4" t="inlineStr">
        <is>
          <t>E</t>
        </is>
      </c>
      <c r="E382" s="4" t="inlineStr"/>
      <c r="F382" s="4" t="inlineStr">
        <is>
          <t>29.06.2026</t>
        </is>
      </c>
      <c r="G382" s="4" t="inlineStr"/>
      <c r="H382" s="4" t="inlineStr">
        <is>
          <t>NORMAL</t>
        </is>
      </c>
      <c r="I382" s="4" t="inlineStr">
        <is>
          <t>MEVSİMLİK</t>
        </is>
      </c>
      <c r="J382" s="6" t="inlineStr">
        <is>
          <t>ÜRETİM</t>
        </is>
      </c>
      <c r="K382" s="6" t="inlineStr">
        <is>
          <t>BİGADİÇ</t>
        </is>
      </c>
      <c r="L382" s="7" t="n">
        <v>28075.5</v>
      </c>
      <c r="M382" s="4" t="inlineStr">
        <is>
          <t>FİDE KONSERVE</t>
        </is>
      </c>
      <c r="N382" s="4" t="inlineStr">
        <is>
          <t>ALIR</t>
        </is>
      </c>
      <c r="O382" s="8" t="n">
        <v>0</v>
      </c>
      <c r="P382" s="8" t="n">
        <v>0</v>
      </c>
      <c r="Q382" s="8" t="n">
        <v>0</v>
      </c>
      <c r="R382" s="9" t="n">
        <v>0</v>
      </c>
      <c r="S382" s="8" t="n">
        <v>0</v>
      </c>
      <c r="T382" s="8" t="n">
        <v>0</v>
      </c>
      <c r="U382" s="8" t="n">
        <v>0</v>
      </c>
      <c r="V382" s="8" t="n">
        <v>0</v>
      </c>
      <c r="W382" s="8" t="n">
        <v>0</v>
      </c>
      <c r="X382" s="8" t="n">
        <v>0</v>
      </c>
      <c r="Y382" s="9" t="n">
        <v>0</v>
      </c>
      <c r="Z382" s="8" t="n">
        <v>0</v>
      </c>
      <c r="AA382" s="8" t="n">
        <v>0</v>
      </c>
      <c r="AB382" s="8" t="n">
        <v>0</v>
      </c>
      <c r="AC382" s="8" t="n">
        <v>0</v>
      </c>
      <c r="AD382" s="8" t="n">
        <v>0</v>
      </c>
      <c r="AE382" s="8" t="n">
        <v>0</v>
      </c>
      <c r="AF382" s="9" t="n">
        <v>0</v>
      </c>
      <c r="AG382" s="8" t="n">
        <v>0</v>
      </c>
      <c r="AH382" s="8" t="n">
        <v>0</v>
      </c>
      <c r="AI382" s="8" t="n">
        <v>0</v>
      </c>
      <c r="AJ382" s="8" t="n">
        <v>0</v>
      </c>
      <c r="AK382" s="8" t="n">
        <v>0</v>
      </c>
      <c r="AL382" s="8" t="n">
        <v>0</v>
      </c>
      <c r="AM382" s="9" t="n">
        <v>0</v>
      </c>
      <c r="AN382" s="8" t="n">
        <v>0</v>
      </c>
      <c r="AO382" s="8" t="n">
        <v>0</v>
      </c>
      <c r="AP382" s="8" t="n">
        <v>0</v>
      </c>
      <c r="AQ382" s="8" t="n">
        <v>0</v>
      </c>
      <c r="AR382" s="8" t="n">
        <v>0</v>
      </c>
      <c r="AS382" s="8" t="n">
        <v>0</v>
      </c>
      <c r="AT382" s="10">
        <f>SUM(O382:AS382)</f>
        <v/>
      </c>
      <c r="AU382" s="11">
        <f>COUNTIF(O382:AS382, "&gt;0")</f>
        <v/>
      </c>
      <c r="AV382" s="12">
        <f>IF(AU382&gt;=5, 4, IF(AU382&gt;0, INT(AU382/6), 0))</f>
        <v/>
      </c>
      <c r="AW382" s="11" t="n">
        <v>0</v>
      </c>
      <c r="AX382" s="11" t="n">
        <v>0</v>
      </c>
      <c r="AY382" s="13">
        <f>MIN(31, AU382+AV382+AW382+AX382)</f>
        <v/>
      </c>
      <c r="AZ382" s="14">
        <f>31-AY382</f>
        <v/>
      </c>
      <c r="BA382" s="5">
        <f>IF(AX382&gt;0, "01-İstirahat", IF(AZ382&gt;0, "12-Birden Fazla", ""))</f>
        <v/>
      </c>
      <c r="BB382" s="10" t="n">
        <v>0</v>
      </c>
      <c r="BC382" s="8" t="n">
        <v>0</v>
      </c>
      <c r="BD382" s="9" t="n">
        <v>0</v>
      </c>
      <c r="BE382" s="7">
        <f>(L382/30)*AU382</f>
        <v/>
      </c>
      <c r="BF382" s="15">
        <f>(L382/225)*((BB382*1.5)-(BC382*1.0))</f>
        <v/>
      </c>
      <c r="BG382" s="16">
        <f>(L382/225)*1.5*BD382</f>
        <v/>
      </c>
      <c r="BH382" s="15">
        <f>BF382+BG382</f>
        <v/>
      </c>
      <c r="BI382" s="17">
        <f>BE382+BH382</f>
        <v/>
      </c>
      <c r="BJ382" s="7">
        <f>IFERROR(VLOOKUP(B382, Resmi_Bordro_SGK!B:M, 11, FALSE), 0)</f>
        <v/>
      </c>
      <c r="BK382" s="18">
        <f>IFERROR(VLOOKUP(B382, Icra_Takip!A:E, 4, FALSE), 0)</f>
        <v/>
      </c>
      <c r="BL382" s="17">
        <f>IF(BI382&gt;BJ382, BI382-BJ382-BK382, 0)</f>
        <v/>
      </c>
      <c r="BM382" s="17">
        <f>BI382-BK382</f>
        <v/>
      </c>
    </row>
    <row r="383" ht="19" customHeight="1">
      <c r="A383" s="4" t="n">
        <v>380</v>
      </c>
      <c r="B383" s="5" t="inlineStr">
        <is>
          <t>29761139378</t>
        </is>
      </c>
      <c r="C383" s="6" t="inlineStr">
        <is>
          <t>TALHA YAVAŞ</t>
        </is>
      </c>
      <c r="D383" s="4" t="inlineStr">
        <is>
          <t>E</t>
        </is>
      </c>
      <c r="E383" s="4" t="inlineStr"/>
      <c r="F383" s="4" t="inlineStr">
        <is>
          <t>15.06.2026</t>
        </is>
      </c>
      <c r="G383" s="4" t="inlineStr"/>
      <c r="H383" s="4" t="inlineStr">
        <is>
          <t>NORMAL</t>
        </is>
      </c>
      <c r="I383" s="4" t="inlineStr">
        <is>
          <t>DAİMİ</t>
        </is>
      </c>
      <c r="J383" s="6" t="inlineStr">
        <is>
          <t>KALİTE</t>
        </is>
      </c>
      <c r="K383" s="6" t="inlineStr">
        <is>
          <t>BANDIRMA</t>
        </is>
      </c>
      <c r="L383" s="7" t="n">
        <v>30000</v>
      </c>
      <c r="M383" s="4" t="inlineStr">
        <is>
          <t>FİDE KONSERVE</t>
        </is>
      </c>
      <c r="N383" s="4" t="inlineStr">
        <is>
          <t>ALIR</t>
        </is>
      </c>
      <c r="O383" s="19" t="n">
        <v>7.5</v>
      </c>
      <c r="P383" s="19" t="n">
        <v>7.5</v>
      </c>
      <c r="Q383" s="19" t="n">
        <v>9.5</v>
      </c>
      <c r="R383" s="9" t="n">
        <v>8</v>
      </c>
      <c r="S383" s="19" t="n">
        <v>7.5</v>
      </c>
      <c r="T383" s="19" t="n">
        <v>8</v>
      </c>
      <c r="U383" s="19" t="n">
        <v>7.5</v>
      </c>
      <c r="V383" s="19" t="n">
        <v>8</v>
      </c>
      <c r="W383" s="19" t="n">
        <v>8</v>
      </c>
      <c r="X383" s="19" t="n">
        <v>8.5</v>
      </c>
      <c r="Y383" s="9" t="n">
        <v>7.5</v>
      </c>
      <c r="Z383" s="19" t="n">
        <v>7.5</v>
      </c>
      <c r="AA383" s="19" t="n">
        <v>7.5</v>
      </c>
      <c r="AB383" s="19" t="n">
        <v>8</v>
      </c>
      <c r="AC383" s="19" t="n">
        <v>8</v>
      </c>
      <c r="AD383" s="19" t="n">
        <v>0</v>
      </c>
      <c r="AE383" s="19" t="n">
        <v>0</v>
      </c>
      <c r="AF383" s="9" t="n">
        <v>0</v>
      </c>
      <c r="AG383" s="19" t="n">
        <v>7.5</v>
      </c>
      <c r="AH383" s="19" t="n">
        <v>0</v>
      </c>
      <c r="AI383" s="19" t="n">
        <v>0</v>
      </c>
      <c r="AJ383" s="19" t="n">
        <v>0</v>
      </c>
      <c r="AK383" s="19" t="n">
        <v>0</v>
      </c>
      <c r="AL383" s="19" t="n">
        <v>0</v>
      </c>
      <c r="AM383" s="9" t="n">
        <v>0</v>
      </c>
      <c r="AN383" s="19" t="n">
        <v>0</v>
      </c>
      <c r="AO383" s="19" t="n">
        <v>0</v>
      </c>
      <c r="AP383" s="19" t="n">
        <v>0</v>
      </c>
      <c r="AQ383" s="19" t="n">
        <v>0</v>
      </c>
      <c r="AR383" s="19" t="n">
        <v>0</v>
      </c>
      <c r="AS383" s="19" t="n">
        <v>0</v>
      </c>
      <c r="AT383" s="10">
        <f>SUM(O383:AS383)</f>
        <v/>
      </c>
      <c r="AU383" s="20">
        <f>COUNTIF(O383:AS383, "&gt;0")</f>
        <v/>
      </c>
      <c r="AV383" s="12">
        <f>IF(AU383&gt;=5, 4, IF(AU383&gt;0, INT(AU383/6), 0))</f>
        <v/>
      </c>
      <c r="AW383" s="20" t="n">
        <v>0</v>
      </c>
      <c r="AX383" s="20" t="n">
        <v>0</v>
      </c>
      <c r="AY383" s="13">
        <f>MIN(31, AU383+AV383+AW383+AX383)</f>
        <v/>
      </c>
      <c r="AZ383" s="14">
        <f>31-AY383</f>
        <v/>
      </c>
      <c r="BA383" s="21">
        <f>IF(AX383&gt;0, "01-İstirahat", IF(AZ383&gt;0, "12-Birden Fazla", ""))</f>
        <v/>
      </c>
      <c r="BB383" s="10" t="n">
        <v>5.5</v>
      </c>
      <c r="BC383" s="19" t="n">
        <v>0</v>
      </c>
      <c r="BD383" s="9" t="n">
        <v>15.5</v>
      </c>
      <c r="BE383" s="22">
        <f>(L383/30)*AU383</f>
        <v/>
      </c>
      <c r="BF383" s="15">
        <f>(L383/225)*((BB383*1.5)-(BC383*1.0))</f>
        <v/>
      </c>
      <c r="BG383" s="16">
        <f>(L383/225)*1.5*BD383</f>
        <v/>
      </c>
      <c r="BH383" s="15">
        <f>BF383+BG383</f>
        <v/>
      </c>
      <c r="BI383" s="17">
        <f>BE383+BH383</f>
        <v/>
      </c>
      <c r="BJ383" s="22">
        <f>IFERROR(VLOOKUP(B383, Resmi_Bordro_SGK!B:M, 11, FALSE), 0)</f>
        <v/>
      </c>
      <c r="BK383" s="18">
        <f>IFERROR(VLOOKUP(B383, Icra_Takip!A:E, 4, FALSE), 0)</f>
        <v/>
      </c>
      <c r="BL383" s="17">
        <f>IF(BI383&gt;BJ383, BI383-BJ383-BK383, 0)</f>
        <v/>
      </c>
      <c r="BM383" s="17">
        <f>BI383-BK383</f>
        <v/>
      </c>
    </row>
    <row r="384" ht="19" customHeight="1">
      <c r="A384" s="4" t="n">
        <v>381</v>
      </c>
      <c r="B384" s="5" t="inlineStr">
        <is>
          <t>20374606288</t>
        </is>
      </c>
      <c r="C384" s="6" t="inlineStr">
        <is>
          <t>TANER BEYİRKEN</t>
        </is>
      </c>
      <c r="D384" s="4" t="inlineStr">
        <is>
          <t>E</t>
        </is>
      </c>
      <c r="E384" s="4" t="inlineStr"/>
      <c r="F384" s="4" t="inlineStr">
        <is>
          <t>18.06.2026</t>
        </is>
      </c>
      <c r="G384" s="4" t="inlineStr"/>
      <c r="H384" s="4" t="inlineStr">
        <is>
          <t>NORMAL</t>
        </is>
      </c>
      <c r="I384" s="4" t="inlineStr">
        <is>
          <t>MEVSİMLİK</t>
        </is>
      </c>
      <c r="J384" s="6" t="inlineStr">
        <is>
          <t>ÜRETİM</t>
        </is>
      </c>
      <c r="K384" s="6" t="inlineStr">
        <is>
          <t>KARACABEY-HALİL</t>
        </is>
      </c>
      <c r="L384" s="7" t="n">
        <v>28075.5</v>
      </c>
      <c r="M384" s="4" t="inlineStr">
        <is>
          <t>FİDE KONSERVE</t>
        </is>
      </c>
      <c r="N384" s="4" t="inlineStr">
        <is>
          <t>ALIR</t>
        </is>
      </c>
      <c r="O384" s="8" t="n">
        <v>0</v>
      </c>
      <c r="P384" s="8" t="n">
        <v>7.5</v>
      </c>
      <c r="Q384" s="8" t="n">
        <v>7.5</v>
      </c>
      <c r="R384" s="9" t="n">
        <v>0</v>
      </c>
      <c r="S384" s="8" t="n">
        <v>7.5</v>
      </c>
      <c r="T384" s="8" t="n">
        <v>0</v>
      </c>
      <c r="U384" s="8" t="n">
        <v>0</v>
      </c>
      <c r="V384" s="8" t="n">
        <v>0</v>
      </c>
      <c r="W384" s="8" t="n">
        <v>10.5</v>
      </c>
      <c r="X384" s="8" t="n">
        <v>10.5</v>
      </c>
      <c r="Y384" s="9" t="n">
        <v>0</v>
      </c>
      <c r="Z384" s="8" t="n">
        <v>0</v>
      </c>
      <c r="AA384" s="8" t="n">
        <v>0</v>
      </c>
      <c r="AB384" s="8" t="n">
        <v>0</v>
      </c>
      <c r="AC384" s="8" t="n">
        <v>0</v>
      </c>
      <c r="AD384" s="8" t="n">
        <v>0</v>
      </c>
      <c r="AE384" s="8" t="n">
        <v>0</v>
      </c>
      <c r="AF384" s="9" t="n">
        <v>0</v>
      </c>
      <c r="AG384" s="8" t="n">
        <v>0</v>
      </c>
      <c r="AH384" s="8" t="n">
        <v>0</v>
      </c>
      <c r="AI384" s="8" t="n">
        <v>0</v>
      </c>
      <c r="AJ384" s="8" t="n">
        <v>0</v>
      </c>
      <c r="AK384" s="8" t="n">
        <v>0</v>
      </c>
      <c r="AL384" s="8" t="n">
        <v>0</v>
      </c>
      <c r="AM384" s="9" t="n">
        <v>0</v>
      </c>
      <c r="AN384" s="8" t="n">
        <v>0</v>
      </c>
      <c r="AO384" s="8" t="n">
        <v>0</v>
      </c>
      <c r="AP384" s="8" t="n">
        <v>0</v>
      </c>
      <c r="AQ384" s="8" t="n">
        <v>0</v>
      </c>
      <c r="AR384" s="8" t="n">
        <v>0</v>
      </c>
      <c r="AS384" s="8" t="n">
        <v>0</v>
      </c>
      <c r="AT384" s="10">
        <f>SUM(O384:AS384)</f>
        <v/>
      </c>
      <c r="AU384" s="11">
        <f>COUNTIF(O384:AS384, "&gt;0")</f>
        <v/>
      </c>
      <c r="AV384" s="12">
        <f>IF(AU384&gt;=5, 4, IF(AU384&gt;0, INT(AU384/6), 0))</f>
        <v/>
      </c>
      <c r="AW384" s="11" t="n">
        <v>0</v>
      </c>
      <c r="AX384" s="11" t="n">
        <v>0</v>
      </c>
      <c r="AY384" s="13">
        <f>MIN(31, AU384+AV384+AW384+AX384)</f>
        <v/>
      </c>
      <c r="AZ384" s="14">
        <f>31-AY384</f>
        <v/>
      </c>
      <c r="BA384" s="5">
        <f>IF(AX384&gt;0, "01-İstirahat", IF(AZ384&gt;0, "12-Birden Fazla", ""))</f>
        <v/>
      </c>
      <c r="BB384" s="10" t="n">
        <v>6</v>
      </c>
      <c r="BC384" s="8" t="n">
        <v>0</v>
      </c>
      <c r="BD384" s="9" t="n">
        <v>0</v>
      </c>
      <c r="BE384" s="7">
        <f>(L384/30)*AU384</f>
        <v/>
      </c>
      <c r="BF384" s="15">
        <f>(L384/225)*((BB384*1.5)-(BC384*1.0))</f>
        <v/>
      </c>
      <c r="BG384" s="16">
        <f>(L384/225)*1.5*BD384</f>
        <v/>
      </c>
      <c r="BH384" s="15">
        <f>BF384+BG384</f>
        <v/>
      </c>
      <c r="BI384" s="17">
        <f>BE384+BH384</f>
        <v/>
      </c>
      <c r="BJ384" s="7">
        <f>IFERROR(VLOOKUP(B384, Resmi_Bordro_SGK!B:M, 11, FALSE), 0)</f>
        <v/>
      </c>
      <c r="BK384" s="18">
        <f>IFERROR(VLOOKUP(B384, Icra_Takip!A:E, 4, FALSE), 0)</f>
        <v/>
      </c>
      <c r="BL384" s="17">
        <f>IF(BI384&gt;BJ384, BI384-BJ384-BK384, 0)</f>
        <v/>
      </c>
      <c r="BM384" s="17">
        <f>BI384-BK384</f>
        <v/>
      </c>
    </row>
    <row r="385" ht="19" customHeight="1">
      <c r="A385" s="4" t="n">
        <v>382</v>
      </c>
      <c r="B385" s="5" t="inlineStr">
        <is>
          <t>32938871292</t>
        </is>
      </c>
      <c r="C385" s="6" t="inlineStr">
        <is>
          <t>TAYFUN ÇELİK</t>
        </is>
      </c>
      <c r="D385" s="4" t="inlineStr">
        <is>
          <t>E</t>
        </is>
      </c>
      <c r="E385" s="4" t="inlineStr"/>
      <c r="F385" s="4" t="inlineStr">
        <is>
          <t>31.05.2021</t>
        </is>
      </c>
      <c r="G385" s="4" t="inlineStr"/>
      <c r="H385" s="4" t="inlineStr">
        <is>
          <t>NORMAL</t>
        </is>
      </c>
      <c r="I385" s="4" t="inlineStr">
        <is>
          <t>DAİMİ</t>
        </is>
      </c>
      <c r="J385" s="6" t="inlineStr">
        <is>
          <t>MEYDAN</t>
        </is>
      </c>
      <c r="K385" s="6" t="inlineStr">
        <is>
          <t>MKP</t>
        </is>
      </c>
      <c r="L385" s="7" t="n">
        <v>28075.5</v>
      </c>
      <c r="M385" s="4" t="inlineStr">
        <is>
          <t>FİDE KONSERVE</t>
        </is>
      </c>
      <c r="N385" s="4" t="inlineStr">
        <is>
          <t>ALIR</t>
        </is>
      </c>
      <c r="O385" s="23" t="n">
        <v>0.02</v>
      </c>
      <c r="P385" s="19" t="n">
        <v>10.5</v>
      </c>
      <c r="Q385" s="23" t="n">
        <v>7.5</v>
      </c>
      <c r="R385" s="9" t="n">
        <v>17.5</v>
      </c>
      <c r="S385" s="19" t="n">
        <v>10.5</v>
      </c>
      <c r="T385" s="19" t="n">
        <v>10.5</v>
      </c>
      <c r="U385" s="19" t="n">
        <v>10.5</v>
      </c>
      <c r="V385" s="19" t="n">
        <v>10.5</v>
      </c>
      <c r="W385" s="19" t="n">
        <v>10.5</v>
      </c>
      <c r="X385" s="19" t="n">
        <v>10.5</v>
      </c>
      <c r="Y385" s="9" t="n">
        <v>9.5</v>
      </c>
      <c r="Z385" s="19" t="n">
        <v>0</v>
      </c>
      <c r="AA385" s="19" t="n">
        <v>9.5</v>
      </c>
      <c r="AB385" s="23" t="n">
        <v>7.5</v>
      </c>
      <c r="AC385" s="23" t="n">
        <v>18.5</v>
      </c>
      <c r="AD385" s="19" t="n">
        <v>10.5</v>
      </c>
      <c r="AE385" s="23" t="n">
        <v>7.5</v>
      </c>
      <c r="AF385" s="9" t="n">
        <v>17</v>
      </c>
      <c r="AG385" s="19" t="n">
        <v>8.5</v>
      </c>
      <c r="AH385" s="19" t="n">
        <v>7.5</v>
      </c>
      <c r="AI385" s="23" t="n">
        <v>7.5</v>
      </c>
      <c r="AJ385" s="19" t="n">
        <v>0</v>
      </c>
      <c r="AK385" s="19" t="n">
        <v>0</v>
      </c>
      <c r="AL385" s="19" t="n">
        <v>0</v>
      </c>
      <c r="AM385" s="9" t="n">
        <v>0</v>
      </c>
      <c r="AN385" s="19" t="n">
        <v>0</v>
      </c>
      <c r="AO385" s="19" t="n">
        <v>0</v>
      </c>
      <c r="AP385" s="19" t="n">
        <v>0</v>
      </c>
      <c r="AQ385" s="19" t="n">
        <v>0</v>
      </c>
      <c r="AR385" s="19" t="n">
        <v>0</v>
      </c>
      <c r="AS385" s="19" t="n">
        <v>0</v>
      </c>
      <c r="AT385" s="10">
        <f>SUM(O385:AS385)</f>
        <v/>
      </c>
      <c r="AU385" s="20">
        <f>COUNTIF(O385:AS385, "&gt;0")</f>
        <v/>
      </c>
      <c r="AV385" s="12">
        <f>IF(AU385&gt;=5, 4, IF(AU385&gt;0, INT(AU385/6), 0))</f>
        <v/>
      </c>
      <c r="AW385" s="20" t="n">
        <v>0</v>
      </c>
      <c r="AX385" s="20" t="n">
        <v>0</v>
      </c>
      <c r="AY385" s="13">
        <f>MIN(31, AU385+AV385+AW385+AX385)</f>
        <v/>
      </c>
      <c r="AZ385" s="14">
        <f>31-AY385</f>
        <v/>
      </c>
      <c r="BA385" s="21">
        <f>IF(AX385&gt;0, "01-İstirahat", IF(AZ385&gt;0, "12-Birden Fazla", ""))</f>
        <v/>
      </c>
      <c r="BB385" s="10" t="n">
        <v>38</v>
      </c>
      <c r="BC385" s="23" t="n">
        <v>7.48</v>
      </c>
      <c r="BD385" s="9" t="n">
        <v>44</v>
      </c>
      <c r="BE385" s="22">
        <f>(L385/30)*AU385</f>
        <v/>
      </c>
      <c r="BF385" s="15">
        <f>(L385/225)*((BB385*1.5)-(BC385*1.0))</f>
        <v/>
      </c>
      <c r="BG385" s="16">
        <f>(L385/225)*1.5*BD385</f>
        <v/>
      </c>
      <c r="BH385" s="15">
        <f>BF385+BG385</f>
        <v/>
      </c>
      <c r="BI385" s="17">
        <f>BE385+BH385</f>
        <v/>
      </c>
      <c r="BJ385" s="22">
        <f>IFERROR(VLOOKUP(B385, Resmi_Bordro_SGK!B:M, 11, FALSE), 0)</f>
        <v/>
      </c>
      <c r="BK385" s="18">
        <f>IFERROR(VLOOKUP(B385, Icra_Takip!A:E, 4, FALSE), 0)</f>
        <v/>
      </c>
      <c r="BL385" s="17">
        <f>IF(BI385&gt;BJ385, BI385-BJ385-BK385, 0)</f>
        <v/>
      </c>
      <c r="BM385" s="17">
        <f>BI385-BK385</f>
        <v/>
      </c>
    </row>
    <row r="386" ht="19" customHeight="1">
      <c r="A386" s="4" t="n">
        <v>383</v>
      </c>
      <c r="B386" s="5" t="inlineStr">
        <is>
          <t>10705928394</t>
        </is>
      </c>
      <c r="C386" s="6" t="inlineStr">
        <is>
          <t>TAYFUN GÜNCÜ</t>
        </is>
      </c>
      <c r="D386" s="4" t="inlineStr">
        <is>
          <t>E</t>
        </is>
      </c>
      <c r="E386" s="4" t="inlineStr"/>
      <c r="F386" s="4" t="inlineStr">
        <is>
          <t>18.05.2026</t>
        </is>
      </c>
      <c r="G386" s="4" t="inlineStr"/>
      <c r="H386" s="4" t="inlineStr">
        <is>
          <t>NORMAL</t>
        </is>
      </c>
      <c r="I386" s="4" t="inlineStr">
        <is>
          <t>MEVSİMLİK</t>
        </is>
      </c>
      <c r="J386" s="6" t="inlineStr">
        <is>
          <t>BALIK TEMİZLEME</t>
        </is>
      </c>
      <c r="K386" s="6" t="inlineStr">
        <is>
          <t>KARACABEY-HALİL</t>
        </is>
      </c>
      <c r="L386" s="7" t="n">
        <v>33000</v>
      </c>
      <c r="M386" s="4" t="inlineStr">
        <is>
          <t>FİDE KONSERVE</t>
        </is>
      </c>
      <c r="N386" s="4" t="inlineStr">
        <is>
          <t>ALIR</t>
        </is>
      </c>
      <c r="O386" s="8" t="n">
        <v>8</v>
      </c>
      <c r="P386" s="8" t="n">
        <v>8.5</v>
      </c>
      <c r="Q386" s="8" t="n">
        <v>8</v>
      </c>
      <c r="R386" s="9" t="n">
        <v>0</v>
      </c>
      <c r="S386" s="8" t="n">
        <v>7.5</v>
      </c>
      <c r="T386" s="8" t="n">
        <v>8</v>
      </c>
      <c r="U386" s="8" t="n">
        <v>8</v>
      </c>
      <c r="V386" s="8" t="n">
        <v>8</v>
      </c>
      <c r="W386" s="8" t="n">
        <v>8</v>
      </c>
      <c r="X386" s="8" t="n">
        <v>8.5</v>
      </c>
      <c r="Y386" s="9" t="n">
        <v>0</v>
      </c>
      <c r="Z386" s="8" t="n">
        <v>7.5</v>
      </c>
      <c r="AA386" s="8" t="n">
        <v>7.5</v>
      </c>
      <c r="AB386" s="8" t="n">
        <v>8.5</v>
      </c>
      <c r="AC386" s="8" t="n">
        <v>0</v>
      </c>
      <c r="AD386" s="8" t="n">
        <v>7.5</v>
      </c>
      <c r="AE386" s="8" t="n">
        <v>8.5</v>
      </c>
      <c r="AF386" s="9" t="n">
        <v>0</v>
      </c>
      <c r="AG386" s="8" t="n">
        <v>8</v>
      </c>
      <c r="AH386" s="8" t="n">
        <v>7.5</v>
      </c>
      <c r="AI386" s="8" t="n">
        <v>7.5</v>
      </c>
      <c r="AJ386" s="8" t="n">
        <v>0</v>
      </c>
      <c r="AK386" s="8" t="n">
        <v>0</v>
      </c>
      <c r="AL386" s="8" t="n">
        <v>0</v>
      </c>
      <c r="AM386" s="9" t="n">
        <v>0</v>
      </c>
      <c r="AN386" s="8" t="n">
        <v>0</v>
      </c>
      <c r="AO386" s="8" t="n">
        <v>0</v>
      </c>
      <c r="AP386" s="8" t="n">
        <v>0</v>
      </c>
      <c r="AQ386" s="8" t="n">
        <v>0</v>
      </c>
      <c r="AR386" s="8" t="n">
        <v>0</v>
      </c>
      <c r="AS386" s="8" t="n">
        <v>0</v>
      </c>
      <c r="AT386" s="10">
        <f>SUM(O386:AS386)</f>
        <v/>
      </c>
      <c r="AU386" s="11">
        <f>COUNTIF(O386:AS386, "&gt;0")</f>
        <v/>
      </c>
      <c r="AV386" s="12">
        <f>IF(AU386&gt;=5, 4, IF(AU386&gt;0, INT(AU386/6), 0))</f>
        <v/>
      </c>
      <c r="AW386" s="11" t="n">
        <v>0</v>
      </c>
      <c r="AX386" s="11" t="n">
        <v>0</v>
      </c>
      <c r="AY386" s="13">
        <f>MIN(31, AU386+AV386+AW386+AX386)</f>
        <v/>
      </c>
      <c r="AZ386" s="14">
        <f>31-AY386</f>
        <v/>
      </c>
      <c r="BA386" s="5">
        <f>IF(AX386&gt;0, "01-İstirahat", IF(AZ386&gt;0, "12-Birden Fazla", ""))</f>
        <v/>
      </c>
      <c r="BB386" s="10" t="n">
        <v>7.5</v>
      </c>
      <c r="BC386" s="8" t="n">
        <v>0</v>
      </c>
      <c r="BD386" s="9" t="n">
        <v>0</v>
      </c>
      <c r="BE386" s="7">
        <f>(L386/30)*AU386</f>
        <v/>
      </c>
      <c r="BF386" s="15">
        <f>(L386/225)*((BB386*1.5)-(BC386*1.0))</f>
        <v/>
      </c>
      <c r="BG386" s="16">
        <f>(L386/225)*1.5*BD386</f>
        <v/>
      </c>
      <c r="BH386" s="15">
        <f>BF386+BG386</f>
        <v/>
      </c>
      <c r="BI386" s="17">
        <f>BE386+BH386</f>
        <v/>
      </c>
      <c r="BJ386" s="7">
        <f>IFERROR(VLOOKUP(B386, Resmi_Bordro_SGK!B:M, 11, FALSE), 0)</f>
        <v/>
      </c>
      <c r="BK386" s="18">
        <f>IFERROR(VLOOKUP(B386, Icra_Takip!A:E, 4, FALSE), 0)</f>
        <v/>
      </c>
      <c r="BL386" s="17">
        <f>IF(BI386&gt;BJ386, BI386-BJ386-BK386, 0)</f>
        <v/>
      </c>
      <c r="BM386" s="17">
        <f>BI386-BK386</f>
        <v/>
      </c>
    </row>
    <row r="387" ht="19" customHeight="1">
      <c r="A387" s="4" t="n">
        <v>384</v>
      </c>
      <c r="B387" s="5" t="inlineStr">
        <is>
          <t>13252843738</t>
        </is>
      </c>
      <c r="C387" s="6" t="inlineStr">
        <is>
          <t>TAYFUN TIĞRAK</t>
        </is>
      </c>
      <c r="D387" s="4" t="inlineStr">
        <is>
          <t>E</t>
        </is>
      </c>
      <c r="E387" s="4" t="inlineStr"/>
      <c r="F387" s="4" t="inlineStr">
        <is>
          <t>10.02.2026</t>
        </is>
      </c>
      <c r="G387" s="4" t="inlineStr"/>
      <c r="H387" s="4" t="inlineStr">
        <is>
          <t>SGDP</t>
        </is>
      </c>
      <c r="I387" s="4" t="inlineStr">
        <is>
          <t>DAİMİ</t>
        </is>
      </c>
      <c r="J387" s="6" t="inlineStr">
        <is>
          <t>FORMEN</t>
        </is>
      </c>
      <c r="K387" s="6" t="inlineStr">
        <is>
          <t>KARACABEY</t>
        </is>
      </c>
      <c r="L387" s="7" t="n">
        <v>55000</v>
      </c>
      <c r="M387" s="4" t="inlineStr">
        <is>
          <t>FİDE KONSERVE</t>
        </is>
      </c>
      <c r="N387" s="4" t="inlineStr">
        <is>
          <t>ALIR</t>
        </is>
      </c>
      <c r="O387" s="19" t="n">
        <v>9.5</v>
      </c>
      <c r="P387" s="19" t="n">
        <v>10.5</v>
      </c>
      <c r="Q387" s="19" t="n">
        <v>10.5</v>
      </c>
      <c r="R387" s="9" t="n">
        <v>0</v>
      </c>
      <c r="S387" s="19" t="n">
        <v>9.5</v>
      </c>
      <c r="T387" s="19" t="n">
        <v>10.5</v>
      </c>
      <c r="U387" s="19" t="n">
        <v>7.5</v>
      </c>
      <c r="V387" s="19" t="n">
        <v>10.5</v>
      </c>
      <c r="W387" s="19" t="n">
        <v>8.5</v>
      </c>
      <c r="X387" s="19" t="n">
        <v>15.5</v>
      </c>
      <c r="Y387" s="9" t="n">
        <v>0</v>
      </c>
      <c r="Z387" s="19" t="n">
        <v>9.5</v>
      </c>
      <c r="AA387" s="19" t="n">
        <v>9.5</v>
      </c>
      <c r="AB387" s="19" t="n">
        <v>7.5</v>
      </c>
      <c r="AC387" s="19" t="n">
        <v>7.5</v>
      </c>
      <c r="AD387" s="19" t="n">
        <v>10.5</v>
      </c>
      <c r="AE387" s="19" t="n">
        <v>10.5</v>
      </c>
      <c r="AF387" s="9" t="n">
        <v>0</v>
      </c>
      <c r="AG387" s="19" t="n">
        <v>9</v>
      </c>
      <c r="AH387" s="19" t="n">
        <v>9.5</v>
      </c>
      <c r="AI387" s="19" t="n">
        <v>7.5</v>
      </c>
      <c r="AJ387" s="19" t="n">
        <v>0</v>
      </c>
      <c r="AK387" s="19" t="n">
        <v>0</v>
      </c>
      <c r="AL387" s="19" t="n">
        <v>0</v>
      </c>
      <c r="AM387" s="9" t="n">
        <v>0</v>
      </c>
      <c r="AN387" s="19" t="n">
        <v>0</v>
      </c>
      <c r="AO387" s="19" t="n">
        <v>0</v>
      </c>
      <c r="AP387" s="19" t="n">
        <v>0</v>
      </c>
      <c r="AQ387" s="19" t="n">
        <v>0</v>
      </c>
      <c r="AR387" s="19" t="n">
        <v>0</v>
      </c>
      <c r="AS387" s="19" t="n">
        <v>0</v>
      </c>
      <c r="AT387" s="10">
        <f>SUM(O387:AS387)</f>
        <v/>
      </c>
      <c r="AU387" s="20">
        <f>COUNTIF(O387:AS387, "&gt;0")</f>
        <v/>
      </c>
      <c r="AV387" s="12">
        <f>IF(AU387&gt;=5, 4, IF(AU387&gt;0, INT(AU387/6), 0))</f>
        <v/>
      </c>
      <c r="AW387" s="20" t="n">
        <v>0</v>
      </c>
      <c r="AX387" s="20" t="n">
        <v>0</v>
      </c>
      <c r="AY387" s="13">
        <f>MIN(31, AU387+AV387+AW387+AX387)</f>
        <v/>
      </c>
      <c r="AZ387" s="14">
        <f>31-AY387</f>
        <v/>
      </c>
      <c r="BA387" s="21">
        <f>IF(AX387&gt;0, "01-İstirahat", IF(AZ387&gt;0, "12-Birden Fazla", ""))</f>
        <v/>
      </c>
      <c r="BB387" s="10" t="n">
        <v>42</v>
      </c>
      <c r="BC387" s="19" t="n">
        <v>0</v>
      </c>
      <c r="BD387" s="9" t="n">
        <v>0</v>
      </c>
      <c r="BE387" s="22">
        <f>(L387/30)*AU387</f>
        <v/>
      </c>
      <c r="BF387" s="15">
        <f>(L387/225)*((BB387*1.5)-(BC387*1.0))</f>
        <v/>
      </c>
      <c r="BG387" s="16">
        <f>(L387/225)*1.5*BD387</f>
        <v/>
      </c>
      <c r="BH387" s="15">
        <f>BF387+BG387</f>
        <v/>
      </c>
      <c r="BI387" s="17">
        <f>BE387+BH387</f>
        <v/>
      </c>
      <c r="BJ387" s="22">
        <f>IFERROR(VLOOKUP(B387, Resmi_Bordro_SGK!B:M, 11, FALSE), 0)</f>
        <v/>
      </c>
      <c r="BK387" s="18">
        <f>IFERROR(VLOOKUP(B387, Icra_Takip!A:E, 4, FALSE), 0)</f>
        <v/>
      </c>
      <c r="BL387" s="17">
        <f>IF(BI387&gt;BJ387, BI387-BJ387-BK387, 0)</f>
        <v/>
      </c>
      <c r="BM387" s="17">
        <f>BI387-BK387</f>
        <v/>
      </c>
    </row>
    <row r="388" ht="19" customHeight="1">
      <c r="A388" s="4" t="n">
        <v>385</v>
      </c>
      <c r="B388" s="5" t="inlineStr">
        <is>
          <t>47420007172</t>
        </is>
      </c>
      <c r="C388" s="6" t="inlineStr">
        <is>
          <t>TERANE İBİŞ</t>
        </is>
      </c>
      <c r="D388" s="4" t="inlineStr">
        <is>
          <t>K</t>
        </is>
      </c>
      <c r="E388" s="4" t="inlineStr"/>
      <c r="F388" s="4" t="inlineStr">
        <is>
          <t>07.07.2026</t>
        </is>
      </c>
      <c r="G388" s="4" t="inlineStr"/>
      <c r="H388" s="4" t="inlineStr">
        <is>
          <t>NORMAL</t>
        </is>
      </c>
      <c r="I388" s="4" t="inlineStr">
        <is>
          <t>MEVSİMLİK</t>
        </is>
      </c>
      <c r="J388" s="6" t="inlineStr">
        <is>
          <t>BALIK TEMİZLEME</t>
        </is>
      </c>
      <c r="K388" s="6" t="inlineStr">
        <is>
          <t>GÜVEN TURİZM KARACABEY</t>
        </is>
      </c>
      <c r="L388" s="7" t="n">
        <v>33000</v>
      </c>
      <c r="M388" s="4" t="inlineStr">
        <is>
          <t>FİDE KONSERVE</t>
        </is>
      </c>
      <c r="N388" s="4" t="inlineStr">
        <is>
          <t>ALIR</t>
        </is>
      </c>
      <c r="O388" s="8" t="n">
        <v>0</v>
      </c>
      <c r="P388" s="8" t="n">
        <v>0</v>
      </c>
      <c r="Q388" s="8" t="n">
        <v>0</v>
      </c>
      <c r="R388" s="9" t="n">
        <v>0</v>
      </c>
      <c r="S388" s="8" t="n">
        <v>0</v>
      </c>
      <c r="T388" s="8" t="n">
        <v>0</v>
      </c>
      <c r="U388" s="8" t="n">
        <v>0</v>
      </c>
      <c r="V388" s="8" t="n">
        <v>0</v>
      </c>
      <c r="W388" s="8" t="n">
        <v>0</v>
      </c>
      <c r="X388" s="8" t="n">
        <v>0</v>
      </c>
      <c r="Y388" s="9" t="n">
        <v>0</v>
      </c>
      <c r="Z388" s="8" t="n">
        <v>0</v>
      </c>
      <c r="AA388" s="8" t="n">
        <v>0</v>
      </c>
      <c r="AB388" s="8" t="n">
        <v>0</v>
      </c>
      <c r="AC388" s="8" t="n">
        <v>0</v>
      </c>
      <c r="AD388" s="8" t="n">
        <v>0</v>
      </c>
      <c r="AE388" s="8" t="n">
        <v>0</v>
      </c>
      <c r="AF388" s="9" t="n">
        <v>0</v>
      </c>
      <c r="AG388" s="8" t="n">
        <v>0</v>
      </c>
      <c r="AH388" s="8" t="n">
        <v>0</v>
      </c>
      <c r="AI388" s="8" t="n">
        <v>0</v>
      </c>
      <c r="AJ388" s="8" t="n">
        <v>0</v>
      </c>
      <c r="AK388" s="8" t="n">
        <v>0</v>
      </c>
      <c r="AL388" s="8" t="n">
        <v>0</v>
      </c>
      <c r="AM388" s="9" t="n">
        <v>0</v>
      </c>
      <c r="AN388" s="8" t="n">
        <v>0</v>
      </c>
      <c r="AO388" s="8" t="n">
        <v>0</v>
      </c>
      <c r="AP388" s="8" t="n">
        <v>0</v>
      </c>
      <c r="AQ388" s="8" t="n">
        <v>0</v>
      </c>
      <c r="AR388" s="8" t="n">
        <v>0</v>
      </c>
      <c r="AS388" s="8" t="n">
        <v>0</v>
      </c>
      <c r="AT388" s="10">
        <f>SUM(O388:AS388)</f>
        <v/>
      </c>
      <c r="AU388" s="11">
        <f>COUNTIF(O388:AS388, "&gt;0")</f>
        <v/>
      </c>
      <c r="AV388" s="12">
        <f>IF(AU388&gt;=5, 4, IF(AU388&gt;0, INT(AU388/6), 0))</f>
        <v/>
      </c>
      <c r="AW388" s="11" t="n">
        <v>0</v>
      </c>
      <c r="AX388" s="11" t="n">
        <v>0</v>
      </c>
      <c r="AY388" s="13">
        <f>MIN(31, AU388+AV388+AW388+AX388)</f>
        <v/>
      </c>
      <c r="AZ388" s="14">
        <f>31-AY388</f>
        <v/>
      </c>
      <c r="BA388" s="5">
        <f>IF(AX388&gt;0, "01-İstirahat", IF(AZ388&gt;0, "12-Birden Fazla", ""))</f>
        <v/>
      </c>
      <c r="BB388" s="10" t="n">
        <v>0</v>
      </c>
      <c r="BC388" s="8" t="n">
        <v>0</v>
      </c>
      <c r="BD388" s="9" t="n">
        <v>0</v>
      </c>
      <c r="BE388" s="7">
        <f>(L388/30)*AU388</f>
        <v/>
      </c>
      <c r="BF388" s="15">
        <f>(L388/225)*((BB388*1.5)-(BC388*1.0))</f>
        <v/>
      </c>
      <c r="BG388" s="16">
        <f>(L388/225)*1.5*BD388</f>
        <v/>
      </c>
      <c r="BH388" s="15">
        <f>BF388+BG388</f>
        <v/>
      </c>
      <c r="BI388" s="17">
        <f>BE388+BH388</f>
        <v/>
      </c>
      <c r="BJ388" s="7">
        <f>IFERROR(VLOOKUP(B388, Resmi_Bordro_SGK!B:M, 11, FALSE), 0)</f>
        <v/>
      </c>
      <c r="BK388" s="18">
        <f>IFERROR(VLOOKUP(B388, Icra_Takip!A:E, 4, FALSE), 0)</f>
        <v/>
      </c>
      <c r="BL388" s="17">
        <f>IF(BI388&gt;BJ388, BI388-BJ388-BK388, 0)</f>
        <v/>
      </c>
      <c r="BM388" s="17">
        <f>BI388-BK388</f>
        <v/>
      </c>
    </row>
    <row r="389" ht="19" customHeight="1">
      <c r="A389" s="4" t="n">
        <v>386</v>
      </c>
      <c r="B389" s="5" t="inlineStr">
        <is>
          <t>29467205162</t>
        </is>
      </c>
      <c r="C389" s="6" t="inlineStr">
        <is>
          <t>TUĞBA ÇÇAYLAK</t>
        </is>
      </c>
      <c r="D389" s="4" t="inlineStr">
        <is>
          <t>K</t>
        </is>
      </c>
      <c r="E389" s="4" t="inlineStr"/>
      <c r="F389" s="4" t="inlineStr">
        <is>
          <t>08.08.2026</t>
        </is>
      </c>
      <c r="G389" s="4" t="inlineStr"/>
      <c r="H389" s="4" t="inlineStr">
        <is>
          <t>NORMAL</t>
        </is>
      </c>
      <c r="I389" s="4" t="inlineStr">
        <is>
          <t>MEVSİMLİK</t>
        </is>
      </c>
      <c r="J389" s="6" t="inlineStr">
        <is>
          <t>BALIK TEMİZLEME</t>
        </is>
      </c>
      <c r="K389" s="6" t="inlineStr">
        <is>
          <t>BALIKESİR</t>
        </is>
      </c>
      <c r="L389" s="7" t="n">
        <v>33000</v>
      </c>
      <c r="M389" s="4" t="inlineStr">
        <is>
          <t>FİDE KONSERVE</t>
        </is>
      </c>
      <c r="N389" s="4" t="inlineStr">
        <is>
          <t>ALIR</t>
        </is>
      </c>
      <c r="O389" s="19" t="n">
        <v>0</v>
      </c>
      <c r="P389" s="19" t="n">
        <v>0</v>
      </c>
      <c r="Q389" s="19" t="n">
        <v>0</v>
      </c>
      <c r="R389" s="9" t="n">
        <v>0</v>
      </c>
      <c r="S389" s="19" t="n">
        <v>0</v>
      </c>
      <c r="T389" s="19" t="n">
        <v>0</v>
      </c>
      <c r="U389" s="19" t="n">
        <v>0</v>
      </c>
      <c r="V389" s="19" t="n">
        <v>0</v>
      </c>
      <c r="W389" s="19" t="n">
        <v>0</v>
      </c>
      <c r="X389" s="19" t="n">
        <v>0</v>
      </c>
      <c r="Y389" s="9" t="n">
        <v>0</v>
      </c>
      <c r="Z389" s="19" t="n">
        <v>0</v>
      </c>
      <c r="AA389" s="19" t="n">
        <v>0</v>
      </c>
      <c r="AB389" s="19" t="n">
        <v>0</v>
      </c>
      <c r="AC389" s="19" t="n">
        <v>0</v>
      </c>
      <c r="AD389" s="19" t="n">
        <v>0</v>
      </c>
      <c r="AE389" s="19" t="n">
        <v>0</v>
      </c>
      <c r="AF389" s="9" t="n">
        <v>0</v>
      </c>
      <c r="AG389" s="19" t="n">
        <v>0</v>
      </c>
      <c r="AH389" s="19" t="n">
        <v>0</v>
      </c>
      <c r="AI389" s="19" t="n">
        <v>0</v>
      </c>
      <c r="AJ389" s="19" t="n">
        <v>0</v>
      </c>
      <c r="AK389" s="19" t="n">
        <v>0</v>
      </c>
      <c r="AL389" s="19" t="n">
        <v>0</v>
      </c>
      <c r="AM389" s="9" t="n">
        <v>0</v>
      </c>
      <c r="AN389" s="19" t="n">
        <v>0</v>
      </c>
      <c r="AO389" s="19" t="n">
        <v>0</v>
      </c>
      <c r="AP389" s="19" t="n">
        <v>0</v>
      </c>
      <c r="AQ389" s="19" t="n">
        <v>0</v>
      </c>
      <c r="AR389" s="19" t="n">
        <v>0</v>
      </c>
      <c r="AS389" s="19" t="n">
        <v>0</v>
      </c>
      <c r="AT389" s="10">
        <f>SUM(O389:AS389)</f>
        <v/>
      </c>
      <c r="AU389" s="20">
        <f>COUNTIF(O389:AS389, "&gt;0")</f>
        <v/>
      </c>
      <c r="AV389" s="12">
        <f>IF(AU389&gt;=5, 4, IF(AU389&gt;0, INT(AU389/6), 0))</f>
        <v/>
      </c>
      <c r="AW389" s="20" t="n">
        <v>0</v>
      </c>
      <c r="AX389" s="20" t="n">
        <v>0</v>
      </c>
      <c r="AY389" s="13">
        <f>MIN(31, AU389+AV389+AW389+AX389)</f>
        <v/>
      </c>
      <c r="AZ389" s="14">
        <f>31-AY389</f>
        <v/>
      </c>
      <c r="BA389" s="21">
        <f>IF(AX389&gt;0, "01-İstirahat", IF(AZ389&gt;0, "12-Birden Fazla", ""))</f>
        <v/>
      </c>
      <c r="BB389" s="10" t="n">
        <v>0</v>
      </c>
      <c r="BC389" s="19" t="n">
        <v>0</v>
      </c>
      <c r="BD389" s="9" t="n">
        <v>0</v>
      </c>
      <c r="BE389" s="22">
        <f>(L389/30)*AU389</f>
        <v/>
      </c>
      <c r="BF389" s="15">
        <f>(L389/225)*((BB389*1.5)-(BC389*1.0))</f>
        <v/>
      </c>
      <c r="BG389" s="16">
        <f>(L389/225)*1.5*BD389</f>
        <v/>
      </c>
      <c r="BH389" s="15">
        <f>BF389+BG389</f>
        <v/>
      </c>
      <c r="BI389" s="17">
        <f>BE389+BH389</f>
        <v/>
      </c>
      <c r="BJ389" s="22">
        <f>IFERROR(VLOOKUP(B389, Resmi_Bordro_SGK!B:M, 11, FALSE), 0)</f>
        <v/>
      </c>
      <c r="BK389" s="18">
        <f>IFERROR(VLOOKUP(B389, Icra_Takip!A:E, 4, FALSE), 0)</f>
        <v/>
      </c>
      <c r="BL389" s="17">
        <f>IF(BI389&gt;BJ389, BI389-BJ389-BK389, 0)</f>
        <v/>
      </c>
      <c r="BM389" s="17">
        <f>BI389-BK389</f>
        <v/>
      </c>
    </row>
    <row r="390" ht="19" customHeight="1">
      <c r="A390" s="4" t="n">
        <v>387</v>
      </c>
      <c r="B390" s="5" t="inlineStr">
        <is>
          <t>30925156292</t>
        </is>
      </c>
      <c r="C390" s="6" t="inlineStr">
        <is>
          <t>TUNCAY METİN</t>
        </is>
      </c>
      <c r="D390" s="4" t="inlineStr">
        <is>
          <t>E</t>
        </is>
      </c>
      <c r="E390" s="4" t="inlineStr"/>
      <c r="F390" s="4" t="inlineStr">
        <is>
          <t>08.10.2025</t>
        </is>
      </c>
      <c r="G390" s="4" t="inlineStr"/>
      <c r="H390" s="4" t="inlineStr">
        <is>
          <t>NORMAL</t>
        </is>
      </c>
      <c r="I390" s="4" t="inlineStr">
        <is>
          <t>DAİMİ</t>
        </is>
      </c>
      <c r="J390" s="6" t="inlineStr">
        <is>
          <t>KAPI GÖREVLİSİ</t>
        </is>
      </c>
      <c r="K390" s="6" t="inlineStr">
        <is>
          <t>SUSURLUK</t>
        </is>
      </c>
      <c r="L390" s="7" t="n">
        <v>28075.5</v>
      </c>
      <c r="M390" s="4" t="inlineStr">
        <is>
          <t>FİDE KONSERVE</t>
        </is>
      </c>
      <c r="N390" s="4" t="inlineStr">
        <is>
          <t>ALIR</t>
        </is>
      </c>
      <c r="O390" s="8" t="n">
        <v>0</v>
      </c>
      <c r="P390" s="23" t="n">
        <v>7.5</v>
      </c>
      <c r="Q390" s="8" t="n">
        <v>7.5</v>
      </c>
      <c r="R390" s="9" t="n">
        <v>7.5</v>
      </c>
      <c r="S390" s="8" t="n">
        <v>7.5</v>
      </c>
      <c r="T390" s="8" t="n">
        <v>7.5</v>
      </c>
      <c r="U390" s="8" t="n">
        <v>7.5</v>
      </c>
      <c r="V390" s="23" t="n">
        <v>7.5</v>
      </c>
      <c r="W390" s="23" t="n">
        <v>14.37</v>
      </c>
      <c r="X390" s="8" t="n">
        <v>0</v>
      </c>
      <c r="Y390" s="9" t="n">
        <v>7.5</v>
      </c>
      <c r="Z390" s="8" t="n">
        <v>7.5</v>
      </c>
      <c r="AA390" s="8" t="n">
        <v>7.5</v>
      </c>
      <c r="AB390" s="8" t="n">
        <v>7.5</v>
      </c>
      <c r="AC390" s="8" t="n">
        <v>7.5</v>
      </c>
      <c r="AD390" s="8" t="n">
        <v>7</v>
      </c>
      <c r="AE390" s="23" t="n">
        <v>7.5</v>
      </c>
      <c r="AF390" s="9" t="n">
        <v>7.5</v>
      </c>
      <c r="AG390" s="8" t="n">
        <v>7.5</v>
      </c>
      <c r="AH390" s="8" t="n">
        <v>0</v>
      </c>
      <c r="AI390" s="8" t="n">
        <v>0</v>
      </c>
      <c r="AJ390" s="8" t="n">
        <v>0</v>
      </c>
      <c r="AK390" s="8" t="n">
        <v>0</v>
      </c>
      <c r="AL390" s="8" t="n">
        <v>0</v>
      </c>
      <c r="AM390" s="9" t="n">
        <v>0</v>
      </c>
      <c r="AN390" s="8" t="n">
        <v>0</v>
      </c>
      <c r="AO390" s="8" t="n">
        <v>0</v>
      </c>
      <c r="AP390" s="8" t="n">
        <v>0</v>
      </c>
      <c r="AQ390" s="8" t="n">
        <v>0</v>
      </c>
      <c r="AR390" s="8" t="n">
        <v>0</v>
      </c>
      <c r="AS390" s="8" t="n">
        <v>0</v>
      </c>
      <c r="AT390" s="10">
        <f>SUM(O390:AS390)</f>
        <v/>
      </c>
      <c r="AU390" s="11">
        <f>COUNTIF(O390:AS390, "&gt;0")</f>
        <v/>
      </c>
      <c r="AV390" s="12">
        <f>IF(AU390&gt;=5, 4, IF(AU390&gt;0, INT(AU390/6), 0))</f>
        <v/>
      </c>
      <c r="AW390" s="11" t="n">
        <v>0</v>
      </c>
      <c r="AX390" s="11" t="n">
        <v>0</v>
      </c>
      <c r="AY390" s="13">
        <f>MIN(31, AU390+AV390+AW390+AX390)</f>
        <v/>
      </c>
      <c r="AZ390" s="14">
        <f>31-AY390</f>
        <v/>
      </c>
      <c r="BA390" s="5">
        <f>IF(AX390&gt;0, "01-İstirahat", IF(AZ390&gt;0, "12-Birden Fazla", ""))</f>
        <v/>
      </c>
      <c r="BB390" s="10" t="n">
        <v>6.87</v>
      </c>
      <c r="BC390" s="23" t="n">
        <v>0.5</v>
      </c>
      <c r="BD390" s="9" t="n">
        <v>22.5</v>
      </c>
      <c r="BE390" s="7">
        <f>(L390/30)*AU390</f>
        <v/>
      </c>
      <c r="BF390" s="15">
        <f>(L390/225)*((BB390*1.5)-(BC390*1.0))</f>
        <v/>
      </c>
      <c r="BG390" s="16">
        <f>(L390/225)*1.5*BD390</f>
        <v/>
      </c>
      <c r="BH390" s="15">
        <f>BF390+BG390</f>
        <v/>
      </c>
      <c r="BI390" s="17">
        <f>BE390+BH390</f>
        <v/>
      </c>
      <c r="BJ390" s="7">
        <f>IFERROR(VLOOKUP(B390, Resmi_Bordro_SGK!B:M, 11, FALSE), 0)</f>
        <v/>
      </c>
      <c r="BK390" s="18">
        <f>IFERROR(VLOOKUP(B390, Icra_Takip!A:E, 4, FALSE), 0)</f>
        <v/>
      </c>
      <c r="BL390" s="17">
        <f>IF(BI390&gt;BJ390, BI390-BJ390-BK390, 0)</f>
        <v/>
      </c>
      <c r="BM390" s="17">
        <f>BI390-BK390</f>
        <v/>
      </c>
    </row>
    <row r="391" ht="19" customHeight="1">
      <c r="A391" s="4" t="n">
        <v>388</v>
      </c>
      <c r="B391" s="5" t="inlineStr">
        <is>
          <t>15773831454</t>
        </is>
      </c>
      <c r="C391" s="6" t="inlineStr">
        <is>
          <t>TÜRKAN TURAN</t>
        </is>
      </c>
      <c r="D391" s="4" t="inlineStr">
        <is>
          <t>K</t>
        </is>
      </c>
      <c r="E391" s="4" t="inlineStr"/>
      <c r="F391" s="4" t="inlineStr">
        <is>
          <t>20.05.2026</t>
        </is>
      </c>
      <c r="G391" s="4" t="inlineStr"/>
      <c r="H391" s="4" t="inlineStr">
        <is>
          <t>NORMAL</t>
        </is>
      </c>
      <c r="I391" s="4" t="inlineStr">
        <is>
          <t>MEVSİMLİK</t>
        </is>
      </c>
      <c r="J391" s="6" t="inlineStr">
        <is>
          <t>BALIK TEMİZLEME</t>
        </is>
      </c>
      <c r="K391" s="6" t="inlineStr">
        <is>
          <t>GÜVEN TURİZM KARACABEY</t>
        </is>
      </c>
      <c r="L391" s="7" t="n">
        <v>33000</v>
      </c>
      <c r="M391" s="4" t="inlineStr">
        <is>
          <t>FİDE KONSERVE</t>
        </is>
      </c>
      <c r="N391" s="4" t="inlineStr">
        <is>
          <t>ALIR</t>
        </is>
      </c>
      <c r="O391" s="19" t="n">
        <v>0</v>
      </c>
      <c r="P391" s="19" t="n">
        <v>0</v>
      </c>
      <c r="Q391" s="19" t="n">
        <v>0</v>
      </c>
      <c r="R391" s="9" t="n">
        <v>0</v>
      </c>
      <c r="S391" s="19" t="n">
        <v>0</v>
      </c>
      <c r="T391" s="19" t="n">
        <v>0</v>
      </c>
      <c r="U391" s="19" t="n">
        <v>0</v>
      </c>
      <c r="V391" s="19" t="n">
        <v>0</v>
      </c>
      <c r="W391" s="19" t="n">
        <v>0</v>
      </c>
      <c r="X391" s="19" t="n">
        <v>0</v>
      </c>
      <c r="Y391" s="9" t="n">
        <v>0</v>
      </c>
      <c r="Z391" s="19" t="n">
        <v>0</v>
      </c>
      <c r="AA391" s="19" t="n">
        <v>0</v>
      </c>
      <c r="AB391" s="19" t="n">
        <v>0</v>
      </c>
      <c r="AC391" s="19" t="n">
        <v>0</v>
      </c>
      <c r="AD391" s="19" t="n">
        <v>0</v>
      </c>
      <c r="AE391" s="19" t="n">
        <v>0</v>
      </c>
      <c r="AF391" s="9" t="n">
        <v>0</v>
      </c>
      <c r="AG391" s="19" t="n">
        <v>0</v>
      </c>
      <c r="AH391" s="19" t="n">
        <v>0</v>
      </c>
      <c r="AI391" s="19" t="n">
        <v>0</v>
      </c>
      <c r="AJ391" s="19" t="n">
        <v>0</v>
      </c>
      <c r="AK391" s="19" t="n">
        <v>0</v>
      </c>
      <c r="AL391" s="19" t="n">
        <v>0</v>
      </c>
      <c r="AM391" s="9" t="n">
        <v>0</v>
      </c>
      <c r="AN391" s="19" t="n">
        <v>0</v>
      </c>
      <c r="AO391" s="19" t="n">
        <v>0</v>
      </c>
      <c r="AP391" s="19" t="n">
        <v>0</v>
      </c>
      <c r="AQ391" s="19" t="n">
        <v>0</v>
      </c>
      <c r="AR391" s="19" t="n">
        <v>0</v>
      </c>
      <c r="AS391" s="19" t="n">
        <v>0</v>
      </c>
      <c r="AT391" s="10">
        <f>SUM(O391:AS391)</f>
        <v/>
      </c>
      <c r="AU391" s="20">
        <f>COUNTIF(O391:AS391, "&gt;0")</f>
        <v/>
      </c>
      <c r="AV391" s="12">
        <f>IF(AU391&gt;=5, 4, IF(AU391&gt;0, INT(AU391/6), 0))</f>
        <v/>
      </c>
      <c r="AW391" s="20" t="n">
        <v>0</v>
      </c>
      <c r="AX391" s="20" t="n">
        <v>0</v>
      </c>
      <c r="AY391" s="13">
        <f>MIN(31, AU391+AV391+AW391+AX391)</f>
        <v/>
      </c>
      <c r="AZ391" s="14">
        <f>31-AY391</f>
        <v/>
      </c>
      <c r="BA391" s="21">
        <f>IF(AX391&gt;0, "01-İstirahat", IF(AZ391&gt;0, "12-Birden Fazla", ""))</f>
        <v/>
      </c>
      <c r="BB391" s="10" t="n">
        <v>0</v>
      </c>
      <c r="BC391" s="19" t="n">
        <v>0</v>
      </c>
      <c r="BD391" s="9" t="n">
        <v>0</v>
      </c>
      <c r="BE391" s="22">
        <f>(L391/30)*AU391</f>
        <v/>
      </c>
      <c r="BF391" s="15">
        <f>(L391/225)*((BB391*1.5)-(BC391*1.0))</f>
        <v/>
      </c>
      <c r="BG391" s="16">
        <f>(L391/225)*1.5*BD391</f>
        <v/>
      </c>
      <c r="BH391" s="15">
        <f>BF391+BG391</f>
        <v/>
      </c>
      <c r="BI391" s="17">
        <f>BE391+BH391</f>
        <v/>
      </c>
      <c r="BJ391" s="22">
        <f>IFERROR(VLOOKUP(B391, Resmi_Bordro_SGK!B:M, 11, FALSE), 0)</f>
        <v/>
      </c>
      <c r="BK391" s="18">
        <f>IFERROR(VLOOKUP(B391, Icra_Takip!A:E, 4, FALSE), 0)</f>
        <v/>
      </c>
      <c r="BL391" s="17">
        <f>IF(BI391&gt;BJ391, BI391-BJ391-BK391, 0)</f>
        <v/>
      </c>
      <c r="BM391" s="17">
        <f>BI391-BK391</f>
        <v/>
      </c>
    </row>
    <row r="392" ht="19" customHeight="1">
      <c r="A392" s="4" t="n">
        <v>389</v>
      </c>
      <c r="B392" s="5" t="inlineStr">
        <is>
          <t>10198947728</t>
        </is>
      </c>
      <c r="C392" s="6" t="inlineStr">
        <is>
          <t>ÜMİT BATIN TÜRKAN</t>
        </is>
      </c>
      <c r="D392" s="4" t="inlineStr">
        <is>
          <t>K</t>
        </is>
      </c>
      <c r="E392" s="4" t="inlineStr"/>
      <c r="F392" s="4" t="inlineStr">
        <is>
          <t>30.07.2026</t>
        </is>
      </c>
      <c r="G392" s="4" t="inlineStr"/>
      <c r="H392" s="4" t="inlineStr">
        <is>
          <t>NORMAL</t>
        </is>
      </c>
      <c r="I392" s="4" t="inlineStr">
        <is>
          <t>MEVSİMLİK</t>
        </is>
      </c>
      <c r="J392" s="6" t="inlineStr">
        <is>
          <t>BAKIM</t>
        </is>
      </c>
      <c r="K392" s="6" t="inlineStr">
        <is>
          <t>KARACABEY</t>
        </is>
      </c>
      <c r="L392" s="7" t="n">
        <v>28075.5</v>
      </c>
      <c r="M392" s="4" t="inlineStr">
        <is>
          <t>FİDE KONSERVE</t>
        </is>
      </c>
      <c r="N392" s="4" t="inlineStr">
        <is>
          <t>ALIR</t>
        </is>
      </c>
      <c r="O392" s="8" t="n">
        <v>0</v>
      </c>
      <c r="P392" s="8" t="n">
        <v>0</v>
      </c>
      <c r="Q392" s="8" t="n">
        <v>0</v>
      </c>
      <c r="R392" s="9" t="n">
        <v>0</v>
      </c>
      <c r="S392" s="8" t="n">
        <v>0</v>
      </c>
      <c r="T392" s="8" t="n">
        <v>0</v>
      </c>
      <c r="U392" s="8" t="n">
        <v>0</v>
      </c>
      <c r="V392" s="8" t="n">
        <v>0</v>
      </c>
      <c r="W392" s="8" t="n">
        <v>0</v>
      </c>
      <c r="X392" s="8" t="n">
        <v>0</v>
      </c>
      <c r="Y392" s="9" t="n">
        <v>0</v>
      </c>
      <c r="Z392" s="8" t="n">
        <v>0</v>
      </c>
      <c r="AA392" s="8" t="n">
        <v>0</v>
      </c>
      <c r="AB392" s="8" t="n">
        <v>0</v>
      </c>
      <c r="AC392" s="8" t="n">
        <v>0</v>
      </c>
      <c r="AD392" s="8" t="n">
        <v>0</v>
      </c>
      <c r="AE392" s="8" t="n">
        <v>0</v>
      </c>
      <c r="AF392" s="9" t="n">
        <v>0</v>
      </c>
      <c r="AG392" s="8" t="n">
        <v>0</v>
      </c>
      <c r="AH392" s="8" t="n">
        <v>0</v>
      </c>
      <c r="AI392" s="8" t="n">
        <v>0</v>
      </c>
      <c r="AJ392" s="8" t="n">
        <v>0</v>
      </c>
      <c r="AK392" s="8" t="n">
        <v>0</v>
      </c>
      <c r="AL392" s="8" t="n">
        <v>0</v>
      </c>
      <c r="AM392" s="9" t="n">
        <v>0</v>
      </c>
      <c r="AN392" s="8" t="n">
        <v>0</v>
      </c>
      <c r="AO392" s="8" t="n">
        <v>0</v>
      </c>
      <c r="AP392" s="8" t="n">
        <v>0</v>
      </c>
      <c r="AQ392" s="8" t="n">
        <v>0</v>
      </c>
      <c r="AR392" s="8" t="n">
        <v>0</v>
      </c>
      <c r="AS392" s="8" t="n">
        <v>0</v>
      </c>
      <c r="AT392" s="10">
        <f>SUM(O392:AS392)</f>
        <v/>
      </c>
      <c r="AU392" s="11">
        <f>COUNTIF(O392:AS392, "&gt;0")</f>
        <v/>
      </c>
      <c r="AV392" s="12">
        <f>IF(AU392&gt;=5, 4, IF(AU392&gt;0, INT(AU392/6), 0))</f>
        <v/>
      </c>
      <c r="AW392" s="11" t="n">
        <v>0</v>
      </c>
      <c r="AX392" s="11" t="n">
        <v>0</v>
      </c>
      <c r="AY392" s="13">
        <f>MIN(31, AU392+AV392+AW392+AX392)</f>
        <v/>
      </c>
      <c r="AZ392" s="14">
        <f>31-AY392</f>
        <v/>
      </c>
      <c r="BA392" s="5">
        <f>IF(AX392&gt;0, "01-İstirahat", IF(AZ392&gt;0, "12-Birden Fazla", ""))</f>
        <v/>
      </c>
      <c r="BB392" s="10" t="n">
        <v>0</v>
      </c>
      <c r="BC392" s="8" t="n">
        <v>0</v>
      </c>
      <c r="BD392" s="9" t="n">
        <v>0</v>
      </c>
      <c r="BE392" s="7">
        <f>(L392/30)*AU392</f>
        <v/>
      </c>
      <c r="BF392" s="15">
        <f>(L392/225)*((BB392*1.5)-(BC392*1.0))</f>
        <v/>
      </c>
      <c r="BG392" s="16">
        <f>(L392/225)*1.5*BD392</f>
        <v/>
      </c>
      <c r="BH392" s="15">
        <f>BF392+BG392</f>
        <v/>
      </c>
      <c r="BI392" s="17">
        <f>BE392+BH392</f>
        <v/>
      </c>
      <c r="BJ392" s="7">
        <f>IFERROR(VLOOKUP(B392, Resmi_Bordro_SGK!B:M, 11, FALSE), 0)</f>
        <v/>
      </c>
      <c r="BK392" s="18">
        <f>IFERROR(VLOOKUP(B392, Icra_Takip!A:E, 4, FALSE), 0)</f>
        <v/>
      </c>
      <c r="BL392" s="17">
        <f>IF(BI392&gt;BJ392, BI392-BJ392-BK392, 0)</f>
        <v/>
      </c>
      <c r="BM392" s="17">
        <f>BI392-BK392</f>
        <v/>
      </c>
    </row>
    <row r="393" ht="19" customHeight="1">
      <c r="A393" s="4" t="n">
        <v>390</v>
      </c>
      <c r="B393" s="5" t="inlineStr">
        <is>
          <t>12268777280</t>
        </is>
      </c>
      <c r="C393" s="6" t="inlineStr">
        <is>
          <t>ÜMMÜ AYDOĞAN</t>
        </is>
      </c>
      <c r="D393" s="4" t="inlineStr">
        <is>
          <t>K</t>
        </is>
      </c>
      <c r="E393" s="4" t="inlineStr"/>
      <c r="F393" s="4" t="inlineStr">
        <is>
          <t>08.05.2023</t>
        </is>
      </c>
      <c r="G393" s="4" t="inlineStr"/>
      <c r="H393" s="4" t="inlineStr">
        <is>
          <t>NORMAL</t>
        </is>
      </c>
      <c r="I393" s="4" t="inlineStr">
        <is>
          <t>MEVSİMLİK</t>
        </is>
      </c>
      <c r="J393" s="6" t="inlineStr">
        <is>
          <t>ÜRETİM</t>
        </is>
      </c>
      <c r="K393" s="6" t="inlineStr">
        <is>
          <t>SUSURLUK TUR-REŞAT</t>
        </is>
      </c>
      <c r="L393" s="7" t="n">
        <v>28075.5</v>
      </c>
      <c r="M393" s="4" t="inlineStr">
        <is>
          <t>FİDE KONSERVE</t>
        </is>
      </c>
      <c r="N393" s="4" t="inlineStr">
        <is>
          <t>ALIR</t>
        </is>
      </c>
      <c r="O393" s="19" t="n">
        <v>7.5</v>
      </c>
      <c r="P393" s="19" t="n">
        <v>7.5</v>
      </c>
      <c r="Q393" s="19" t="n">
        <v>7.5</v>
      </c>
      <c r="R393" s="9" t="n">
        <v>0</v>
      </c>
      <c r="S393" s="19" t="n">
        <v>7.5</v>
      </c>
      <c r="T393" s="19" t="n">
        <v>7.5</v>
      </c>
      <c r="U393" s="19" t="n">
        <v>0</v>
      </c>
      <c r="V393" s="19" t="n">
        <v>7.5</v>
      </c>
      <c r="W393" s="19" t="n">
        <v>7.5</v>
      </c>
      <c r="X393" s="19" t="n">
        <v>7.5</v>
      </c>
      <c r="Y393" s="9" t="n">
        <v>7.5</v>
      </c>
      <c r="Z393" s="19" t="n">
        <v>7.5</v>
      </c>
      <c r="AA393" s="19" t="n">
        <v>7.5</v>
      </c>
      <c r="AB393" s="19" t="n">
        <v>9.5</v>
      </c>
      <c r="AC393" s="19" t="n">
        <v>9.5</v>
      </c>
      <c r="AD393" s="19" t="n">
        <v>7.5</v>
      </c>
      <c r="AE393" s="19" t="n">
        <v>12</v>
      </c>
      <c r="AF393" s="9" t="n">
        <v>0</v>
      </c>
      <c r="AG393" s="19" t="n">
        <v>7.5</v>
      </c>
      <c r="AH393" s="19" t="n">
        <v>7.5</v>
      </c>
      <c r="AI393" s="19" t="n">
        <v>8.5</v>
      </c>
      <c r="AJ393" s="19" t="n">
        <v>0</v>
      </c>
      <c r="AK393" s="19" t="n">
        <v>0</v>
      </c>
      <c r="AL393" s="19" t="n">
        <v>0</v>
      </c>
      <c r="AM393" s="9" t="n">
        <v>0</v>
      </c>
      <c r="AN393" s="19" t="n">
        <v>0</v>
      </c>
      <c r="AO393" s="19" t="n">
        <v>0</v>
      </c>
      <c r="AP393" s="19" t="n">
        <v>0</v>
      </c>
      <c r="AQ393" s="19" t="n">
        <v>0</v>
      </c>
      <c r="AR393" s="19" t="n">
        <v>0</v>
      </c>
      <c r="AS393" s="19" t="n">
        <v>0</v>
      </c>
      <c r="AT393" s="10">
        <f>SUM(O393:AS393)</f>
        <v/>
      </c>
      <c r="AU393" s="20">
        <f>COUNTIF(O393:AS393, "&gt;0")</f>
        <v/>
      </c>
      <c r="AV393" s="12">
        <f>IF(AU393&gt;=5, 4, IF(AU393&gt;0, INT(AU393/6), 0))</f>
        <v/>
      </c>
      <c r="AW393" s="20" t="n">
        <v>0</v>
      </c>
      <c r="AX393" s="20" t="n">
        <v>0</v>
      </c>
      <c r="AY393" s="13">
        <f>MIN(31, AU393+AV393+AW393+AX393)</f>
        <v/>
      </c>
      <c r="AZ393" s="14">
        <f>31-AY393</f>
        <v/>
      </c>
      <c r="BA393" s="21">
        <f>IF(AX393&gt;0, "01-İstirahat", IF(AZ393&gt;0, "12-Birden Fazla", ""))</f>
        <v/>
      </c>
      <c r="BB393" s="10" t="n">
        <v>9.5</v>
      </c>
      <c r="BC393" s="19" t="n">
        <v>0</v>
      </c>
      <c r="BD393" s="9" t="n">
        <v>7.5</v>
      </c>
      <c r="BE393" s="22">
        <f>(L393/30)*AU393</f>
        <v/>
      </c>
      <c r="BF393" s="15">
        <f>(L393/225)*((BB393*1.5)-(BC393*1.0))</f>
        <v/>
      </c>
      <c r="BG393" s="16">
        <f>(L393/225)*1.5*BD393</f>
        <v/>
      </c>
      <c r="BH393" s="15">
        <f>BF393+BG393</f>
        <v/>
      </c>
      <c r="BI393" s="17">
        <f>BE393+BH393</f>
        <v/>
      </c>
      <c r="BJ393" s="22">
        <f>IFERROR(VLOOKUP(B393, Resmi_Bordro_SGK!B:M, 11, FALSE), 0)</f>
        <v/>
      </c>
      <c r="BK393" s="18">
        <f>IFERROR(VLOOKUP(B393, Icra_Takip!A:E, 4, FALSE), 0)</f>
        <v/>
      </c>
      <c r="BL393" s="17">
        <f>IF(BI393&gt;BJ393, BI393-BJ393-BK393, 0)</f>
        <v/>
      </c>
      <c r="BM393" s="17">
        <f>BI393-BK393</f>
        <v/>
      </c>
    </row>
    <row r="394" ht="19" customHeight="1">
      <c r="A394" s="4" t="n">
        <v>391</v>
      </c>
      <c r="B394" s="5" t="inlineStr">
        <is>
          <t>57541044000</t>
        </is>
      </c>
      <c r="C394" s="6" t="inlineStr">
        <is>
          <t>ÜMMÜGÜLSÜM BAĞ</t>
        </is>
      </c>
      <c r="D394" s="4" t="inlineStr">
        <is>
          <t>K</t>
        </is>
      </c>
      <c r="E394" s="4" t="inlineStr"/>
      <c r="F394" s="4" t="inlineStr">
        <is>
          <t>08.07.2026</t>
        </is>
      </c>
      <c r="G394" s="4" t="inlineStr"/>
      <c r="H394" s="4" t="inlineStr">
        <is>
          <t>NORMAL</t>
        </is>
      </c>
      <c r="I394" s="4" t="inlineStr">
        <is>
          <t>MEVSİMLİK</t>
        </is>
      </c>
      <c r="J394" s="6" t="inlineStr">
        <is>
          <t>BALIK TEMİZLEME</t>
        </is>
      </c>
      <c r="K394" s="6" t="inlineStr">
        <is>
          <t>KARACABEY</t>
        </is>
      </c>
      <c r="L394" s="7" t="n">
        <v>33000</v>
      </c>
      <c r="M394" s="4" t="inlineStr">
        <is>
          <t>FİDE KONSERVE</t>
        </is>
      </c>
      <c r="N394" s="4" t="inlineStr">
        <is>
          <t>ALIR</t>
        </is>
      </c>
      <c r="O394" s="8" t="n">
        <v>0</v>
      </c>
      <c r="P394" s="8" t="n">
        <v>0</v>
      </c>
      <c r="Q394" s="8" t="n">
        <v>0</v>
      </c>
      <c r="R394" s="9" t="n">
        <v>0</v>
      </c>
      <c r="S394" s="8" t="n">
        <v>0</v>
      </c>
      <c r="T394" s="8" t="n">
        <v>0</v>
      </c>
      <c r="U394" s="8" t="n">
        <v>0</v>
      </c>
      <c r="V394" s="8" t="n">
        <v>0</v>
      </c>
      <c r="W394" s="8" t="n">
        <v>0</v>
      </c>
      <c r="X394" s="8" t="n">
        <v>0</v>
      </c>
      <c r="Y394" s="9" t="n">
        <v>0</v>
      </c>
      <c r="Z394" s="8" t="n">
        <v>0</v>
      </c>
      <c r="AA394" s="8" t="n">
        <v>0</v>
      </c>
      <c r="AB394" s="8" t="n">
        <v>0</v>
      </c>
      <c r="AC394" s="8" t="n">
        <v>0</v>
      </c>
      <c r="AD394" s="8" t="n">
        <v>0</v>
      </c>
      <c r="AE394" s="8" t="n">
        <v>0</v>
      </c>
      <c r="AF394" s="9" t="n">
        <v>0</v>
      </c>
      <c r="AG394" s="8" t="n">
        <v>0</v>
      </c>
      <c r="AH394" s="8" t="n">
        <v>0</v>
      </c>
      <c r="AI394" s="8" t="n">
        <v>0</v>
      </c>
      <c r="AJ394" s="8" t="n">
        <v>0</v>
      </c>
      <c r="AK394" s="8" t="n">
        <v>0</v>
      </c>
      <c r="AL394" s="8" t="n">
        <v>0</v>
      </c>
      <c r="AM394" s="9" t="n">
        <v>0</v>
      </c>
      <c r="AN394" s="8" t="n">
        <v>0</v>
      </c>
      <c r="AO394" s="8" t="n">
        <v>0</v>
      </c>
      <c r="AP394" s="8" t="n">
        <v>0</v>
      </c>
      <c r="AQ394" s="8" t="n">
        <v>0</v>
      </c>
      <c r="AR394" s="8" t="n">
        <v>0</v>
      </c>
      <c r="AS394" s="8" t="n">
        <v>0</v>
      </c>
      <c r="AT394" s="10">
        <f>SUM(O394:AS394)</f>
        <v/>
      </c>
      <c r="AU394" s="11">
        <f>COUNTIF(O394:AS394, "&gt;0")</f>
        <v/>
      </c>
      <c r="AV394" s="12">
        <f>IF(AU394&gt;=5, 4, IF(AU394&gt;0, INT(AU394/6), 0))</f>
        <v/>
      </c>
      <c r="AW394" s="11" t="n">
        <v>0</v>
      </c>
      <c r="AX394" s="11" t="n">
        <v>0</v>
      </c>
      <c r="AY394" s="13">
        <f>MIN(31, AU394+AV394+AW394+AX394)</f>
        <v/>
      </c>
      <c r="AZ394" s="14">
        <f>31-AY394</f>
        <v/>
      </c>
      <c r="BA394" s="5">
        <f>IF(AX394&gt;0, "01-İstirahat", IF(AZ394&gt;0, "12-Birden Fazla", ""))</f>
        <v/>
      </c>
      <c r="BB394" s="10" t="n">
        <v>0</v>
      </c>
      <c r="BC394" s="8" t="n">
        <v>0</v>
      </c>
      <c r="BD394" s="9" t="n">
        <v>0</v>
      </c>
      <c r="BE394" s="7">
        <f>(L394/30)*AU394</f>
        <v/>
      </c>
      <c r="BF394" s="15">
        <f>(L394/225)*((BB394*1.5)-(BC394*1.0))</f>
        <v/>
      </c>
      <c r="BG394" s="16">
        <f>(L394/225)*1.5*BD394</f>
        <v/>
      </c>
      <c r="BH394" s="15">
        <f>BF394+BG394</f>
        <v/>
      </c>
      <c r="BI394" s="17">
        <f>BE394+BH394</f>
        <v/>
      </c>
      <c r="BJ394" s="7">
        <f>IFERROR(VLOOKUP(B394, Resmi_Bordro_SGK!B:M, 11, FALSE), 0)</f>
        <v/>
      </c>
      <c r="BK394" s="18">
        <f>IFERROR(VLOOKUP(B394, Icra_Takip!A:E, 4, FALSE), 0)</f>
        <v/>
      </c>
      <c r="BL394" s="17">
        <f>IF(BI394&gt;BJ394, BI394-BJ394-BK394, 0)</f>
        <v/>
      </c>
      <c r="BM394" s="17">
        <f>BI394-BK394</f>
        <v/>
      </c>
    </row>
    <row r="395" ht="19" customHeight="1">
      <c r="A395" s="4" t="n">
        <v>392</v>
      </c>
      <c r="B395" s="5" t="inlineStr">
        <is>
          <t>19744627190</t>
        </is>
      </c>
      <c r="C395" s="6" t="inlineStr">
        <is>
          <t>ÜÜNAL ÖZER</t>
        </is>
      </c>
      <c r="D395" s="4" t="inlineStr">
        <is>
          <t>K</t>
        </is>
      </c>
      <c r="E395" s="4" t="inlineStr"/>
      <c r="F395" s="4" t="inlineStr">
        <is>
          <t>08.07.2026</t>
        </is>
      </c>
      <c r="G395" s="4" t="inlineStr"/>
      <c r="H395" s="4" t="inlineStr">
        <is>
          <t>NORMAL</t>
        </is>
      </c>
      <c r="I395" s="4" t="inlineStr">
        <is>
          <t>MEVSİMLİK</t>
        </is>
      </c>
      <c r="J395" s="6" t="inlineStr">
        <is>
          <t>ÜRETİM</t>
        </is>
      </c>
      <c r="K395" s="6" t="inlineStr">
        <is>
          <t>KARACABEY-HALİL</t>
        </is>
      </c>
      <c r="L395" s="7" t="n">
        <v>28075.5</v>
      </c>
      <c r="M395" s="4" t="inlineStr">
        <is>
          <t>FİDE KONSERVE</t>
        </is>
      </c>
      <c r="N395" s="4" t="inlineStr">
        <is>
          <t>ALIR</t>
        </is>
      </c>
      <c r="O395" s="19" t="n">
        <v>0</v>
      </c>
      <c r="P395" s="19" t="n">
        <v>0</v>
      </c>
      <c r="Q395" s="19" t="n">
        <v>0</v>
      </c>
      <c r="R395" s="9" t="n">
        <v>0</v>
      </c>
      <c r="S395" s="19" t="n">
        <v>0</v>
      </c>
      <c r="T395" s="19" t="n">
        <v>0</v>
      </c>
      <c r="U395" s="19" t="n">
        <v>0</v>
      </c>
      <c r="V395" s="19" t="n">
        <v>0</v>
      </c>
      <c r="W395" s="19" t="n">
        <v>0</v>
      </c>
      <c r="X395" s="19" t="n">
        <v>0</v>
      </c>
      <c r="Y395" s="9" t="n">
        <v>0</v>
      </c>
      <c r="Z395" s="19" t="n">
        <v>0</v>
      </c>
      <c r="AA395" s="19" t="n">
        <v>0</v>
      </c>
      <c r="AB395" s="19" t="n">
        <v>0</v>
      </c>
      <c r="AC395" s="19" t="n">
        <v>0</v>
      </c>
      <c r="AD395" s="19" t="n">
        <v>0</v>
      </c>
      <c r="AE395" s="19" t="n">
        <v>0</v>
      </c>
      <c r="AF395" s="9" t="n">
        <v>0</v>
      </c>
      <c r="AG395" s="19" t="n">
        <v>0</v>
      </c>
      <c r="AH395" s="19" t="n">
        <v>0</v>
      </c>
      <c r="AI395" s="19" t="n">
        <v>0</v>
      </c>
      <c r="AJ395" s="19" t="n">
        <v>0</v>
      </c>
      <c r="AK395" s="19" t="n">
        <v>0</v>
      </c>
      <c r="AL395" s="19" t="n">
        <v>0</v>
      </c>
      <c r="AM395" s="9" t="n">
        <v>0</v>
      </c>
      <c r="AN395" s="19" t="n">
        <v>0</v>
      </c>
      <c r="AO395" s="19" t="n">
        <v>0</v>
      </c>
      <c r="AP395" s="19" t="n">
        <v>0</v>
      </c>
      <c r="AQ395" s="19" t="n">
        <v>0</v>
      </c>
      <c r="AR395" s="19" t="n">
        <v>0</v>
      </c>
      <c r="AS395" s="19" t="n">
        <v>0</v>
      </c>
      <c r="AT395" s="10">
        <f>SUM(O395:AS395)</f>
        <v/>
      </c>
      <c r="AU395" s="20">
        <f>COUNTIF(O395:AS395, "&gt;0")</f>
        <v/>
      </c>
      <c r="AV395" s="12">
        <f>IF(AU395&gt;=5, 4, IF(AU395&gt;0, INT(AU395/6), 0))</f>
        <v/>
      </c>
      <c r="AW395" s="20" t="n">
        <v>0</v>
      </c>
      <c r="AX395" s="20" t="n">
        <v>0</v>
      </c>
      <c r="AY395" s="13">
        <f>MIN(31, AU395+AV395+AW395+AX395)</f>
        <v/>
      </c>
      <c r="AZ395" s="14">
        <f>31-AY395</f>
        <v/>
      </c>
      <c r="BA395" s="21">
        <f>IF(AX395&gt;0, "01-İstirahat", IF(AZ395&gt;0, "12-Birden Fazla", ""))</f>
        <v/>
      </c>
      <c r="BB395" s="10" t="n">
        <v>0</v>
      </c>
      <c r="BC395" s="19" t="n">
        <v>0</v>
      </c>
      <c r="BD395" s="9" t="n">
        <v>0</v>
      </c>
      <c r="BE395" s="22">
        <f>(L395/30)*AU395</f>
        <v/>
      </c>
      <c r="BF395" s="15">
        <f>(L395/225)*((BB395*1.5)-(BC395*1.0))</f>
        <v/>
      </c>
      <c r="BG395" s="16">
        <f>(L395/225)*1.5*BD395</f>
        <v/>
      </c>
      <c r="BH395" s="15">
        <f>BF395+BG395</f>
        <v/>
      </c>
      <c r="BI395" s="17">
        <f>BE395+BH395</f>
        <v/>
      </c>
      <c r="BJ395" s="22">
        <f>IFERROR(VLOOKUP(B395, Resmi_Bordro_SGK!B:M, 11, FALSE), 0)</f>
        <v/>
      </c>
      <c r="BK395" s="18">
        <f>IFERROR(VLOOKUP(B395, Icra_Takip!A:E, 4, FALSE), 0)</f>
        <v/>
      </c>
      <c r="BL395" s="17">
        <f>IF(BI395&gt;BJ395, BI395-BJ395-BK395, 0)</f>
        <v/>
      </c>
      <c r="BM395" s="17">
        <f>BI395-BK395</f>
        <v/>
      </c>
    </row>
    <row r="396" ht="19" customHeight="1">
      <c r="A396" s="4" t="n">
        <v>393</v>
      </c>
      <c r="B396" s="5" t="inlineStr">
        <is>
          <t>37075059770</t>
        </is>
      </c>
      <c r="C396" s="6" t="inlineStr">
        <is>
          <t>ÜVEYS SEPETÇİ</t>
        </is>
      </c>
      <c r="D396" s="4" t="inlineStr">
        <is>
          <t>E</t>
        </is>
      </c>
      <c r="E396" s="4" t="inlineStr"/>
      <c r="F396" s="4" t="inlineStr">
        <is>
          <t>17.08.2026</t>
        </is>
      </c>
      <c r="G396" s="4" t="inlineStr"/>
      <c r="H396" s="4" t="inlineStr">
        <is>
          <t>NORMAL</t>
        </is>
      </c>
      <c r="I396" s="4" t="inlineStr">
        <is>
          <t>MEVSİMLİK</t>
        </is>
      </c>
      <c r="J396" s="6" t="inlineStr">
        <is>
          <t>ÜRETİM</t>
        </is>
      </c>
      <c r="K396" s="6" t="inlineStr">
        <is>
          <t>GÜVEN</t>
        </is>
      </c>
      <c r="L396" s="7" t="n">
        <v>33000</v>
      </c>
      <c r="M396" s="4" t="inlineStr">
        <is>
          <t>FİDE KONSERVE</t>
        </is>
      </c>
      <c r="N396" s="4" t="inlineStr">
        <is>
          <t>ALIR</t>
        </is>
      </c>
      <c r="O396" s="8" t="n">
        <v>8</v>
      </c>
      <c r="P396" s="8" t="n">
        <v>8</v>
      </c>
      <c r="Q396" s="23" t="n">
        <v>7.5</v>
      </c>
      <c r="R396" s="9" t="n">
        <v>0</v>
      </c>
      <c r="S396" s="8" t="n">
        <v>7.5</v>
      </c>
      <c r="T396" s="23" t="n">
        <v>14</v>
      </c>
      <c r="U396" s="8" t="n">
        <v>0</v>
      </c>
      <c r="V396" s="8" t="n">
        <v>7.5</v>
      </c>
      <c r="W396" s="8" t="n">
        <v>0</v>
      </c>
      <c r="X396" s="8" t="n">
        <v>0</v>
      </c>
      <c r="Y396" s="9" t="n">
        <v>0</v>
      </c>
      <c r="Z396" s="8" t="n">
        <v>7.5</v>
      </c>
      <c r="AA396" s="8" t="n">
        <v>7.5</v>
      </c>
      <c r="AB396" s="8" t="n">
        <v>8</v>
      </c>
      <c r="AC396" s="8" t="n">
        <v>7.5</v>
      </c>
      <c r="AD396" s="8" t="n">
        <v>7.5</v>
      </c>
      <c r="AE396" s="8" t="n">
        <v>8.5</v>
      </c>
      <c r="AF396" s="9" t="n">
        <v>0</v>
      </c>
      <c r="AG396" s="8" t="n">
        <v>8</v>
      </c>
      <c r="AH396" s="8" t="n">
        <v>7.5</v>
      </c>
      <c r="AI396" s="8" t="n">
        <v>0</v>
      </c>
      <c r="AJ396" s="8" t="n">
        <v>0</v>
      </c>
      <c r="AK396" s="8" t="n">
        <v>0</v>
      </c>
      <c r="AL396" s="8" t="n">
        <v>0</v>
      </c>
      <c r="AM396" s="9" t="n">
        <v>0</v>
      </c>
      <c r="AN396" s="8" t="n">
        <v>0</v>
      </c>
      <c r="AO396" s="8" t="n">
        <v>0</v>
      </c>
      <c r="AP396" s="8" t="n">
        <v>0</v>
      </c>
      <c r="AQ396" s="8" t="n">
        <v>0</v>
      </c>
      <c r="AR396" s="8" t="n">
        <v>0</v>
      </c>
      <c r="AS396" s="8" t="n">
        <v>0</v>
      </c>
      <c r="AT396" s="10">
        <f>SUM(O396:AS396)</f>
        <v/>
      </c>
      <c r="AU396" s="11">
        <f>COUNTIF(O396:AS396, "&gt;0")</f>
        <v/>
      </c>
      <c r="AV396" s="12">
        <f>IF(AU396&gt;=5, 4, IF(AU396&gt;0, INT(AU396/6), 0))</f>
        <v/>
      </c>
      <c r="AW396" s="11" t="n">
        <v>0</v>
      </c>
      <c r="AX396" s="11" t="n">
        <v>0</v>
      </c>
      <c r="AY396" s="13">
        <f>MIN(31, AU396+AV396+AW396+AX396)</f>
        <v/>
      </c>
      <c r="AZ396" s="14">
        <f>31-AY396</f>
        <v/>
      </c>
      <c r="BA396" s="5">
        <f>IF(AX396&gt;0, "01-İstirahat", IF(AZ396&gt;0, "12-Birden Fazla", ""))</f>
        <v/>
      </c>
      <c r="BB396" s="10" t="n">
        <v>9.5</v>
      </c>
      <c r="BC396" s="8" t="n">
        <v>0</v>
      </c>
      <c r="BD396" s="9" t="n">
        <v>0</v>
      </c>
      <c r="BE396" s="7">
        <f>(L396/30)*AU396</f>
        <v/>
      </c>
      <c r="BF396" s="15">
        <f>(L396/225)*((BB396*1.5)-(BC396*1.0))</f>
        <v/>
      </c>
      <c r="BG396" s="16">
        <f>(L396/225)*1.5*BD396</f>
        <v/>
      </c>
      <c r="BH396" s="15">
        <f>BF396+BG396</f>
        <v/>
      </c>
      <c r="BI396" s="17">
        <f>BE396+BH396</f>
        <v/>
      </c>
      <c r="BJ396" s="7">
        <f>IFERROR(VLOOKUP(B396, Resmi_Bordro_SGK!B:M, 11, FALSE), 0)</f>
        <v/>
      </c>
      <c r="BK396" s="18">
        <f>IFERROR(VLOOKUP(B396, Icra_Takip!A:E, 4, FALSE), 0)</f>
        <v/>
      </c>
      <c r="BL396" s="17">
        <f>IF(BI396&gt;BJ396, BI396-BJ396-BK396, 0)</f>
        <v/>
      </c>
      <c r="BM396" s="17">
        <f>BI396-BK396</f>
        <v/>
      </c>
    </row>
    <row r="397" ht="19" customHeight="1">
      <c r="A397" s="4" t="n">
        <v>394</v>
      </c>
      <c r="B397" s="5" t="inlineStr">
        <is>
          <t>23077372900</t>
        </is>
      </c>
      <c r="C397" s="6" t="inlineStr">
        <is>
          <t>VAHİDE YAŞAR</t>
        </is>
      </c>
      <c r="D397" s="4" t="inlineStr">
        <is>
          <t>K</t>
        </is>
      </c>
      <c r="E397" s="4" t="inlineStr"/>
      <c r="F397" s="4" t="inlineStr">
        <is>
          <t>29.06.2026</t>
        </is>
      </c>
      <c r="G397" s="4" t="inlineStr"/>
      <c r="H397" s="4" t="inlineStr">
        <is>
          <t>NORMAL</t>
        </is>
      </c>
      <c r="I397" s="4" t="inlineStr">
        <is>
          <t>MEVSİMLİK</t>
        </is>
      </c>
      <c r="J397" s="6" t="inlineStr">
        <is>
          <t>ÜRETİM</t>
        </is>
      </c>
      <c r="K397" s="6" t="inlineStr">
        <is>
          <t>BİGADİÇ</t>
        </is>
      </c>
      <c r="L397" s="7" t="n">
        <v>28075.5</v>
      </c>
      <c r="M397" s="4" t="inlineStr">
        <is>
          <t>FİDE KONSERVE</t>
        </is>
      </c>
      <c r="N397" s="4" t="inlineStr">
        <is>
          <t>ALIR</t>
        </is>
      </c>
      <c r="O397" s="19" t="n">
        <v>0</v>
      </c>
      <c r="P397" s="19" t="n">
        <v>0</v>
      </c>
      <c r="Q397" s="19" t="n">
        <v>0</v>
      </c>
      <c r="R397" s="9" t="n">
        <v>0</v>
      </c>
      <c r="S397" s="19" t="n">
        <v>0</v>
      </c>
      <c r="T397" s="19" t="n">
        <v>0</v>
      </c>
      <c r="U397" s="19" t="n">
        <v>0</v>
      </c>
      <c r="V397" s="19" t="n">
        <v>0</v>
      </c>
      <c r="W397" s="19" t="n">
        <v>0</v>
      </c>
      <c r="X397" s="19" t="n">
        <v>0</v>
      </c>
      <c r="Y397" s="9" t="n">
        <v>0</v>
      </c>
      <c r="Z397" s="19" t="n">
        <v>0</v>
      </c>
      <c r="AA397" s="19" t="n">
        <v>0</v>
      </c>
      <c r="AB397" s="19" t="n">
        <v>0</v>
      </c>
      <c r="AC397" s="19" t="n">
        <v>0</v>
      </c>
      <c r="AD397" s="19" t="n">
        <v>0</v>
      </c>
      <c r="AE397" s="19" t="n">
        <v>0</v>
      </c>
      <c r="AF397" s="9" t="n">
        <v>0</v>
      </c>
      <c r="AG397" s="19" t="n">
        <v>0</v>
      </c>
      <c r="AH397" s="19" t="n">
        <v>0</v>
      </c>
      <c r="AI397" s="19" t="n">
        <v>0</v>
      </c>
      <c r="AJ397" s="19" t="n">
        <v>0</v>
      </c>
      <c r="AK397" s="19" t="n">
        <v>0</v>
      </c>
      <c r="AL397" s="19" t="n">
        <v>0</v>
      </c>
      <c r="AM397" s="9" t="n">
        <v>0</v>
      </c>
      <c r="AN397" s="19" t="n">
        <v>0</v>
      </c>
      <c r="AO397" s="19" t="n">
        <v>0</v>
      </c>
      <c r="AP397" s="19" t="n">
        <v>0</v>
      </c>
      <c r="AQ397" s="19" t="n">
        <v>0</v>
      </c>
      <c r="AR397" s="19" t="n">
        <v>0</v>
      </c>
      <c r="AS397" s="19" t="n">
        <v>0</v>
      </c>
      <c r="AT397" s="10">
        <f>SUM(O397:AS397)</f>
        <v/>
      </c>
      <c r="AU397" s="20">
        <f>COUNTIF(O397:AS397, "&gt;0")</f>
        <v/>
      </c>
      <c r="AV397" s="12">
        <f>IF(AU397&gt;=5, 4, IF(AU397&gt;0, INT(AU397/6), 0))</f>
        <v/>
      </c>
      <c r="AW397" s="20" t="n">
        <v>0</v>
      </c>
      <c r="AX397" s="20" t="n">
        <v>0</v>
      </c>
      <c r="AY397" s="13">
        <f>MIN(31, AU397+AV397+AW397+AX397)</f>
        <v/>
      </c>
      <c r="AZ397" s="14">
        <f>31-AY397</f>
        <v/>
      </c>
      <c r="BA397" s="21">
        <f>IF(AX397&gt;0, "01-İstirahat", IF(AZ397&gt;0, "12-Birden Fazla", ""))</f>
        <v/>
      </c>
      <c r="BB397" s="10" t="n">
        <v>0</v>
      </c>
      <c r="BC397" s="19" t="n">
        <v>0</v>
      </c>
      <c r="BD397" s="9" t="n">
        <v>0</v>
      </c>
      <c r="BE397" s="22">
        <f>(L397/30)*AU397</f>
        <v/>
      </c>
      <c r="BF397" s="15">
        <f>(L397/225)*((BB397*1.5)-(BC397*1.0))</f>
        <v/>
      </c>
      <c r="BG397" s="16">
        <f>(L397/225)*1.5*BD397</f>
        <v/>
      </c>
      <c r="BH397" s="15">
        <f>BF397+BG397</f>
        <v/>
      </c>
      <c r="BI397" s="17">
        <f>BE397+BH397</f>
        <v/>
      </c>
      <c r="BJ397" s="22">
        <f>IFERROR(VLOOKUP(B397, Resmi_Bordro_SGK!B:M, 11, FALSE), 0)</f>
        <v/>
      </c>
      <c r="BK397" s="18">
        <f>IFERROR(VLOOKUP(B397, Icra_Takip!A:E, 4, FALSE), 0)</f>
        <v/>
      </c>
      <c r="BL397" s="17">
        <f>IF(BI397&gt;BJ397, BI397-BJ397-BK397, 0)</f>
        <v/>
      </c>
      <c r="BM397" s="17">
        <f>BI397-BK397</f>
        <v/>
      </c>
    </row>
    <row r="398" ht="19" customHeight="1">
      <c r="A398" s="4" t="n">
        <v>395</v>
      </c>
      <c r="B398" s="5" t="inlineStr">
        <is>
          <t>10929070558</t>
        </is>
      </c>
      <c r="C398" s="6" t="inlineStr">
        <is>
          <t>YASEMİN AKKUŞ</t>
        </is>
      </c>
      <c r="D398" s="4" t="inlineStr">
        <is>
          <t>K</t>
        </is>
      </c>
      <c r="E398" s="4" t="inlineStr"/>
      <c r="F398" s="4" t="inlineStr">
        <is>
          <t>08.07.2026</t>
        </is>
      </c>
      <c r="G398" s="4" t="inlineStr"/>
      <c r="H398" s="4" t="inlineStr">
        <is>
          <t>NORMAL</t>
        </is>
      </c>
      <c r="I398" s="4" t="inlineStr">
        <is>
          <t>MEVSİMLİK</t>
        </is>
      </c>
      <c r="J398" s="6" t="inlineStr">
        <is>
          <t>ÜRETİM</t>
        </is>
      </c>
      <c r="K398" s="6" t="inlineStr">
        <is>
          <t>KARACABEY-HALİL</t>
        </is>
      </c>
      <c r="L398" s="7" t="n">
        <v>28075.5</v>
      </c>
      <c r="M398" s="4" t="inlineStr">
        <is>
          <t>FİDE KONSERVE</t>
        </is>
      </c>
      <c r="N398" s="4" t="inlineStr">
        <is>
          <t>ALIR</t>
        </is>
      </c>
      <c r="O398" s="8" t="n">
        <v>0</v>
      </c>
      <c r="P398" s="8" t="n">
        <v>0</v>
      </c>
      <c r="Q398" s="8" t="n">
        <v>0</v>
      </c>
      <c r="R398" s="9" t="n">
        <v>0</v>
      </c>
      <c r="S398" s="8" t="n">
        <v>0</v>
      </c>
      <c r="T398" s="8" t="n">
        <v>0</v>
      </c>
      <c r="U398" s="8" t="n">
        <v>0</v>
      </c>
      <c r="V398" s="8" t="n">
        <v>0</v>
      </c>
      <c r="W398" s="8" t="n">
        <v>0</v>
      </c>
      <c r="X398" s="8" t="n">
        <v>0</v>
      </c>
      <c r="Y398" s="9" t="n">
        <v>0</v>
      </c>
      <c r="Z398" s="8" t="n">
        <v>0</v>
      </c>
      <c r="AA398" s="8" t="n">
        <v>0</v>
      </c>
      <c r="AB398" s="8" t="n">
        <v>0</v>
      </c>
      <c r="AC398" s="8" t="n">
        <v>0</v>
      </c>
      <c r="AD398" s="8" t="n">
        <v>0</v>
      </c>
      <c r="AE398" s="8" t="n">
        <v>0</v>
      </c>
      <c r="AF398" s="9" t="n">
        <v>0</v>
      </c>
      <c r="AG398" s="8" t="n">
        <v>0</v>
      </c>
      <c r="AH398" s="8" t="n">
        <v>0</v>
      </c>
      <c r="AI398" s="8" t="n">
        <v>0</v>
      </c>
      <c r="AJ398" s="8" t="n">
        <v>0</v>
      </c>
      <c r="AK398" s="8" t="n">
        <v>0</v>
      </c>
      <c r="AL398" s="8" t="n">
        <v>0</v>
      </c>
      <c r="AM398" s="9" t="n">
        <v>0</v>
      </c>
      <c r="AN398" s="8" t="n">
        <v>0</v>
      </c>
      <c r="AO398" s="8" t="n">
        <v>0</v>
      </c>
      <c r="AP398" s="8" t="n">
        <v>0</v>
      </c>
      <c r="AQ398" s="8" t="n">
        <v>0</v>
      </c>
      <c r="AR398" s="8" t="n">
        <v>0</v>
      </c>
      <c r="AS398" s="8" t="n">
        <v>0</v>
      </c>
      <c r="AT398" s="10">
        <f>SUM(O398:AS398)</f>
        <v/>
      </c>
      <c r="AU398" s="11">
        <f>COUNTIF(O398:AS398, "&gt;0")</f>
        <v/>
      </c>
      <c r="AV398" s="12">
        <f>IF(AU398&gt;=5, 4, IF(AU398&gt;0, INT(AU398/6), 0))</f>
        <v/>
      </c>
      <c r="AW398" s="11" t="n">
        <v>0</v>
      </c>
      <c r="AX398" s="11" t="n">
        <v>0</v>
      </c>
      <c r="AY398" s="13">
        <f>MIN(31, AU398+AV398+AW398+AX398)</f>
        <v/>
      </c>
      <c r="AZ398" s="14">
        <f>31-AY398</f>
        <v/>
      </c>
      <c r="BA398" s="5">
        <f>IF(AX398&gt;0, "01-İstirahat", IF(AZ398&gt;0, "12-Birden Fazla", ""))</f>
        <v/>
      </c>
      <c r="BB398" s="10" t="n">
        <v>0</v>
      </c>
      <c r="BC398" s="8" t="n">
        <v>0</v>
      </c>
      <c r="BD398" s="9" t="n">
        <v>0</v>
      </c>
      <c r="BE398" s="7">
        <f>(L398/30)*AU398</f>
        <v/>
      </c>
      <c r="BF398" s="15">
        <f>(L398/225)*((BB398*1.5)-(BC398*1.0))</f>
        <v/>
      </c>
      <c r="BG398" s="16">
        <f>(L398/225)*1.5*BD398</f>
        <v/>
      </c>
      <c r="BH398" s="15">
        <f>BF398+BG398</f>
        <v/>
      </c>
      <c r="BI398" s="17">
        <f>BE398+BH398</f>
        <v/>
      </c>
      <c r="BJ398" s="7">
        <f>IFERROR(VLOOKUP(B398, Resmi_Bordro_SGK!B:M, 11, FALSE), 0)</f>
        <v/>
      </c>
      <c r="BK398" s="18">
        <f>IFERROR(VLOOKUP(B398, Icra_Takip!A:E, 4, FALSE), 0)</f>
        <v/>
      </c>
      <c r="BL398" s="17">
        <f>IF(BI398&gt;BJ398, BI398-BJ398-BK398, 0)</f>
        <v/>
      </c>
      <c r="BM398" s="17">
        <f>BI398-BK398</f>
        <v/>
      </c>
    </row>
    <row r="399" ht="19" customHeight="1">
      <c r="A399" s="4" t="n">
        <v>396</v>
      </c>
      <c r="B399" s="5" t="inlineStr">
        <is>
          <t>18364673952</t>
        </is>
      </c>
      <c r="C399" s="6" t="inlineStr">
        <is>
          <t>YEŞİM BEYİRKEN</t>
        </is>
      </c>
      <c r="D399" s="4" t="inlineStr">
        <is>
          <t>K</t>
        </is>
      </c>
      <c r="E399" s="4" t="inlineStr"/>
      <c r="F399" s="4" t="inlineStr">
        <is>
          <t>19.07.2026</t>
        </is>
      </c>
      <c r="G399" s="4" t="inlineStr"/>
      <c r="H399" s="4" t="inlineStr">
        <is>
          <t>NORMAL</t>
        </is>
      </c>
      <c r="I399" s="4" t="inlineStr">
        <is>
          <t>MEVSİMLİK</t>
        </is>
      </c>
      <c r="J399" s="6" t="inlineStr">
        <is>
          <t>ÜRETİM</t>
        </is>
      </c>
      <c r="K399" s="6" t="inlineStr">
        <is>
          <t>KARACABEY-HALİL</t>
        </is>
      </c>
      <c r="L399" s="7" t="n">
        <v>28075.5</v>
      </c>
      <c r="M399" s="4" t="inlineStr">
        <is>
          <t>FİDE KONSERVE</t>
        </is>
      </c>
      <c r="N399" s="4" t="inlineStr">
        <is>
          <t>ALIR</t>
        </is>
      </c>
      <c r="O399" s="19" t="n">
        <v>0</v>
      </c>
      <c r="P399" s="19" t="n">
        <v>0</v>
      </c>
      <c r="Q399" s="19" t="n">
        <v>0</v>
      </c>
      <c r="R399" s="9" t="n">
        <v>0</v>
      </c>
      <c r="S399" s="19" t="n">
        <v>0</v>
      </c>
      <c r="T399" s="19" t="n">
        <v>0</v>
      </c>
      <c r="U399" s="19" t="n">
        <v>0</v>
      </c>
      <c r="V399" s="19" t="n">
        <v>0</v>
      </c>
      <c r="W399" s="19" t="n">
        <v>0</v>
      </c>
      <c r="X399" s="19" t="n">
        <v>0</v>
      </c>
      <c r="Y399" s="9" t="n">
        <v>0</v>
      </c>
      <c r="Z399" s="19" t="n">
        <v>0</v>
      </c>
      <c r="AA399" s="19" t="n">
        <v>0</v>
      </c>
      <c r="AB399" s="19" t="n">
        <v>0</v>
      </c>
      <c r="AC399" s="19" t="n">
        <v>0</v>
      </c>
      <c r="AD399" s="19" t="n">
        <v>0</v>
      </c>
      <c r="AE399" s="19" t="n">
        <v>0</v>
      </c>
      <c r="AF399" s="9" t="n">
        <v>0</v>
      </c>
      <c r="AG399" s="19" t="n">
        <v>0</v>
      </c>
      <c r="AH399" s="19" t="n">
        <v>0</v>
      </c>
      <c r="AI399" s="19" t="n">
        <v>0</v>
      </c>
      <c r="AJ399" s="19" t="n">
        <v>0</v>
      </c>
      <c r="AK399" s="19" t="n">
        <v>0</v>
      </c>
      <c r="AL399" s="19" t="n">
        <v>0</v>
      </c>
      <c r="AM399" s="9" t="n">
        <v>0</v>
      </c>
      <c r="AN399" s="19" t="n">
        <v>0</v>
      </c>
      <c r="AO399" s="19" t="n">
        <v>0</v>
      </c>
      <c r="AP399" s="19" t="n">
        <v>0</v>
      </c>
      <c r="AQ399" s="19" t="n">
        <v>0</v>
      </c>
      <c r="AR399" s="19" t="n">
        <v>0</v>
      </c>
      <c r="AS399" s="19" t="n">
        <v>0</v>
      </c>
      <c r="AT399" s="10">
        <f>SUM(O399:AS399)</f>
        <v/>
      </c>
      <c r="AU399" s="20">
        <f>COUNTIF(O399:AS399, "&gt;0")</f>
        <v/>
      </c>
      <c r="AV399" s="12">
        <f>IF(AU399&gt;=5, 4, IF(AU399&gt;0, INT(AU399/6), 0))</f>
        <v/>
      </c>
      <c r="AW399" s="20" t="n">
        <v>0</v>
      </c>
      <c r="AX399" s="20" t="n">
        <v>0</v>
      </c>
      <c r="AY399" s="13">
        <f>MIN(31, AU399+AV399+AW399+AX399)</f>
        <v/>
      </c>
      <c r="AZ399" s="14">
        <f>31-AY399</f>
        <v/>
      </c>
      <c r="BA399" s="21">
        <f>IF(AX399&gt;0, "01-İstirahat", IF(AZ399&gt;0, "12-Birden Fazla", ""))</f>
        <v/>
      </c>
      <c r="BB399" s="10" t="n">
        <v>0</v>
      </c>
      <c r="BC399" s="19" t="n">
        <v>0</v>
      </c>
      <c r="BD399" s="9" t="n">
        <v>0</v>
      </c>
      <c r="BE399" s="22">
        <f>(L399/30)*AU399</f>
        <v/>
      </c>
      <c r="BF399" s="15">
        <f>(L399/225)*((BB399*1.5)-(BC399*1.0))</f>
        <v/>
      </c>
      <c r="BG399" s="16">
        <f>(L399/225)*1.5*BD399</f>
        <v/>
      </c>
      <c r="BH399" s="15">
        <f>BF399+BG399</f>
        <v/>
      </c>
      <c r="BI399" s="17">
        <f>BE399+BH399</f>
        <v/>
      </c>
      <c r="BJ399" s="22">
        <f>IFERROR(VLOOKUP(B399, Resmi_Bordro_SGK!B:M, 11, FALSE), 0)</f>
        <v/>
      </c>
      <c r="BK399" s="18">
        <f>IFERROR(VLOOKUP(B399, Icra_Takip!A:E, 4, FALSE), 0)</f>
        <v/>
      </c>
      <c r="BL399" s="17">
        <f>IF(BI399&gt;BJ399, BI399-BJ399-BK399, 0)</f>
        <v/>
      </c>
      <c r="BM399" s="17">
        <f>BI399-BK399</f>
        <v/>
      </c>
    </row>
    <row r="400" ht="19" customHeight="1">
      <c r="A400" s="4" t="n">
        <v>397</v>
      </c>
      <c r="B400" s="5" t="inlineStr"/>
      <c r="C400" s="6" t="inlineStr">
        <is>
          <t>YEŞİM SARAÇOĞLU</t>
        </is>
      </c>
      <c r="D400" s="4" t="inlineStr"/>
      <c r="E400" s="4" t="inlineStr"/>
      <c r="F400" s="4" t="inlineStr"/>
      <c r="G400" s="4" t="inlineStr"/>
      <c r="H400" s="4" t="inlineStr">
        <is>
          <t>NORMAL</t>
        </is>
      </c>
      <c r="I400" s="4" t="inlineStr">
        <is>
          <t>MEVSİMLİK</t>
        </is>
      </c>
      <c r="J400" s="6" t="inlineStr"/>
      <c r="K400" s="6" t="inlineStr"/>
      <c r="L400" s="7" t="n">
        <v>28075.5</v>
      </c>
      <c r="M400" s="4" t="inlineStr">
        <is>
          <t>FİDE KONSERVE</t>
        </is>
      </c>
      <c r="N400" s="4" t="inlineStr">
        <is>
          <t>ALIR</t>
        </is>
      </c>
      <c r="O400" s="8" t="n">
        <v>0</v>
      </c>
      <c r="P400" s="23" t="n">
        <v>10.5</v>
      </c>
      <c r="Q400" s="8" t="n">
        <v>10.5</v>
      </c>
      <c r="R400" s="9" t="n">
        <v>0</v>
      </c>
      <c r="S400" s="8" t="n">
        <v>10.5</v>
      </c>
      <c r="T400" s="8" t="n">
        <v>10.5</v>
      </c>
      <c r="U400" s="8" t="n">
        <v>0</v>
      </c>
      <c r="V400" s="8" t="n">
        <v>10.5</v>
      </c>
      <c r="W400" s="8" t="n">
        <v>10.5</v>
      </c>
      <c r="X400" s="8" t="n">
        <v>10.5</v>
      </c>
      <c r="Y400" s="9" t="n">
        <v>0</v>
      </c>
      <c r="Z400" s="8" t="n">
        <v>10.5</v>
      </c>
      <c r="AA400" s="8" t="n">
        <v>10.5</v>
      </c>
      <c r="AB400" s="8" t="n">
        <v>0</v>
      </c>
      <c r="AC400" s="8" t="n">
        <v>0</v>
      </c>
      <c r="AD400" s="8" t="n">
        <v>10.5</v>
      </c>
      <c r="AE400" s="8" t="n">
        <v>10.5</v>
      </c>
      <c r="AF400" s="9" t="n">
        <v>0</v>
      </c>
      <c r="AG400" s="8" t="n">
        <v>10.5</v>
      </c>
      <c r="AH400" s="8" t="n">
        <v>7.5</v>
      </c>
      <c r="AI400" s="8" t="n">
        <v>7.5</v>
      </c>
      <c r="AJ400" s="8" t="n">
        <v>0</v>
      </c>
      <c r="AK400" s="8" t="n">
        <v>0</v>
      </c>
      <c r="AL400" s="8" t="n">
        <v>0</v>
      </c>
      <c r="AM400" s="9" t="n">
        <v>0</v>
      </c>
      <c r="AN400" s="8" t="n">
        <v>0</v>
      </c>
      <c r="AO400" s="8" t="n">
        <v>0</v>
      </c>
      <c r="AP400" s="8" t="n">
        <v>0</v>
      </c>
      <c r="AQ400" s="8" t="n">
        <v>0</v>
      </c>
      <c r="AR400" s="8" t="n">
        <v>0</v>
      </c>
      <c r="AS400" s="8" t="n">
        <v>0</v>
      </c>
      <c r="AT400" s="10">
        <f>SUM(O400:AS400)</f>
        <v/>
      </c>
      <c r="AU400" s="11">
        <f>COUNTIF(O400:AS400, "&gt;0")</f>
        <v/>
      </c>
      <c r="AV400" s="12">
        <f>IF(AU400&gt;=5, 4, IF(AU400&gt;0, INT(AU400/6), 0))</f>
        <v/>
      </c>
      <c r="AW400" s="11" t="n">
        <v>0</v>
      </c>
      <c r="AX400" s="11" t="n">
        <v>0</v>
      </c>
      <c r="AY400" s="13">
        <f>MIN(31, AU400+AV400+AW400+AX400)</f>
        <v/>
      </c>
      <c r="AZ400" s="14">
        <f>31-AY400</f>
        <v/>
      </c>
      <c r="BA400" s="5">
        <f>IF(AX400&gt;0, "01-İstirahat", IF(AZ400&gt;0, "12-Birden Fazla", ""))</f>
        <v/>
      </c>
      <c r="BB400" s="10" t="n">
        <v>36</v>
      </c>
      <c r="BC400" s="8" t="n">
        <v>0</v>
      </c>
      <c r="BD400" s="9" t="n">
        <v>0</v>
      </c>
      <c r="BE400" s="7">
        <f>(L400/30)*AU400</f>
        <v/>
      </c>
      <c r="BF400" s="15">
        <f>(L400/225)*((BB400*1.5)-(BC400*1.0))</f>
        <v/>
      </c>
      <c r="BG400" s="16">
        <f>(L400/225)*1.5*BD400</f>
        <v/>
      </c>
      <c r="BH400" s="15">
        <f>BF400+BG400</f>
        <v/>
      </c>
      <c r="BI400" s="17">
        <f>BE400+BH400</f>
        <v/>
      </c>
      <c r="BJ400" s="7">
        <f>IFERROR(VLOOKUP(B400, Resmi_Bordro_SGK!B:M, 11, FALSE), 0)</f>
        <v/>
      </c>
      <c r="BK400" s="18">
        <f>IFERROR(VLOOKUP(B400, Icra_Takip!A:E, 4, FALSE), 0)</f>
        <v/>
      </c>
      <c r="BL400" s="17">
        <f>IF(BI400&gt;BJ400, BI400-BJ400-BK400, 0)</f>
        <v/>
      </c>
      <c r="BM400" s="17">
        <f>BI400-BK400</f>
        <v/>
      </c>
    </row>
    <row r="401" ht="19" customHeight="1">
      <c r="A401" s="4" t="n">
        <v>398</v>
      </c>
      <c r="B401" s="5" t="inlineStr"/>
      <c r="C401" s="6" t="inlineStr">
        <is>
          <t>YUNUS BAŞAR</t>
        </is>
      </c>
      <c r="D401" s="4" t="inlineStr"/>
      <c r="E401" s="4" t="inlineStr"/>
      <c r="F401" s="4" t="inlineStr"/>
      <c r="G401" s="4" t="inlineStr"/>
      <c r="H401" s="4" t="inlineStr">
        <is>
          <t>NORMAL</t>
        </is>
      </c>
      <c r="I401" s="4" t="inlineStr">
        <is>
          <t>MEVSİMLİK</t>
        </is>
      </c>
      <c r="J401" s="6" t="inlineStr"/>
      <c r="K401" s="6" t="inlineStr"/>
      <c r="L401" s="7" t="n">
        <v>28075.5</v>
      </c>
      <c r="M401" s="4" t="inlineStr">
        <is>
          <t>FİDE KONSERVE</t>
        </is>
      </c>
      <c r="N401" s="4" t="inlineStr">
        <is>
          <t>ALIR</t>
        </is>
      </c>
      <c r="O401" s="19" t="n">
        <v>0</v>
      </c>
      <c r="P401" s="19" t="n">
        <v>0</v>
      </c>
      <c r="Q401" s="19" t="n">
        <v>0</v>
      </c>
      <c r="R401" s="9" t="n">
        <v>0</v>
      </c>
      <c r="S401" s="19" t="n">
        <v>0</v>
      </c>
      <c r="T401" s="19" t="n">
        <v>0</v>
      </c>
      <c r="U401" s="19" t="n">
        <v>0</v>
      </c>
      <c r="V401" s="19" t="n">
        <v>0</v>
      </c>
      <c r="W401" s="19" t="n">
        <v>0</v>
      </c>
      <c r="X401" s="19" t="n">
        <v>0</v>
      </c>
      <c r="Y401" s="9" t="n">
        <v>0</v>
      </c>
      <c r="Z401" s="19" t="n">
        <v>0</v>
      </c>
      <c r="AA401" s="19" t="n">
        <v>0</v>
      </c>
      <c r="AB401" s="19" t="n">
        <v>0</v>
      </c>
      <c r="AC401" s="19" t="n">
        <v>0</v>
      </c>
      <c r="AD401" s="19" t="n">
        <v>0</v>
      </c>
      <c r="AE401" s="19" t="n">
        <v>0</v>
      </c>
      <c r="AF401" s="9" t="n">
        <v>0</v>
      </c>
      <c r="AG401" s="19" t="n">
        <v>0</v>
      </c>
      <c r="AH401" s="19" t="n">
        <v>0</v>
      </c>
      <c r="AI401" s="19" t="n">
        <v>0</v>
      </c>
      <c r="AJ401" s="19" t="n">
        <v>0</v>
      </c>
      <c r="AK401" s="19" t="n">
        <v>0</v>
      </c>
      <c r="AL401" s="19" t="n">
        <v>0</v>
      </c>
      <c r="AM401" s="9" t="n">
        <v>0</v>
      </c>
      <c r="AN401" s="19" t="n">
        <v>0</v>
      </c>
      <c r="AO401" s="19" t="n">
        <v>0</v>
      </c>
      <c r="AP401" s="19" t="n">
        <v>0</v>
      </c>
      <c r="AQ401" s="19" t="n">
        <v>0</v>
      </c>
      <c r="AR401" s="19" t="n">
        <v>0</v>
      </c>
      <c r="AS401" s="19" t="n">
        <v>0</v>
      </c>
      <c r="AT401" s="10">
        <f>SUM(O401:AS401)</f>
        <v/>
      </c>
      <c r="AU401" s="20">
        <f>COUNTIF(O401:AS401, "&gt;0")</f>
        <v/>
      </c>
      <c r="AV401" s="12">
        <f>IF(AU401&gt;=5, 4, IF(AU401&gt;0, INT(AU401/6), 0))</f>
        <v/>
      </c>
      <c r="AW401" s="20" t="n">
        <v>0</v>
      </c>
      <c r="AX401" s="20" t="n">
        <v>0</v>
      </c>
      <c r="AY401" s="13">
        <f>MIN(31, AU401+AV401+AW401+AX401)</f>
        <v/>
      </c>
      <c r="AZ401" s="14">
        <f>31-AY401</f>
        <v/>
      </c>
      <c r="BA401" s="21">
        <f>IF(AX401&gt;0, "01-İstirahat", IF(AZ401&gt;0, "12-Birden Fazla", ""))</f>
        <v/>
      </c>
      <c r="BB401" s="10" t="n">
        <v>0</v>
      </c>
      <c r="BC401" s="19" t="n">
        <v>0</v>
      </c>
      <c r="BD401" s="9" t="n">
        <v>0</v>
      </c>
      <c r="BE401" s="22">
        <f>(L401/30)*AU401</f>
        <v/>
      </c>
      <c r="BF401" s="15">
        <f>(L401/225)*((BB401*1.5)-(BC401*1.0))</f>
        <v/>
      </c>
      <c r="BG401" s="16">
        <f>(L401/225)*1.5*BD401</f>
        <v/>
      </c>
      <c r="BH401" s="15">
        <f>BF401+BG401</f>
        <v/>
      </c>
      <c r="BI401" s="17">
        <f>BE401+BH401</f>
        <v/>
      </c>
      <c r="BJ401" s="22">
        <f>IFERROR(VLOOKUP(B401, Resmi_Bordro_SGK!B:M, 11, FALSE), 0)</f>
        <v/>
      </c>
      <c r="BK401" s="18">
        <f>IFERROR(VLOOKUP(B401, Icra_Takip!A:E, 4, FALSE), 0)</f>
        <v/>
      </c>
      <c r="BL401" s="17">
        <f>IF(BI401&gt;BJ401, BI401-BJ401-BK401, 0)</f>
        <v/>
      </c>
      <c r="BM401" s="17">
        <f>BI401-BK401</f>
        <v/>
      </c>
    </row>
    <row r="402" ht="19" customHeight="1">
      <c r="A402" s="4" t="n">
        <v>399</v>
      </c>
      <c r="B402" s="5" t="inlineStr">
        <is>
          <t>17096459292</t>
        </is>
      </c>
      <c r="C402" s="6" t="inlineStr">
        <is>
          <t>YURDANUR ÇELİK</t>
        </is>
      </c>
      <c r="D402" s="4" t="inlineStr">
        <is>
          <t>K</t>
        </is>
      </c>
      <c r="E402" s="4" t="inlineStr"/>
      <c r="F402" s="4" t="inlineStr">
        <is>
          <t>08.07.2026</t>
        </is>
      </c>
      <c r="G402" s="4" t="inlineStr"/>
      <c r="H402" s="4" t="inlineStr">
        <is>
          <t>NORMAL</t>
        </is>
      </c>
      <c r="I402" s="4" t="inlineStr">
        <is>
          <t>MEVSİMLİK</t>
        </is>
      </c>
      <c r="J402" s="6" t="inlineStr">
        <is>
          <t>BALIK TEMİZLEME</t>
        </is>
      </c>
      <c r="K402" s="6" t="inlineStr">
        <is>
          <t>KARACABEY-HALİL</t>
        </is>
      </c>
      <c r="L402" s="7" t="n">
        <v>33000</v>
      </c>
      <c r="M402" s="4" t="inlineStr">
        <is>
          <t>FİDE KONSERVE</t>
        </is>
      </c>
      <c r="N402" s="4" t="inlineStr">
        <is>
          <t>ALIR</t>
        </is>
      </c>
      <c r="O402" s="8" t="n">
        <v>0</v>
      </c>
      <c r="P402" s="8" t="n">
        <v>0</v>
      </c>
      <c r="Q402" s="8" t="n">
        <v>0</v>
      </c>
      <c r="R402" s="9" t="n">
        <v>0</v>
      </c>
      <c r="S402" s="8" t="n">
        <v>0</v>
      </c>
      <c r="T402" s="8" t="n">
        <v>0</v>
      </c>
      <c r="U402" s="8" t="n">
        <v>0</v>
      </c>
      <c r="V402" s="8" t="n">
        <v>0</v>
      </c>
      <c r="W402" s="8" t="n">
        <v>0</v>
      </c>
      <c r="X402" s="8" t="n">
        <v>0</v>
      </c>
      <c r="Y402" s="9" t="n">
        <v>0</v>
      </c>
      <c r="Z402" s="8" t="n">
        <v>0</v>
      </c>
      <c r="AA402" s="8" t="n">
        <v>0</v>
      </c>
      <c r="AB402" s="8" t="n">
        <v>0</v>
      </c>
      <c r="AC402" s="8" t="n">
        <v>0</v>
      </c>
      <c r="AD402" s="8" t="n">
        <v>0</v>
      </c>
      <c r="AE402" s="8" t="n">
        <v>0</v>
      </c>
      <c r="AF402" s="9" t="n">
        <v>0</v>
      </c>
      <c r="AG402" s="8" t="n">
        <v>0</v>
      </c>
      <c r="AH402" s="8" t="n">
        <v>0</v>
      </c>
      <c r="AI402" s="8" t="n">
        <v>0</v>
      </c>
      <c r="AJ402" s="8" t="n">
        <v>0</v>
      </c>
      <c r="AK402" s="8" t="n">
        <v>0</v>
      </c>
      <c r="AL402" s="8" t="n">
        <v>0</v>
      </c>
      <c r="AM402" s="9" t="n">
        <v>0</v>
      </c>
      <c r="AN402" s="8" t="n">
        <v>0</v>
      </c>
      <c r="AO402" s="8" t="n">
        <v>0</v>
      </c>
      <c r="AP402" s="8" t="n">
        <v>0</v>
      </c>
      <c r="AQ402" s="8" t="n">
        <v>0</v>
      </c>
      <c r="AR402" s="8" t="n">
        <v>0</v>
      </c>
      <c r="AS402" s="8" t="n">
        <v>0</v>
      </c>
      <c r="AT402" s="10">
        <f>SUM(O402:AS402)</f>
        <v/>
      </c>
      <c r="AU402" s="11">
        <f>COUNTIF(O402:AS402, "&gt;0")</f>
        <v/>
      </c>
      <c r="AV402" s="12">
        <f>IF(AU402&gt;=5, 4, IF(AU402&gt;0, INT(AU402/6), 0))</f>
        <v/>
      </c>
      <c r="AW402" s="11" t="n">
        <v>0</v>
      </c>
      <c r="AX402" s="11" t="n">
        <v>0</v>
      </c>
      <c r="AY402" s="13">
        <f>MIN(31, AU402+AV402+AW402+AX402)</f>
        <v/>
      </c>
      <c r="AZ402" s="14">
        <f>31-AY402</f>
        <v/>
      </c>
      <c r="BA402" s="5">
        <f>IF(AX402&gt;0, "01-İstirahat", IF(AZ402&gt;0, "12-Birden Fazla", ""))</f>
        <v/>
      </c>
      <c r="BB402" s="10" t="n">
        <v>0</v>
      </c>
      <c r="BC402" s="8" t="n">
        <v>0</v>
      </c>
      <c r="BD402" s="9" t="n">
        <v>0</v>
      </c>
      <c r="BE402" s="7">
        <f>(L402/30)*AU402</f>
        <v/>
      </c>
      <c r="BF402" s="15">
        <f>(L402/225)*((BB402*1.5)-(BC402*1.0))</f>
        <v/>
      </c>
      <c r="BG402" s="16">
        <f>(L402/225)*1.5*BD402</f>
        <v/>
      </c>
      <c r="BH402" s="15">
        <f>BF402+BG402</f>
        <v/>
      </c>
      <c r="BI402" s="17">
        <f>BE402+BH402</f>
        <v/>
      </c>
      <c r="BJ402" s="7">
        <f>IFERROR(VLOOKUP(B402, Resmi_Bordro_SGK!B:M, 11, FALSE), 0)</f>
        <v/>
      </c>
      <c r="BK402" s="18">
        <f>IFERROR(VLOOKUP(B402, Icra_Takip!A:E, 4, FALSE), 0)</f>
        <v/>
      </c>
      <c r="BL402" s="17">
        <f>IF(BI402&gt;BJ402, BI402-BJ402-BK402, 0)</f>
        <v/>
      </c>
      <c r="BM402" s="17">
        <f>BI402-BK402</f>
        <v/>
      </c>
    </row>
    <row r="403" ht="19" customHeight="1">
      <c r="A403" s="4" t="n">
        <v>400</v>
      </c>
      <c r="B403" s="5" t="inlineStr">
        <is>
          <t>10528936408</t>
        </is>
      </c>
      <c r="C403" s="6" t="inlineStr">
        <is>
          <t>YUSUF ÇETİN</t>
        </is>
      </c>
      <c r="D403" s="4" t="inlineStr">
        <is>
          <t>e</t>
        </is>
      </c>
      <c r="E403" s="4" t="inlineStr"/>
      <c r="F403" s="4" t="inlineStr"/>
      <c r="G403" s="4" t="inlineStr"/>
      <c r="H403" s="4" t="inlineStr">
        <is>
          <t>NORMAL</t>
        </is>
      </c>
      <c r="I403" s="4" t="inlineStr">
        <is>
          <t>MEVSİMLİK</t>
        </is>
      </c>
      <c r="J403" s="6" t="inlineStr"/>
      <c r="K403" s="6" t="inlineStr"/>
      <c r="L403" s="7" t="n">
        <v>28075.5</v>
      </c>
      <c r="M403" s="4" t="inlineStr">
        <is>
          <t>FİDE KONSERVE</t>
        </is>
      </c>
      <c r="N403" s="4" t="inlineStr">
        <is>
          <t>ALIR</t>
        </is>
      </c>
      <c r="O403" s="19" t="n">
        <v>0</v>
      </c>
      <c r="P403" s="19" t="n">
        <v>7.5</v>
      </c>
      <c r="Q403" s="19" t="n">
        <v>7.5</v>
      </c>
      <c r="R403" s="9" t="n">
        <v>0</v>
      </c>
      <c r="S403" s="19" t="n">
        <v>10.5</v>
      </c>
      <c r="T403" s="19" t="n">
        <v>10.5</v>
      </c>
      <c r="U403" s="19" t="n">
        <v>0</v>
      </c>
      <c r="V403" s="19" t="n">
        <v>10.5</v>
      </c>
      <c r="W403" s="19" t="n">
        <v>10.5</v>
      </c>
      <c r="X403" s="19" t="n">
        <v>0</v>
      </c>
      <c r="Y403" s="9" t="n">
        <v>0</v>
      </c>
      <c r="Z403" s="19" t="n">
        <v>10.5</v>
      </c>
      <c r="AA403" s="19" t="n">
        <v>0</v>
      </c>
      <c r="AB403" s="19" t="n">
        <v>10.5</v>
      </c>
      <c r="AC403" s="19" t="n">
        <v>10.5</v>
      </c>
      <c r="AD403" s="19" t="n">
        <v>10.5</v>
      </c>
      <c r="AE403" s="19" t="n">
        <v>0</v>
      </c>
      <c r="AF403" s="9" t="n">
        <v>0</v>
      </c>
      <c r="AG403" s="19" t="n">
        <v>10.5</v>
      </c>
      <c r="AH403" s="19" t="n">
        <v>7.5</v>
      </c>
      <c r="AI403" s="19" t="n">
        <v>7.5</v>
      </c>
      <c r="AJ403" s="19" t="n">
        <v>0</v>
      </c>
      <c r="AK403" s="19" t="n">
        <v>0</v>
      </c>
      <c r="AL403" s="19" t="n">
        <v>0</v>
      </c>
      <c r="AM403" s="9" t="n">
        <v>0</v>
      </c>
      <c r="AN403" s="19" t="n">
        <v>0</v>
      </c>
      <c r="AO403" s="19" t="n">
        <v>0</v>
      </c>
      <c r="AP403" s="19" t="n">
        <v>0</v>
      </c>
      <c r="AQ403" s="19" t="n">
        <v>0</v>
      </c>
      <c r="AR403" s="19" t="n">
        <v>0</v>
      </c>
      <c r="AS403" s="19" t="n">
        <v>0</v>
      </c>
      <c r="AT403" s="10">
        <f>SUM(O403:AS403)</f>
        <v/>
      </c>
      <c r="AU403" s="20">
        <f>COUNTIF(O403:AS403, "&gt;0")</f>
        <v/>
      </c>
      <c r="AV403" s="12">
        <f>IF(AU403&gt;=5, 4, IF(AU403&gt;0, INT(AU403/6), 0))</f>
        <v/>
      </c>
      <c r="AW403" s="20" t="n">
        <v>0</v>
      </c>
      <c r="AX403" s="20" t="n">
        <v>0</v>
      </c>
      <c r="AY403" s="13">
        <f>MIN(31, AU403+AV403+AW403+AX403)</f>
        <v/>
      </c>
      <c r="AZ403" s="14">
        <f>31-AY403</f>
        <v/>
      </c>
      <c r="BA403" s="21">
        <f>IF(AX403&gt;0, "01-İstirahat", IF(AZ403&gt;0, "12-Birden Fazla", ""))</f>
        <v/>
      </c>
      <c r="BB403" s="10" t="n">
        <v>27</v>
      </c>
      <c r="BC403" s="19" t="n">
        <v>0</v>
      </c>
      <c r="BD403" s="9" t="n">
        <v>0</v>
      </c>
      <c r="BE403" s="22">
        <f>(L403/30)*AU403</f>
        <v/>
      </c>
      <c r="BF403" s="15">
        <f>(L403/225)*((BB403*1.5)-(BC403*1.0))</f>
        <v/>
      </c>
      <c r="BG403" s="16">
        <f>(L403/225)*1.5*BD403</f>
        <v/>
      </c>
      <c r="BH403" s="15">
        <f>BF403+BG403</f>
        <v/>
      </c>
      <c r="BI403" s="17">
        <f>BE403+BH403</f>
        <v/>
      </c>
      <c r="BJ403" s="22">
        <f>IFERROR(VLOOKUP(B403, Resmi_Bordro_SGK!B:M, 11, FALSE), 0)</f>
        <v/>
      </c>
      <c r="BK403" s="18">
        <f>IFERROR(VLOOKUP(B403, Icra_Takip!A:E, 4, FALSE), 0)</f>
        <v/>
      </c>
      <c r="BL403" s="17">
        <f>IF(BI403&gt;BJ403, BI403-BJ403-BK403, 0)</f>
        <v/>
      </c>
      <c r="BM403" s="17">
        <f>BI403-BK403</f>
        <v/>
      </c>
    </row>
    <row r="404" ht="19" customHeight="1">
      <c r="A404" s="4" t="n">
        <v>401</v>
      </c>
      <c r="B404" s="5" t="inlineStr">
        <is>
          <t>14701796544</t>
        </is>
      </c>
      <c r="C404" s="6" t="inlineStr">
        <is>
          <t>YUSUF SAMAR</t>
        </is>
      </c>
      <c r="D404" s="4" t="inlineStr">
        <is>
          <t>E</t>
        </is>
      </c>
      <c r="E404" s="4" t="inlineStr"/>
      <c r="F404" s="4" t="inlineStr">
        <is>
          <t>15.12.2025</t>
        </is>
      </c>
      <c r="G404" s="4" t="inlineStr"/>
      <c r="H404" s="4" t="inlineStr">
        <is>
          <t>NORMAL</t>
        </is>
      </c>
      <c r="I404" s="4" t="inlineStr">
        <is>
          <t>DAİMİ</t>
        </is>
      </c>
      <c r="J404" s="6" t="inlineStr">
        <is>
          <t>MUHASEBE</t>
        </is>
      </c>
      <c r="K404" s="6" t="inlineStr">
        <is>
          <t>KARACABEY</t>
        </is>
      </c>
      <c r="L404" s="7" t="n">
        <v>40000</v>
      </c>
      <c r="M404" s="4" t="inlineStr">
        <is>
          <t>FİDE KONSERVE</t>
        </is>
      </c>
      <c r="N404" s="4" t="inlineStr">
        <is>
          <t>ALIR</t>
        </is>
      </c>
      <c r="O404" s="8" t="n">
        <v>8</v>
      </c>
      <c r="P404" s="8" t="n">
        <v>8.5</v>
      </c>
      <c r="Q404" s="8" t="n">
        <v>0</v>
      </c>
      <c r="R404" s="9" t="n">
        <v>0</v>
      </c>
      <c r="S404" s="8" t="n">
        <v>7.5</v>
      </c>
      <c r="T404" s="8" t="n">
        <v>8.5</v>
      </c>
      <c r="U404" s="8" t="n">
        <v>8</v>
      </c>
      <c r="V404" s="8" t="n">
        <v>8</v>
      </c>
      <c r="W404" s="8" t="n">
        <v>8.5</v>
      </c>
      <c r="X404" s="8" t="n">
        <v>8.5</v>
      </c>
      <c r="Y404" s="9" t="n">
        <v>0</v>
      </c>
      <c r="Z404" s="8" t="n">
        <v>7.5</v>
      </c>
      <c r="AA404" s="8" t="n">
        <v>7.5</v>
      </c>
      <c r="AB404" s="8" t="n">
        <v>8.5</v>
      </c>
      <c r="AC404" s="8" t="n">
        <v>8</v>
      </c>
      <c r="AD404" s="8" t="n">
        <v>7.5</v>
      </c>
      <c r="AE404" s="8" t="n">
        <v>7.5</v>
      </c>
      <c r="AF404" s="9" t="n">
        <v>0</v>
      </c>
      <c r="AG404" s="8" t="n">
        <v>8.5</v>
      </c>
      <c r="AH404" s="8" t="n">
        <v>7.5</v>
      </c>
      <c r="AI404" s="8" t="n">
        <v>7.5</v>
      </c>
      <c r="AJ404" s="8" t="n">
        <v>0</v>
      </c>
      <c r="AK404" s="8" t="n">
        <v>0</v>
      </c>
      <c r="AL404" s="8" t="n">
        <v>0</v>
      </c>
      <c r="AM404" s="9" t="n">
        <v>0</v>
      </c>
      <c r="AN404" s="8" t="n">
        <v>0</v>
      </c>
      <c r="AO404" s="8" t="n">
        <v>0</v>
      </c>
      <c r="AP404" s="8" t="n">
        <v>0</v>
      </c>
      <c r="AQ404" s="8" t="n">
        <v>0</v>
      </c>
      <c r="AR404" s="8" t="n">
        <v>0</v>
      </c>
      <c r="AS404" s="8" t="n">
        <v>0</v>
      </c>
      <c r="AT404" s="10">
        <f>SUM(O404:AS404)</f>
        <v/>
      </c>
      <c r="AU404" s="11">
        <f>COUNTIF(O404:AS404, "&gt;0")</f>
        <v/>
      </c>
      <c r="AV404" s="12">
        <f>IF(AU404&gt;=5, 4, IF(AU404&gt;0, INT(AU404/6), 0))</f>
        <v/>
      </c>
      <c r="AW404" s="11" t="n">
        <v>0</v>
      </c>
      <c r="AX404" s="11" t="n">
        <v>0</v>
      </c>
      <c r="AY404" s="13">
        <f>MIN(31, AU404+AV404+AW404+AX404)</f>
        <v/>
      </c>
      <c r="AZ404" s="14">
        <f>31-AY404</f>
        <v/>
      </c>
      <c r="BA404" s="5">
        <f>IF(AX404&gt;0, "01-İstirahat", IF(AZ404&gt;0, "12-Birden Fazla", ""))</f>
        <v/>
      </c>
      <c r="BB404" s="10" t="n">
        <v>8</v>
      </c>
      <c r="BC404" s="8" t="n">
        <v>0</v>
      </c>
      <c r="BD404" s="9" t="n">
        <v>0</v>
      </c>
      <c r="BE404" s="7">
        <f>(L404/30)*AU404</f>
        <v/>
      </c>
      <c r="BF404" s="15">
        <f>(L404/225)*((BB404*1.5)-(BC404*1.0))</f>
        <v/>
      </c>
      <c r="BG404" s="16">
        <f>(L404/225)*1.5*BD404</f>
        <v/>
      </c>
      <c r="BH404" s="15">
        <f>BF404+BG404</f>
        <v/>
      </c>
      <c r="BI404" s="17">
        <f>BE404+BH404</f>
        <v/>
      </c>
      <c r="BJ404" s="7">
        <f>IFERROR(VLOOKUP(B404, Resmi_Bordro_SGK!B:M, 11, FALSE), 0)</f>
        <v/>
      </c>
      <c r="BK404" s="18">
        <f>IFERROR(VLOOKUP(B404, Icra_Takip!A:E, 4, FALSE), 0)</f>
        <v/>
      </c>
      <c r="BL404" s="17">
        <f>IF(BI404&gt;BJ404, BI404-BJ404-BK404, 0)</f>
        <v/>
      </c>
      <c r="BM404" s="17">
        <f>BI404-BK404</f>
        <v/>
      </c>
    </row>
    <row r="405" ht="19" customHeight="1">
      <c r="A405" s="4" t="n">
        <v>402</v>
      </c>
      <c r="B405" s="5" t="inlineStr"/>
      <c r="C405" s="6" t="inlineStr">
        <is>
          <t>YILMAZ KARACA</t>
        </is>
      </c>
      <c r="D405" s="4" t="inlineStr"/>
      <c r="E405" s="4" t="inlineStr"/>
      <c r="F405" s="4" t="inlineStr"/>
      <c r="G405" s="4" t="inlineStr"/>
      <c r="H405" s="4" t="inlineStr">
        <is>
          <t>NORMAL</t>
        </is>
      </c>
      <c r="I405" s="4" t="inlineStr">
        <is>
          <t>MEVSİMLİK</t>
        </is>
      </c>
      <c r="J405" s="6" t="inlineStr"/>
      <c r="K405" s="6" t="inlineStr"/>
      <c r="L405" s="7" t="n">
        <v>28075.5</v>
      </c>
      <c r="M405" s="4" t="inlineStr">
        <is>
          <t>FİDE KONSERVE</t>
        </is>
      </c>
      <c r="N405" s="4" t="inlineStr">
        <is>
          <t>ALIR</t>
        </is>
      </c>
      <c r="O405" s="19" t="n">
        <v>0</v>
      </c>
      <c r="P405" s="19" t="n">
        <v>0</v>
      </c>
      <c r="Q405" s="19" t="n">
        <v>0</v>
      </c>
      <c r="R405" s="9" t="n">
        <v>0</v>
      </c>
      <c r="S405" s="19" t="n">
        <v>0</v>
      </c>
      <c r="T405" s="19" t="n">
        <v>0</v>
      </c>
      <c r="U405" s="19" t="n">
        <v>0</v>
      </c>
      <c r="V405" s="19" t="n">
        <v>0</v>
      </c>
      <c r="W405" s="19" t="n">
        <v>0</v>
      </c>
      <c r="X405" s="19" t="n">
        <v>0</v>
      </c>
      <c r="Y405" s="9" t="n">
        <v>0</v>
      </c>
      <c r="Z405" s="19" t="n">
        <v>0</v>
      </c>
      <c r="AA405" s="19" t="n">
        <v>0</v>
      </c>
      <c r="AB405" s="19" t="n">
        <v>0</v>
      </c>
      <c r="AC405" s="19" t="n">
        <v>0</v>
      </c>
      <c r="AD405" s="19" t="n">
        <v>0</v>
      </c>
      <c r="AE405" s="19" t="n">
        <v>0</v>
      </c>
      <c r="AF405" s="9" t="n">
        <v>0</v>
      </c>
      <c r="AG405" s="19" t="n">
        <v>0</v>
      </c>
      <c r="AH405" s="19" t="n">
        <v>0</v>
      </c>
      <c r="AI405" s="19" t="n">
        <v>0</v>
      </c>
      <c r="AJ405" s="19" t="n">
        <v>0</v>
      </c>
      <c r="AK405" s="19" t="n">
        <v>0</v>
      </c>
      <c r="AL405" s="19" t="n">
        <v>0</v>
      </c>
      <c r="AM405" s="9" t="n">
        <v>0</v>
      </c>
      <c r="AN405" s="19" t="n">
        <v>0</v>
      </c>
      <c r="AO405" s="19" t="n">
        <v>0</v>
      </c>
      <c r="AP405" s="19" t="n">
        <v>0</v>
      </c>
      <c r="AQ405" s="19" t="n">
        <v>0</v>
      </c>
      <c r="AR405" s="19" t="n">
        <v>0</v>
      </c>
      <c r="AS405" s="19" t="n">
        <v>0</v>
      </c>
      <c r="AT405" s="10">
        <f>SUM(O405:AS405)</f>
        <v/>
      </c>
      <c r="AU405" s="20">
        <f>COUNTIF(O405:AS405, "&gt;0")</f>
        <v/>
      </c>
      <c r="AV405" s="12">
        <f>IF(AU405&gt;=5, 4, IF(AU405&gt;0, INT(AU405/6), 0))</f>
        <v/>
      </c>
      <c r="AW405" s="20" t="n">
        <v>0</v>
      </c>
      <c r="AX405" s="20" t="n">
        <v>0</v>
      </c>
      <c r="AY405" s="13">
        <f>MIN(31, AU405+AV405+AW405+AX405)</f>
        <v/>
      </c>
      <c r="AZ405" s="14">
        <f>31-AY405</f>
        <v/>
      </c>
      <c r="BA405" s="21">
        <f>IF(AX405&gt;0, "01-İstirahat", IF(AZ405&gt;0, "12-Birden Fazla", ""))</f>
        <v/>
      </c>
      <c r="BB405" s="10" t="n">
        <v>0</v>
      </c>
      <c r="BC405" s="19" t="n">
        <v>0</v>
      </c>
      <c r="BD405" s="9" t="n">
        <v>0</v>
      </c>
      <c r="BE405" s="22">
        <f>(L405/30)*AU405</f>
        <v/>
      </c>
      <c r="BF405" s="15">
        <f>(L405/225)*((BB405*1.5)-(BC405*1.0))</f>
        <v/>
      </c>
      <c r="BG405" s="16">
        <f>(L405/225)*1.5*BD405</f>
        <v/>
      </c>
      <c r="BH405" s="15">
        <f>BF405+BG405</f>
        <v/>
      </c>
      <c r="BI405" s="17">
        <f>BE405+BH405</f>
        <v/>
      </c>
      <c r="BJ405" s="22">
        <f>IFERROR(VLOOKUP(B405, Resmi_Bordro_SGK!B:M, 11, FALSE), 0)</f>
        <v/>
      </c>
      <c r="BK405" s="18">
        <f>IFERROR(VLOOKUP(B405, Icra_Takip!A:E, 4, FALSE), 0)</f>
        <v/>
      </c>
      <c r="BL405" s="17">
        <f>IF(BI405&gt;BJ405, BI405-BJ405-BK405, 0)</f>
        <v/>
      </c>
      <c r="BM405" s="17">
        <f>BI405-BK405</f>
        <v/>
      </c>
    </row>
    <row r="406" ht="19" customHeight="1">
      <c r="A406" s="4" t="n">
        <v>403</v>
      </c>
      <c r="B406" s="5" t="inlineStr">
        <is>
          <t>31861120316</t>
        </is>
      </c>
      <c r="C406" s="6" t="inlineStr">
        <is>
          <t>ZAHİDE GÜRBÜZ</t>
        </is>
      </c>
      <c r="D406" s="4" t="inlineStr">
        <is>
          <t>K</t>
        </is>
      </c>
      <c r="E406" s="4" t="inlineStr"/>
      <c r="F406" s="4" t="inlineStr">
        <is>
          <t>06.01.2025</t>
        </is>
      </c>
      <c r="G406" s="4" t="inlineStr"/>
      <c r="H406" s="4" t="inlineStr">
        <is>
          <t>SGDP</t>
        </is>
      </c>
      <c r="I406" s="4" t="inlineStr">
        <is>
          <t>MEVSİMLİK</t>
        </is>
      </c>
      <c r="J406" s="6" t="inlineStr">
        <is>
          <t>BALIK TEMİZLEME</t>
        </is>
      </c>
      <c r="K406" s="6" t="inlineStr">
        <is>
          <t>BALIKESİR</t>
        </is>
      </c>
      <c r="L406" s="7" t="n">
        <v>33000</v>
      </c>
      <c r="M406" s="4" t="inlineStr">
        <is>
          <t>FİDE KONSERVE</t>
        </is>
      </c>
      <c r="N406" s="4" t="inlineStr">
        <is>
          <t>ALIR</t>
        </is>
      </c>
      <c r="O406" s="8" t="n">
        <v>8</v>
      </c>
      <c r="P406" s="8" t="n">
        <v>8.5</v>
      </c>
      <c r="Q406" s="8" t="n">
        <v>8</v>
      </c>
      <c r="R406" s="9" t="n">
        <v>0</v>
      </c>
      <c r="S406" s="8" t="n">
        <v>7.5</v>
      </c>
      <c r="T406" s="8" t="n">
        <v>8</v>
      </c>
      <c r="U406" s="8" t="n">
        <v>8</v>
      </c>
      <c r="V406" s="8" t="n">
        <v>8</v>
      </c>
      <c r="W406" s="8" t="n">
        <v>0</v>
      </c>
      <c r="X406" s="8" t="n">
        <v>8.5</v>
      </c>
      <c r="Y406" s="9" t="n">
        <v>0</v>
      </c>
      <c r="Z406" s="8" t="n">
        <v>7.5</v>
      </c>
      <c r="AA406" s="8" t="n">
        <v>7.5</v>
      </c>
      <c r="AB406" s="8" t="n">
        <v>8.5</v>
      </c>
      <c r="AC406" s="8" t="n">
        <v>7.5</v>
      </c>
      <c r="AD406" s="8" t="n">
        <v>7.5</v>
      </c>
      <c r="AE406" s="8" t="n">
        <v>8.5</v>
      </c>
      <c r="AF406" s="9" t="n">
        <v>0</v>
      </c>
      <c r="AG406" s="8" t="n">
        <v>8</v>
      </c>
      <c r="AH406" s="8" t="n">
        <v>7.5</v>
      </c>
      <c r="AI406" s="8" t="n">
        <v>7.5</v>
      </c>
      <c r="AJ406" s="8" t="n">
        <v>0</v>
      </c>
      <c r="AK406" s="8" t="n">
        <v>0</v>
      </c>
      <c r="AL406" s="8" t="n">
        <v>0</v>
      </c>
      <c r="AM406" s="9" t="n">
        <v>0</v>
      </c>
      <c r="AN406" s="8" t="n">
        <v>0</v>
      </c>
      <c r="AO406" s="8" t="n">
        <v>0</v>
      </c>
      <c r="AP406" s="8" t="n">
        <v>0</v>
      </c>
      <c r="AQ406" s="8" t="n">
        <v>0</v>
      </c>
      <c r="AR406" s="8" t="n">
        <v>0</v>
      </c>
      <c r="AS406" s="8" t="n">
        <v>0</v>
      </c>
      <c r="AT406" s="10">
        <f>SUM(O406:AS406)</f>
        <v/>
      </c>
      <c r="AU406" s="11">
        <f>COUNTIF(O406:AS406, "&gt;0")</f>
        <v/>
      </c>
      <c r="AV406" s="12">
        <f>IF(AU406&gt;=5, 4, IF(AU406&gt;0, INT(AU406/6), 0))</f>
        <v/>
      </c>
      <c r="AW406" s="11" t="n">
        <v>6</v>
      </c>
      <c r="AX406" s="11" t="n">
        <v>0</v>
      </c>
      <c r="AY406" s="13">
        <f>MIN(31, AU406+AV406+AW406+AX406)</f>
        <v/>
      </c>
      <c r="AZ406" s="14">
        <f>31-AY406</f>
        <v/>
      </c>
      <c r="BA406" s="5">
        <f>IF(AX406&gt;0, "01-İstirahat", IF(AZ406&gt;0, "12-Birden Fazla", ""))</f>
        <v/>
      </c>
      <c r="BB406" s="10" t="n">
        <v>7</v>
      </c>
      <c r="BC406" s="8" t="n">
        <v>0</v>
      </c>
      <c r="BD406" s="9" t="n">
        <v>0</v>
      </c>
      <c r="BE406" s="7">
        <f>(L406/30)*AU406</f>
        <v/>
      </c>
      <c r="BF406" s="15">
        <f>(L406/225)*((BB406*1.5)-(BC406*1.0))</f>
        <v/>
      </c>
      <c r="BG406" s="16">
        <f>(L406/225)*1.5*BD406</f>
        <v/>
      </c>
      <c r="BH406" s="15">
        <f>BF406+BG406</f>
        <v/>
      </c>
      <c r="BI406" s="17">
        <f>BE406+BH406</f>
        <v/>
      </c>
      <c r="BJ406" s="7">
        <f>IFERROR(VLOOKUP(B406, Resmi_Bordro_SGK!B:M, 11, FALSE), 0)</f>
        <v/>
      </c>
      <c r="BK406" s="18">
        <f>IFERROR(VLOOKUP(B406, Icra_Takip!A:E, 4, FALSE), 0)</f>
        <v/>
      </c>
      <c r="BL406" s="17">
        <f>IF(BI406&gt;BJ406, BI406-BJ406-BK406, 0)</f>
        <v/>
      </c>
      <c r="BM406" s="17">
        <f>BI406-BK406</f>
        <v/>
      </c>
    </row>
    <row r="407" ht="19" customHeight="1">
      <c r="A407" s="4" t="n">
        <v>404</v>
      </c>
      <c r="B407" s="5" t="inlineStr">
        <is>
          <t>27560597764</t>
        </is>
      </c>
      <c r="C407" s="6" t="inlineStr">
        <is>
          <t>ZAHİDE HAĞİ</t>
        </is>
      </c>
      <c r="D407" s="4" t="inlineStr">
        <is>
          <t>K</t>
        </is>
      </c>
      <c r="E407" s="4" t="inlineStr"/>
      <c r="F407" s="4" t="inlineStr">
        <is>
          <t>18.06.2026</t>
        </is>
      </c>
      <c r="G407" s="4" t="inlineStr"/>
      <c r="H407" s="4" t="inlineStr">
        <is>
          <t>NORMAL</t>
        </is>
      </c>
      <c r="I407" s="4" t="inlineStr">
        <is>
          <t>MEVSİMLİK</t>
        </is>
      </c>
      <c r="J407" s="6" t="inlineStr">
        <is>
          <t>BALIK TEMİZLEME</t>
        </is>
      </c>
      <c r="K407" s="6" t="inlineStr">
        <is>
          <t>KARACABEY-HALİL</t>
        </is>
      </c>
      <c r="L407" s="7" t="n">
        <v>33000</v>
      </c>
      <c r="M407" s="4" t="inlineStr">
        <is>
          <t>FİDE KONSERVE</t>
        </is>
      </c>
      <c r="N407" s="4" t="inlineStr">
        <is>
          <t>ALIR</t>
        </is>
      </c>
      <c r="O407" s="19" t="n">
        <v>8</v>
      </c>
      <c r="P407" s="19" t="n">
        <v>8.5</v>
      </c>
      <c r="Q407" s="19" t="n">
        <v>8</v>
      </c>
      <c r="R407" s="9" t="n">
        <v>0</v>
      </c>
      <c r="S407" s="19" t="n">
        <v>7.5</v>
      </c>
      <c r="T407" s="19" t="n">
        <v>8</v>
      </c>
      <c r="U407" s="19" t="n">
        <v>8</v>
      </c>
      <c r="V407" s="19" t="n">
        <v>8</v>
      </c>
      <c r="W407" s="19" t="n">
        <v>8.5</v>
      </c>
      <c r="X407" s="19" t="n">
        <v>8.5</v>
      </c>
      <c r="Y407" s="9" t="n">
        <v>0</v>
      </c>
      <c r="Z407" s="19" t="n">
        <v>7.5</v>
      </c>
      <c r="AA407" s="19" t="n">
        <v>7.5</v>
      </c>
      <c r="AB407" s="19" t="n">
        <v>8.5</v>
      </c>
      <c r="AC407" s="19" t="n">
        <v>0</v>
      </c>
      <c r="AD407" s="19" t="n">
        <v>0</v>
      </c>
      <c r="AE407" s="19" t="n">
        <v>0</v>
      </c>
      <c r="AF407" s="9" t="n">
        <v>0</v>
      </c>
      <c r="AG407" s="19" t="n">
        <v>8.5</v>
      </c>
      <c r="AH407" s="19" t="n">
        <v>7.5</v>
      </c>
      <c r="AI407" s="19" t="n">
        <v>7.5</v>
      </c>
      <c r="AJ407" s="19" t="n">
        <v>0</v>
      </c>
      <c r="AK407" s="19" t="n">
        <v>0</v>
      </c>
      <c r="AL407" s="19" t="n">
        <v>0</v>
      </c>
      <c r="AM407" s="9" t="n">
        <v>0</v>
      </c>
      <c r="AN407" s="19" t="n">
        <v>0</v>
      </c>
      <c r="AO407" s="19" t="n">
        <v>0</v>
      </c>
      <c r="AP407" s="19" t="n">
        <v>0</v>
      </c>
      <c r="AQ407" s="19" t="n">
        <v>0</v>
      </c>
      <c r="AR407" s="19" t="n">
        <v>0</v>
      </c>
      <c r="AS407" s="19" t="n">
        <v>0</v>
      </c>
      <c r="AT407" s="10">
        <f>SUM(O407:AS407)</f>
        <v/>
      </c>
      <c r="AU407" s="20">
        <f>COUNTIF(O407:AS407, "&gt;0")</f>
        <v/>
      </c>
      <c r="AV407" s="12">
        <f>IF(AU407&gt;=5, 4, IF(AU407&gt;0, INT(AU407/6), 0))</f>
        <v/>
      </c>
      <c r="AW407" s="20" t="n">
        <v>0</v>
      </c>
      <c r="AX407" s="20" t="n">
        <v>0</v>
      </c>
      <c r="AY407" s="13">
        <f>MIN(31, AU407+AV407+AW407+AX407)</f>
        <v/>
      </c>
      <c r="AZ407" s="14">
        <f>31-AY407</f>
        <v/>
      </c>
      <c r="BA407" s="21">
        <f>IF(AX407&gt;0, "01-İstirahat", IF(AZ407&gt;0, "12-Birden Fazla", ""))</f>
        <v/>
      </c>
      <c r="BB407" s="10" t="n">
        <v>7.5</v>
      </c>
      <c r="BC407" s="19" t="n">
        <v>0</v>
      </c>
      <c r="BD407" s="9" t="n">
        <v>0</v>
      </c>
      <c r="BE407" s="22">
        <f>(L407/30)*AU407</f>
        <v/>
      </c>
      <c r="BF407" s="15">
        <f>(L407/225)*((BB407*1.5)-(BC407*1.0))</f>
        <v/>
      </c>
      <c r="BG407" s="16">
        <f>(L407/225)*1.5*BD407</f>
        <v/>
      </c>
      <c r="BH407" s="15">
        <f>BF407+BG407</f>
        <v/>
      </c>
      <c r="BI407" s="17">
        <f>BE407+BH407</f>
        <v/>
      </c>
      <c r="BJ407" s="22">
        <f>IFERROR(VLOOKUP(B407, Resmi_Bordro_SGK!B:M, 11, FALSE), 0)</f>
        <v/>
      </c>
      <c r="BK407" s="18">
        <f>IFERROR(VLOOKUP(B407, Icra_Takip!A:E, 4, FALSE), 0)</f>
        <v/>
      </c>
      <c r="BL407" s="17">
        <f>IF(BI407&gt;BJ407, BI407-BJ407-BK407, 0)</f>
        <v/>
      </c>
      <c r="BM407" s="17">
        <f>BI407-BK407</f>
        <v/>
      </c>
    </row>
    <row r="408" ht="19" customHeight="1">
      <c r="A408" s="4" t="n">
        <v>405</v>
      </c>
      <c r="B408" s="5" t="inlineStr">
        <is>
          <t>31552110794</t>
        </is>
      </c>
      <c r="C408" s="6" t="inlineStr">
        <is>
          <t>ZAHİDE KALDEMİR</t>
        </is>
      </c>
      <c r="D408" s="4" t="inlineStr">
        <is>
          <t>K</t>
        </is>
      </c>
      <c r="E408" s="4" t="inlineStr"/>
      <c r="F408" s="4" t="inlineStr">
        <is>
          <t>08.05.2026</t>
        </is>
      </c>
      <c r="G408" s="4" t="inlineStr"/>
      <c r="H408" s="4" t="inlineStr">
        <is>
          <t>NORMAL</t>
        </is>
      </c>
      <c r="I408" s="4" t="inlineStr">
        <is>
          <t>MEVSİMLİK</t>
        </is>
      </c>
      <c r="J408" s="6" t="inlineStr">
        <is>
          <t>BALIK TEMİZLEME</t>
        </is>
      </c>
      <c r="K408" s="6" t="inlineStr">
        <is>
          <t>GÜVEN TURİZM-MKP</t>
        </is>
      </c>
      <c r="L408" s="7" t="n">
        <v>33000</v>
      </c>
      <c r="M408" s="4" t="inlineStr">
        <is>
          <t>FİDE KONSERVE</t>
        </is>
      </c>
      <c r="N408" s="4" t="inlineStr">
        <is>
          <t>ALIR</t>
        </is>
      </c>
      <c r="O408" s="8" t="n">
        <v>8</v>
      </c>
      <c r="P408" s="8" t="n">
        <v>8.5</v>
      </c>
      <c r="Q408" s="8" t="n">
        <v>8</v>
      </c>
      <c r="R408" s="9" t="n">
        <v>0</v>
      </c>
      <c r="S408" s="8" t="n">
        <v>7.5</v>
      </c>
      <c r="T408" s="8" t="n">
        <v>8.5</v>
      </c>
      <c r="U408" s="8" t="n">
        <v>8</v>
      </c>
      <c r="V408" s="8" t="n">
        <v>8</v>
      </c>
      <c r="W408" s="8" t="n">
        <v>8.5</v>
      </c>
      <c r="X408" s="8" t="n">
        <v>8.5</v>
      </c>
      <c r="Y408" s="9" t="n">
        <v>0</v>
      </c>
      <c r="Z408" s="8" t="n">
        <v>7.5</v>
      </c>
      <c r="AA408" s="8" t="n">
        <v>7.5</v>
      </c>
      <c r="AB408" s="8" t="n">
        <v>8.5</v>
      </c>
      <c r="AC408" s="8" t="n">
        <v>7.5</v>
      </c>
      <c r="AD408" s="8" t="n">
        <v>8</v>
      </c>
      <c r="AE408" s="8" t="n">
        <v>8.5</v>
      </c>
      <c r="AF408" s="9" t="n">
        <v>0</v>
      </c>
      <c r="AG408" s="8" t="n">
        <v>8.5</v>
      </c>
      <c r="AH408" s="8" t="n">
        <v>7.5</v>
      </c>
      <c r="AI408" s="8" t="n">
        <v>7.5</v>
      </c>
      <c r="AJ408" s="8" t="n">
        <v>0</v>
      </c>
      <c r="AK408" s="8" t="n">
        <v>0</v>
      </c>
      <c r="AL408" s="8" t="n">
        <v>0</v>
      </c>
      <c r="AM408" s="9" t="n">
        <v>0</v>
      </c>
      <c r="AN408" s="8" t="n">
        <v>0</v>
      </c>
      <c r="AO408" s="8" t="n">
        <v>0</v>
      </c>
      <c r="AP408" s="8" t="n">
        <v>0</v>
      </c>
      <c r="AQ408" s="8" t="n">
        <v>0</v>
      </c>
      <c r="AR408" s="8" t="n">
        <v>0</v>
      </c>
      <c r="AS408" s="8" t="n">
        <v>0</v>
      </c>
      <c r="AT408" s="10">
        <f>SUM(O408:AS408)</f>
        <v/>
      </c>
      <c r="AU408" s="11">
        <f>COUNTIF(O408:AS408, "&gt;0")</f>
        <v/>
      </c>
      <c r="AV408" s="12">
        <f>IF(AU408&gt;=5, 4, IF(AU408&gt;0, INT(AU408/6), 0))</f>
        <v/>
      </c>
      <c r="AW408" s="11" t="n">
        <v>0</v>
      </c>
      <c r="AX408" s="11" t="n">
        <v>0</v>
      </c>
      <c r="AY408" s="13">
        <f>MIN(31, AU408+AV408+AW408+AX408)</f>
        <v/>
      </c>
      <c r="AZ408" s="14">
        <f>31-AY408</f>
        <v/>
      </c>
      <c r="BA408" s="5">
        <f>IF(AX408&gt;0, "01-İstirahat", IF(AZ408&gt;0, "12-Birden Fazla", ""))</f>
        <v/>
      </c>
      <c r="BB408" s="10" t="n">
        <v>9.5</v>
      </c>
      <c r="BC408" s="8" t="n">
        <v>0</v>
      </c>
      <c r="BD408" s="9" t="n">
        <v>0</v>
      </c>
      <c r="BE408" s="7">
        <f>(L408/30)*AU408</f>
        <v/>
      </c>
      <c r="BF408" s="15">
        <f>(L408/225)*((BB408*1.5)-(BC408*1.0))</f>
        <v/>
      </c>
      <c r="BG408" s="16">
        <f>(L408/225)*1.5*BD408</f>
        <v/>
      </c>
      <c r="BH408" s="15">
        <f>BF408+BG408</f>
        <v/>
      </c>
      <c r="BI408" s="17">
        <f>BE408+BH408</f>
        <v/>
      </c>
      <c r="BJ408" s="7">
        <f>IFERROR(VLOOKUP(B408, Resmi_Bordro_SGK!B:M, 11, FALSE), 0)</f>
        <v/>
      </c>
      <c r="BK408" s="18">
        <f>IFERROR(VLOOKUP(B408, Icra_Takip!A:E, 4, FALSE), 0)</f>
        <v/>
      </c>
      <c r="BL408" s="17">
        <f>IF(BI408&gt;BJ408, BI408-BJ408-BK408, 0)</f>
        <v/>
      </c>
      <c r="BM408" s="17">
        <f>BI408-BK408</f>
        <v/>
      </c>
    </row>
    <row r="409" ht="19" customHeight="1">
      <c r="A409" s="4" t="n">
        <v>406</v>
      </c>
      <c r="B409" s="5" t="inlineStr">
        <is>
          <t>34486535794</t>
        </is>
      </c>
      <c r="C409" s="6" t="inlineStr">
        <is>
          <t>ZAHİDE ÖKÇE</t>
        </is>
      </c>
      <c r="D409" s="4" t="inlineStr">
        <is>
          <t>K</t>
        </is>
      </c>
      <c r="E409" s="4" t="inlineStr"/>
      <c r="F409" s="4" t="inlineStr">
        <is>
          <t>13.08.2026</t>
        </is>
      </c>
      <c r="G409" s="4" t="inlineStr"/>
      <c r="H409" s="4" t="inlineStr">
        <is>
          <t>NORMAL</t>
        </is>
      </c>
      <c r="I409" s="4" t="inlineStr">
        <is>
          <t>MEVSİMLİK</t>
        </is>
      </c>
      <c r="J409" s="6" t="inlineStr">
        <is>
          <t>ÜRETİM</t>
        </is>
      </c>
      <c r="K409" s="6" t="inlineStr">
        <is>
          <t>GÜVEN</t>
        </is>
      </c>
      <c r="L409" s="7" t="n">
        <v>28075.5</v>
      </c>
      <c r="M409" s="4" t="inlineStr">
        <is>
          <t>FİDE KONSERVE</t>
        </is>
      </c>
      <c r="N409" s="4" t="inlineStr">
        <is>
          <t>ALIR</t>
        </is>
      </c>
      <c r="O409" s="19" t="n">
        <v>0</v>
      </c>
      <c r="P409" s="19" t="n">
        <v>0</v>
      </c>
      <c r="Q409" s="19" t="n">
        <v>0</v>
      </c>
      <c r="R409" s="9" t="n">
        <v>0</v>
      </c>
      <c r="S409" s="19" t="n">
        <v>0</v>
      </c>
      <c r="T409" s="19" t="n">
        <v>0</v>
      </c>
      <c r="U409" s="19" t="n">
        <v>0</v>
      </c>
      <c r="V409" s="19" t="n">
        <v>0</v>
      </c>
      <c r="W409" s="19" t="n">
        <v>0</v>
      </c>
      <c r="X409" s="19" t="n">
        <v>0</v>
      </c>
      <c r="Y409" s="9" t="n">
        <v>0</v>
      </c>
      <c r="Z409" s="19" t="n">
        <v>0</v>
      </c>
      <c r="AA409" s="19" t="n">
        <v>0</v>
      </c>
      <c r="AB409" s="19" t="n">
        <v>0</v>
      </c>
      <c r="AC409" s="19" t="n">
        <v>0</v>
      </c>
      <c r="AD409" s="19" t="n">
        <v>0</v>
      </c>
      <c r="AE409" s="19" t="n">
        <v>0</v>
      </c>
      <c r="AF409" s="9" t="n">
        <v>0</v>
      </c>
      <c r="AG409" s="19" t="n">
        <v>0</v>
      </c>
      <c r="AH409" s="19" t="n">
        <v>0</v>
      </c>
      <c r="AI409" s="19" t="n">
        <v>0</v>
      </c>
      <c r="AJ409" s="19" t="n">
        <v>0</v>
      </c>
      <c r="AK409" s="19" t="n">
        <v>0</v>
      </c>
      <c r="AL409" s="19" t="n">
        <v>0</v>
      </c>
      <c r="AM409" s="9" t="n">
        <v>0</v>
      </c>
      <c r="AN409" s="19" t="n">
        <v>0</v>
      </c>
      <c r="AO409" s="19" t="n">
        <v>0</v>
      </c>
      <c r="AP409" s="19" t="n">
        <v>0</v>
      </c>
      <c r="AQ409" s="19" t="n">
        <v>0</v>
      </c>
      <c r="AR409" s="19" t="n">
        <v>0</v>
      </c>
      <c r="AS409" s="19" t="n">
        <v>0</v>
      </c>
      <c r="AT409" s="10">
        <f>SUM(O409:AS409)</f>
        <v/>
      </c>
      <c r="AU409" s="20">
        <f>COUNTIF(O409:AS409, "&gt;0")</f>
        <v/>
      </c>
      <c r="AV409" s="12">
        <f>IF(AU409&gt;=5, 4, IF(AU409&gt;0, INT(AU409/6), 0))</f>
        <v/>
      </c>
      <c r="AW409" s="20" t="n">
        <v>0</v>
      </c>
      <c r="AX409" s="20" t="n">
        <v>0</v>
      </c>
      <c r="AY409" s="13">
        <f>MIN(31, AU409+AV409+AW409+AX409)</f>
        <v/>
      </c>
      <c r="AZ409" s="14">
        <f>31-AY409</f>
        <v/>
      </c>
      <c r="BA409" s="21">
        <f>IF(AX409&gt;0, "01-İstirahat", IF(AZ409&gt;0, "12-Birden Fazla", ""))</f>
        <v/>
      </c>
      <c r="BB409" s="10" t="n">
        <v>0</v>
      </c>
      <c r="BC409" s="19" t="n">
        <v>0</v>
      </c>
      <c r="BD409" s="9" t="n">
        <v>0</v>
      </c>
      <c r="BE409" s="22">
        <f>(L409/30)*AU409</f>
        <v/>
      </c>
      <c r="BF409" s="15">
        <f>(L409/225)*((BB409*1.5)-(BC409*1.0))</f>
        <v/>
      </c>
      <c r="BG409" s="16">
        <f>(L409/225)*1.5*BD409</f>
        <v/>
      </c>
      <c r="BH409" s="15">
        <f>BF409+BG409</f>
        <v/>
      </c>
      <c r="BI409" s="17">
        <f>BE409+BH409</f>
        <v/>
      </c>
      <c r="BJ409" s="22">
        <f>IFERROR(VLOOKUP(B409, Resmi_Bordro_SGK!B:M, 11, FALSE), 0)</f>
        <v/>
      </c>
      <c r="BK409" s="18">
        <f>IFERROR(VLOOKUP(B409, Icra_Takip!A:E, 4, FALSE), 0)</f>
        <v/>
      </c>
      <c r="BL409" s="17">
        <f>IF(BI409&gt;BJ409, BI409-BJ409-BK409, 0)</f>
        <v/>
      </c>
      <c r="BM409" s="17">
        <f>BI409-BK409</f>
        <v/>
      </c>
    </row>
    <row r="410" ht="19" customHeight="1">
      <c r="A410" s="4" t="n">
        <v>407</v>
      </c>
      <c r="B410" s="5" t="inlineStr">
        <is>
          <t>22249543988</t>
        </is>
      </c>
      <c r="C410" s="6" t="inlineStr">
        <is>
          <t>ZAHİDE NEDİRLİ</t>
        </is>
      </c>
      <c r="D410" s="4" t="inlineStr">
        <is>
          <t>K</t>
        </is>
      </c>
      <c r="E410" s="4" t="inlineStr"/>
      <c r="F410" s="4" t="inlineStr">
        <is>
          <t>19.07.2023</t>
        </is>
      </c>
      <c r="G410" s="4" t="inlineStr"/>
      <c r="H410" s="4" t="inlineStr">
        <is>
          <t>SGDP</t>
        </is>
      </c>
      <c r="I410" s="4" t="inlineStr">
        <is>
          <t>DAİMİ</t>
        </is>
      </c>
      <c r="J410" s="6" t="inlineStr">
        <is>
          <t>KALİTE</t>
        </is>
      </c>
      <c r="K410" s="6" t="inlineStr">
        <is>
          <t>KARACABEY</t>
        </is>
      </c>
      <c r="L410" s="7" t="n">
        <v>50000</v>
      </c>
      <c r="M410" s="4" t="inlineStr">
        <is>
          <t>FİDE KONSERVE</t>
        </is>
      </c>
      <c r="N410" s="4" t="inlineStr">
        <is>
          <t>ALMAZ</t>
        </is>
      </c>
      <c r="O410" s="8" t="n">
        <v>8</v>
      </c>
      <c r="P410" s="8" t="n">
        <v>8.5</v>
      </c>
      <c r="Q410" s="8" t="n">
        <v>7.5</v>
      </c>
      <c r="R410" s="9" t="n">
        <v>0</v>
      </c>
      <c r="S410" s="8" t="n">
        <v>7.5</v>
      </c>
      <c r="T410" s="8" t="n">
        <v>8</v>
      </c>
      <c r="U410" s="8" t="n">
        <v>8</v>
      </c>
      <c r="V410" s="8" t="n">
        <v>8</v>
      </c>
      <c r="W410" s="8" t="n">
        <v>8</v>
      </c>
      <c r="X410" s="8" t="n">
        <v>8.5</v>
      </c>
      <c r="Y410" s="9" t="n">
        <v>4.5</v>
      </c>
      <c r="Z410" s="8" t="n">
        <v>7.5</v>
      </c>
      <c r="AA410" s="8" t="n">
        <v>7.5</v>
      </c>
      <c r="AB410" s="8" t="n">
        <v>8.5</v>
      </c>
      <c r="AC410" s="8" t="n">
        <v>7.5</v>
      </c>
      <c r="AD410" s="8" t="n">
        <v>8</v>
      </c>
      <c r="AE410" s="8" t="n">
        <v>8.5</v>
      </c>
      <c r="AF410" s="9" t="n">
        <v>0</v>
      </c>
      <c r="AG410" s="8" t="n">
        <v>8</v>
      </c>
      <c r="AH410" s="8" t="n">
        <v>7.5</v>
      </c>
      <c r="AI410" s="8" t="n">
        <v>7.5</v>
      </c>
      <c r="AJ410" s="8" t="n">
        <v>0</v>
      </c>
      <c r="AK410" s="8" t="n">
        <v>0</v>
      </c>
      <c r="AL410" s="8" t="n">
        <v>0</v>
      </c>
      <c r="AM410" s="9" t="n">
        <v>0</v>
      </c>
      <c r="AN410" s="8" t="n">
        <v>0</v>
      </c>
      <c r="AO410" s="8" t="n">
        <v>0</v>
      </c>
      <c r="AP410" s="8" t="n">
        <v>0</v>
      </c>
      <c r="AQ410" s="8" t="n">
        <v>0</v>
      </c>
      <c r="AR410" s="8" t="n">
        <v>0</v>
      </c>
      <c r="AS410" s="8" t="n">
        <v>0</v>
      </c>
      <c r="AT410" s="10">
        <f>SUM(O410:AS410)</f>
        <v/>
      </c>
      <c r="AU410" s="11">
        <f>COUNTIF(O410:AS410, "&gt;0")</f>
        <v/>
      </c>
      <c r="AV410" s="12">
        <f>IF(AU410&gt;=5, 4, IF(AU410&gt;0, INT(AU410/6), 0))</f>
        <v/>
      </c>
      <c r="AW410" s="11" t="n">
        <v>0</v>
      </c>
      <c r="AX410" s="11" t="n">
        <v>0</v>
      </c>
      <c r="AY410" s="13">
        <f>MIN(31, AU410+AV410+AW410+AX410)</f>
        <v/>
      </c>
      <c r="AZ410" s="14">
        <f>31-AY410</f>
        <v/>
      </c>
      <c r="BA410" s="5">
        <f>IF(AX410&gt;0, "01-İstirahat", IF(AZ410&gt;0, "12-Birden Fazla", ""))</f>
        <v/>
      </c>
      <c r="BB410" s="10" t="n">
        <v>7.5</v>
      </c>
      <c r="BC410" s="8" t="n">
        <v>0</v>
      </c>
      <c r="BD410" s="9" t="n">
        <v>4.5</v>
      </c>
      <c r="BE410" s="7">
        <f>(L410/30)*AU410</f>
        <v/>
      </c>
      <c r="BF410" s="15">
        <f>(L410/225)*((BB410*1.5)-(BC410*1.0))</f>
        <v/>
      </c>
      <c r="BG410" s="16">
        <f>(L410/225)*1.5*BD410</f>
        <v/>
      </c>
      <c r="BH410" s="15">
        <f>BF410+BG410</f>
        <v/>
      </c>
      <c r="BI410" s="17">
        <f>BE410+BH410</f>
        <v/>
      </c>
      <c r="BJ410" s="7">
        <f>IFERROR(VLOOKUP(B410, Resmi_Bordro_SGK!B:M, 11, FALSE), 0)</f>
        <v/>
      </c>
      <c r="BK410" s="18">
        <f>IFERROR(VLOOKUP(B410, Icra_Takip!A:E, 4, FALSE), 0)</f>
        <v/>
      </c>
      <c r="BL410" s="17">
        <f>IF(BI410&gt;BJ410, BI410-BJ410-BK410, 0)</f>
        <v/>
      </c>
      <c r="BM410" s="17">
        <f>BI410-BK410</f>
        <v/>
      </c>
    </row>
    <row r="411" ht="19" customHeight="1">
      <c r="A411" s="4" t="n">
        <v>408</v>
      </c>
      <c r="B411" s="5" t="inlineStr"/>
      <c r="C411" s="6" t="inlineStr">
        <is>
          <t>ZAHİDE SİYMEN</t>
        </is>
      </c>
      <c r="D411" s="4" t="inlineStr"/>
      <c r="E411" s="4" t="inlineStr"/>
      <c r="F411" s="4" t="inlineStr"/>
      <c r="G411" s="4" t="inlineStr"/>
      <c r="H411" s="4" t="inlineStr">
        <is>
          <t>NORMAL</t>
        </is>
      </c>
      <c r="I411" s="4" t="inlineStr">
        <is>
          <t>MEVSİMLİK</t>
        </is>
      </c>
      <c r="J411" s="6" t="inlineStr"/>
      <c r="K411" s="6" t="inlineStr"/>
      <c r="L411" s="7" t="n">
        <v>28075.5</v>
      </c>
      <c r="M411" s="4" t="inlineStr">
        <is>
          <t>FİDE KONSERVE</t>
        </is>
      </c>
      <c r="N411" s="4" t="inlineStr">
        <is>
          <t>ALIR</t>
        </is>
      </c>
      <c r="O411" s="19" t="n">
        <v>0</v>
      </c>
      <c r="P411" s="19" t="n">
        <v>0</v>
      </c>
      <c r="Q411" s="19" t="n">
        <v>0</v>
      </c>
      <c r="R411" s="9" t="n">
        <v>0</v>
      </c>
      <c r="S411" s="19" t="n">
        <v>0</v>
      </c>
      <c r="T411" s="19" t="n">
        <v>0</v>
      </c>
      <c r="U411" s="19" t="n">
        <v>0</v>
      </c>
      <c r="V411" s="19" t="n">
        <v>0</v>
      </c>
      <c r="W411" s="19" t="n">
        <v>0</v>
      </c>
      <c r="X411" s="19" t="n">
        <v>0</v>
      </c>
      <c r="Y411" s="9" t="n">
        <v>0</v>
      </c>
      <c r="Z411" s="19" t="n">
        <v>0</v>
      </c>
      <c r="AA411" s="19" t="n">
        <v>0</v>
      </c>
      <c r="AB411" s="19" t="n">
        <v>0</v>
      </c>
      <c r="AC411" s="19" t="n">
        <v>0</v>
      </c>
      <c r="AD411" s="19" t="n">
        <v>0</v>
      </c>
      <c r="AE411" s="19" t="n">
        <v>0</v>
      </c>
      <c r="AF411" s="9" t="n">
        <v>0</v>
      </c>
      <c r="AG411" s="19" t="n">
        <v>0</v>
      </c>
      <c r="AH411" s="19" t="n">
        <v>0</v>
      </c>
      <c r="AI411" s="19" t="n">
        <v>0</v>
      </c>
      <c r="AJ411" s="19" t="n">
        <v>0</v>
      </c>
      <c r="AK411" s="19" t="n">
        <v>0</v>
      </c>
      <c r="AL411" s="19" t="n">
        <v>0</v>
      </c>
      <c r="AM411" s="9" t="n">
        <v>0</v>
      </c>
      <c r="AN411" s="19" t="n">
        <v>0</v>
      </c>
      <c r="AO411" s="19" t="n">
        <v>0</v>
      </c>
      <c r="AP411" s="19" t="n">
        <v>0</v>
      </c>
      <c r="AQ411" s="19" t="n">
        <v>0</v>
      </c>
      <c r="AR411" s="19" t="n">
        <v>0</v>
      </c>
      <c r="AS411" s="19" t="n">
        <v>0</v>
      </c>
      <c r="AT411" s="10">
        <f>SUM(O411:AS411)</f>
        <v/>
      </c>
      <c r="AU411" s="20">
        <f>COUNTIF(O411:AS411, "&gt;0")</f>
        <v/>
      </c>
      <c r="AV411" s="12">
        <f>IF(AU411&gt;=5, 4, IF(AU411&gt;0, INT(AU411/6), 0))</f>
        <v/>
      </c>
      <c r="AW411" s="20" t="n">
        <v>0</v>
      </c>
      <c r="AX411" s="20" t="n">
        <v>0</v>
      </c>
      <c r="AY411" s="13">
        <f>MIN(31, AU411+AV411+AW411+AX411)</f>
        <v/>
      </c>
      <c r="AZ411" s="14">
        <f>31-AY411</f>
        <v/>
      </c>
      <c r="BA411" s="21">
        <f>IF(AX411&gt;0, "01-İstirahat", IF(AZ411&gt;0, "12-Birden Fazla", ""))</f>
        <v/>
      </c>
      <c r="BB411" s="10" t="n">
        <v>0</v>
      </c>
      <c r="BC411" s="19" t="n">
        <v>0</v>
      </c>
      <c r="BD411" s="9" t="n">
        <v>0</v>
      </c>
      <c r="BE411" s="22">
        <f>(L411/30)*AU411</f>
        <v/>
      </c>
      <c r="BF411" s="15">
        <f>(L411/225)*((BB411*1.5)-(BC411*1.0))</f>
        <v/>
      </c>
      <c r="BG411" s="16">
        <f>(L411/225)*1.5*BD411</f>
        <v/>
      </c>
      <c r="BH411" s="15">
        <f>BF411+BG411</f>
        <v/>
      </c>
      <c r="BI411" s="17">
        <f>BE411+BH411</f>
        <v/>
      </c>
      <c r="BJ411" s="22">
        <f>IFERROR(VLOOKUP(B411, Resmi_Bordro_SGK!B:M, 11, FALSE), 0)</f>
        <v/>
      </c>
      <c r="BK411" s="18">
        <f>IFERROR(VLOOKUP(B411, Icra_Takip!A:E, 4, FALSE), 0)</f>
        <v/>
      </c>
      <c r="BL411" s="17">
        <f>IF(BI411&gt;BJ411, BI411-BJ411-BK411, 0)</f>
        <v/>
      </c>
      <c r="BM411" s="17">
        <f>BI411-BK411</f>
        <v/>
      </c>
    </row>
    <row r="412" ht="19" customHeight="1">
      <c r="A412" s="4" t="n">
        <v>409</v>
      </c>
      <c r="B412" s="5" t="inlineStr"/>
      <c r="C412" s="6" t="inlineStr">
        <is>
          <t>ZEBEYDE GÖBEL</t>
        </is>
      </c>
      <c r="D412" s="4" t="inlineStr"/>
      <c r="E412" s="4" t="inlineStr"/>
      <c r="F412" s="4" t="inlineStr"/>
      <c r="G412" s="4" t="inlineStr"/>
      <c r="H412" s="4" t="inlineStr">
        <is>
          <t>NORMAL</t>
        </is>
      </c>
      <c r="I412" s="4" t="inlineStr">
        <is>
          <t>MEVSİMLİK</t>
        </is>
      </c>
      <c r="J412" s="6" t="inlineStr"/>
      <c r="K412" s="6" t="inlineStr"/>
      <c r="L412" s="7" t="n">
        <v>28075.5</v>
      </c>
      <c r="M412" s="4" t="inlineStr">
        <is>
          <t>FİDE KONSERVE</t>
        </is>
      </c>
      <c r="N412" s="4" t="inlineStr">
        <is>
          <t>ALIR</t>
        </is>
      </c>
      <c r="O412" s="8" t="n">
        <v>0</v>
      </c>
      <c r="P412" s="8" t="n">
        <v>0</v>
      </c>
      <c r="Q412" s="8" t="n">
        <v>0</v>
      </c>
      <c r="R412" s="9" t="n">
        <v>0</v>
      </c>
      <c r="S412" s="8" t="n">
        <v>0</v>
      </c>
      <c r="T412" s="8" t="n">
        <v>0</v>
      </c>
      <c r="U412" s="8" t="n">
        <v>0</v>
      </c>
      <c r="V412" s="8" t="n">
        <v>0</v>
      </c>
      <c r="W412" s="8" t="n">
        <v>0</v>
      </c>
      <c r="X412" s="8" t="n">
        <v>0</v>
      </c>
      <c r="Y412" s="9" t="n">
        <v>0</v>
      </c>
      <c r="Z412" s="8" t="n">
        <v>0</v>
      </c>
      <c r="AA412" s="8" t="n">
        <v>0</v>
      </c>
      <c r="AB412" s="8" t="n">
        <v>0</v>
      </c>
      <c r="AC412" s="8" t="n">
        <v>0</v>
      </c>
      <c r="AD412" s="8" t="n">
        <v>0</v>
      </c>
      <c r="AE412" s="8" t="n">
        <v>0</v>
      </c>
      <c r="AF412" s="9" t="n">
        <v>0</v>
      </c>
      <c r="AG412" s="8" t="n">
        <v>0</v>
      </c>
      <c r="AH412" s="8" t="n">
        <v>0</v>
      </c>
      <c r="AI412" s="8" t="n">
        <v>0</v>
      </c>
      <c r="AJ412" s="8" t="n">
        <v>0</v>
      </c>
      <c r="AK412" s="8" t="n">
        <v>0</v>
      </c>
      <c r="AL412" s="8" t="n">
        <v>0</v>
      </c>
      <c r="AM412" s="9" t="n">
        <v>0</v>
      </c>
      <c r="AN412" s="8" t="n">
        <v>0</v>
      </c>
      <c r="AO412" s="8" t="n">
        <v>0</v>
      </c>
      <c r="AP412" s="8" t="n">
        <v>0</v>
      </c>
      <c r="AQ412" s="8" t="n">
        <v>0</v>
      </c>
      <c r="AR412" s="8" t="n">
        <v>0</v>
      </c>
      <c r="AS412" s="8" t="n">
        <v>0</v>
      </c>
      <c r="AT412" s="10">
        <f>SUM(O412:AS412)</f>
        <v/>
      </c>
      <c r="AU412" s="11">
        <f>COUNTIF(O412:AS412, "&gt;0")</f>
        <v/>
      </c>
      <c r="AV412" s="12">
        <f>IF(AU412&gt;=5, 4, IF(AU412&gt;0, INT(AU412/6), 0))</f>
        <v/>
      </c>
      <c r="AW412" s="11" t="n">
        <v>0</v>
      </c>
      <c r="AX412" s="11" t="n">
        <v>0</v>
      </c>
      <c r="AY412" s="13">
        <f>MIN(31, AU412+AV412+AW412+AX412)</f>
        <v/>
      </c>
      <c r="AZ412" s="14">
        <f>31-AY412</f>
        <v/>
      </c>
      <c r="BA412" s="5">
        <f>IF(AX412&gt;0, "01-İstirahat", IF(AZ412&gt;0, "12-Birden Fazla", ""))</f>
        <v/>
      </c>
      <c r="BB412" s="10" t="n">
        <v>0</v>
      </c>
      <c r="BC412" s="8" t="n">
        <v>0</v>
      </c>
      <c r="BD412" s="9" t="n">
        <v>0</v>
      </c>
      <c r="BE412" s="7">
        <f>(L412/30)*AU412</f>
        <v/>
      </c>
      <c r="BF412" s="15">
        <f>(L412/225)*((BB412*1.5)-(BC412*1.0))</f>
        <v/>
      </c>
      <c r="BG412" s="16">
        <f>(L412/225)*1.5*BD412</f>
        <v/>
      </c>
      <c r="BH412" s="15">
        <f>BF412+BG412</f>
        <v/>
      </c>
      <c r="BI412" s="17">
        <f>BE412+BH412</f>
        <v/>
      </c>
      <c r="BJ412" s="7">
        <f>IFERROR(VLOOKUP(B412, Resmi_Bordro_SGK!B:M, 11, FALSE), 0)</f>
        <v/>
      </c>
      <c r="BK412" s="18">
        <f>IFERROR(VLOOKUP(B412, Icra_Takip!A:E, 4, FALSE), 0)</f>
        <v/>
      </c>
      <c r="BL412" s="17">
        <f>IF(BI412&gt;BJ412, BI412-BJ412-BK412, 0)</f>
        <v/>
      </c>
      <c r="BM412" s="17">
        <f>BI412-BK412</f>
        <v/>
      </c>
    </row>
    <row r="413" ht="19" customHeight="1">
      <c r="A413" s="4" t="n">
        <v>410</v>
      </c>
      <c r="B413" s="5" t="inlineStr">
        <is>
          <t>10820807680</t>
        </is>
      </c>
      <c r="C413" s="6" t="inlineStr">
        <is>
          <t>ZEHRA ONUK</t>
        </is>
      </c>
      <c r="D413" s="4" t="inlineStr">
        <is>
          <t>K</t>
        </is>
      </c>
      <c r="E413" s="4" t="inlineStr"/>
      <c r="F413" s="4" t="inlineStr">
        <is>
          <t>27.06.2026</t>
        </is>
      </c>
      <c r="G413" s="4" t="inlineStr"/>
      <c r="H413" s="4" t="inlineStr">
        <is>
          <t>NORMAL</t>
        </is>
      </c>
      <c r="I413" s="4" t="inlineStr">
        <is>
          <t>MEVSİMLİK</t>
        </is>
      </c>
      <c r="J413" s="6" t="inlineStr">
        <is>
          <t>ÜRETİM</t>
        </is>
      </c>
      <c r="K413" s="6" t="inlineStr">
        <is>
          <t>KARACABEY-HALİL</t>
        </is>
      </c>
      <c r="L413" s="7" t="n">
        <v>28075.5</v>
      </c>
      <c r="M413" s="4" t="inlineStr">
        <is>
          <t>FİDE KONSERVE</t>
        </is>
      </c>
      <c r="N413" s="4" t="inlineStr">
        <is>
          <t>ALIR</t>
        </is>
      </c>
      <c r="O413" s="19" t="n">
        <v>8</v>
      </c>
      <c r="P413" s="19" t="n">
        <v>8.5</v>
      </c>
      <c r="Q413" s="19" t="n">
        <v>8</v>
      </c>
      <c r="R413" s="9" t="n">
        <v>0</v>
      </c>
      <c r="S413" s="23" t="n">
        <v>7.5</v>
      </c>
      <c r="T413" s="19" t="n">
        <v>8.5</v>
      </c>
      <c r="U413" s="19" t="n">
        <v>8</v>
      </c>
      <c r="V413" s="19" t="n">
        <v>8</v>
      </c>
      <c r="W413" s="19" t="n">
        <v>7.5</v>
      </c>
      <c r="X413" s="19" t="n">
        <v>8.5</v>
      </c>
      <c r="Y413" s="9" t="n">
        <v>7</v>
      </c>
      <c r="Z413" s="19" t="n">
        <v>0</v>
      </c>
      <c r="AA413" s="19" t="n">
        <v>7.5</v>
      </c>
      <c r="AB413" s="19" t="n">
        <v>8.5</v>
      </c>
      <c r="AC413" s="19" t="n">
        <v>7.5</v>
      </c>
      <c r="AD413" s="19" t="n">
        <v>7.5</v>
      </c>
      <c r="AE413" s="19" t="n">
        <v>8.5</v>
      </c>
      <c r="AF413" s="9" t="n">
        <v>0</v>
      </c>
      <c r="AG413" s="19" t="n">
        <v>8.5</v>
      </c>
      <c r="AH413" s="19" t="n">
        <v>7.5</v>
      </c>
      <c r="AI413" s="19" t="n">
        <v>7.5</v>
      </c>
      <c r="AJ413" s="19" t="n">
        <v>0</v>
      </c>
      <c r="AK413" s="19" t="n">
        <v>0</v>
      </c>
      <c r="AL413" s="19" t="n">
        <v>0</v>
      </c>
      <c r="AM413" s="9" t="n">
        <v>0</v>
      </c>
      <c r="AN413" s="19" t="n">
        <v>0</v>
      </c>
      <c r="AO413" s="19" t="n">
        <v>0</v>
      </c>
      <c r="AP413" s="19" t="n">
        <v>0</v>
      </c>
      <c r="AQ413" s="19" t="n">
        <v>0</v>
      </c>
      <c r="AR413" s="19" t="n">
        <v>0</v>
      </c>
      <c r="AS413" s="19" t="n">
        <v>0</v>
      </c>
      <c r="AT413" s="10">
        <f>SUM(O413:AS413)</f>
        <v/>
      </c>
      <c r="AU413" s="20">
        <f>COUNTIF(O413:AS413, "&gt;0")</f>
        <v/>
      </c>
      <c r="AV413" s="12">
        <f>IF(AU413&gt;=5, 4, IF(AU413&gt;0, INT(AU413/6), 0))</f>
        <v/>
      </c>
      <c r="AW413" s="20" t="n">
        <v>0</v>
      </c>
      <c r="AX413" s="20" t="n">
        <v>0</v>
      </c>
      <c r="AY413" s="13">
        <f>MIN(31, AU413+AV413+AW413+AX413)</f>
        <v/>
      </c>
      <c r="AZ413" s="14">
        <f>31-AY413</f>
        <v/>
      </c>
      <c r="BA413" s="21">
        <f>IF(AX413&gt;0, "01-İstirahat", IF(AZ413&gt;0, "12-Birden Fazla", ""))</f>
        <v/>
      </c>
      <c r="BB413" s="10" t="n">
        <v>8</v>
      </c>
      <c r="BC413" s="19" t="n">
        <v>0</v>
      </c>
      <c r="BD413" s="9" t="n">
        <v>7</v>
      </c>
      <c r="BE413" s="22">
        <f>(L413/30)*AU413</f>
        <v/>
      </c>
      <c r="BF413" s="15">
        <f>(L413/225)*((BB413*1.5)-(BC413*1.0))</f>
        <v/>
      </c>
      <c r="BG413" s="16">
        <f>(L413/225)*1.5*BD413</f>
        <v/>
      </c>
      <c r="BH413" s="15">
        <f>BF413+BG413</f>
        <v/>
      </c>
      <c r="BI413" s="17">
        <f>BE413+BH413</f>
        <v/>
      </c>
      <c r="BJ413" s="22">
        <f>IFERROR(VLOOKUP(B413, Resmi_Bordro_SGK!B:M, 11, FALSE), 0)</f>
        <v/>
      </c>
      <c r="BK413" s="18">
        <f>IFERROR(VLOOKUP(B413, Icra_Takip!A:E, 4, FALSE), 0)</f>
        <v/>
      </c>
      <c r="BL413" s="17">
        <f>IF(BI413&gt;BJ413, BI413-BJ413-BK413, 0)</f>
        <v/>
      </c>
      <c r="BM413" s="17">
        <f>BI413-BK413</f>
        <v/>
      </c>
    </row>
    <row r="414" ht="19" customHeight="1">
      <c r="A414" s="4" t="n">
        <v>411</v>
      </c>
      <c r="B414" s="5" t="inlineStr">
        <is>
          <t>23782492962</t>
        </is>
      </c>
      <c r="C414" s="6" t="inlineStr">
        <is>
          <t>ZEKİYE ŞEKER</t>
        </is>
      </c>
      <c r="D414" s="4" t="inlineStr">
        <is>
          <t>K</t>
        </is>
      </c>
      <c r="E414" s="4" t="inlineStr"/>
      <c r="F414" s="4" t="inlineStr">
        <is>
          <t>18.06.2026</t>
        </is>
      </c>
      <c r="G414" s="4" t="inlineStr"/>
      <c r="H414" s="4" t="inlineStr">
        <is>
          <t>NORMAL</t>
        </is>
      </c>
      <c r="I414" s="4" t="inlineStr">
        <is>
          <t>MEVSİMLİK</t>
        </is>
      </c>
      <c r="J414" s="6" t="inlineStr">
        <is>
          <t>BALIK TEMİZLEME</t>
        </is>
      </c>
      <c r="K414" s="6" t="inlineStr">
        <is>
          <t>KARACABEY-HALİL</t>
        </is>
      </c>
      <c r="L414" s="7" t="n">
        <v>33000</v>
      </c>
      <c r="M414" s="4" t="inlineStr">
        <is>
          <t>FİDE KONSERVE</t>
        </is>
      </c>
      <c r="N414" s="4" t="inlineStr">
        <is>
          <t>ALIR</t>
        </is>
      </c>
      <c r="O414" s="8" t="n">
        <v>8</v>
      </c>
      <c r="P414" s="8" t="n">
        <v>8.5</v>
      </c>
      <c r="Q414" s="8" t="n">
        <v>0</v>
      </c>
      <c r="R414" s="9" t="n">
        <v>0</v>
      </c>
      <c r="S414" s="8" t="n">
        <v>7.5</v>
      </c>
      <c r="T414" s="8" t="n">
        <v>8</v>
      </c>
      <c r="U414" s="8" t="n">
        <v>8</v>
      </c>
      <c r="V414" s="8" t="n">
        <v>8</v>
      </c>
      <c r="W414" s="8" t="n">
        <v>8</v>
      </c>
      <c r="X414" s="8" t="n">
        <v>8.5</v>
      </c>
      <c r="Y414" s="9" t="n">
        <v>0</v>
      </c>
      <c r="Z414" s="8" t="n">
        <v>7.5</v>
      </c>
      <c r="AA414" s="8" t="n">
        <v>7.5</v>
      </c>
      <c r="AB414" s="8" t="n">
        <v>8.5</v>
      </c>
      <c r="AC414" s="8" t="n">
        <v>7.5</v>
      </c>
      <c r="AD414" s="8" t="n">
        <v>7.5</v>
      </c>
      <c r="AE414" s="8" t="n">
        <v>8.5</v>
      </c>
      <c r="AF414" s="9" t="n">
        <v>0</v>
      </c>
      <c r="AG414" s="8" t="n">
        <v>8</v>
      </c>
      <c r="AH414" s="8" t="n">
        <v>7.5</v>
      </c>
      <c r="AI414" s="8" t="n">
        <v>0</v>
      </c>
      <c r="AJ414" s="8" t="n">
        <v>0</v>
      </c>
      <c r="AK414" s="8" t="n">
        <v>0</v>
      </c>
      <c r="AL414" s="8" t="n">
        <v>0</v>
      </c>
      <c r="AM414" s="9" t="n">
        <v>0</v>
      </c>
      <c r="AN414" s="8" t="n">
        <v>0</v>
      </c>
      <c r="AO414" s="8" t="n">
        <v>0</v>
      </c>
      <c r="AP414" s="8" t="n">
        <v>0</v>
      </c>
      <c r="AQ414" s="8" t="n">
        <v>0</v>
      </c>
      <c r="AR414" s="8" t="n">
        <v>0</v>
      </c>
      <c r="AS414" s="8" t="n">
        <v>0</v>
      </c>
      <c r="AT414" s="10">
        <f>SUM(O414:AS414)</f>
        <v/>
      </c>
      <c r="AU414" s="11">
        <f>COUNTIF(O414:AS414, "&gt;0")</f>
        <v/>
      </c>
      <c r="AV414" s="12">
        <f>IF(AU414&gt;=5, 4, IF(AU414&gt;0, INT(AU414/6), 0))</f>
        <v/>
      </c>
      <c r="AW414" s="11" t="n">
        <v>0</v>
      </c>
      <c r="AX414" s="11" t="n">
        <v>0</v>
      </c>
      <c r="AY414" s="13">
        <f>MIN(31, AU414+AV414+AW414+AX414)</f>
        <v/>
      </c>
      <c r="AZ414" s="14">
        <f>31-AY414</f>
        <v/>
      </c>
      <c r="BA414" s="5">
        <f>IF(AX414&gt;0, "01-İstirahat", IF(AZ414&gt;0, "12-Birden Fazla", ""))</f>
        <v/>
      </c>
      <c r="BB414" s="10" t="n">
        <v>7</v>
      </c>
      <c r="BC414" s="8" t="n">
        <v>0</v>
      </c>
      <c r="BD414" s="9" t="n">
        <v>0</v>
      </c>
      <c r="BE414" s="7">
        <f>(L414/30)*AU414</f>
        <v/>
      </c>
      <c r="BF414" s="15">
        <f>(L414/225)*((BB414*1.5)-(BC414*1.0))</f>
        <v/>
      </c>
      <c r="BG414" s="16">
        <f>(L414/225)*1.5*BD414</f>
        <v/>
      </c>
      <c r="BH414" s="15">
        <f>BF414+BG414</f>
        <v/>
      </c>
      <c r="BI414" s="17">
        <f>BE414+BH414</f>
        <v/>
      </c>
      <c r="BJ414" s="7">
        <f>IFERROR(VLOOKUP(B414, Resmi_Bordro_SGK!B:M, 11, FALSE), 0)</f>
        <v/>
      </c>
      <c r="BK414" s="18">
        <f>IFERROR(VLOOKUP(B414, Icra_Takip!A:E, 4, FALSE), 0)</f>
        <v/>
      </c>
      <c r="BL414" s="17">
        <f>IF(BI414&gt;BJ414, BI414-BJ414-BK414, 0)</f>
        <v/>
      </c>
      <c r="BM414" s="17">
        <f>BI414-BK414</f>
        <v/>
      </c>
    </row>
    <row r="415" ht="19" customHeight="1">
      <c r="A415" s="4" t="n">
        <v>412</v>
      </c>
      <c r="B415" s="5" t="inlineStr">
        <is>
          <t>38125944220</t>
        </is>
      </c>
      <c r="C415" s="6" t="inlineStr">
        <is>
          <t>ZEKİYE ABAK</t>
        </is>
      </c>
      <c r="D415" s="4" t="inlineStr">
        <is>
          <t>K</t>
        </is>
      </c>
      <c r="E415" s="4" t="inlineStr"/>
      <c r="F415" s="4" t="inlineStr">
        <is>
          <t>13.07.2026</t>
        </is>
      </c>
      <c r="G415" s="4" t="inlineStr"/>
      <c r="H415" s="4" t="inlineStr">
        <is>
          <t>NORMAL</t>
        </is>
      </c>
      <c r="I415" s="4" t="inlineStr">
        <is>
          <t>MEVSİMLİK</t>
        </is>
      </c>
      <c r="J415" s="6" t="inlineStr">
        <is>
          <t>ÜRETİM</t>
        </is>
      </c>
      <c r="K415" s="6" t="inlineStr">
        <is>
          <t>KARACABEY-HALİL</t>
        </is>
      </c>
      <c r="L415" s="7" t="n">
        <v>28075.5</v>
      </c>
      <c r="M415" s="4" t="inlineStr">
        <is>
          <t>FİDE KONSERVE</t>
        </is>
      </c>
      <c r="N415" s="4" t="inlineStr">
        <is>
          <t>ALIR</t>
        </is>
      </c>
      <c r="O415" s="19" t="n">
        <v>0</v>
      </c>
      <c r="P415" s="19" t="n">
        <v>0</v>
      </c>
      <c r="Q415" s="19" t="n">
        <v>0</v>
      </c>
      <c r="R415" s="9" t="n">
        <v>0</v>
      </c>
      <c r="S415" s="19" t="n">
        <v>0</v>
      </c>
      <c r="T415" s="19" t="n">
        <v>0</v>
      </c>
      <c r="U415" s="19" t="n">
        <v>0</v>
      </c>
      <c r="V415" s="19" t="n">
        <v>0</v>
      </c>
      <c r="W415" s="19" t="n">
        <v>0</v>
      </c>
      <c r="X415" s="19" t="n">
        <v>0</v>
      </c>
      <c r="Y415" s="9" t="n">
        <v>0</v>
      </c>
      <c r="Z415" s="19" t="n">
        <v>0</v>
      </c>
      <c r="AA415" s="19" t="n">
        <v>0</v>
      </c>
      <c r="AB415" s="19" t="n">
        <v>0</v>
      </c>
      <c r="AC415" s="19" t="n">
        <v>0</v>
      </c>
      <c r="AD415" s="19" t="n">
        <v>0</v>
      </c>
      <c r="AE415" s="19" t="n">
        <v>0</v>
      </c>
      <c r="AF415" s="9" t="n">
        <v>0</v>
      </c>
      <c r="AG415" s="19" t="n">
        <v>0</v>
      </c>
      <c r="AH415" s="19" t="n">
        <v>0</v>
      </c>
      <c r="AI415" s="19" t="n">
        <v>0</v>
      </c>
      <c r="AJ415" s="19" t="n">
        <v>0</v>
      </c>
      <c r="AK415" s="19" t="n">
        <v>0</v>
      </c>
      <c r="AL415" s="19" t="n">
        <v>0</v>
      </c>
      <c r="AM415" s="9" t="n">
        <v>0</v>
      </c>
      <c r="AN415" s="19" t="n">
        <v>0</v>
      </c>
      <c r="AO415" s="19" t="n">
        <v>0</v>
      </c>
      <c r="AP415" s="19" t="n">
        <v>0</v>
      </c>
      <c r="AQ415" s="19" t="n">
        <v>0</v>
      </c>
      <c r="AR415" s="19" t="n">
        <v>0</v>
      </c>
      <c r="AS415" s="19" t="n">
        <v>0</v>
      </c>
      <c r="AT415" s="10">
        <f>SUM(O415:AS415)</f>
        <v/>
      </c>
      <c r="AU415" s="20">
        <f>COUNTIF(O415:AS415, "&gt;0")</f>
        <v/>
      </c>
      <c r="AV415" s="12">
        <f>IF(AU415&gt;=5, 4, IF(AU415&gt;0, INT(AU415/6), 0))</f>
        <v/>
      </c>
      <c r="AW415" s="20" t="n">
        <v>0</v>
      </c>
      <c r="AX415" s="20" t="n">
        <v>0</v>
      </c>
      <c r="AY415" s="13">
        <f>MIN(31, AU415+AV415+AW415+AX415)</f>
        <v/>
      </c>
      <c r="AZ415" s="14">
        <f>31-AY415</f>
        <v/>
      </c>
      <c r="BA415" s="21">
        <f>IF(AX415&gt;0, "01-İstirahat", IF(AZ415&gt;0, "12-Birden Fazla", ""))</f>
        <v/>
      </c>
      <c r="BB415" s="10" t="n">
        <v>0</v>
      </c>
      <c r="BC415" s="19" t="n">
        <v>0</v>
      </c>
      <c r="BD415" s="9" t="n">
        <v>0</v>
      </c>
      <c r="BE415" s="22">
        <f>(L415/30)*AU415</f>
        <v/>
      </c>
      <c r="BF415" s="15">
        <f>(L415/225)*((BB415*1.5)-(BC415*1.0))</f>
        <v/>
      </c>
      <c r="BG415" s="16">
        <f>(L415/225)*1.5*BD415</f>
        <v/>
      </c>
      <c r="BH415" s="15">
        <f>BF415+BG415</f>
        <v/>
      </c>
      <c r="BI415" s="17">
        <f>BE415+BH415</f>
        <v/>
      </c>
      <c r="BJ415" s="22">
        <f>IFERROR(VLOOKUP(B415, Resmi_Bordro_SGK!B:M, 11, FALSE), 0)</f>
        <v/>
      </c>
      <c r="BK415" s="18">
        <f>IFERROR(VLOOKUP(B415, Icra_Takip!A:E, 4, FALSE), 0)</f>
        <v/>
      </c>
      <c r="BL415" s="17">
        <f>IF(BI415&gt;BJ415, BI415-BJ415-BK415, 0)</f>
        <v/>
      </c>
      <c r="BM415" s="17">
        <f>BI415-BK415</f>
        <v/>
      </c>
    </row>
    <row r="416" ht="19" customHeight="1">
      <c r="A416" s="4" t="n">
        <v>413</v>
      </c>
      <c r="B416" s="5" t="inlineStr">
        <is>
          <t>28729335166</t>
        </is>
      </c>
      <c r="C416" s="6" t="inlineStr">
        <is>
          <t>ZELİHA KEİREMETÇİ</t>
        </is>
      </c>
      <c r="D416" s="4" t="inlineStr">
        <is>
          <t>K</t>
        </is>
      </c>
      <c r="E416" s="4" t="inlineStr"/>
      <c r="F416" s="4" t="inlineStr">
        <is>
          <t>08.05.2026</t>
        </is>
      </c>
      <c r="G416" s="4" t="inlineStr"/>
      <c r="H416" s="4" t="inlineStr">
        <is>
          <t>NORMAL</t>
        </is>
      </c>
      <c r="I416" s="4" t="inlineStr">
        <is>
          <t>MEVSİMLİK</t>
        </is>
      </c>
      <c r="J416" s="6" t="inlineStr">
        <is>
          <t>BALIK TEMİZLEME</t>
        </is>
      </c>
      <c r="K416" s="6" t="inlineStr">
        <is>
          <t>GÜVEN TURİZM-MKP</t>
        </is>
      </c>
      <c r="L416" s="7" t="n">
        <v>33000</v>
      </c>
      <c r="M416" s="4" t="inlineStr">
        <is>
          <t>FİDE KONSERVE</t>
        </is>
      </c>
      <c r="N416" s="4" t="inlineStr">
        <is>
          <t>ALIR</t>
        </is>
      </c>
      <c r="O416" s="8" t="n">
        <v>8</v>
      </c>
      <c r="P416" s="8" t="n">
        <v>8.5</v>
      </c>
      <c r="Q416" s="8" t="n">
        <v>0</v>
      </c>
      <c r="R416" s="9" t="n">
        <v>0</v>
      </c>
      <c r="S416" s="8" t="n">
        <v>7.5</v>
      </c>
      <c r="T416" s="8" t="n">
        <v>8.5</v>
      </c>
      <c r="U416" s="8" t="n">
        <v>8</v>
      </c>
      <c r="V416" s="8" t="n">
        <v>8</v>
      </c>
      <c r="W416" s="8" t="n">
        <v>8.5</v>
      </c>
      <c r="X416" s="8" t="n">
        <v>8.5</v>
      </c>
      <c r="Y416" s="9" t="n">
        <v>0</v>
      </c>
      <c r="Z416" s="8" t="n">
        <v>0</v>
      </c>
      <c r="AA416" s="8" t="n">
        <v>7.5</v>
      </c>
      <c r="AB416" s="8" t="n">
        <v>8.5</v>
      </c>
      <c r="AC416" s="8" t="n">
        <v>7.5</v>
      </c>
      <c r="AD416" s="8" t="n">
        <v>7.5</v>
      </c>
      <c r="AE416" s="8" t="n">
        <v>8.5</v>
      </c>
      <c r="AF416" s="9" t="n">
        <v>0</v>
      </c>
      <c r="AG416" s="8" t="n">
        <v>8.5</v>
      </c>
      <c r="AH416" s="8" t="n">
        <v>7.5</v>
      </c>
      <c r="AI416" s="8" t="n">
        <v>7.5</v>
      </c>
      <c r="AJ416" s="8" t="n">
        <v>0</v>
      </c>
      <c r="AK416" s="8" t="n">
        <v>0</v>
      </c>
      <c r="AL416" s="8" t="n">
        <v>0</v>
      </c>
      <c r="AM416" s="9" t="n">
        <v>0</v>
      </c>
      <c r="AN416" s="8" t="n">
        <v>0</v>
      </c>
      <c r="AO416" s="8" t="n">
        <v>0</v>
      </c>
      <c r="AP416" s="8" t="n">
        <v>0</v>
      </c>
      <c r="AQ416" s="8" t="n">
        <v>0</v>
      </c>
      <c r="AR416" s="8" t="n">
        <v>0</v>
      </c>
      <c r="AS416" s="8" t="n">
        <v>0</v>
      </c>
      <c r="AT416" s="10">
        <f>SUM(O416:AS416)</f>
        <v/>
      </c>
      <c r="AU416" s="11">
        <f>COUNTIF(O416:AS416, "&gt;0")</f>
        <v/>
      </c>
      <c r="AV416" s="12">
        <f>IF(AU416&gt;=5, 4, IF(AU416&gt;0, INT(AU416/6), 0))</f>
        <v/>
      </c>
      <c r="AW416" s="11" t="n">
        <v>0</v>
      </c>
      <c r="AX416" s="11" t="n">
        <v>0</v>
      </c>
      <c r="AY416" s="13">
        <f>MIN(31, AU416+AV416+AW416+AX416)</f>
        <v/>
      </c>
      <c r="AZ416" s="14">
        <f>31-AY416</f>
        <v/>
      </c>
      <c r="BA416" s="5">
        <f>IF(AX416&gt;0, "01-İstirahat", IF(AZ416&gt;0, "12-Birden Fazla", ""))</f>
        <v/>
      </c>
      <c r="BB416" s="10" t="n">
        <v>8.5</v>
      </c>
      <c r="BC416" s="8" t="n">
        <v>0</v>
      </c>
      <c r="BD416" s="9" t="n">
        <v>0</v>
      </c>
      <c r="BE416" s="7">
        <f>(L416/30)*AU416</f>
        <v/>
      </c>
      <c r="BF416" s="15">
        <f>(L416/225)*((BB416*1.5)-(BC416*1.0))</f>
        <v/>
      </c>
      <c r="BG416" s="16">
        <f>(L416/225)*1.5*BD416</f>
        <v/>
      </c>
      <c r="BH416" s="15">
        <f>BF416+BG416</f>
        <v/>
      </c>
      <c r="BI416" s="17">
        <f>BE416+BH416</f>
        <v/>
      </c>
      <c r="BJ416" s="7">
        <f>IFERROR(VLOOKUP(B416, Resmi_Bordro_SGK!B:M, 11, FALSE), 0)</f>
        <v/>
      </c>
      <c r="BK416" s="18">
        <f>IFERROR(VLOOKUP(B416, Icra_Takip!A:E, 4, FALSE), 0)</f>
        <v/>
      </c>
      <c r="BL416" s="17">
        <f>IF(BI416&gt;BJ416, BI416-BJ416-BK416, 0)</f>
        <v/>
      </c>
      <c r="BM416" s="17">
        <f>BI416-BK416</f>
        <v/>
      </c>
    </row>
    <row r="417" ht="19" customHeight="1">
      <c r="A417" s="4" t="n">
        <v>414</v>
      </c>
      <c r="B417" s="5" t="inlineStr">
        <is>
          <t>14047825472</t>
        </is>
      </c>
      <c r="C417" s="6" t="inlineStr">
        <is>
          <t>ZELİHA ORUÇ</t>
        </is>
      </c>
      <c r="D417" s="4" t="inlineStr">
        <is>
          <t>K</t>
        </is>
      </c>
      <c r="E417" s="4" t="inlineStr"/>
      <c r="F417" s="4" t="inlineStr">
        <is>
          <t>08.05.2026</t>
        </is>
      </c>
      <c r="G417" s="4" t="inlineStr"/>
      <c r="H417" s="4" t="inlineStr">
        <is>
          <t>NORMAL</t>
        </is>
      </c>
      <c r="I417" s="4" t="inlineStr">
        <is>
          <t>MEVSİMLİK</t>
        </is>
      </c>
      <c r="J417" s="6" t="inlineStr">
        <is>
          <t>BALIK TEMİZLEME</t>
        </is>
      </c>
      <c r="K417" s="6" t="inlineStr">
        <is>
          <t>GÜVEN TURİZM-MKP</t>
        </is>
      </c>
      <c r="L417" s="7" t="n">
        <v>33000</v>
      </c>
      <c r="M417" s="4" t="inlineStr">
        <is>
          <t>FİDE KONSERVE</t>
        </is>
      </c>
      <c r="N417" s="4" t="inlineStr">
        <is>
          <t>ALIR</t>
        </is>
      </c>
      <c r="O417" s="19" t="n">
        <v>8</v>
      </c>
      <c r="P417" s="19" t="n">
        <v>8.5</v>
      </c>
      <c r="Q417" s="19" t="n">
        <v>8</v>
      </c>
      <c r="R417" s="9" t="n">
        <v>0</v>
      </c>
      <c r="S417" s="19" t="n">
        <v>7.5</v>
      </c>
      <c r="T417" s="19" t="n">
        <v>8</v>
      </c>
      <c r="U417" s="19" t="n">
        <v>8</v>
      </c>
      <c r="V417" s="19" t="n">
        <v>8</v>
      </c>
      <c r="W417" s="19" t="n">
        <v>8</v>
      </c>
      <c r="X417" s="19" t="n">
        <v>8.5</v>
      </c>
      <c r="Y417" s="9" t="n">
        <v>0</v>
      </c>
      <c r="Z417" s="19" t="n">
        <v>7.5</v>
      </c>
      <c r="AA417" s="19" t="n">
        <v>7.5</v>
      </c>
      <c r="AB417" s="19" t="n">
        <v>8.5</v>
      </c>
      <c r="AC417" s="19" t="n">
        <v>7.5</v>
      </c>
      <c r="AD417" s="19" t="n">
        <v>8</v>
      </c>
      <c r="AE417" s="19" t="n">
        <v>8.5</v>
      </c>
      <c r="AF417" s="9" t="n">
        <v>0</v>
      </c>
      <c r="AG417" s="19" t="n">
        <v>8.5</v>
      </c>
      <c r="AH417" s="19" t="n">
        <v>7.5</v>
      </c>
      <c r="AI417" s="19" t="n">
        <v>7.5</v>
      </c>
      <c r="AJ417" s="19" t="n">
        <v>0</v>
      </c>
      <c r="AK417" s="19" t="n">
        <v>0</v>
      </c>
      <c r="AL417" s="19" t="n">
        <v>0</v>
      </c>
      <c r="AM417" s="9" t="n">
        <v>0</v>
      </c>
      <c r="AN417" s="19" t="n">
        <v>0</v>
      </c>
      <c r="AO417" s="19" t="n">
        <v>0</v>
      </c>
      <c r="AP417" s="19" t="n">
        <v>0</v>
      </c>
      <c r="AQ417" s="19" t="n">
        <v>0</v>
      </c>
      <c r="AR417" s="19" t="n">
        <v>0</v>
      </c>
      <c r="AS417" s="19" t="n">
        <v>0</v>
      </c>
      <c r="AT417" s="10">
        <f>SUM(O417:AS417)</f>
        <v/>
      </c>
      <c r="AU417" s="20">
        <f>COUNTIF(O417:AS417, "&gt;0")</f>
        <v/>
      </c>
      <c r="AV417" s="12">
        <f>IF(AU417&gt;=5, 4, IF(AU417&gt;0, INT(AU417/6), 0))</f>
        <v/>
      </c>
      <c r="AW417" s="20" t="n">
        <v>0</v>
      </c>
      <c r="AX417" s="20" t="n">
        <v>0</v>
      </c>
      <c r="AY417" s="13">
        <f>MIN(31, AU417+AV417+AW417+AX417)</f>
        <v/>
      </c>
      <c r="AZ417" s="14">
        <f>31-AY417</f>
        <v/>
      </c>
      <c r="BA417" s="21">
        <f>IF(AX417&gt;0, "01-İstirahat", IF(AZ417&gt;0, "12-Birden Fazla", ""))</f>
        <v/>
      </c>
      <c r="BB417" s="10" t="n">
        <v>8.5</v>
      </c>
      <c r="BC417" s="19" t="n">
        <v>0</v>
      </c>
      <c r="BD417" s="9" t="n">
        <v>0</v>
      </c>
      <c r="BE417" s="22">
        <f>(L417/30)*AU417</f>
        <v/>
      </c>
      <c r="BF417" s="15">
        <f>(L417/225)*((BB417*1.5)-(BC417*1.0))</f>
        <v/>
      </c>
      <c r="BG417" s="16">
        <f>(L417/225)*1.5*BD417</f>
        <v/>
      </c>
      <c r="BH417" s="15">
        <f>BF417+BG417</f>
        <v/>
      </c>
      <c r="BI417" s="17">
        <f>BE417+BH417</f>
        <v/>
      </c>
      <c r="BJ417" s="22">
        <f>IFERROR(VLOOKUP(B417, Resmi_Bordro_SGK!B:M, 11, FALSE), 0)</f>
        <v/>
      </c>
      <c r="BK417" s="18">
        <f>IFERROR(VLOOKUP(B417, Icra_Takip!A:E, 4, FALSE), 0)</f>
        <v/>
      </c>
      <c r="BL417" s="17">
        <f>IF(BI417&gt;BJ417, BI417-BJ417-BK417, 0)</f>
        <v/>
      </c>
      <c r="BM417" s="17">
        <f>BI417-BK417</f>
        <v/>
      </c>
    </row>
    <row r="418" ht="19" customHeight="1">
      <c r="A418" s="4" t="n">
        <v>415</v>
      </c>
      <c r="B418" s="5" t="inlineStr"/>
      <c r="C418" s="6" t="inlineStr">
        <is>
          <t>ZELİHA YAMAN</t>
        </is>
      </c>
      <c r="D418" s="4" t="inlineStr"/>
      <c r="E418" s="4" t="inlineStr"/>
      <c r="F418" s="4" t="inlineStr"/>
      <c r="G418" s="4" t="inlineStr"/>
      <c r="H418" s="4" t="inlineStr">
        <is>
          <t>NORMAL</t>
        </is>
      </c>
      <c r="I418" s="4" t="inlineStr">
        <is>
          <t>MEVSİMLİK</t>
        </is>
      </c>
      <c r="J418" s="6" t="inlineStr"/>
      <c r="K418" s="6" t="inlineStr"/>
      <c r="L418" s="7" t="n">
        <v>28075.5</v>
      </c>
      <c r="M418" s="4" t="inlineStr">
        <is>
          <t>FİDE KONSERVE</t>
        </is>
      </c>
      <c r="N418" s="4" t="inlineStr">
        <is>
          <t>ALIR</t>
        </is>
      </c>
      <c r="O418" s="8" t="n">
        <v>0</v>
      </c>
      <c r="P418" s="8" t="n">
        <v>0</v>
      </c>
      <c r="Q418" s="8" t="n">
        <v>0</v>
      </c>
      <c r="R418" s="9" t="n">
        <v>0</v>
      </c>
      <c r="S418" s="8" t="n">
        <v>0</v>
      </c>
      <c r="T418" s="8" t="n">
        <v>0</v>
      </c>
      <c r="U418" s="8" t="n">
        <v>0</v>
      </c>
      <c r="V418" s="23" t="n">
        <v>7.5</v>
      </c>
      <c r="W418" s="23" t="n">
        <v>7.5</v>
      </c>
      <c r="X418" s="8" t="n">
        <v>0</v>
      </c>
      <c r="Y418" s="9" t="n">
        <v>0</v>
      </c>
      <c r="Z418" s="23" t="n">
        <v>7.5</v>
      </c>
      <c r="AA418" s="23" t="n">
        <v>7.5</v>
      </c>
      <c r="AB418" s="8" t="n">
        <v>0</v>
      </c>
      <c r="AC418" s="23" t="n">
        <v>7.5</v>
      </c>
      <c r="AD418" s="8" t="n">
        <v>0</v>
      </c>
      <c r="AE418" s="8" t="n">
        <v>0</v>
      </c>
      <c r="AF418" s="9" t="n">
        <v>0</v>
      </c>
      <c r="AG418" s="23" t="n">
        <v>7.5</v>
      </c>
      <c r="AH418" s="8" t="n">
        <v>0</v>
      </c>
      <c r="AI418" s="23" t="n">
        <v>7.5</v>
      </c>
      <c r="AJ418" s="8" t="n">
        <v>0</v>
      </c>
      <c r="AK418" s="8" t="n">
        <v>0</v>
      </c>
      <c r="AL418" s="8" t="n">
        <v>0</v>
      </c>
      <c r="AM418" s="9" t="n">
        <v>0</v>
      </c>
      <c r="AN418" s="8" t="n">
        <v>0</v>
      </c>
      <c r="AO418" s="8" t="n">
        <v>0</v>
      </c>
      <c r="AP418" s="8" t="n">
        <v>0</v>
      </c>
      <c r="AQ418" s="8" t="n">
        <v>0</v>
      </c>
      <c r="AR418" s="8" t="n">
        <v>0</v>
      </c>
      <c r="AS418" s="8" t="n">
        <v>0</v>
      </c>
      <c r="AT418" s="10">
        <f>SUM(O418:AS418)</f>
        <v/>
      </c>
      <c r="AU418" s="11">
        <f>COUNTIF(O418:AS418, "&gt;0")</f>
        <v/>
      </c>
      <c r="AV418" s="12">
        <f>IF(AU418&gt;=5, 4, IF(AU418&gt;0, INT(AU418/6), 0))</f>
        <v/>
      </c>
      <c r="AW418" s="11" t="n">
        <v>0</v>
      </c>
      <c r="AX418" s="11" t="n">
        <v>0</v>
      </c>
      <c r="AY418" s="13">
        <f>MIN(31, AU418+AV418+AW418+AX418)</f>
        <v/>
      </c>
      <c r="AZ418" s="14">
        <f>31-AY418</f>
        <v/>
      </c>
      <c r="BA418" s="5">
        <f>IF(AX418&gt;0, "01-İstirahat", IF(AZ418&gt;0, "12-Birden Fazla", ""))</f>
        <v/>
      </c>
      <c r="BB418" s="10" t="n">
        <v>0</v>
      </c>
      <c r="BC418" s="8" t="n">
        <v>0</v>
      </c>
      <c r="BD418" s="9" t="n">
        <v>0</v>
      </c>
      <c r="BE418" s="7">
        <f>(L418/30)*AU418</f>
        <v/>
      </c>
      <c r="BF418" s="15">
        <f>(L418/225)*((BB418*1.5)-(BC418*1.0))</f>
        <v/>
      </c>
      <c r="BG418" s="16">
        <f>(L418/225)*1.5*BD418</f>
        <v/>
      </c>
      <c r="BH418" s="15">
        <f>BF418+BG418</f>
        <v/>
      </c>
      <c r="BI418" s="17">
        <f>BE418+BH418</f>
        <v/>
      </c>
      <c r="BJ418" s="7">
        <f>IFERROR(VLOOKUP(B418, Resmi_Bordro_SGK!B:M, 11, FALSE), 0)</f>
        <v/>
      </c>
      <c r="BK418" s="18">
        <f>IFERROR(VLOOKUP(B418, Icra_Takip!A:E, 4, FALSE), 0)</f>
        <v/>
      </c>
      <c r="BL418" s="17">
        <f>IF(BI418&gt;BJ418, BI418-BJ418-BK418, 0)</f>
        <v/>
      </c>
      <c r="BM418" s="17">
        <f>BI418-BK418</f>
        <v/>
      </c>
    </row>
    <row r="419" ht="19" customHeight="1">
      <c r="A419" s="4" t="n">
        <v>416</v>
      </c>
      <c r="B419" s="5" t="inlineStr">
        <is>
          <t>38692925318</t>
        </is>
      </c>
      <c r="C419" s="6" t="inlineStr">
        <is>
          <t>ZERGA ÇETİK</t>
        </is>
      </c>
      <c r="D419" s="4" t="inlineStr">
        <is>
          <t>K</t>
        </is>
      </c>
      <c r="E419" s="4" t="inlineStr"/>
      <c r="F419" s="4" t="inlineStr">
        <is>
          <t>01.05.2026</t>
        </is>
      </c>
      <c r="G419" s="4" t="inlineStr"/>
      <c r="H419" s="4" t="inlineStr">
        <is>
          <t>NORMAL</t>
        </is>
      </c>
      <c r="I419" s="4" t="inlineStr">
        <is>
          <t>MEVSİMLİK</t>
        </is>
      </c>
      <c r="J419" s="6" t="inlineStr">
        <is>
          <t>BALIK TEMİZLEME</t>
        </is>
      </c>
      <c r="K419" s="6" t="inlineStr">
        <is>
          <t>GÜVEN TURİZM KARACABEY</t>
        </is>
      </c>
      <c r="L419" s="7" t="n">
        <v>33000</v>
      </c>
      <c r="M419" s="4" t="inlineStr">
        <is>
          <t>FİDE KONSERVE</t>
        </is>
      </c>
      <c r="N419" s="4" t="inlineStr">
        <is>
          <t>ALIR</t>
        </is>
      </c>
      <c r="O419" s="19" t="n">
        <v>0</v>
      </c>
      <c r="P419" s="19" t="n">
        <v>0</v>
      </c>
      <c r="Q419" s="19" t="n">
        <v>0</v>
      </c>
      <c r="R419" s="9" t="n">
        <v>0</v>
      </c>
      <c r="S419" s="19" t="n">
        <v>0</v>
      </c>
      <c r="T419" s="19" t="n">
        <v>0</v>
      </c>
      <c r="U419" s="19" t="n">
        <v>0</v>
      </c>
      <c r="V419" s="19" t="n">
        <v>0</v>
      </c>
      <c r="W419" s="19" t="n">
        <v>0</v>
      </c>
      <c r="X419" s="19" t="n">
        <v>0</v>
      </c>
      <c r="Y419" s="9" t="n">
        <v>0</v>
      </c>
      <c r="Z419" s="19" t="n">
        <v>0</v>
      </c>
      <c r="AA419" s="19" t="n">
        <v>0</v>
      </c>
      <c r="AB419" s="19" t="n">
        <v>0</v>
      </c>
      <c r="AC419" s="19" t="n">
        <v>0</v>
      </c>
      <c r="AD419" s="19" t="n">
        <v>0</v>
      </c>
      <c r="AE419" s="19" t="n">
        <v>0</v>
      </c>
      <c r="AF419" s="9" t="n">
        <v>0</v>
      </c>
      <c r="AG419" s="19" t="n">
        <v>0</v>
      </c>
      <c r="AH419" s="19" t="n">
        <v>0</v>
      </c>
      <c r="AI419" s="19" t="n">
        <v>0</v>
      </c>
      <c r="AJ419" s="19" t="n">
        <v>0</v>
      </c>
      <c r="AK419" s="19" t="n">
        <v>0</v>
      </c>
      <c r="AL419" s="19" t="n">
        <v>0</v>
      </c>
      <c r="AM419" s="9" t="n">
        <v>0</v>
      </c>
      <c r="AN419" s="19" t="n">
        <v>0</v>
      </c>
      <c r="AO419" s="19" t="n">
        <v>0</v>
      </c>
      <c r="AP419" s="19" t="n">
        <v>0</v>
      </c>
      <c r="AQ419" s="19" t="n">
        <v>0</v>
      </c>
      <c r="AR419" s="19" t="n">
        <v>0</v>
      </c>
      <c r="AS419" s="19" t="n">
        <v>0</v>
      </c>
      <c r="AT419" s="10">
        <f>SUM(O419:AS419)</f>
        <v/>
      </c>
      <c r="AU419" s="20">
        <f>COUNTIF(O419:AS419, "&gt;0")</f>
        <v/>
      </c>
      <c r="AV419" s="12">
        <f>IF(AU419&gt;=5, 4, IF(AU419&gt;0, INT(AU419/6), 0))</f>
        <v/>
      </c>
      <c r="AW419" s="20" t="n">
        <v>0</v>
      </c>
      <c r="AX419" s="20" t="n">
        <v>0</v>
      </c>
      <c r="AY419" s="13">
        <f>MIN(31, AU419+AV419+AW419+AX419)</f>
        <v/>
      </c>
      <c r="AZ419" s="14">
        <f>31-AY419</f>
        <v/>
      </c>
      <c r="BA419" s="21">
        <f>IF(AX419&gt;0, "01-İstirahat", IF(AZ419&gt;0, "12-Birden Fazla", ""))</f>
        <v/>
      </c>
      <c r="BB419" s="10" t="n">
        <v>0</v>
      </c>
      <c r="BC419" s="19" t="n">
        <v>0</v>
      </c>
      <c r="BD419" s="9" t="n">
        <v>0</v>
      </c>
      <c r="BE419" s="22">
        <f>(L419/30)*AU419</f>
        <v/>
      </c>
      <c r="BF419" s="15">
        <f>(L419/225)*((BB419*1.5)-(BC419*1.0))</f>
        <v/>
      </c>
      <c r="BG419" s="16">
        <f>(L419/225)*1.5*BD419</f>
        <v/>
      </c>
      <c r="BH419" s="15">
        <f>BF419+BG419</f>
        <v/>
      </c>
      <c r="BI419" s="17">
        <f>BE419+BH419</f>
        <v/>
      </c>
      <c r="BJ419" s="22">
        <f>IFERROR(VLOOKUP(B419, Resmi_Bordro_SGK!B:M, 11, FALSE), 0)</f>
        <v/>
      </c>
      <c r="BK419" s="18">
        <f>IFERROR(VLOOKUP(B419, Icra_Takip!A:E, 4, FALSE), 0)</f>
        <v/>
      </c>
      <c r="BL419" s="17">
        <f>IF(BI419&gt;BJ419, BI419-BJ419-BK419, 0)</f>
        <v/>
      </c>
      <c r="BM419" s="17">
        <f>BI419-BK419</f>
        <v/>
      </c>
    </row>
    <row r="420" ht="19" customHeight="1">
      <c r="A420" s="4" t="n">
        <v>417</v>
      </c>
      <c r="B420" s="5" t="inlineStr">
        <is>
          <t>24289352612</t>
        </is>
      </c>
      <c r="C420" s="6" t="inlineStr">
        <is>
          <t>ZEYNEP KARAMAN</t>
        </is>
      </c>
      <c r="D420" s="4" t="inlineStr">
        <is>
          <t>K</t>
        </is>
      </c>
      <c r="E420" s="4" t="inlineStr"/>
      <c r="F420" s="4" t="inlineStr">
        <is>
          <t>10.02.2026</t>
        </is>
      </c>
      <c r="G420" s="4" t="inlineStr"/>
      <c r="H420" s="4" t="inlineStr">
        <is>
          <t>NORMAL</t>
        </is>
      </c>
      <c r="I420" s="4" t="inlineStr">
        <is>
          <t>MEVSİMLİK</t>
        </is>
      </c>
      <c r="J420" s="6" t="inlineStr">
        <is>
          <t>BALIK TEMİZLEME</t>
        </is>
      </c>
      <c r="K420" s="6" t="inlineStr">
        <is>
          <t>BALIKESİR</t>
        </is>
      </c>
      <c r="L420" s="7" t="n">
        <v>33000</v>
      </c>
      <c r="M420" s="4" t="inlineStr">
        <is>
          <t>FİDE KONSERVE</t>
        </is>
      </c>
      <c r="N420" s="4" t="inlineStr">
        <is>
          <t>ALIR</t>
        </is>
      </c>
      <c r="O420" s="8" t="n">
        <v>8</v>
      </c>
      <c r="P420" s="8" t="n">
        <v>8</v>
      </c>
      <c r="Q420" s="8" t="n">
        <v>8</v>
      </c>
      <c r="R420" s="9" t="n">
        <v>0</v>
      </c>
      <c r="S420" s="8" t="n">
        <v>7.5</v>
      </c>
      <c r="T420" s="8" t="n">
        <v>8</v>
      </c>
      <c r="U420" s="8" t="n">
        <v>7.5</v>
      </c>
      <c r="V420" s="8" t="n">
        <v>8</v>
      </c>
      <c r="W420" s="8" t="n">
        <v>8</v>
      </c>
      <c r="X420" s="8" t="n">
        <v>8.5</v>
      </c>
      <c r="Y420" s="9" t="n">
        <v>0</v>
      </c>
      <c r="Z420" s="8" t="n">
        <v>7.5</v>
      </c>
      <c r="AA420" s="8" t="n">
        <v>7.5</v>
      </c>
      <c r="AB420" s="8" t="n">
        <v>8.5</v>
      </c>
      <c r="AC420" s="8" t="n">
        <v>7.5</v>
      </c>
      <c r="AD420" s="8" t="n">
        <v>7.5</v>
      </c>
      <c r="AE420" s="8" t="n">
        <v>8.5</v>
      </c>
      <c r="AF420" s="9" t="n">
        <v>0</v>
      </c>
      <c r="AG420" s="8" t="n">
        <v>8</v>
      </c>
      <c r="AH420" s="8" t="n">
        <v>7.5</v>
      </c>
      <c r="AI420" s="8" t="n">
        <v>7.5</v>
      </c>
      <c r="AJ420" s="8" t="n">
        <v>0</v>
      </c>
      <c r="AK420" s="8" t="n">
        <v>0</v>
      </c>
      <c r="AL420" s="8" t="n">
        <v>0</v>
      </c>
      <c r="AM420" s="9" t="n">
        <v>0</v>
      </c>
      <c r="AN420" s="8" t="n">
        <v>0</v>
      </c>
      <c r="AO420" s="8" t="n">
        <v>0</v>
      </c>
      <c r="AP420" s="8" t="n">
        <v>0</v>
      </c>
      <c r="AQ420" s="8" t="n">
        <v>0</v>
      </c>
      <c r="AR420" s="8" t="n">
        <v>0</v>
      </c>
      <c r="AS420" s="8" t="n">
        <v>0</v>
      </c>
      <c r="AT420" s="10">
        <f>SUM(O420:AS420)</f>
        <v/>
      </c>
      <c r="AU420" s="11">
        <f>COUNTIF(O420:AS420, "&gt;0")</f>
        <v/>
      </c>
      <c r="AV420" s="12">
        <f>IF(AU420&gt;=5, 4, IF(AU420&gt;0, INT(AU420/6), 0))</f>
        <v/>
      </c>
      <c r="AW420" s="11" t="n">
        <v>0</v>
      </c>
      <c r="AX420" s="11" t="n">
        <v>0</v>
      </c>
      <c r="AY420" s="13">
        <f>MIN(31, AU420+AV420+AW420+AX420)</f>
        <v/>
      </c>
      <c r="AZ420" s="14">
        <f>31-AY420</f>
        <v/>
      </c>
      <c r="BA420" s="5">
        <f>IF(AX420&gt;0, "01-İstirahat", IF(AZ420&gt;0, "12-Birden Fazla", ""))</f>
        <v/>
      </c>
      <c r="BB420" s="10" t="n">
        <v>6.5</v>
      </c>
      <c r="BC420" s="8" t="n">
        <v>0</v>
      </c>
      <c r="BD420" s="9" t="n">
        <v>0</v>
      </c>
      <c r="BE420" s="7">
        <f>(L420/30)*AU420</f>
        <v/>
      </c>
      <c r="BF420" s="15">
        <f>(L420/225)*((BB420*1.5)-(BC420*1.0))</f>
        <v/>
      </c>
      <c r="BG420" s="16">
        <f>(L420/225)*1.5*BD420</f>
        <v/>
      </c>
      <c r="BH420" s="15">
        <f>BF420+BG420</f>
        <v/>
      </c>
      <c r="BI420" s="17">
        <f>BE420+BH420</f>
        <v/>
      </c>
      <c r="BJ420" s="7">
        <f>IFERROR(VLOOKUP(B420, Resmi_Bordro_SGK!B:M, 11, FALSE), 0)</f>
        <v/>
      </c>
      <c r="BK420" s="18">
        <f>IFERROR(VLOOKUP(B420, Icra_Takip!A:E, 4, FALSE), 0)</f>
        <v/>
      </c>
      <c r="BL420" s="17">
        <f>IF(BI420&gt;BJ420, BI420-BJ420-BK420, 0)</f>
        <v/>
      </c>
      <c r="BM420" s="17">
        <f>BI420-BK420</f>
        <v/>
      </c>
    </row>
    <row r="421" ht="19" customHeight="1">
      <c r="A421" s="4" t="n">
        <v>418</v>
      </c>
      <c r="B421" s="5" t="inlineStr">
        <is>
          <t>33742169780</t>
        </is>
      </c>
      <c r="C421" s="6" t="inlineStr">
        <is>
          <t>ZEYNEP KURT</t>
        </is>
      </c>
      <c r="D421" s="4" t="inlineStr">
        <is>
          <t>K</t>
        </is>
      </c>
      <c r="E421" s="4" t="inlineStr"/>
      <c r="F421" s="4" t="inlineStr">
        <is>
          <t>10.02.2026</t>
        </is>
      </c>
      <c r="G421" s="4" t="inlineStr"/>
      <c r="H421" s="4" t="inlineStr">
        <is>
          <t>NORMAL</t>
        </is>
      </c>
      <c r="I421" s="4" t="inlineStr">
        <is>
          <t>MEVSİMLİK</t>
        </is>
      </c>
      <c r="J421" s="6" t="inlineStr">
        <is>
          <t>BALIK DOLUM</t>
        </is>
      </c>
      <c r="K421" s="6" t="inlineStr">
        <is>
          <t>MKP</t>
        </is>
      </c>
      <c r="L421" s="7" t="n">
        <v>33000</v>
      </c>
      <c r="M421" s="4" t="inlineStr">
        <is>
          <t>FİDE KONSERVE</t>
        </is>
      </c>
      <c r="N421" s="4" t="inlineStr">
        <is>
          <t>ALIR</t>
        </is>
      </c>
      <c r="O421" s="19" t="n">
        <v>8.5</v>
      </c>
      <c r="P421" s="19" t="n">
        <v>9</v>
      </c>
      <c r="Q421" s="19" t="n">
        <v>8.5</v>
      </c>
      <c r="R421" s="9" t="n">
        <v>0</v>
      </c>
      <c r="S421" s="19" t="n">
        <v>8</v>
      </c>
      <c r="T421" s="19" t="n">
        <v>8.5</v>
      </c>
      <c r="U421" s="19" t="n">
        <v>6</v>
      </c>
      <c r="V421" s="19" t="n">
        <v>10</v>
      </c>
      <c r="W421" s="19" t="n">
        <v>8.5</v>
      </c>
      <c r="X421" s="19" t="n">
        <v>0</v>
      </c>
      <c r="Y421" s="9" t="n">
        <v>0</v>
      </c>
      <c r="Z421" s="19" t="n">
        <v>7.5</v>
      </c>
      <c r="AA421" s="19" t="n">
        <v>7.5</v>
      </c>
      <c r="AB421" s="19" t="n">
        <v>9</v>
      </c>
      <c r="AC421" s="19" t="n">
        <v>7.5</v>
      </c>
      <c r="AD421" s="19" t="n">
        <v>9</v>
      </c>
      <c r="AE421" s="19" t="n">
        <v>9</v>
      </c>
      <c r="AF421" s="9" t="n">
        <v>0</v>
      </c>
      <c r="AG421" s="19" t="n">
        <v>7</v>
      </c>
      <c r="AH421" s="19" t="n">
        <v>8</v>
      </c>
      <c r="AI421" s="19" t="n">
        <v>8</v>
      </c>
      <c r="AJ421" s="19" t="n">
        <v>0</v>
      </c>
      <c r="AK421" s="19" t="n">
        <v>0</v>
      </c>
      <c r="AL421" s="19" t="n">
        <v>0</v>
      </c>
      <c r="AM421" s="9" t="n">
        <v>0</v>
      </c>
      <c r="AN421" s="19" t="n">
        <v>0</v>
      </c>
      <c r="AO421" s="19" t="n">
        <v>0</v>
      </c>
      <c r="AP421" s="19" t="n">
        <v>0</v>
      </c>
      <c r="AQ421" s="19" t="n">
        <v>0</v>
      </c>
      <c r="AR421" s="19" t="n">
        <v>0</v>
      </c>
      <c r="AS421" s="19" t="n">
        <v>0</v>
      </c>
      <c r="AT421" s="10">
        <f>SUM(O421:AS421)</f>
        <v/>
      </c>
      <c r="AU421" s="20">
        <f>COUNTIF(O421:AS421, "&gt;0")</f>
        <v/>
      </c>
      <c r="AV421" s="12">
        <f>IF(AU421&gt;=5, 4, IF(AU421&gt;0, INT(AU421/6), 0))</f>
        <v/>
      </c>
      <c r="AW421" s="20" t="n">
        <v>0</v>
      </c>
      <c r="AX421" s="20" t="n">
        <v>0</v>
      </c>
      <c r="AY421" s="13">
        <f>MIN(31, AU421+AV421+AW421+AX421)</f>
        <v/>
      </c>
      <c r="AZ421" s="14">
        <f>31-AY421</f>
        <v/>
      </c>
      <c r="BA421" s="21">
        <f>IF(AX421&gt;0, "01-İstirahat", IF(AZ421&gt;0, "12-Birden Fazla", ""))</f>
        <v/>
      </c>
      <c r="BB421" s="10" t="n">
        <v>33.5</v>
      </c>
      <c r="BC421" s="23" t="n">
        <v>2</v>
      </c>
      <c r="BD421" s="9" t="n">
        <v>0</v>
      </c>
      <c r="BE421" s="22">
        <f>(L421/30)*AU421</f>
        <v/>
      </c>
      <c r="BF421" s="15">
        <f>(L421/225)*((BB421*1.5)-(BC421*1.0))</f>
        <v/>
      </c>
      <c r="BG421" s="16">
        <f>(L421/225)*1.5*BD421</f>
        <v/>
      </c>
      <c r="BH421" s="15">
        <f>BF421+BG421</f>
        <v/>
      </c>
      <c r="BI421" s="17">
        <f>BE421+BH421</f>
        <v/>
      </c>
      <c r="BJ421" s="22">
        <f>IFERROR(VLOOKUP(B421, Resmi_Bordro_SGK!B:M, 11, FALSE), 0)</f>
        <v/>
      </c>
      <c r="BK421" s="18">
        <f>IFERROR(VLOOKUP(B421, Icra_Takip!A:E, 4, FALSE), 0)</f>
        <v/>
      </c>
      <c r="BL421" s="17">
        <f>IF(BI421&gt;BJ421, BI421-BJ421-BK421, 0)</f>
        <v/>
      </c>
      <c r="BM421" s="17">
        <f>BI421-BK421</f>
        <v/>
      </c>
    </row>
    <row r="422" ht="19" customHeight="1">
      <c r="A422" s="4" t="n">
        <v>419</v>
      </c>
      <c r="B422" s="5" t="inlineStr">
        <is>
          <t>22498412394</t>
        </is>
      </c>
      <c r="C422" s="6" t="inlineStr">
        <is>
          <t>ZEYNEP ONBAŞI</t>
        </is>
      </c>
      <c r="D422" s="4" t="inlineStr">
        <is>
          <t>K</t>
        </is>
      </c>
      <c r="E422" s="4" t="inlineStr"/>
      <c r="F422" s="4" t="inlineStr">
        <is>
          <t>23.02.2026</t>
        </is>
      </c>
      <c r="G422" s="4" t="inlineStr"/>
      <c r="H422" s="4" t="inlineStr">
        <is>
          <t>NORMAL</t>
        </is>
      </c>
      <c r="I422" s="4" t="inlineStr">
        <is>
          <t>MEVSİMLİK</t>
        </is>
      </c>
      <c r="J422" s="6" t="inlineStr">
        <is>
          <t>YEMEKHANE</t>
        </is>
      </c>
      <c r="K422" s="6" t="inlineStr">
        <is>
          <t>BALIKESİR</t>
        </is>
      </c>
      <c r="L422" s="7" t="n">
        <v>28075.5</v>
      </c>
      <c r="M422" s="4" t="inlineStr">
        <is>
          <t>FİDE KONSERVE</t>
        </is>
      </c>
      <c r="N422" s="4" t="inlineStr">
        <is>
          <t>ALIR</t>
        </is>
      </c>
      <c r="O422" s="8" t="n">
        <v>8</v>
      </c>
      <c r="P422" s="8" t="n">
        <v>8</v>
      </c>
      <c r="Q422" s="8" t="n">
        <v>8</v>
      </c>
      <c r="R422" s="9" t="n">
        <v>0</v>
      </c>
      <c r="S422" s="8" t="n">
        <v>7.5</v>
      </c>
      <c r="T422" s="8" t="n">
        <v>8</v>
      </c>
      <c r="U422" s="8" t="n">
        <v>7.5</v>
      </c>
      <c r="V422" s="23" t="n">
        <v>7.5</v>
      </c>
      <c r="W422" s="23" t="n">
        <v>7</v>
      </c>
      <c r="X422" s="8" t="n">
        <v>8.5</v>
      </c>
      <c r="Y422" s="9" t="n">
        <v>7.5</v>
      </c>
      <c r="Z422" s="8" t="n">
        <v>7.5</v>
      </c>
      <c r="AA422" s="8" t="n">
        <v>7.5</v>
      </c>
      <c r="AB422" s="8" t="n">
        <v>8.5</v>
      </c>
      <c r="AC422" s="8" t="n">
        <v>7.5</v>
      </c>
      <c r="AD422" s="8" t="n">
        <v>7.5</v>
      </c>
      <c r="AE422" s="8" t="n">
        <v>8.5</v>
      </c>
      <c r="AF422" s="9" t="n">
        <v>0</v>
      </c>
      <c r="AG422" s="8" t="n">
        <v>8</v>
      </c>
      <c r="AH422" s="8" t="n">
        <v>7.5</v>
      </c>
      <c r="AI422" s="8" t="n">
        <v>7.5</v>
      </c>
      <c r="AJ422" s="8" t="n">
        <v>0</v>
      </c>
      <c r="AK422" s="8" t="n">
        <v>0</v>
      </c>
      <c r="AL422" s="8" t="n">
        <v>0</v>
      </c>
      <c r="AM422" s="9" t="n">
        <v>0</v>
      </c>
      <c r="AN422" s="8" t="n">
        <v>0</v>
      </c>
      <c r="AO422" s="8" t="n">
        <v>0</v>
      </c>
      <c r="AP422" s="8" t="n">
        <v>0</v>
      </c>
      <c r="AQ422" s="8" t="n">
        <v>0</v>
      </c>
      <c r="AR422" s="8" t="n">
        <v>0</v>
      </c>
      <c r="AS422" s="8" t="n">
        <v>0</v>
      </c>
      <c r="AT422" s="10">
        <f>SUM(O422:AS422)</f>
        <v/>
      </c>
      <c r="AU422" s="11">
        <f>COUNTIF(O422:AS422, "&gt;0")</f>
        <v/>
      </c>
      <c r="AV422" s="12">
        <f>IF(AU422&gt;=5, 4, IF(AU422&gt;0, INT(AU422/6), 0))</f>
        <v/>
      </c>
      <c r="AW422" s="11" t="n">
        <v>0</v>
      </c>
      <c r="AX422" s="11" t="n">
        <v>0</v>
      </c>
      <c r="AY422" s="13">
        <f>MIN(31, AU422+AV422+AW422+AX422)</f>
        <v/>
      </c>
      <c r="AZ422" s="14">
        <f>31-AY422</f>
        <v/>
      </c>
      <c r="BA422" s="5">
        <f>IF(AX422&gt;0, "01-İstirahat", IF(AZ422&gt;0, "12-Birden Fazla", ""))</f>
        <v/>
      </c>
      <c r="BB422" s="10" t="n">
        <v>6</v>
      </c>
      <c r="BC422" s="23" t="n">
        <v>0.5</v>
      </c>
      <c r="BD422" s="9" t="n">
        <v>7.5</v>
      </c>
      <c r="BE422" s="7">
        <f>(L422/30)*AU422</f>
        <v/>
      </c>
      <c r="BF422" s="15">
        <f>(L422/225)*((BB422*1.5)-(BC422*1.0))</f>
        <v/>
      </c>
      <c r="BG422" s="16">
        <f>(L422/225)*1.5*BD422</f>
        <v/>
      </c>
      <c r="BH422" s="15">
        <f>BF422+BG422</f>
        <v/>
      </c>
      <c r="BI422" s="17">
        <f>BE422+BH422</f>
        <v/>
      </c>
      <c r="BJ422" s="7">
        <f>IFERROR(VLOOKUP(B422, Resmi_Bordro_SGK!B:M, 11, FALSE), 0)</f>
        <v/>
      </c>
      <c r="BK422" s="18">
        <f>IFERROR(VLOOKUP(B422, Icra_Takip!A:E, 4, FALSE), 0)</f>
        <v/>
      </c>
      <c r="BL422" s="17">
        <f>IF(BI422&gt;BJ422, BI422-BJ422-BK422, 0)</f>
        <v/>
      </c>
      <c r="BM422" s="17">
        <f>BI422-BK422</f>
        <v/>
      </c>
    </row>
    <row r="423" ht="19" customHeight="1">
      <c r="A423" s="4" t="n">
        <v>420</v>
      </c>
      <c r="B423" s="5" t="inlineStr">
        <is>
          <t>25657430024</t>
        </is>
      </c>
      <c r="C423" s="6" t="inlineStr">
        <is>
          <t>KÜRŞAT TÜRKAN</t>
        </is>
      </c>
      <c r="D423" s="4" t="inlineStr">
        <is>
          <t>E</t>
        </is>
      </c>
      <c r="E423" s="4" t="inlineStr"/>
      <c r="F423" s="4" t="inlineStr"/>
      <c r="G423" s="4" t="inlineStr"/>
      <c r="H423" s="4" t="inlineStr">
        <is>
          <t>SGK YOK</t>
        </is>
      </c>
      <c r="I423" s="4" t="inlineStr">
        <is>
          <t>DAİMİ</t>
        </is>
      </c>
      <c r="J423" s="6" t="inlineStr">
        <is>
          <t>BAKIM</t>
        </is>
      </c>
      <c r="K423" s="6" t="inlineStr">
        <is>
          <t>KARACABEY</t>
        </is>
      </c>
      <c r="L423" s="7" t="n">
        <v>95000</v>
      </c>
      <c r="M423" s="4" t="inlineStr">
        <is>
          <t>FİDE KONSERVE</t>
        </is>
      </c>
      <c r="N423" s="4" t="inlineStr">
        <is>
          <t>ALMAZ</t>
        </is>
      </c>
      <c r="O423" s="19" t="n">
        <v>9</v>
      </c>
      <c r="P423" s="19" t="n">
        <v>8</v>
      </c>
      <c r="Q423" s="19" t="n">
        <v>7.5</v>
      </c>
      <c r="R423" s="9" t="n">
        <v>5.5</v>
      </c>
      <c r="S423" s="19" t="n">
        <v>9</v>
      </c>
      <c r="T423" s="19" t="n">
        <v>8</v>
      </c>
      <c r="U423" s="19" t="n">
        <v>9.5</v>
      </c>
      <c r="V423" s="19" t="n">
        <v>9</v>
      </c>
      <c r="W423" s="19" t="n">
        <v>9</v>
      </c>
      <c r="X423" s="19" t="n">
        <v>8.5</v>
      </c>
      <c r="Y423" s="9" t="n">
        <v>7.5</v>
      </c>
      <c r="Z423" s="23" t="n">
        <v>9</v>
      </c>
      <c r="AA423" s="19" t="n">
        <v>8.5</v>
      </c>
      <c r="AB423" s="19" t="n">
        <v>8.5</v>
      </c>
      <c r="AC423" s="19" t="n">
        <v>8.5</v>
      </c>
      <c r="AD423" s="19" t="n">
        <v>9</v>
      </c>
      <c r="AE423" s="23" t="n">
        <v>7.5</v>
      </c>
      <c r="AF423" s="9" t="n">
        <v>8</v>
      </c>
      <c r="AG423" s="19" t="n">
        <v>8.5</v>
      </c>
      <c r="AH423" s="19" t="n">
        <v>8.5</v>
      </c>
      <c r="AI423" s="19" t="n">
        <v>5.5</v>
      </c>
      <c r="AJ423" s="19" t="n">
        <v>0</v>
      </c>
      <c r="AK423" s="19" t="n">
        <v>0</v>
      </c>
      <c r="AL423" s="19" t="n">
        <v>0</v>
      </c>
      <c r="AM423" s="9" t="n">
        <v>0</v>
      </c>
      <c r="AN423" s="19" t="n">
        <v>0</v>
      </c>
      <c r="AO423" s="19" t="n">
        <v>0</v>
      </c>
      <c r="AP423" s="19" t="n">
        <v>0</v>
      </c>
      <c r="AQ423" s="19" t="n">
        <v>0</v>
      </c>
      <c r="AR423" s="19" t="n">
        <v>0</v>
      </c>
      <c r="AS423" s="19" t="n">
        <v>0</v>
      </c>
      <c r="AT423" s="10">
        <f>SUM(O423:AS423)</f>
        <v/>
      </c>
      <c r="AU423" s="20">
        <f>COUNTIF(O423:AS423, "&gt;0")</f>
        <v/>
      </c>
      <c r="AV423" s="12">
        <f>IF(AU423&gt;=5, 4, IF(AU423&gt;0, INT(AU423/6), 0))</f>
        <v/>
      </c>
      <c r="AW423" s="20" t="n">
        <v>0</v>
      </c>
      <c r="AX423" s="20" t="n">
        <v>0</v>
      </c>
      <c r="AY423" s="13">
        <f>MIN(31, AU423+AV423+AW423+AX423)</f>
        <v/>
      </c>
      <c r="AZ423" s="14">
        <f>31-AY423</f>
        <v/>
      </c>
      <c r="BA423" s="21">
        <f>IF(AX423&gt;0, "01-İstirahat", IF(AZ423&gt;0, "12-Birden Fazla", ""))</f>
        <v/>
      </c>
      <c r="BB423" s="10" t="n">
        <v>20</v>
      </c>
      <c r="BC423" s="23" t="n">
        <v>2</v>
      </c>
      <c r="BD423" s="9" t="n">
        <v>21</v>
      </c>
      <c r="BE423" s="22">
        <f>(L423/30)*AU423</f>
        <v/>
      </c>
      <c r="BF423" s="15">
        <f>(L423/225)*((BB423*1.5)-(BC423*1.0))</f>
        <v/>
      </c>
      <c r="BG423" s="16">
        <f>(L423/225)*1.5*BD423</f>
        <v/>
      </c>
      <c r="BH423" s="15">
        <f>BF423+BG423</f>
        <v/>
      </c>
      <c r="BI423" s="17">
        <f>BE423+BH423</f>
        <v/>
      </c>
      <c r="BJ423" s="22">
        <f>IFERROR(VLOOKUP(B423, Resmi_Bordro_SGK!B:M, 11, FALSE), 0)</f>
        <v/>
      </c>
      <c r="BK423" s="18">
        <f>IFERROR(VLOOKUP(B423, Icra_Takip!A:E, 4, FALSE), 0)</f>
        <v/>
      </c>
      <c r="BL423" s="17">
        <f>IF(BI423&gt;BJ423, BI423-BJ423-BK423, 0)</f>
        <v/>
      </c>
      <c r="BM423" s="17">
        <f>BI423-BK423</f>
        <v/>
      </c>
    </row>
    <row r="424" ht="19" customHeight="1">
      <c r="A424" s="4" t="n">
        <v>421</v>
      </c>
      <c r="B424" s="5" t="inlineStr">
        <is>
          <t>26755743740</t>
        </is>
      </c>
      <c r="C424" s="6" t="inlineStr">
        <is>
          <t>SONGÜL ZEHİROĞLU</t>
        </is>
      </c>
      <c r="D424" s="4" t="inlineStr">
        <is>
          <t>K</t>
        </is>
      </c>
      <c r="E424" s="4" t="inlineStr"/>
      <c r="F424" s="4" t="inlineStr">
        <is>
          <t>30.06.2026</t>
        </is>
      </c>
      <c r="G424" s="4" t="inlineStr"/>
      <c r="H424" s="4" t="inlineStr">
        <is>
          <t>NORMAL</t>
        </is>
      </c>
      <c r="I424" s="4" t="inlineStr">
        <is>
          <t>MEVSİMLİK</t>
        </is>
      </c>
      <c r="J424" s="6" t="inlineStr">
        <is>
          <t>ÜRETİM</t>
        </is>
      </c>
      <c r="K424" s="6" t="inlineStr">
        <is>
          <t>GÜVEN</t>
        </is>
      </c>
      <c r="L424" s="7" t="n">
        <v>28075.5</v>
      </c>
      <c r="M424" s="4" t="inlineStr">
        <is>
          <t>FİDE KONSERVE</t>
        </is>
      </c>
      <c r="N424" s="4" t="inlineStr">
        <is>
          <t>ALIR</t>
        </is>
      </c>
      <c r="O424" s="8" t="n">
        <v>0</v>
      </c>
      <c r="P424" s="8" t="n">
        <v>0</v>
      </c>
      <c r="Q424" s="8" t="n">
        <v>0</v>
      </c>
      <c r="R424" s="9" t="n">
        <v>0</v>
      </c>
      <c r="S424" s="8" t="n">
        <v>0</v>
      </c>
      <c r="T424" s="8" t="n">
        <v>0</v>
      </c>
      <c r="U424" s="8" t="n">
        <v>0</v>
      </c>
      <c r="V424" s="8" t="n">
        <v>0</v>
      </c>
      <c r="W424" s="8" t="n">
        <v>0</v>
      </c>
      <c r="X424" s="8" t="n">
        <v>0</v>
      </c>
      <c r="Y424" s="9" t="n">
        <v>0</v>
      </c>
      <c r="Z424" s="8" t="n">
        <v>0</v>
      </c>
      <c r="AA424" s="8" t="n">
        <v>0</v>
      </c>
      <c r="AB424" s="8" t="n">
        <v>0</v>
      </c>
      <c r="AC424" s="8" t="n">
        <v>0</v>
      </c>
      <c r="AD424" s="8" t="n">
        <v>0</v>
      </c>
      <c r="AE424" s="8" t="n">
        <v>0</v>
      </c>
      <c r="AF424" s="9" t="n">
        <v>0</v>
      </c>
      <c r="AG424" s="8" t="n">
        <v>0</v>
      </c>
      <c r="AH424" s="8" t="n">
        <v>0</v>
      </c>
      <c r="AI424" s="8" t="n">
        <v>0</v>
      </c>
      <c r="AJ424" s="8" t="n">
        <v>0</v>
      </c>
      <c r="AK424" s="8" t="n">
        <v>0</v>
      </c>
      <c r="AL424" s="8" t="n">
        <v>0</v>
      </c>
      <c r="AM424" s="9" t="n">
        <v>0</v>
      </c>
      <c r="AN424" s="8" t="n">
        <v>0</v>
      </c>
      <c r="AO424" s="8" t="n">
        <v>0</v>
      </c>
      <c r="AP424" s="8" t="n">
        <v>0</v>
      </c>
      <c r="AQ424" s="8" t="n">
        <v>0</v>
      </c>
      <c r="AR424" s="8" t="n">
        <v>0</v>
      </c>
      <c r="AS424" s="8" t="n">
        <v>0</v>
      </c>
      <c r="AT424" s="10">
        <f>SUM(O424:AS424)</f>
        <v/>
      </c>
      <c r="AU424" s="11">
        <f>COUNTIF(O424:AS424, "&gt;0")</f>
        <v/>
      </c>
      <c r="AV424" s="12">
        <f>IF(AU424&gt;=5, 4, IF(AU424&gt;0, INT(AU424/6), 0))</f>
        <v/>
      </c>
      <c r="AW424" s="11" t="n">
        <v>0</v>
      </c>
      <c r="AX424" s="11" t="n">
        <v>0</v>
      </c>
      <c r="AY424" s="13">
        <f>MIN(31, AU424+AV424+AW424+AX424)</f>
        <v/>
      </c>
      <c r="AZ424" s="14">
        <f>31-AY424</f>
        <v/>
      </c>
      <c r="BA424" s="5">
        <f>IF(AX424&gt;0, "01-İstirahat", IF(AZ424&gt;0, "12-Birden Fazla", ""))</f>
        <v/>
      </c>
      <c r="BB424" s="10" t="n">
        <v>0</v>
      </c>
      <c r="BC424" s="8" t="n">
        <v>0</v>
      </c>
      <c r="BD424" s="9" t="n">
        <v>0</v>
      </c>
      <c r="BE424" s="7">
        <f>(L424/30)*AU424</f>
        <v/>
      </c>
      <c r="BF424" s="15">
        <f>(L424/225)*((BB424*1.5)-(BC424*1.0))</f>
        <v/>
      </c>
      <c r="BG424" s="16">
        <f>(L424/225)*1.5*BD424</f>
        <v/>
      </c>
      <c r="BH424" s="15">
        <f>BF424+BG424</f>
        <v/>
      </c>
      <c r="BI424" s="17">
        <f>BE424+BH424</f>
        <v/>
      </c>
      <c r="BJ424" s="7">
        <f>IFERROR(VLOOKUP(B424, Resmi_Bordro_SGK!B:M, 11, FALSE), 0)</f>
        <v/>
      </c>
      <c r="BK424" s="18">
        <f>IFERROR(VLOOKUP(B424, Icra_Takip!A:E, 4, FALSE), 0)</f>
        <v/>
      </c>
      <c r="BL424" s="17">
        <f>IF(BI424&gt;BJ424, BI424-BJ424-BK424, 0)</f>
        <v/>
      </c>
      <c r="BM424" s="17">
        <f>BI424-BK424</f>
        <v/>
      </c>
    </row>
    <row r="425" ht="19" customHeight="1">
      <c r="A425" s="4" t="n">
        <v>422</v>
      </c>
      <c r="B425" s="5" t="inlineStr">
        <is>
          <t>38632602156</t>
        </is>
      </c>
      <c r="C425" s="6" t="inlineStr">
        <is>
          <t>AYÇANUR ELEKÇİEL</t>
        </is>
      </c>
      <c r="D425" s="4" t="inlineStr"/>
      <c r="E425" s="4" t="inlineStr"/>
      <c r="F425" s="4" t="inlineStr">
        <is>
          <t>27.07.2026</t>
        </is>
      </c>
      <c r="G425" s="4" t="inlineStr"/>
      <c r="H425" s="4" t="inlineStr">
        <is>
          <t>NORMAL</t>
        </is>
      </c>
      <c r="I425" s="4" t="inlineStr">
        <is>
          <t>MEVSİMLİK</t>
        </is>
      </c>
      <c r="J425" s="6" t="inlineStr"/>
      <c r="K425" s="6" t="inlineStr"/>
      <c r="L425" s="7" t="n">
        <v>28075.5</v>
      </c>
      <c r="M425" s="4" t="inlineStr">
        <is>
          <t>FİDE KONSERVE</t>
        </is>
      </c>
      <c r="N425" s="4" t="inlineStr">
        <is>
          <t>ALIR</t>
        </is>
      </c>
      <c r="O425" s="19" t="n">
        <v>0</v>
      </c>
      <c r="P425" s="19" t="n">
        <v>0</v>
      </c>
      <c r="Q425" s="19" t="n">
        <v>0</v>
      </c>
      <c r="R425" s="9" t="n">
        <v>0</v>
      </c>
      <c r="S425" s="19" t="n">
        <v>0</v>
      </c>
      <c r="T425" s="19" t="n">
        <v>0</v>
      </c>
      <c r="U425" s="19" t="n">
        <v>0</v>
      </c>
      <c r="V425" s="19" t="n">
        <v>0</v>
      </c>
      <c r="W425" s="19" t="n">
        <v>0</v>
      </c>
      <c r="X425" s="19" t="n">
        <v>0</v>
      </c>
      <c r="Y425" s="9" t="n">
        <v>0</v>
      </c>
      <c r="Z425" s="19" t="n">
        <v>0</v>
      </c>
      <c r="AA425" s="19" t="n">
        <v>0</v>
      </c>
      <c r="AB425" s="19" t="n">
        <v>0</v>
      </c>
      <c r="AC425" s="19" t="n">
        <v>0</v>
      </c>
      <c r="AD425" s="19" t="n">
        <v>0</v>
      </c>
      <c r="AE425" s="19" t="n">
        <v>0</v>
      </c>
      <c r="AF425" s="9" t="n">
        <v>0</v>
      </c>
      <c r="AG425" s="19" t="n">
        <v>0</v>
      </c>
      <c r="AH425" s="19" t="n">
        <v>0</v>
      </c>
      <c r="AI425" s="19" t="n">
        <v>0</v>
      </c>
      <c r="AJ425" s="19" t="n">
        <v>0</v>
      </c>
      <c r="AK425" s="19" t="n">
        <v>0</v>
      </c>
      <c r="AL425" s="19" t="n">
        <v>0</v>
      </c>
      <c r="AM425" s="9" t="n">
        <v>0</v>
      </c>
      <c r="AN425" s="19" t="n">
        <v>0</v>
      </c>
      <c r="AO425" s="19" t="n">
        <v>0</v>
      </c>
      <c r="AP425" s="19" t="n">
        <v>0</v>
      </c>
      <c r="AQ425" s="19" t="n">
        <v>0</v>
      </c>
      <c r="AR425" s="19" t="n">
        <v>0</v>
      </c>
      <c r="AS425" s="19" t="n">
        <v>0</v>
      </c>
      <c r="AT425" s="10">
        <f>SUM(O425:AS425)</f>
        <v/>
      </c>
      <c r="AU425" s="20">
        <f>COUNTIF(O425:AS425, "&gt;0")</f>
        <v/>
      </c>
      <c r="AV425" s="12">
        <f>IF(AU425&gt;=5, 4, IF(AU425&gt;0, INT(AU425/6), 0))</f>
        <v/>
      </c>
      <c r="AW425" s="20" t="n">
        <v>0</v>
      </c>
      <c r="AX425" s="20" t="n">
        <v>0</v>
      </c>
      <c r="AY425" s="13">
        <f>MIN(31, AU425+AV425+AW425+AX425)</f>
        <v/>
      </c>
      <c r="AZ425" s="14">
        <f>31-AY425</f>
        <v/>
      </c>
      <c r="BA425" s="21">
        <f>IF(AX425&gt;0, "01-İstirahat", IF(AZ425&gt;0, "12-Birden Fazla", ""))</f>
        <v/>
      </c>
      <c r="BB425" s="10" t="n">
        <v>0</v>
      </c>
      <c r="BC425" s="19" t="n">
        <v>0</v>
      </c>
      <c r="BD425" s="9" t="n">
        <v>0</v>
      </c>
      <c r="BE425" s="22">
        <f>(L425/30)*AU425</f>
        <v/>
      </c>
      <c r="BF425" s="15">
        <f>(L425/225)*((BB425*1.5)-(BC425*1.0))</f>
        <v/>
      </c>
      <c r="BG425" s="16">
        <f>(L425/225)*1.5*BD425</f>
        <v/>
      </c>
      <c r="BH425" s="15">
        <f>BF425+BG425</f>
        <v/>
      </c>
      <c r="BI425" s="17">
        <f>BE425+BH425</f>
        <v/>
      </c>
      <c r="BJ425" s="22">
        <f>IFERROR(VLOOKUP(B425, Resmi_Bordro_SGK!B:M, 11, FALSE), 0)</f>
        <v/>
      </c>
      <c r="BK425" s="18">
        <f>IFERROR(VLOOKUP(B425, Icra_Takip!A:E, 4, FALSE), 0)</f>
        <v/>
      </c>
      <c r="BL425" s="17">
        <f>IF(BI425&gt;BJ425, BI425-BJ425-BK425, 0)</f>
        <v/>
      </c>
      <c r="BM425" s="17">
        <f>BI425-BK425</f>
        <v/>
      </c>
    </row>
    <row r="426" ht="19" customHeight="1">
      <c r="A426" s="4" t="n">
        <v>423</v>
      </c>
      <c r="B426" s="5" t="inlineStr">
        <is>
          <t>32530202388</t>
        </is>
      </c>
      <c r="C426" s="6" t="inlineStr">
        <is>
          <t>AYNUR AY</t>
        </is>
      </c>
      <c r="D426" s="4" t="inlineStr"/>
      <c r="E426" s="4" t="inlineStr"/>
      <c r="F426" s="4" t="inlineStr">
        <is>
          <t>06.08.2026</t>
        </is>
      </c>
      <c r="G426" s="4" t="inlineStr"/>
      <c r="H426" s="4" t="inlineStr">
        <is>
          <t>NORMAL</t>
        </is>
      </c>
      <c r="I426" s="4" t="inlineStr">
        <is>
          <t>MEVSİMLİK</t>
        </is>
      </c>
      <c r="J426" s="6" t="inlineStr"/>
      <c r="K426" s="6" t="inlineStr"/>
      <c r="L426" s="7" t="n">
        <v>28075.5</v>
      </c>
      <c r="M426" s="4" t="inlineStr">
        <is>
          <t>FİDE KONSERVE</t>
        </is>
      </c>
      <c r="N426" s="4" t="inlineStr">
        <is>
          <t>ALIR</t>
        </is>
      </c>
      <c r="O426" s="8" t="n">
        <v>0</v>
      </c>
      <c r="P426" s="8" t="n">
        <v>0</v>
      </c>
      <c r="Q426" s="8" t="n">
        <v>0</v>
      </c>
      <c r="R426" s="9" t="n">
        <v>0</v>
      </c>
      <c r="S426" s="8" t="n">
        <v>0</v>
      </c>
      <c r="T426" s="8" t="n">
        <v>0</v>
      </c>
      <c r="U426" s="8" t="n">
        <v>0</v>
      </c>
      <c r="V426" s="8" t="n">
        <v>0</v>
      </c>
      <c r="W426" s="8" t="n">
        <v>0</v>
      </c>
      <c r="X426" s="8" t="n">
        <v>0</v>
      </c>
      <c r="Y426" s="9" t="n">
        <v>0</v>
      </c>
      <c r="Z426" s="8" t="n">
        <v>0</v>
      </c>
      <c r="AA426" s="8" t="n">
        <v>0</v>
      </c>
      <c r="AB426" s="8" t="n">
        <v>0</v>
      </c>
      <c r="AC426" s="8" t="n">
        <v>0</v>
      </c>
      <c r="AD426" s="8" t="n">
        <v>0</v>
      </c>
      <c r="AE426" s="8" t="n">
        <v>0</v>
      </c>
      <c r="AF426" s="9" t="n">
        <v>0</v>
      </c>
      <c r="AG426" s="8" t="n">
        <v>0</v>
      </c>
      <c r="AH426" s="8" t="n">
        <v>0</v>
      </c>
      <c r="AI426" s="8" t="n">
        <v>0</v>
      </c>
      <c r="AJ426" s="8" t="n">
        <v>0</v>
      </c>
      <c r="AK426" s="8" t="n">
        <v>0</v>
      </c>
      <c r="AL426" s="8" t="n">
        <v>0</v>
      </c>
      <c r="AM426" s="9" t="n">
        <v>0</v>
      </c>
      <c r="AN426" s="8" t="n">
        <v>0</v>
      </c>
      <c r="AO426" s="8" t="n">
        <v>0</v>
      </c>
      <c r="AP426" s="8" t="n">
        <v>0</v>
      </c>
      <c r="AQ426" s="8" t="n">
        <v>0</v>
      </c>
      <c r="AR426" s="8" t="n">
        <v>0</v>
      </c>
      <c r="AS426" s="8" t="n">
        <v>0</v>
      </c>
      <c r="AT426" s="10">
        <f>SUM(O426:AS426)</f>
        <v/>
      </c>
      <c r="AU426" s="11">
        <f>COUNTIF(O426:AS426, "&gt;0")</f>
        <v/>
      </c>
      <c r="AV426" s="12">
        <f>IF(AU426&gt;=5, 4, IF(AU426&gt;0, INT(AU426/6), 0))</f>
        <v/>
      </c>
      <c r="AW426" s="11" t="n">
        <v>0</v>
      </c>
      <c r="AX426" s="11" t="n">
        <v>0</v>
      </c>
      <c r="AY426" s="13">
        <f>MIN(31, AU426+AV426+AW426+AX426)</f>
        <v/>
      </c>
      <c r="AZ426" s="14">
        <f>31-AY426</f>
        <v/>
      </c>
      <c r="BA426" s="5">
        <f>IF(AX426&gt;0, "01-İstirahat", IF(AZ426&gt;0, "12-Birden Fazla", ""))</f>
        <v/>
      </c>
      <c r="BB426" s="10" t="n">
        <v>0</v>
      </c>
      <c r="BC426" s="8" t="n">
        <v>0</v>
      </c>
      <c r="BD426" s="9" t="n">
        <v>0</v>
      </c>
      <c r="BE426" s="7">
        <f>(L426/30)*AU426</f>
        <v/>
      </c>
      <c r="BF426" s="15">
        <f>(L426/225)*((BB426*1.5)-(BC426*1.0))</f>
        <v/>
      </c>
      <c r="BG426" s="16">
        <f>(L426/225)*1.5*BD426</f>
        <v/>
      </c>
      <c r="BH426" s="15">
        <f>BF426+BG426</f>
        <v/>
      </c>
      <c r="BI426" s="17">
        <f>BE426+BH426</f>
        <v/>
      </c>
      <c r="BJ426" s="7">
        <f>IFERROR(VLOOKUP(B426, Resmi_Bordro_SGK!B:M, 11, FALSE), 0)</f>
        <v/>
      </c>
      <c r="BK426" s="18">
        <f>IFERROR(VLOOKUP(B426, Icra_Takip!A:E, 4, FALSE), 0)</f>
        <v/>
      </c>
      <c r="BL426" s="17">
        <f>IF(BI426&gt;BJ426, BI426-BJ426-BK426, 0)</f>
        <v/>
      </c>
      <c r="BM426" s="17">
        <f>BI426-BK426</f>
        <v/>
      </c>
    </row>
    <row r="427" ht="19" customHeight="1">
      <c r="A427" s="4" t="n">
        <v>424</v>
      </c>
      <c r="B427" s="5" t="inlineStr">
        <is>
          <t>23476537894</t>
        </is>
      </c>
      <c r="C427" s="6" t="inlineStr">
        <is>
          <t>AYŞENUR SOLAK</t>
        </is>
      </c>
      <c r="D427" s="4" t="inlineStr"/>
      <c r="E427" s="4" t="inlineStr"/>
      <c r="F427" s="4" t="inlineStr">
        <is>
          <t>13.07.2026</t>
        </is>
      </c>
      <c r="G427" s="4" t="inlineStr"/>
      <c r="H427" s="4" t="inlineStr">
        <is>
          <t>NORMAL</t>
        </is>
      </c>
      <c r="I427" s="4" t="inlineStr">
        <is>
          <t>MEVSİMLİK</t>
        </is>
      </c>
      <c r="J427" s="6" t="inlineStr"/>
      <c r="K427" s="6" t="inlineStr"/>
      <c r="L427" s="7" t="n">
        <v>28075.5</v>
      </c>
      <c r="M427" s="4" t="inlineStr">
        <is>
          <t>FİDE KONSERVE</t>
        </is>
      </c>
      <c r="N427" s="4" t="inlineStr">
        <is>
          <t>ALIR</t>
        </is>
      </c>
      <c r="O427" s="19" t="n">
        <v>0</v>
      </c>
      <c r="P427" s="19" t="n">
        <v>0</v>
      </c>
      <c r="Q427" s="19" t="n">
        <v>0</v>
      </c>
      <c r="R427" s="9" t="n">
        <v>0</v>
      </c>
      <c r="S427" s="19" t="n">
        <v>0</v>
      </c>
      <c r="T427" s="19" t="n">
        <v>0</v>
      </c>
      <c r="U427" s="19" t="n">
        <v>0</v>
      </c>
      <c r="V427" s="19" t="n">
        <v>0</v>
      </c>
      <c r="W427" s="19" t="n">
        <v>0</v>
      </c>
      <c r="X427" s="19" t="n">
        <v>0</v>
      </c>
      <c r="Y427" s="9" t="n">
        <v>0</v>
      </c>
      <c r="Z427" s="19" t="n">
        <v>0</v>
      </c>
      <c r="AA427" s="19" t="n">
        <v>0</v>
      </c>
      <c r="AB427" s="19" t="n">
        <v>0</v>
      </c>
      <c r="AC427" s="19" t="n">
        <v>0</v>
      </c>
      <c r="AD427" s="19" t="n">
        <v>0</v>
      </c>
      <c r="AE427" s="19" t="n">
        <v>0</v>
      </c>
      <c r="AF427" s="9" t="n">
        <v>0</v>
      </c>
      <c r="AG427" s="19" t="n">
        <v>0</v>
      </c>
      <c r="AH427" s="19" t="n">
        <v>0</v>
      </c>
      <c r="AI427" s="19" t="n">
        <v>0</v>
      </c>
      <c r="AJ427" s="19" t="n">
        <v>0</v>
      </c>
      <c r="AK427" s="19" t="n">
        <v>0</v>
      </c>
      <c r="AL427" s="19" t="n">
        <v>0</v>
      </c>
      <c r="AM427" s="9" t="n">
        <v>0</v>
      </c>
      <c r="AN427" s="19" t="n">
        <v>0</v>
      </c>
      <c r="AO427" s="19" t="n">
        <v>0</v>
      </c>
      <c r="AP427" s="19" t="n">
        <v>0</v>
      </c>
      <c r="AQ427" s="19" t="n">
        <v>0</v>
      </c>
      <c r="AR427" s="19" t="n">
        <v>0</v>
      </c>
      <c r="AS427" s="19" t="n">
        <v>0</v>
      </c>
      <c r="AT427" s="10">
        <f>SUM(O427:AS427)</f>
        <v/>
      </c>
      <c r="AU427" s="20">
        <f>COUNTIF(O427:AS427, "&gt;0")</f>
        <v/>
      </c>
      <c r="AV427" s="12">
        <f>IF(AU427&gt;=5, 4, IF(AU427&gt;0, INT(AU427/6), 0))</f>
        <v/>
      </c>
      <c r="AW427" s="20" t="n">
        <v>0</v>
      </c>
      <c r="AX427" s="20" t="n">
        <v>0</v>
      </c>
      <c r="AY427" s="13">
        <f>MIN(31, AU427+AV427+AW427+AX427)</f>
        <v/>
      </c>
      <c r="AZ427" s="14">
        <f>31-AY427</f>
        <v/>
      </c>
      <c r="BA427" s="21">
        <f>IF(AX427&gt;0, "01-İstirahat", IF(AZ427&gt;0, "12-Birden Fazla", ""))</f>
        <v/>
      </c>
      <c r="BB427" s="10" t="n">
        <v>0</v>
      </c>
      <c r="BC427" s="19" t="n">
        <v>0</v>
      </c>
      <c r="BD427" s="9" t="n">
        <v>0</v>
      </c>
      <c r="BE427" s="22">
        <f>(L427/30)*AU427</f>
        <v/>
      </c>
      <c r="BF427" s="15">
        <f>(L427/225)*((BB427*1.5)-(BC427*1.0))</f>
        <v/>
      </c>
      <c r="BG427" s="16">
        <f>(L427/225)*1.5*BD427</f>
        <v/>
      </c>
      <c r="BH427" s="15">
        <f>BF427+BG427</f>
        <v/>
      </c>
      <c r="BI427" s="17">
        <f>BE427+BH427</f>
        <v/>
      </c>
      <c r="BJ427" s="22">
        <f>IFERROR(VLOOKUP(B427, Resmi_Bordro_SGK!B:M, 11, FALSE), 0)</f>
        <v/>
      </c>
      <c r="BK427" s="18">
        <f>IFERROR(VLOOKUP(B427, Icra_Takip!A:E, 4, FALSE), 0)</f>
        <v/>
      </c>
      <c r="BL427" s="17">
        <f>IF(BI427&gt;BJ427, BI427-BJ427-BK427, 0)</f>
        <v/>
      </c>
      <c r="BM427" s="17">
        <f>BI427-BK427</f>
        <v/>
      </c>
    </row>
    <row r="428" ht="19" customHeight="1">
      <c r="A428" s="4" t="n">
        <v>425</v>
      </c>
      <c r="B428" s="5" t="inlineStr">
        <is>
          <t>10459938144</t>
        </is>
      </c>
      <c r="C428" s="6" t="inlineStr">
        <is>
          <t>BARIŞ AŞIRT</t>
        </is>
      </c>
      <c r="D428" s="4" t="inlineStr"/>
      <c r="E428" s="4" t="inlineStr"/>
      <c r="F428" s="4" t="inlineStr">
        <is>
          <t>26.08.2026</t>
        </is>
      </c>
      <c r="G428" s="4" t="inlineStr"/>
      <c r="H428" s="4" t="inlineStr">
        <is>
          <t>NORMAL</t>
        </is>
      </c>
      <c r="I428" s="4" t="inlineStr">
        <is>
          <t>MEVSİMLİK</t>
        </is>
      </c>
      <c r="J428" s="6" t="inlineStr"/>
      <c r="K428" s="6" t="inlineStr"/>
      <c r="L428" s="7" t="n">
        <v>28075.5</v>
      </c>
      <c r="M428" s="4" t="inlineStr">
        <is>
          <t>FİDE KONSERVE</t>
        </is>
      </c>
      <c r="N428" s="4" t="inlineStr">
        <is>
          <t>ALIR</t>
        </is>
      </c>
      <c r="O428" s="8" t="n">
        <v>0</v>
      </c>
      <c r="P428" s="8" t="n">
        <v>0</v>
      </c>
      <c r="Q428" s="8" t="n">
        <v>0</v>
      </c>
      <c r="R428" s="9" t="n">
        <v>0</v>
      </c>
      <c r="S428" s="8" t="n">
        <v>0</v>
      </c>
      <c r="T428" s="8" t="n">
        <v>0</v>
      </c>
      <c r="U428" s="8" t="n">
        <v>0</v>
      </c>
      <c r="V428" s="8" t="n">
        <v>0</v>
      </c>
      <c r="W428" s="8" t="n">
        <v>0</v>
      </c>
      <c r="X428" s="8" t="n">
        <v>0</v>
      </c>
      <c r="Y428" s="9" t="n">
        <v>0</v>
      </c>
      <c r="Z428" s="8" t="n">
        <v>0</v>
      </c>
      <c r="AA428" s="8" t="n">
        <v>0</v>
      </c>
      <c r="AB428" s="8" t="n">
        <v>0</v>
      </c>
      <c r="AC428" s="8" t="n">
        <v>0</v>
      </c>
      <c r="AD428" s="8" t="n">
        <v>0</v>
      </c>
      <c r="AE428" s="8" t="n">
        <v>0</v>
      </c>
      <c r="AF428" s="9" t="n">
        <v>0</v>
      </c>
      <c r="AG428" s="8" t="n">
        <v>0</v>
      </c>
      <c r="AH428" s="8" t="n">
        <v>0</v>
      </c>
      <c r="AI428" s="8" t="n">
        <v>0</v>
      </c>
      <c r="AJ428" s="8" t="n">
        <v>0</v>
      </c>
      <c r="AK428" s="8" t="n">
        <v>0</v>
      </c>
      <c r="AL428" s="8" t="n">
        <v>0</v>
      </c>
      <c r="AM428" s="9" t="n">
        <v>0</v>
      </c>
      <c r="AN428" s="8" t="n">
        <v>0</v>
      </c>
      <c r="AO428" s="8" t="n">
        <v>0</v>
      </c>
      <c r="AP428" s="8" t="n">
        <v>0</v>
      </c>
      <c r="AQ428" s="8" t="n">
        <v>0</v>
      </c>
      <c r="AR428" s="8" t="n">
        <v>0</v>
      </c>
      <c r="AS428" s="8" t="n">
        <v>0</v>
      </c>
      <c r="AT428" s="10">
        <f>SUM(O428:AS428)</f>
        <v/>
      </c>
      <c r="AU428" s="11">
        <f>COUNTIF(O428:AS428, "&gt;0")</f>
        <v/>
      </c>
      <c r="AV428" s="12">
        <f>IF(AU428&gt;=5, 4, IF(AU428&gt;0, INT(AU428/6), 0))</f>
        <v/>
      </c>
      <c r="AW428" s="11" t="n">
        <v>0</v>
      </c>
      <c r="AX428" s="11" t="n">
        <v>0</v>
      </c>
      <c r="AY428" s="13">
        <f>MIN(31, AU428+AV428+AW428+AX428)</f>
        <v/>
      </c>
      <c r="AZ428" s="14">
        <f>31-AY428</f>
        <v/>
      </c>
      <c r="BA428" s="5">
        <f>IF(AX428&gt;0, "01-İstirahat", IF(AZ428&gt;0, "12-Birden Fazla", ""))</f>
        <v/>
      </c>
      <c r="BB428" s="10" t="n">
        <v>0</v>
      </c>
      <c r="BC428" s="8" t="n">
        <v>0</v>
      </c>
      <c r="BD428" s="9" t="n">
        <v>0</v>
      </c>
      <c r="BE428" s="7">
        <f>(L428/30)*AU428</f>
        <v/>
      </c>
      <c r="BF428" s="15">
        <f>(L428/225)*((BB428*1.5)-(BC428*1.0))</f>
        <v/>
      </c>
      <c r="BG428" s="16">
        <f>(L428/225)*1.5*BD428</f>
        <v/>
      </c>
      <c r="BH428" s="15">
        <f>BF428+BG428</f>
        <v/>
      </c>
      <c r="BI428" s="17">
        <f>BE428+BH428</f>
        <v/>
      </c>
      <c r="BJ428" s="7">
        <f>IFERROR(VLOOKUP(B428, Resmi_Bordro_SGK!B:M, 11, FALSE), 0)</f>
        <v/>
      </c>
      <c r="BK428" s="18">
        <f>IFERROR(VLOOKUP(B428, Icra_Takip!A:E, 4, FALSE), 0)</f>
        <v/>
      </c>
      <c r="BL428" s="17">
        <f>IF(BI428&gt;BJ428, BI428-BJ428-BK428, 0)</f>
        <v/>
      </c>
      <c r="BM428" s="17">
        <f>BI428-BK428</f>
        <v/>
      </c>
    </row>
    <row r="429" ht="19" customHeight="1">
      <c r="A429" s="4" t="n">
        <v>426</v>
      </c>
      <c r="B429" s="5" t="inlineStr">
        <is>
          <t>49387772940</t>
        </is>
      </c>
      <c r="C429" s="6" t="inlineStr">
        <is>
          <t>BARIŞ SOLAK</t>
        </is>
      </c>
      <c r="D429" s="4" t="inlineStr"/>
      <c r="E429" s="4" t="inlineStr"/>
      <c r="F429" s="4" t="inlineStr">
        <is>
          <t>26.07.2026</t>
        </is>
      </c>
      <c r="G429" s="4" t="inlineStr"/>
      <c r="H429" s="4" t="inlineStr">
        <is>
          <t>NORMAL</t>
        </is>
      </c>
      <c r="I429" s="4" t="inlineStr">
        <is>
          <t>MEVSİMLİK</t>
        </is>
      </c>
      <c r="J429" s="6" t="inlineStr"/>
      <c r="K429" s="6" t="inlineStr"/>
      <c r="L429" s="7" t="n">
        <v>28075.5</v>
      </c>
      <c r="M429" s="4" t="inlineStr">
        <is>
          <t>FİDE KONSERVE</t>
        </is>
      </c>
      <c r="N429" s="4" t="inlineStr">
        <is>
          <t>ALIR</t>
        </is>
      </c>
      <c r="O429" s="19" t="n">
        <v>0</v>
      </c>
      <c r="P429" s="19" t="n">
        <v>0</v>
      </c>
      <c r="Q429" s="19" t="n">
        <v>0</v>
      </c>
      <c r="R429" s="9" t="n">
        <v>0</v>
      </c>
      <c r="S429" s="19" t="n">
        <v>0</v>
      </c>
      <c r="T429" s="19" t="n">
        <v>0</v>
      </c>
      <c r="U429" s="19" t="n">
        <v>0</v>
      </c>
      <c r="V429" s="19" t="n">
        <v>0</v>
      </c>
      <c r="W429" s="19" t="n">
        <v>0</v>
      </c>
      <c r="X429" s="19" t="n">
        <v>0</v>
      </c>
      <c r="Y429" s="9" t="n">
        <v>0</v>
      </c>
      <c r="Z429" s="19" t="n">
        <v>0</v>
      </c>
      <c r="AA429" s="19" t="n">
        <v>0</v>
      </c>
      <c r="AB429" s="19" t="n">
        <v>0</v>
      </c>
      <c r="AC429" s="19" t="n">
        <v>0</v>
      </c>
      <c r="AD429" s="19" t="n">
        <v>0</v>
      </c>
      <c r="AE429" s="19" t="n">
        <v>0</v>
      </c>
      <c r="AF429" s="9" t="n">
        <v>0</v>
      </c>
      <c r="AG429" s="19" t="n">
        <v>0</v>
      </c>
      <c r="AH429" s="19" t="n">
        <v>0</v>
      </c>
      <c r="AI429" s="19" t="n">
        <v>0</v>
      </c>
      <c r="AJ429" s="19" t="n">
        <v>0</v>
      </c>
      <c r="AK429" s="19" t="n">
        <v>0</v>
      </c>
      <c r="AL429" s="19" t="n">
        <v>0</v>
      </c>
      <c r="AM429" s="9" t="n">
        <v>0</v>
      </c>
      <c r="AN429" s="19" t="n">
        <v>0</v>
      </c>
      <c r="AO429" s="19" t="n">
        <v>0</v>
      </c>
      <c r="AP429" s="19" t="n">
        <v>0</v>
      </c>
      <c r="AQ429" s="19" t="n">
        <v>0</v>
      </c>
      <c r="AR429" s="19" t="n">
        <v>0</v>
      </c>
      <c r="AS429" s="19" t="n">
        <v>0</v>
      </c>
      <c r="AT429" s="10">
        <f>SUM(O429:AS429)</f>
        <v/>
      </c>
      <c r="AU429" s="20">
        <f>COUNTIF(O429:AS429, "&gt;0")</f>
        <v/>
      </c>
      <c r="AV429" s="12">
        <f>IF(AU429&gt;=5, 4, IF(AU429&gt;0, INT(AU429/6), 0))</f>
        <v/>
      </c>
      <c r="AW429" s="20" t="n">
        <v>0</v>
      </c>
      <c r="AX429" s="20" t="n">
        <v>0</v>
      </c>
      <c r="AY429" s="13">
        <f>MIN(31, AU429+AV429+AW429+AX429)</f>
        <v/>
      </c>
      <c r="AZ429" s="14">
        <f>31-AY429</f>
        <v/>
      </c>
      <c r="BA429" s="21">
        <f>IF(AX429&gt;0, "01-İstirahat", IF(AZ429&gt;0, "12-Birden Fazla", ""))</f>
        <v/>
      </c>
      <c r="BB429" s="10" t="n">
        <v>0</v>
      </c>
      <c r="BC429" s="19" t="n">
        <v>0</v>
      </c>
      <c r="BD429" s="9" t="n">
        <v>0</v>
      </c>
      <c r="BE429" s="22">
        <f>(L429/30)*AU429</f>
        <v/>
      </c>
      <c r="BF429" s="15">
        <f>(L429/225)*((BB429*1.5)-(BC429*1.0))</f>
        <v/>
      </c>
      <c r="BG429" s="16">
        <f>(L429/225)*1.5*BD429</f>
        <v/>
      </c>
      <c r="BH429" s="15">
        <f>BF429+BG429</f>
        <v/>
      </c>
      <c r="BI429" s="17">
        <f>BE429+BH429</f>
        <v/>
      </c>
      <c r="BJ429" s="22">
        <f>IFERROR(VLOOKUP(B429, Resmi_Bordro_SGK!B:M, 11, FALSE), 0)</f>
        <v/>
      </c>
      <c r="BK429" s="18">
        <f>IFERROR(VLOOKUP(B429, Icra_Takip!A:E, 4, FALSE), 0)</f>
        <v/>
      </c>
      <c r="BL429" s="17">
        <f>IF(BI429&gt;BJ429, BI429-BJ429-BK429, 0)</f>
        <v/>
      </c>
      <c r="BM429" s="17">
        <f>BI429-BK429</f>
        <v/>
      </c>
    </row>
    <row r="430" ht="19" customHeight="1">
      <c r="A430" s="4" t="n">
        <v>427</v>
      </c>
      <c r="B430" s="5" t="inlineStr">
        <is>
          <t>41384041746</t>
        </is>
      </c>
      <c r="C430" s="6" t="inlineStr">
        <is>
          <t>BERİVAN DOĞANAY DADAŞ</t>
        </is>
      </c>
      <c r="D430" s="4" t="inlineStr"/>
      <c r="E430" s="4" t="inlineStr"/>
      <c r="F430" s="4" t="inlineStr">
        <is>
          <t>19.07.2026</t>
        </is>
      </c>
      <c r="G430" s="4" t="inlineStr"/>
      <c r="H430" s="4" t="inlineStr">
        <is>
          <t>NORMAL</t>
        </is>
      </c>
      <c r="I430" s="4" t="inlineStr">
        <is>
          <t>MEVSİMLİK</t>
        </is>
      </c>
      <c r="J430" s="6" t="inlineStr"/>
      <c r="K430" s="6" t="inlineStr"/>
      <c r="L430" s="7" t="n">
        <v>28075.5</v>
      </c>
      <c r="M430" s="4" t="inlineStr">
        <is>
          <t>FİDE KONSERVE</t>
        </is>
      </c>
      <c r="N430" s="4" t="inlineStr">
        <is>
          <t>ALIR</t>
        </is>
      </c>
      <c r="O430" s="8" t="n">
        <v>0</v>
      </c>
      <c r="P430" s="8" t="n">
        <v>0</v>
      </c>
      <c r="Q430" s="8" t="n">
        <v>0</v>
      </c>
      <c r="R430" s="9" t="n">
        <v>0</v>
      </c>
      <c r="S430" s="8" t="n">
        <v>0</v>
      </c>
      <c r="T430" s="8" t="n">
        <v>0</v>
      </c>
      <c r="U430" s="8" t="n">
        <v>0</v>
      </c>
      <c r="V430" s="8" t="n">
        <v>0</v>
      </c>
      <c r="W430" s="8" t="n">
        <v>0</v>
      </c>
      <c r="X430" s="8" t="n">
        <v>0</v>
      </c>
      <c r="Y430" s="9" t="n">
        <v>0</v>
      </c>
      <c r="Z430" s="8" t="n">
        <v>0</v>
      </c>
      <c r="AA430" s="8" t="n">
        <v>0</v>
      </c>
      <c r="AB430" s="8" t="n">
        <v>0</v>
      </c>
      <c r="AC430" s="8" t="n">
        <v>0</v>
      </c>
      <c r="AD430" s="8" t="n">
        <v>0</v>
      </c>
      <c r="AE430" s="8" t="n">
        <v>0</v>
      </c>
      <c r="AF430" s="9" t="n">
        <v>0</v>
      </c>
      <c r="AG430" s="8" t="n">
        <v>0</v>
      </c>
      <c r="AH430" s="8" t="n">
        <v>0</v>
      </c>
      <c r="AI430" s="8" t="n">
        <v>0</v>
      </c>
      <c r="AJ430" s="8" t="n">
        <v>0</v>
      </c>
      <c r="AK430" s="8" t="n">
        <v>0</v>
      </c>
      <c r="AL430" s="8" t="n">
        <v>0</v>
      </c>
      <c r="AM430" s="9" t="n">
        <v>0</v>
      </c>
      <c r="AN430" s="8" t="n">
        <v>0</v>
      </c>
      <c r="AO430" s="8" t="n">
        <v>0</v>
      </c>
      <c r="AP430" s="8" t="n">
        <v>0</v>
      </c>
      <c r="AQ430" s="8" t="n">
        <v>0</v>
      </c>
      <c r="AR430" s="8" t="n">
        <v>0</v>
      </c>
      <c r="AS430" s="8" t="n">
        <v>0</v>
      </c>
      <c r="AT430" s="10">
        <f>SUM(O430:AS430)</f>
        <v/>
      </c>
      <c r="AU430" s="11">
        <f>COUNTIF(O430:AS430, "&gt;0")</f>
        <v/>
      </c>
      <c r="AV430" s="12">
        <f>IF(AU430&gt;=5, 4, IF(AU430&gt;0, INT(AU430/6), 0))</f>
        <v/>
      </c>
      <c r="AW430" s="11" t="n">
        <v>0</v>
      </c>
      <c r="AX430" s="11" t="n">
        <v>0</v>
      </c>
      <c r="AY430" s="13">
        <f>MIN(31, AU430+AV430+AW430+AX430)</f>
        <v/>
      </c>
      <c r="AZ430" s="14">
        <f>31-AY430</f>
        <v/>
      </c>
      <c r="BA430" s="5">
        <f>IF(AX430&gt;0, "01-İstirahat", IF(AZ430&gt;0, "12-Birden Fazla", ""))</f>
        <v/>
      </c>
      <c r="BB430" s="10" t="n">
        <v>0</v>
      </c>
      <c r="BC430" s="8" t="n">
        <v>0</v>
      </c>
      <c r="BD430" s="9" t="n">
        <v>0</v>
      </c>
      <c r="BE430" s="7">
        <f>(L430/30)*AU430</f>
        <v/>
      </c>
      <c r="BF430" s="15">
        <f>(L430/225)*((BB430*1.5)-(BC430*1.0))</f>
        <v/>
      </c>
      <c r="BG430" s="16">
        <f>(L430/225)*1.5*BD430</f>
        <v/>
      </c>
      <c r="BH430" s="15">
        <f>BF430+BG430</f>
        <v/>
      </c>
      <c r="BI430" s="17">
        <f>BE430+BH430</f>
        <v/>
      </c>
      <c r="BJ430" s="7">
        <f>IFERROR(VLOOKUP(B430, Resmi_Bordro_SGK!B:M, 11, FALSE), 0)</f>
        <v/>
      </c>
      <c r="BK430" s="18">
        <f>IFERROR(VLOOKUP(B430, Icra_Takip!A:E, 4, FALSE), 0)</f>
        <v/>
      </c>
      <c r="BL430" s="17">
        <f>IF(BI430&gt;BJ430, BI430-BJ430-BK430, 0)</f>
        <v/>
      </c>
      <c r="BM430" s="17">
        <f>BI430-BK430</f>
        <v/>
      </c>
    </row>
    <row r="431" ht="19" customHeight="1">
      <c r="A431" s="4" t="n">
        <v>428</v>
      </c>
      <c r="B431" s="5" t="inlineStr">
        <is>
          <t>18781659140</t>
        </is>
      </c>
      <c r="C431" s="6" t="inlineStr">
        <is>
          <t>BİRGÜL ELEKÇİEL</t>
        </is>
      </c>
      <c r="D431" s="4" t="inlineStr"/>
      <c r="E431" s="4" t="inlineStr"/>
      <c r="F431" s="4" t="inlineStr">
        <is>
          <t>27.07.2026</t>
        </is>
      </c>
      <c r="G431" s="4" t="inlineStr"/>
      <c r="H431" s="4" t="inlineStr">
        <is>
          <t>NORMAL</t>
        </is>
      </c>
      <c r="I431" s="4" t="inlineStr">
        <is>
          <t>MEVSİMLİK</t>
        </is>
      </c>
      <c r="J431" s="6" t="inlineStr"/>
      <c r="K431" s="6" t="inlineStr"/>
      <c r="L431" s="7" t="n">
        <v>28075.5</v>
      </c>
      <c r="M431" s="4" t="inlineStr">
        <is>
          <t>FİDE KONSERVE</t>
        </is>
      </c>
      <c r="N431" s="4" t="inlineStr">
        <is>
          <t>ALIR</t>
        </is>
      </c>
      <c r="O431" s="19" t="n">
        <v>0</v>
      </c>
      <c r="P431" s="19" t="n">
        <v>0</v>
      </c>
      <c r="Q431" s="19" t="n">
        <v>0</v>
      </c>
      <c r="R431" s="9" t="n">
        <v>0</v>
      </c>
      <c r="S431" s="19" t="n">
        <v>0</v>
      </c>
      <c r="T431" s="19" t="n">
        <v>0</v>
      </c>
      <c r="U431" s="19" t="n">
        <v>0</v>
      </c>
      <c r="V431" s="19" t="n">
        <v>0</v>
      </c>
      <c r="W431" s="19" t="n">
        <v>0</v>
      </c>
      <c r="X431" s="19" t="n">
        <v>0</v>
      </c>
      <c r="Y431" s="9" t="n">
        <v>0</v>
      </c>
      <c r="Z431" s="19" t="n">
        <v>0</v>
      </c>
      <c r="AA431" s="19" t="n">
        <v>0</v>
      </c>
      <c r="AB431" s="19" t="n">
        <v>0</v>
      </c>
      <c r="AC431" s="19" t="n">
        <v>0</v>
      </c>
      <c r="AD431" s="19" t="n">
        <v>0</v>
      </c>
      <c r="AE431" s="19" t="n">
        <v>0</v>
      </c>
      <c r="AF431" s="9" t="n">
        <v>0</v>
      </c>
      <c r="AG431" s="19" t="n">
        <v>0</v>
      </c>
      <c r="AH431" s="19" t="n">
        <v>0</v>
      </c>
      <c r="AI431" s="19" t="n">
        <v>0</v>
      </c>
      <c r="AJ431" s="19" t="n">
        <v>0</v>
      </c>
      <c r="AK431" s="19" t="n">
        <v>0</v>
      </c>
      <c r="AL431" s="19" t="n">
        <v>0</v>
      </c>
      <c r="AM431" s="9" t="n">
        <v>0</v>
      </c>
      <c r="AN431" s="19" t="n">
        <v>0</v>
      </c>
      <c r="AO431" s="19" t="n">
        <v>0</v>
      </c>
      <c r="AP431" s="19" t="n">
        <v>0</v>
      </c>
      <c r="AQ431" s="19" t="n">
        <v>0</v>
      </c>
      <c r="AR431" s="19" t="n">
        <v>0</v>
      </c>
      <c r="AS431" s="19" t="n">
        <v>0</v>
      </c>
      <c r="AT431" s="10">
        <f>SUM(O431:AS431)</f>
        <v/>
      </c>
      <c r="AU431" s="20">
        <f>COUNTIF(O431:AS431, "&gt;0")</f>
        <v/>
      </c>
      <c r="AV431" s="12">
        <f>IF(AU431&gt;=5, 4, IF(AU431&gt;0, INT(AU431/6), 0))</f>
        <v/>
      </c>
      <c r="AW431" s="20" t="n">
        <v>0</v>
      </c>
      <c r="AX431" s="20" t="n">
        <v>0</v>
      </c>
      <c r="AY431" s="13">
        <f>MIN(31, AU431+AV431+AW431+AX431)</f>
        <v/>
      </c>
      <c r="AZ431" s="14">
        <f>31-AY431</f>
        <v/>
      </c>
      <c r="BA431" s="21">
        <f>IF(AX431&gt;0, "01-İstirahat", IF(AZ431&gt;0, "12-Birden Fazla", ""))</f>
        <v/>
      </c>
      <c r="BB431" s="10" t="n">
        <v>0</v>
      </c>
      <c r="BC431" s="19" t="n">
        <v>0</v>
      </c>
      <c r="BD431" s="9" t="n">
        <v>0</v>
      </c>
      <c r="BE431" s="22">
        <f>(L431/30)*AU431</f>
        <v/>
      </c>
      <c r="BF431" s="15">
        <f>(L431/225)*((BB431*1.5)-(BC431*1.0))</f>
        <v/>
      </c>
      <c r="BG431" s="16">
        <f>(L431/225)*1.5*BD431</f>
        <v/>
      </c>
      <c r="BH431" s="15">
        <f>BF431+BG431</f>
        <v/>
      </c>
      <c r="BI431" s="17">
        <f>BE431+BH431</f>
        <v/>
      </c>
      <c r="BJ431" s="22">
        <f>IFERROR(VLOOKUP(B431, Resmi_Bordro_SGK!B:M, 11, FALSE), 0)</f>
        <v/>
      </c>
      <c r="BK431" s="18">
        <f>IFERROR(VLOOKUP(B431, Icra_Takip!A:E, 4, FALSE), 0)</f>
        <v/>
      </c>
      <c r="BL431" s="17">
        <f>IF(BI431&gt;BJ431, BI431-BJ431-BK431, 0)</f>
        <v/>
      </c>
      <c r="BM431" s="17">
        <f>BI431-BK431</f>
        <v/>
      </c>
    </row>
    <row r="432" ht="19" customHeight="1">
      <c r="A432" s="4" t="n">
        <v>429</v>
      </c>
      <c r="B432" s="5" t="inlineStr">
        <is>
          <t>10201948926</t>
        </is>
      </c>
      <c r="C432" s="6" t="inlineStr">
        <is>
          <t>ÇAĞLA DURUCAN</t>
        </is>
      </c>
      <c r="D432" s="4" t="inlineStr"/>
      <c r="E432" s="4" t="inlineStr"/>
      <c r="F432" s="4" t="inlineStr">
        <is>
          <t>06.08.2026</t>
        </is>
      </c>
      <c r="G432" s="4" t="inlineStr"/>
      <c r="H432" s="4" t="inlineStr">
        <is>
          <t>NORMAL</t>
        </is>
      </c>
      <c r="I432" s="4" t="inlineStr">
        <is>
          <t>MEVSİMLİK</t>
        </is>
      </c>
      <c r="J432" s="6" t="inlineStr"/>
      <c r="K432" s="6" t="inlineStr"/>
      <c r="L432" s="7" t="n">
        <v>28075.5</v>
      </c>
      <c r="M432" s="4" t="inlineStr">
        <is>
          <t>FİDE KONSERVE</t>
        </is>
      </c>
      <c r="N432" s="4" t="inlineStr">
        <is>
          <t>ALIR</t>
        </is>
      </c>
      <c r="O432" s="8" t="n">
        <v>0</v>
      </c>
      <c r="P432" s="8" t="n">
        <v>0</v>
      </c>
      <c r="Q432" s="8" t="n">
        <v>0</v>
      </c>
      <c r="R432" s="9" t="n">
        <v>0</v>
      </c>
      <c r="S432" s="8" t="n">
        <v>0</v>
      </c>
      <c r="T432" s="8" t="n">
        <v>0</v>
      </c>
      <c r="U432" s="8" t="n">
        <v>0</v>
      </c>
      <c r="V432" s="8" t="n">
        <v>0</v>
      </c>
      <c r="W432" s="8" t="n">
        <v>0</v>
      </c>
      <c r="X432" s="8" t="n">
        <v>0</v>
      </c>
      <c r="Y432" s="9" t="n">
        <v>0</v>
      </c>
      <c r="Z432" s="8" t="n">
        <v>0</v>
      </c>
      <c r="AA432" s="8" t="n">
        <v>0</v>
      </c>
      <c r="AB432" s="8" t="n">
        <v>0</v>
      </c>
      <c r="AC432" s="8" t="n">
        <v>0</v>
      </c>
      <c r="AD432" s="8" t="n">
        <v>0</v>
      </c>
      <c r="AE432" s="8" t="n">
        <v>0</v>
      </c>
      <c r="AF432" s="9" t="n">
        <v>0</v>
      </c>
      <c r="AG432" s="8" t="n">
        <v>0</v>
      </c>
      <c r="AH432" s="8" t="n">
        <v>0</v>
      </c>
      <c r="AI432" s="8" t="n">
        <v>0</v>
      </c>
      <c r="AJ432" s="8" t="n">
        <v>0</v>
      </c>
      <c r="AK432" s="8" t="n">
        <v>0</v>
      </c>
      <c r="AL432" s="8" t="n">
        <v>0</v>
      </c>
      <c r="AM432" s="9" t="n">
        <v>0</v>
      </c>
      <c r="AN432" s="8" t="n">
        <v>0</v>
      </c>
      <c r="AO432" s="8" t="n">
        <v>0</v>
      </c>
      <c r="AP432" s="8" t="n">
        <v>0</v>
      </c>
      <c r="AQ432" s="8" t="n">
        <v>0</v>
      </c>
      <c r="AR432" s="8" t="n">
        <v>0</v>
      </c>
      <c r="AS432" s="8" t="n">
        <v>0</v>
      </c>
      <c r="AT432" s="10">
        <f>SUM(O432:AS432)</f>
        <v/>
      </c>
      <c r="AU432" s="11">
        <f>COUNTIF(O432:AS432, "&gt;0")</f>
        <v/>
      </c>
      <c r="AV432" s="12">
        <f>IF(AU432&gt;=5, 4, IF(AU432&gt;0, INT(AU432/6), 0))</f>
        <v/>
      </c>
      <c r="AW432" s="11" t="n">
        <v>0</v>
      </c>
      <c r="AX432" s="11" t="n">
        <v>0</v>
      </c>
      <c r="AY432" s="13">
        <f>MIN(31, AU432+AV432+AW432+AX432)</f>
        <v/>
      </c>
      <c r="AZ432" s="14">
        <f>31-AY432</f>
        <v/>
      </c>
      <c r="BA432" s="5">
        <f>IF(AX432&gt;0, "01-İstirahat", IF(AZ432&gt;0, "12-Birden Fazla", ""))</f>
        <v/>
      </c>
      <c r="BB432" s="10" t="n">
        <v>0</v>
      </c>
      <c r="BC432" s="8" t="n">
        <v>0</v>
      </c>
      <c r="BD432" s="9" t="n">
        <v>0</v>
      </c>
      <c r="BE432" s="7">
        <f>(L432/30)*AU432</f>
        <v/>
      </c>
      <c r="BF432" s="15">
        <f>(L432/225)*((BB432*1.5)-(BC432*1.0))</f>
        <v/>
      </c>
      <c r="BG432" s="16">
        <f>(L432/225)*1.5*BD432</f>
        <v/>
      </c>
      <c r="BH432" s="15">
        <f>BF432+BG432</f>
        <v/>
      </c>
      <c r="BI432" s="17">
        <f>BE432+BH432</f>
        <v/>
      </c>
      <c r="BJ432" s="7">
        <f>IFERROR(VLOOKUP(B432, Resmi_Bordro_SGK!B:M, 11, FALSE), 0)</f>
        <v/>
      </c>
      <c r="BK432" s="18">
        <f>IFERROR(VLOOKUP(B432, Icra_Takip!A:E, 4, FALSE), 0)</f>
        <v/>
      </c>
      <c r="BL432" s="17">
        <f>IF(BI432&gt;BJ432, BI432-BJ432-BK432, 0)</f>
        <v/>
      </c>
      <c r="BM432" s="17">
        <f>BI432-BK432</f>
        <v/>
      </c>
    </row>
    <row r="433" ht="19" customHeight="1">
      <c r="A433" s="4" t="n">
        <v>430</v>
      </c>
      <c r="B433" s="5" t="inlineStr">
        <is>
          <t>32866191196</t>
        </is>
      </c>
      <c r="C433" s="6" t="inlineStr">
        <is>
          <t>DENİZ DEĞİRMENCİ</t>
        </is>
      </c>
      <c r="D433" s="4" t="inlineStr"/>
      <c r="E433" s="4" t="inlineStr"/>
      <c r="F433" s="4" t="inlineStr">
        <is>
          <t>17.07.2026</t>
        </is>
      </c>
      <c r="G433" s="4" t="inlineStr"/>
      <c r="H433" s="4" t="inlineStr">
        <is>
          <t>NORMAL</t>
        </is>
      </c>
      <c r="I433" s="4" t="inlineStr">
        <is>
          <t>MEVSİMLİK</t>
        </is>
      </c>
      <c r="J433" s="6" t="inlineStr"/>
      <c r="K433" s="6" t="inlineStr"/>
      <c r="L433" s="7" t="n">
        <v>28075.5</v>
      </c>
      <c r="M433" s="4" t="inlineStr">
        <is>
          <t>FİDE KONSERVE</t>
        </is>
      </c>
      <c r="N433" s="4" t="inlineStr">
        <is>
          <t>ALIR</t>
        </is>
      </c>
      <c r="O433" s="19" t="n">
        <v>0</v>
      </c>
      <c r="P433" s="19" t="n">
        <v>0</v>
      </c>
      <c r="Q433" s="19" t="n">
        <v>0</v>
      </c>
      <c r="R433" s="9" t="n">
        <v>0</v>
      </c>
      <c r="S433" s="19" t="n">
        <v>0</v>
      </c>
      <c r="T433" s="19" t="n">
        <v>0</v>
      </c>
      <c r="U433" s="19" t="n">
        <v>0</v>
      </c>
      <c r="V433" s="19" t="n">
        <v>0</v>
      </c>
      <c r="W433" s="19" t="n">
        <v>0</v>
      </c>
      <c r="X433" s="19" t="n">
        <v>0</v>
      </c>
      <c r="Y433" s="9" t="n">
        <v>0</v>
      </c>
      <c r="Z433" s="19" t="n">
        <v>0</v>
      </c>
      <c r="AA433" s="19" t="n">
        <v>0</v>
      </c>
      <c r="AB433" s="19" t="n">
        <v>0</v>
      </c>
      <c r="AC433" s="19" t="n">
        <v>0</v>
      </c>
      <c r="AD433" s="19" t="n">
        <v>0</v>
      </c>
      <c r="AE433" s="19" t="n">
        <v>0</v>
      </c>
      <c r="AF433" s="9" t="n">
        <v>0</v>
      </c>
      <c r="AG433" s="19" t="n">
        <v>0</v>
      </c>
      <c r="AH433" s="19" t="n">
        <v>0</v>
      </c>
      <c r="AI433" s="19" t="n">
        <v>0</v>
      </c>
      <c r="AJ433" s="19" t="n">
        <v>0</v>
      </c>
      <c r="AK433" s="19" t="n">
        <v>0</v>
      </c>
      <c r="AL433" s="19" t="n">
        <v>0</v>
      </c>
      <c r="AM433" s="9" t="n">
        <v>0</v>
      </c>
      <c r="AN433" s="19" t="n">
        <v>0</v>
      </c>
      <c r="AO433" s="19" t="n">
        <v>0</v>
      </c>
      <c r="AP433" s="19" t="n">
        <v>0</v>
      </c>
      <c r="AQ433" s="19" t="n">
        <v>0</v>
      </c>
      <c r="AR433" s="19" t="n">
        <v>0</v>
      </c>
      <c r="AS433" s="19" t="n">
        <v>0</v>
      </c>
      <c r="AT433" s="10">
        <f>SUM(O433:AS433)</f>
        <v/>
      </c>
      <c r="AU433" s="20">
        <f>COUNTIF(O433:AS433, "&gt;0")</f>
        <v/>
      </c>
      <c r="AV433" s="12">
        <f>IF(AU433&gt;=5, 4, IF(AU433&gt;0, INT(AU433/6), 0))</f>
        <v/>
      </c>
      <c r="AW433" s="20" t="n">
        <v>0</v>
      </c>
      <c r="AX433" s="20" t="n">
        <v>0</v>
      </c>
      <c r="AY433" s="13">
        <f>MIN(31, AU433+AV433+AW433+AX433)</f>
        <v/>
      </c>
      <c r="AZ433" s="14">
        <f>31-AY433</f>
        <v/>
      </c>
      <c r="BA433" s="21">
        <f>IF(AX433&gt;0, "01-İstirahat", IF(AZ433&gt;0, "12-Birden Fazla", ""))</f>
        <v/>
      </c>
      <c r="BB433" s="10" t="n">
        <v>0</v>
      </c>
      <c r="BC433" s="19" t="n">
        <v>0</v>
      </c>
      <c r="BD433" s="9" t="n">
        <v>0</v>
      </c>
      <c r="BE433" s="22">
        <f>(L433/30)*AU433</f>
        <v/>
      </c>
      <c r="BF433" s="15">
        <f>(L433/225)*((BB433*1.5)-(BC433*1.0))</f>
        <v/>
      </c>
      <c r="BG433" s="16">
        <f>(L433/225)*1.5*BD433</f>
        <v/>
      </c>
      <c r="BH433" s="15">
        <f>BF433+BG433</f>
        <v/>
      </c>
      <c r="BI433" s="17">
        <f>BE433+BH433</f>
        <v/>
      </c>
      <c r="BJ433" s="22">
        <f>IFERROR(VLOOKUP(B433, Resmi_Bordro_SGK!B:M, 11, FALSE), 0)</f>
        <v/>
      </c>
      <c r="BK433" s="18">
        <f>IFERROR(VLOOKUP(B433, Icra_Takip!A:E, 4, FALSE), 0)</f>
        <v/>
      </c>
      <c r="BL433" s="17">
        <f>IF(BI433&gt;BJ433, BI433-BJ433-BK433, 0)</f>
        <v/>
      </c>
      <c r="BM433" s="17">
        <f>BI433-BK433</f>
        <v/>
      </c>
    </row>
    <row r="434" ht="19" customHeight="1">
      <c r="A434" s="4" t="n">
        <v>431</v>
      </c>
      <c r="B434" s="5" t="inlineStr">
        <is>
          <t>10183826212</t>
        </is>
      </c>
      <c r="C434" s="6" t="inlineStr">
        <is>
          <t>DİLAN KARAOĞLAN</t>
        </is>
      </c>
      <c r="D434" s="4" t="inlineStr"/>
      <c r="E434" s="4" t="inlineStr"/>
      <c r="F434" s="4" t="inlineStr">
        <is>
          <t>26.07.2026</t>
        </is>
      </c>
      <c r="G434" s="4" t="inlineStr"/>
      <c r="H434" s="4" t="inlineStr">
        <is>
          <t>NORMAL</t>
        </is>
      </c>
      <c r="I434" s="4" t="inlineStr">
        <is>
          <t>MEVSİMLİK</t>
        </is>
      </c>
      <c r="J434" s="6" t="inlineStr"/>
      <c r="K434" s="6" t="inlineStr"/>
      <c r="L434" s="7" t="n">
        <v>28075.5</v>
      </c>
      <c r="M434" s="4" t="inlineStr">
        <is>
          <t>FİDE KONSERVE</t>
        </is>
      </c>
      <c r="N434" s="4" t="inlineStr">
        <is>
          <t>ALIR</t>
        </is>
      </c>
      <c r="O434" s="8" t="n">
        <v>0</v>
      </c>
      <c r="P434" s="8" t="n">
        <v>0</v>
      </c>
      <c r="Q434" s="8" t="n">
        <v>0</v>
      </c>
      <c r="R434" s="9" t="n">
        <v>0</v>
      </c>
      <c r="S434" s="8" t="n">
        <v>0</v>
      </c>
      <c r="T434" s="8" t="n">
        <v>0</v>
      </c>
      <c r="U434" s="8" t="n">
        <v>0</v>
      </c>
      <c r="V434" s="8" t="n">
        <v>0</v>
      </c>
      <c r="W434" s="8" t="n">
        <v>0</v>
      </c>
      <c r="X434" s="8" t="n">
        <v>0</v>
      </c>
      <c r="Y434" s="9" t="n">
        <v>0</v>
      </c>
      <c r="Z434" s="8" t="n">
        <v>0</v>
      </c>
      <c r="AA434" s="8" t="n">
        <v>0</v>
      </c>
      <c r="AB434" s="8" t="n">
        <v>0</v>
      </c>
      <c r="AC434" s="8" t="n">
        <v>0</v>
      </c>
      <c r="AD434" s="8" t="n">
        <v>0</v>
      </c>
      <c r="AE434" s="8" t="n">
        <v>0</v>
      </c>
      <c r="AF434" s="9" t="n">
        <v>0</v>
      </c>
      <c r="AG434" s="8" t="n">
        <v>0</v>
      </c>
      <c r="AH434" s="8" t="n">
        <v>0</v>
      </c>
      <c r="AI434" s="8" t="n">
        <v>0</v>
      </c>
      <c r="AJ434" s="8" t="n">
        <v>0</v>
      </c>
      <c r="AK434" s="8" t="n">
        <v>0</v>
      </c>
      <c r="AL434" s="8" t="n">
        <v>0</v>
      </c>
      <c r="AM434" s="9" t="n">
        <v>0</v>
      </c>
      <c r="AN434" s="8" t="n">
        <v>0</v>
      </c>
      <c r="AO434" s="8" t="n">
        <v>0</v>
      </c>
      <c r="AP434" s="8" t="n">
        <v>0</v>
      </c>
      <c r="AQ434" s="8" t="n">
        <v>0</v>
      </c>
      <c r="AR434" s="8" t="n">
        <v>0</v>
      </c>
      <c r="AS434" s="8" t="n">
        <v>0</v>
      </c>
      <c r="AT434" s="10">
        <f>SUM(O434:AS434)</f>
        <v/>
      </c>
      <c r="AU434" s="11">
        <f>COUNTIF(O434:AS434, "&gt;0")</f>
        <v/>
      </c>
      <c r="AV434" s="12">
        <f>IF(AU434&gt;=5, 4, IF(AU434&gt;0, INT(AU434/6), 0))</f>
        <v/>
      </c>
      <c r="AW434" s="11" t="n">
        <v>0</v>
      </c>
      <c r="AX434" s="11" t="n">
        <v>0</v>
      </c>
      <c r="AY434" s="13">
        <f>MIN(31, AU434+AV434+AW434+AX434)</f>
        <v/>
      </c>
      <c r="AZ434" s="14">
        <f>31-AY434</f>
        <v/>
      </c>
      <c r="BA434" s="5">
        <f>IF(AX434&gt;0, "01-İstirahat", IF(AZ434&gt;0, "12-Birden Fazla", ""))</f>
        <v/>
      </c>
      <c r="BB434" s="10" t="n">
        <v>0</v>
      </c>
      <c r="BC434" s="8" t="n">
        <v>0</v>
      </c>
      <c r="BD434" s="9" t="n">
        <v>0</v>
      </c>
      <c r="BE434" s="7">
        <f>(L434/30)*AU434</f>
        <v/>
      </c>
      <c r="BF434" s="15">
        <f>(L434/225)*((BB434*1.5)-(BC434*1.0))</f>
        <v/>
      </c>
      <c r="BG434" s="16">
        <f>(L434/225)*1.5*BD434</f>
        <v/>
      </c>
      <c r="BH434" s="15">
        <f>BF434+BG434</f>
        <v/>
      </c>
      <c r="BI434" s="17">
        <f>BE434+BH434</f>
        <v/>
      </c>
      <c r="BJ434" s="7">
        <f>IFERROR(VLOOKUP(B434, Resmi_Bordro_SGK!B:M, 11, FALSE), 0)</f>
        <v/>
      </c>
      <c r="BK434" s="18">
        <f>IFERROR(VLOOKUP(B434, Icra_Takip!A:E, 4, FALSE), 0)</f>
        <v/>
      </c>
      <c r="BL434" s="17">
        <f>IF(BI434&gt;BJ434, BI434-BJ434-BK434, 0)</f>
        <v/>
      </c>
      <c r="BM434" s="17">
        <f>BI434-BK434</f>
        <v/>
      </c>
    </row>
    <row r="435" ht="19" customHeight="1">
      <c r="A435" s="4" t="n">
        <v>432</v>
      </c>
      <c r="B435" s="5" t="inlineStr">
        <is>
          <t>19111648124</t>
        </is>
      </c>
      <c r="C435" s="6" t="inlineStr">
        <is>
          <t>DİLEK ARTAN</t>
        </is>
      </c>
      <c r="D435" s="4" t="inlineStr"/>
      <c r="E435" s="4" t="inlineStr"/>
      <c r="F435" s="4" t="inlineStr">
        <is>
          <t>27.07.2026</t>
        </is>
      </c>
      <c r="G435" s="4" t="inlineStr"/>
      <c r="H435" s="4" t="inlineStr">
        <is>
          <t>NORMAL</t>
        </is>
      </c>
      <c r="I435" s="4" t="inlineStr">
        <is>
          <t>MEVSİMLİK</t>
        </is>
      </c>
      <c r="J435" s="6" t="inlineStr"/>
      <c r="K435" s="6" t="inlineStr"/>
      <c r="L435" s="7" t="n">
        <v>28075.5</v>
      </c>
      <c r="M435" s="4" t="inlineStr">
        <is>
          <t>FİDE KONSERVE</t>
        </is>
      </c>
      <c r="N435" s="4" t="inlineStr">
        <is>
          <t>ALIR</t>
        </is>
      </c>
      <c r="O435" s="19" t="n">
        <v>0</v>
      </c>
      <c r="P435" s="19" t="n">
        <v>0</v>
      </c>
      <c r="Q435" s="19" t="n">
        <v>0</v>
      </c>
      <c r="R435" s="9" t="n">
        <v>0</v>
      </c>
      <c r="S435" s="19" t="n">
        <v>0</v>
      </c>
      <c r="T435" s="19" t="n">
        <v>0</v>
      </c>
      <c r="U435" s="19" t="n">
        <v>0</v>
      </c>
      <c r="V435" s="19" t="n">
        <v>0</v>
      </c>
      <c r="W435" s="19" t="n">
        <v>0</v>
      </c>
      <c r="X435" s="19" t="n">
        <v>0</v>
      </c>
      <c r="Y435" s="9" t="n">
        <v>0</v>
      </c>
      <c r="Z435" s="19" t="n">
        <v>0</v>
      </c>
      <c r="AA435" s="19" t="n">
        <v>0</v>
      </c>
      <c r="AB435" s="19" t="n">
        <v>0</v>
      </c>
      <c r="AC435" s="19" t="n">
        <v>0</v>
      </c>
      <c r="AD435" s="19" t="n">
        <v>0</v>
      </c>
      <c r="AE435" s="19" t="n">
        <v>0</v>
      </c>
      <c r="AF435" s="9" t="n">
        <v>0</v>
      </c>
      <c r="AG435" s="19" t="n">
        <v>0</v>
      </c>
      <c r="AH435" s="19" t="n">
        <v>0</v>
      </c>
      <c r="AI435" s="19" t="n">
        <v>0</v>
      </c>
      <c r="AJ435" s="19" t="n">
        <v>0</v>
      </c>
      <c r="AK435" s="19" t="n">
        <v>0</v>
      </c>
      <c r="AL435" s="19" t="n">
        <v>0</v>
      </c>
      <c r="AM435" s="9" t="n">
        <v>0</v>
      </c>
      <c r="AN435" s="19" t="n">
        <v>0</v>
      </c>
      <c r="AO435" s="19" t="n">
        <v>0</v>
      </c>
      <c r="AP435" s="19" t="n">
        <v>0</v>
      </c>
      <c r="AQ435" s="19" t="n">
        <v>0</v>
      </c>
      <c r="AR435" s="19" t="n">
        <v>0</v>
      </c>
      <c r="AS435" s="19" t="n">
        <v>0</v>
      </c>
      <c r="AT435" s="10">
        <f>SUM(O435:AS435)</f>
        <v/>
      </c>
      <c r="AU435" s="20">
        <f>COUNTIF(O435:AS435, "&gt;0")</f>
        <v/>
      </c>
      <c r="AV435" s="12">
        <f>IF(AU435&gt;=5, 4, IF(AU435&gt;0, INT(AU435/6), 0))</f>
        <v/>
      </c>
      <c r="AW435" s="20" t="n">
        <v>0</v>
      </c>
      <c r="AX435" s="20" t="n">
        <v>0</v>
      </c>
      <c r="AY435" s="13">
        <f>MIN(31, AU435+AV435+AW435+AX435)</f>
        <v/>
      </c>
      <c r="AZ435" s="14">
        <f>31-AY435</f>
        <v/>
      </c>
      <c r="BA435" s="21">
        <f>IF(AX435&gt;0, "01-İstirahat", IF(AZ435&gt;0, "12-Birden Fazla", ""))</f>
        <v/>
      </c>
      <c r="BB435" s="10" t="n">
        <v>0</v>
      </c>
      <c r="BC435" s="19" t="n">
        <v>0</v>
      </c>
      <c r="BD435" s="9" t="n">
        <v>0</v>
      </c>
      <c r="BE435" s="22">
        <f>(L435/30)*AU435</f>
        <v/>
      </c>
      <c r="BF435" s="15">
        <f>(L435/225)*((BB435*1.5)-(BC435*1.0))</f>
        <v/>
      </c>
      <c r="BG435" s="16">
        <f>(L435/225)*1.5*BD435</f>
        <v/>
      </c>
      <c r="BH435" s="15">
        <f>BF435+BG435</f>
        <v/>
      </c>
      <c r="BI435" s="17">
        <f>BE435+BH435</f>
        <v/>
      </c>
      <c r="BJ435" s="22">
        <f>IFERROR(VLOOKUP(B435, Resmi_Bordro_SGK!B:M, 11, FALSE), 0)</f>
        <v/>
      </c>
      <c r="BK435" s="18">
        <f>IFERROR(VLOOKUP(B435, Icra_Takip!A:E, 4, FALSE), 0)</f>
        <v/>
      </c>
      <c r="BL435" s="17">
        <f>IF(BI435&gt;BJ435, BI435-BJ435-BK435, 0)</f>
        <v/>
      </c>
      <c r="BM435" s="17">
        <f>BI435-BK435</f>
        <v/>
      </c>
    </row>
    <row r="436" ht="19" customHeight="1">
      <c r="A436" s="4" t="n">
        <v>433</v>
      </c>
      <c r="B436" s="5" t="inlineStr">
        <is>
          <t>13690830932</t>
        </is>
      </c>
      <c r="C436" s="6" t="inlineStr">
        <is>
          <t>DOĞUKAN GÜN</t>
        </is>
      </c>
      <c r="D436" s="4" t="inlineStr"/>
      <c r="E436" s="4" t="inlineStr"/>
      <c r="F436" s="4" t="inlineStr">
        <is>
          <t>26.07.2026</t>
        </is>
      </c>
      <c r="G436" s="4" t="inlineStr"/>
      <c r="H436" s="4" t="inlineStr">
        <is>
          <t>NORMAL</t>
        </is>
      </c>
      <c r="I436" s="4" t="inlineStr">
        <is>
          <t>MEVSİMLİK</t>
        </is>
      </c>
      <c r="J436" s="6" t="inlineStr"/>
      <c r="K436" s="6" t="inlineStr"/>
      <c r="L436" s="7" t="n">
        <v>28075.5</v>
      </c>
      <c r="M436" s="4" t="inlineStr">
        <is>
          <t>FİDE KONSERVE</t>
        </is>
      </c>
      <c r="N436" s="4" t="inlineStr">
        <is>
          <t>ALIR</t>
        </is>
      </c>
      <c r="O436" s="8" t="n">
        <v>0</v>
      </c>
      <c r="P436" s="8" t="n">
        <v>0</v>
      </c>
      <c r="Q436" s="8" t="n">
        <v>0</v>
      </c>
      <c r="R436" s="9" t="n">
        <v>0</v>
      </c>
      <c r="S436" s="8" t="n">
        <v>0</v>
      </c>
      <c r="T436" s="8" t="n">
        <v>0</v>
      </c>
      <c r="U436" s="8" t="n">
        <v>0</v>
      </c>
      <c r="V436" s="8" t="n">
        <v>0</v>
      </c>
      <c r="W436" s="8" t="n">
        <v>0</v>
      </c>
      <c r="X436" s="8" t="n">
        <v>0</v>
      </c>
      <c r="Y436" s="9" t="n">
        <v>0</v>
      </c>
      <c r="Z436" s="8" t="n">
        <v>0</v>
      </c>
      <c r="AA436" s="8" t="n">
        <v>0</v>
      </c>
      <c r="AB436" s="8" t="n">
        <v>0</v>
      </c>
      <c r="AC436" s="8" t="n">
        <v>0</v>
      </c>
      <c r="AD436" s="8" t="n">
        <v>0</v>
      </c>
      <c r="AE436" s="8" t="n">
        <v>0</v>
      </c>
      <c r="AF436" s="9" t="n">
        <v>0</v>
      </c>
      <c r="AG436" s="8" t="n">
        <v>0</v>
      </c>
      <c r="AH436" s="8" t="n">
        <v>0</v>
      </c>
      <c r="AI436" s="8" t="n">
        <v>0</v>
      </c>
      <c r="AJ436" s="8" t="n">
        <v>0</v>
      </c>
      <c r="AK436" s="8" t="n">
        <v>0</v>
      </c>
      <c r="AL436" s="8" t="n">
        <v>0</v>
      </c>
      <c r="AM436" s="9" t="n">
        <v>0</v>
      </c>
      <c r="AN436" s="8" t="n">
        <v>0</v>
      </c>
      <c r="AO436" s="8" t="n">
        <v>0</v>
      </c>
      <c r="AP436" s="8" t="n">
        <v>0</v>
      </c>
      <c r="AQ436" s="8" t="n">
        <v>0</v>
      </c>
      <c r="AR436" s="8" t="n">
        <v>0</v>
      </c>
      <c r="AS436" s="8" t="n">
        <v>0</v>
      </c>
      <c r="AT436" s="10">
        <f>SUM(O436:AS436)</f>
        <v/>
      </c>
      <c r="AU436" s="11">
        <f>COUNTIF(O436:AS436, "&gt;0")</f>
        <v/>
      </c>
      <c r="AV436" s="12">
        <f>IF(AU436&gt;=5, 4, IF(AU436&gt;0, INT(AU436/6), 0))</f>
        <v/>
      </c>
      <c r="AW436" s="11" t="n">
        <v>0</v>
      </c>
      <c r="AX436" s="11" t="n">
        <v>0</v>
      </c>
      <c r="AY436" s="13">
        <f>MIN(31, AU436+AV436+AW436+AX436)</f>
        <v/>
      </c>
      <c r="AZ436" s="14">
        <f>31-AY436</f>
        <v/>
      </c>
      <c r="BA436" s="5">
        <f>IF(AX436&gt;0, "01-İstirahat", IF(AZ436&gt;0, "12-Birden Fazla", ""))</f>
        <v/>
      </c>
      <c r="BB436" s="10" t="n">
        <v>0</v>
      </c>
      <c r="BC436" s="8" t="n">
        <v>0</v>
      </c>
      <c r="BD436" s="9" t="n">
        <v>0</v>
      </c>
      <c r="BE436" s="7">
        <f>(L436/30)*AU436</f>
        <v/>
      </c>
      <c r="BF436" s="15">
        <f>(L436/225)*((BB436*1.5)-(BC436*1.0))</f>
        <v/>
      </c>
      <c r="BG436" s="16">
        <f>(L436/225)*1.5*BD436</f>
        <v/>
      </c>
      <c r="BH436" s="15">
        <f>BF436+BG436</f>
        <v/>
      </c>
      <c r="BI436" s="17">
        <f>BE436+BH436</f>
        <v/>
      </c>
      <c r="BJ436" s="7">
        <f>IFERROR(VLOOKUP(B436, Resmi_Bordro_SGK!B:M, 11, FALSE), 0)</f>
        <v/>
      </c>
      <c r="BK436" s="18">
        <f>IFERROR(VLOOKUP(B436, Icra_Takip!A:E, 4, FALSE), 0)</f>
        <v/>
      </c>
      <c r="BL436" s="17">
        <f>IF(BI436&gt;BJ436, BI436-BJ436-BK436, 0)</f>
        <v/>
      </c>
      <c r="BM436" s="17">
        <f>BI436-BK436</f>
        <v/>
      </c>
    </row>
    <row r="437" ht="19" customHeight="1">
      <c r="A437" s="4" t="n">
        <v>434</v>
      </c>
      <c r="B437" s="5" t="inlineStr">
        <is>
          <t>10492937678</t>
        </is>
      </c>
      <c r="C437" s="6" t="inlineStr">
        <is>
          <t>ELİF NUR BAYRAM</t>
        </is>
      </c>
      <c r="D437" s="4" t="inlineStr"/>
      <c r="E437" s="4" t="inlineStr"/>
      <c r="F437" s="4" t="inlineStr">
        <is>
          <t>01.07.2026</t>
        </is>
      </c>
      <c r="G437" s="4" t="inlineStr"/>
      <c r="H437" s="4" t="inlineStr">
        <is>
          <t>NORMAL</t>
        </is>
      </c>
      <c r="I437" s="4" t="inlineStr">
        <is>
          <t>MEVSİMLİK</t>
        </is>
      </c>
      <c r="J437" s="6" t="inlineStr"/>
      <c r="K437" s="6" t="inlineStr"/>
      <c r="L437" s="7" t="n">
        <v>28075.5</v>
      </c>
      <c r="M437" s="4" t="inlineStr">
        <is>
          <t>FİDE KONSERVE</t>
        </is>
      </c>
      <c r="N437" s="4" t="inlineStr">
        <is>
          <t>ALIR</t>
        </is>
      </c>
      <c r="O437" s="19" t="n">
        <v>0</v>
      </c>
      <c r="P437" s="19" t="n">
        <v>0</v>
      </c>
      <c r="Q437" s="19" t="n">
        <v>0</v>
      </c>
      <c r="R437" s="9" t="n">
        <v>0</v>
      </c>
      <c r="S437" s="19" t="n">
        <v>0</v>
      </c>
      <c r="T437" s="19" t="n">
        <v>0</v>
      </c>
      <c r="U437" s="19" t="n">
        <v>0</v>
      </c>
      <c r="V437" s="19" t="n">
        <v>0</v>
      </c>
      <c r="W437" s="19" t="n">
        <v>0</v>
      </c>
      <c r="X437" s="19" t="n">
        <v>0</v>
      </c>
      <c r="Y437" s="9" t="n">
        <v>0</v>
      </c>
      <c r="Z437" s="19" t="n">
        <v>0</v>
      </c>
      <c r="AA437" s="19" t="n">
        <v>0</v>
      </c>
      <c r="AB437" s="19" t="n">
        <v>0</v>
      </c>
      <c r="AC437" s="19" t="n">
        <v>0</v>
      </c>
      <c r="AD437" s="19" t="n">
        <v>0</v>
      </c>
      <c r="AE437" s="19" t="n">
        <v>0</v>
      </c>
      <c r="AF437" s="9" t="n">
        <v>0</v>
      </c>
      <c r="AG437" s="19" t="n">
        <v>0</v>
      </c>
      <c r="AH437" s="19" t="n">
        <v>0</v>
      </c>
      <c r="AI437" s="19" t="n">
        <v>0</v>
      </c>
      <c r="AJ437" s="19" t="n">
        <v>0</v>
      </c>
      <c r="AK437" s="19" t="n">
        <v>0</v>
      </c>
      <c r="AL437" s="19" t="n">
        <v>0</v>
      </c>
      <c r="AM437" s="9" t="n">
        <v>0</v>
      </c>
      <c r="AN437" s="19" t="n">
        <v>0</v>
      </c>
      <c r="AO437" s="19" t="n">
        <v>0</v>
      </c>
      <c r="AP437" s="19" t="n">
        <v>0</v>
      </c>
      <c r="AQ437" s="19" t="n">
        <v>0</v>
      </c>
      <c r="AR437" s="19" t="n">
        <v>0</v>
      </c>
      <c r="AS437" s="19" t="n">
        <v>0</v>
      </c>
      <c r="AT437" s="10">
        <f>SUM(O437:AS437)</f>
        <v/>
      </c>
      <c r="AU437" s="20">
        <f>COUNTIF(O437:AS437, "&gt;0")</f>
        <v/>
      </c>
      <c r="AV437" s="12">
        <f>IF(AU437&gt;=5, 4, IF(AU437&gt;0, INT(AU437/6), 0))</f>
        <v/>
      </c>
      <c r="AW437" s="20" t="n">
        <v>0</v>
      </c>
      <c r="AX437" s="20" t="n">
        <v>0</v>
      </c>
      <c r="AY437" s="13">
        <f>MIN(31, AU437+AV437+AW437+AX437)</f>
        <v/>
      </c>
      <c r="AZ437" s="14">
        <f>31-AY437</f>
        <v/>
      </c>
      <c r="BA437" s="21">
        <f>IF(AX437&gt;0, "01-İstirahat", IF(AZ437&gt;0, "12-Birden Fazla", ""))</f>
        <v/>
      </c>
      <c r="BB437" s="10" t="n">
        <v>0</v>
      </c>
      <c r="BC437" s="19" t="n">
        <v>0</v>
      </c>
      <c r="BD437" s="9" t="n">
        <v>0</v>
      </c>
      <c r="BE437" s="22">
        <f>(L437/30)*AU437</f>
        <v/>
      </c>
      <c r="BF437" s="15">
        <f>(L437/225)*((BB437*1.5)-(BC437*1.0))</f>
        <v/>
      </c>
      <c r="BG437" s="16">
        <f>(L437/225)*1.5*BD437</f>
        <v/>
      </c>
      <c r="BH437" s="15">
        <f>BF437+BG437</f>
        <v/>
      </c>
      <c r="BI437" s="17">
        <f>BE437+BH437</f>
        <v/>
      </c>
      <c r="BJ437" s="22">
        <f>IFERROR(VLOOKUP(B437, Resmi_Bordro_SGK!B:M, 11, FALSE), 0)</f>
        <v/>
      </c>
      <c r="BK437" s="18">
        <f>IFERROR(VLOOKUP(B437, Icra_Takip!A:E, 4, FALSE), 0)</f>
        <v/>
      </c>
      <c r="BL437" s="17">
        <f>IF(BI437&gt;BJ437, BI437-BJ437-BK437, 0)</f>
        <v/>
      </c>
      <c r="BM437" s="17">
        <f>BI437-BK437</f>
        <v/>
      </c>
    </row>
    <row r="438" ht="19" customHeight="1">
      <c r="A438" s="4" t="n">
        <v>435</v>
      </c>
      <c r="B438" s="5" t="inlineStr">
        <is>
          <t>11239919780</t>
        </is>
      </c>
      <c r="C438" s="6" t="inlineStr">
        <is>
          <t>EMEL KURT</t>
        </is>
      </c>
      <c r="D438" s="4" t="inlineStr"/>
      <c r="E438" s="4" t="inlineStr"/>
      <c r="F438" s="4" t="inlineStr">
        <is>
          <t>08.07.2026</t>
        </is>
      </c>
      <c r="G438" s="4" t="inlineStr"/>
      <c r="H438" s="4" t="inlineStr">
        <is>
          <t>NORMAL</t>
        </is>
      </c>
      <c r="I438" s="4" t="inlineStr">
        <is>
          <t>MEVSİMLİK</t>
        </is>
      </c>
      <c r="J438" s="6" t="inlineStr"/>
      <c r="K438" s="6" t="inlineStr"/>
      <c r="L438" s="7" t="n">
        <v>28075.5</v>
      </c>
      <c r="M438" s="4" t="inlineStr">
        <is>
          <t>FİDE KONSERVE</t>
        </is>
      </c>
      <c r="N438" s="4" t="inlineStr">
        <is>
          <t>ALIR</t>
        </is>
      </c>
      <c r="O438" s="8" t="n">
        <v>0</v>
      </c>
      <c r="P438" s="8" t="n">
        <v>0</v>
      </c>
      <c r="Q438" s="8" t="n">
        <v>0</v>
      </c>
      <c r="R438" s="9" t="n">
        <v>0</v>
      </c>
      <c r="S438" s="8" t="n">
        <v>0</v>
      </c>
      <c r="T438" s="8" t="n">
        <v>0</v>
      </c>
      <c r="U438" s="8" t="n">
        <v>0</v>
      </c>
      <c r="V438" s="8" t="n">
        <v>0</v>
      </c>
      <c r="W438" s="8" t="n">
        <v>0</v>
      </c>
      <c r="X438" s="8" t="n">
        <v>0</v>
      </c>
      <c r="Y438" s="9" t="n">
        <v>0</v>
      </c>
      <c r="Z438" s="8" t="n">
        <v>0</v>
      </c>
      <c r="AA438" s="8" t="n">
        <v>0</v>
      </c>
      <c r="AB438" s="8" t="n">
        <v>0</v>
      </c>
      <c r="AC438" s="8" t="n">
        <v>0</v>
      </c>
      <c r="AD438" s="8" t="n">
        <v>0</v>
      </c>
      <c r="AE438" s="8" t="n">
        <v>0</v>
      </c>
      <c r="AF438" s="9" t="n">
        <v>0</v>
      </c>
      <c r="AG438" s="8" t="n">
        <v>0</v>
      </c>
      <c r="AH438" s="8" t="n">
        <v>0</v>
      </c>
      <c r="AI438" s="8" t="n">
        <v>0</v>
      </c>
      <c r="AJ438" s="8" t="n">
        <v>0</v>
      </c>
      <c r="AK438" s="8" t="n">
        <v>0</v>
      </c>
      <c r="AL438" s="8" t="n">
        <v>0</v>
      </c>
      <c r="AM438" s="9" t="n">
        <v>0</v>
      </c>
      <c r="AN438" s="8" t="n">
        <v>0</v>
      </c>
      <c r="AO438" s="8" t="n">
        <v>0</v>
      </c>
      <c r="AP438" s="8" t="n">
        <v>0</v>
      </c>
      <c r="AQ438" s="8" t="n">
        <v>0</v>
      </c>
      <c r="AR438" s="8" t="n">
        <v>0</v>
      </c>
      <c r="AS438" s="8" t="n">
        <v>0</v>
      </c>
      <c r="AT438" s="10">
        <f>SUM(O438:AS438)</f>
        <v/>
      </c>
      <c r="AU438" s="11">
        <f>COUNTIF(O438:AS438, "&gt;0")</f>
        <v/>
      </c>
      <c r="AV438" s="12">
        <f>IF(AU438&gt;=5, 4, IF(AU438&gt;0, INT(AU438/6), 0))</f>
        <v/>
      </c>
      <c r="AW438" s="11" t="n">
        <v>0</v>
      </c>
      <c r="AX438" s="11" t="n">
        <v>0</v>
      </c>
      <c r="AY438" s="13">
        <f>MIN(31, AU438+AV438+AW438+AX438)</f>
        <v/>
      </c>
      <c r="AZ438" s="14">
        <f>31-AY438</f>
        <v/>
      </c>
      <c r="BA438" s="5">
        <f>IF(AX438&gt;0, "01-İstirahat", IF(AZ438&gt;0, "12-Birden Fazla", ""))</f>
        <v/>
      </c>
      <c r="BB438" s="10" t="n">
        <v>0</v>
      </c>
      <c r="BC438" s="8" t="n">
        <v>0</v>
      </c>
      <c r="BD438" s="9" t="n">
        <v>0</v>
      </c>
      <c r="BE438" s="7">
        <f>(L438/30)*AU438</f>
        <v/>
      </c>
      <c r="BF438" s="15">
        <f>(L438/225)*((BB438*1.5)-(BC438*1.0))</f>
        <v/>
      </c>
      <c r="BG438" s="16">
        <f>(L438/225)*1.5*BD438</f>
        <v/>
      </c>
      <c r="BH438" s="15">
        <f>BF438+BG438</f>
        <v/>
      </c>
      <c r="BI438" s="17">
        <f>BE438+BH438</f>
        <v/>
      </c>
      <c r="BJ438" s="7">
        <f>IFERROR(VLOOKUP(B438, Resmi_Bordro_SGK!B:M, 11, FALSE), 0)</f>
        <v/>
      </c>
      <c r="BK438" s="18">
        <f>IFERROR(VLOOKUP(B438, Icra_Takip!A:E, 4, FALSE), 0)</f>
        <v/>
      </c>
      <c r="BL438" s="17">
        <f>IF(BI438&gt;BJ438, BI438-BJ438-BK438, 0)</f>
        <v/>
      </c>
      <c r="BM438" s="17">
        <f>BI438-BK438</f>
        <v/>
      </c>
    </row>
    <row r="439" ht="19" customHeight="1">
      <c r="A439" s="4" t="n">
        <v>436</v>
      </c>
      <c r="B439" s="5" t="inlineStr">
        <is>
          <t>20392457114</t>
        </is>
      </c>
      <c r="C439" s="6" t="inlineStr">
        <is>
          <t>EMİNE DEDE</t>
        </is>
      </c>
      <c r="D439" s="4" t="inlineStr"/>
      <c r="E439" s="4" t="inlineStr"/>
      <c r="F439" s="4" t="inlineStr">
        <is>
          <t>28.07.2026</t>
        </is>
      </c>
      <c r="G439" s="4" t="inlineStr"/>
      <c r="H439" s="4" t="inlineStr">
        <is>
          <t>NORMAL</t>
        </is>
      </c>
      <c r="I439" s="4" t="inlineStr">
        <is>
          <t>MEVSİMLİK</t>
        </is>
      </c>
      <c r="J439" s="6" t="inlineStr"/>
      <c r="K439" s="6" t="inlineStr"/>
      <c r="L439" s="7" t="n">
        <v>28075.5</v>
      </c>
      <c r="M439" s="4" t="inlineStr">
        <is>
          <t>FİDE KONSERVE</t>
        </is>
      </c>
      <c r="N439" s="4" t="inlineStr">
        <is>
          <t>ALIR</t>
        </is>
      </c>
      <c r="O439" s="19" t="n">
        <v>0</v>
      </c>
      <c r="P439" s="19" t="n">
        <v>0</v>
      </c>
      <c r="Q439" s="19" t="n">
        <v>0</v>
      </c>
      <c r="R439" s="9" t="n">
        <v>0</v>
      </c>
      <c r="S439" s="19" t="n">
        <v>0</v>
      </c>
      <c r="T439" s="19" t="n">
        <v>0</v>
      </c>
      <c r="U439" s="19" t="n">
        <v>0</v>
      </c>
      <c r="V439" s="19" t="n">
        <v>0</v>
      </c>
      <c r="W439" s="19" t="n">
        <v>0</v>
      </c>
      <c r="X439" s="19" t="n">
        <v>0</v>
      </c>
      <c r="Y439" s="9" t="n">
        <v>0</v>
      </c>
      <c r="Z439" s="19" t="n">
        <v>0</v>
      </c>
      <c r="AA439" s="19" t="n">
        <v>0</v>
      </c>
      <c r="AB439" s="19" t="n">
        <v>0</v>
      </c>
      <c r="AC439" s="19" t="n">
        <v>0</v>
      </c>
      <c r="AD439" s="19" t="n">
        <v>0</v>
      </c>
      <c r="AE439" s="19" t="n">
        <v>0</v>
      </c>
      <c r="AF439" s="9" t="n">
        <v>0</v>
      </c>
      <c r="AG439" s="19" t="n">
        <v>0</v>
      </c>
      <c r="AH439" s="19" t="n">
        <v>0</v>
      </c>
      <c r="AI439" s="19" t="n">
        <v>0</v>
      </c>
      <c r="AJ439" s="19" t="n">
        <v>0</v>
      </c>
      <c r="AK439" s="19" t="n">
        <v>0</v>
      </c>
      <c r="AL439" s="19" t="n">
        <v>0</v>
      </c>
      <c r="AM439" s="9" t="n">
        <v>0</v>
      </c>
      <c r="AN439" s="19" t="n">
        <v>0</v>
      </c>
      <c r="AO439" s="19" t="n">
        <v>0</v>
      </c>
      <c r="AP439" s="19" t="n">
        <v>0</v>
      </c>
      <c r="AQ439" s="19" t="n">
        <v>0</v>
      </c>
      <c r="AR439" s="19" t="n">
        <v>0</v>
      </c>
      <c r="AS439" s="19" t="n">
        <v>0</v>
      </c>
      <c r="AT439" s="10">
        <f>SUM(O439:AS439)</f>
        <v/>
      </c>
      <c r="AU439" s="20">
        <f>COUNTIF(O439:AS439, "&gt;0")</f>
        <v/>
      </c>
      <c r="AV439" s="12">
        <f>IF(AU439&gt;=5, 4, IF(AU439&gt;0, INT(AU439/6), 0))</f>
        <v/>
      </c>
      <c r="AW439" s="20" t="n">
        <v>0</v>
      </c>
      <c r="AX439" s="20" t="n">
        <v>0</v>
      </c>
      <c r="AY439" s="13">
        <f>MIN(31, AU439+AV439+AW439+AX439)</f>
        <v/>
      </c>
      <c r="AZ439" s="14">
        <f>31-AY439</f>
        <v/>
      </c>
      <c r="BA439" s="21">
        <f>IF(AX439&gt;0, "01-İstirahat", IF(AZ439&gt;0, "12-Birden Fazla", ""))</f>
        <v/>
      </c>
      <c r="BB439" s="10" t="n">
        <v>0</v>
      </c>
      <c r="BC439" s="19" t="n">
        <v>0</v>
      </c>
      <c r="BD439" s="9" t="n">
        <v>0</v>
      </c>
      <c r="BE439" s="22">
        <f>(L439/30)*AU439</f>
        <v/>
      </c>
      <c r="BF439" s="15">
        <f>(L439/225)*((BB439*1.5)-(BC439*1.0))</f>
        <v/>
      </c>
      <c r="BG439" s="16">
        <f>(L439/225)*1.5*BD439</f>
        <v/>
      </c>
      <c r="BH439" s="15">
        <f>BF439+BG439</f>
        <v/>
      </c>
      <c r="BI439" s="17">
        <f>BE439+BH439</f>
        <v/>
      </c>
      <c r="BJ439" s="22">
        <f>IFERROR(VLOOKUP(B439, Resmi_Bordro_SGK!B:M, 11, FALSE), 0)</f>
        <v/>
      </c>
      <c r="BK439" s="18">
        <f>IFERROR(VLOOKUP(B439, Icra_Takip!A:E, 4, FALSE), 0)</f>
        <v/>
      </c>
      <c r="BL439" s="17">
        <f>IF(BI439&gt;BJ439, BI439-BJ439-BK439, 0)</f>
        <v/>
      </c>
      <c r="BM439" s="17">
        <f>BI439-BK439</f>
        <v/>
      </c>
    </row>
    <row r="440" ht="19" customHeight="1">
      <c r="A440" s="4" t="n">
        <v>437</v>
      </c>
      <c r="B440" s="5" t="inlineStr">
        <is>
          <t>10378792490</t>
        </is>
      </c>
      <c r="C440" s="6" t="inlineStr">
        <is>
          <t>ERVA DEDE</t>
        </is>
      </c>
      <c r="D440" s="4" t="inlineStr"/>
      <c r="E440" s="4" t="inlineStr"/>
      <c r="F440" s="4" t="inlineStr">
        <is>
          <t>28.07.2026</t>
        </is>
      </c>
      <c r="G440" s="4" t="inlineStr"/>
      <c r="H440" s="4" t="inlineStr">
        <is>
          <t>NORMAL</t>
        </is>
      </c>
      <c r="I440" s="4" t="inlineStr">
        <is>
          <t>MEVSİMLİK</t>
        </is>
      </c>
      <c r="J440" s="6" t="inlineStr"/>
      <c r="K440" s="6" t="inlineStr"/>
      <c r="L440" s="7" t="n">
        <v>28075.5</v>
      </c>
      <c r="M440" s="4" t="inlineStr">
        <is>
          <t>FİDE KONSERVE</t>
        </is>
      </c>
      <c r="N440" s="4" t="inlineStr">
        <is>
          <t>ALIR</t>
        </is>
      </c>
      <c r="O440" s="8" t="n">
        <v>0</v>
      </c>
      <c r="P440" s="8" t="n">
        <v>0</v>
      </c>
      <c r="Q440" s="8" t="n">
        <v>0</v>
      </c>
      <c r="R440" s="9" t="n">
        <v>0</v>
      </c>
      <c r="S440" s="8" t="n">
        <v>0</v>
      </c>
      <c r="T440" s="8" t="n">
        <v>0</v>
      </c>
      <c r="U440" s="8" t="n">
        <v>0</v>
      </c>
      <c r="V440" s="8" t="n">
        <v>0</v>
      </c>
      <c r="W440" s="8" t="n">
        <v>0</v>
      </c>
      <c r="X440" s="8" t="n">
        <v>0</v>
      </c>
      <c r="Y440" s="9" t="n">
        <v>0</v>
      </c>
      <c r="Z440" s="8" t="n">
        <v>0</v>
      </c>
      <c r="AA440" s="8" t="n">
        <v>0</v>
      </c>
      <c r="AB440" s="8" t="n">
        <v>0</v>
      </c>
      <c r="AC440" s="8" t="n">
        <v>0</v>
      </c>
      <c r="AD440" s="8" t="n">
        <v>0</v>
      </c>
      <c r="AE440" s="8" t="n">
        <v>0</v>
      </c>
      <c r="AF440" s="9" t="n">
        <v>0</v>
      </c>
      <c r="AG440" s="8" t="n">
        <v>0</v>
      </c>
      <c r="AH440" s="8" t="n">
        <v>0</v>
      </c>
      <c r="AI440" s="8" t="n">
        <v>0</v>
      </c>
      <c r="AJ440" s="8" t="n">
        <v>0</v>
      </c>
      <c r="AK440" s="8" t="n">
        <v>0</v>
      </c>
      <c r="AL440" s="8" t="n">
        <v>0</v>
      </c>
      <c r="AM440" s="9" t="n">
        <v>0</v>
      </c>
      <c r="AN440" s="8" t="n">
        <v>0</v>
      </c>
      <c r="AO440" s="8" t="n">
        <v>0</v>
      </c>
      <c r="AP440" s="8" t="n">
        <v>0</v>
      </c>
      <c r="AQ440" s="8" t="n">
        <v>0</v>
      </c>
      <c r="AR440" s="8" t="n">
        <v>0</v>
      </c>
      <c r="AS440" s="8" t="n">
        <v>0</v>
      </c>
      <c r="AT440" s="10">
        <f>SUM(O440:AS440)</f>
        <v/>
      </c>
      <c r="AU440" s="11">
        <f>COUNTIF(O440:AS440, "&gt;0")</f>
        <v/>
      </c>
      <c r="AV440" s="12">
        <f>IF(AU440&gt;=5, 4, IF(AU440&gt;0, INT(AU440/6), 0))</f>
        <v/>
      </c>
      <c r="AW440" s="11" t="n">
        <v>0</v>
      </c>
      <c r="AX440" s="11" t="n">
        <v>0</v>
      </c>
      <c r="AY440" s="13">
        <f>MIN(31, AU440+AV440+AW440+AX440)</f>
        <v/>
      </c>
      <c r="AZ440" s="14">
        <f>31-AY440</f>
        <v/>
      </c>
      <c r="BA440" s="5">
        <f>IF(AX440&gt;0, "01-İstirahat", IF(AZ440&gt;0, "12-Birden Fazla", ""))</f>
        <v/>
      </c>
      <c r="BB440" s="10" t="n">
        <v>0</v>
      </c>
      <c r="BC440" s="8" t="n">
        <v>0</v>
      </c>
      <c r="BD440" s="9" t="n">
        <v>0</v>
      </c>
      <c r="BE440" s="7">
        <f>(L440/30)*AU440</f>
        <v/>
      </c>
      <c r="BF440" s="15">
        <f>(L440/225)*((BB440*1.5)-(BC440*1.0))</f>
        <v/>
      </c>
      <c r="BG440" s="16">
        <f>(L440/225)*1.5*BD440</f>
        <v/>
      </c>
      <c r="BH440" s="15">
        <f>BF440+BG440</f>
        <v/>
      </c>
      <c r="BI440" s="17">
        <f>BE440+BH440</f>
        <v/>
      </c>
      <c r="BJ440" s="7">
        <f>IFERROR(VLOOKUP(B440, Resmi_Bordro_SGK!B:M, 11, FALSE), 0)</f>
        <v/>
      </c>
      <c r="BK440" s="18">
        <f>IFERROR(VLOOKUP(B440, Icra_Takip!A:E, 4, FALSE), 0)</f>
        <v/>
      </c>
      <c r="BL440" s="17">
        <f>IF(BI440&gt;BJ440, BI440-BJ440-BK440, 0)</f>
        <v/>
      </c>
      <c r="BM440" s="17">
        <f>BI440-BK440</f>
        <v/>
      </c>
    </row>
    <row r="441" ht="19" customHeight="1">
      <c r="A441" s="4" t="n">
        <v>438</v>
      </c>
      <c r="B441" s="5" t="inlineStr">
        <is>
          <t>60544339486</t>
        </is>
      </c>
      <c r="C441" s="6" t="inlineStr">
        <is>
          <t>ESMA ÇİTKIRAN</t>
        </is>
      </c>
      <c r="D441" s="4" t="inlineStr"/>
      <c r="E441" s="4" t="inlineStr"/>
      <c r="F441" s="4" t="inlineStr">
        <is>
          <t>10.07.2026</t>
        </is>
      </c>
      <c r="G441" s="4" t="inlineStr"/>
      <c r="H441" s="4" t="inlineStr">
        <is>
          <t>NORMAL</t>
        </is>
      </c>
      <c r="I441" s="4" t="inlineStr">
        <is>
          <t>MEVSİMLİK</t>
        </is>
      </c>
      <c r="J441" s="6" t="inlineStr"/>
      <c r="K441" s="6" t="inlineStr"/>
      <c r="L441" s="7" t="n">
        <v>28075.5</v>
      </c>
      <c r="M441" s="4" t="inlineStr">
        <is>
          <t>FİDE KONSERVE</t>
        </is>
      </c>
      <c r="N441" s="4" t="inlineStr">
        <is>
          <t>ALIR</t>
        </is>
      </c>
      <c r="O441" s="19" t="n">
        <v>0</v>
      </c>
      <c r="P441" s="19" t="n">
        <v>0</v>
      </c>
      <c r="Q441" s="19" t="n">
        <v>0</v>
      </c>
      <c r="R441" s="9" t="n">
        <v>0</v>
      </c>
      <c r="S441" s="19" t="n">
        <v>0</v>
      </c>
      <c r="T441" s="19" t="n">
        <v>0</v>
      </c>
      <c r="U441" s="19" t="n">
        <v>0</v>
      </c>
      <c r="V441" s="19" t="n">
        <v>0</v>
      </c>
      <c r="W441" s="19" t="n">
        <v>0</v>
      </c>
      <c r="X441" s="19" t="n">
        <v>0</v>
      </c>
      <c r="Y441" s="9" t="n">
        <v>0</v>
      </c>
      <c r="Z441" s="19" t="n">
        <v>0</v>
      </c>
      <c r="AA441" s="19" t="n">
        <v>0</v>
      </c>
      <c r="AB441" s="19" t="n">
        <v>0</v>
      </c>
      <c r="AC441" s="19" t="n">
        <v>0</v>
      </c>
      <c r="AD441" s="19" t="n">
        <v>0</v>
      </c>
      <c r="AE441" s="19" t="n">
        <v>0</v>
      </c>
      <c r="AF441" s="9" t="n">
        <v>0</v>
      </c>
      <c r="AG441" s="19" t="n">
        <v>0</v>
      </c>
      <c r="AH441" s="19" t="n">
        <v>0</v>
      </c>
      <c r="AI441" s="19" t="n">
        <v>0</v>
      </c>
      <c r="AJ441" s="19" t="n">
        <v>0</v>
      </c>
      <c r="AK441" s="19" t="n">
        <v>0</v>
      </c>
      <c r="AL441" s="19" t="n">
        <v>0</v>
      </c>
      <c r="AM441" s="9" t="n">
        <v>0</v>
      </c>
      <c r="AN441" s="19" t="n">
        <v>0</v>
      </c>
      <c r="AO441" s="19" t="n">
        <v>0</v>
      </c>
      <c r="AP441" s="19" t="n">
        <v>0</v>
      </c>
      <c r="AQ441" s="19" t="n">
        <v>0</v>
      </c>
      <c r="AR441" s="19" t="n">
        <v>0</v>
      </c>
      <c r="AS441" s="19" t="n">
        <v>0</v>
      </c>
      <c r="AT441" s="10">
        <f>SUM(O441:AS441)</f>
        <v/>
      </c>
      <c r="AU441" s="20">
        <f>COUNTIF(O441:AS441, "&gt;0")</f>
        <v/>
      </c>
      <c r="AV441" s="12">
        <f>IF(AU441&gt;=5, 4, IF(AU441&gt;0, INT(AU441/6), 0))</f>
        <v/>
      </c>
      <c r="AW441" s="20" t="n">
        <v>0</v>
      </c>
      <c r="AX441" s="20" t="n">
        <v>0</v>
      </c>
      <c r="AY441" s="13">
        <f>MIN(31, AU441+AV441+AW441+AX441)</f>
        <v/>
      </c>
      <c r="AZ441" s="14">
        <f>31-AY441</f>
        <v/>
      </c>
      <c r="BA441" s="21">
        <f>IF(AX441&gt;0, "01-İstirahat", IF(AZ441&gt;0, "12-Birden Fazla", ""))</f>
        <v/>
      </c>
      <c r="BB441" s="10" t="n">
        <v>0</v>
      </c>
      <c r="BC441" s="19" t="n">
        <v>0</v>
      </c>
      <c r="BD441" s="9" t="n">
        <v>0</v>
      </c>
      <c r="BE441" s="22">
        <f>(L441/30)*AU441</f>
        <v/>
      </c>
      <c r="BF441" s="15">
        <f>(L441/225)*((BB441*1.5)-(BC441*1.0))</f>
        <v/>
      </c>
      <c r="BG441" s="16">
        <f>(L441/225)*1.5*BD441</f>
        <v/>
      </c>
      <c r="BH441" s="15">
        <f>BF441+BG441</f>
        <v/>
      </c>
      <c r="BI441" s="17">
        <f>BE441+BH441</f>
        <v/>
      </c>
      <c r="BJ441" s="22">
        <f>IFERROR(VLOOKUP(B441, Resmi_Bordro_SGK!B:M, 11, FALSE), 0)</f>
        <v/>
      </c>
      <c r="BK441" s="18">
        <f>IFERROR(VLOOKUP(B441, Icra_Takip!A:E, 4, FALSE), 0)</f>
        <v/>
      </c>
      <c r="BL441" s="17">
        <f>IF(BI441&gt;BJ441, BI441-BJ441-BK441, 0)</f>
        <v/>
      </c>
      <c r="BM441" s="17">
        <f>BI441-BK441</f>
        <v/>
      </c>
    </row>
    <row r="442" ht="19" customHeight="1">
      <c r="A442" s="4" t="n">
        <v>439</v>
      </c>
      <c r="B442" s="5" t="inlineStr">
        <is>
          <t>10273945236</t>
        </is>
      </c>
      <c r="C442" s="6" t="inlineStr">
        <is>
          <t>ESMANUR AĞYAR</t>
        </is>
      </c>
      <c r="D442" s="4" t="inlineStr"/>
      <c r="E442" s="4" t="inlineStr"/>
      <c r="F442" s="4" t="inlineStr">
        <is>
          <t>01.07.2026</t>
        </is>
      </c>
      <c r="G442" s="4" t="inlineStr"/>
      <c r="H442" s="4" t="inlineStr">
        <is>
          <t>NORMAL</t>
        </is>
      </c>
      <c r="I442" s="4" t="inlineStr">
        <is>
          <t>MEVSİMLİK</t>
        </is>
      </c>
      <c r="J442" s="6" t="inlineStr"/>
      <c r="K442" s="6" t="inlineStr"/>
      <c r="L442" s="7" t="n">
        <v>28075.5</v>
      </c>
      <c r="M442" s="4" t="inlineStr">
        <is>
          <t>FİDE KONSERVE</t>
        </is>
      </c>
      <c r="N442" s="4" t="inlineStr">
        <is>
          <t>ALIR</t>
        </is>
      </c>
      <c r="O442" s="8" t="n">
        <v>0</v>
      </c>
      <c r="P442" s="8" t="n">
        <v>0</v>
      </c>
      <c r="Q442" s="8" t="n">
        <v>0</v>
      </c>
      <c r="R442" s="9" t="n">
        <v>0</v>
      </c>
      <c r="S442" s="8" t="n">
        <v>0</v>
      </c>
      <c r="T442" s="8" t="n">
        <v>0</v>
      </c>
      <c r="U442" s="8" t="n">
        <v>0</v>
      </c>
      <c r="V442" s="8" t="n">
        <v>0</v>
      </c>
      <c r="W442" s="8" t="n">
        <v>0</v>
      </c>
      <c r="X442" s="8" t="n">
        <v>0</v>
      </c>
      <c r="Y442" s="9" t="n">
        <v>0</v>
      </c>
      <c r="Z442" s="8" t="n">
        <v>0</v>
      </c>
      <c r="AA442" s="8" t="n">
        <v>0</v>
      </c>
      <c r="AB442" s="8" t="n">
        <v>0</v>
      </c>
      <c r="AC442" s="8" t="n">
        <v>0</v>
      </c>
      <c r="AD442" s="8" t="n">
        <v>0</v>
      </c>
      <c r="AE442" s="8" t="n">
        <v>0</v>
      </c>
      <c r="AF442" s="9" t="n">
        <v>0</v>
      </c>
      <c r="AG442" s="8" t="n">
        <v>0</v>
      </c>
      <c r="AH442" s="8" t="n">
        <v>0</v>
      </c>
      <c r="AI442" s="8" t="n">
        <v>0</v>
      </c>
      <c r="AJ442" s="8" t="n">
        <v>0</v>
      </c>
      <c r="AK442" s="8" t="n">
        <v>0</v>
      </c>
      <c r="AL442" s="8" t="n">
        <v>0</v>
      </c>
      <c r="AM442" s="9" t="n">
        <v>0</v>
      </c>
      <c r="AN442" s="8" t="n">
        <v>0</v>
      </c>
      <c r="AO442" s="8" t="n">
        <v>0</v>
      </c>
      <c r="AP442" s="8" t="n">
        <v>0</v>
      </c>
      <c r="AQ442" s="8" t="n">
        <v>0</v>
      </c>
      <c r="AR442" s="8" t="n">
        <v>0</v>
      </c>
      <c r="AS442" s="8" t="n">
        <v>0</v>
      </c>
      <c r="AT442" s="10">
        <f>SUM(O442:AS442)</f>
        <v/>
      </c>
      <c r="AU442" s="11">
        <f>COUNTIF(O442:AS442, "&gt;0")</f>
        <v/>
      </c>
      <c r="AV442" s="12">
        <f>IF(AU442&gt;=5, 4, IF(AU442&gt;0, INT(AU442/6), 0))</f>
        <v/>
      </c>
      <c r="AW442" s="11" t="n">
        <v>0</v>
      </c>
      <c r="AX442" s="11" t="n">
        <v>0</v>
      </c>
      <c r="AY442" s="13">
        <f>MIN(31, AU442+AV442+AW442+AX442)</f>
        <v/>
      </c>
      <c r="AZ442" s="14">
        <f>31-AY442</f>
        <v/>
      </c>
      <c r="BA442" s="5">
        <f>IF(AX442&gt;0, "01-İstirahat", IF(AZ442&gt;0, "12-Birden Fazla", ""))</f>
        <v/>
      </c>
      <c r="BB442" s="10" t="n">
        <v>0</v>
      </c>
      <c r="BC442" s="8" t="n">
        <v>0</v>
      </c>
      <c r="BD442" s="9" t="n">
        <v>0</v>
      </c>
      <c r="BE442" s="7">
        <f>(L442/30)*AU442</f>
        <v/>
      </c>
      <c r="BF442" s="15">
        <f>(L442/225)*((BB442*1.5)-(BC442*1.0))</f>
        <v/>
      </c>
      <c r="BG442" s="16">
        <f>(L442/225)*1.5*BD442</f>
        <v/>
      </c>
      <c r="BH442" s="15">
        <f>BF442+BG442</f>
        <v/>
      </c>
      <c r="BI442" s="17">
        <f>BE442+BH442</f>
        <v/>
      </c>
      <c r="BJ442" s="7">
        <f>IFERROR(VLOOKUP(B442, Resmi_Bordro_SGK!B:M, 11, FALSE), 0)</f>
        <v/>
      </c>
      <c r="BK442" s="18">
        <f>IFERROR(VLOOKUP(B442, Icra_Takip!A:E, 4, FALSE), 0)</f>
        <v/>
      </c>
      <c r="BL442" s="17">
        <f>IF(BI442&gt;BJ442, BI442-BJ442-BK442, 0)</f>
        <v/>
      </c>
      <c r="BM442" s="17">
        <f>BI442-BK442</f>
        <v/>
      </c>
    </row>
    <row r="443" ht="19" customHeight="1">
      <c r="A443" s="4" t="n">
        <v>440</v>
      </c>
      <c r="B443" s="5" t="inlineStr">
        <is>
          <t>27979354040</t>
        </is>
      </c>
      <c r="C443" s="6" t="inlineStr">
        <is>
          <t>ESRA POLAT</t>
        </is>
      </c>
      <c r="D443" s="4" t="inlineStr"/>
      <c r="E443" s="4" t="inlineStr"/>
      <c r="F443" s="4" t="inlineStr">
        <is>
          <t>26.07.2026</t>
        </is>
      </c>
      <c r="G443" s="4" t="inlineStr"/>
      <c r="H443" s="4" t="inlineStr">
        <is>
          <t>NORMAL</t>
        </is>
      </c>
      <c r="I443" s="4" t="inlineStr">
        <is>
          <t>MEVSİMLİK</t>
        </is>
      </c>
      <c r="J443" s="6" t="inlineStr"/>
      <c r="K443" s="6" t="inlineStr"/>
      <c r="L443" s="7" t="n">
        <v>28075.5</v>
      </c>
      <c r="M443" s="4" t="inlineStr">
        <is>
          <t>FİDE KONSERVE</t>
        </is>
      </c>
      <c r="N443" s="4" t="inlineStr">
        <is>
          <t>ALIR</t>
        </is>
      </c>
      <c r="O443" s="19" t="n">
        <v>0</v>
      </c>
      <c r="P443" s="19" t="n">
        <v>0</v>
      </c>
      <c r="Q443" s="19" t="n">
        <v>0</v>
      </c>
      <c r="R443" s="9" t="n">
        <v>0</v>
      </c>
      <c r="S443" s="19" t="n">
        <v>0</v>
      </c>
      <c r="T443" s="19" t="n">
        <v>0</v>
      </c>
      <c r="U443" s="19" t="n">
        <v>0</v>
      </c>
      <c r="V443" s="19" t="n">
        <v>0</v>
      </c>
      <c r="W443" s="19" t="n">
        <v>0</v>
      </c>
      <c r="X443" s="19" t="n">
        <v>0</v>
      </c>
      <c r="Y443" s="9" t="n">
        <v>0</v>
      </c>
      <c r="Z443" s="19" t="n">
        <v>0</v>
      </c>
      <c r="AA443" s="19" t="n">
        <v>0</v>
      </c>
      <c r="AB443" s="19" t="n">
        <v>0</v>
      </c>
      <c r="AC443" s="19" t="n">
        <v>0</v>
      </c>
      <c r="AD443" s="19" t="n">
        <v>0</v>
      </c>
      <c r="AE443" s="19" t="n">
        <v>0</v>
      </c>
      <c r="AF443" s="9" t="n">
        <v>0</v>
      </c>
      <c r="AG443" s="19" t="n">
        <v>0</v>
      </c>
      <c r="AH443" s="19" t="n">
        <v>0</v>
      </c>
      <c r="AI443" s="19" t="n">
        <v>0</v>
      </c>
      <c r="AJ443" s="19" t="n">
        <v>0</v>
      </c>
      <c r="AK443" s="19" t="n">
        <v>0</v>
      </c>
      <c r="AL443" s="19" t="n">
        <v>0</v>
      </c>
      <c r="AM443" s="9" t="n">
        <v>0</v>
      </c>
      <c r="AN443" s="19" t="n">
        <v>0</v>
      </c>
      <c r="AO443" s="19" t="n">
        <v>0</v>
      </c>
      <c r="AP443" s="19" t="n">
        <v>0</v>
      </c>
      <c r="AQ443" s="19" t="n">
        <v>0</v>
      </c>
      <c r="AR443" s="19" t="n">
        <v>0</v>
      </c>
      <c r="AS443" s="19" t="n">
        <v>0</v>
      </c>
      <c r="AT443" s="10">
        <f>SUM(O443:AS443)</f>
        <v/>
      </c>
      <c r="AU443" s="20">
        <f>COUNTIF(O443:AS443, "&gt;0")</f>
        <v/>
      </c>
      <c r="AV443" s="12">
        <f>IF(AU443&gt;=5, 4, IF(AU443&gt;0, INT(AU443/6), 0))</f>
        <v/>
      </c>
      <c r="AW443" s="20" t="n">
        <v>0</v>
      </c>
      <c r="AX443" s="20" t="n">
        <v>0</v>
      </c>
      <c r="AY443" s="13">
        <f>MIN(31, AU443+AV443+AW443+AX443)</f>
        <v/>
      </c>
      <c r="AZ443" s="14">
        <f>31-AY443</f>
        <v/>
      </c>
      <c r="BA443" s="21">
        <f>IF(AX443&gt;0, "01-İstirahat", IF(AZ443&gt;0, "12-Birden Fazla", ""))</f>
        <v/>
      </c>
      <c r="BB443" s="10" t="n">
        <v>0</v>
      </c>
      <c r="BC443" s="19" t="n">
        <v>0</v>
      </c>
      <c r="BD443" s="9" t="n">
        <v>0</v>
      </c>
      <c r="BE443" s="22">
        <f>(L443/30)*AU443</f>
        <v/>
      </c>
      <c r="BF443" s="15">
        <f>(L443/225)*((BB443*1.5)-(BC443*1.0))</f>
        <v/>
      </c>
      <c r="BG443" s="16">
        <f>(L443/225)*1.5*BD443</f>
        <v/>
      </c>
      <c r="BH443" s="15">
        <f>BF443+BG443</f>
        <v/>
      </c>
      <c r="BI443" s="17">
        <f>BE443+BH443</f>
        <v/>
      </c>
      <c r="BJ443" s="22">
        <f>IFERROR(VLOOKUP(B443, Resmi_Bordro_SGK!B:M, 11, FALSE), 0)</f>
        <v/>
      </c>
      <c r="BK443" s="18">
        <f>IFERROR(VLOOKUP(B443, Icra_Takip!A:E, 4, FALSE), 0)</f>
        <v/>
      </c>
      <c r="BL443" s="17">
        <f>IF(BI443&gt;BJ443, BI443-BJ443-BK443, 0)</f>
        <v/>
      </c>
      <c r="BM443" s="17">
        <f>BI443-BK443</f>
        <v/>
      </c>
    </row>
    <row r="444" ht="19" customHeight="1">
      <c r="A444" s="4" t="n">
        <v>441</v>
      </c>
      <c r="B444" s="5" t="inlineStr">
        <is>
          <t>66064334710</t>
        </is>
      </c>
      <c r="C444" s="6" t="inlineStr">
        <is>
          <t>FATMA SARIBAŞ</t>
        </is>
      </c>
      <c r="D444" s="4" t="inlineStr"/>
      <c r="E444" s="4" t="inlineStr"/>
      <c r="F444" s="4" t="inlineStr">
        <is>
          <t>30.06.2026</t>
        </is>
      </c>
      <c r="G444" s="4" t="inlineStr"/>
      <c r="H444" s="4" t="inlineStr">
        <is>
          <t>NORMAL</t>
        </is>
      </c>
      <c r="I444" s="4" t="inlineStr">
        <is>
          <t>MEVSİMLİK</t>
        </is>
      </c>
      <c r="J444" s="6" t="inlineStr"/>
      <c r="K444" s="6" t="inlineStr"/>
      <c r="L444" s="7" t="n">
        <v>28075.5</v>
      </c>
      <c r="M444" s="4" t="inlineStr">
        <is>
          <t>FİDE KONSERVE</t>
        </is>
      </c>
      <c r="N444" s="4" t="inlineStr">
        <is>
          <t>ALIR</t>
        </is>
      </c>
      <c r="O444" s="8" t="n">
        <v>0</v>
      </c>
      <c r="P444" s="8" t="n">
        <v>0</v>
      </c>
      <c r="Q444" s="8" t="n">
        <v>0</v>
      </c>
      <c r="R444" s="9" t="n">
        <v>0</v>
      </c>
      <c r="S444" s="8" t="n">
        <v>0</v>
      </c>
      <c r="T444" s="8" t="n">
        <v>0</v>
      </c>
      <c r="U444" s="8" t="n">
        <v>0</v>
      </c>
      <c r="V444" s="8" t="n">
        <v>0</v>
      </c>
      <c r="W444" s="8" t="n">
        <v>0</v>
      </c>
      <c r="X444" s="8" t="n">
        <v>0</v>
      </c>
      <c r="Y444" s="9" t="n">
        <v>0</v>
      </c>
      <c r="Z444" s="8" t="n">
        <v>0</v>
      </c>
      <c r="AA444" s="8" t="n">
        <v>0</v>
      </c>
      <c r="AB444" s="8" t="n">
        <v>0</v>
      </c>
      <c r="AC444" s="8" t="n">
        <v>0</v>
      </c>
      <c r="AD444" s="8" t="n">
        <v>0</v>
      </c>
      <c r="AE444" s="8" t="n">
        <v>0</v>
      </c>
      <c r="AF444" s="9" t="n">
        <v>0</v>
      </c>
      <c r="AG444" s="8" t="n">
        <v>0</v>
      </c>
      <c r="AH444" s="8" t="n">
        <v>0</v>
      </c>
      <c r="AI444" s="8" t="n">
        <v>0</v>
      </c>
      <c r="AJ444" s="8" t="n">
        <v>0</v>
      </c>
      <c r="AK444" s="8" t="n">
        <v>0</v>
      </c>
      <c r="AL444" s="8" t="n">
        <v>0</v>
      </c>
      <c r="AM444" s="9" t="n">
        <v>0</v>
      </c>
      <c r="AN444" s="8" t="n">
        <v>0</v>
      </c>
      <c r="AO444" s="8" t="n">
        <v>0</v>
      </c>
      <c r="AP444" s="8" t="n">
        <v>0</v>
      </c>
      <c r="AQ444" s="8" t="n">
        <v>0</v>
      </c>
      <c r="AR444" s="8" t="n">
        <v>0</v>
      </c>
      <c r="AS444" s="8" t="n">
        <v>0</v>
      </c>
      <c r="AT444" s="10">
        <f>SUM(O444:AS444)</f>
        <v/>
      </c>
      <c r="AU444" s="11">
        <f>COUNTIF(O444:AS444, "&gt;0")</f>
        <v/>
      </c>
      <c r="AV444" s="12">
        <f>IF(AU444&gt;=5, 4, IF(AU444&gt;0, INT(AU444/6), 0))</f>
        <v/>
      </c>
      <c r="AW444" s="11" t="n">
        <v>0</v>
      </c>
      <c r="AX444" s="11" t="n">
        <v>0</v>
      </c>
      <c r="AY444" s="13">
        <f>MIN(31, AU444+AV444+AW444+AX444)</f>
        <v/>
      </c>
      <c r="AZ444" s="14">
        <f>31-AY444</f>
        <v/>
      </c>
      <c r="BA444" s="5">
        <f>IF(AX444&gt;0, "01-İstirahat", IF(AZ444&gt;0, "12-Birden Fazla", ""))</f>
        <v/>
      </c>
      <c r="BB444" s="10" t="n">
        <v>0</v>
      </c>
      <c r="BC444" s="8" t="n">
        <v>0</v>
      </c>
      <c r="BD444" s="9" t="n">
        <v>0</v>
      </c>
      <c r="BE444" s="7">
        <f>(L444/30)*AU444</f>
        <v/>
      </c>
      <c r="BF444" s="15">
        <f>(L444/225)*((BB444*1.5)-(BC444*1.0))</f>
        <v/>
      </c>
      <c r="BG444" s="16">
        <f>(L444/225)*1.5*BD444</f>
        <v/>
      </c>
      <c r="BH444" s="15">
        <f>BF444+BG444</f>
        <v/>
      </c>
      <c r="BI444" s="17">
        <f>BE444+BH444</f>
        <v/>
      </c>
      <c r="BJ444" s="7">
        <f>IFERROR(VLOOKUP(B444, Resmi_Bordro_SGK!B:M, 11, FALSE), 0)</f>
        <v/>
      </c>
      <c r="BK444" s="18">
        <f>IFERROR(VLOOKUP(B444, Icra_Takip!A:E, 4, FALSE), 0)</f>
        <v/>
      </c>
      <c r="BL444" s="17">
        <f>IF(BI444&gt;BJ444, BI444-BJ444-BK444, 0)</f>
        <v/>
      </c>
      <c r="BM444" s="17">
        <f>BI444-BK444</f>
        <v/>
      </c>
    </row>
    <row r="445" ht="19" customHeight="1">
      <c r="A445" s="4" t="n">
        <v>442</v>
      </c>
      <c r="B445" s="5" t="inlineStr">
        <is>
          <t>37798033156</t>
        </is>
      </c>
      <c r="C445" s="6" t="inlineStr">
        <is>
          <t>FİLİZ ŞENGİL</t>
        </is>
      </c>
      <c r="D445" s="4" t="inlineStr"/>
      <c r="E445" s="4" t="inlineStr"/>
      <c r="F445" s="4" t="inlineStr">
        <is>
          <t>18.04.2026</t>
        </is>
      </c>
      <c r="G445" s="4" t="inlineStr"/>
      <c r="H445" s="4" t="inlineStr">
        <is>
          <t>NORMAL</t>
        </is>
      </c>
      <c r="I445" s="4" t="inlineStr">
        <is>
          <t>MEVSİMLİK</t>
        </is>
      </c>
      <c r="J445" s="6" t="inlineStr"/>
      <c r="K445" s="6" t="inlineStr"/>
      <c r="L445" s="7" t="n">
        <v>28075.5</v>
      </c>
      <c r="M445" s="4" t="inlineStr">
        <is>
          <t>FİDE KONSERVE</t>
        </is>
      </c>
      <c r="N445" s="4" t="inlineStr">
        <is>
          <t>ALIR</t>
        </is>
      </c>
      <c r="O445" s="19" t="n">
        <v>0</v>
      </c>
      <c r="P445" s="19" t="n">
        <v>0</v>
      </c>
      <c r="Q445" s="19" t="n">
        <v>0</v>
      </c>
      <c r="R445" s="9" t="n">
        <v>0</v>
      </c>
      <c r="S445" s="19" t="n">
        <v>0</v>
      </c>
      <c r="T445" s="19" t="n">
        <v>0</v>
      </c>
      <c r="U445" s="19" t="n">
        <v>0</v>
      </c>
      <c r="V445" s="19" t="n">
        <v>0</v>
      </c>
      <c r="W445" s="19" t="n">
        <v>0</v>
      </c>
      <c r="X445" s="19" t="n">
        <v>0</v>
      </c>
      <c r="Y445" s="9" t="n">
        <v>0</v>
      </c>
      <c r="Z445" s="19" t="n">
        <v>0</v>
      </c>
      <c r="AA445" s="19" t="n">
        <v>0</v>
      </c>
      <c r="AB445" s="19" t="n">
        <v>0</v>
      </c>
      <c r="AC445" s="19" t="n">
        <v>0</v>
      </c>
      <c r="AD445" s="19" t="n">
        <v>0</v>
      </c>
      <c r="AE445" s="19" t="n">
        <v>0</v>
      </c>
      <c r="AF445" s="9" t="n">
        <v>0</v>
      </c>
      <c r="AG445" s="19" t="n">
        <v>0</v>
      </c>
      <c r="AH445" s="19" t="n">
        <v>0</v>
      </c>
      <c r="AI445" s="19" t="n">
        <v>0</v>
      </c>
      <c r="AJ445" s="19" t="n">
        <v>0</v>
      </c>
      <c r="AK445" s="19" t="n">
        <v>0</v>
      </c>
      <c r="AL445" s="19" t="n">
        <v>0</v>
      </c>
      <c r="AM445" s="9" t="n">
        <v>0</v>
      </c>
      <c r="AN445" s="19" t="n">
        <v>0</v>
      </c>
      <c r="AO445" s="19" t="n">
        <v>0</v>
      </c>
      <c r="AP445" s="19" t="n">
        <v>0</v>
      </c>
      <c r="AQ445" s="19" t="n">
        <v>0</v>
      </c>
      <c r="AR445" s="19" t="n">
        <v>0</v>
      </c>
      <c r="AS445" s="19" t="n">
        <v>0</v>
      </c>
      <c r="AT445" s="10">
        <f>SUM(O445:AS445)</f>
        <v/>
      </c>
      <c r="AU445" s="20">
        <f>COUNTIF(O445:AS445, "&gt;0")</f>
        <v/>
      </c>
      <c r="AV445" s="12">
        <f>IF(AU445&gt;=5, 4, IF(AU445&gt;0, INT(AU445/6), 0))</f>
        <v/>
      </c>
      <c r="AW445" s="20" t="n">
        <v>0</v>
      </c>
      <c r="AX445" s="20" t="n">
        <v>0</v>
      </c>
      <c r="AY445" s="13">
        <f>MIN(31, AU445+AV445+AW445+AX445)</f>
        <v/>
      </c>
      <c r="AZ445" s="14">
        <f>31-AY445</f>
        <v/>
      </c>
      <c r="BA445" s="21">
        <f>IF(AX445&gt;0, "01-İstirahat", IF(AZ445&gt;0, "12-Birden Fazla", ""))</f>
        <v/>
      </c>
      <c r="BB445" s="10" t="n">
        <v>0</v>
      </c>
      <c r="BC445" s="19" t="n">
        <v>0</v>
      </c>
      <c r="BD445" s="9" t="n">
        <v>0</v>
      </c>
      <c r="BE445" s="22">
        <f>(L445/30)*AU445</f>
        <v/>
      </c>
      <c r="BF445" s="15">
        <f>(L445/225)*((BB445*1.5)-(BC445*1.0))</f>
        <v/>
      </c>
      <c r="BG445" s="16">
        <f>(L445/225)*1.5*BD445</f>
        <v/>
      </c>
      <c r="BH445" s="15">
        <f>BF445+BG445</f>
        <v/>
      </c>
      <c r="BI445" s="17">
        <f>BE445+BH445</f>
        <v/>
      </c>
      <c r="BJ445" s="22">
        <f>IFERROR(VLOOKUP(B445, Resmi_Bordro_SGK!B:M, 11, FALSE), 0)</f>
        <v/>
      </c>
      <c r="BK445" s="18">
        <f>IFERROR(VLOOKUP(B445, Icra_Takip!A:E, 4, FALSE), 0)</f>
        <v/>
      </c>
      <c r="BL445" s="17">
        <f>IF(BI445&gt;BJ445, BI445-BJ445-BK445, 0)</f>
        <v/>
      </c>
      <c r="BM445" s="17">
        <f>BI445-BK445</f>
        <v/>
      </c>
    </row>
    <row r="446" ht="19" customHeight="1">
      <c r="A446" s="4" t="n">
        <v>443</v>
      </c>
      <c r="B446" s="5" t="inlineStr">
        <is>
          <t>42526141218</t>
        </is>
      </c>
      <c r="C446" s="6" t="inlineStr">
        <is>
          <t>GÜLPERİ ATMACA</t>
        </is>
      </c>
      <c r="D446" s="4" t="inlineStr"/>
      <c r="E446" s="4" t="inlineStr"/>
      <c r="F446" s="4" t="inlineStr">
        <is>
          <t>28.07.2026</t>
        </is>
      </c>
      <c r="G446" s="4" t="inlineStr"/>
      <c r="H446" s="4" t="inlineStr">
        <is>
          <t>NORMAL</t>
        </is>
      </c>
      <c r="I446" s="4" t="inlineStr">
        <is>
          <t>MEVSİMLİK</t>
        </is>
      </c>
      <c r="J446" s="6" t="inlineStr"/>
      <c r="K446" s="6" t="inlineStr"/>
      <c r="L446" s="7" t="n">
        <v>28075.5</v>
      </c>
      <c r="M446" s="4" t="inlineStr">
        <is>
          <t>FİDE KONSERVE</t>
        </is>
      </c>
      <c r="N446" s="4" t="inlineStr">
        <is>
          <t>ALIR</t>
        </is>
      </c>
      <c r="O446" s="8" t="n">
        <v>0</v>
      </c>
      <c r="P446" s="8" t="n">
        <v>0</v>
      </c>
      <c r="Q446" s="8" t="n">
        <v>0</v>
      </c>
      <c r="R446" s="9" t="n">
        <v>0</v>
      </c>
      <c r="S446" s="8" t="n">
        <v>0</v>
      </c>
      <c r="T446" s="8" t="n">
        <v>0</v>
      </c>
      <c r="U446" s="8" t="n">
        <v>0</v>
      </c>
      <c r="V446" s="8" t="n">
        <v>0</v>
      </c>
      <c r="W446" s="8" t="n">
        <v>0</v>
      </c>
      <c r="X446" s="8" t="n">
        <v>0</v>
      </c>
      <c r="Y446" s="9" t="n">
        <v>0</v>
      </c>
      <c r="Z446" s="8" t="n">
        <v>0</v>
      </c>
      <c r="AA446" s="8" t="n">
        <v>0</v>
      </c>
      <c r="AB446" s="8" t="n">
        <v>0</v>
      </c>
      <c r="AC446" s="8" t="n">
        <v>0</v>
      </c>
      <c r="AD446" s="8" t="n">
        <v>0</v>
      </c>
      <c r="AE446" s="8" t="n">
        <v>0</v>
      </c>
      <c r="AF446" s="9" t="n">
        <v>0</v>
      </c>
      <c r="AG446" s="8" t="n">
        <v>0</v>
      </c>
      <c r="AH446" s="8" t="n">
        <v>0</v>
      </c>
      <c r="AI446" s="8" t="n">
        <v>0</v>
      </c>
      <c r="AJ446" s="8" t="n">
        <v>0</v>
      </c>
      <c r="AK446" s="8" t="n">
        <v>0</v>
      </c>
      <c r="AL446" s="8" t="n">
        <v>0</v>
      </c>
      <c r="AM446" s="9" t="n">
        <v>0</v>
      </c>
      <c r="AN446" s="8" t="n">
        <v>0</v>
      </c>
      <c r="AO446" s="8" t="n">
        <v>0</v>
      </c>
      <c r="AP446" s="8" t="n">
        <v>0</v>
      </c>
      <c r="AQ446" s="8" t="n">
        <v>0</v>
      </c>
      <c r="AR446" s="8" t="n">
        <v>0</v>
      </c>
      <c r="AS446" s="8" t="n">
        <v>0</v>
      </c>
      <c r="AT446" s="10">
        <f>SUM(O446:AS446)</f>
        <v/>
      </c>
      <c r="AU446" s="11">
        <f>COUNTIF(O446:AS446, "&gt;0")</f>
        <v/>
      </c>
      <c r="AV446" s="12">
        <f>IF(AU446&gt;=5, 4, IF(AU446&gt;0, INT(AU446/6), 0))</f>
        <v/>
      </c>
      <c r="AW446" s="11" t="n">
        <v>0</v>
      </c>
      <c r="AX446" s="11" t="n">
        <v>0</v>
      </c>
      <c r="AY446" s="13">
        <f>MIN(31, AU446+AV446+AW446+AX446)</f>
        <v/>
      </c>
      <c r="AZ446" s="14">
        <f>31-AY446</f>
        <v/>
      </c>
      <c r="BA446" s="5">
        <f>IF(AX446&gt;0, "01-İstirahat", IF(AZ446&gt;0, "12-Birden Fazla", ""))</f>
        <v/>
      </c>
      <c r="BB446" s="10" t="n">
        <v>0</v>
      </c>
      <c r="BC446" s="8" t="n">
        <v>0</v>
      </c>
      <c r="BD446" s="9" t="n">
        <v>0</v>
      </c>
      <c r="BE446" s="7">
        <f>(L446/30)*AU446</f>
        <v/>
      </c>
      <c r="BF446" s="15">
        <f>(L446/225)*((BB446*1.5)-(BC446*1.0))</f>
        <v/>
      </c>
      <c r="BG446" s="16">
        <f>(L446/225)*1.5*BD446</f>
        <v/>
      </c>
      <c r="BH446" s="15">
        <f>BF446+BG446</f>
        <v/>
      </c>
      <c r="BI446" s="17">
        <f>BE446+BH446</f>
        <v/>
      </c>
      <c r="BJ446" s="7">
        <f>IFERROR(VLOOKUP(B446, Resmi_Bordro_SGK!B:M, 11, FALSE), 0)</f>
        <v/>
      </c>
      <c r="BK446" s="18">
        <f>IFERROR(VLOOKUP(B446, Icra_Takip!A:E, 4, FALSE), 0)</f>
        <v/>
      </c>
      <c r="BL446" s="17">
        <f>IF(BI446&gt;BJ446, BI446-BJ446-BK446, 0)</f>
        <v/>
      </c>
      <c r="BM446" s="17">
        <f>BI446-BK446</f>
        <v/>
      </c>
    </row>
    <row r="447" ht="19" customHeight="1">
      <c r="A447" s="4" t="n">
        <v>444</v>
      </c>
      <c r="B447" s="5" t="inlineStr">
        <is>
          <t>49630764852</t>
        </is>
      </c>
      <c r="C447" s="6" t="inlineStr">
        <is>
          <t>GÜLŞEN DAĞ</t>
        </is>
      </c>
      <c r="D447" s="4" t="inlineStr"/>
      <c r="E447" s="4" t="inlineStr"/>
      <c r="F447" s="4" t="inlineStr">
        <is>
          <t>06.07.2026</t>
        </is>
      </c>
      <c r="G447" s="4" t="inlineStr"/>
      <c r="H447" s="4" t="inlineStr">
        <is>
          <t>NORMAL</t>
        </is>
      </c>
      <c r="I447" s="4" t="inlineStr">
        <is>
          <t>MEVSİMLİK</t>
        </is>
      </c>
      <c r="J447" s="6" t="inlineStr"/>
      <c r="K447" s="6" t="inlineStr"/>
      <c r="L447" s="7" t="n">
        <v>28075.5</v>
      </c>
      <c r="M447" s="4" t="inlineStr">
        <is>
          <t>FİDE KONSERVE</t>
        </is>
      </c>
      <c r="N447" s="4" t="inlineStr">
        <is>
          <t>ALIR</t>
        </is>
      </c>
      <c r="O447" s="19" t="n">
        <v>0</v>
      </c>
      <c r="P447" s="19" t="n">
        <v>0</v>
      </c>
      <c r="Q447" s="19" t="n">
        <v>0</v>
      </c>
      <c r="R447" s="9" t="n">
        <v>0</v>
      </c>
      <c r="S447" s="19" t="n">
        <v>0</v>
      </c>
      <c r="T447" s="19" t="n">
        <v>0</v>
      </c>
      <c r="U447" s="19" t="n">
        <v>0</v>
      </c>
      <c r="V447" s="19" t="n">
        <v>0</v>
      </c>
      <c r="W447" s="19" t="n">
        <v>0</v>
      </c>
      <c r="X447" s="19" t="n">
        <v>0</v>
      </c>
      <c r="Y447" s="9" t="n">
        <v>0</v>
      </c>
      <c r="Z447" s="19" t="n">
        <v>0</v>
      </c>
      <c r="AA447" s="19" t="n">
        <v>0</v>
      </c>
      <c r="AB447" s="19" t="n">
        <v>0</v>
      </c>
      <c r="AC447" s="19" t="n">
        <v>0</v>
      </c>
      <c r="AD447" s="19" t="n">
        <v>0</v>
      </c>
      <c r="AE447" s="19" t="n">
        <v>0</v>
      </c>
      <c r="AF447" s="9" t="n">
        <v>0</v>
      </c>
      <c r="AG447" s="19" t="n">
        <v>0</v>
      </c>
      <c r="AH447" s="19" t="n">
        <v>0</v>
      </c>
      <c r="AI447" s="19" t="n">
        <v>0</v>
      </c>
      <c r="AJ447" s="19" t="n">
        <v>0</v>
      </c>
      <c r="AK447" s="19" t="n">
        <v>0</v>
      </c>
      <c r="AL447" s="19" t="n">
        <v>0</v>
      </c>
      <c r="AM447" s="9" t="n">
        <v>0</v>
      </c>
      <c r="AN447" s="19" t="n">
        <v>0</v>
      </c>
      <c r="AO447" s="19" t="n">
        <v>0</v>
      </c>
      <c r="AP447" s="19" t="n">
        <v>0</v>
      </c>
      <c r="AQ447" s="19" t="n">
        <v>0</v>
      </c>
      <c r="AR447" s="19" t="n">
        <v>0</v>
      </c>
      <c r="AS447" s="19" t="n">
        <v>0</v>
      </c>
      <c r="AT447" s="10">
        <f>SUM(O447:AS447)</f>
        <v/>
      </c>
      <c r="AU447" s="20">
        <f>COUNTIF(O447:AS447, "&gt;0")</f>
        <v/>
      </c>
      <c r="AV447" s="12">
        <f>IF(AU447&gt;=5, 4, IF(AU447&gt;0, INT(AU447/6), 0))</f>
        <v/>
      </c>
      <c r="AW447" s="20" t="n">
        <v>0</v>
      </c>
      <c r="AX447" s="20" t="n">
        <v>0</v>
      </c>
      <c r="AY447" s="13">
        <f>MIN(31, AU447+AV447+AW447+AX447)</f>
        <v/>
      </c>
      <c r="AZ447" s="14">
        <f>31-AY447</f>
        <v/>
      </c>
      <c r="BA447" s="21">
        <f>IF(AX447&gt;0, "01-İstirahat", IF(AZ447&gt;0, "12-Birden Fazla", ""))</f>
        <v/>
      </c>
      <c r="BB447" s="10" t="n">
        <v>0</v>
      </c>
      <c r="BC447" s="19" t="n">
        <v>0</v>
      </c>
      <c r="BD447" s="9" t="n">
        <v>0</v>
      </c>
      <c r="BE447" s="22">
        <f>(L447/30)*AU447</f>
        <v/>
      </c>
      <c r="BF447" s="15">
        <f>(L447/225)*((BB447*1.5)-(BC447*1.0))</f>
        <v/>
      </c>
      <c r="BG447" s="16">
        <f>(L447/225)*1.5*BD447</f>
        <v/>
      </c>
      <c r="BH447" s="15">
        <f>BF447+BG447</f>
        <v/>
      </c>
      <c r="BI447" s="17">
        <f>BE447+BH447</f>
        <v/>
      </c>
      <c r="BJ447" s="22">
        <f>IFERROR(VLOOKUP(B447, Resmi_Bordro_SGK!B:M, 11, FALSE), 0)</f>
        <v/>
      </c>
      <c r="BK447" s="18">
        <f>IFERROR(VLOOKUP(B447, Icra_Takip!A:E, 4, FALSE), 0)</f>
        <v/>
      </c>
      <c r="BL447" s="17">
        <f>IF(BI447&gt;BJ447, BI447-BJ447-BK447, 0)</f>
        <v/>
      </c>
      <c r="BM447" s="17">
        <f>BI447-BK447</f>
        <v/>
      </c>
    </row>
    <row r="448" ht="19" customHeight="1">
      <c r="A448" s="4" t="n">
        <v>445</v>
      </c>
      <c r="B448" s="5" t="inlineStr">
        <is>
          <t>32242211906</t>
        </is>
      </c>
      <c r="C448" s="6" t="inlineStr">
        <is>
          <t>GÜLTEN ÇORUMLU</t>
        </is>
      </c>
      <c r="D448" s="4" t="inlineStr"/>
      <c r="E448" s="4" t="inlineStr"/>
      <c r="F448" s="4" t="inlineStr">
        <is>
          <t>10.08.2026</t>
        </is>
      </c>
      <c r="G448" s="4" t="inlineStr"/>
      <c r="H448" s="4" t="inlineStr">
        <is>
          <t>NORMAL</t>
        </is>
      </c>
      <c r="I448" s="4" t="inlineStr">
        <is>
          <t>MEVSİMLİK</t>
        </is>
      </c>
      <c r="J448" s="6" t="inlineStr"/>
      <c r="K448" s="6" t="inlineStr"/>
      <c r="L448" s="7" t="n">
        <v>28075.5</v>
      </c>
      <c r="M448" s="4" t="inlineStr">
        <is>
          <t>FİDE KONSERVE</t>
        </is>
      </c>
      <c r="N448" s="4" t="inlineStr">
        <is>
          <t>ALIR</t>
        </is>
      </c>
      <c r="O448" s="8" t="n">
        <v>0</v>
      </c>
      <c r="P448" s="8" t="n">
        <v>0</v>
      </c>
      <c r="Q448" s="8" t="n">
        <v>0</v>
      </c>
      <c r="R448" s="9" t="n">
        <v>0</v>
      </c>
      <c r="S448" s="8" t="n">
        <v>0</v>
      </c>
      <c r="T448" s="8" t="n">
        <v>0</v>
      </c>
      <c r="U448" s="8" t="n">
        <v>0</v>
      </c>
      <c r="V448" s="8" t="n">
        <v>0</v>
      </c>
      <c r="W448" s="8" t="n">
        <v>0</v>
      </c>
      <c r="X448" s="8" t="n">
        <v>0</v>
      </c>
      <c r="Y448" s="9" t="n">
        <v>0</v>
      </c>
      <c r="Z448" s="8" t="n">
        <v>0</v>
      </c>
      <c r="AA448" s="8" t="n">
        <v>0</v>
      </c>
      <c r="AB448" s="8" t="n">
        <v>0</v>
      </c>
      <c r="AC448" s="8" t="n">
        <v>0</v>
      </c>
      <c r="AD448" s="8" t="n">
        <v>0</v>
      </c>
      <c r="AE448" s="8" t="n">
        <v>0</v>
      </c>
      <c r="AF448" s="9" t="n">
        <v>0</v>
      </c>
      <c r="AG448" s="8" t="n">
        <v>0</v>
      </c>
      <c r="AH448" s="8" t="n">
        <v>0</v>
      </c>
      <c r="AI448" s="8" t="n">
        <v>0</v>
      </c>
      <c r="AJ448" s="8" t="n">
        <v>0</v>
      </c>
      <c r="AK448" s="8" t="n">
        <v>0</v>
      </c>
      <c r="AL448" s="8" t="n">
        <v>0</v>
      </c>
      <c r="AM448" s="9" t="n">
        <v>0</v>
      </c>
      <c r="AN448" s="8" t="n">
        <v>0</v>
      </c>
      <c r="AO448" s="8" t="n">
        <v>0</v>
      </c>
      <c r="AP448" s="8" t="n">
        <v>0</v>
      </c>
      <c r="AQ448" s="8" t="n">
        <v>0</v>
      </c>
      <c r="AR448" s="8" t="n">
        <v>0</v>
      </c>
      <c r="AS448" s="8" t="n">
        <v>0</v>
      </c>
      <c r="AT448" s="10">
        <f>SUM(O448:AS448)</f>
        <v/>
      </c>
      <c r="AU448" s="11">
        <f>COUNTIF(O448:AS448, "&gt;0")</f>
        <v/>
      </c>
      <c r="AV448" s="12">
        <f>IF(AU448&gt;=5, 4, IF(AU448&gt;0, INT(AU448/6), 0))</f>
        <v/>
      </c>
      <c r="AW448" s="11" t="n">
        <v>0</v>
      </c>
      <c r="AX448" s="11" t="n">
        <v>0</v>
      </c>
      <c r="AY448" s="13">
        <f>MIN(31, AU448+AV448+AW448+AX448)</f>
        <v/>
      </c>
      <c r="AZ448" s="14">
        <f>31-AY448</f>
        <v/>
      </c>
      <c r="BA448" s="5">
        <f>IF(AX448&gt;0, "01-İstirahat", IF(AZ448&gt;0, "12-Birden Fazla", ""))</f>
        <v/>
      </c>
      <c r="BB448" s="10" t="n">
        <v>0</v>
      </c>
      <c r="BC448" s="8" t="n">
        <v>0</v>
      </c>
      <c r="BD448" s="9" t="n">
        <v>0</v>
      </c>
      <c r="BE448" s="7">
        <f>(L448/30)*AU448</f>
        <v/>
      </c>
      <c r="BF448" s="15">
        <f>(L448/225)*((BB448*1.5)-(BC448*1.0))</f>
        <v/>
      </c>
      <c r="BG448" s="16">
        <f>(L448/225)*1.5*BD448</f>
        <v/>
      </c>
      <c r="BH448" s="15">
        <f>BF448+BG448</f>
        <v/>
      </c>
      <c r="BI448" s="17">
        <f>BE448+BH448</f>
        <v/>
      </c>
      <c r="BJ448" s="7">
        <f>IFERROR(VLOOKUP(B448, Resmi_Bordro_SGK!B:M, 11, FALSE), 0)</f>
        <v/>
      </c>
      <c r="BK448" s="18">
        <f>IFERROR(VLOOKUP(B448, Icra_Takip!A:E, 4, FALSE), 0)</f>
        <v/>
      </c>
      <c r="BL448" s="17">
        <f>IF(BI448&gt;BJ448, BI448-BJ448-BK448, 0)</f>
        <v/>
      </c>
      <c r="BM448" s="17">
        <f>BI448-BK448</f>
        <v/>
      </c>
    </row>
    <row r="449" ht="19" customHeight="1">
      <c r="A449" s="4" t="n">
        <v>446</v>
      </c>
      <c r="B449" s="5" t="inlineStr">
        <is>
          <t>13813826170</t>
        </is>
      </c>
      <c r="C449" s="6" t="inlineStr">
        <is>
          <t>GÜNEŞ POLAT</t>
        </is>
      </c>
      <c r="D449" s="4" t="inlineStr"/>
      <c r="E449" s="4" t="inlineStr"/>
      <c r="F449" s="4" t="inlineStr">
        <is>
          <t>26.07.2026</t>
        </is>
      </c>
      <c r="G449" s="4" t="inlineStr"/>
      <c r="H449" s="4" t="inlineStr">
        <is>
          <t>NORMAL</t>
        </is>
      </c>
      <c r="I449" s="4" t="inlineStr">
        <is>
          <t>MEVSİMLİK</t>
        </is>
      </c>
      <c r="J449" s="6" t="inlineStr"/>
      <c r="K449" s="6" t="inlineStr"/>
      <c r="L449" s="7" t="n">
        <v>28075.5</v>
      </c>
      <c r="M449" s="4" t="inlineStr">
        <is>
          <t>FİDE KONSERVE</t>
        </is>
      </c>
      <c r="N449" s="4" t="inlineStr">
        <is>
          <t>ALIR</t>
        </is>
      </c>
      <c r="O449" s="19" t="n">
        <v>0</v>
      </c>
      <c r="P449" s="19" t="n">
        <v>0</v>
      </c>
      <c r="Q449" s="19" t="n">
        <v>0</v>
      </c>
      <c r="R449" s="9" t="n">
        <v>0</v>
      </c>
      <c r="S449" s="19" t="n">
        <v>0</v>
      </c>
      <c r="T449" s="19" t="n">
        <v>0</v>
      </c>
      <c r="U449" s="19" t="n">
        <v>0</v>
      </c>
      <c r="V449" s="19" t="n">
        <v>0</v>
      </c>
      <c r="W449" s="19" t="n">
        <v>0</v>
      </c>
      <c r="X449" s="19" t="n">
        <v>0</v>
      </c>
      <c r="Y449" s="9" t="n">
        <v>0</v>
      </c>
      <c r="Z449" s="19" t="n">
        <v>0</v>
      </c>
      <c r="AA449" s="19" t="n">
        <v>0</v>
      </c>
      <c r="AB449" s="19" t="n">
        <v>0</v>
      </c>
      <c r="AC449" s="19" t="n">
        <v>0</v>
      </c>
      <c r="AD449" s="19" t="n">
        <v>0</v>
      </c>
      <c r="AE449" s="19" t="n">
        <v>0</v>
      </c>
      <c r="AF449" s="9" t="n">
        <v>0</v>
      </c>
      <c r="AG449" s="19" t="n">
        <v>0</v>
      </c>
      <c r="AH449" s="19" t="n">
        <v>0</v>
      </c>
      <c r="AI449" s="19" t="n">
        <v>0</v>
      </c>
      <c r="AJ449" s="19" t="n">
        <v>0</v>
      </c>
      <c r="AK449" s="19" t="n">
        <v>0</v>
      </c>
      <c r="AL449" s="19" t="n">
        <v>0</v>
      </c>
      <c r="AM449" s="9" t="n">
        <v>0</v>
      </c>
      <c r="AN449" s="19" t="n">
        <v>0</v>
      </c>
      <c r="AO449" s="19" t="n">
        <v>0</v>
      </c>
      <c r="AP449" s="19" t="n">
        <v>0</v>
      </c>
      <c r="AQ449" s="19" t="n">
        <v>0</v>
      </c>
      <c r="AR449" s="19" t="n">
        <v>0</v>
      </c>
      <c r="AS449" s="19" t="n">
        <v>0</v>
      </c>
      <c r="AT449" s="10">
        <f>SUM(O449:AS449)</f>
        <v/>
      </c>
      <c r="AU449" s="20">
        <f>COUNTIF(O449:AS449, "&gt;0")</f>
        <v/>
      </c>
      <c r="AV449" s="12">
        <f>IF(AU449&gt;=5, 4, IF(AU449&gt;0, INT(AU449/6), 0))</f>
        <v/>
      </c>
      <c r="AW449" s="20" t="n">
        <v>0</v>
      </c>
      <c r="AX449" s="20" t="n">
        <v>0</v>
      </c>
      <c r="AY449" s="13">
        <f>MIN(31, AU449+AV449+AW449+AX449)</f>
        <v/>
      </c>
      <c r="AZ449" s="14">
        <f>31-AY449</f>
        <v/>
      </c>
      <c r="BA449" s="21">
        <f>IF(AX449&gt;0, "01-İstirahat", IF(AZ449&gt;0, "12-Birden Fazla", ""))</f>
        <v/>
      </c>
      <c r="BB449" s="10" t="n">
        <v>0</v>
      </c>
      <c r="BC449" s="19" t="n">
        <v>0</v>
      </c>
      <c r="BD449" s="9" t="n">
        <v>0</v>
      </c>
      <c r="BE449" s="22">
        <f>(L449/30)*AU449</f>
        <v/>
      </c>
      <c r="BF449" s="15">
        <f>(L449/225)*((BB449*1.5)-(BC449*1.0))</f>
        <v/>
      </c>
      <c r="BG449" s="16">
        <f>(L449/225)*1.5*BD449</f>
        <v/>
      </c>
      <c r="BH449" s="15">
        <f>BF449+BG449</f>
        <v/>
      </c>
      <c r="BI449" s="17">
        <f>BE449+BH449</f>
        <v/>
      </c>
      <c r="BJ449" s="22">
        <f>IFERROR(VLOOKUP(B449, Resmi_Bordro_SGK!B:M, 11, FALSE), 0)</f>
        <v/>
      </c>
      <c r="BK449" s="18">
        <f>IFERROR(VLOOKUP(B449, Icra_Takip!A:E, 4, FALSE), 0)</f>
        <v/>
      </c>
      <c r="BL449" s="17">
        <f>IF(BI449&gt;BJ449, BI449-BJ449-BK449, 0)</f>
        <v/>
      </c>
      <c r="BM449" s="17">
        <f>BI449-BK449</f>
        <v/>
      </c>
    </row>
    <row r="450" ht="19" customHeight="1">
      <c r="A450" s="4" t="n">
        <v>447</v>
      </c>
      <c r="B450" s="5" t="inlineStr">
        <is>
          <t>14608798856</t>
        </is>
      </c>
      <c r="C450" s="6" t="inlineStr">
        <is>
          <t>HANDE BAYHAN</t>
        </is>
      </c>
      <c r="D450" s="4" t="inlineStr"/>
      <c r="E450" s="4" t="inlineStr"/>
      <c r="F450" s="4" t="inlineStr">
        <is>
          <t>06.08.2026</t>
        </is>
      </c>
      <c r="G450" s="4" t="inlineStr"/>
      <c r="H450" s="4" t="inlineStr">
        <is>
          <t>NORMAL</t>
        </is>
      </c>
      <c r="I450" s="4" t="inlineStr">
        <is>
          <t>MEVSİMLİK</t>
        </is>
      </c>
      <c r="J450" s="6" t="inlineStr"/>
      <c r="K450" s="6" t="inlineStr"/>
      <c r="L450" s="7" t="n">
        <v>28075.5</v>
      </c>
      <c r="M450" s="4" t="inlineStr">
        <is>
          <t>FİDE KONSERVE</t>
        </is>
      </c>
      <c r="N450" s="4" t="inlineStr">
        <is>
          <t>ALIR</t>
        </is>
      </c>
      <c r="O450" s="8" t="n">
        <v>0</v>
      </c>
      <c r="P450" s="8" t="n">
        <v>0</v>
      </c>
      <c r="Q450" s="8" t="n">
        <v>0</v>
      </c>
      <c r="R450" s="9" t="n">
        <v>0</v>
      </c>
      <c r="S450" s="8" t="n">
        <v>0</v>
      </c>
      <c r="T450" s="8" t="n">
        <v>0</v>
      </c>
      <c r="U450" s="8" t="n">
        <v>0</v>
      </c>
      <c r="V450" s="8" t="n">
        <v>0</v>
      </c>
      <c r="W450" s="8" t="n">
        <v>0</v>
      </c>
      <c r="X450" s="8" t="n">
        <v>0</v>
      </c>
      <c r="Y450" s="9" t="n">
        <v>0</v>
      </c>
      <c r="Z450" s="8" t="n">
        <v>0</v>
      </c>
      <c r="AA450" s="8" t="n">
        <v>0</v>
      </c>
      <c r="AB450" s="8" t="n">
        <v>0</v>
      </c>
      <c r="AC450" s="8" t="n">
        <v>0</v>
      </c>
      <c r="AD450" s="8" t="n">
        <v>0</v>
      </c>
      <c r="AE450" s="8" t="n">
        <v>0</v>
      </c>
      <c r="AF450" s="9" t="n">
        <v>0</v>
      </c>
      <c r="AG450" s="8" t="n">
        <v>0</v>
      </c>
      <c r="AH450" s="8" t="n">
        <v>0</v>
      </c>
      <c r="AI450" s="8" t="n">
        <v>0</v>
      </c>
      <c r="AJ450" s="8" t="n">
        <v>0</v>
      </c>
      <c r="AK450" s="8" t="n">
        <v>0</v>
      </c>
      <c r="AL450" s="8" t="n">
        <v>0</v>
      </c>
      <c r="AM450" s="9" t="n">
        <v>0</v>
      </c>
      <c r="AN450" s="8" t="n">
        <v>0</v>
      </c>
      <c r="AO450" s="8" t="n">
        <v>0</v>
      </c>
      <c r="AP450" s="8" t="n">
        <v>0</v>
      </c>
      <c r="AQ450" s="8" t="n">
        <v>0</v>
      </c>
      <c r="AR450" s="8" t="n">
        <v>0</v>
      </c>
      <c r="AS450" s="8" t="n">
        <v>0</v>
      </c>
      <c r="AT450" s="10">
        <f>SUM(O450:AS450)</f>
        <v/>
      </c>
      <c r="AU450" s="11">
        <f>COUNTIF(O450:AS450, "&gt;0")</f>
        <v/>
      </c>
      <c r="AV450" s="12">
        <f>IF(AU450&gt;=5, 4, IF(AU450&gt;0, INT(AU450/6), 0))</f>
        <v/>
      </c>
      <c r="AW450" s="11" t="n">
        <v>0</v>
      </c>
      <c r="AX450" s="11" t="n">
        <v>0</v>
      </c>
      <c r="AY450" s="13">
        <f>MIN(31, AU450+AV450+AW450+AX450)</f>
        <v/>
      </c>
      <c r="AZ450" s="14">
        <f>31-AY450</f>
        <v/>
      </c>
      <c r="BA450" s="5">
        <f>IF(AX450&gt;0, "01-İstirahat", IF(AZ450&gt;0, "12-Birden Fazla", ""))</f>
        <v/>
      </c>
      <c r="BB450" s="10" t="n">
        <v>0</v>
      </c>
      <c r="BC450" s="8" t="n">
        <v>0</v>
      </c>
      <c r="BD450" s="9" t="n">
        <v>0</v>
      </c>
      <c r="BE450" s="7">
        <f>(L450/30)*AU450</f>
        <v/>
      </c>
      <c r="BF450" s="15">
        <f>(L450/225)*((BB450*1.5)-(BC450*1.0))</f>
        <v/>
      </c>
      <c r="BG450" s="16">
        <f>(L450/225)*1.5*BD450</f>
        <v/>
      </c>
      <c r="BH450" s="15">
        <f>BF450+BG450</f>
        <v/>
      </c>
      <c r="BI450" s="17">
        <f>BE450+BH450</f>
        <v/>
      </c>
      <c r="BJ450" s="7">
        <f>IFERROR(VLOOKUP(B450, Resmi_Bordro_SGK!B:M, 11, FALSE), 0)</f>
        <v/>
      </c>
      <c r="BK450" s="18">
        <f>IFERROR(VLOOKUP(B450, Icra_Takip!A:E, 4, FALSE), 0)</f>
        <v/>
      </c>
      <c r="BL450" s="17">
        <f>IF(BI450&gt;BJ450, BI450-BJ450-BK450, 0)</f>
        <v/>
      </c>
      <c r="BM450" s="17">
        <f>BI450-BK450</f>
        <v/>
      </c>
    </row>
    <row r="451" ht="19" customHeight="1">
      <c r="A451" s="4" t="n">
        <v>448</v>
      </c>
      <c r="B451" s="5" t="inlineStr">
        <is>
          <t>35500102534</t>
        </is>
      </c>
      <c r="C451" s="6" t="inlineStr">
        <is>
          <t>HATİCE BAYRAM</t>
        </is>
      </c>
      <c r="D451" s="4" t="inlineStr"/>
      <c r="E451" s="4" t="inlineStr"/>
      <c r="F451" s="4" t="inlineStr">
        <is>
          <t>01.07.2026</t>
        </is>
      </c>
      <c r="G451" s="4" t="inlineStr"/>
      <c r="H451" s="4" t="inlineStr">
        <is>
          <t>NORMAL</t>
        </is>
      </c>
      <c r="I451" s="4" t="inlineStr">
        <is>
          <t>MEVSİMLİK</t>
        </is>
      </c>
      <c r="J451" s="6" t="inlineStr"/>
      <c r="K451" s="6" t="inlineStr"/>
      <c r="L451" s="7" t="n">
        <v>28075.5</v>
      </c>
      <c r="M451" s="4" t="inlineStr">
        <is>
          <t>FİDE KONSERVE</t>
        </is>
      </c>
      <c r="N451" s="4" t="inlineStr">
        <is>
          <t>ALIR</t>
        </is>
      </c>
      <c r="O451" s="19" t="n">
        <v>0</v>
      </c>
      <c r="P451" s="19" t="n">
        <v>0</v>
      </c>
      <c r="Q451" s="19" t="n">
        <v>0</v>
      </c>
      <c r="R451" s="9" t="n">
        <v>0</v>
      </c>
      <c r="S451" s="19" t="n">
        <v>0</v>
      </c>
      <c r="T451" s="19" t="n">
        <v>0</v>
      </c>
      <c r="U451" s="19" t="n">
        <v>0</v>
      </c>
      <c r="V451" s="19" t="n">
        <v>0</v>
      </c>
      <c r="W451" s="19" t="n">
        <v>0</v>
      </c>
      <c r="X451" s="19" t="n">
        <v>0</v>
      </c>
      <c r="Y451" s="9" t="n">
        <v>0</v>
      </c>
      <c r="Z451" s="19" t="n">
        <v>0</v>
      </c>
      <c r="AA451" s="19" t="n">
        <v>0</v>
      </c>
      <c r="AB451" s="19" t="n">
        <v>0</v>
      </c>
      <c r="AC451" s="19" t="n">
        <v>0</v>
      </c>
      <c r="AD451" s="19" t="n">
        <v>0</v>
      </c>
      <c r="AE451" s="19" t="n">
        <v>0</v>
      </c>
      <c r="AF451" s="9" t="n">
        <v>0</v>
      </c>
      <c r="AG451" s="19" t="n">
        <v>0</v>
      </c>
      <c r="AH451" s="19" t="n">
        <v>0</v>
      </c>
      <c r="AI451" s="19" t="n">
        <v>0</v>
      </c>
      <c r="AJ451" s="19" t="n">
        <v>0</v>
      </c>
      <c r="AK451" s="19" t="n">
        <v>0</v>
      </c>
      <c r="AL451" s="19" t="n">
        <v>0</v>
      </c>
      <c r="AM451" s="9" t="n">
        <v>0</v>
      </c>
      <c r="AN451" s="19" t="n">
        <v>0</v>
      </c>
      <c r="AO451" s="19" t="n">
        <v>0</v>
      </c>
      <c r="AP451" s="19" t="n">
        <v>0</v>
      </c>
      <c r="AQ451" s="19" t="n">
        <v>0</v>
      </c>
      <c r="AR451" s="19" t="n">
        <v>0</v>
      </c>
      <c r="AS451" s="19" t="n">
        <v>0</v>
      </c>
      <c r="AT451" s="10">
        <f>SUM(O451:AS451)</f>
        <v/>
      </c>
      <c r="AU451" s="20">
        <f>COUNTIF(O451:AS451, "&gt;0")</f>
        <v/>
      </c>
      <c r="AV451" s="12">
        <f>IF(AU451&gt;=5, 4, IF(AU451&gt;0, INT(AU451/6), 0))</f>
        <v/>
      </c>
      <c r="AW451" s="20" t="n">
        <v>0</v>
      </c>
      <c r="AX451" s="20" t="n">
        <v>0</v>
      </c>
      <c r="AY451" s="13">
        <f>MIN(31, AU451+AV451+AW451+AX451)</f>
        <v/>
      </c>
      <c r="AZ451" s="14">
        <f>31-AY451</f>
        <v/>
      </c>
      <c r="BA451" s="21">
        <f>IF(AX451&gt;0, "01-İstirahat", IF(AZ451&gt;0, "12-Birden Fazla", ""))</f>
        <v/>
      </c>
      <c r="BB451" s="10" t="n">
        <v>0</v>
      </c>
      <c r="BC451" s="19" t="n">
        <v>0</v>
      </c>
      <c r="BD451" s="9" t="n">
        <v>0</v>
      </c>
      <c r="BE451" s="22">
        <f>(L451/30)*AU451</f>
        <v/>
      </c>
      <c r="BF451" s="15">
        <f>(L451/225)*((BB451*1.5)-(BC451*1.0))</f>
        <v/>
      </c>
      <c r="BG451" s="16">
        <f>(L451/225)*1.5*BD451</f>
        <v/>
      </c>
      <c r="BH451" s="15">
        <f>BF451+BG451</f>
        <v/>
      </c>
      <c r="BI451" s="17">
        <f>BE451+BH451</f>
        <v/>
      </c>
      <c r="BJ451" s="22">
        <f>IFERROR(VLOOKUP(B451, Resmi_Bordro_SGK!B:M, 11, FALSE), 0)</f>
        <v/>
      </c>
      <c r="BK451" s="18">
        <f>IFERROR(VLOOKUP(B451, Icra_Takip!A:E, 4, FALSE), 0)</f>
        <v/>
      </c>
      <c r="BL451" s="17">
        <f>IF(BI451&gt;BJ451, BI451-BJ451-BK451, 0)</f>
        <v/>
      </c>
      <c r="BM451" s="17">
        <f>BI451-BK451</f>
        <v/>
      </c>
    </row>
    <row r="452" ht="19" customHeight="1">
      <c r="A452" s="4" t="n">
        <v>449</v>
      </c>
      <c r="B452" s="5" t="inlineStr">
        <is>
          <t>10027960836</t>
        </is>
      </c>
      <c r="C452" s="6" t="inlineStr">
        <is>
          <t>HÜSEYİN BEYGİRCİ</t>
        </is>
      </c>
      <c r="D452" s="4" t="inlineStr"/>
      <c r="E452" s="4" t="inlineStr"/>
      <c r="F452" s="4" t="inlineStr">
        <is>
          <t>27.07.2026</t>
        </is>
      </c>
      <c r="G452" s="4" t="inlineStr"/>
      <c r="H452" s="4" t="inlineStr">
        <is>
          <t>NORMAL</t>
        </is>
      </c>
      <c r="I452" s="4" t="inlineStr">
        <is>
          <t>MEVSİMLİK</t>
        </is>
      </c>
      <c r="J452" s="6" t="inlineStr"/>
      <c r="K452" s="6" t="inlineStr"/>
      <c r="L452" s="7" t="n">
        <v>28075.5</v>
      </c>
      <c r="M452" s="4" t="inlineStr">
        <is>
          <t>FİDE KONSERVE</t>
        </is>
      </c>
      <c r="N452" s="4" t="inlineStr">
        <is>
          <t>ALIR</t>
        </is>
      </c>
      <c r="O452" s="8" t="n">
        <v>0</v>
      </c>
      <c r="P452" s="8" t="n">
        <v>0</v>
      </c>
      <c r="Q452" s="8" t="n">
        <v>0</v>
      </c>
      <c r="R452" s="9" t="n">
        <v>0</v>
      </c>
      <c r="S452" s="8" t="n">
        <v>0</v>
      </c>
      <c r="T452" s="8" t="n">
        <v>0</v>
      </c>
      <c r="U452" s="8" t="n">
        <v>0</v>
      </c>
      <c r="V452" s="8" t="n">
        <v>0</v>
      </c>
      <c r="W452" s="8" t="n">
        <v>0</v>
      </c>
      <c r="X452" s="8" t="n">
        <v>0</v>
      </c>
      <c r="Y452" s="9" t="n">
        <v>0</v>
      </c>
      <c r="Z452" s="8" t="n">
        <v>0</v>
      </c>
      <c r="AA452" s="8" t="n">
        <v>0</v>
      </c>
      <c r="AB452" s="8" t="n">
        <v>0</v>
      </c>
      <c r="AC452" s="8" t="n">
        <v>0</v>
      </c>
      <c r="AD452" s="8" t="n">
        <v>0</v>
      </c>
      <c r="AE452" s="8" t="n">
        <v>0</v>
      </c>
      <c r="AF452" s="9" t="n">
        <v>0</v>
      </c>
      <c r="AG452" s="8" t="n">
        <v>0</v>
      </c>
      <c r="AH452" s="8" t="n">
        <v>0</v>
      </c>
      <c r="AI452" s="8" t="n">
        <v>0</v>
      </c>
      <c r="AJ452" s="8" t="n">
        <v>0</v>
      </c>
      <c r="AK452" s="8" t="n">
        <v>0</v>
      </c>
      <c r="AL452" s="8" t="n">
        <v>0</v>
      </c>
      <c r="AM452" s="9" t="n">
        <v>0</v>
      </c>
      <c r="AN452" s="8" t="n">
        <v>0</v>
      </c>
      <c r="AO452" s="8" t="n">
        <v>0</v>
      </c>
      <c r="AP452" s="8" t="n">
        <v>0</v>
      </c>
      <c r="AQ452" s="8" t="n">
        <v>0</v>
      </c>
      <c r="AR452" s="8" t="n">
        <v>0</v>
      </c>
      <c r="AS452" s="8" t="n">
        <v>0</v>
      </c>
      <c r="AT452" s="10">
        <f>SUM(O452:AS452)</f>
        <v/>
      </c>
      <c r="AU452" s="11">
        <f>COUNTIF(O452:AS452, "&gt;0")</f>
        <v/>
      </c>
      <c r="AV452" s="12">
        <f>IF(AU452&gt;=5, 4, IF(AU452&gt;0, INT(AU452/6), 0))</f>
        <v/>
      </c>
      <c r="AW452" s="11" t="n">
        <v>0</v>
      </c>
      <c r="AX452" s="11" t="n">
        <v>0</v>
      </c>
      <c r="AY452" s="13">
        <f>MIN(31, AU452+AV452+AW452+AX452)</f>
        <v/>
      </c>
      <c r="AZ452" s="14">
        <f>31-AY452</f>
        <v/>
      </c>
      <c r="BA452" s="5">
        <f>IF(AX452&gt;0, "01-İstirahat", IF(AZ452&gt;0, "12-Birden Fazla", ""))</f>
        <v/>
      </c>
      <c r="BB452" s="10" t="n">
        <v>0</v>
      </c>
      <c r="BC452" s="8" t="n">
        <v>0</v>
      </c>
      <c r="BD452" s="9" t="n">
        <v>0</v>
      </c>
      <c r="BE452" s="7">
        <f>(L452/30)*AU452</f>
        <v/>
      </c>
      <c r="BF452" s="15">
        <f>(L452/225)*((BB452*1.5)-(BC452*1.0))</f>
        <v/>
      </c>
      <c r="BG452" s="16">
        <f>(L452/225)*1.5*BD452</f>
        <v/>
      </c>
      <c r="BH452" s="15">
        <f>BF452+BG452</f>
        <v/>
      </c>
      <c r="BI452" s="17">
        <f>BE452+BH452</f>
        <v/>
      </c>
      <c r="BJ452" s="7">
        <f>IFERROR(VLOOKUP(B452, Resmi_Bordro_SGK!B:M, 11, FALSE), 0)</f>
        <v/>
      </c>
      <c r="BK452" s="18">
        <f>IFERROR(VLOOKUP(B452, Icra_Takip!A:E, 4, FALSE), 0)</f>
        <v/>
      </c>
      <c r="BL452" s="17">
        <f>IF(BI452&gt;BJ452, BI452-BJ452-BK452, 0)</f>
        <v/>
      </c>
      <c r="BM452" s="17">
        <f>BI452-BK452</f>
        <v/>
      </c>
    </row>
    <row r="453" ht="19" customHeight="1">
      <c r="A453" s="4" t="n">
        <v>450</v>
      </c>
      <c r="B453" s="5" t="inlineStr">
        <is>
          <t>48823585328</t>
        </is>
      </c>
      <c r="C453" s="6" t="inlineStr">
        <is>
          <t>İİLKNUR YILDIRIM</t>
        </is>
      </c>
      <c r="D453" s="4" t="inlineStr"/>
      <c r="E453" s="4" t="inlineStr"/>
      <c r="F453" s="4" t="inlineStr">
        <is>
          <t>16.07.2026</t>
        </is>
      </c>
      <c r="G453" s="4" t="inlineStr"/>
      <c r="H453" s="4" t="inlineStr">
        <is>
          <t>NORMAL</t>
        </is>
      </c>
      <c r="I453" s="4" t="inlineStr">
        <is>
          <t>MEVSİMLİK</t>
        </is>
      </c>
      <c r="J453" s="6" t="inlineStr"/>
      <c r="K453" s="6" t="inlineStr"/>
      <c r="L453" s="7" t="n">
        <v>28075.5</v>
      </c>
      <c r="M453" s="4" t="inlineStr">
        <is>
          <t>FİDE KONSERVE</t>
        </is>
      </c>
      <c r="N453" s="4" t="inlineStr">
        <is>
          <t>ALIR</t>
        </is>
      </c>
      <c r="O453" s="19" t="n">
        <v>0</v>
      </c>
      <c r="P453" s="19" t="n">
        <v>0</v>
      </c>
      <c r="Q453" s="19" t="n">
        <v>0</v>
      </c>
      <c r="R453" s="9" t="n">
        <v>0</v>
      </c>
      <c r="S453" s="19" t="n">
        <v>0</v>
      </c>
      <c r="T453" s="19" t="n">
        <v>0</v>
      </c>
      <c r="U453" s="19" t="n">
        <v>0</v>
      </c>
      <c r="V453" s="19" t="n">
        <v>0</v>
      </c>
      <c r="W453" s="19" t="n">
        <v>0</v>
      </c>
      <c r="X453" s="19" t="n">
        <v>0</v>
      </c>
      <c r="Y453" s="9" t="n">
        <v>0</v>
      </c>
      <c r="Z453" s="19" t="n">
        <v>0</v>
      </c>
      <c r="AA453" s="19" t="n">
        <v>0</v>
      </c>
      <c r="AB453" s="19" t="n">
        <v>0</v>
      </c>
      <c r="AC453" s="19" t="n">
        <v>0</v>
      </c>
      <c r="AD453" s="19" t="n">
        <v>0</v>
      </c>
      <c r="AE453" s="19" t="n">
        <v>0</v>
      </c>
      <c r="AF453" s="9" t="n">
        <v>0</v>
      </c>
      <c r="AG453" s="19" t="n">
        <v>0</v>
      </c>
      <c r="AH453" s="19" t="n">
        <v>0</v>
      </c>
      <c r="AI453" s="19" t="n">
        <v>0</v>
      </c>
      <c r="AJ453" s="19" t="n">
        <v>0</v>
      </c>
      <c r="AK453" s="19" t="n">
        <v>0</v>
      </c>
      <c r="AL453" s="19" t="n">
        <v>0</v>
      </c>
      <c r="AM453" s="9" t="n">
        <v>0</v>
      </c>
      <c r="AN453" s="19" t="n">
        <v>0</v>
      </c>
      <c r="AO453" s="19" t="n">
        <v>0</v>
      </c>
      <c r="AP453" s="19" t="n">
        <v>0</v>
      </c>
      <c r="AQ453" s="19" t="n">
        <v>0</v>
      </c>
      <c r="AR453" s="19" t="n">
        <v>0</v>
      </c>
      <c r="AS453" s="19" t="n">
        <v>0</v>
      </c>
      <c r="AT453" s="10">
        <f>SUM(O453:AS453)</f>
        <v/>
      </c>
      <c r="AU453" s="20">
        <f>COUNTIF(O453:AS453, "&gt;0")</f>
        <v/>
      </c>
      <c r="AV453" s="12">
        <f>IF(AU453&gt;=5, 4, IF(AU453&gt;0, INT(AU453/6), 0))</f>
        <v/>
      </c>
      <c r="AW453" s="20" t="n">
        <v>0</v>
      </c>
      <c r="AX453" s="20" t="n">
        <v>0</v>
      </c>
      <c r="AY453" s="13">
        <f>MIN(31, AU453+AV453+AW453+AX453)</f>
        <v/>
      </c>
      <c r="AZ453" s="14">
        <f>31-AY453</f>
        <v/>
      </c>
      <c r="BA453" s="21">
        <f>IF(AX453&gt;0, "01-İstirahat", IF(AZ453&gt;0, "12-Birden Fazla", ""))</f>
        <v/>
      </c>
      <c r="BB453" s="10" t="n">
        <v>0</v>
      </c>
      <c r="BC453" s="19" t="n">
        <v>0</v>
      </c>
      <c r="BD453" s="9" t="n">
        <v>0</v>
      </c>
      <c r="BE453" s="22">
        <f>(L453/30)*AU453</f>
        <v/>
      </c>
      <c r="BF453" s="15">
        <f>(L453/225)*((BB453*1.5)-(BC453*1.0))</f>
        <v/>
      </c>
      <c r="BG453" s="16">
        <f>(L453/225)*1.5*BD453</f>
        <v/>
      </c>
      <c r="BH453" s="15">
        <f>BF453+BG453</f>
        <v/>
      </c>
      <c r="BI453" s="17">
        <f>BE453+BH453</f>
        <v/>
      </c>
      <c r="BJ453" s="22">
        <f>IFERROR(VLOOKUP(B453, Resmi_Bordro_SGK!B:M, 11, FALSE), 0)</f>
        <v/>
      </c>
      <c r="BK453" s="18">
        <f>IFERROR(VLOOKUP(B453, Icra_Takip!A:E, 4, FALSE), 0)</f>
        <v/>
      </c>
      <c r="BL453" s="17">
        <f>IF(BI453&gt;BJ453, BI453-BJ453-BK453, 0)</f>
        <v/>
      </c>
      <c r="BM453" s="17">
        <f>BI453-BK453</f>
        <v/>
      </c>
    </row>
    <row r="454" ht="19" customHeight="1">
      <c r="A454" s="4" t="n">
        <v>451</v>
      </c>
      <c r="B454" s="5" t="inlineStr">
        <is>
          <t>56803048138</t>
        </is>
      </c>
      <c r="C454" s="6" t="inlineStr">
        <is>
          <t>İİLKNUR SİVLİM</t>
        </is>
      </c>
      <c r="D454" s="4" t="inlineStr"/>
      <c r="E454" s="4" t="inlineStr"/>
      <c r="F454" s="4" t="inlineStr">
        <is>
          <t>06.07.2026</t>
        </is>
      </c>
      <c r="G454" s="4" t="inlineStr"/>
      <c r="H454" s="4" t="inlineStr">
        <is>
          <t>NORMAL</t>
        </is>
      </c>
      <c r="I454" s="4" t="inlineStr">
        <is>
          <t>MEVSİMLİK</t>
        </is>
      </c>
      <c r="J454" s="6" t="inlineStr"/>
      <c r="K454" s="6" t="inlineStr"/>
      <c r="L454" s="7" t="n">
        <v>28075.5</v>
      </c>
      <c r="M454" s="4" t="inlineStr">
        <is>
          <t>FİDE KONSERVE</t>
        </is>
      </c>
      <c r="N454" s="4" t="inlineStr">
        <is>
          <t>ALIR</t>
        </is>
      </c>
      <c r="O454" s="8" t="n">
        <v>0</v>
      </c>
      <c r="P454" s="8" t="n">
        <v>0</v>
      </c>
      <c r="Q454" s="8" t="n">
        <v>0</v>
      </c>
      <c r="R454" s="9" t="n">
        <v>0</v>
      </c>
      <c r="S454" s="8" t="n">
        <v>0</v>
      </c>
      <c r="T454" s="8" t="n">
        <v>0</v>
      </c>
      <c r="U454" s="8" t="n">
        <v>0</v>
      </c>
      <c r="V454" s="8" t="n">
        <v>0</v>
      </c>
      <c r="W454" s="8" t="n">
        <v>0</v>
      </c>
      <c r="X454" s="8" t="n">
        <v>0</v>
      </c>
      <c r="Y454" s="9" t="n">
        <v>0</v>
      </c>
      <c r="Z454" s="8" t="n">
        <v>0</v>
      </c>
      <c r="AA454" s="8" t="n">
        <v>0</v>
      </c>
      <c r="AB454" s="8" t="n">
        <v>0</v>
      </c>
      <c r="AC454" s="8" t="n">
        <v>0</v>
      </c>
      <c r="AD454" s="8" t="n">
        <v>0</v>
      </c>
      <c r="AE454" s="8" t="n">
        <v>0</v>
      </c>
      <c r="AF454" s="9" t="n">
        <v>0</v>
      </c>
      <c r="AG454" s="8" t="n">
        <v>0</v>
      </c>
      <c r="AH454" s="8" t="n">
        <v>0</v>
      </c>
      <c r="AI454" s="8" t="n">
        <v>0</v>
      </c>
      <c r="AJ454" s="8" t="n">
        <v>0</v>
      </c>
      <c r="AK454" s="8" t="n">
        <v>0</v>
      </c>
      <c r="AL454" s="8" t="n">
        <v>0</v>
      </c>
      <c r="AM454" s="9" t="n">
        <v>0</v>
      </c>
      <c r="AN454" s="8" t="n">
        <v>0</v>
      </c>
      <c r="AO454" s="8" t="n">
        <v>0</v>
      </c>
      <c r="AP454" s="8" t="n">
        <v>0</v>
      </c>
      <c r="AQ454" s="8" t="n">
        <v>0</v>
      </c>
      <c r="AR454" s="8" t="n">
        <v>0</v>
      </c>
      <c r="AS454" s="8" t="n">
        <v>0</v>
      </c>
      <c r="AT454" s="10">
        <f>SUM(O454:AS454)</f>
        <v/>
      </c>
      <c r="AU454" s="11">
        <f>COUNTIF(O454:AS454, "&gt;0")</f>
        <v/>
      </c>
      <c r="AV454" s="12">
        <f>IF(AU454&gt;=5, 4, IF(AU454&gt;0, INT(AU454/6), 0))</f>
        <v/>
      </c>
      <c r="AW454" s="11" t="n">
        <v>0</v>
      </c>
      <c r="AX454" s="11" t="n">
        <v>0</v>
      </c>
      <c r="AY454" s="13">
        <f>MIN(31, AU454+AV454+AW454+AX454)</f>
        <v/>
      </c>
      <c r="AZ454" s="14">
        <f>31-AY454</f>
        <v/>
      </c>
      <c r="BA454" s="5">
        <f>IF(AX454&gt;0, "01-İstirahat", IF(AZ454&gt;0, "12-Birden Fazla", ""))</f>
        <v/>
      </c>
      <c r="BB454" s="10" t="n">
        <v>0</v>
      </c>
      <c r="BC454" s="8" t="n">
        <v>0</v>
      </c>
      <c r="BD454" s="9" t="n">
        <v>0</v>
      </c>
      <c r="BE454" s="7">
        <f>(L454/30)*AU454</f>
        <v/>
      </c>
      <c r="BF454" s="15">
        <f>(L454/225)*((BB454*1.5)-(BC454*1.0))</f>
        <v/>
      </c>
      <c r="BG454" s="16">
        <f>(L454/225)*1.5*BD454</f>
        <v/>
      </c>
      <c r="BH454" s="15">
        <f>BF454+BG454</f>
        <v/>
      </c>
      <c r="BI454" s="17">
        <f>BE454+BH454</f>
        <v/>
      </c>
      <c r="BJ454" s="7">
        <f>IFERROR(VLOOKUP(B454, Resmi_Bordro_SGK!B:M, 11, FALSE), 0)</f>
        <v/>
      </c>
      <c r="BK454" s="18">
        <f>IFERROR(VLOOKUP(B454, Icra_Takip!A:E, 4, FALSE), 0)</f>
        <v/>
      </c>
      <c r="BL454" s="17">
        <f>IF(BI454&gt;BJ454, BI454-BJ454-BK454, 0)</f>
        <v/>
      </c>
      <c r="BM454" s="17">
        <f>BI454-BK454</f>
        <v/>
      </c>
    </row>
    <row r="455" ht="19" customHeight="1">
      <c r="A455" s="4" t="n">
        <v>452</v>
      </c>
      <c r="B455" s="5" t="inlineStr">
        <is>
          <t>10632149770</t>
        </is>
      </c>
      <c r="C455" s="6" t="inlineStr">
        <is>
          <t>İİPEK ALEMİN</t>
        </is>
      </c>
      <c r="D455" s="4" t="inlineStr"/>
      <c r="E455" s="4" t="inlineStr"/>
      <c r="F455" s="4" t="inlineStr">
        <is>
          <t>27.07.2026</t>
        </is>
      </c>
      <c r="G455" s="4" t="inlineStr"/>
      <c r="H455" s="4" t="inlineStr">
        <is>
          <t>NORMAL</t>
        </is>
      </c>
      <c r="I455" s="4" t="inlineStr">
        <is>
          <t>MEVSİMLİK</t>
        </is>
      </c>
      <c r="J455" s="6" t="inlineStr"/>
      <c r="K455" s="6" t="inlineStr"/>
      <c r="L455" s="7" t="n">
        <v>28075.5</v>
      </c>
      <c r="M455" s="4" t="inlineStr">
        <is>
          <t>FİDE KONSERVE</t>
        </is>
      </c>
      <c r="N455" s="4" t="inlineStr">
        <is>
          <t>ALIR</t>
        </is>
      </c>
      <c r="O455" s="19" t="n">
        <v>0</v>
      </c>
      <c r="P455" s="19" t="n">
        <v>0</v>
      </c>
      <c r="Q455" s="19" t="n">
        <v>0</v>
      </c>
      <c r="R455" s="9" t="n">
        <v>0</v>
      </c>
      <c r="S455" s="19" t="n">
        <v>0</v>
      </c>
      <c r="T455" s="19" t="n">
        <v>0</v>
      </c>
      <c r="U455" s="19" t="n">
        <v>0</v>
      </c>
      <c r="V455" s="19" t="n">
        <v>0</v>
      </c>
      <c r="W455" s="19" t="n">
        <v>0</v>
      </c>
      <c r="X455" s="19" t="n">
        <v>0</v>
      </c>
      <c r="Y455" s="9" t="n">
        <v>0</v>
      </c>
      <c r="Z455" s="19" t="n">
        <v>0</v>
      </c>
      <c r="AA455" s="19" t="n">
        <v>0</v>
      </c>
      <c r="AB455" s="19" t="n">
        <v>0</v>
      </c>
      <c r="AC455" s="19" t="n">
        <v>0</v>
      </c>
      <c r="AD455" s="19" t="n">
        <v>0</v>
      </c>
      <c r="AE455" s="19" t="n">
        <v>0</v>
      </c>
      <c r="AF455" s="9" t="n">
        <v>0</v>
      </c>
      <c r="AG455" s="19" t="n">
        <v>0</v>
      </c>
      <c r="AH455" s="19" t="n">
        <v>0</v>
      </c>
      <c r="AI455" s="19" t="n">
        <v>0</v>
      </c>
      <c r="AJ455" s="19" t="n">
        <v>0</v>
      </c>
      <c r="AK455" s="19" t="n">
        <v>0</v>
      </c>
      <c r="AL455" s="19" t="n">
        <v>0</v>
      </c>
      <c r="AM455" s="9" t="n">
        <v>0</v>
      </c>
      <c r="AN455" s="19" t="n">
        <v>0</v>
      </c>
      <c r="AO455" s="19" t="n">
        <v>0</v>
      </c>
      <c r="AP455" s="19" t="n">
        <v>0</v>
      </c>
      <c r="AQ455" s="19" t="n">
        <v>0</v>
      </c>
      <c r="AR455" s="19" t="n">
        <v>0</v>
      </c>
      <c r="AS455" s="19" t="n">
        <v>0</v>
      </c>
      <c r="AT455" s="10">
        <f>SUM(O455:AS455)</f>
        <v/>
      </c>
      <c r="AU455" s="20">
        <f>COUNTIF(O455:AS455, "&gt;0")</f>
        <v/>
      </c>
      <c r="AV455" s="12">
        <f>IF(AU455&gt;=5, 4, IF(AU455&gt;0, INT(AU455/6), 0))</f>
        <v/>
      </c>
      <c r="AW455" s="20" t="n">
        <v>0</v>
      </c>
      <c r="AX455" s="20" t="n">
        <v>0</v>
      </c>
      <c r="AY455" s="13">
        <f>MIN(31, AU455+AV455+AW455+AX455)</f>
        <v/>
      </c>
      <c r="AZ455" s="14">
        <f>31-AY455</f>
        <v/>
      </c>
      <c r="BA455" s="21">
        <f>IF(AX455&gt;0, "01-İstirahat", IF(AZ455&gt;0, "12-Birden Fazla", ""))</f>
        <v/>
      </c>
      <c r="BB455" s="10" t="n">
        <v>0</v>
      </c>
      <c r="BC455" s="19" t="n">
        <v>0</v>
      </c>
      <c r="BD455" s="9" t="n">
        <v>0</v>
      </c>
      <c r="BE455" s="22">
        <f>(L455/30)*AU455</f>
        <v/>
      </c>
      <c r="BF455" s="15">
        <f>(L455/225)*((BB455*1.5)-(BC455*1.0))</f>
        <v/>
      </c>
      <c r="BG455" s="16">
        <f>(L455/225)*1.5*BD455</f>
        <v/>
      </c>
      <c r="BH455" s="15">
        <f>BF455+BG455</f>
        <v/>
      </c>
      <c r="BI455" s="17">
        <f>BE455+BH455</f>
        <v/>
      </c>
      <c r="BJ455" s="22">
        <f>IFERROR(VLOOKUP(B455, Resmi_Bordro_SGK!B:M, 11, FALSE), 0)</f>
        <v/>
      </c>
      <c r="BK455" s="18">
        <f>IFERROR(VLOOKUP(B455, Icra_Takip!A:E, 4, FALSE), 0)</f>
        <v/>
      </c>
      <c r="BL455" s="17">
        <f>IF(BI455&gt;BJ455, BI455-BJ455-BK455, 0)</f>
        <v/>
      </c>
      <c r="BM455" s="17">
        <f>BI455-BK455</f>
        <v/>
      </c>
    </row>
    <row r="456" ht="19" customHeight="1">
      <c r="A456" s="4" t="n">
        <v>453</v>
      </c>
      <c r="B456" s="5" t="inlineStr">
        <is>
          <t>13055316880</t>
        </is>
      </c>
      <c r="C456" s="6" t="inlineStr">
        <is>
          <t>KADER AĞYAR</t>
        </is>
      </c>
      <c r="D456" s="4" t="inlineStr"/>
      <c r="E456" s="4" t="inlineStr"/>
      <c r="F456" s="4" t="inlineStr">
        <is>
          <t>08.07.2026</t>
        </is>
      </c>
      <c r="G456" s="4" t="inlineStr"/>
      <c r="H456" s="4" t="inlineStr">
        <is>
          <t>NORMAL</t>
        </is>
      </c>
      <c r="I456" s="4" t="inlineStr">
        <is>
          <t>MEVSİMLİK</t>
        </is>
      </c>
      <c r="J456" s="6" t="inlineStr"/>
      <c r="K456" s="6" t="inlineStr"/>
      <c r="L456" s="7" t="n">
        <v>28075.5</v>
      </c>
      <c r="M456" s="4" t="inlineStr">
        <is>
          <t>FİDE KONSERVE</t>
        </is>
      </c>
      <c r="N456" s="4" t="inlineStr">
        <is>
          <t>ALIR</t>
        </is>
      </c>
      <c r="O456" s="8" t="n">
        <v>0</v>
      </c>
      <c r="P456" s="8" t="n">
        <v>0</v>
      </c>
      <c r="Q456" s="8" t="n">
        <v>0</v>
      </c>
      <c r="R456" s="9" t="n">
        <v>0</v>
      </c>
      <c r="S456" s="8" t="n">
        <v>0</v>
      </c>
      <c r="T456" s="8" t="n">
        <v>0</v>
      </c>
      <c r="U456" s="8" t="n">
        <v>0</v>
      </c>
      <c r="V456" s="8" t="n">
        <v>0</v>
      </c>
      <c r="W456" s="8" t="n">
        <v>0</v>
      </c>
      <c r="X456" s="8" t="n">
        <v>0</v>
      </c>
      <c r="Y456" s="9" t="n">
        <v>0</v>
      </c>
      <c r="Z456" s="8" t="n">
        <v>0</v>
      </c>
      <c r="AA456" s="8" t="n">
        <v>0</v>
      </c>
      <c r="AB456" s="8" t="n">
        <v>0</v>
      </c>
      <c r="AC456" s="8" t="n">
        <v>0</v>
      </c>
      <c r="AD456" s="8" t="n">
        <v>0</v>
      </c>
      <c r="AE456" s="8" t="n">
        <v>0</v>
      </c>
      <c r="AF456" s="9" t="n">
        <v>0</v>
      </c>
      <c r="AG456" s="8" t="n">
        <v>0</v>
      </c>
      <c r="AH456" s="8" t="n">
        <v>0</v>
      </c>
      <c r="AI456" s="8" t="n">
        <v>0</v>
      </c>
      <c r="AJ456" s="8" t="n">
        <v>0</v>
      </c>
      <c r="AK456" s="8" t="n">
        <v>0</v>
      </c>
      <c r="AL456" s="8" t="n">
        <v>0</v>
      </c>
      <c r="AM456" s="9" t="n">
        <v>0</v>
      </c>
      <c r="AN456" s="8" t="n">
        <v>0</v>
      </c>
      <c r="AO456" s="8" t="n">
        <v>0</v>
      </c>
      <c r="AP456" s="8" t="n">
        <v>0</v>
      </c>
      <c r="AQ456" s="8" t="n">
        <v>0</v>
      </c>
      <c r="AR456" s="8" t="n">
        <v>0</v>
      </c>
      <c r="AS456" s="8" t="n">
        <v>0</v>
      </c>
      <c r="AT456" s="10">
        <f>SUM(O456:AS456)</f>
        <v/>
      </c>
      <c r="AU456" s="11">
        <f>COUNTIF(O456:AS456, "&gt;0")</f>
        <v/>
      </c>
      <c r="AV456" s="12">
        <f>IF(AU456&gt;=5, 4, IF(AU456&gt;0, INT(AU456/6), 0))</f>
        <v/>
      </c>
      <c r="AW456" s="11" t="n">
        <v>0</v>
      </c>
      <c r="AX456" s="11" t="n">
        <v>0</v>
      </c>
      <c r="AY456" s="13">
        <f>MIN(31, AU456+AV456+AW456+AX456)</f>
        <v/>
      </c>
      <c r="AZ456" s="14">
        <f>31-AY456</f>
        <v/>
      </c>
      <c r="BA456" s="5">
        <f>IF(AX456&gt;0, "01-İstirahat", IF(AZ456&gt;0, "12-Birden Fazla", ""))</f>
        <v/>
      </c>
      <c r="BB456" s="10" t="n">
        <v>0</v>
      </c>
      <c r="BC456" s="8" t="n">
        <v>0</v>
      </c>
      <c r="BD456" s="9" t="n">
        <v>0</v>
      </c>
      <c r="BE456" s="7">
        <f>(L456/30)*AU456</f>
        <v/>
      </c>
      <c r="BF456" s="15">
        <f>(L456/225)*((BB456*1.5)-(BC456*1.0))</f>
        <v/>
      </c>
      <c r="BG456" s="16">
        <f>(L456/225)*1.5*BD456</f>
        <v/>
      </c>
      <c r="BH456" s="15">
        <f>BF456+BG456</f>
        <v/>
      </c>
      <c r="BI456" s="17">
        <f>BE456+BH456</f>
        <v/>
      </c>
      <c r="BJ456" s="7">
        <f>IFERROR(VLOOKUP(B456, Resmi_Bordro_SGK!B:M, 11, FALSE), 0)</f>
        <v/>
      </c>
      <c r="BK456" s="18">
        <f>IFERROR(VLOOKUP(B456, Icra_Takip!A:E, 4, FALSE), 0)</f>
        <v/>
      </c>
      <c r="BL456" s="17">
        <f>IF(BI456&gt;BJ456, BI456-BJ456-BK456, 0)</f>
        <v/>
      </c>
      <c r="BM456" s="17">
        <f>BI456-BK456</f>
        <v/>
      </c>
    </row>
    <row r="457" ht="19" customHeight="1">
      <c r="A457" s="4" t="n">
        <v>454</v>
      </c>
      <c r="B457" s="5" t="inlineStr">
        <is>
          <t>10438940458</t>
        </is>
      </c>
      <c r="C457" s="6" t="inlineStr">
        <is>
          <t>KIYMET ÜZER</t>
        </is>
      </c>
      <c r="D457" s="4" t="inlineStr"/>
      <c r="E457" s="4" t="inlineStr"/>
      <c r="F457" s="4" t="inlineStr">
        <is>
          <t>26.07.2026</t>
        </is>
      </c>
      <c r="G457" s="4" t="inlineStr"/>
      <c r="H457" s="4" t="inlineStr">
        <is>
          <t>NORMAL</t>
        </is>
      </c>
      <c r="I457" s="4" t="inlineStr">
        <is>
          <t>MEVSİMLİK</t>
        </is>
      </c>
      <c r="J457" s="6" t="inlineStr"/>
      <c r="K457" s="6" t="inlineStr"/>
      <c r="L457" s="7" t="n">
        <v>28075.5</v>
      </c>
      <c r="M457" s="4" t="inlineStr">
        <is>
          <t>FİDE KONSERVE</t>
        </is>
      </c>
      <c r="N457" s="4" t="inlineStr">
        <is>
          <t>ALIR</t>
        </is>
      </c>
      <c r="O457" s="19" t="n">
        <v>0</v>
      </c>
      <c r="P457" s="19" t="n">
        <v>0</v>
      </c>
      <c r="Q457" s="19" t="n">
        <v>0</v>
      </c>
      <c r="R457" s="9" t="n">
        <v>0</v>
      </c>
      <c r="S457" s="19" t="n">
        <v>0</v>
      </c>
      <c r="T457" s="19" t="n">
        <v>0</v>
      </c>
      <c r="U457" s="19" t="n">
        <v>0</v>
      </c>
      <c r="V457" s="19" t="n">
        <v>0</v>
      </c>
      <c r="W457" s="19" t="n">
        <v>0</v>
      </c>
      <c r="X457" s="19" t="n">
        <v>0</v>
      </c>
      <c r="Y457" s="9" t="n">
        <v>0</v>
      </c>
      <c r="Z457" s="19" t="n">
        <v>0</v>
      </c>
      <c r="AA457" s="19" t="n">
        <v>0</v>
      </c>
      <c r="AB457" s="19" t="n">
        <v>0</v>
      </c>
      <c r="AC457" s="19" t="n">
        <v>0</v>
      </c>
      <c r="AD457" s="19" t="n">
        <v>0</v>
      </c>
      <c r="AE457" s="19" t="n">
        <v>0</v>
      </c>
      <c r="AF457" s="9" t="n">
        <v>0</v>
      </c>
      <c r="AG457" s="19" t="n">
        <v>0</v>
      </c>
      <c r="AH457" s="19" t="n">
        <v>0</v>
      </c>
      <c r="AI457" s="19" t="n">
        <v>0</v>
      </c>
      <c r="AJ457" s="19" t="n">
        <v>0</v>
      </c>
      <c r="AK457" s="19" t="n">
        <v>0</v>
      </c>
      <c r="AL457" s="19" t="n">
        <v>0</v>
      </c>
      <c r="AM457" s="9" t="n">
        <v>0</v>
      </c>
      <c r="AN457" s="19" t="n">
        <v>0</v>
      </c>
      <c r="AO457" s="19" t="n">
        <v>0</v>
      </c>
      <c r="AP457" s="19" t="n">
        <v>0</v>
      </c>
      <c r="AQ457" s="19" t="n">
        <v>0</v>
      </c>
      <c r="AR457" s="19" t="n">
        <v>0</v>
      </c>
      <c r="AS457" s="19" t="n">
        <v>0</v>
      </c>
      <c r="AT457" s="10">
        <f>SUM(O457:AS457)</f>
        <v/>
      </c>
      <c r="AU457" s="20">
        <f>COUNTIF(O457:AS457, "&gt;0")</f>
        <v/>
      </c>
      <c r="AV457" s="12">
        <f>IF(AU457&gt;=5, 4, IF(AU457&gt;0, INT(AU457/6), 0))</f>
        <v/>
      </c>
      <c r="AW457" s="20" t="n">
        <v>0</v>
      </c>
      <c r="AX457" s="20" t="n">
        <v>0</v>
      </c>
      <c r="AY457" s="13">
        <f>MIN(31, AU457+AV457+AW457+AX457)</f>
        <v/>
      </c>
      <c r="AZ457" s="14">
        <f>31-AY457</f>
        <v/>
      </c>
      <c r="BA457" s="21">
        <f>IF(AX457&gt;0, "01-İstirahat", IF(AZ457&gt;0, "12-Birden Fazla", ""))</f>
        <v/>
      </c>
      <c r="BB457" s="10" t="n">
        <v>0</v>
      </c>
      <c r="BC457" s="19" t="n">
        <v>0</v>
      </c>
      <c r="BD457" s="9" t="n">
        <v>0</v>
      </c>
      <c r="BE457" s="22">
        <f>(L457/30)*AU457</f>
        <v/>
      </c>
      <c r="BF457" s="15">
        <f>(L457/225)*((BB457*1.5)-(BC457*1.0))</f>
        <v/>
      </c>
      <c r="BG457" s="16">
        <f>(L457/225)*1.5*BD457</f>
        <v/>
      </c>
      <c r="BH457" s="15">
        <f>BF457+BG457</f>
        <v/>
      </c>
      <c r="BI457" s="17">
        <f>BE457+BH457</f>
        <v/>
      </c>
      <c r="BJ457" s="22">
        <f>IFERROR(VLOOKUP(B457, Resmi_Bordro_SGK!B:M, 11, FALSE), 0)</f>
        <v/>
      </c>
      <c r="BK457" s="18">
        <f>IFERROR(VLOOKUP(B457, Icra_Takip!A:E, 4, FALSE), 0)</f>
        <v/>
      </c>
      <c r="BL457" s="17">
        <f>IF(BI457&gt;BJ457, BI457-BJ457-BK457, 0)</f>
        <v/>
      </c>
      <c r="BM457" s="17">
        <f>BI457-BK457</f>
        <v/>
      </c>
    </row>
    <row r="458" ht="19" customHeight="1">
      <c r="A458" s="4" t="n">
        <v>455</v>
      </c>
      <c r="B458" s="5" t="inlineStr">
        <is>
          <t>24070483334</t>
        </is>
      </c>
      <c r="C458" s="6" t="inlineStr">
        <is>
          <t>MERYEM İNAN</t>
        </is>
      </c>
      <c r="D458" s="4" t="inlineStr"/>
      <c r="E458" s="4" t="inlineStr"/>
      <c r="F458" s="4" t="inlineStr">
        <is>
          <t>13.10.2025</t>
        </is>
      </c>
      <c r="G458" s="4" t="inlineStr"/>
      <c r="H458" s="4" t="inlineStr">
        <is>
          <t>NORMAL</t>
        </is>
      </c>
      <c r="I458" s="4" t="inlineStr">
        <is>
          <t>MEVSİMLİK</t>
        </is>
      </c>
      <c r="J458" s="6" t="inlineStr"/>
      <c r="K458" s="6" t="inlineStr"/>
      <c r="L458" s="7" t="n">
        <v>28075.5</v>
      </c>
      <c r="M458" s="4" t="inlineStr">
        <is>
          <t>FİDE KONSERVE</t>
        </is>
      </c>
      <c r="N458" s="4" t="inlineStr">
        <is>
          <t>ALIR</t>
        </is>
      </c>
      <c r="O458" s="8" t="n">
        <v>0</v>
      </c>
      <c r="P458" s="8" t="n">
        <v>0</v>
      </c>
      <c r="Q458" s="8" t="n">
        <v>0</v>
      </c>
      <c r="R458" s="9" t="n">
        <v>0</v>
      </c>
      <c r="S458" s="8" t="n">
        <v>0</v>
      </c>
      <c r="T458" s="8" t="n">
        <v>0</v>
      </c>
      <c r="U458" s="8" t="n">
        <v>0</v>
      </c>
      <c r="V458" s="8" t="n">
        <v>0</v>
      </c>
      <c r="W458" s="8" t="n">
        <v>0</v>
      </c>
      <c r="X458" s="8" t="n">
        <v>0</v>
      </c>
      <c r="Y458" s="9" t="n">
        <v>0</v>
      </c>
      <c r="Z458" s="8" t="n">
        <v>0</v>
      </c>
      <c r="AA458" s="8" t="n">
        <v>0</v>
      </c>
      <c r="AB458" s="8" t="n">
        <v>0</v>
      </c>
      <c r="AC458" s="8" t="n">
        <v>0</v>
      </c>
      <c r="AD458" s="8" t="n">
        <v>0</v>
      </c>
      <c r="AE458" s="8" t="n">
        <v>0</v>
      </c>
      <c r="AF458" s="9" t="n">
        <v>0</v>
      </c>
      <c r="AG458" s="8" t="n">
        <v>0</v>
      </c>
      <c r="AH458" s="8" t="n">
        <v>0</v>
      </c>
      <c r="AI458" s="8" t="n">
        <v>0</v>
      </c>
      <c r="AJ458" s="8" t="n">
        <v>0</v>
      </c>
      <c r="AK458" s="8" t="n">
        <v>0</v>
      </c>
      <c r="AL458" s="8" t="n">
        <v>0</v>
      </c>
      <c r="AM458" s="9" t="n">
        <v>0</v>
      </c>
      <c r="AN458" s="8" t="n">
        <v>0</v>
      </c>
      <c r="AO458" s="8" t="n">
        <v>0</v>
      </c>
      <c r="AP458" s="8" t="n">
        <v>0</v>
      </c>
      <c r="AQ458" s="8" t="n">
        <v>0</v>
      </c>
      <c r="AR458" s="8" t="n">
        <v>0</v>
      </c>
      <c r="AS458" s="8" t="n">
        <v>0</v>
      </c>
      <c r="AT458" s="10">
        <f>SUM(O458:AS458)</f>
        <v/>
      </c>
      <c r="AU458" s="11">
        <f>COUNTIF(O458:AS458, "&gt;0")</f>
        <v/>
      </c>
      <c r="AV458" s="12">
        <f>IF(AU458&gt;=5, 4, IF(AU458&gt;0, INT(AU458/6), 0))</f>
        <v/>
      </c>
      <c r="AW458" s="11" t="n">
        <v>0</v>
      </c>
      <c r="AX458" s="11" t="n">
        <v>0</v>
      </c>
      <c r="AY458" s="13">
        <f>MIN(31, AU458+AV458+AW458+AX458)</f>
        <v/>
      </c>
      <c r="AZ458" s="14">
        <f>31-AY458</f>
        <v/>
      </c>
      <c r="BA458" s="5">
        <f>IF(AX458&gt;0, "01-İstirahat", IF(AZ458&gt;0, "12-Birden Fazla", ""))</f>
        <v/>
      </c>
      <c r="BB458" s="10" t="n">
        <v>0</v>
      </c>
      <c r="BC458" s="8" t="n">
        <v>0</v>
      </c>
      <c r="BD458" s="9" t="n">
        <v>0</v>
      </c>
      <c r="BE458" s="7">
        <f>(L458/30)*AU458</f>
        <v/>
      </c>
      <c r="BF458" s="15">
        <f>(L458/225)*((BB458*1.5)-(BC458*1.0))</f>
        <v/>
      </c>
      <c r="BG458" s="16">
        <f>(L458/225)*1.5*BD458</f>
        <v/>
      </c>
      <c r="BH458" s="15">
        <f>BF458+BG458</f>
        <v/>
      </c>
      <c r="BI458" s="17">
        <f>BE458+BH458</f>
        <v/>
      </c>
      <c r="BJ458" s="7">
        <f>IFERROR(VLOOKUP(B458, Resmi_Bordro_SGK!B:M, 11, FALSE), 0)</f>
        <v/>
      </c>
      <c r="BK458" s="18">
        <f>IFERROR(VLOOKUP(B458, Icra_Takip!A:E, 4, FALSE), 0)</f>
        <v/>
      </c>
      <c r="BL458" s="17">
        <f>IF(BI458&gt;BJ458, BI458-BJ458-BK458, 0)</f>
        <v/>
      </c>
      <c r="BM458" s="17">
        <f>BI458-BK458</f>
        <v/>
      </c>
    </row>
    <row r="459" ht="19" customHeight="1">
      <c r="A459" s="4" t="n">
        <v>456</v>
      </c>
      <c r="B459" s="5" t="inlineStr">
        <is>
          <t>14668797738</t>
        </is>
      </c>
      <c r="C459" s="6" t="inlineStr">
        <is>
          <t>MİNE ÜRGÜN</t>
        </is>
      </c>
      <c r="D459" s="4" t="inlineStr"/>
      <c r="E459" s="4" t="inlineStr"/>
      <c r="F459" s="4" t="inlineStr">
        <is>
          <t>08.07.2026</t>
        </is>
      </c>
      <c r="G459" s="4" t="inlineStr"/>
      <c r="H459" s="4" t="inlineStr">
        <is>
          <t>NORMAL</t>
        </is>
      </c>
      <c r="I459" s="4" t="inlineStr">
        <is>
          <t>MEVSİMLİK</t>
        </is>
      </c>
      <c r="J459" s="6" t="inlineStr"/>
      <c r="K459" s="6" t="inlineStr"/>
      <c r="L459" s="7" t="n">
        <v>28075.5</v>
      </c>
      <c r="M459" s="4" t="inlineStr">
        <is>
          <t>FİDE KONSERVE</t>
        </is>
      </c>
      <c r="N459" s="4" t="inlineStr">
        <is>
          <t>ALIR</t>
        </is>
      </c>
      <c r="O459" s="19" t="n">
        <v>0</v>
      </c>
      <c r="P459" s="19" t="n">
        <v>0</v>
      </c>
      <c r="Q459" s="19" t="n">
        <v>0</v>
      </c>
      <c r="R459" s="9" t="n">
        <v>0</v>
      </c>
      <c r="S459" s="19" t="n">
        <v>0</v>
      </c>
      <c r="T459" s="19" t="n">
        <v>0</v>
      </c>
      <c r="U459" s="19" t="n">
        <v>0</v>
      </c>
      <c r="V459" s="19" t="n">
        <v>0</v>
      </c>
      <c r="W459" s="19" t="n">
        <v>0</v>
      </c>
      <c r="X459" s="19" t="n">
        <v>0</v>
      </c>
      <c r="Y459" s="9" t="n">
        <v>0</v>
      </c>
      <c r="Z459" s="19" t="n">
        <v>0</v>
      </c>
      <c r="AA459" s="19" t="n">
        <v>0</v>
      </c>
      <c r="AB459" s="19" t="n">
        <v>0</v>
      </c>
      <c r="AC459" s="19" t="n">
        <v>0</v>
      </c>
      <c r="AD459" s="19" t="n">
        <v>0</v>
      </c>
      <c r="AE459" s="19" t="n">
        <v>0</v>
      </c>
      <c r="AF459" s="9" t="n">
        <v>0</v>
      </c>
      <c r="AG459" s="19" t="n">
        <v>0</v>
      </c>
      <c r="AH459" s="19" t="n">
        <v>0</v>
      </c>
      <c r="AI459" s="19" t="n">
        <v>0</v>
      </c>
      <c r="AJ459" s="19" t="n">
        <v>0</v>
      </c>
      <c r="AK459" s="19" t="n">
        <v>0</v>
      </c>
      <c r="AL459" s="19" t="n">
        <v>0</v>
      </c>
      <c r="AM459" s="9" t="n">
        <v>0</v>
      </c>
      <c r="AN459" s="19" t="n">
        <v>0</v>
      </c>
      <c r="AO459" s="19" t="n">
        <v>0</v>
      </c>
      <c r="AP459" s="19" t="n">
        <v>0</v>
      </c>
      <c r="AQ459" s="19" t="n">
        <v>0</v>
      </c>
      <c r="AR459" s="19" t="n">
        <v>0</v>
      </c>
      <c r="AS459" s="19" t="n">
        <v>0</v>
      </c>
      <c r="AT459" s="10">
        <f>SUM(O459:AS459)</f>
        <v/>
      </c>
      <c r="AU459" s="20">
        <f>COUNTIF(O459:AS459, "&gt;0")</f>
        <v/>
      </c>
      <c r="AV459" s="12">
        <f>IF(AU459&gt;=5, 4, IF(AU459&gt;0, INT(AU459/6), 0))</f>
        <v/>
      </c>
      <c r="AW459" s="20" t="n">
        <v>0</v>
      </c>
      <c r="AX459" s="20" t="n">
        <v>0</v>
      </c>
      <c r="AY459" s="13">
        <f>MIN(31, AU459+AV459+AW459+AX459)</f>
        <v/>
      </c>
      <c r="AZ459" s="14">
        <f>31-AY459</f>
        <v/>
      </c>
      <c r="BA459" s="21">
        <f>IF(AX459&gt;0, "01-İstirahat", IF(AZ459&gt;0, "12-Birden Fazla", ""))</f>
        <v/>
      </c>
      <c r="BB459" s="10" t="n">
        <v>0</v>
      </c>
      <c r="BC459" s="19" t="n">
        <v>0</v>
      </c>
      <c r="BD459" s="9" t="n">
        <v>0</v>
      </c>
      <c r="BE459" s="22">
        <f>(L459/30)*AU459</f>
        <v/>
      </c>
      <c r="BF459" s="15">
        <f>(L459/225)*((BB459*1.5)-(BC459*1.0))</f>
        <v/>
      </c>
      <c r="BG459" s="16">
        <f>(L459/225)*1.5*BD459</f>
        <v/>
      </c>
      <c r="BH459" s="15">
        <f>BF459+BG459</f>
        <v/>
      </c>
      <c r="BI459" s="17">
        <f>BE459+BH459</f>
        <v/>
      </c>
      <c r="BJ459" s="22">
        <f>IFERROR(VLOOKUP(B459, Resmi_Bordro_SGK!B:M, 11, FALSE), 0)</f>
        <v/>
      </c>
      <c r="BK459" s="18">
        <f>IFERROR(VLOOKUP(B459, Icra_Takip!A:E, 4, FALSE), 0)</f>
        <v/>
      </c>
      <c r="BL459" s="17">
        <f>IF(BI459&gt;BJ459, BI459-BJ459-BK459, 0)</f>
        <v/>
      </c>
      <c r="BM459" s="17">
        <f>BI459-BK459</f>
        <v/>
      </c>
    </row>
    <row r="460" ht="19" customHeight="1">
      <c r="A460" s="4" t="n">
        <v>457</v>
      </c>
      <c r="B460" s="5" t="inlineStr">
        <is>
          <t>10315974842</t>
        </is>
      </c>
      <c r="C460" s="6" t="inlineStr">
        <is>
          <t>MUHAMMED ALİ SOLAK</t>
        </is>
      </c>
      <c r="D460" s="4" t="inlineStr"/>
      <c r="E460" s="4" t="inlineStr"/>
      <c r="F460" s="4" t="inlineStr">
        <is>
          <t>08.07.2026</t>
        </is>
      </c>
      <c r="G460" s="4" t="inlineStr"/>
      <c r="H460" s="4" t="inlineStr">
        <is>
          <t>NORMAL</t>
        </is>
      </c>
      <c r="I460" s="4" t="inlineStr">
        <is>
          <t>MEVSİMLİK</t>
        </is>
      </c>
      <c r="J460" s="6" t="inlineStr"/>
      <c r="K460" s="6" t="inlineStr"/>
      <c r="L460" s="7" t="n">
        <v>28075.5</v>
      </c>
      <c r="M460" s="4" t="inlineStr">
        <is>
          <t>FİDE KONSERVE</t>
        </is>
      </c>
      <c r="N460" s="4" t="inlineStr">
        <is>
          <t>ALIR</t>
        </is>
      </c>
      <c r="O460" s="8" t="n">
        <v>0</v>
      </c>
      <c r="P460" s="8" t="n">
        <v>0</v>
      </c>
      <c r="Q460" s="8" t="n">
        <v>0</v>
      </c>
      <c r="R460" s="9" t="n">
        <v>0</v>
      </c>
      <c r="S460" s="8" t="n">
        <v>0</v>
      </c>
      <c r="T460" s="8" t="n">
        <v>0</v>
      </c>
      <c r="U460" s="8" t="n">
        <v>0</v>
      </c>
      <c r="V460" s="8" t="n">
        <v>0</v>
      </c>
      <c r="W460" s="8" t="n">
        <v>0</v>
      </c>
      <c r="X460" s="8" t="n">
        <v>0</v>
      </c>
      <c r="Y460" s="9" t="n">
        <v>0</v>
      </c>
      <c r="Z460" s="8" t="n">
        <v>0</v>
      </c>
      <c r="AA460" s="8" t="n">
        <v>0</v>
      </c>
      <c r="AB460" s="8" t="n">
        <v>0</v>
      </c>
      <c r="AC460" s="8" t="n">
        <v>0</v>
      </c>
      <c r="AD460" s="8" t="n">
        <v>0</v>
      </c>
      <c r="AE460" s="8" t="n">
        <v>0</v>
      </c>
      <c r="AF460" s="9" t="n">
        <v>0</v>
      </c>
      <c r="AG460" s="8" t="n">
        <v>0</v>
      </c>
      <c r="AH460" s="8" t="n">
        <v>0</v>
      </c>
      <c r="AI460" s="8" t="n">
        <v>0</v>
      </c>
      <c r="AJ460" s="8" t="n">
        <v>0</v>
      </c>
      <c r="AK460" s="8" t="n">
        <v>0</v>
      </c>
      <c r="AL460" s="8" t="n">
        <v>0</v>
      </c>
      <c r="AM460" s="9" t="n">
        <v>0</v>
      </c>
      <c r="AN460" s="8" t="n">
        <v>0</v>
      </c>
      <c r="AO460" s="8" t="n">
        <v>0</v>
      </c>
      <c r="AP460" s="8" t="n">
        <v>0</v>
      </c>
      <c r="AQ460" s="8" t="n">
        <v>0</v>
      </c>
      <c r="AR460" s="8" t="n">
        <v>0</v>
      </c>
      <c r="AS460" s="8" t="n">
        <v>0</v>
      </c>
      <c r="AT460" s="10">
        <f>SUM(O460:AS460)</f>
        <v/>
      </c>
      <c r="AU460" s="11">
        <f>COUNTIF(O460:AS460, "&gt;0")</f>
        <v/>
      </c>
      <c r="AV460" s="12">
        <f>IF(AU460&gt;=5, 4, IF(AU460&gt;0, INT(AU460/6), 0))</f>
        <v/>
      </c>
      <c r="AW460" s="11" t="n">
        <v>0</v>
      </c>
      <c r="AX460" s="11" t="n">
        <v>0</v>
      </c>
      <c r="AY460" s="13">
        <f>MIN(31, AU460+AV460+AW460+AX460)</f>
        <v/>
      </c>
      <c r="AZ460" s="14">
        <f>31-AY460</f>
        <v/>
      </c>
      <c r="BA460" s="5">
        <f>IF(AX460&gt;0, "01-İstirahat", IF(AZ460&gt;0, "12-Birden Fazla", ""))</f>
        <v/>
      </c>
      <c r="BB460" s="10" t="n">
        <v>0</v>
      </c>
      <c r="BC460" s="8" t="n">
        <v>0</v>
      </c>
      <c r="BD460" s="9" t="n">
        <v>0</v>
      </c>
      <c r="BE460" s="7">
        <f>(L460/30)*AU460</f>
        <v/>
      </c>
      <c r="BF460" s="15">
        <f>(L460/225)*((BB460*1.5)-(BC460*1.0))</f>
        <v/>
      </c>
      <c r="BG460" s="16">
        <f>(L460/225)*1.5*BD460</f>
        <v/>
      </c>
      <c r="BH460" s="15">
        <f>BF460+BG460</f>
        <v/>
      </c>
      <c r="BI460" s="17">
        <f>BE460+BH460</f>
        <v/>
      </c>
      <c r="BJ460" s="7">
        <f>IFERROR(VLOOKUP(B460, Resmi_Bordro_SGK!B:M, 11, FALSE), 0)</f>
        <v/>
      </c>
      <c r="BK460" s="18">
        <f>IFERROR(VLOOKUP(B460, Icra_Takip!A:E, 4, FALSE), 0)</f>
        <v/>
      </c>
      <c r="BL460" s="17">
        <f>IF(BI460&gt;BJ460, BI460-BJ460-BK460, 0)</f>
        <v/>
      </c>
      <c r="BM460" s="17">
        <f>BI460-BK460</f>
        <v/>
      </c>
    </row>
    <row r="461" ht="19" customHeight="1">
      <c r="A461" s="4" t="n">
        <v>458</v>
      </c>
      <c r="B461" s="5" t="inlineStr">
        <is>
          <t>10069953452</t>
        </is>
      </c>
      <c r="C461" s="6" t="inlineStr">
        <is>
          <t>MUHAMMET BEYİRKEN</t>
        </is>
      </c>
      <c r="D461" s="4" t="inlineStr"/>
      <c r="E461" s="4" t="inlineStr"/>
      <c r="F461" s="4" t="inlineStr">
        <is>
          <t>26.07.2026</t>
        </is>
      </c>
      <c r="G461" s="4" t="inlineStr"/>
      <c r="H461" s="4" t="inlineStr">
        <is>
          <t>NORMAL</t>
        </is>
      </c>
      <c r="I461" s="4" t="inlineStr">
        <is>
          <t>MEVSİMLİK</t>
        </is>
      </c>
      <c r="J461" s="6" t="inlineStr"/>
      <c r="K461" s="6" t="inlineStr"/>
      <c r="L461" s="7" t="n">
        <v>28075.5</v>
      </c>
      <c r="M461" s="4" t="inlineStr">
        <is>
          <t>FİDE KONSERVE</t>
        </is>
      </c>
      <c r="N461" s="4" t="inlineStr">
        <is>
          <t>ALIR</t>
        </is>
      </c>
      <c r="O461" s="19" t="n">
        <v>0</v>
      </c>
      <c r="P461" s="19" t="n">
        <v>0</v>
      </c>
      <c r="Q461" s="19" t="n">
        <v>0</v>
      </c>
      <c r="R461" s="9" t="n">
        <v>0</v>
      </c>
      <c r="S461" s="19" t="n">
        <v>0</v>
      </c>
      <c r="T461" s="19" t="n">
        <v>0</v>
      </c>
      <c r="U461" s="19" t="n">
        <v>0</v>
      </c>
      <c r="V461" s="19" t="n">
        <v>0</v>
      </c>
      <c r="W461" s="19" t="n">
        <v>0</v>
      </c>
      <c r="X461" s="19" t="n">
        <v>0</v>
      </c>
      <c r="Y461" s="9" t="n">
        <v>0</v>
      </c>
      <c r="Z461" s="19" t="n">
        <v>0</v>
      </c>
      <c r="AA461" s="19" t="n">
        <v>0</v>
      </c>
      <c r="AB461" s="19" t="n">
        <v>0</v>
      </c>
      <c r="AC461" s="19" t="n">
        <v>0</v>
      </c>
      <c r="AD461" s="19" t="n">
        <v>0</v>
      </c>
      <c r="AE461" s="19" t="n">
        <v>0</v>
      </c>
      <c r="AF461" s="9" t="n">
        <v>0</v>
      </c>
      <c r="AG461" s="19" t="n">
        <v>0</v>
      </c>
      <c r="AH461" s="19" t="n">
        <v>0</v>
      </c>
      <c r="AI461" s="19" t="n">
        <v>0</v>
      </c>
      <c r="AJ461" s="19" t="n">
        <v>0</v>
      </c>
      <c r="AK461" s="19" t="n">
        <v>0</v>
      </c>
      <c r="AL461" s="19" t="n">
        <v>0</v>
      </c>
      <c r="AM461" s="9" t="n">
        <v>0</v>
      </c>
      <c r="AN461" s="19" t="n">
        <v>0</v>
      </c>
      <c r="AO461" s="19" t="n">
        <v>0</v>
      </c>
      <c r="AP461" s="19" t="n">
        <v>0</v>
      </c>
      <c r="AQ461" s="19" t="n">
        <v>0</v>
      </c>
      <c r="AR461" s="19" t="n">
        <v>0</v>
      </c>
      <c r="AS461" s="19" t="n">
        <v>0</v>
      </c>
      <c r="AT461" s="10">
        <f>SUM(O461:AS461)</f>
        <v/>
      </c>
      <c r="AU461" s="20">
        <f>COUNTIF(O461:AS461, "&gt;0")</f>
        <v/>
      </c>
      <c r="AV461" s="12">
        <f>IF(AU461&gt;=5, 4, IF(AU461&gt;0, INT(AU461/6), 0))</f>
        <v/>
      </c>
      <c r="AW461" s="20" t="n">
        <v>0</v>
      </c>
      <c r="AX461" s="20" t="n">
        <v>0</v>
      </c>
      <c r="AY461" s="13">
        <f>MIN(31, AU461+AV461+AW461+AX461)</f>
        <v/>
      </c>
      <c r="AZ461" s="14">
        <f>31-AY461</f>
        <v/>
      </c>
      <c r="BA461" s="21">
        <f>IF(AX461&gt;0, "01-İstirahat", IF(AZ461&gt;0, "12-Birden Fazla", ""))</f>
        <v/>
      </c>
      <c r="BB461" s="10" t="n">
        <v>0</v>
      </c>
      <c r="BC461" s="19" t="n">
        <v>0</v>
      </c>
      <c r="BD461" s="9" t="n">
        <v>0</v>
      </c>
      <c r="BE461" s="22">
        <f>(L461/30)*AU461</f>
        <v/>
      </c>
      <c r="BF461" s="15">
        <f>(L461/225)*((BB461*1.5)-(BC461*1.0))</f>
        <v/>
      </c>
      <c r="BG461" s="16">
        <f>(L461/225)*1.5*BD461</f>
        <v/>
      </c>
      <c r="BH461" s="15">
        <f>BF461+BG461</f>
        <v/>
      </c>
      <c r="BI461" s="17">
        <f>BE461+BH461</f>
        <v/>
      </c>
      <c r="BJ461" s="22">
        <f>IFERROR(VLOOKUP(B461, Resmi_Bordro_SGK!B:M, 11, FALSE), 0)</f>
        <v/>
      </c>
      <c r="BK461" s="18">
        <f>IFERROR(VLOOKUP(B461, Icra_Takip!A:E, 4, FALSE), 0)</f>
        <v/>
      </c>
      <c r="BL461" s="17">
        <f>IF(BI461&gt;BJ461, BI461-BJ461-BK461, 0)</f>
        <v/>
      </c>
      <c r="BM461" s="17">
        <f>BI461-BK461</f>
        <v/>
      </c>
    </row>
    <row r="462" ht="19" customHeight="1">
      <c r="A462" s="4" t="n">
        <v>459</v>
      </c>
      <c r="B462" s="5" t="inlineStr">
        <is>
          <t>10189849550</t>
        </is>
      </c>
      <c r="C462" s="6" t="inlineStr">
        <is>
          <t>MURAT GÜNDOĞAN</t>
        </is>
      </c>
      <c r="D462" s="4" t="inlineStr"/>
      <c r="E462" s="4" t="inlineStr"/>
      <c r="F462" s="4" t="inlineStr">
        <is>
          <t>19.06.2026</t>
        </is>
      </c>
      <c r="G462" s="4" t="inlineStr"/>
      <c r="H462" s="4" t="inlineStr">
        <is>
          <t>NORMAL</t>
        </is>
      </c>
      <c r="I462" s="4" t="inlineStr">
        <is>
          <t>MEVSİMLİK</t>
        </is>
      </c>
      <c r="J462" s="6" t="inlineStr"/>
      <c r="K462" s="6" t="inlineStr"/>
      <c r="L462" s="7" t="n">
        <v>28075.5</v>
      </c>
      <c r="M462" s="4" t="inlineStr">
        <is>
          <t>FİDE KONSERVE</t>
        </is>
      </c>
      <c r="N462" s="4" t="inlineStr">
        <is>
          <t>ALIR</t>
        </is>
      </c>
      <c r="O462" s="8" t="n">
        <v>0</v>
      </c>
      <c r="P462" s="8" t="n">
        <v>0</v>
      </c>
      <c r="Q462" s="8" t="n">
        <v>0</v>
      </c>
      <c r="R462" s="9" t="n">
        <v>0</v>
      </c>
      <c r="S462" s="8" t="n">
        <v>0</v>
      </c>
      <c r="T462" s="8" t="n">
        <v>0</v>
      </c>
      <c r="U462" s="8" t="n">
        <v>0</v>
      </c>
      <c r="V462" s="8" t="n">
        <v>0</v>
      </c>
      <c r="W462" s="8" t="n">
        <v>0</v>
      </c>
      <c r="X462" s="8" t="n">
        <v>0</v>
      </c>
      <c r="Y462" s="9" t="n">
        <v>0</v>
      </c>
      <c r="Z462" s="8" t="n">
        <v>0</v>
      </c>
      <c r="AA462" s="8" t="n">
        <v>0</v>
      </c>
      <c r="AB462" s="8" t="n">
        <v>0</v>
      </c>
      <c r="AC462" s="8" t="n">
        <v>0</v>
      </c>
      <c r="AD462" s="8" t="n">
        <v>0</v>
      </c>
      <c r="AE462" s="8" t="n">
        <v>0</v>
      </c>
      <c r="AF462" s="9" t="n">
        <v>0</v>
      </c>
      <c r="AG462" s="8" t="n">
        <v>0</v>
      </c>
      <c r="AH462" s="8" t="n">
        <v>0</v>
      </c>
      <c r="AI462" s="8" t="n">
        <v>0</v>
      </c>
      <c r="AJ462" s="8" t="n">
        <v>0</v>
      </c>
      <c r="AK462" s="8" t="n">
        <v>0</v>
      </c>
      <c r="AL462" s="8" t="n">
        <v>0</v>
      </c>
      <c r="AM462" s="9" t="n">
        <v>0</v>
      </c>
      <c r="AN462" s="8" t="n">
        <v>0</v>
      </c>
      <c r="AO462" s="8" t="n">
        <v>0</v>
      </c>
      <c r="AP462" s="8" t="n">
        <v>0</v>
      </c>
      <c r="AQ462" s="8" t="n">
        <v>0</v>
      </c>
      <c r="AR462" s="8" t="n">
        <v>0</v>
      </c>
      <c r="AS462" s="8" t="n">
        <v>0</v>
      </c>
      <c r="AT462" s="10">
        <f>SUM(O462:AS462)</f>
        <v/>
      </c>
      <c r="AU462" s="11">
        <f>COUNTIF(O462:AS462, "&gt;0")</f>
        <v/>
      </c>
      <c r="AV462" s="12">
        <f>IF(AU462&gt;=5, 4, IF(AU462&gt;0, INT(AU462/6), 0))</f>
        <v/>
      </c>
      <c r="AW462" s="11" t="n">
        <v>0</v>
      </c>
      <c r="AX462" s="11" t="n">
        <v>0</v>
      </c>
      <c r="AY462" s="13">
        <f>MIN(31, AU462+AV462+AW462+AX462)</f>
        <v/>
      </c>
      <c r="AZ462" s="14">
        <f>31-AY462</f>
        <v/>
      </c>
      <c r="BA462" s="5">
        <f>IF(AX462&gt;0, "01-İstirahat", IF(AZ462&gt;0, "12-Birden Fazla", ""))</f>
        <v/>
      </c>
      <c r="BB462" s="10" t="n">
        <v>0</v>
      </c>
      <c r="BC462" s="8" t="n">
        <v>0</v>
      </c>
      <c r="BD462" s="9" t="n">
        <v>0</v>
      </c>
      <c r="BE462" s="7">
        <f>(L462/30)*AU462</f>
        <v/>
      </c>
      <c r="BF462" s="15">
        <f>(L462/225)*((BB462*1.5)-(BC462*1.0))</f>
        <v/>
      </c>
      <c r="BG462" s="16">
        <f>(L462/225)*1.5*BD462</f>
        <v/>
      </c>
      <c r="BH462" s="15">
        <f>BF462+BG462</f>
        <v/>
      </c>
      <c r="BI462" s="17">
        <f>BE462+BH462</f>
        <v/>
      </c>
      <c r="BJ462" s="7">
        <f>IFERROR(VLOOKUP(B462, Resmi_Bordro_SGK!B:M, 11, FALSE), 0)</f>
        <v/>
      </c>
      <c r="BK462" s="18">
        <f>IFERROR(VLOOKUP(B462, Icra_Takip!A:E, 4, FALSE), 0)</f>
        <v/>
      </c>
      <c r="BL462" s="17">
        <f>IF(BI462&gt;BJ462, BI462-BJ462-BK462, 0)</f>
        <v/>
      </c>
      <c r="BM462" s="17">
        <f>BI462-BK462</f>
        <v/>
      </c>
    </row>
    <row r="463" ht="19" customHeight="1">
      <c r="A463" s="4" t="n">
        <v>460</v>
      </c>
      <c r="B463" s="5" t="inlineStr">
        <is>
          <t>10513936154</t>
        </is>
      </c>
      <c r="C463" s="6" t="inlineStr">
        <is>
          <t>NEBAHAT ARTAN</t>
        </is>
      </c>
      <c r="D463" s="4" t="inlineStr"/>
      <c r="E463" s="4" t="inlineStr"/>
      <c r="F463" s="4" t="inlineStr">
        <is>
          <t>27.07.2026</t>
        </is>
      </c>
      <c r="G463" s="4" t="inlineStr"/>
      <c r="H463" s="4" t="inlineStr">
        <is>
          <t>NORMAL</t>
        </is>
      </c>
      <c r="I463" s="4" t="inlineStr">
        <is>
          <t>MEVSİMLİK</t>
        </is>
      </c>
      <c r="J463" s="6" t="inlineStr"/>
      <c r="K463" s="6" t="inlineStr"/>
      <c r="L463" s="7" t="n">
        <v>28075.5</v>
      </c>
      <c r="M463" s="4" t="inlineStr">
        <is>
          <t>FİDE KONSERVE</t>
        </is>
      </c>
      <c r="N463" s="4" t="inlineStr">
        <is>
          <t>ALIR</t>
        </is>
      </c>
      <c r="O463" s="19" t="n">
        <v>0</v>
      </c>
      <c r="P463" s="19" t="n">
        <v>0</v>
      </c>
      <c r="Q463" s="19" t="n">
        <v>0</v>
      </c>
      <c r="R463" s="9" t="n">
        <v>0</v>
      </c>
      <c r="S463" s="19" t="n">
        <v>0</v>
      </c>
      <c r="T463" s="19" t="n">
        <v>0</v>
      </c>
      <c r="U463" s="19" t="n">
        <v>0</v>
      </c>
      <c r="V463" s="19" t="n">
        <v>0</v>
      </c>
      <c r="W463" s="19" t="n">
        <v>0</v>
      </c>
      <c r="X463" s="19" t="n">
        <v>0</v>
      </c>
      <c r="Y463" s="9" t="n">
        <v>0</v>
      </c>
      <c r="Z463" s="19" t="n">
        <v>0</v>
      </c>
      <c r="AA463" s="19" t="n">
        <v>0</v>
      </c>
      <c r="AB463" s="19" t="n">
        <v>0</v>
      </c>
      <c r="AC463" s="19" t="n">
        <v>0</v>
      </c>
      <c r="AD463" s="19" t="n">
        <v>0</v>
      </c>
      <c r="AE463" s="19" t="n">
        <v>0</v>
      </c>
      <c r="AF463" s="9" t="n">
        <v>0</v>
      </c>
      <c r="AG463" s="19" t="n">
        <v>0</v>
      </c>
      <c r="AH463" s="19" t="n">
        <v>0</v>
      </c>
      <c r="AI463" s="19" t="n">
        <v>0</v>
      </c>
      <c r="AJ463" s="19" t="n">
        <v>0</v>
      </c>
      <c r="AK463" s="19" t="n">
        <v>0</v>
      </c>
      <c r="AL463" s="19" t="n">
        <v>0</v>
      </c>
      <c r="AM463" s="9" t="n">
        <v>0</v>
      </c>
      <c r="AN463" s="19" t="n">
        <v>0</v>
      </c>
      <c r="AO463" s="19" t="n">
        <v>0</v>
      </c>
      <c r="AP463" s="19" t="n">
        <v>0</v>
      </c>
      <c r="AQ463" s="19" t="n">
        <v>0</v>
      </c>
      <c r="AR463" s="19" t="n">
        <v>0</v>
      </c>
      <c r="AS463" s="19" t="n">
        <v>0</v>
      </c>
      <c r="AT463" s="10">
        <f>SUM(O463:AS463)</f>
        <v/>
      </c>
      <c r="AU463" s="20">
        <f>COUNTIF(O463:AS463, "&gt;0")</f>
        <v/>
      </c>
      <c r="AV463" s="12">
        <f>IF(AU463&gt;=5, 4, IF(AU463&gt;0, INT(AU463/6), 0))</f>
        <v/>
      </c>
      <c r="AW463" s="20" t="n">
        <v>0</v>
      </c>
      <c r="AX463" s="20" t="n">
        <v>0</v>
      </c>
      <c r="AY463" s="13">
        <f>MIN(31, AU463+AV463+AW463+AX463)</f>
        <v/>
      </c>
      <c r="AZ463" s="14">
        <f>31-AY463</f>
        <v/>
      </c>
      <c r="BA463" s="21">
        <f>IF(AX463&gt;0, "01-İstirahat", IF(AZ463&gt;0, "12-Birden Fazla", ""))</f>
        <v/>
      </c>
      <c r="BB463" s="10" t="n">
        <v>0</v>
      </c>
      <c r="BC463" s="19" t="n">
        <v>0</v>
      </c>
      <c r="BD463" s="9" t="n">
        <v>0</v>
      </c>
      <c r="BE463" s="22">
        <f>(L463/30)*AU463</f>
        <v/>
      </c>
      <c r="BF463" s="15">
        <f>(L463/225)*((BB463*1.5)-(BC463*1.0))</f>
        <v/>
      </c>
      <c r="BG463" s="16">
        <f>(L463/225)*1.5*BD463</f>
        <v/>
      </c>
      <c r="BH463" s="15">
        <f>BF463+BG463</f>
        <v/>
      </c>
      <c r="BI463" s="17">
        <f>BE463+BH463</f>
        <v/>
      </c>
      <c r="BJ463" s="22">
        <f>IFERROR(VLOOKUP(B463, Resmi_Bordro_SGK!B:M, 11, FALSE), 0)</f>
        <v/>
      </c>
      <c r="BK463" s="18">
        <f>IFERROR(VLOOKUP(B463, Icra_Takip!A:E, 4, FALSE), 0)</f>
        <v/>
      </c>
      <c r="BL463" s="17">
        <f>IF(BI463&gt;BJ463, BI463-BJ463-BK463, 0)</f>
        <v/>
      </c>
      <c r="BM463" s="17">
        <f>BI463-BK463</f>
        <v/>
      </c>
    </row>
    <row r="464" ht="19" customHeight="1">
      <c r="A464" s="4" t="n">
        <v>461</v>
      </c>
      <c r="B464" s="5" t="inlineStr">
        <is>
          <t>27439371556</t>
        </is>
      </c>
      <c r="C464" s="6" t="inlineStr">
        <is>
          <t>ÖZNUR ŞİMŞEK</t>
        </is>
      </c>
      <c r="D464" s="4" t="inlineStr"/>
      <c r="E464" s="4" t="inlineStr"/>
      <c r="F464" s="4" t="inlineStr">
        <is>
          <t>08.07.2026</t>
        </is>
      </c>
      <c r="G464" s="4" t="inlineStr"/>
      <c r="H464" s="4" t="inlineStr">
        <is>
          <t>NORMAL</t>
        </is>
      </c>
      <c r="I464" s="4" t="inlineStr">
        <is>
          <t>MEVSİMLİK</t>
        </is>
      </c>
      <c r="J464" s="6" t="inlineStr"/>
      <c r="K464" s="6" t="inlineStr"/>
      <c r="L464" s="7" t="n">
        <v>28075.5</v>
      </c>
      <c r="M464" s="4" t="inlineStr">
        <is>
          <t>FİDE KONSERVE</t>
        </is>
      </c>
      <c r="N464" s="4" t="inlineStr">
        <is>
          <t>ALIR</t>
        </is>
      </c>
      <c r="O464" s="8" t="n">
        <v>0</v>
      </c>
      <c r="P464" s="8" t="n">
        <v>0</v>
      </c>
      <c r="Q464" s="8" t="n">
        <v>0</v>
      </c>
      <c r="R464" s="9" t="n">
        <v>0</v>
      </c>
      <c r="S464" s="8" t="n">
        <v>0</v>
      </c>
      <c r="T464" s="8" t="n">
        <v>0</v>
      </c>
      <c r="U464" s="8" t="n">
        <v>0</v>
      </c>
      <c r="V464" s="8" t="n">
        <v>0</v>
      </c>
      <c r="W464" s="8" t="n">
        <v>0</v>
      </c>
      <c r="X464" s="8" t="n">
        <v>0</v>
      </c>
      <c r="Y464" s="9" t="n">
        <v>0</v>
      </c>
      <c r="Z464" s="8" t="n">
        <v>0</v>
      </c>
      <c r="AA464" s="8" t="n">
        <v>0</v>
      </c>
      <c r="AB464" s="8" t="n">
        <v>0</v>
      </c>
      <c r="AC464" s="8" t="n">
        <v>0</v>
      </c>
      <c r="AD464" s="8" t="n">
        <v>0</v>
      </c>
      <c r="AE464" s="8" t="n">
        <v>0</v>
      </c>
      <c r="AF464" s="9" t="n">
        <v>0</v>
      </c>
      <c r="AG464" s="8" t="n">
        <v>0</v>
      </c>
      <c r="AH464" s="8" t="n">
        <v>0</v>
      </c>
      <c r="AI464" s="8" t="n">
        <v>0</v>
      </c>
      <c r="AJ464" s="8" t="n">
        <v>0</v>
      </c>
      <c r="AK464" s="8" t="n">
        <v>0</v>
      </c>
      <c r="AL464" s="8" t="n">
        <v>0</v>
      </c>
      <c r="AM464" s="9" t="n">
        <v>0</v>
      </c>
      <c r="AN464" s="8" t="n">
        <v>0</v>
      </c>
      <c r="AO464" s="8" t="n">
        <v>0</v>
      </c>
      <c r="AP464" s="8" t="n">
        <v>0</v>
      </c>
      <c r="AQ464" s="8" t="n">
        <v>0</v>
      </c>
      <c r="AR464" s="8" t="n">
        <v>0</v>
      </c>
      <c r="AS464" s="8" t="n">
        <v>0</v>
      </c>
      <c r="AT464" s="10">
        <f>SUM(O464:AS464)</f>
        <v/>
      </c>
      <c r="AU464" s="11">
        <f>COUNTIF(O464:AS464, "&gt;0")</f>
        <v/>
      </c>
      <c r="AV464" s="12">
        <f>IF(AU464&gt;=5, 4, IF(AU464&gt;0, INT(AU464/6), 0))</f>
        <v/>
      </c>
      <c r="AW464" s="11" t="n">
        <v>0</v>
      </c>
      <c r="AX464" s="11" t="n">
        <v>0</v>
      </c>
      <c r="AY464" s="13">
        <f>MIN(31, AU464+AV464+AW464+AX464)</f>
        <v/>
      </c>
      <c r="AZ464" s="14">
        <f>31-AY464</f>
        <v/>
      </c>
      <c r="BA464" s="5">
        <f>IF(AX464&gt;0, "01-İstirahat", IF(AZ464&gt;0, "12-Birden Fazla", ""))</f>
        <v/>
      </c>
      <c r="BB464" s="10" t="n">
        <v>0</v>
      </c>
      <c r="BC464" s="8" t="n">
        <v>0</v>
      </c>
      <c r="BD464" s="9" t="n">
        <v>0</v>
      </c>
      <c r="BE464" s="7">
        <f>(L464/30)*AU464</f>
        <v/>
      </c>
      <c r="BF464" s="15">
        <f>(L464/225)*((BB464*1.5)-(BC464*1.0))</f>
        <v/>
      </c>
      <c r="BG464" s="16">
        <f>(L464/225)*1.5*BD464</f>
        <v/>
      </c>
      <c r="BH464" s="15">
        <f>BF464+BG464</f>
        <v/>
      </c>
      <c r="BI464" s="17">
        <f>BE464+BH464</f>
        <v/>
      </c>
      <c r="BJ464" s="7">
        <f>IFERROR(VLOOKUP(B464, Resmi_Bordro_SGK!B:M, 11, FALSE), 0)</f>
        <v/>
      </c>
      <c r="BK464" s="18">
        <f>IFERROR(VLOOKUP(B464, Icra_Takip!A:E, 4, FALSE), 0)</f>
        <v/>
      </c>
      <c r="BL464" s="17">
        <f>IF(BI464&gt;BJ464, BI464-BJ464-BK464, 0)</f>
        <v/>
      </c>
      <c r="BM464" s="17">
        <f>BI464-BK464</f>
        <v/>
      </c>
    </row>
    <row r="465" ht="19" customHeight="1">
      <c r="A465" s="4" t="n">
        <v>462</v>
      </c>
      <c r="B465" s="5" t="inlineStr">
        <is>
          <t>19450488504</t>
        </is>
      </c>
      <c r="C465" s="6" t="inlineStr">
        <is>
          <t>RABİA SILA ALKAN</t>
        </is>
      </c>
      <c r="D465" s="4" t="inlineStr"/>
      <c r="E465" s="4" t="inlineStr"/>
      <c r="F465" s="4" t="inlineStr">
        <is>
          <t>28.07.2026</t>
        </is>
      </c>
      <c r="G465" s="4" t="inlineStr"/>
      <c r="H465" s="4" t="inlineStr">
        <is>
          <t>NORMAL</t>
        </is>
      </c>
      <c r="I465" s="4" t="inlineStr">
        <is>
          <t>MEVSİMLİK</t>
        </is>
      </c>
      <c r="J465" s="6" t="inlineStr"/>
      <c r="K465" s="6" t="inlineStr"/>
      <c r="L465" s="7" t="n">
        <v>28075.5</v>
      </c>
      <c r="M465" s="4" t="inlineStr">
        <is>
          <t>FİDE KONSERVE</t>
        </is>
      </c>
      <c r="N465" s="4" t="inlineStr">
        <is>
          <t>ALIR</t>
        </is>
      </c>
      <c r="O465" s="19" t="n">
        <v>0</v>
      </c>
      <c r="P465" s="19" t="n">
        <v>0</v>
      </c>
      <c r="Q465" s="19" t="n">
        <v>0</v>
      </c>
      <c r="R465" s="9" t="n">
        <v>0</v>
      </c>
      <c r="S465" s="19" t="n">
        <v>0</v>
      </c>
      <c r="T465" s="19" t="n">
        <v>0</v>
      </c>
      <c r="U465" s="19" t="n">
        <v>0</v>
      </c>
      <c r="V465" s="19" t="n">
        <v>0</v>
      </c>
      <c r="W465" s="19" t="n">
        <v>0</v>
      </c>
      <c r="X465" s="19" t="n">
        <v>0</v>
      </c>
      <c r="Y465" s="9" t="n">
        <v>0</v>
      </c>
      <c r="Z465" s="19" t="n">
        <v>0</v>
      </c>
      <c r="AA465" s="19" t="n">
        <v>0</v>
      </c>
      <c r="AB465" s="19" t="n">
        <v>0</v>
      </c>
      <c r="AC465" s="19" t="n">
        <v>0</v>
      </c>
      <c r="AD465" s="19" t="n">
        <v>0</v>
      </c>
      <c r="AE465" s="19" t="n">
        <v>0</v>
      </c>
      <c r="AF465" s="9" t="n">
        <v>0</v>
      </c>
      <c r="AG465" s="19" t="n">
        <v>0</v>
      </c>
      <c r="AH465" s="19" t="n">
        <v>0</v>
      </c>
      <c r="AI465" s="19" t="n">
        <v>0</v>
      </c>
      <c r="AJ465" s="19" t="n">
        <v>0</v>
      </c>
      <c r="AK465" s="19" t="n">
        <v>0</v>
      </c>
      <c r="AL465" s="19" t="n">
        <v>0</v>
      </c>
      <c r="AM465" s="9" t="n">
        <v>0</v>
      </c>
      <c r="AN465" s="19" t="n">
        <v>0</v>
      </c>
      <c r="AO465" s="19" t="n">
        <v>0</v>
      </c>
      <c r="AP465" s="19" t="n">
        <v>0</v>
      </c>
      <c r="AQ465" s="19" t="n">
        <v>0</v>
      </c>
      <c r="AR465" s="19" t="n">
        <v>0</v>
      </c>
      <c r="AS465" s="19" t="n">
        <v>0</v>
      </c>
      <c r="AT465" s="10">
        <f>SUM(O465:AS465)</f>
        <v/>
      </c>
      <c r="AU465" s="20">
        <f>COUNTIF(O465:AS465, "&gt;0")</f>
        <v/>
      </c>
      <c r="AV465" s="12">
        <f>IF(AU465&gt;=5, 4, IF(AU465&gt;0, INT(AU465/6), 0))</f>
        <v/>
      </c>
      <c r="AW465" s="20" t="n">
        <v>0</v>
      </c>
      <c r="AX465" s="20" t="n">
        <v>0</v>
      </c>
      <c r="AY465" s="13">
        <f>MIN(31, AU465+AV465+AW465+AX465)</f>
        <v/>
      </c>
      <c r="AZ465" s="14">
        <f>31-AY465</f>
        <v/>
      </c>
      <c r="BA465" s="21">
        <f>IF(AX465&gt;0, "01-İstirahat", IF(AZ465&gt;0, "12-Birden Fazla", ""))</f>
        <v/>
      </c>
      <c r="BB465" s="10" t="n">
        <v>0</v>
      </c>
      <c r="BC465" s="19" t="n">
        <v>0</v>
      </c>
      <c r="BD465" s="9" t="n">
        <v>0</v>
      </c>
      <c r="BE465" s="22">
        <f>(L465/30)*AU465</f>
        <v/>
      </c>
      <c r="BF465" s="15">
        <f>(L465/225)*((BB465*1.5)-(BC465*1.0))</f>
        <v/>
      </c>
      <c r="BG465" s="16">
        <f>(L465/225)*1.5*BD465</f>
        <v/>
      </c>
      <c r="BH465" s="15">
        <f>BF465+BG465</f>
        <v/>
      </c>
      <c r="BI465" s="17">
        <f>BE465+BH465</f>
        <v/>
      </c>
      <c r="BJ465" s="22">
        <f>IFERROR(VLOOKUP(B465, Resmi_Bordro_SGK!B:M, 11, FALSE), 0)</f>
        <v/>
      </c>
      <c r="BK465" s="18">
        <f>IFERROR(VLOOKUP(B465, Icra_Takip!A:E, 4, FALSE), 0)</f>
        <v/>
      </c>
      <c r="BL465" s="17">
        <f>IF(BI465&gt;BJ465, BI465-BJ465-BK465, 0)</f>
        <v/>
      </c>
      <c r="BM465" s="17">
        <f>BI465-BK465</f>
        <v/>
      </c>
    </row>
    <row r="466" ht="19" customHeight="1">
      <c r="A466" s="4" t="n">
        <v>463</v>
      </c>
      <c r="B466" s="5" t="inlineStr">
        <is>
          <t>14066951282</t>
        </is>
      </c>
      <c r="C466" s="6" t="inlineStr">
        <is>
          <t>SALİH DAĞ</t>
        </is>
      </c>
      <c r="D466" s="4" t="inlineStr"/>
      <c r="E466" s="4" t="inlineStr"/>
      <c r="F466" s="4" t="inlineStr">
        <is>
          <t>17.07.2026</t>
        </is>
      </c>
      <c r="G466" s="4" t="inlineStr"/>
      <c r="H466" s="4" t="inlineStr">
        <is>
          <t>NORMAL</t>
        </is>
      </c>
      <c r="I466" s="4" t="inlineStr">
        <is>
          <t>MEVSİMLİK</t>
        </is>
      </c>
      <c r="J466" s="6" t="inlineStr"/>
      <c r="K466" s="6" t="inlineStr"/>
      <c r="L466" s="7" t="n">
        <v>28075.5</v>
      </c>
      <c r="M466" s="4" t="inlineStr">
        <is>
          <t>FİDE KONSERVE</t>
        </is>
      </c>
      <c r="N466" s="4" t="inlineStr">
        <is>
          <t>ALIR</t>
        </is>
      </c>
      <c r="O466" s="8" t="n">
        <v>0</v>
      </c>
      <c r="P466" s="8" t="n">
        <v>0</v>
      </c>
      <c r="Q466" s="8" t="n">
        <v>0</v>
      </c>
      <c r="R466" s="9" t="n">
        <v>0</v>
      </c>
      <c r="S466" s="8" t="n">
        <v>0</v>
      </c>
      <c r="T466" s="8" t="n">
        <v>0</v>
      </c>
      <c r="U466" s="8" t="n">
        <v>0</v>
      </c>
      <c r="V466" s="8" t="n">
        <v>0</v>
      </c>
      <c r="W466" s="8" t="n">
        <v>0</v>
      </c>
      <c r="X466" s="8" t="n">
        <v>0</v>
      </c>
      <c r="Y466" s="9" t="n">
        <v>0</v>
      </c>
      <c r="Z466" s="8" t="n">
        <v>0</v>
      </c>
      <c r="AA466" s="8" t="n">
        <v>0</v>
      </c>
      <c r="AB466" s="8" t="n">
        <v>0</v>
      </c>
      <c r="AC466" s="8" t="n">
        <v>0</v>
      </c>
      <c r="AD466" s="8" t="n">
        <v>0</v>
      </c>
      <c r="AE466" s="8" t="n">
        <v>0</v>
      </c>
      <c r="AF466" s="9" t="n">
        <v>0</v>
      </c>
      <c r="AG466" s="8" t="n">
        <v>0</v>
      </c>
      <c r="AH466" s="8" t="n">
        <v>0</v>
      </c>
      <c r="AI466" s="8" t="n">
        <v>0</v>
      </c>
      <c r="AJ466" s="8" t="n">
        <v>0</v>
      </c>
      <c r="AK466" s="8" t="n">
        <v>0</v>
      </c>
      <c r="AL466" s="8" t="n">
        <v>0</v>
      </c>
      <c r="AM466" s="9" t="n">
        <v>0</v>
      </c>
      <c r="AN466" s="8" t="n">
        <v>0</v>
      </c>
      <c r="AO466" s="8" t="n">
        <v>0</v>
      </c>
      <c r="AP466" s="8" t="n">
        <v>0</v>
      </c>
      <c r="AQ466" s="8" t="n">
        <v>0</v>
      </c>
      <c r="AR466" s="8" t="n">
        <v>0</v>
      </c>
      <c r="AS466" s="8" t="n">
        <v>0</v>
      </c>
      <c r="AT466" s="10">
        <f>SUM(O466:AS466)</f>
        <v/>
      </c>
      <c r="AU466" s="11">
        <f>COUNTIF(O466:AS466, "&gt;0")</f>
        <v/>
      </c>
      <c r="AV466" s="12">
        <f>IF(AU466&gt;=5, 4, IF(AU466&gt;0, INT(AU466/6), 0))</f>
        <v/>
      </c>
      <c r="AW466" s="11" t="n">
        <v>0</v>
      </c>
      <c r="AX466" s="11" t="n">
        <v>0</v>
      </c>
      <c r="AY466" s="13">
        <f>MIN(31, AU466+AV466+AW466+AX466)</f>
        <v/>
      </c>
      <c r="AZ466" s="14">
        <f>31-AY466</f>
        <v/>
      </c>
      <c r="BA466" s="5">
        <f>IF(AX466&gt;0, "01-İstirahat", IF(AZ466&gt;0, "12-Birden Fazla", ""))</f>
        <v/>
      </c>
      <c r="BB466" s="10" t="n">
        <v>0</v>
      </c>
      <c r="BC466" s="8" t="n">
        <v>0</v>
      </c>
      <c r="BD466" s="9" t="n">
        <v>0</v>
      </c>
      <c r="BE466" s="7">
        <f>(L466/30)*AU466</f>
        <v/>
      </c>
      <c r="BF466" s="15">
        <f>(L466/225)*((BB466*1.5)-(BC466*1.0))</f>
        <v/>
      </c>
      <c r="BG466" s="16">
        <f>(L466/225)*1.5*BD466</f>
        <v/>
      </c>
      <c r="BH466" s="15">
        <f>BF466+BG466</f>
        <v/>
      </c>
      <c r="BI466" s="17">
        <f>BE466+BH466</f>
        <v/>
      </c>
      <c r="BJ466" s="7">
        <f>IFERROR(VLOOKUP(B466, Resmi_Bordro_SGK!B:M, 11, FALSE), 0)</f>
        <v/>
      </c>
      <c r="BK466" s="18">
        <f>IFERROR(VLOOKUP(B466, Icra_Takip!A:E, 4, FALSE), 0)</f>
        <v/>
      </c>
      <c r="BL466" s="17">
        <f>IF(BI466&gt;BJ466, BI466-BJ466-BK466, 0)</f>
        <v/>
      </c>
      <c r="BM466" s="17">
        <f>BI466-BK466</f>
        <v/>
      </c>
    </row>
    <row r="467" ht="19" customHeight="1">
      <c r="A467" s="4" t="n">
        <v>464</v>
      </c>
      <c r="B467" s="5" t="inlineStr">
        <is>
          <t>60649335994</t>
        </is>
      </c>
      <c r="C467" s="6" t="inlineStr">
        <is>
          <t>SANİYE ÇİTKIRAN</t>
        </is>
      </c>
      <c r="D467" s="4" t="inlineStr"/>
      <c r="E467" s="4" t="inlineStr"/>
      <c r="F467" s="4" t="inlineStr">
        <is>
          <t>10.07.2026</t>
        </is>
      </c>
      <c r="G467" s="4" t="inlineStr"/>
      <c r="H467" s="4" t="inlineStr">
        <is>
          <t>NORMAL</t>
        </is>
      </c>
      <c r="I467" s="4" t="inlineStr">
        <is>
          <t>MEVSİMLİK</t>
        </is>
      </c>
      <c r="J467" s="6" t="inlineStr"/>
      <c r="K467" s="6" t="inlineStr"/>
      <c r="L467" s="7" t="n">
        <v>28075.5</v>
      </c>
      <c r="M467" s="4" t="inlineStr">
        <is>
          <t>FİDE KONSERVE</t>
        </is>
      </c>
      <c r="N467" s="4" t="inlineStr">
        <is>
          <t>ALIR</t>
        </is>
      </c>
      <c r="O467" s="19" t="n">
        <v>0</v>
      </c>
      <c r="P467" s="19" t="n">
        <v>0</v>
      </c>
      <c r="Q467" s="19" t="n">
        <v>0</v>
      </c>
      <c r="R467" s="9" t="n">
        <v>0</v>
      </c>
      <c r="S467" s="19" t="n">
        <v>0</v>
      </c>
      <c r="T467" s="19" t="n">
        <v>0</v>
      </c>
      <c r="U467" s="19" t="n">
        <v>0</v>
      </c>
      <c r="V467" s="19" t="n">
        <v>0</v>
      </c>
      <c r="W467" s="19" t="n">
        <v>0</v>
      </c>
      <c r="X467" s="19" t="n">
        <v>0</v>
      </c>
      <c r="Y467" s="9" t="n">
        <v>0</v>
      </c>
      <c r="Z467" s="19" t="n">
        <v>0</v>
      </c>
      <c r="AA467" s="19" t="n">
        <v>0</v>
      </c>
      <c r="AB467" s="19" t="n">
        <v>0</v>
      </c>
      <c r="AC467" s="19" t="n">
        <v>0</v>
      </c>
      <c r="AD467" s="19" t="n">
        <v>0</v>
      </c>
      <c r="AE467" s="19" t="n">
        <v>0</v>
      </c>
      <c r="AF467" s="9" t="n">
        <v>0</v>
      </c>
      <c r="AG467" s="19" t="n">
        <v>0</v>
      </c>
      <c r="AH467" s="19" t="n">
        <v>0</v>
      </c>
      <c r="AI467" s="19" t="n">
        <v>0</v>
      </c>
      <c r="AJ467" s="19" t="n">
        <v>0</v>
      </c>
      <c r="AK467" s="19" t="n">
        <v>0</v>
      </c>
      <c r="AL467" s="19" t="n">
        <v>0</v>
      </c>
      <c r="AM467" s="9" t="n">
        <v>0</v>
      </c>
      <c r="AN467" s="19" t="n">
        <v>0</v>
      </c>
      <c r="AO467" s="19" t="n">
        <v>0</v>
      </c>
      <c r="AP467" s="19" t="n">
        <v>0</v>
      </c>
      <c r="AQ467" s="19" t="n">
        <v>0</v>
      </c>
      <c r="AR467" s="19" t="n">
        <v>0</v>
      </c>
      <c r="AS467" s="19" t="n">
        <v>0</v>
      </c>
      <c r="AT467" s="10">
        <f>SUM(O467:AS467)</f>
        <v/>
      </c>
      <c r="AU467" s="20">
        <f>COUNTIF(O467:AS467, "&gt;0")</f>
        <v/>
      </c>
      <c r="AV467" s="12">
        <f>IF(AU467&gt;=5, 4, IF(AU467&gt;0, INT(AU467/6), 0))</f>
        <v/>
      </c>
      <c r="AW467" s="20" t="n">
        <v>0</v>
      </c>
      <c r="AX467" s="20" t="n">
        <v>0</v>
      </c>
      <c r="AY467" s="13">
        <f>MIN(31, AU467+AV467+AW467+AX467)</f>
        <v/>
      </c>
      <c r="AZ467" s="14">
        <f>31-AY467</f>
        <v/>
      </c>
      <c r="BA467" s="21">
        <f>IF(AX467&gt;0, "01-İstirahat", IF(AZ467&gt;0, "12-Birden Fazla", ""))</f>
        <v/>
      </c>
      <c r="BB467" s="10" t="n">
        <v>0</v>
      </c>
      <c r="BC467" s="19" t="n">
        <v>0</v>
      </c>
      <c r="BD467" s="9" t="n">
        <v>0</v>
      </c>
      <c r="BE467" s="22">
        <f>(L467/30)*AU467</f>
        <v/>
      </c>
      <c r="BF467" s="15">
        <f>(L467/225)*((BB467*1.5)-(BC467*1.0))</f>
        <v/>
      </c>
      <c r="BG467" s="16">
        <f>(L467/225)*1.5*BD467</f>
        <v/>
      </c>
      <c r="BH467" s="15">
        <f>BF467+BG467</f>
        <v/>
      </c>
      <c r="BI467" s="17">
        <f>BE467+BH467</f>
        <v/>
      </c>
      <c r="BJ467" s="22">
        <f>IFERROR(VLOOKUP(B467, Resmi_Bordro_SGK!B:M, 11, FALSE), 0)</f>
        <v/>
      </c>
      <c r="BK467" s="18">
        <f>IFERROR(VLOOKUP(B467, Icra_Takip!A:E, 4, FALSE), 0)</f>
        <v/>
      </c>
      <c r="BL467" s="17">
        <f>IF(BI467&gt;BJ467, BI467-BJ467-BK467, 0)</f>
        <v/>
      </c>
      <c r="BM467" s="17">
        <f>BI467-BK467</f>
        <v/>
      </c>
    </row>
    <row r="468" ht="19" customHeight="1">
      <c r="A468" s="4" t="n">
        <v>465</v>
      </c>
      <c r="B468" s="5" t="inlineStr">
        <is>
          <t>22756404246</t>
        </is>
      </c>
      <c r="C468" s="6" t="inlineStr">
        <is>
          <t>SELAHATTİN IRMAK</t>
        </is>
      </c>
      <c r="D468" s="4" t="inlineStr"/>
      <c r="E468" s="4" t="inlineStr"/>
      <c r="F468" s="4" t="inlineStr">
        <is>
          <t>06.03.2026</t>
        </is>
      </c>
      <c r="G468" s="4" t="inlineStr"/>
      <c r="H468" s="4" t="inlineStr">
        <is>
          <t>NORMAL</t>
        </is>
      </c>
      <c r="I468" s="4" t="inlineStr">
        <is>
          <t>MEVSİMLİK</t>
        </is>
      </c>
      <c r="J468" s="6" t="inlineStr"/>
      <c r="K468" s="6" t="inlineStr"/>
      <c r="L468" s="7" t="n">
        <v>28075.5</v>
      </c>
      <c r="M468" s="4" t="inlineStr">
        <is>
          <t>FİDE KONSERVE</t>
        </is>
      </c>
      <c r="N468" s="4" t="inlineStr">
        <is>
          <t>ALIR</t>
        </is>
      </c>
      <c r="O468" s="8" t="n">
        <v>0</v>
      </c>
      <c r="P468" s="8" t="n">
        <v>0</v>
      </c>
      <c r="Q468" s="8" t="n">
        <v>0</v>
      </c>
      <c r="R468" s="9" t="n">
        <v>0</v>
      </c>
      <c r="S468" s="8" t="n">
        <v>0</v>
      </c>
      <c r="T468" s="8" t="n">
        <v>0</v>
      </c>
      <c r="U468" s="8" t="n">
        <v>0</v>
      </c>
      <c r="V468" s="8" t="n">
        <v>0</v>
      </c>
      <c r="W468" s="8" t="n">
        <v>0</v>
      </c>
      <c r="X468" s="8" t="n">
        <v>0</v>
      </c>
      <c r="Y468" s="9" t="n">
        <v>0</v>
      </c>
      <c r="Z468" s="8" t="n">
        <v>0</v>
      </c>
      <c r="AA468" s="8" t="n">
        <v>0</v>
      </c>
      <c r="AB468" s="8" t="n">
        <v>0</v>
      </c>
      <c r="AC468" s="8" t="n">
        <v>0</v>
      </c>
      <c r="AD468" s="8" t="n">
        <v>0</v>
      </c>
      <c r="AE468" s="8" t="n">
        <v>0</v>
      </c>
      <c r="AF468" s="9" t="n">
        <v>0</v>
      </c>
      <c r="AG468" s="8" t="n">
        <v>0</v>
      </c>
      <c r="AH468" s="8" t="n">
        <v>0</v>
      </c>
      <c r="AI468" s="8" t="n">
        <v>0</v>
      </c>
      <c r="AJ468" s="8" t="n">
        <v>0</v>
      </c>
      <c r="AK468" s="8" t="n">
        <v>0</v>
      </c>
      <c r="AL468" s="8" t="n">
        <v>0</v>
      </c>
      <c r="AM468" s="9" t="n">
        <v>0</v>
      </c>
      <c r="AN468" s="8" t="n">
        <v>0</v>
      </c>
      <c r="AO468" s="8" t="n">
        <v>0</v>
      </c>
      <c r="AP468" s="8" t="n">
        <v>0</v>
      </c>
      <c r="AQ468" s="8" t="n">
        <v>0</v>
      </c>
      <c r="AR468" s="8" t="n">
        <v>0</v>
      </c>
      <c r="AS468" s="8" t="n">
        <v>0</v>
      </c>
      <c r="AT468" s="10">
        <f>SUM(O468:AS468)</f>
        <v/>
      </c>
      <c r="AU468" s="11">
        <f>COUNTIF(O468:AS468, "&gt;0")</f>
        <v/>
      </c>
      <c r="AV468" s="12">
        <f>IF(AU468&gt;=5, 4, IF(AU468&gt;0, INT(AU468/6), 0))</f>
        <v/>
      </c>
      <c r="AW468" s="11" t="n">
        <v>0</v>
      </c>
      <c r="AX468" s="11" t="n">
        <v>0</v>
      </c>
      <c r="AY468" s="13">
        <f>MIN(31, AU468+AV468+AW468+AX468)</f>
        <v/>
      </c>
      <c r="AZ468" s="14">
        <f>31-AY468</f>
        <v/>
      </c>
      <c r="BA468" s="5">
        <f>IF(AX468&gt;0, "01-İstirahat", IF(AZ468&gt;0, "12-Birden Fazla", ""))</f>
        <v/>
      </c>
      <c r="BB468" s="10" t="n">
        <v>0</v>
      </c>
      <c r="BC468" s="8" t="n">
        <v>0</v>
      </c>
      <c r="BD468" s="9" t="n">
        <v>0</v>
      </c>
      <c r="BE468" s="7">
        <f>(L468/30)*AU468</f>
        <v/>
      </c>
      <c r="BF468" s="15">
        <f>(L468/225)*((BB468*1.5)-(BC468*1.0))</f>
        <v/>
      </c>
      <c r="BG468" s="16">
        <f>(L468/225)*1.5*BD468</f>
        <v/>
      </c>
      <c r="BH468" s="15">
        <f>BF468+BG468</f>
        <v/>
      </c>
      <c r="BI468" s="17">
        <f>BE468+BH468</f>
        <v/>
      </c>
      <c r="BJ468" s="7">
        <f>IFERROR(VLOOKUP(B468, Resmi_Bordro_SGK!B:M, 11, FALSE), 0)</f>
        <v/>
      </c>
      <c r="BK468" s="18">
        <f>IFERROR(VLOOKUP(B468, Icra_Takip!A:E, 4, FALSE), 0)</f>
        <v/>
      </c>
      <c r="BL468" s="17">
        <f>IF(BI468&gt;BJ468, BI468-BJ468-BK468, 0)</f>
        <v/>
      </c>
      <c r="BM468" s="17">
        <f>BI468-BK468</f>
        <v/>
      </c>
    </row>
    <row r="469" ht="19" customHeight="1">
      <c r="A469" s="4" t="n">
        <v>466</v>
      </c>
      <c r="B469" s="5" t="inlineStr">
        <is>
          <t>19072649468</t>
        </is>
      </c>
      <c r="C469" s="6" t="inlineStr">
        <is>
          <t>SELİME DUMAN</t>
        </is>
      </c>
      <c r="D469" s="4" t="inlineStr"/>
      <c r="E469" s="4" t="inlineStr"/>
      <c r="F469" s="4" t="inlineStr">
        <is>
          <t>26.07.2026</t>
        </is>
      </c>
      <c r="G469" s="4" t="inlineStr"/>
      <c r="H469" s="4" t="inlineStr">
        <is>
          <t>NORMAL</t>
        </is>
      </c>
      <c r="I469" s="4" t="inlineStr">
        <is>
          <t>MEVSİMLİK</t>
        </is>
      </c>
      <c r="J469" s="6" t="inlineStr"/>
      <c r="K469" s="6" t="inlineStr"/>
      <c r="L469" s="7" t="n">
        <v>28075.5</v>
      </c>
      <c r="M469" s="4" t="inlineStr">
        <is>
          <t>FİDE KONSERVE</t>
        </is>
      </c>
      <c r="N469" s="4" t="inlineStr">
        <is>
          <t>ALIR</t>
        </is>
      </c>
      <c r="O469" s="19" t="n">
        <v>0</v>
      </c>
      <c r="P469" s="19" t="n">
        <v>0</v>
      </c>
      <c r="Q469" s="19" t="n">
        <v>0</v>
      </c>
      <c r="R469" s="9" t="n">
        <v>0</v>
      </c>
      <c r="S469" s="19" t="n">
        <v>0</v>
      </c>
      <c r="T469" s="19" t="n">
        <v>0</v>
      </c>
      <c r="U469" s="19" t="n">
        <v>0</v>
      </c>
      <c r="V469" s="19" t="n">
        <v>0</v>
      </c>
      <c r="W469" s="19" t="n">
        <v>0</v>
      </c>
      <c r="X469" s="19" t="n">
        <v>0</v>
      </c>
      <c r="Y469" s="9" t="n">
        <v>0</v>
      </c>
      <c r="Z469" s="19" t="n">
        <v>0</v>
      </c>
      <c r="AA469" s="19" t="n">
        <v>0</v>
      </c>
      <c r="AB469" s="19" t="n">
        <v>0</v>
      </c>
      <c r="AC469" s="19" t="n">
        <v>0</v>
      </c>
      <c r="AD469" s="19" t="n">
        <v>0</v>
      </c>
      <c r="AE469" s="19" t="n">
        <v>0</v>
      </c>
      <c r="AF469" s="9" t="n">
        <v>0</v>
      </c>
      <c r="AG469" s="19" t="n">
        <v>0</v>
      </c>
      <c r="AH469" s="19" t="n">
        <v>0</v>
      </c>
      <c r="AI469" s="19" t="n">
        <v>0</v>
      </c>
      <c r="AJ469" s="19" t="n">
        <v>0</v>
      </c>
      <c r="AK469" s="19" t="n">
        <v>0</v>
      </c>
      <c r="AL469" s="19" t="n">
        <v>0</v>
      </c>
      <c r="AM469" s="9" t="n">
        <v>0</v>
      </c>
      <c r="AN469" s="19" t="n">
        <v>0</v>
      </c>
      <c r="AO469" s="19" t="n">
        <v>0</v>
      </c>
      <c r="AP469" s="19" t="n">
        <v>0</v>
      </c>
      <c r="AQ469" s="19" t="n">
        <v>0</v>
      </c>
      <c r="AR469" s="19" t="n">
        <v>0</v>
      </c>
      <c r="AS469" s="19" t="n">
        <v>0</v>
      </c>
      <c r="AT469" s="10">
        <f>SUM(O469:AS469)</f>
        <v/>
      </c>
      <c r="AU469" s="20">
        <f>COUNTIF(O469:AS469, "&gt;0")</f>
        <v/>
      </c>
      <c r="AV469" s="12">
        <f>IF(AU469&gt;=5, 4, IF(AU469&gt;0, INT(AU469/6), 0))</f>
        <v/>
      </c>
      <c r="AW469" s="20" t="n">
        <v>0</v>
      </c>
      <c r="AX469" s="20" t="n">
        <v>0</v>
      </c>
      <c r="AY469" s="13">
        <f>MIN(31, AU469+AV469+AW469+AX469)</f>
        <v/>
      </c>
      <c r="AZ469" s="14">
        <f>31-AY469</f>
        <v/>
      </c>
      <c r="BA469" s="21">
        <f>IF(AX469&gt;0, "01-İstirahat", IF(AZ469&gt;0, "12-Birden Fazla", ""))</f>
        <v/>
      </c>
      <c r="BB469" s="10" t="n">
        <v>0</v>
      </c>
      <c r="BC469" s="19" t="n">
        <v>0</v>
      </c>
      <c r="BD469" s="9" t="n">
        <v>0</v>
      </c>
      <c r="BE469" s="22">
        <f>(L469/30)*AU469</f>
        <v/>
      </c>
      <c r="BF469" s="15">
        <f>(L469/225)*((BB469*1.5)-(BC469*1.0))</f>
        <v/>
      </c>
      <c r="BG469" s="16">
        <f>(L469/225)*1.5*BD469</f>
        <v/>
      </c>
      <c r="BH469" s="15">
        <f>BF469+BG469</f>
        <v/>
      </c>
      <c r="BI469" s="17">
        <f>BE469+BH469</f>
        <v/>
      </c>
      <c r="BJ469" s="22">
        <f>IFERROR(VLOOKUP(B469, Resmi_Bordro_SGK!B:M, 11, FALSE), 0)</f>
        <v/>
      </c>
      <c r="BK469" s="18">
        <f>IFERROR(VLOOKUP(B469, Icra_Takip!A:E, 4, FALSE), 0)</f>
        <v/>
      </c>
      <c r="BL469" s="17">
        <f>IF(BI469&gt;BJ469, BI469-BJ469-BK469, 0)</f>
        <v/>
      </c>
      <c r="BM469" s="17">
        <f>BI469-BK469</f>
        <v/>
      </c>
    </row>
    <row r="470" ht="19" customHeight="1">
      <c r="A470" s="4" t="n">
        <v>467</v>
      </c>
      <c r="B470" s="5" t="inlineStr">
        <is>
          <t>12970852824</t>
        </is>
      </c>
      <c r="C470" s="6" t="inlineStr">
        <is>
          <t>SELİN ÖYKÜ ATA</t>
        </is>
      </c>
      <c r="D470" s="4" t="inlineStr"/>
      <c r="E470" s="4" t="inlineStr"/>
      <c r="F470" s="4" t="inlineStr">
        <is>
          <t>25.08.2026</t>
        </is>
      </c>
      <c r="G470" s="4" t="inlineStr"/>
      <c r="H470" s="4" t="inlineStr">
        <is>
          <t>NORMAL</t>
        </is>
      </c>
      <c r="I470" s="4" t="inlineStr">
        <is>
          <t>MEVSİMLİK</t>
        </is>
      </c>
      <c r="J470" s="6" t="inlineStr"/>
      <c r="K470" s="6" t="inlineStr"/>
      <c r="L470" s="7" t="n">
        <v>28075.5</v>
      </c>
      <c r="M470" s="4" t="inlineStr">
        <is>
          <t>FİDE KONSERVE</t>
        </is>
      </c>
      <c r="N470" s="4" t="inlineStr">
        <is>
          <t>ALIR</t>
        </is>
      </c>
      <c r="O470" s="8" t="n">
        <v>0</v>
      </c>
      <c r="P470" s="8" t="n">
        <v>0</v>
      </c>
      <c r="Q470" s="8" t="n">
        <v>0</v>
      </c>
      <c r="R470" s="9" t="n">
        <v>0</v>
      </c>
      <c r="S470" s="8" t="n">
        <v>0</v>
      </c>
      <c r="T470" s="8" t="n">
        <v>0</v>
      </c>
      <c r="U470" s="8" t="n">
        <v>0</v>
      </c>
      <c r="V470" s="8" t="n">
        <v>0</v>
      </c>
      <c r="W470" s="8" t="n">
        <v>0</v>
      </c>
      <c r="X470" s="8" t="n">
        <v>0</v>
      </c>
      <c r="Y470" s="9" t="n">
        <v>0</v>
      </c>
      <c r="Z470" s="8" t="n">
        <v>0</v>
      </c>
      <c r="AA470" s="8" t="n">
        <v>0</v>
      </c>
      <c r="AB470" s="8" t="n">
        <v>0</v>
      </c>
      <c r="AC470" s="8" t="n">
        <v>0</v>
      </c>
      <c r="AD470" s="8" t="n">
        <v>0</v>
      </c>
      <c r="AE470" s="8" t="n">
        <v>0</v>
      </c>
      <c r="AF470" s="9" t="n">
        <v>0</v>
      </c>
      <c r="AG470" s="8" t="n">
        <v>0</v>
      </c>
      <c r="AH470" s="8" t="n">
        <v>0</v>
      </c>
      <c r="AI470" s="8" t="n">
        <v>0</v>
      </c>
      <c r="AJ470" s="8" t="n">
        <v>0</v>
      </c>
      <c r="AK470" s="8" t="n">
        <v>0</v>
      </c>
      <c r="AL470" s="8" t="n">
        <v>0</v>
      </c>
      <c r="AM470" s="9" t="n">
        <v>0</v>
      </c>
      <c r="AN470" s="8" t="n">
        <v>0</v>
      </c>
      <c r="AO470" s="8" t="n">
        <v>0</v>
      </c>
      <c r="AP470" s="8" t="n">
        <v>0</v>
      </c>
      <c r="AQ470" s="8" t="n">
        <v>0</v>
      </c>
      <c r="AR470" s="8" t="n">
        <v>0</v>
      </c>
      <c r="AS470" s="8" t="n">
        <v>0</v>
      </c>
      <c r="AT470" s="10">
        <f>SUM(O470:AS470)</f>
        <v/>
      </c>
      <c r="AU470" s="11">
        <f>COUNTIF(O470:AS470, "&gt;0")</f>
        <v/>
      </c>
      <c r="AV470" s="12">
        <f>IF(AU470&gt;=5, 4, IF(AU470&gt;0, INT(AU470/6), 0))</f>
        <v/>
      </c>
      <c r="AW470" s="11" t="n">
        <v>0</v>
      </c>
      <c r="AX470" s="11" t="n">
        <v>0</v>
      </c>
      <c r="AY470" s="13">
        <f>MIN(31, AU470+AV470+AW470+AX470)</f>
        <v/>
      </c>
      <c r="AZ470" s="14">
        <f>31-AY470</f>
        <v/>
      </c>
      <c r="BA470" s="5">
        <f>IF(AX470&gt;0, "01-İstirahat", IF(AZ470&gt;0, "12-Birden Fazla", ""))</f>
        <v/>
      </c>
      <c r="BB470" s="10" t="n">
        <v>0</v>
      </c>
      <c r="BC470" s="8" t="n">
        <v>0</v>
      </c>
      <c r="BD470" s="9" t="n">
        <v>0</v>
      </c>
      <c r="BE470" s="7">
        <f>(L470/30)*AU470</f>
        <v/>
      </c>
      <c r="BF470" s="15">
        <f>(L470/225)*((BB470*1.5)-(BC470*1.0))</f>
        <v/>
      </c>
      <c r="BG470" s="16">
        <f>(L470/225)*1.5*BD470</f>
        <v/>
      </c>
      <c r="BH470" s="15">
        <f>BF470+BG470</f>
        <v/>
      </c>
      <c r="BI470" s="17">
        <f>BE470+BH470</f>
        <v/>
      </c>
      <c r="BJ470" s="7">
        <f>IFERROR(VLOOKUP(B470, Resmi_Bordro_SGK!B:M, 11, FALSE), 0)</f>
        <v/>
      </c>
      <c r="BK470" s="18">
        <f>IFERROR(VLOOKUP(B470, Icra_Takip!A:E, 4, FALSE), 0)</f>
        <v/>
      </c>
      <c r="BL470" s="17">
        <f>IF(BI470&gt;BJ470, BI470-BJ470-BK470, 0)</f>
        <v/>
      </c>
      <c r="BM470" s="17">
        <f>BI470-BK470</f>
        <v/>
      </c>
    </row>
    <row r="471" ht="19" customHeight="1">
      <c r="A471" s="4" t="n">
        <v>468</v>
      </c>
      <c r="B471" s="5" t="inlineStr">
        <is>
          <t>35425113622</t>
        </is>
      </c>
      <c r="C471" s="6" t="inlineStr">
        <is>
          <t>SENEM BATTAL</t>
        </is>
      </c>
      <c r="D471" s="4" t="inlineStr"/>
      <c r="E471" s="4" t="inlineStr"/>
      <c r="F471" s="4" t="inlineStr">
        <is>
          <t>08.07.2026</t>
        </is>
      </c>
      <c r="G471" s="4" t="inlineStr"/>
      <c r="H471" s="4" t="inlineStr">
        <is>
          <t>NORMAL</t>
        </is>
      </c>
      <c r="I471" s="4" t="inlineStr">
        <is>
          <t>MEVSİMLİK</t>
        </is>
      </c>
      <c r="J471" s="6" t="inlineStr"/>
      <c r="K471" s="6" t="inlineStr"/>
      <c r="L471" s="7" t="n">
        <v>28075.5</v>
      </c>
      <c r="M471" s="4" t="inlineStr">
        <is>
          <t>FİDE KONSERVE</t>
        </is>
      </c>
      <c r="N471" s="4" t="inlineStr">
        <is>
          <t>ALIR</t>
        </is>
      </c>
      <c r="O471" s="19" t="n">
        <v>0</v>
      </c>
      <c r="P471" s="19" t="n">
        <v>0</v>
      </c>
      <c r="Q471" s="19" t="n">
        <v>0</v>
      </c>
      <c r="R471" s="9" t="n">
        <v>0</v>
      </c>
      <c r="S471" s="19" t="n">
        <v>0</v>
      </c>
      <c r="T471" s="19" t="n">
        <v>0</v>
      </c>
      <c r="U471" s="19" t="n">
        <v>0</v>
      </c>
      <c r="V471" s="19" t="n">
        <v>0</v>
      </c>
      <c r="W471" s="19" t="n">
        <v>0</v>
      </c>
      <c r="X471" s="19" t="n">
        <v>0</v>
      </c>
      <c r="Y471" s="9" t="n">
        <v>0</v>
      </c>
      <c r="Z471" s="19" t="n">
        <v>0</v>
      </c>
      <c r="AA471" s="19" t="n">
        <v>0</v>
      </c>
      <c r="AB471" s="19" t="n">
        <v>0</v>
      </c>
      <c r="AC471" s="19" t="n">
        <v>0</v>
      </c>
      <c r="AD471" s="19" t="n">
        <v>0</v>
      </c>
      <c r="AE471" s="19" t="n">
        <v>0</v>
      </c>
      <c r="AF471" s="9" t="n">
        <v>0</v>
      </c>
      <c r="AG471" s="19" t="n">
        <v>0</v>
      </c>
      <c r="AH471" s="19" t="n">
        <v>0</v>
      </c>
      <c r="AI471" s="19" t="n">
        <v>0</v>
      </c>
      <c r="AJ471" s="19" t="n">
        <v>0</v>
      </c>
      <c r="AK471" s="19" t="n">
        <v>0</v>
      </c>
      <c r="AL471" s="19" t="n">
        <v>0</v>
      </c>
      <c r="AM471" s="9" t="n">
        <v>0</v>
      </c>
      <c r="AN471" s="19" t="n">
        <v>0</v>
      </c>
      <c r="AO471" s="19" t="n">
        <v>0</v>
      </c>
      <c r="AP471" s="19" t="n">
        <v>0</v>
      </c>
      <c r="AQ471" s="19" t="n">
        <v>0</v>
      </c>
      <c r="AR471" s="19" t="n">
        <v>0</v>
      </c>
      <c r="AS471" s="19" t="n">
        <v>0</v>
      </c>
      <c r="AT471" s="10">
        <f>SUM(O471:AS471)</f>
        <v/>
      </c>
      <c r="AU471" s="20">
        <f>COUNTIF(O471:AS471, "&gt;0")</f>
        <v/>
      </c>
      <c r="AV471" s="12">
        <f>IF(AU471&gt;=5, 4, IF(AU471&gt;0, INT(AU471/6), 0))</f>
        <v/>
      </c>
      <c r="AW471" s="20" t="n">
        <v>0</v>
      </c>
      <c r="AX471" s="20" t="n">
        <v>0</v>
      </c>
      <c r="AY471" s="13">
        <f>MIN(31, AU471+AV471+AW471+AX471)</f>
        <v/>
      </c>
      <c r="AZ471" s="14">
        <f>31-AY471</f>
        <v/>
      </c>
      <c r="BA471" s="21">
        <f>IF(AX471&gt;0, "01-İstirahat", IF(AZ471&gt;0, "12-Birden Fazla", ""))</f>
        <v/>
      </c>
      <c r="BB471" s="10" t="n">
        <v>0</v>
      </c>
      <c r="BC471" s="19" t="n">
        <v>0</v>
      </c>
      <c r="BD471" s="9" t="n">
        <v>0</v>
      </c>
      <c r="BE471" s="22">
        <f>(L471/30)*AU471</f>
        <v/>
      </c>
      <c r="BF471" s="15">
        <f>(L471/225)*((BB471*1.5)-(BC471*1.0))</f>
        <v/>
      </c>
      <c r="BG471" s="16">
        <f>(L471/225)*1.5*BD471</f>
        <v/>
      </c>
      <c r="BH471" s="15">
        <f>BF471+BG471</f>
        <v/>
      </c>
      <c r="BI471" s="17">
        <f>BE471+BH471</f>
        <v/>
      </c>
      <c r="BJ471" s="22">
        <f>IFERROR(VLOOKUP(B471, Resmi_Bordro_SGK!B:M, 11, FALSE), 0)</f>
        <v/>
      </c>
      <c r="BK471" s="18">
        <f>IFERROR(VLOOKUP(B471, Icra_Takip!A:E, 4, FALSE), 0)</f>
        <v/>
      </c>
      <c r="BL471" s="17">
        <f>IF(BI471&gt;BJ471, BI471-BJ471-BK471, 0)</f>
        <v/>
      </c>
      <c r="BM471" s="17">
        <f>BI471-BK471</f>
        <v/>
      </c>
    </row>
    <row r="472" ht="19" customHeight="1">
      <c r="A472" s="4" t="n">
        <v>469</v>
      </c>
      <c r="B472" s="5" t="inlineStr">
        <is>
          <t>11989894740</t>
        </is>
      </c>
      <c r="C472" s="6" t="inlineStr">
        <is>
          <t>SENEM DORU</t>
        </is>
      </c>
      <c r="D472" s="4" t="inlineStr"/>
      <c r="E472" s="4" t="inlineStr"/>
      <c r="F472" s="4" t="inlineStr">
        <is>
          <t>08.07.2026</t>
        </is>
      </c>
      <c r="G472" s="4" t="inlineStr"/>
      <c r="H472" s="4" t="inlineStr">
        <is>
          <t>NORMAL</t>
        </is>
      </c>
      <c r="I472" s="4" t="inlineStr">
        <is>
          <t>MEVSİMLİK</t>
        </is>
      </c>
      <c r="J472" s="6" t="inlineStr"/>
      <c r="K472" s="6" t="inlineStr"/>
      <c r="L472" s="7" t="n">
        <v>28075.5</v>
      </c>
      <c r="M472" s="4" t="inlineStr">
        <is>
          <t>FİDE KONSERVE</t>
        </is>
      </c>
      <c r="N472" s="4" t="inlineStr">
        <is>
          <t>ALIR</t>
        </is>
      </c>
      <c r="O472" s="8" t="n">
        <v>0</v>
      </c>
      <c r="P472" s="8" t="n">
        <v>0</v>
      </c>
      <c r="Q472" s="8" t="n">
        <v>0</v>
      </c>
      <c r="R472" s="9" t="n">
        <v>0</v>
      </c>
      <c r="S472" s="8" t="n">
        <v>0</v>
      </c>
      <c r="T472" s="8" t="n">
        <v>0</v>
      </c>
      <c r="U472" s="8" t="n">
        <v>0</v>
      </c>
      <c r="V472" s="8" t="n">
        <v>0</v>
      </c>
      <c r="W472" s="8" t="n">
        <v>0</v>
      </c>
      <c r="X472" s="8" t="n">
        <v>0</v>
      </c>
      <c r="Y472" s="9" t="n">
        <v>0</v>
      </c>
      <c r="Z472" s="8" t="n">
        <v>0</v>
      </c>
      <c r="AA472" s="8" t="n">
        <v>0</v>
      </c>
      <c r="AB472" s="8" t="n">
        <v>0</v>
      </c>
      <c r="AC472" s="8" t="n">
        <v>0</v>
      </c>
      <c r="AD472" s="8" t="n">
        <v>0</v>
      </c>
      <c r="AE472" s="8" t="n">
        <v>0</v>
      </c>
      <c r="AF472" s="9" t="n">
        <v>0</v>
      </c>
      <c r="AG472" s="8" t="n">
        <v>0</v>
      </c>
      <c r="AH472" s="8" t="n">
        <v>0</v>
      </c>
      <c r="AI472" s="8" t="n">
        <v>0</v>
      </c>
      <c r="AJ472" s="8" t="n">
        <v>0</v>
      </c>
      <c r="AK472" s="8" t="n">
        <v>0</v>
      </c>
      <c r="AL472" s="8" t="n">
        <v>0</v>
      </c>
      <c r="AM472" s="9" t="n">
        <v>0</v>
      </c>
      <c r="AN472" s="8" t="n">
        <v>0</v>
      </c>
      <c r="AO472" s="8" t="n">
        <v>0</v>
      </c>
      <c r="AP472" s="8" t="n">
        <v>0</v>
      </c>
      <c r="AQ472" s="8" t="n">
        <v>0</v>
      </c>
      <c r="AR472" s="8" t="n">
        <v>0</v>
      </c>
      <c r="AS472" s="8" t="n">
        <v>0</v>
      </c>
      <c r="AT472" s="10">
        <f>SUM(O472:AS472)</f>
        <v/>
      </c>
      <c r="AU472" s="11">
        <f>COUNTIF(O472:AS472, "&gt;0")</f>
        <v/>
      </c>
      <c r="AV472" s="12">
        <f>IF(AU472&gt;=5, 4, IF(AU472&gt;0, INT(AU472/6), 0))</f>
        <v/>
      </c>
      <c r="AW472" s="11" t="n">
        <v>0</v>
      </c>
      <c r="AX472" s="11" t="n">
        <v>0</v>
      </c>
      <c r="AY472" s="13">
        <f>MIN(31, AU472+AV472+AW472+AX472)</f>
        <v/>
      </c>
      <c r="AZ472" s="14">
        <f>31-AY472</f>
        <v/>
      </c>
      <c r="BA472" s="5">
        <f>IF(AX472&gt;0, "01-İstirahat", IF(AZ472&gt;0, "12-Birden Fazla", ""))</f>
        <v/>
      </c>
      <c r="BB472" s="10" t="n">
        <v>0</v>
      </c>
      <c r="BC472" s="8" t="n">
        <v>0</v>
      </c>
      <c r="BD472" s="9" t="n">
        <v>0</v>
      </c>
      <c r="BE472" s="7">
        <f>(L472/30)*AU472</f>
        <v/>
      </c>
      <c r="BF472" s="15">
        <f>(L472/225)*((BB472*1.5)-(BC472*1.0))</f>
        <v/>
      </c>
      <c r="BG472" s="16">
        <f>(L472/225)*1.5*BD472</f>
        <v/>
      </c>
      <c r="BH472" s="15">
        <f>BF472+BG472</f>
        <v/>
      </c>
      <c r="BI472" s="17">
        <f>BE472+BH472</f>
        <v/>
      </c>
      <c r="BJ472" s="7">
        <f>IFERROR(VLOOKUP(B472, Resmi_Bordro_SGK!B:M, 11, FALSE), 0)</f>
        <v/>
      </c>
      <c r="BK472" s="18">
        <f>IFERROR(VLOOKUP(B472, Icra_Takip!A:E, 4, FALSE), 0)</f>
        <v/>
      </c>
      <c r="BL472" s="17">
        <f>IF(BI472&gt;BJ472, BI472-BJ472-BK472, 0)</f>
        <v/>
      </c>
      <c r="BM472" s="17">
        <f>BI472-BK472</f>
        <v/>
      </c>
    </row>
    <row r="473" ht="19" customHeight="1">
      <c r="A473" s="4" t="n">
        <v>470</v>
      </c>
      <c r="B473" s="5" t="inlineStr">
        <is>
          <t>27337033952</t>
        </is>
      </c>
      <c r="C473" s="6" t="inlineStr">
        <is>
          <t>SEVDA POLAT</t>
        </is>
      </c>
      <c r="D473" s="4" t="inlineStr"/>
      <c r="E473" s="4" t="inlineStr"/>
      <c r="F473" s="4" t="inlineStr">
        <is>
          <t>19.07.2026</t>
        </is>
      </c>
      <c r="G473" s="4" t="inlineStr"/>
      <c r="H473" s="4" t="inlineStr">
        <is>
          <t>NORMAL</t>
        </is>
      </c>
      <c r="I473" s="4" t="inlineStr">
        <is>
          <t>MEVSİMLİK</t>
        </is>
      </c>
      <c r="J473" s="6" t="inlineStr"/>
      <c r="K473" s="6" t="inlineStr"/>
      <c r="L473" s="7" t="n">
        <v>28075.5</v>
      </c>
      <c r="M473" s="4" t="inlineStr">
        <is>
          <t>FİDE KONSERVE</t>
        </is>
      </c>
      <c r="N473" s="4" t="inlineStr">
        <is>
          <t>ALIR</t>
        </is>
      </c>
      <c r="O473" s="19" t="n">
        <v>0</v>
      </c>
      <c r="P473" s="19" t="n">
        <v>0</v>
      </c>
      <c r="Q473" s="19" t="n">
        <v>0</v>
      </c>
      <c r="R473" s="9" t="n">
        <v>0</v>
      </c>
      <c r="S473" s="19" t="n">
        <v>0</v>
      </c>
      <c r="T473" s="19" t="n">
        <v>0</v>
      </c>
      <c r="U473" s="19" t="n">
        <v>0</v>
      </c>
      <c r="V473" s="19" t="n">
        <v>0</v>
      </c>
      <c r="W473" s="19" t="n">
        <v>0</v>
      </c>
      <c r="X473" s="19" t="n">
        <v>0</v>
      </c>
      <c r="Y473" s="9" t="n">
        <v>0</v>
      </c>
      <c r="Z473" s="19" t="n">
        <v>0</v>
      </c>
      <c r="AA473" s="19" t="n">
        <v>0</v>
      </c>
      <c r="AB473" s="19" t="n">
        <v>0</v>
      </c>
      <c r="AC473" s="19" t="n">
        <v>0</v>
      </c>
      <c r="AD473" s="19" t="n">
        <v>0</v>
      </c>
      <c r="AE473" s="19" t="n">
        <v>0</v>
      </c>
      <c r="AF473" s="9" t="n">
        <v>0</v>
      </c>
      <c r="AG473" s="19" t="n">
        <v>0</v>
      </c>
      <c r="AH473" s="19" t="n">
        <v>0</v>
      </c>
      <c r="AI473" s="19" t="n">
        <v>0</v>
      </c>
      <c r="AJ473" s="19" t="n">
        <v>0</v>
      </c>
      <c r="AK473" s="19" t="n">
        <v>0</v>
      </c>
      <c r="AL473" s="19" t="n">
        <v>0</v>
      </c>
      <c r="AM473" s="9" t="n">
        <v>0</v>
      </c>
      <c r="AN473" s="19" t="n">
        <v>0</v>
      </c>
      <c r="AO473" s="19" t="n">
        <v>0</v>
      </c>
      <c r="AP473" s="19" t="n">
        <v>0</v>
      </c>
      <c r="AQ473" s="19" t="n">
        <v>0</v>
      </c>
      <c r="AR473" s="19" t="n">
        <v>0</v>
      </c>
      <c r="AS473" s="19" t="n">
        <v>0</v>
      </c>
      <c r="AT473" s="10">
        <f>SUM(O473:AS473)</f>
        <v/>
      </c>
      <c r="AU473" s="20">
        <f>COUNTIF(O473:AS473, "&gt;0")</f>
        <v/>
      </c>
      <c r="AV473" s="12">
        <f>IF(AU473&gt;=5, 4, IF(AU473&gt;0, INT(AU473/6), 0))</f>
        <v/>
      </c>
      <c r="AW473" s="20" t="n">
        <v>0</v>
      </c>
      <c r="AX473" s="20" t="n">
        <v>0</v>
      </c>
      <c r="AY473" s="13">
        <f>MIN(31, AU473+AV473+AW473+AX473)</f>
        <v/>
      </c>
      <c r="AZ473" s="14">
        <f>31-AY473</f>
        <v/>
      </c>
      <c r="BA473" s="21">
        <f>IF(AX473&gt;0, "01-İstirahat", IF(AZ473&gt;0, "12-Birden Fazla", ""))</f>
        <v/>
      </c>
      <c r="BB473" s="10" t="n">
        <v>0</v>
      </c>
      <c r="BC473" s="19" t="n">
        <v>0</v>
      </c>
      <c r="BD473" s="9" t="n">
        <v>0</v>
      </c>
      <c r="BE473" s="22">
        <f>(L473/30)*AU473</f>
        <v/>
      </c>
      <c r="BF473" s="15">
        <f>(L473/225)*((BB473*1.5)-(BC473*1.0))</f>
        <v/>
      </c>
      <c r="BG473" s="16">
        <f>(L473/225)*1.5*BD473</f>
        <v/>
      </c>
      <c r="BH473" s="15">
        <f>BF473+BG473</f>
        <v/>
      </c>
      <c r="BI473" s="17">
        <f>BE473+BH473</f>
        <v/>
      </c>
      <c r="BJ473" s="22">
        <f>IFERROR(VLOOKUP(B473, Resmi_Bordro_SGK!B:M, 11, FALSE), 0)</f>
        <v/>
      </c>
      <c r="BK473" s="18">
        <f>IFERROR(VLOOKUP(B473, Icra_Takip!A:E, 4, FALSE), 0)</f>
        <v/>
      </c>
      <c r="BL473" s="17">
        <f>IF(BI473&gt;BJ473, BI473-BJ473-BK473, 0)</f>
        <v/>
      </c>
      <c r="BM473" s="17">
        <f>BI473-BK473</f>
        <v/>
      </c>
    </row>
    <row r="474" ht="19" customHeight="1">
      <c r="A474" s="4" t="n">
        <v>471</v>
      </c>
      <c r="B474" s="5" t="inlineStr">
        <is>
          <t>14578799594</t>
        </is>
      </c>
      <c r="C474" s="6" t="inlineStr">
        <is>
          <t>SEZER YAĞMUR</t>
        </is>
      </c>
      <c r="D474" s="4" t="inlineStr"/>
      <c r="E474" s="4" t="inlineStr"/>
      <c r="F474" s="4" t="inlineStr">
        <is>
          <t>21.08.2026</t>
        </is>
      </c>
      <c r="G474" s="4" t="inlineStr"/>
      <c r="H474" s="4" t="inlineStr">
        <is>
          <t>NORMAL</t>
        </is>
      </c>
      <c r="I474" s="4" t="inlineStr">
        <is>
          <t>MEVSİMLİK</t>
        </is>
      </c>
      <c r="J474" s="6" t="inlineStr"/>
      <c r="K474" s="6" t="inlineStr"/>
      <c r="L474" s="7" t="n">
        <v>28075.5</v>
      </c>
      <c r="M474" s="4" t="inlineStr">
        <is>
          <t>FİDE KONSERVE</t>
        </is>
      </c>
      <c r="N474" s="4" t="inlineStr">
        <is>
          <t>ALIR</t>
        </is>
      </c>
      <c r="O474" s="8" t="n">
        <v>0</v>
      </c>
      <c r="P474" s="8" t="n">
        <v>0</v>
      </c>
      <c r="Q474" s="8" t="n">
        <v>0</v>
      </c>
      <c r="R474" s="9" t="n">
        <v>0</v>
      </c>
      <c r="S474" s="8" t="n">
        <v>0</v>
      </c>
      <c r="T474" s="8" t="n">
        <v>0</v>
      </c>
      <c r="U474" s="8" t="n">
        <v>0</v>
      </c>
      <c r="V474" s="8" t="n">
        <v>0</v>
      </c>
      <c r="W474" s="8" t="n">
        <v>0</v>
      </c>
      <c r="X474" s="8" t="n">
        <v>0</v>
      </c>
      <c r="Y474" s="9" t="n">
        <v>0</v>
      </c>
      <c r="Z474" s="8" t="n">
        <v>0</v>
      </c>
      <c r="AA474" s="8" t="n">
        <v>0</v>
      </c>
      <c r="AB474" s="8" t="n">
        <v>0</v>
      </c>
      <c r="AC474" s="8" t="n">
        <v>0</v>
      </c>
      <c r="AD474" s="8" t="n">
        <v>0</v>
      </c>
      <c r="AE474" s="8" t="n">
        <v>0</v>
      </c>
      <c r="AF474" s="9" t="n">
        <v>0</v>
      </c>
      <c r="AG474" s="8" t="n">
        <v>0</v>
      </c>
      <c r="AH474" s="8" t="n">
        <v>0</v>
      </c>
      <c r="AI474" s="8" t="n">
        <v>0</v>
      </c>
      <c r="AJ474" s="8" t="n">
        <v>0</v>
      </c>
      <c r="AK474" s="8" t="n">
        <v>0</v>
      </c>
      <c r="AL474" s="8" t="n">
        <v>0</v>
      </c>
      <c r="AM474" s="9" t="n">
        <v>0</v>
      </c>
      <c r="AN474" s="8" t="n">
        <v>0</v>
      </c>
      <c r="AO474" s="8" t="n">
        <v>0</v>
      </c>
      <c r="AP474" s="8" t="n">
        <v>0</v>
      </c>
      <c r="AQ474" s="8" t="n">
        <v>0</v>
      </c>
      <c r="AR474" s="8" t="n">
        <v>0</v>
      </c>
      <c r="AS474" s="8" t="n">
        <v>0</v>
      </c>
      <c r="AT474" s="10">
        <f>SUM(O474:AS474)</f>
        <v/>
      </c>
      <c r="AU474" s="11">
        <f>COUNTIF(O474:AS474, "&gt;0")</f>
        <v/>
      </c>
      <c r="AV474" s="12">
        <f>IF(AU474&gt;=5, 4, IF(AU474&gt;0, INT(AU474/6), 0))</f>
        <v/>
      </c>
      <c r="AW474" s="11" t="n">
        <v>0</v>
      </c>
      <c r="AX474" s="11" t="n">
        <v>0</v>
      </c>
      <c r="AY474" s="13">
        <f>MIN(31, AU474+AV474+AW474+AX474)</f>
        <v/>
      </c>
      <c r="AZ474" s="14">
        <f>31-AY474</f>
        <v/>
      </c>
      <c r="BA474" s="5">
        <f>IF(AX474&gt;0, "01-İstirahat", IF(AZ474&gt;0, "12-Birden Fazla", ""))</f>
        <v/>
      </c>
      <c r="BB474" s="10" t="n">
        <v>0</v>
      </c>
      <c r="BC474" s="8" t="n">
        <v>0</v>
      </c>
      <c r="BD474" s="9" t="n">
        <v>0</v>
      </c>
      <c r="BE474" s="7">
        <f>(L474/30)*AU474</f>
        <v/>
      </c>
      <c r="BF474" s="15">
        <f>(L474/225)*((BB474*1.5)-(BC474*1.0))</f>
        <v/>
      </c>
      <c r="BG474" s="16">
        <f>(L474/225)*1.5*BD474</f>
        <v/>
      </c>
      <c r="BH474" s="15">
        <f>BF474+BG474</f>
        <v/>
      </c>
      <c r="BI474" s="17">
        <f>BE474+BH474</f>
        <v/>
      </c>
      <c r="BJ474" s="7">
        <f>IFERROR(VLOOKUP(B474, Resmi_Bordro_SGK!B:M, 11, FALSE), 0)</f>
        <v/>
      </c>
      <c r="BK474" s="18">
        <f>IFERROR(VLOOKUP(B474, Icra_Takip!A:E, 4, FALSE), 0)</f>
        <v/>
      </c>
      <c r="BL474" s="17">
        <f>IF(BI474&gt;BJ474, BI474-BJ474-BK474, 0)</f>
        <v/>
      </c>
      <c r="BM474" s="17">
        <f>BI474-BK474</f>
        <v/>
      </c>
    </row>
    <row r="475" ht="19" customHeight="1">
      <c r="A475" s="4" t="n">
        <v>472</v>
      </c>
      <c r="B475" s="5" t="inlineStr">
        <is>
          <t>10348959144</t>
        </is>
      </c>
      <c r="C475" s="6" t="inlineStr">
        <is>
          <t>SILA SEVİNÇ</t>
        </is>
      </c>
      <c r="D475" s="4" t="inlineStr"/>
      <c r="E475" s="4" t="inlineStr"/>
      <c r="F475" s="4" t="inlineStr">
        <is>
          <t>24.07.2026</t>
        </is>
      </c>
      <c r="G475" s="4" t="inlineStr"/>
      <c r="H475" s="4" t="inlineStr">
        <is>
          <t>NORMAL</t>
        </is>
      </c>
      <c r="I475" s="4" t="inlineStr">
        <is>
          <t>MEVSİMLİK</t>
        </is>
      </c>
      <c r="J475" s="6" t="inlineStr"/>
      <c r="K475" s="6" t="inlineStr"/>
      <c r="L475" s="7" t="n">
        <v>28075.5</v>
      </c>
      <c r="M475" s="4" t="inlineStr">
        <is>
          <t>FİDE KONSERVE</t>
        </is>
      </c>
      <c r="N475" s="4" t="inlineStr">
        <is>
          <t>ALIR</t>
        </is>
      </c>
      <c r="O475" s="19" t="n">
        <v>0</v>
      </c>
      <c r="P475" s="19" t="n">
        <v>0</v>
      </c>
      <c r="Q475" s="19" t="n">
        <v>0</v>
      </c>
      <c r="R475" s="9" t="n">
        <v>0</v>
      </c>
      <c r="S475" s="19" t="n">
        <v>0</v>
      </c>
      <c r="T475" s="19" t="n">
        <v>0</v>
      </c>
      <c r="U475" s="19" t="n">
        <v>0</v>
      </c>
      <c r="V475" s="19" t="n">
        <v>0</v>
      </c>
      <c r="W475" s="19" t="n">
        <v>0</v>
      </c>
      <c r="X475" s="19" t="n">
        <v>0</v>
      </c>
      <c r="Y475" s="9" t="n">
        <v>0</v>
      </c>
      <c r="Z475" s="19" t="n">
        <v>0</v>
      </c>
      <c r="AA475" s="19" t="n">
        <v>0</v>
      </c>
      <c r="AB475" s="19" t="n">
        <v>0</v>
      </c>
      <c r="AC475" s="19" t="n">
        <v>0</v>
      </c>
      <c r="AD475" s="19" t="n">
        <v>0</v>
      </c>
      <c r="AE475" s="19" t="n">
        <v>0</v>
      </c>
      <c r="AF475" s="9" t="n">
        <v>0</v>
      </c>
      <c r="AG475" s="19" t="n">
        <v>0</v>
      </c>
      <c r="AH475" s="19" t="n">
        <v>0</v>
      </c>
      <c r="AI475" s="19" t="n">
        <v>0</v>
      </c>
      <c r="AJ475" s="19" t="n">
        <v>0</v>
      </c>
      <c r="AK475" s="19" t="n">
        <v>0</v>
      </c>
      <c r="AL475" s="19" t="n">
        <v>0</v>
      </c>
      <c r="AM475" s="9" t="n">
        <v>0</v>
      </c>
      <c r="AN475" s="19" t="n">
        <v>0</v>
      </c>
      <c r="AO475" s="19" t="n">
        <v>0</v>
      </c>
      <c r="AP475" s="19" t="n">
        <v>0</v>
      </c>
      <c r="AQ475" s="19" t="n">
        <v>0</v>
      </c>
      <c r="AR475" s="19" t="n">
        <v>0</v>
      </c>
      <c r="AS475" s="19" t="n">
        <v>0</v>
      </c>
      <c r="AT475" s="10">
        <f>SUM(O475:AS475)</f>
        <v/>
      </c>
      <c r="AU475" s="20">
        <f>COUNTIF(O475:AS475, "&gt;0")</f>
        <v/>
      </c>
      <c r="AV475" s="12">
        <f>IF(AU475&gt;=5, 4, IF(AU475&gt;0, INT(AU475/6), 0))</f>
        <v/>
      </c>
      <c r="AW475" s="20" t="n">
        <v>0</v>
      </c>
      <c r="AX475" s="20" t="n">
        <v>0</v>
      </c>
      <c r="AY475" s="13">
        <f>MIN(31, AU475+AV475+AW475+AX475)</f>
        <v/>
      </c>
      <c r="AZ475" s="14">
        <f>31-AY475</f>
        <v/>
      </c>
      <c r="BA475" s="21">
        <f>IF(AX475&gt;0, "01-İstirahat", IF(AZ475&gt;0, "12-Birden Fazla", ""))</f>
        <v/>
      </c>
      <c r="BB475" s="10" t="n">
        <v>0</v>
      </c>
      <c r="BC475" s="19" t="n">
        <v>0</v>
      </c>
      <c r="BD475" s="9" t="n">
        <v>0</v>
      </c>
      <c r="BE475" s="22">
        <f>(L475/30)*AU475</f>
        <v/>
      </c>
      <c r="BF475" s="15">
        <f>(L475/225)*((BB475*1.5)-(BC475*1.0))</f>
        <v/>
      </c>
      <c r="BG475" s="16">
        <f>(L475/225)*1.5*BD475</f>
        <v/>
      </c>
      <c r="BH475" s="15">
        <f>BF475+BG475</f>
        <v/>
      </c>
      <c r="BI475" s="17">
        <f>BE475+BH475</f>
        <v/>
      </c>
      <c r="BJ475" s="22">
        <f>IFERROR(VLOOKUP(B475, Resmi_Bordro_SGK!B:M, 11, FALSE), 0)</f>
        <v/>
      </c>
      <c r="BK475" s="18">
        <f>IFERROR(VLOOKUP(B475, Icra_Takip!A:E, 4, FALSE), 0)</f>
        <v/>
      </c>
      <c r="BL475" s="17">
        <f>IF(BI475&gt;BJ475, BI475-BJ475-BK475, 0)</f>
        <v/>
      </c>
      <c r="BM475" s="17">
        <f>BI475-BK475</f>
        <v/>
      </c>
    </row>
    <row r="476" ht="19" customHeight="1">
      <c r="A476" s="4" t="n">
        <v>473</v>
      </c>
      <c r="B476" s="5" t="inlineStr">
        <is>
          <t>25540093862</t>
        </is>
      </c>
      <c r="C476" s="6" t="inlineStr">
        <is>
          <t>SUDE ÜRGÜN</t>
        </is>
      </c>
      <c r="D476" s="4" t="inlineStr"/>
      <c r="E476" s="4" t="inlineStr"/>
      <c r="F476" s="4" t="inlineStr">
        <is>
          <t>08.07.2026</t>
        </is>
      </c>
      <c r="G476" s="4" t="inlineStr"/>
      <c r="H476" s="4" t="inlineStr">
        <is>
          <t>NORMAL</t>
        </is>
      </c>
      <c r="I476" s="4" t="inlineStr">
        <is>
          <t>MEVSİMLİK</t>
        </is>
      </c>
      <c r="J476" s="6" t="inlineStr"/>
      <c r="K476" s="6" t="inlineStr"/>
      <c r="L476" s="7" t="n">
        <v>28075.5</v>
      </c>
      <c r="M476" s="4" t="inlineStr">
        <is>
          <t>FİDE KONSERVE</t>
        </is>
      </c>
      <c r="N476" s="4" t="inlineStr">
        <is>
          <t>ALIR</t>
        </is>
      </c>
      <c r="O476" s="8" t="n">
        <v>0</v>
      </c>
      <c r="P476" s="8" t="n">
        <v>0</v>
      </c>
      <c r="Q476" s="8" t="n">
        <v>0</v>
      </c>
      <c r="R476" s="9" t="n">
        <v>0</v>
      </c>
      <c r="S476" s="8" t="n">
        <v>0</v>
      </c>
      <c r="T476" s="8" t="n">
        <v>0</v>
      </c>
      <c r="U476" s="8" t="n">
        <v>0</v>
      </c>
      <c r="V476" s="8" t="n">
        <v>0</v>
      </c>
      <c r="W476" s="8" t="n">
        <v>0</v>
      </c>
      <c r="X476" s="8" t="n">
        <v>0</v>
      </c>
      <c r="Y476" s="9" t="n">
        <v>0</v>
      </c>
      <c r="Z476" s="8" t="n">
        <v>0</v>
      </c>
      <c r="AA476" s="8" t="n">
        <v>0</v>
      </c>
      <c r="AB476" s="8" t="n">
        <v>0</v>
      </c>
      <c r="AC476" s="8" t="n">
        <v>0</v>
      </c>
      <c r="AD476" s="8" t="n">
        <v>0</v>
      </c>
      <c r="AE476" s="8" t="n">
        <v>0</v>
      </c>
      <c r="AF476" s="9" t="n">
        <v>0</v>
      </c>
      <c r="AG476" s="8" t="n">
        <v>0</v>
      </c>
      <c r="AH476" s="8" t="n">
        <v>0</v>
      </c>
      <c r="AI476" s="8" t="n">
        <v>0</v>
      </c>
      <c r="AJ476" s="8" t="n">
        <v>0</v>
      </c>
      <c r="AK476" s="8" t="n">
        <v>0</v>
      </c>
      <c r="AL476" s="8" t="n">
        <v>0</v>
      </c>
      <c r="AM476" s="9" t="n">
        <v>0</v>
      </c>
      <c r="AN476" s="8" t="n">
        <v>0</v>
      </c>
      <c r="AO476" s="8" t="n">
        <v>0</v>
      </c>
      <c r="AP476" s="8" t="n">
        <v>0</v>
      </c>
      <c r="AQ476" s="8" t="n">
        <v>0</v>
      </c>
      <c r="AR476" s="8" t="n">
        <v>0</v>
      </c>
      <c r="AS476" s="8" t="n">
        <v>0</v>
      </c>
      <c r="AT476" s="10">
        <f>SUM(O476:AS476)</f>
        <v/>
      </c>
      <c r="AU476" s="11">
        <f>COUNTIF(O476:AS476, "&gt;0")</f>
        <v/>
      </c>
      <c r="AV476" s="12">
        <f>IF(AU476&gt;=5, 4, IF(AU476&gt;0, INT(AU476/6), 0))</f>
        <v/>
      </c>
      <c r="AW476" s="11" t="n">
        <v>0</v>
      </c>
      <c r="AX476" s="11" t="n">
        <v>0</v>
      </c>
      <c r="AY476" s="13">
        <f>MIN(31, AU476+AV476+AW476+AX476)</f>
        <v/>
      </c>
      <c r="AZ476" s="14">
        <f>31-AY476</f>
        <v/>
      </c>
      <c r="BA476" s="5">
        <f>IF(AX476&gt;0, "01-İstirahat", IF(AZ476&gt;0, "12-Birden Fazla", ""))</f>
        <v/>
      </c>
      <c r="BB476" s="10" t="n">
        <v>0</v>
      </c>
      <c r="BC476" s="8" t="n">
        <v>0</v>
      </c>
      <c r="BD476" s="9" t="n">
        <v>0</v>
      </c>
      <c r="BE476" s="7">
        <f>(L476/30)*AU476</f>
        <v/>
      </c>
      <c r="BF476" s="15">
        <f>(L476/225)*((BB476*1.5)-(BC476*1.0))</f>
        <v/>
      </c>
      <c r="BG476" s="16">
        <f>(L476/225)*1.5*BD476</f>
        <v/>
      </c>
      <c r="BH476" s="15">
        <f>BF476+BG476</f>
        <v/>
      </c>
      <c r="BI476" s="17">
        <f>BE476+BH476</f>
        <v/>
      </c>
      <c r="BJ476" s="7">
        <f>IFERROR(VLOOKUP(B476, Resmi_Bordro_SGK!B:M, 11, FALSE), 0)</f>
        <v/>
      </c>
      <c r="BK476" s="18">
        <f>IFERROR(VLOOKUP(B476, Icra_Takip!A:E, 4, FALSE), 0)</f>
        <v/>
      </c>
      <c r="BL476" s="17">
        <f>IF(BI476&gt;BJ476, BI476-BJ476-BK476, 0)</f>
        <v/>
      </c>
      <c r="BM476" s="17">
        <f>BI476-BK476</f>
        <v/>
      </c>
    </row>
    <row r="477" ht="19" customHeight="1">
      <c r="A477" s="4" t="n">
        <v>474</v>
      </c>
      <c r="B477" s="5" t="inlineStr">
        <is>
          <t>23606018040</t>
        </is>
      </c>
      <c r="C477" s="6" t="inlineStr">
        <is>
          <t>ŞEYMANUR ÖZGÜLMEZ</t>
        </is>
      </c>
      <c r="D477" s="4" t="inlineStr"/>
      <c r="E477" s="4" t="inlineStr"/>
      <c r="F477" s="4" t="inlineStr">
        <is>
          <t>30.06.2026</t>
        </is>
      </c>
      <c r="G477" s="4" t="inlineStr"/>
      <c r="H477" s="4" t="inlineStr">
        <is>
          <t>NORMAL</t>
        </is>
      </c>
      <c r="I477" s="4" t="inlineStr">
        <is>
          <t>MEVSİMLİK</t>
        </is>
      </c>
      <c r="J477" s="6" t="inlineStr"/>
      <c r="K477" s="6" t="inlineStr"/>
      <c r="L477" s="7" t="n">
        <v>28075.5</v>
      </c>
      <c r="M477" s="4" t="inlineStr">
        <is>
          <t>FİDE KONSERVE</t>
        </is>
      </c>
      <c r="N477" s="4" t="inlineStr">
        <is>
          <t>ALIR</t>
        </is>
      </c>
      <c r="O477" s="19" t="n">
        <v>0</v>
      </c>
      <c r="P477" s="19" t="n">
        <v>0</v>
      </c>
      <c r="Q477" s="19" t="n">
        <v>0</v>
      </c>
      <c r="R477" s="9" t="n">
        <v>0</v>
      </c>
      <c r="S477" s="19" t="n">
        <v>0</v>
      </c>
      <c r="T477" s="19" t="n">
        <v>0</v>
      </c>
      <c r="U477" s="19" t="n">
        <v>0</v>
      </c>
      <c r="V477" s="19" t="n">
        <v>0</v>
      </c>
      <c r="W477" s="19" t="n">
        <v>0</v>
      </c>
      <c r="X477" s="19" t="n">
        <v>0</v>
      </c>
      <c r="Y477" s="9" t="n">
        <v>0</v>
      </c>
      <c r="Z477" s="19" t="n">
        <v>0</v>
      </c>
      <c r="AA477" s="19" t="n">
        <v>0</v>
      </c>
      <c r="AB477" s="19" t="n">
        <v>0</v>
      </c>
      <c r="AC477" s="19" t="n">
        <v>0</v>
      </c>
      <c r="AD477" s="19" t="n">
        <v>0</v>
      </c>
      <c r="AE477" s="19" t="n">
        <v>0</v>
      </c>
      <c r="AF477" s="9" t="n">
        <v>0</v>
      </c>
      <c r="AG477" s="19" t="n">
        <v>0</v>
      </c>
      <c r="AH477" s="19" t="n">
        <v>0</v>
      </c>
      <c r="AI477" s="19" t="n">
        <v>0</v>
      </c>
      <c r="AJ477" s="19" t="n">
        <v>0</v>
      </c>
      <c r="AK477" s="19" t="n">
        <v>0</v>
      </c>
      <c r="AL477" s="19" t="n">
        <v>0</v>
      </c>
      <c r="AM477" s="9" t="n">
        <v>0</v>
      </c>
      <c r="AN477" s="19" t="n">
        <v>0</v>
      </c>
      <c r="AO477" s="19" t="n">
        <v>0</v>
      </c>
      <c r="AP477" s="19" t="n">
        <v>0</v>
      </c>
      <c r="AQ477" s="19" t="n">
        <v>0</v>
      </c>
      <c r="AR477" s="19" t="n">
        <v>0</v>
      </c>
      <c r="AS477" s="19" t="n">
        <v>0</v>
      </c>
      <c r="AT477" s="10">
        <f>SUM(O477:AS477)</f>
        <v/>
      </c>
      <c r="AU477" s="20">
        <f>COUNTIF(O477:AS477, "&gt;0")</f>
        <v/>
      </c>
      <c r="AV477" s="12">
        <f>IF(AU477&gt;=5, 4, IF(AU477&gt;0, INT(AU477/6), 0))</f>
        <v/>
      </c>
      <c r="AW477" s="20" t="n">
        <v>0</v>
      </c>
      <c r="AX477" s="20" t="n">
        <v>0</v>
      </c>
      <c r="AY477" s="13">
        <f>MIN(31, AU477+AV477+AW477+AX477)</f>
        <v/>
      </c>
      <c r="AZ477" s="14">
        <f>31-AY477</f>
        <v/>
      </c>
      <c r="BA477" s="21">
        <f>IF(AX477&gt;0, "01-İstirahat", IF(AZ477&gt;0, "12-Birden Fazla", ""))</f>
        <v/>
      </c>
      <c r="BB477" s="10" t="n">
        <v>0</v>
      </c>
      <c r="BC477" s="19" t="n">
        <v>0</v>
      </c>
      <c r="BD477" s="9" t="n">
        <v>0</v>
      </c>
      <c r="BE477" s="22">
        <f>(L477/30)*AU477</f>
        <v/>
      </c>
      <c r="BF477" s="15">
        <f>(L477/225)*((BB477*1.5)-(BC477*1.0))</f>
        <v/>
      </c>
      <c r="BG477" s="16">
        <f>(L477/225)*1.5*BD477</f>
        <v/>
      </c>
      <c r="BH477" s="15">
        <f>BF477+BG477</f>
        <v/>
      </c>
      <c r="BI477" s="17">
        <f>BE477+BH477</f>
        <v/>
      </c>
      <c r="BJ477" s="22">
        <f>IFERROR(VLOOKUP(B477, Resmi_Bordro_SGK!B:M, 11, FALSE), 0)</f>
        <v/>
      </c>
      <c r="BK477" s="18">
        <f>IFERROR(VLOOKUP(B477, Icra_Takip!A:E, 4, FALSE), 0)</f>
        <v/>
      </c>
      <c r="BL477" s="17">
        <f>IF(BI477&gt;BJ477, BI477-BJ477-BK477, 0)</f>
        <v/>
      </c>
      <c r="BM477" s="17">
        <f>BI477-BK477</f>
        <v/>
      </c>
    </row>
    <row r="478" ht="19" customHeight="1">
      <c r="A478" s="4" t="n">
        <v>475</v>
      </c>
      <c r="B478" s="5" t="inlineStr">
        <is>
          <t>13633830906</t>
        </is>
      </c>
      <c r="C478" s="6" t="inlineStr">
        <is>
          <t>TANJU GÜN</t>
        </is>
      </c>
      <c r="D478" s="4" t="inlineStr"/>
      <c r="E478" s="4" t="inlineStr"/>
      <c r="F478" s="4" t="inlineStr">
        <is>
          <t>27.07.2026</t>
        </is>
      </c>
      <c r="G478" s="4" t="inlineStr"/>
      <c r="H478" s="4" t="inlineStr">
        <is>
          <t>NORMAL</t>
        </is>
      </c>
      <c r="I478" s="4" t="inlineStr">
        <is>
          <t>MEVSİMLİK</t>
        </is>
      </c>
      <c r="J478" s="6" t="inlineStr"/>
      <c r="K478" s="6" t="inlineStr"/>
      <c r="L478" s="7" t="n">
        <v>28075.5</v>
      </c>
      <c r="M478" s="4" t="inlineStr">
        <is>
          <t>FİDE KONSERVE</t>
        </is>
      </c>
      <c r="N478" s="4" t="inlineStr">
        <is>
          <t>ALIR</t>
        </is>
      </c>
      <c r="O478" s="8" t="n">
        <v>0</v>
      </c>
      <c r="P478" s="8" t="n">
        <v>0</v>
      </c>
      <c r="Q478" s="8" t="n">
        <v>0</v>
      </c>
      <c r="R478" s="9" t="n">
        <v>0</v>
      </c>
      <c r="S478" s="8" t="n">
        <v>0</v>
      </c>
      <c r="T478" s="8" t="n">
        <v>0</v>
      </c>
      <c r="U478" s="8" t="n">
        <v>0</v>
      </c>
      <c r="V478" s="8" t="n">
        <v>0</v>
      </c>
      <c r="W478" s="8" t="n">
        <v>0</v>
      </c>
      <c r="X478" s="8" t="n">
        <v>0</v>
      </c>
      <c r="Y478" s="9" t="n">
        <v>0</v>
      </c>
      <c r="Z478" s="8" t="n">
        <v>0</v>
      </c>
      <c r="AA478" s="8" t="n">
        <v>0</v>
      </c>
      <c r="AB478" s="8" t="n">
        <v>0</v>
      </c>
      <c r="AC478" s="8" t="n">
        <v>0</v>
      </c>
      <c r="AD478" s="8" t="n">
        <v>0</v>
      </c>
      <c r="AE478" s="8" t="n">
        <v>0</v>
      </c>
      <c r="AF478" s="9" t="n">
        <v>0</v>
      </c>
      <c r="AG478" s="8" t="n">
        <v>0</v>
      </c>
      <c r="AH478" s="8" t="n">
        <v>0</v>
      </c>
      <c r="AI478" s="8" t="n">
        <v>0</v>
      </c>
      <c r="AJ478" s="8" t="n">
        <v>0</v>
      </c>
      <c r="AK478" s="8" t="n">
        <v>0</v>
      </c>
      <c r="AL478" s="8" t="n">
        <v>0</v>
      </c>
      <c r="AM478" s="9" t="n">
        <v>0</v>
      </c>
      <c r="AN478" s="8" t="n">
        <v>0</v>
      </c>
      <c r="AO478" s="8" t="n">
        <v>0</v>
      </c>
      <c r="AP478" s="8" t="n">
        <v>0</v>
      </c>
      <c r="AQ478" s="8" t="n">
        <v>0</v>
      </c>
      <c r="AR478" s="8" t="n">
        <v>0</v>
      </c>
      <c r="AS478" s="8" t="n">
        <v>0</v>
      </c>
      <c r="AT478" s="10">
        <f>SUM(O478:AS478)</f>
        <v/>
      </c>
      <c r="AU478" s="11">
        <f>COUNTIF(O478:AS478, "&gt;0")</f>
        <v/>
      </c>
      <c r="AV478" s="12">
        <f>IF(AU478&gt;=5, 4, IF(AU478&gt;0, INT(AU478/6), 0))</f>
        <v/>
      </c>
      <c r="AW478" s="11" t="n">
        <v>0</v>
      </c>
      <c r="AX478" s="11" t="n">
        <v>0</v>
      </c>
      <c r="AY478" s="13">
        <f>MIN(31, AU478+AV478+AW478+AX478)</f>
        <v/>
      </c>
      <c r="AZ478" s="14">
        <f>31-AY478</f>
        <v/>
      </c>
      <c r="BA478" s="5">
        <f>IF(AX478&gt;0, "01-İstirahat", IF(AZ478&gt;0, "12-Birden Fazla", ""))</f>
        <v/>
      </c>
      <c r="BB478" s="10" t="n">
        <v>0</v>
      </c>
      <c r="BC478" s="8" t="n">
        <v>0</v>
      </c>
      <c r="BD478" s="9" t="n">
        <v>0</v>
      </c>
      <c r="BE478" s="7">
        <f>(L478/30)*AU478</f>
        <v/>
      </c>
      <c r="BF478" s="15">
        <f>(L478/225)*((BB478*1.5)-(BC478*1.0))</f>
        <v/>
      </c>
      <c r="BG478" s="16">
        <f>(L478/225)*1.5*BD478</f>
        <v/>
      </c>
      <c r="BH478" s="15">
        <f>BF478+BG478</f>
        <v/>
      </c>
      <c r="BI478" s="17">
        <f>BE478+BH478</f>
        <v/>
      </c>
      <c r="BJ478" s="7">
        <f>IFERROR(VLOOKUP(B478, Resmi_Bordro_SGK!B:M, 11, FALSE), 0)</f>
        <v/>
      </c>
      <c r="BK478" s="18">
        <f>IFERROR(VLOOKUP(B478, Icra_Takip!A:E, 4, FALSE), 0)</f>
        <v/>
      </c>
      <c r="BL478" s="17">
        <f>IF(BI478&gt;BJ478, BI478-BJ478-BK478, 0)</f>
        <v/>
      </c>
      <c r="BM478" s="17">
        <f>BI478-BK478</f>
        <v/>
      </c>
    </row>
    <row r="479" ht="19" customHeight="1">
      <c r="A479" s="4" t="n">
        <v>476</v>
      </c>
      <c r="B479" s="5" t="inlineStr">
        <is>
          <t>11380915020</t>
        </is>
      </c>
      <c r="C479" s="6" t="inlineStr">
        <is>
          <t>UĞUR YAMAN</t>
        </is>
      </c>
      <c r="D479" s="4" t="inlineStr"/>
      <c r="E479" s="4" t="inlineStr"/>
      <c r="F479" s="4" t="inlineStr">
        <is>
          <t>08.07.2026</t>
        </is>
      </c>
      <c r="G479" s="4" t="inlineStr"/>
      <c r="H479" s="4" t="inlineStr">
        <is>
          <t>NORMAL</t>
        </is>
      </c>
      <c r="I479" s="4" t="inlineStr">
        <is>
          <t>MEVSİMLİK</t>
        </is>
      </c>
      <c r="J479" s="6" t="inlineStr"/>
      <c r="K479" s="6" t="inlineStr"/>
      <c r="L479" s="7" t="n">
        <v>28075.5</v>
      </c>
      <c r="M479" s="4" t="inlineStr">
        <is>
          <t>FİDE KONSERVE</t>
        </is>
      </c>
      <c r="N479" s="4" t="inlineStr">
        <is>
          <t>ALIR</t>
        </is>
      </c>
      <c r="O479" s="19" t="n">
        <v>0</v>
      </c>
      <c r="P479" s="19" t="n">
        <v>0</v>
      </c>
      <c r="Q479" s="19" t="n">
        <v>0</v>
      </c>
      <c r="R479" s="9" t="n">
        <v>0</v>
      </c>
      <c r="S479" s="19" t="n">
        <v>0</v>
      </c>
      <c r="T479" s="19" t="n">
        <v>0</v>
      </c>
      <c r="U479" s="19" t="n">
        <v>0</v>
      </c>
      <c r="V479" s="19" t="n">
        <v>0</v>
      </c>
      <c r="W479" s="19" t="n">
        <v>0</v>
      </c>
      <c r="X479" s="19" t="n">
        <v>0</v>
      </c>
      <c r="Y479" s="9" t="n">
        <v>0</v>
      </c>
      <c r="Z479" s="19" t="n">
        <v>0</v>
      </c>
      <c r="AA479" s="19" t="n">
        <v>0</v>
      </c>
      <c r="AB479" s="19" t="n">
        <v>0</v>
      </c>
      <c r="AC479" s="19" t="n">
        <v>0</v>
      </c>
      <c r="AD479" s="19" t="n">
        <v>0</v>
      </c>
      <c r="AE479" s="19" t="n">
        <v>0</v>
      </c>
      <c r="AF479" s="9" t="n">
        <v>0</v>
      </c>
      <c r="AG479" s="19" t="n">
        <v>0</v>
      </c>
      <c r="AH479" s="19" t="n">
        <v>0</v>
      </c>
      <c r="AI479" s="19" t="n">
        <v>0</v>
      </c>
      <c r="AJ479" s="19" t="n">
        <v>0</v>
      </c>
      <c r="AK479" s="19" t="n">
        <v>0</v>
      </c>
      <c r="AL479" s="19" t="n">
        <v>0</v>
      </c>
      <c r="AM479" s="9" t="n">
        <v>0</v>
      </c>
      <c r="AN479" s="19" t="n">
        <v>0</v>
      </c>
      <c r="AO479" s="19" t="n">
        <v>0</v>
      </c>
      <c r="AP479" s="19" t="n">
        <v>0</v>
      </c>
      <c r="AQ479" s="19" t="n">
        <v>0</v>
      </c>
      <c r="AR479" s="19" t="n">
        <v>0</v>
      </c>
      <c r="AS479" s="19" t="n">
        <v>0</v>
      </c>
      <c r="AT479" s="10">
        <f>SUM(O479:AS479)</f>
        <v/>
      </c>
      <c r="AU479" s="20">
        <f>COUNTIF(O479:AS479, "&gt;0")</f>
        <v/>
      </c>
      <c r="AV479" s="12">
        <f>IF(AU479&gt;=5, 4, IF(AU479&gt;0, INT(AU479/6), 0))</f>
        <v/>
      </c>
      <c r="AW479" s="20" t="n">
        <v>0</v>
      </c>
      <c r="AX479" s="20" t="n">
        <v>0</v>
      </c>
      <c r="AY479" s="13">
        <f>MIN(31, AU479+AV479+AW479+AX479)</f>
        <v/>
      </c>
      <c r="AZ479" s="14">
        <f>31-AY479</f>
        <v/>
      </c>
      <c r="BA479" s="21">
        <f>IF(AX479&gt;0, "01-İstirahat", IF(AZ479&gt;0, "12-Birden Fazla", ""))</f>
        <v/>
      </c>
      <c r="BB479" s="10" t="n">
        <v>0</v>
      </c>
      <c r="BC479" s="19" t="n">
        <v>0</v>
      </c>
      <c r="BD479" s="9" t="n">
        <v>0</v>
      </c>
      <c r="BE479" s="22">
        <f>(L479/30)*AU479</f>
        <v/>
      </c>
      <c r="BF479" s="15">
        <f>(L479/225)*((BB479*1.5)-(BC479*1.0))</f>
        <v/>
      </c>
      <c r="BG479" s="16">
        <f>(L479/225)*1.5*BD479</f>
        <v/>
      </c>
      <c r="BH479" s="15">
        <f>BF479+BG479</f>
        <v/>
      </c>
      <c r="BI479" s="17">
        <f>BE479+BH479</f>
        <v/>
      </c>
      <c r="BJ479" s="22">
        <f>IFERROR(VLOOKUP(B479, Resmi_Bordro_SGK!B:M, 11, FALSE), 0)</f>
        <v/>
      </c>
      <c r="BK479" s="18">
        <f>IFERROR(VLOOKUP(B479, Icra_Takip!A:E, 4, FALSE), 0)</f>
        <v/>
      </c>
      <c r="BL479" s="17">
        <f>IF(BI479&gt;BJ479, BI479-BJ479-BK479, 0)</f>
        <v/>
      </c>
      <c r="BM479" s="17">
        <f>BI479-BK479</f>
        <v/>
      </c>
    </row>
    <row r="480" ht="19" customHeight="1">
      <c r="A480" s="4" t="n">
        <v>477</v>
      </c>
      <c r="B480" s="5" t="inlineStr">
        <is>
          <t>14239810682</t>
        </is>
      </c>
      <c r="C480" s="6" t="inlineStr">
        <is>
          <t>YELİZ ÇALIBAŞI</t>
        </is>
      </c>
      <c r="D480" s="4" t="inlineStr"/>
      <c r="E480" s="4" t="inlineStr"/>
      <c r="F480" s="4" t="inlineStr">
        <is>
          <t>02.07.2026</t>
        </is>
      </c>
      <c r="G480" s="4" t="inlineStr"/>
      <c r="H480" s="4" t="inlineStr">
        <is>
          <t>NORMAL</t>
        </is>
      </c>
      <c r="I480" s="4" t="inlineStr">
        <is>
          <t>MEVSİMLİK</t>
        </is>
      </c>
      <c r="J480" s="6" t="inlineStr"/>
      <c r="K480" s="6" t="inlineStr"/>
      <c r="L480" s="7" t="n">
        <v>28075.5</v>
      </c>
      <c r="M480" s="4" t="inlineStr">
        <is>
          <t>FİDE KONSERVE</t>
        </is>
      </c>
      <c r="N480" s="4" t="inlineStr">
        <is>
          <t>ALIR</t>
        </is>
      </c>
      <c r="O480" s="8" t="n">
        <v>0</v>
      </c>
      <c r="P480" s="8" t="n">
        <v>0</v>
      </c>
      <c r="Q480" s="8" t="n">
        <v>0</v>
      </c>
      <c r="R480" s="9" t="n">
        <v>0</v>
      </c>
      <c r="S480" s="8" t="n">
        <v>0</v>
      </c>
      <c r="T480" s="8" t="n">
        <v>0</v>
      </c>
      <c r="U480" s="8" t="n">
        <v>0</v>
      </c>
      <c r="V480" s="8" t="n">
        <v>0</v>
      </c>
      <c r="W480" s="8" t="n">
        <v>0</v>
      </c>
      <c r="X480" s="8" t="n">
        <v>0</v>
      </c>
      <c r="Y480" s="9" t="n">
        <v>0</v>
      </c>
      <c r="Z480" s="8" t="n">
        <v>0</v>
      </c>
      <c r="AA480" s="8" t="n">
        <v>0</v>
      </c>
      <c r="AB480" s="8" t="n">
        <v>0</v>
      </c>
      <c r="AC480" s="8" t="n">
        <v>0</v>
      </c>
      <c r="AD480" s="8" t="n">
        <v>0</v>
      </c>
      <c r="AE480" s="8" t="n">
        <v>0</v>
      </c>
      <c r="AF480" s="9" t="n">
        <v>0</v>
      </c>
      <c r="AG480" s="8" t="n">
        <v>0</v>
      </c>
      <c r="AH480" s="8" t="n">
        <v>0</v>
      </c>
      <c r="AI480" s="8" t="n">
        <v>0</v>
      </c>
      <c r="AJ480" s="8" t="n">
        <v>0</v>
      </c>
      <c r="AK480" s="8" t="n">
        <v>0</v>
      </c>
      <c r="AL480" s="8" t="n">
        <v>0</v>
      </c>
      <c r="AM480" s="9" t="n">
        <v>0</v>
      </c>
      <c r="AN480" s="8" t="n">
        <v>0</v>
      </c>
      <c r="AO480" s="8" t="n">
        <v>0</v>
      </c>
      <c r="AP480" s="8" t="n">
        <v>0</v>
      </c>
      <c r="AQ480" s="8" t="n">
        <v>0</v>
      </c>
      <c r="AR480" s="8" t="n">
        <v>0</v>
      </c>
      <c r="AS480" s="8" t="n">
        <v>0</v>
      </c>
      <c r="AT480" s="10">
        <f>SUM(O480:AS480)</f>
        <v/>
      </c>
      <c r="AU480" s="11">
        <f>COUNTIF(O480:AS480, "&gt;0")</f>
        <v/>
      </c>
      <c r="AV480" s="12">
        <f>IF(AU480&gt;=5, 4, IF(AU480&gt;0, INT(AU480/6), 0))</f>
        <v/>
      </c>
      <c r="AW480" s="11" t="n">
        <v>0</v>
      </c>
      <c r="AX480" s="11" t="n">
        <v>0</v>
      </c>
      <c r="AY480" s="13">
        <f>MIN(31, AU480+AV480+AW480+AX480)</f>
        <v/>
      </c>
      <c r="AZ480" s="14">
        <f>31-AY480</f>
        <v/>
      </c>
      <c r="BA480" s="5">
        <f>IF(AX480&gt;0, "01-İstirahat", IF(AZ480&gt;0, "12-Birden Fazla", ""))</f>
        <v/>
      </c>
      <c r="BB480" s="10" t="n">
        <v>0</v>
      </c>
      <c r="BC480" s="8" t="n">
        <v>0</v>
      </c>
      <c r="BD480" s="9" t="n">
        <v>0</v>
      </c>
      <c r="BE480" s="7">
        <f>(L480/30)*AU480</f>
        <v/>
      </c>
      <c r="BF480" s="15">
        <f>(L480/225)*((BB480*1.5)-(BC480*1.0))</f>
        <v/>
      </c>
      <c r="BG480" s="16">
        <f>(L480/225)*1.5*BD480</f>
        <v/>
      </c>
      <c r="BH480" s="15">
        <f>BF480+BG480</f>
        <v/>
      </c>
      <c r="BI480" s="17">
        <f>BE480+BH480</f>
        <v/>
      </c>
      <c r="BJ480" s="7">
        <f>IFERROR(VLOOKUP(B480, Resmi_Bordro_SGK!B:M, 11, FALSE), 0)</f>
        <v/>
      </c>
      <c r="BK480" s="18">
        <f>IFERROR(VLOOKUP(B480, Icra_Takip!A:E, 4, FALSE), 0)</f>
        <v/>
      </c>
      <c r="BL480" s="17">
        <f>IF(BI480&gt;BJ480, BI480-BJ480-BK480, 0)</f>
        <v/>
      </c>
      <c r="BM480" s="17">
        <f>BI480-BK480</f>
        <v/>
      </c>
    </row>
    <row r="481" ht="19" customHeight="1">
      <c r="A481" s="4" t="n">
        <v>478</v>
      </c>
      <c r="B481" s="5" t="inlineStr">
        <is>
          <t>10117958316</t>
        </is>
      </c>
      <c r="C481" s="6" t="inlineStr">
        <is>
          <t>ZERDA AYHAN</t>
        </is>
      </c>
      <c r="D481" s="4" t="inlineStr"/>
      <c r="E481" s="4" t="inlineStr"/>
      <c r="F481" s="4" t="inlineStr">
        <is>
          <t>08.07.2026</t>
        </is>
      </c>
      <c r="G481" s="4" t="inlineStr"/>
      <c r="H481" s="4" t="inlineStr">
        <is>
          <t>NORMAL</t>
        </is>
      </c>
      <c r="I481" s="4" t="inlineStr">
        <is>
          <t>MEVSİMLİK</t>
        </is>
      </c>
      <c r="J481" s="6" t="inlineStr"/>
      <c r="K481" s="6" t="inlineStr"/>
      <c r="L481" s="7" t="n">
        <v>28075.5</v>
      </c>
      <c r="M481" s="4" t="inlineStr">
        <is>
          <t>FİDE KONSERVE</t>
        </is>
      </c>
      <c r="N481" s="4" t="inlineStr">
        <is>
          <t>ALIR</t>
        </is>
      </c>
      <c r="O481" s="19" t="n">
        <v>0</v>
      </c>
      <c r="P481" s="19" t="n">
        <v>0</v>
      </c>
      <c r="Q481" s="19" t="n">
        <v>0</v>
      </c>
      <c r="R481" s="9" t="n">
        <v>0</v>
      </c>
      <c r="S481" s="19" t="n">
        <v>0</v>
      </c>
      <c r="T481" s="19" t="n">
        <v>0</v>
      </c>
      <c r="U481" s="19" t="n">
        <v>0</v>
      </c>
      <c r="V481" s="19" t="n">
        <v>0</v>
      </c>
      <c r="W481" s="19" t="n">
        <v>0</v>
      </c>
      <c r="X481" s="19" t="n">
        <v>0</v>
      </c>
      <c r="Y481" s="9" t="n">
        <v>0</v>
      </c>
      <c r="Z481" s="19" t="n">
        <v>0</v>
      </c>
      <c r="AA481" s="19" t="n">
        <v>0</v>
      </c>
      <c r="AB481" s="19" t="n">
        <v>0</v>
      </c>
      <c r="AC481" s="19" t="n">
        <v>0</v>
      </c>
      <c r="AD481" s="19" t="n">
        <v>0</v>
      </c>
      <c r="AE481" s="19" t="n">
        <v>0</v>
      </c>
      <c r="AF481" s="9" t="n">
        <v>0</v>
      </c>
      <c r="AG481" s="19" t="n">
        <v>0</v>
      </c>
      <c r="AH481" s="19" t="n">
        <v>0</v>
      </c>
      <c r="AI481" s="19" t="n">
        <v>0</v>
      </c>
      <c r="AJ481" s="19" t="n">
        <v>0</v>
      </c>
      <c r="AK481" s="19" t="n">
        <v>0</v>
      </c>
      <c r="AL481" s="19" t="n">
        <v>0</v>
      </c>
      <c r="AM481" s="9" t="n">
        <v>0</v>
      </c>
      <c r="AN481" s="19" t="n">
        <v>0</v>
      </c>
      <c r="AO481" s="19" t="n">
        <v>0</v>
      </c>
      <c r="AP481" s="19" t="n">
        <v>0</v>
      </c>
      <c r="AQ481" s="19" t="n">
        <v>0</v>
      </c>
      <c r="AR481" s="19" t="n">
        <v>0</v>
      </c>
      <c r="AS481" s="19" t="n">
        <v>0</v>
      </c>
      <c r="AT481" s="10">
        <f>SUM(O481:AS481)</f>
        <v/>
      </c>
      <c r="AU481" s="20">
        <f>COUNTIF(O481:AS481, "&gt;0")</f>
        <v/>
      </c>
      <c r="AV481" s="12">
        <f>IF(AU481&gt;=5, 4, IF(AU481&gt;0, INT(AU481/6), 0))</f>
        <v/>
      </c>
      <c r="AW481" s="20" t="n">
        <v>0</v>
      </c>
      <c r="AX481" s="20" t="n">
        <v>0</v>
      </c>
      <c r="AY481" s="13">
        <f>MIN(31, AU481+AV481+AW481+AX481)</f>
        <v/>
      </c>
      <c r="AZ481" s="14">
        <f>31-AY481</f>
        <v/>
      </c>
      <c r="BA481" s="21">
        <f>IF(AX481&gt;0, "01-İstirahat", IF(AZ481&gt;0, "12-Birden Fazla", ""))</f>
        <v/>
      </c>
      <c r="BB481" s="10" t="n">
        <v>0</v>
      </c>
      <c r="BC481" s="19" t="n">
        <v>0</v>
      </c>
      <c r="BD481" s="9" t="n">
        <v>0</v>
      </c>
      <c r="BE481" s="22">
        <f>(L481/30)*AU481</f>
        <v/>
      </c>
      <c r="BF481" s="15">
        <f>(L481/225)*((BB481*1.5)-(BC481*1.0))</f>
        <v/>
      </c>
      <c r="BG481" s="16">
        <f>(L481/225)*1.5*BD481</f>
        <v/>
      </c>
      <c r="BH481" s="15">
        <f>BF481+BG481</f>
        <v/>
      </c>
      <c r="BI481" s="17">
        <f>BE481+BH481</f>
        <v/>
      </c>
      <c r="BJ481" s="22">
        <f>IFERROR(VLOOKUP(B481, Resmi_Bordro_SGK!B:M, 11, FALSE), 0)</f>
        <v/>
      </c>
      <c r="BK481" s="18">
        <f>IFERROR(VLOOKUP(B481, Icra_Takip!A:E, 4, FALSE), 0)</f>
        <v/>
      </c>
      <c r="BL481" s="17">
        <f>IF(BI481&gt;BJ481, BI481-BJ481-BK481, 0)</f>
        <v/>
      </c>
      <c r="BM481" s="17">
        <f>BI481-BK481</f>
        <v/>
      </c>
    </row>
    <row r="482" ht="19" customHeight="1">
      <c r="A482" s="4" t="n">
        <v>479</v>
      </c>
      <c r="B482" s="5" t="inlineStr">
        <is>
          <t>10328232854</t>
        </is>
      </c>
      <c r="C482" s="6" t="inlineStr">
        <is>
          <t>ZEYNEP DENİZ</t>
        </is>
      </c>
      <c r="D482" s="4" t="inlineStr"/>
      <c r="E482" s="4" t="inlineStr"/>
      <c r="F482" s="4" t="inlineStr">
        <is>
          <t>28.07.2026</t>
        </is>
      </c>
      <c r="G482" s="4" t="inlineStr"/>
      <c r="H482" s="4" t="inlineStr">
        <is>
          <t>NORMAL</t>
        </is>
      </c>
      <c r="I482" s="4" t="inlineStr">
        <is>
          <t>MEVSİMLİK</t>
        </is>
      </c>
      <c r="J482" s="6" t="inlineStr"/>
      <c r="K482" s="6" t="inlineStr"/>
      <c r="L482" s="7" t="n">
        <v>28075.5</v>
      </c>
      <c r="M482" s="4" t="inlineStr">
        <is>
          <t>FİDE KONSERVE</t>
        </is>
      </c>
      <c r="N482" s="4" t="inlineStr">
        <is>
          <t>ALIR</t>
        </is>
      </c>
      <c r="O482" s="8" t="n">
        <v>0</v>
      </c>
      <c r="P482" s="8" t="n">
        <v>0</v>
      </c>
      <c r="Q482" s="8" t="n">
        <v>0</v>
      </c>
      <c r="R482" s="9" t="n">
        <v>0</v>
      </c>
      <c r="S482" s="8" t="n">
        <v>0</v>
      </c>
      <c r="T482" s="8" t="n">
        <v>0</v>
      </c>
      <c r="U482" s="8" t="n">
        <v>0</v>
      </c>
      <c r="V482" s="8" t="n">
        <v>0</v>
      </c>
      <c r="W482" s="8" t="n">
        <v>0</v>
      </c>
      <c r="X482" s="8" t="n">
        <v>0</v>
      </c>
      <c r="Y482" s="9" t="n">
        <v>0</v>
      </c>
      <c r="Z482" s="8" t="n">
        <v>0</v>
      </c>
      <c r="AA482" s="8" t="n">
        <v>0</v>
      </c>
      <c r="AB482" s="8" t="n">
        <v>0</v>
      </c>
      <c r="AC482" s="8" t="n">
        <v>0</v>
      </c>
      <c r="AD482" s="8" t="n">
        <v>0</v>
      </c>
      <c r="AE482" s="8" t="n">
        <v>0</v>
      </c>
      <c r="AF482" s="9" t="n">
        <v>0</v>
      </c>
      <c r="AG482" s="8" t="n">
        <v>0</v>
      </c>
      <c r="AH482" s="8" t="n">
        <v>0</v>
      </c>
      <c r="AI482" s="8" t="n">
        <v>0</v>
      </c>
      <c r="AJ482" s="8" t="n">
        <v>0</v>
      </c>
      <c r="AK482" s="8" t="n">
        <v>0</v>
      </c>
      <c r="AL482" s="8" t="n">
        <v>0</v>
      </c>
      <c r="AM482" s="9" t="n">
        <v>0</v>
      </c>
      <c r="AN482" s="8" t="n">
        <v>0</v>
      </c>
      <c r="AO482" s="8" t="n">
        <v>0</v>
      </c>
      <c r="AP482" s="8" t="n">
        <v>0</v>
      </c>
      <c r="AQ482" s="8" t="n">
        <v>0</v>
      </c>
      <c r="AR482" s="8" t="n">
        <v>0</v>
      </c>
      <c r="AS482" s="8" t="n">
        <v>0</v>
      </c>
      <c r="AT482" s="10">
        <f>SUM(O482:AS482)</f>
        <v/>
      </c>
      <c r="AU482" s="11">
        <f>COUNTIF(O482:AS482, "&gt;0")</f>
        <v/>
      </c>
      <c r="AV482" s="12">
        <f>IF(AU482&gt;=5, 4, IF(AU482&gt;0, INT(AU482/6), 0))</f>
        <v/>
      </c>
      <c r="AW482" s="11" t="n">
        <v>0</v>
      </c>
      <c r="AX482" s="11" t="n">
        <v>0</v>
      </c>
      <c r="AY482" s="13">
        <f>MIN(31, AU482+AV482+AW482+AX482)</f>
        <v/>
      </c>
      <c r="AZ482" s="14">
        <f>31-AY482</f>
        <v/>
      </c>
      <c r="BA482" s="5">
        <f>IF(AX482&gt;0, "01-İstirahat", IF(AZ482&gt;0, "12-Birden Fazla", ""))</f>
        <v/>
      </c>
      <c r="BB482" s="10" t="n">
        <v>0</v>
      </c>
      <c r="BC482" s="8" t="n">
        <v>0</v>
      </c>
      <c r="BD482" s="9" t="n">
        <v>0</v>
      </c>
      <c r="BE482" s="7">
        <f>(L482/30)*AU482</f>
        <v/>
      </c>
      <c r="BF482" s="15">
        <f>(L482/225)*((BB482*1.5)-(BC482*1.0))</f>
        <v/>
      </c>
      <c r="BG482" s="16">
        <f>(L482/225)*1.5*BD482</f>
        <v/>
      </c>
      <c r="BH482" s="15">
        <f>BF482+BG482</f>
        <v/>
      </c>
      <c r="BI482" s="17">
        <f>BE482+BH482</f>
        <v/>
      </c>
      <c r="BJ482" s="7">
        <f>IFERROR(VLOOKUP(B482, Resmi_Bordro_SGK!B:M, 11, FALSE), 0)</f>
        <v/>
      </c>
      <c r="BK482" s="18">
        <f>IFERROR(VLOOKUP(B482, Icra_Takip!A:E, 4, FALSE), 0)</f>
        <v/>
      </c>
      <c r="BL482" s="17">
        <f>IF(BI482&gt;BJ482, BI482-BJ482-BK482, 0)</f>
        <v/>
      </c>
      <c r="BM482" s="17">
        <f>BI482-BK482</f>
        <v/>
      </c>
    </row>
    <row r="483" ht="19" customHeight="1">
      <c r="A483" s="4" t="n">
        <v>480</v>
      </c>
      <c r="B483" s="5" t="inlineStr"/>
      <c r="C483" s="6" t="inlineStr">
        <is>
          <t>AHMET ABDULLAH</t>
        </is>
      </c>
      <c r="D483" s="4" t="inlineStr">
        <is>
          <t>E</t>
        </is>
      </c>
      <c r="E483" s="4" t="inlineStr"/>
      <c r="F483" s="4" t="inlineStr"/>
      <c r="G483" s="4" t="inlineStr"/>
      <c r="H483" s="4" t="inlineStr">
        <is>
          <t>NORMAL</t>
        </is>
      </c>
      <c r="I483" s="4" t="inlineStr">
        <is>
          <t>MEVSİMLİK</t>
        </is>
      </c>
      <c r="J483" s="6" t="inlineStr">
        <is>
          <t>BALIK KESİM</t>
        </is>
      </c>
      <c r="K483" s="6" t="inlineStr">
        <is>
          <t>KARACABEY-HALİL</t>
        </is>
      </c>
      <c r="L483" s="7" t="n">
        <v>28075.5</v>
      </c>
      <c r="M483" s="4" t="inlineStr">
        <is>
          <t>FİDE KONSERVE</t>
        </is>
      </c>
      <c r="N483" s="4" t="inlineStr">
        <is>
          <t>ALIR</t>
        </is>
      </c>
      <c r="O483" s="19" t="n">
        <v>0</v>
      </c>
      <c r="P483" s="19" t="n">
        <v>0</v>
      </c>
      <c r="Q483" s="19" t="n">
        <v>0</v>
      </c>
      <c r="R483" s="9" t="n">
        <v>0</v>
      </c>
      <c r="S483" s="19" t="n">
        <v>0</v>
      </c>
      <c r="T483" s="19" t="n">
        <v>0</v>
      </c>
      <c r="U483" s="19" t="n">
        <v>0</v>
      </c>
      <c r="V483" s="19" t="n">
        <v>0</v>
      </c>
      <c r="W483" s="19" t="n">
        <v>0</v>
      </c>
      <c r="X483" s="19" t="n">
        <v>0</v>
      </c>
      <c r="Y483" s="9" t="n">
        <v>0</v>
      </c>
      <c r="Z483" s="19" t="n">
        <v>0</v>
      </c>
      <c r="AA483" s="19" t="n">
        <v>0</v>
      </c>
      <c r="AB483" s="19" t="n">
        <v>0</v>
      </c>
      <c r="AC483" s="19" t="n">
        <v>0</v>
      </c>
      <c r="AD483" s="19" t="n">
        <v>0</v>
      </c>
      <c r="AE483" s="19" t="n">
        <v>0</v>
      </c>
      <c r="AF483" s="9" t="n">
        <v>0</v>
      </c>
      <c r="AG483" s="19" t="n">
        <v>0</v>
      </c>
      <c r="AH483" s="19" t="n">
        <v>0</v>
      </c>
      <c r="AI483" s="19" t="n">
        <v>0</v>
      </c>
      <c r="AJ483" s="19" t="n">
        <v>0</v>
      </c>
      <c r="AK483" s="19" t="n">
        <v>0</v>
      </c>
      <c r="AL483" s="19" t="n">
        <v>0</v>
      </c>
      <c r="AM483" s="9" t="n">
        <v>0</v>
      </c>
      <c r="AN483" s="19" t="n">
        <v>0</v>
      </c>
      <c r="AO483" s="19" t="n">
        <v>0</v>
      </c>
      <c r="AP483" s="19" t="n">
        <v>0</v>
      </c>
      <c r="AQ483" s="19" t="n">
        <v>0</v>
      </c>
      <c r="AR483" s="19" t="n">
        <v>0</v>
      </c>
      <c r="AS483" s="19" t="n">
        <v>0</v>
      </c>
      <c r="AT483" s="10">
        <f>SUM(O483:AS483)</f>
        <v/>
      </c>
      <c r="AU483" s="20">
        <f>COUNTIF(O483:AS483, "&gt;0")</f>
        <v/>
      </c>
      <c r="AV483" s="12">
        <f>IF(AU483&gt;=5, 4, IF(AU483&gt;0, INT(AU483/6), 0))</f>
        <v/>
      </c>
      <c r="AW483" s="20" t="n">
        <v>0</v>
      </c>
      <c r="AX483" s="20" t="n">
        <v>0</v>
      </c>
      <c r="AY483" s="13">
        <f>MIN(31, AU483+AV483+AW483+AX483)</f>
        <v/>
      </c>
      <c r="AZ483" s="14">
        <f>31-AY483</f>
        <v/>
      </c>
      <c r="BA483" s="21">
        <f>IF(AX483&gt;0, "01-İstirahat", IF(AZ483&gt;0, "12-Birden Fazla", ""))</f>
        <v/>
      </c>
      <c r="BB483" s="10" t="n">
        <v>0</v>
      </c>
      <c r="BC483" s="19" t="n">
        <v>0</v>
      </c>
      <c r="BD483" s="9" t="n">
        <v>0</v>
      </c>
      <c r="BE483" s="22">
        <f>(L483/30)*AU483</f>
        <v/>
      </c>
      <c r="BF483" s="15">
        <f>(L483/225)*((BB483*1.5)-(BC483*1.0))</f>
        <v/>
      </c>
      <c r="BG483" s="16">
        <f>(L483/225)*1.5*BD483</f>
        <v/>
      </c>
      <c r="BH483" s="15">
        <f>BF483+BG483</f>
        <v/>
      </c>
      <c r="BI483" s="17">
        <f>BE483+BH483</f>
        <v/>
      </c>
      <c r="BJ483" s="22">
        <f>IFERROR(VLOOKUP(B483, Resmi_Bordro_SGK!B:M, 11, FALSE), 0)</f>
        <v/>
      </c>
      <c r="BK483" s="18">
        <f>IFERROR(VLOOKUP(B483, Icra_Takip!A:E, 4, FALSE), 0)</f>
        <v/>
      </c>
      <c r="BL483" s="17">
        <f>IF(BI483&gt;BJ483, BI483-BJ483-BK483, 0)</f>
        <v/>
      </c>
      <c r="BM483" s="17">
        <f>BI483-BK483</f>
        <v/>
      </c>
    </row>
    <row r="484" ht="19" customHeight="1">
      <c r="A484" s="4" t="n">
        <v>481</v>
      </c>
      <c r="B484" s="5" t="inlineStr">
        <is>
          <t>10465939142</t>
        </is>
      </c>
      <c r="C484" s="6" t="inlineStr">
        <is>
          <t>AYTUĞ KARAGÖZ</t>
        </is>
      </c>
      <c r="D484" s="4" t="inlineStr">
        <is>
          <t>K</t>
        </is>
      </c>
      <c r="E484" s="4" t="inlineStr"/>
      <c r="F484" s="4" t="inlineStr">
        <is>
          <t>01.07.2026</t>
        </is>
      </c>
      <c r="G484" s="4" t="inlineStr"/>
      <c r="H484" s="4" t="inlineStr">
        <is>
          <t>NORMAL</t>
        </is>
      </c>
      <c r="I484" s="4" t="inlineStr">
        <is>
          <t>MEVSİMLİK</t>
        </is>
      </c>
      <c r="J484" s="6" t="inlineStr">
        <is>
          <t>BALIK TEMİZLEME</t>
        </is>
      </c>
      <c r="K484" s="6" t="inlineStr">
        <is>
          <t>GÜVEN</t>
        </is>
      </c>
      <c r="L484" s="7" t="n">
        <v>33000</v>
      </c>
      <c r="M484" s="4" t="inlineStr">
        <is>
          <t>FİDE KONSERVE</t>
        </is>
      </c>
      <c r="N484" s="4" t="inlineStr">
        <is>
          <t>ALIR</t>
        </is>
      </c>
      <c r="O484" s="8" t="n">
        <v>0</v>
      </c>
      <c r="P484" s="8" t="n">
        <v>0</v>
      </c>
      <c r="Q484" s="8" t="n">
        <v>0</v>
      </c>
      <c r="R484" s="9" t="n">
        <v>0</v>
      </c>
      <c r="S484" s="8" t="n">
        <v>0</v>
      </c>
      <c r="T484" s="8" t="n">
        <v>0</v>
      </c>
      <c r="U484" s="8" t="n">
        <v>0</v>
      </c>
      <c r="V484" s="8" t="n">
        <v>0</v>
      </c>
      <c r="W484" s="8" t="n">
        <v>0</v>
      </c>
      <c r="X484" s="8" t="n">
        <v>0</v>
      </c>
      <c r="Y484" s="9" t="n">
        <v>0</v>
      </c>
      <c r="Z484" s="8" t="n">
        <v>0</v>
      </c>
      <c r="AA484" s="8" t="n">
        <v>0</v>
      </c>
      <c r="AB484" s="8" t="n">
        <v>0</v>
      </c>
      <c r="AC484" s="8" t="n">
        <v>0</v>
      </c>
      <c r="AD484" s="8" t="n">
        <v>0</v>
      </c>
      <c r="AE484" s="8" t="n">
        <v>0</v>
      </c>
      <c r="AF484" s="9" t="n">
        <v>0</v>
      </c>
      <c r="AG484" s="8" t="n">
        <v>0</v>
      </c>
      <c r="AH484" s="8" t="n">
        <v>0</v>
      </c>
      <c r="AI484" s="8" t="n">
        <v>0</v>
      </c>
      <c r="AJ484" s="8" t="n">
        <v>0</v>
      </c>
      <c r="AK484" s="8" t="n">
        <v>0</v>
      </c>
      <c r="AL484" s="8" t="n">
        <v>0</v>
      </c>
      <c r="AM484" s="9" t="n">
        <v>0</v>
      </c>
      <c r="AN484" s="8" t="n">
        <v>0</v>
      </c>
      <c r="AO484" s="8" t="n">
        <v>0</v>
      </c>
      <c r="AP484" s="8" t="n">
        <v>0</v>
      </c>
      <c r="AQ484" s="8" t="n">
        <v>0</v>
      </c>
      <c r="AR484" s="8" t="n">
        <v>0</v>
      </c>
      <c r="AS484" s="8" t="n">
        <v>0</v>
      </c>
      <c r="AT484" s="10">
        <f>SUM(O484:AS484)</f>
        <v/>
      </c>
      <c r="AU484" s="11">
        <f>COUNTIF(O484:AS484, "&gt;0")</f>
        <v/>
      </c>
      <c r="AV484" s="12">
        <f>IF(AU484&gt;=5, 4, IF(AU484&gt;0, INT(AU484/6), 0))</f>
        <v/>
      </c>
      <c r="AW484" s="11" t="n">
        <v>0</v>
      </c>
      <c r="AX484" s="11" t="n">
        <v>0</v>
      </c>
      <c r="AY484" s="13">
        <f>MIN(31, AU484+AV484+AW484+AX484)</f>
        <v/>
      </c>
      <c r="AZ484" s="14">
        <f>31-AY484</f>
        <v/>
      </c>
      <c r="BA484" s="5">
        <f>IF(AX484&gt;0, "01-İstirahat", IF(AZ484&gt;0, "12-Birden Fazla", ""))</f>
        <v/>
      </c>
      <c r="BB484" s="10" t="n">
        <v>0</v>
      </c>
      <c r="BC484" s="8" t="n">
        <v>0</v>
      </c>
      <c r="BD484" s="9" t="n">
        <v>0</v>
      </c>
      <c r="BE484" s="7">
        <f>(L484/30)*AU484</f>
        <v/>
      </c>
      <c r="BF484" s="15">
        <f>(L484/225)*((BB484*1.5)-(BC484*1.0))</f>
        <v/>
      </c>
      <c r="BG484" s="16">
        <f>(L484/225)*1.5*BD484</f>
        <v/>
      </c>
      <c r="BH484" s="15">
        <f>BF484+BG484</f>
        <v/>
      </c>
      <c r="BI484" s="17">
        <f>BE484+BH484</f>
        <v/>
      </c>
      <c r="BJ484" s="7">
        <f>IFERROR(VLOOKUP(B484, Resmi_Bordro_SGK!B:M, 11, FALSE), 0)</f>
        <v/>
      </c>
      <c r="BK484" s="18">
        <f>IFERROR(VLOOKUP(B484, Icra_Takip!A:E, 4, FALSE), 0)</f>
        <v/>
      </c>
      <c r="BL484" s="17">
        <f>IF(BI484&gt;BJ484, BI484-BJ484-BK484, 0)</f>
        <v/>
      </c>
      <c r="BM484" s="17">
        <f>BI484-BK484</f>
        <v/>
      </c>
    </row>
    <row r="485" ht="19" customHeight="1">
      <c r="A485" s="4" t="n">
        <v>482</v>
      </c>
      <c r="B485" s="5" t="inlineStr"/>
      <c r="C485" s="6" t="inlineStr">
        <is>
          <t>DİLOROM PULOTOVA</t>
        </is>
      </c>
      <c r="D485" s="4" t="inlineStr">
        <is>
          <t>K</t>
        </is>
      </c>
      <c r="E485" s="4" t="inlineStr"/>
      <c r="F485" s="4" t="inlineStr"/>
      <c r="G485" s="4" t="inlineStr"/>
      <c r="H485" s="4" t="inlineStr">
        <is>
          <t>NORMAL</t>
        </is>
      </c>
      <c r="I485" s="4" t="inlineStr">
        <is>
          <t>MEVSİMLİK</t>
        </is>
      </c>
      <c r="J485" s="6" t="inlineStr">
        <is>
          <t>ÜRETİM</t>
        </is>
      </c>
      <c r="K485" s="6" t="inlineStr"/>
      <c r="L485" s="7" t="n">
        <v>28075.5</v>
      </c>
      <c r="M485" s="4" t="inlineStr">
        <is>
          <t>FİDE KONSERVE</t>
        </is>
      </c>
      <c r="N485" s="4" t="inlineStr">
        <is>
          <t>ALIR</t>
        </is>
      </c>
      <c r="O485" s="19" t="n">
        <v>0</v>
      </c>
      <c r="P485" s="19" t="n">
        <v>0</v>
      </c>
      <c r="Q485" s="19" t="n">
        <v>0</v>
      </c>
      <c r="R485" s="9" t="n">
        <v>0</v>
      </c>
      <c r="S485" s="19" t="n">
        <v>0</v>
      </c>
      <c r="T485" s="19" t="n">
        <v>0</v>
      </c>
      <c r="U485" s="19" t="n">
        <v>0</v>
      </c>
      <c r="V485" s="19" t="n">
        <v>0</v>
      </c>
      <c r="W485" s="19" t="n">
        <v>0</v>
      </c>
      <c r="X485" s="19" t="n">
        <v>0</v>
      </c>
      <c r="Y485" s="9" t="n">
        <v>0</v>
      </c>
      <c r="Z485" s="19" t="n">
        <v>0</v>
      </c>
      <c r="AA485" s="19" t="n">
        <v>0</v>
      </c>
      <c r="AB485" s="19" t="n">
        <v>0</v>
      </c>
      <c r="AC485" s="19" t="n">
        <v>0</v>
      </c>
      <c r="AD485" s="19" t="n">
        <v>0</v>
      </c>
      <c r="AE485" s="19" t="n">
        <v>0</v>
      </c>
      <c r="AF485" s="9" t="n">
        <v>0</v>
      </c>
      <c r="AG485" s="19" t="n">
        <v>0</v>
      </c>
      <c r="AH485" s="19" t="n">
        <v>0</v>
      </c>
      <c r="AI485" s="19" t="n">
        <v>0</v>
      </c>
      <c r="AJ485" s="19" t="n">
        <v>0</v>
      </c>
      <c r="AK485" s="19" t="n">
        <v>0</v>
      </c>
      <c r="AL485" s="19" t="n">
        <v>0</v>
      </c>
      <c r="AM485" s="9" t="n">
        <v>0</v>
      </c>
      <c r="AN485" s="19" t="n">
        <v>0</v>
      </c>
      <c r="AO485" s="19" t="n">
        <v>0</v>
      </c>
      <c r="AP485" s="19" t="n">
        <v>0</v>
      </c>
      <c r="AQ485" s="19" t="n">
        <v>0</v>
      </c>
      <c r="AR485" s="19" t="n">
        <v>0</v>
      </c>
      <c r="AS485" s="19" t="n">
        <v>0</v>
      </c>
      <c r="AT485" s="10">
        <f>SUM(O485:AS485)</f>
        <v/>
      </c>
      <c r="AU485" s="20">
        <f>COUNTIF(O485:AS485, "&gt;0")</f>
        <v/>
      </c>
      <c r="AV485" s="12">
        <f>IF(AU485&gt;=5, 4, IF(AU485&gt;0, INT(AU485/6), 0))</f>
        <v/>
      </c>
      <c r="AW485" s="20" t="n">
        <v>0</v>
      </c>
      <c r="AX485" s="20" t="n">
        <v>0</v>
      </c>
      <c r="AY485" s="13">
        <f>MIN(31, AU485+AV485+AW485+AX485)</f>
        <v/>
      </c>
      <c r="AZ485" s="14">
        <f>31-AY485</f>
        <v/>
      </c>
      <c r="BA485" s="21">
        <f>IF(AX485&gt;0, "01-İstirahat", IF(AZ485&gt;0, "12-Birden Fazla", ""))</f>
        <v/>
      </c>
      <c r="BB485" s="10" t="n">
        <v>0</v>
      </c>
      <c r="BC485" s="19" t="n">
        <v>0</v>
      </c>
      <c r="BD485" s="9" t="n">
        <v>0</v>
      </c>
      <c r="BE485" s="22">
        <f>(L485/30)*AU485</f>
        <v/>
      </c>
      <c r="BF485" s="15">
        <f>(L485/225)*((BB485*1.5)-(BC485*1.0))</f>
        <v/>
      </c>
      <c r="BG485" s="16">
        <f>(L485/225)*1.5*BD485</f>
        <v/>
      </c>
      <c r="BH485" s="15">
        <f>BF485+BG485</f>
        <v/>
      </c>
      <c r="BI485" s="17">
        <f>BE485+BH485</f>
        <v/>
      </c>
      <c r="BJ485" s="22">
        <f>IFERROR(VLOOKUP(B485, Resmi_Bordro_SGK!B:M, 11, FALSE), 0)</f>
        <v/>
      </c>
      <c r="BK485" s="18">
        <f>IFERROR(VLOOKUP(B485, Icra_Takip!A:E, 4, FALSE), 0)</f>
        <v/>
      </c>
      <c r="BL485" s="17">
        <f>IF(BI485&gt;BJ485, BI485-BJ485-BK485, 0)</f>
        <v/>
      </c>
      <c r="BM485" s="17">
        <f>BI485-BK485</f>
        <v/>
      </c>
    </row>
    <row r="486" ht="19" customHeight="1">
      <c r="A486" s="4" t="n">
        <v>483</v>
      </c>
      <c r="B486" s="5" t="inlineStr">
        <is>
          <t>10483938196</t>
        </is>
      </c>
      <c r="C486" s="6" t="inlineStr">
        <is>
          <t>NURŞEN YILDIRIM</t>
        </is>
      </c>
      <c r="D486" s="4" t="inlineStr">
        <is>
          <t>K</t>
        </is>
      </c>
      <c r="E486" s="4" t="inlineStr"/>
      <c r="F486" s="4" t="inlineStr">
        <is>
          <t>02.07.2026</t>
        </is>
      </c>
      <c r="G486" s="4" t="inlineStr"/>
      <c r="H486" s="4" t="inlineStr">
        <is>
          <t>N0RMAL</t>
        </is>
      </c>
      <c r="I486" s="4" t="inlineStr">
        <is>
          <t>MEVSİMLİK</t>
        </is>
      </c>
      <c r="J486" s="6" t="inlineStr">
        <is>
          <t>ÜRETİM</t>
        </is>
      </c>
      <c r="K486" s="6" t="inlineStr">
        <is>
          <t>KARACABEY-HALİL</t>
        </is>
      </c>
      <c r="L486" s="7" t="n">
        <v>28075.5</v>
      </c>
      <c r="M486" s="4" t="inlineStr">
        <is>
          <t>FİDE KONSERVE</t>
        </is>
      </c>
      <c r="N486" s="4" t="inlineStr">
        <is>
          <t>ALIR</t>
        </is>
      </c>
      <c r="O486" s="8" t="n">
        <v>0</v>
      </c>
      <c r="P486" s="8" t="n">
        <v>0</v>
      </c>
      <c r="Q486" s="8" t="n">
        <v>0</v>
      </c>
      <c r="R486" s="9" t="n">
        <v>0</v>
      </c>
      <c r="S486" s="8" t="n">
        <v>0</v>
      </c>
      <c r="T486" s="8" t="n">
        <v>0</v>
      </c>
      <c r="U486" s="8" t="n">
        <v>0</v>
      </c>
      <c r="V486" s="8" t="n">
        <v>0</v>
      </c>
      <c r="W486" s="8" t="n">
        <v>0</v>
      </c>
      <c r="X486" s="8" t="n">
        <v>0</v>
      </c>
      <c r="Y486" s="9" t="n">
        <v>0</v>
      </c>
      <c r="Z486" s="8" t="n">
        <v>0</v>
      </c>
      <c r="AA486" s="8" t="n">
        <v>0</v>
      </c>
      <c r="AB486" s="8" t="n">
        <v>0</v>
      </c>
      <c r="AC486" s="8" t="n">
        <v>0</v>
      </c>
      <c r="AD486" s="8" t="n">
        <v>0</v>
      </c>
      <c r="AE486" s="8" t="n">
        <v>0</v>
      </c>
      <c r="AF486" s="9" t="n">
        <v>0</v>
      </c>
      <c r="AG486" s="8" t="n">
        <v>0</v>
      </c>
      <c r="AH486" s="8" t="n">
        <v>0</v>
      </c>
      <c r="AI486" s="8" t="n">
        <v>0</v>
      </c>
      <c r="AJ486" s="8" t="n">
        <v>0</v>
      </c>
      <c r="AK486" s="8" t="n">
        <v>0</v>
      </c>
      <c r="AL486" s="8" t="n">
        <v>0</v>
      </c>
      <c r="AM486" s="9" t="n">
        <v>0</v>
      </c>
      <c r="AN486" s="8" t="n">
        <v>0</v>
      </c>
      <c r="AO486" s="8" t="n">
        <v>0</v>
      </c>
      <c r="AP486" s="8" t="n">
        <v>0</v>
      </c>
      <c r="AQ486" s="8" t="n">
        <v>0</v>
      </c>
      <c r="AR486" s="8" t="n">
        <v>0</v>
      </c>
      <c r="AS486" s="8" t="n">
        <v>0</v>
      </c>
      <c r="AT486" s="10">
        <f>SUM(O486:AS486)</f>
        <v/>
      </c>
      <c r="AU486" s="11">
        <f>COUNTIF(O486:AS486, "&gt;0")</f>
        <v/>
      </c>
      <c r="AV486" s="12">
        <f>IF(AU486&gt;=5, 4, IF(AU486&gt;0, INT(AU486/6), 0))</f>
        <v/>
      </c>
      <c r="AW486" s="11" t="n">
        <v>0</v>
      </c>
      <c r="AX486" s="11" t="n">
        <v>0</v>
      </c>
      <c r="AY486" s="13">
        <f>MIN(31, AU486+AV486+AW486+AX486)</f>
        <v/>
      </c>
      <c r="AZ486" s="14">
        <f>31-AY486</f>
        <v/>
      </c>
      <c r="BA486" s="5">
        <f>IF(AX486&gt;0, "01-İstirahat", IF(AZ486&gt;0, "12-Birden Fazla", ""))</f>
        <v/>
      </c>
      <c r="BB486" s="10" t="n">
        <v>0</v>
      </c>
      <c r="BC486" s="8" t="n">
        <v>0</v>
      </c>
      <c r="BD486" s="9" t="n">
        <v>0</v>
      </c>
      <c r="BE486" s="7">
        <f>(L486/30)*AU486</f>
        <v/>
      </c>
      <c r="BF486" s="15">
        <f>(L486/225)*((BB486*1.5)-(BC486*1.0))</f>
        <v/>
      </c>
      <c r="BG486" s="16">
        <f>(L486/225)*1.5*BD486</f>
        <v/>
      </c>
      <c r="BH486" s="15">
        <f>BF486+BG486</f>
        <v/>
      </c>
      <c r="BI486" s="17">
        <f>BE486+BH486</f>
        <v/>
      </c>
      <c r="BJ486" s="7">
        <f>IFERROR(VLOOKUP(B486, Resmi_Bordro_SGK!B:M, 11, FALSE), 0)</f>
        <v/>
      </c>
      <c r="BK486" s="18">
        <f>IFERROR(VLOOKUP(B486, Icra_Takip!A:E, 4, FALSE), 0)</f>
        <v/>
      </c>
      <c r="BL486" s="17">
        <f>IF(BI486&gt;BJ486, BI486-BJ486-BK486, 0)</f>
        <v/>
      </c>
      <c r="BM486" s="17">
        <f>BI486-BK486</f>
        <v/>
      </c>
    </row>
    <row r="487" ht="19" customHeight="1">
      <c r="A487" s="4" t="n">
        <v>484</v>
      </c>
      <c r="B487" s="5" t="inlineStr">
        <is>
          <t>22260441248</t>
        </is>
      </c>
      <c r="C487" s="6" t="inlineStr">
        <is>
          <t>ERSİN ESER</t>
        </is>
      </c>
      <c r="D487" s="4" t="inlineStr">
        <is>
          <t>E</t>
        </is>
      </c>
      <c r="E487" s="4" t="inlineStr"/>
      <c r="F487" s="4" t="inlineStr"/>
      <c r="G487" s="4" t="inlineStr"/>
      <c r="H487" s="4" t="inlineStr">
        <is>
          <t>SGK YOK</t>
        </is>
      </c>
      <c r="I487" s="4" t="inlineStr">
        <is>
          <t>DAİMİ</t>
        </is>
      </c>
      <c r="J487" s="6" t="inlineStr">
        <is>
          <t>BAKIM</t>
        </is>
      </c>
      <c r="K487" s="6" t="inlineStr">
        <is>
          <t>GÖBEL</t>
        </is>
      </c>
      <c r="L487" s="7" t="n">
        <v>38000</v>
      </c>
      <c r="M487" s="4" t="inlineStr">
        <is>
          <t>FİDE KONSERVE</t>
        </is>
      </c>
      <c r="N487" s="4" t="inlineStr">
        <is>
          <t>ALIR</t>
        </is>
      </c>
      <c r="O487" s="19" t="n">
        <v>10.5</v>
      </c>
      <c r="P487" s="19" t="n">
        <v>10.5</v>
      </c>
      <c r="Q487" s="19" t="n">
        <v>10.5</v>
      </c>
      <c r="R487" s="9" t="n">
        <v>10.5</v>
      </c>
      <c r="S487" s="19" t="n">
        <v>10.5</v>
      </c>
      <c r="T487" s="19" t="n">
        <v>10.5</v>
      </c>
      <c r="U487" s="19" t="n">
        <v>10.5</v>
      </c>
      <c r="V487" s="19" t="n">
        <v>10.5</v>
      </c>
      <c r="W487" s="19" t="n">
        <v>10.5</v>
      </c>
      <c r="X487" s="19" t="n">
        <v>10.5</v>
      </c>
      <c r="Y487" s="9" t="n">
        <v>10.5</v>
      </c>
      <c r="Z487" s="19" t="n">
        <v>10.5</v>
      </c>
      <c r="AA487" s="19" t="n">
        <v>10.5</v>
      </c>
      <c r="AB487" s="19" t="n">
        <v>10.5</v>
      </c>
      <c r="AC487" s="19" t="n">
        <v>10.5</v>
      </c>
      <c r="AD487" s="19" t="n">
        <v>4</v>
      </c>
      <c r="AE487" s="19" t="n">
        <v>4</v>
      </c>
      <c r="AF487" s="9" t="n">
        <v>0</v>
      </c>
      <c r="AG487" s="19" t="n">
        <v>10.5</v>
      </c>
      <c r="AH487" s="19" t="n">
        <v>3.5</v>
      </c>
      <c r="AI487" s="19" t="n">
        <v>0</v>
      </c>
      <c r="AJ487" s="19" t="n">
        <v>0</v>
      </c>
      <c r="AK487" s="19" t="n">
        <v>0</v>
      </c>
      <c r="AL487" s="19" t="n">
        <v>0</v>
      </c>
      <c r="AM487" s="9" t="n">
        <v>0</v>
      </c>
      <c r="AN487" s="19" t="n">
        <v>0</v>
      </c>
      <c r="AO487" s="19" t="n">
        <v>0</v>
      </c>
      <c r="AP487" s="19" t="n">
        <v>0</v>
      </c>
      <c r="AQ487" s="19" t="n">
        <v>0</v>
      </c>
      <c r="AR487" s="19" t="n">
        <v>0</v>
      </c>
      <c r="AS487" s="19" t="n">
        <v>0</v>
      </c>
      <c r="AT487" s="10">
        <f>SUM(O487:AS487)</f>
        <v/>
      </c>
      <c r="AU487" s="20">
        <f>COUNTIF(O487:AS487, "&gt;0")</f>
        <v/>
      </c>
      <c r="AV487" s="12">
        <f>IF(AU487&gt;=5, 4, IF(AU487&gt;0, INT(AU487/6), 0))</f>
        <v/>
      </c>
      <c r="AW487" s="20" t="n">
        <v>0</v>
      </c>
      <c r="AX487" s="20" t="n">
        <v>0</v>
      </c>
      <c r="AY487" s="13">
        <f>MIN(31, AU487+AV487+AW487+AX487)</f>
        <v/>
      </c>
      <c r="AZ487" s="14">
        <f>31-AY487</f>
        <v/>
      </c>
      <c r="BA487" s="21">
        <f>IF(AX487&gt;0, "01-İstirahat", IF(AZ487&gt;0, "12-Birden Fazla", ""))</f>
        <v/>
      </c>
      <c r="BB487" s="10" t="n">
        <v>42</v>
      </c>
      <c r="BC487" s="23" t="n">
        <v>11</v>
      </c>
      <c r="BD487" s="9" t="n">
        <v>21</v>
      </c>
      <c r="BE487" s="22">
        <f>(L487/30)*AU487</f>
        <v/>
      </c>
      <c r="BF487" s="15">
        <f>(L487/225)*((BB487*1.5)-(BC487*1.0))</f>
        <v/>
      </c>
      <c r="BG487" s="16">
        <f>(L487/225)*1.5*BD487</f>
        <v/>
      </c>
      <c r="BH487" s="15">
        <f>BF487+BG487</f>
        <v/>
      </c>
      <c r="BI487" s="17">
        <f>BE487+BH487</f>
        <v/>
      </c>
      <c r="BJ487" s="22">
        <f>IFERROR(VLOOKUP(B487, Resmi_Bordro_SGK!B:M, 11, FALSE), 0)</f>
        <v/>
      </c>
      <c r="BK487" s="18">
        <f>IFERROR(VLOOKUP(B487, Icra_Takip!A:E, 4, FALSE), 0)</f>
        <v/>
      </c>
      <c r="BL487" s="17">
        <f>IF(BI487&gt;BJ487, BI487-BJ487-BK487, 0)</f>
        <v/>
      </c>
      <c r="BM487" s="17">
        <f>BI487-BK487</f>
        <v/>
      </c>
    </row>
    <row r="488" ht="19" customHeight="1">
      <c r="A488" s="4" t="n">
        <v>485</v>
      </c>
      <c r="B488" s="5" t="inlineStr"/>
      <c r="C488" s="6" t="inlineStr">
        <is>
          <t>ELİF NAZ UZER</t>
        </is>
      </c>
      <c r="D488" s="4" t="inlineStr">
        <is>
          <t>K</t>
        </is>
      </c>
      <c r="E488" s="4" t="inlineStr"/>
      <c r="F488" s="4" t="inlineStr"/>
      <c r="G488" s="4" t="inlineStr"/>
      <c r="H488" s="4" t="inlineStr">
        <is>
          <t>SGK YOK</t>
        </is>
      </c>
      <c r="I488" s="4" t="inlineStr">
        <is>
          <t>MEVSİMLİK</t>
        </is>
      </c>
      <c r="J488" s="6" t="inlineStr"/>
      <c r="K488" s="6" t="inlineStr">
        <is>
          <t>SEVGİ</t>
        </is>
      </c>
      <c r="L488" s="7" t="n">
        <v>28075.5</v>
      </c>
      <c r="M488" s="4" t="inlineStr">
        <is>
          <t>FİDE KONSERVE</t>
        </is>
      </c>
      <c r="N488" s="4" t="inlineStr">
        <is>
          <t>ALIR</t>
        </is>
      </c>
      <c r="O488" s="8" t="n">
        <v>0</v>
      </c>
      <c r="P488" s="8" t="n">
        <v>0</v>
      </c>
      <c r="Q488" s="8" t="n">
        <v>0</v>
      </c>
      <c r="R488" s="9" t="n">
        <v>0</v>
      </c>
      <c r="S488" s="8" t="n">
        <v>0</v>
      </c>
      <c r="T488" s="8" t="n">
        <v>0</v>
      </c>
      <c r="U488" s="8" t="n">
        <v>0</v>
      </c>
      <c r="V488" s="8" t="n">
        <v>0</v>
      </c>
      <c r="W488" s="8" t="n">
        <v>0</v>
      </c>
      <c r="X488" s="8" t="n">
        <v>0</v>
      </c>
      <c r="Y488" s="9" t="n">
        <v>0</v>
      </c>
      <c r="Z488" s="8" t="n">
        <v>0</v>
      </c>
      <c r="AA488" s="8" t="n">
        <v>0</v>
      </c>
      <c r="AB488" s="8" t="n">
        <v>0</v>
      </c>
      <c r="AC488" s="8" t="n">
        <v>0</v>
      </c>
      <c r="AD488" s="8" t="n">
        <v>0</v>
      </c>
      <c r="AE488" s="8" t="n">
        <v>0</v>
      </c>
      <c r="AF488" s="9" t="n">
        <v>0</v>
      </c>
      <c r="AG488" s="8" t="n">
        <v>0</v>
      </c>
      <c r="AH488" s="8" t="n">
        <v>0</v>
      </c>
      <c r="AI488" s="8" t="n">
        <v>0</v>
      </c>
      <c r="AJ488" s="8" t="n">
        <v>0</v>
      </c>
      <c r="AK488" s="8" t="n">
        <v>0</v>
      </c>
      <c r="AL488" s="8" t="n">
        <v>0</v>
      </c>
      <c r="AM488" s="9" t="n">
        <v>0</v>
      </c>
      <c r="AN488" s="8" t="n">
        <v>0</v>
      </c>
      <c r="AO488" s="8" t="n">
        <v>0</v>
      </c>
      <c r="AP488" s="8" t="n">
        <v>0</v>
      </c>
      <c r="AQ488" s="8" t="n">
        <v>0</v>
      </c>
      <c r="AR488" s="8" t="n">
        <v>0</v>
      </c>
      <c r="AS488" s="8" t="n">
        <v>0</v>
      </c>
      <c r="AT488" s="10">
        <f>SUM(O488:AS488)</f>
        <v/>
      </c>
      <c r="AU488" s="11">
        <f>COUNTIF(O488:AS488, "&gt;0")</f>
        <v/>
      </c>
      <c r="AV488" s="12">
        <f>IF(AU488&gt;=5, 4, IF(AU488&gt;0, INT(AU488/6), 0))</f>
        <v/>
      </c>
      <c r="AW488" s="11" t="n">
        <v>0</v>
      </c>
      <c r="AX488" s="11" t="n">
        <v>0</v>
      </c>
      <c r="AY488" s="13">
        <f>MIN(31, AU488+AV488+AW488+AX488)</f>
        <v/>
      </c>
      <c r="AZ488" s="14">
        <f>31-AY488</f>
        <v/>
      </c>
      <c r="BA488" s="5">
        <f>IF(AX488&gt;0, "01-İstirahat", IF(AZ488&gt;0, "12-Birden Fazla", ""))</f>
        <v/>
      </c>
      <c r="BB488" s="10" t="n">
        <v>0</v>
      </c>
      <c r="BC488" s="8" t="n">
        <v>0</v>
      </c>
      <c r="BD488" s="9" t="n">
        <v>0</v>
      </c>
      <c r="BE488" s="7">
        <f>(L488/30)*AU488</f>
        <v/>
      </c>
      <c r="BF488" s="15">
        <f>(L488/225)*((BB488*1.5)-(BC488*1.0))</f>
        <v/>
      </c>
      <c r="BG488" s="16">
        <f>(L488/225)*1.5*BD488</f>
        <v/>
      </c>
      <c r="BH488" s="15">
        <f>BF488+BG488</f>
        <v/>
      </c>
      <c r="BI488" s="17">
        <f>BE488+BH488</f>
        <v/>
      </c>
      <c r="BJ488" s="7">
        <f>IFERROR(VLOOKUP(B488, Resmi_Bordro_SGK!B:M, 11, FALSE), 0)</f>
        <v/>
      </c>
      <c r="BK488" s="18">
        <f>IFERROR(VLOOKUP(B488, Icra_Takip!A:E, 4, FALSE), 0)</f>
        <v/>
      </c>
      <c r="BL488" s="17">
        <f>IF(BI488&gt;BJ488, BI488-BJ488-BK488, 0)</f>
        <v/>
      </c>
      <c r="BM488" s="17">
        <f>BI488-BK488</f>
        <v/>
      </c>
    </row>
    <row r="489" ht="19" customHeight="1">
      <c r="A489" s="4" t="n">
        <v>486</v>
      </c>
      <c r="B489" s="5" t="inlineStr"/>
      <c r="C489" s="6" t="inlineStr">
        <is>
          <t>MUHAMMED BATIBEY</t>
        </is>
      </c>
      <c r="D489" s="4" t="inlineStr"/>
      <c r="E489" s="4" t="inlineStr"/>
      <c r="F489" s="4" t="inlineStr"/>
      <c r="G489" s="4" t="inlineStr"/>
      <c r="H489" s="4" t="inlineStr">
        <is>
          <t>SGK YOK</t>
        </is>
      </c>
      <c r="I489" s="4" t="inlineStr">
        <is>
          <t>MEVSİMLİK</t>
        </is>
      </c>
      <c r="J489" s="6" t="inlineStr"/>
      <c r="K489" s="6" t="inlineStr">
        <is>
          <t>SEVGİ</t>
        </is>
      </c>
      <c r="L489" s="7" t="n">
        <v>28075.5</v>
      </c>
      <c r="M489" s="4" t="inlineStr">
        <is>
          <t>FİDE KONSERVE</t>
        </is>
      </c>
      <c r="N489" s="4" t="inlineStr">
        <is>
          <t>ALIR</t>
        </is>
      </c>
      <c r="O489" s="19" t="n">
        <v>0</v>
      </c>
      <c r="P489" s="19" t="n">
        <v>0</v>
      </c>
      <c r="Q489" s="19" t="n">
        <v>0</v>
      </c>
      <c r="R489" s="9" t="n">
        <v>0</v>
      </c>
      <c r="S489" s="19" t="n">
        <v>0</v>
      </c>
      <c r="T489" s="19" t="n">
        <v>0</v>
      </c>
      <c r="U489" s="19" t="n">
        <v>7</v>
      </c>
      <c r="V489" s="19" t="n">
        <v>0</v>
      </c>
      <c r="W489" s="19" t="n">
        <v>0</v>
      </c>
      <c r="X489" s="19" t="n">
        <v>0</v>
      </c>
      <c r="Y489" s="9" t="n">
        <v>0</v>
      </c>
      <c r="Z489" s="19" t="n">
        <v>0</v>
      </c>
      <c r="AA489" s="19" t="n">
        <v>0</v>
      </c>
      <c r="AB489" s="19" t="n">
        <v>0</v>
      </c>
      <c r="AC489" s="19" t="n">
        <v>0</v>
      </c>
      <c r="AD489" s="19" t="n">
        <v>0</v>
      </c>
      <c r="AE489" s="19" t="n">
        <v>0</v>
      </c>
      <c r="AF489" s="9" t="n">
        <v>0</v>
      </c>
      <c r="AG489" s="19" t="n">
        <v>0</v>
      </c>
      <c r="AH489" s="19" t="n">
        <v>0</v>
      </c>
      <c r="AI489" s="19" t="n">
        <v>0</v>
      </c>
      <c r="AJ489" s="19" t="n">
        <v>0</v>
      </c>
      <c r="AK489" s="19" t="n">
        <v>0</v>
      </c>
      <c r="AL489" s="19" t="n">
        <v>0</v>
      </c>
      <c r="AM489" s="9" t="n">
        <v>0</v>
      </c>
      <c r="AN489" s="19" t="n">
        <v>0</v>
      </c>
      <c r="AO489" s="19" t="n">
        <v>0</v>
      </c>
      <c r="AP489" s="19" t="n">
        <v>0</v>
      </c>
      <c r="AQ489" s="19" t="n">
        <v>0</v>
      </c>
      <c r="AR489" s="19" t="n">
        <v>0</v>
      </c>
      <c r="AS489" s="19" t="n">
        <v>0</v>
      </c>
      <c r="AT489" s="10">
        <f>SUM(O489:AS489)</f>
        <v/>
      </c>
      <c r="AU489" s="20">
        <f>COUNTIF(O489:AS489, "&gt;0")</f>
        <v/>
      </c>
      <c r="AV489" s="12">
        <f>IF(AU489&gt;=5, 4, IF(AU489&gt;0, INT(AU489/6), 0))</f>
        <v/>
      </c>
      <c r="AW489" s="20" t="n">
        <v>0</v>
      </c>
      <c r="AX489" s="20" t="n">
        <v>0</v>
      </c>
      <c r="AY489" s="13">
        <f>MIN(31, AU489+AV489+AW489+AX489)</f>
        <v/>
      </c>
      <c r="AZ489" s="14">
        <f>31-AY489</f>
        <v/>
      </c>
      <c r="BA489" s="21">
        <f>IF(AX489&gt;0, "01-İstirahat", IF(AZ489&gt;0, "12-Birden Fazla", ""))</f>
        <v/>
      </c>
      <c r="BB489" s="10" t="n">
        <v>0</v>
      </c>
      <c r="BC489" s="23" t="n">
        <v>0.5</v>
      </c>
      <c r="BD489" s="9" t="n">
        <v>0</v>
      </c>
      <c r="BE489" s="22">
        <f>(L489/30)*AU489</f>
        <v/>
      </c>
      <c r="BF489" s="15">
        <f>(L489/225)*((BB489*1.5)-(BC489*1.0))</f>
        <v/>
      </c>
      <c r="BG489" s="16">
        <f>(L489/225)*1.5*BD489</f>
        <v/>
      </c>
      <c r="BH489" s="15">
        <f>BF489+BG489</f>
        <v/>
      </c>
      <c r="BI489" s="17">
        <f>BE489+BH489</f>
        <v/>
      </c>
      <c r="BJ489" s="22">
        <f>IFERROR(VLOOKUP(B489, Resmi_Bordro_SGK!B:M, 11, FALSE), 0)</f>
        <v/>
      </c>
      <c r="BK489" s="18">
        <f>IFERROR(VLOOKUP(B489, Icra_Takip!A:E, 4, FALSE), 0)</f>
        <v/>
      </c>
      <c r="BL489" s="17">
        <f>IF(BI489&gt;BJ489, BI489-BJ489-BK489, 0)</f>
        <v/>
      </c>
      <c r="BM489" s="17">
        <f>BI489-BK489</f>
        <v/>
      </c>
    </row>
    <row r="490" ht="19" customHeight="1">
      <c r="A490" s="4" t="n">
        <v>487</v>
      </c>
      <c r="B490" s="5" t="inlineStr"/>
      <c r="C490" s="6" t="inlineStr">
        <is>
          <t>FATMA YAVUZ</t>
        </is>
      </c>
      <c r="D490" s="4" t="inlineStr">
        <is>
          <t>K</t>
        </is>
      </c>
      <c r="E490" s="4" t="inlineStr"/>
      <c r="F490" s="4" t="inlineStr"/>
      <c r="G490" s="4" t="inlineStr"/>
      <c r="H490" s="4" t="inlineStr">
        <is>
          <t>SGK YOK</t>
        </is>
      </c>
      <c r="I490" s="4" t="inlineStr">
        <is>
          <t>MEVSİMLİK</t>
        </is>
      </c>
      <c r="J490" s="6" t="inlineStr">
        <is>
          <t>AMBAR</t>
        </is>
      </c>
      <c r="K490" s="6" t="inlineStr">
        <is>
          <t>BİGADİÇ</t>
        </is>
      </c>
      <c r="L490" s="7" t="n">
        <v>28075.5</v>
      </c>
      <c r="M490" s="4" t="inlineStr">
        <is>
          <t>FİDE KONSERVE</t>
        </is>
      </c>
      <c r="N490" s="4" t="inlineStr">
        <is>
          <t>ALIR</t>
        </is>
      </c>
      <c r="O490" s="8" t="n">
        <v>0</v>
      </c>
      <c r="P490" s="8" t="n">
        <v>0</v>
      </c>
      <c r="Q490" s="8" t="n">
        <v>0</v>
      </c>
      <c r="R490" s="9" t="n">
        <v>0</v>
      </c>
      <c r="S490" s="8" t="n">
        <v>0</v>
      </c>
      <c r="T490" s="8" t="n">
        <v>0</v>
      </c>
      <c r="U490" s="8" t="n">
        <v>0</v>
      </c>
      <c r="V490" s="8" t="n">
        <v>0</v>
      </c>
      <c r="W490" s="8" t="n">
        <v>0</v>
      </c>
      <c r="X490" s="8" t="n">
        <v>0</v>
      </c>
      <c r="Y490" s="9" t="n">
        <v>0</v>
      </c>
      <c r="Z490" s="8" t="n">
        <v>0</v>
      </c>
      <c r="AA490" s="8" t="n">
        <v>0</v>
      </c>
      <c r="AB490" s="8" t="n">
        <v>0</v>
      </c>
      <c r="AC490" s="8" t="n">
        <v>0</v>
      </c>
      <c r="AD490" s="8" t="n">
        <v>0</v>
      </c>
      <c r="AE490" s="8" t="n">
        <v>0</v>
      </c>
      <c r="AF490" s="9" t="n">
        <v>0</v>
      </c>
      <c r="AG490" s="8" t="n">
        <v>0</v>
      </c>
      <c r="AH490" s="8" t="n">
        <v>0</v>
      </c>
      <c r="AI490" s="8" t="n">
        <v>0</v>
      </c>
      <c r="AJ490" s="8" t="n">
        <v>0</v>
      </c>
      <c r="AK490" s="8" t="n">
        <v>0</v>
      </c>
      <c r="AL490" s="8" t="n">
        <v>0</v>
      </c>
      <c r="AM490" s="9" t="n">
        <v>0</v>
      </c>
      <c r="AN490" s="8" t="n">
        <v>0</v>
      </c>
      <c r="AO490" s="8" t="n">
        <v>0</v>
      </c>
      <c r="AP490" s="8" t="n">
        <v>0</v>
      </c>
      <c r="AQ490" s="8" t="n">
        <v>0</v>
      </c>
      <c r="AR490" s="8" t="n">
        <v>0</v>
      </c>
      <c r="AS490" s="8" t="n">
        <v>0</v>
      </c>
      <c r="AT490" s="10">
        <f>SUM(O490:AS490)</f>
        <v/>
      </c>
      <c r="AU490" s="11">
        <f>COUNTIF(O490:AS490, "&gt;0")</f>
        <v/>
      </c>
      <c r="AV490" s="12">
        <f>IF(AU490&gt;=5, 4, IF(AU490&gt;0, INT(AU490/6), 0))</f>
        <v/>
      </c>
      <c r="AW490" s="11" t="n">
        <v>0</v>
      </c>
      <c r="AX490" s="11" t="n">
        <v>0</v>
      </c>
      <c r="AY490" s="13">
        <f>MIN(31, AU490+AV490+AW490+AX490)</f>
        <v/>
      </c>
      <c r="AZ490" s="14">
        <f>31-AY490</f>
        <v/>
      </c>
      <c r="BA490" s="5">
        <f>IF(AX490&gt;0, "01-İstirahat", IF(AZ490&gt;0, "12-Birden Fazla", ""))</f>
        <v/>
      </c>
      <c r="BB490" s="10" t="n">
        <v>0</v>
      </c>
      <c r="BC490" s="8" t="n">
        <v>0</v>
      </c>
      <c r="BD490" s="9" t="n">
        <v>0</v>
      </c>
      <c r="BE490" s="7">
        <f>(L490/30)*AU490</f>
        <v/>
      </c>
      <c r="BF490" s="15">
        <f>(L490/225)*((BB490*1.5)-(BC490*1.0))</f>
        <v/>
      </c>
      <c r="BG490" s="16">
        <f>(L490/225)*1.5*BD490</f>
        <v/>
      </c>
      <c r="BH490" s="15">
        <f>BF490+BG490</f>
        <v/>
      </c>
      <c r="BI490" s="17">
        <f>BE490+BH490</f>
        <v/>
      </c>
      <c r="BJ490" s="7">
        <f>IFERROR(VLOOKUP(B490, Resmi_Bordro_SGK!B:M, 11, FALSE), 0)</f>
        <v/>
      </c>
      <c r="BK490" s="18">
        <f>IFERROR(VLOOKUP(B490, Icra_Takip!A:E, 4, FALSE), 0)</f>
        <v/>
      </c>
      <c r="BL490" s="17">
        <f>IF(BI490&gt;BJ490, BI490-BJ490-BK490, 0)</f>
        <v/>
      </c>
      <c r="BM490" s="17">
        <f>BI490-BK490</f>
        <v/>
      </c>
    </row>
    <row r="491" ht="19" customHeight="1">
      <c r="A491" s="4" t="n">
        <v>488</v>
      </c>
      <c r="B491" s="5" t="inlineStr"/>
      <c r="C491" s="6" t="inlineStr">
        <is>
          <t>CENNET ŞENOL</t>
        </is>
      </c>
      <c r="D491" s="4" t="inlineStr"/>
      <c r="E491" s="4" t="inlineStr"/>
      <c r="F491" s="4" t="inlineStr"/>
      <c r="G491" s="4" t="inlineStr"/>
      <c r="H491" s="4" t="inlineStr">
        <is>
          <t>SGK YOK</t>
        </is>
      </c>
      <c r="I491" s="4" t="inlineStr">
        <is>
          <t>MEVSİMLİK</t>
        </is>
      </c>
      <c r="J491" s="6" t="inlineStr"/>
      <c r="K491" s="6" t="inlineStr">
        <is>
          <t>SEVGİ</t>
        </is>
      </c>
      <c r="L491" s="7" t="n">
        <v>28075.5</v>
      </c>
      <c r="M491" s="4" t="inlineStr">
        <is>
          <t>FİDE KONSERVE</t>
        </is>
      </c>
      <c r="N491" s="4" t="inlineStr">
        <is>
          <t>ALIR</t>
        </is>
      </c>
      <c r="O491" s="19" t="n">
        <v>0</v>
      </c>
      <c r="P491" s="19" t="n">
        <v>0</v>
      </c>
      <c r="Q491" s="19" t="n">
        <v>0</v>
      </c>
      <c r="R491" s="9" t="n">
        <v>0</v>
      </c>
      <c r="S491" s="19" t="n">
        <v>0</v>
      </c>
      <c r="T491" s="19" t="n">
        <v>0</v>
      </c>
      <c r="U491" s="19" t="n">
        <v>0</v>
      </c>
      <c r="V491" s="19" t="n">
        <v>0</v>
      </c>
      <c r="W491" s="19" t="n">
        <v>0</v>
      </c>
      <c r="X491" s="19" t="n">
        <v>0</v>
      </c>
      <c r="Y491" s="9" t="n">
        <v>0</v>
      </c>
      <c r="Z491" s="19" t="n">
        <v>0</v>
      </c>
      <c r="AA491" s="19" t="n">
        <v>0</v>
      </c>
      <c r="AB491" s="19" t="n">
        <v>0</v>
      </c>
      <c r="AC491" s="19" t="n">
        <v>0</v>
      </c>
      <c r="AD491" s="19" t="n">
        <v>0</v>
      </c>
      <c r="AE491" s="19" t="n">
        <v>0</v>
      </c>
      <c r="AF491" s="9" t="n">
        <v>0</v>
      </c>
      <c r="AG491" s="19" t="n">
        <v>0</v>
      </c>
      <c r="AH491" s="19" t="n">
        <v>0</v>
      </c>
      <c r="AI491" s="19" t="n">
        <v>0</v>
      </c>
      <c r="AJ491" s="19" t="n">
        <v>0</v>
      </c>
      <c r="AK491" s="19" t="n">
        <v>0</v>
      </c>
      <c r="AL491" s="19" t="n">
        <v>0</v>
      </c>
      <c r="AM491" s="9" t="n">
        <v>0</v>
      </c>
      <c r="AN491" s="19" t="n">
        <v>0</v>
      </c>
      <c r="AO491" s="19" t="n">
        <v>0</v>
      </c>
      <c r="AP491" s="19" t="n">
        <v>0</v>
      </c>
      <c r="AQ491" s="19" t="n">
        <v>0</v>
      </c>
      <c r="AR491" s="19" t="n">
        <v>0</v>
      </c>
      <c r="AS491" s="19" t="n">
        <v>0</v>
      </c>
      <c r="AT491" s="10">
        <f>SUM(O491:AS491)</f>
        <v/>
      </c>
      <c r="AU491" s="20">
        <f>COUNTIF(O491:AS491, "&gt;0")</f>
        <v/>
      </c>
      <c r="AV491" s="12">
        <f>IF(AU491&gt;=5, 4, IF(AU491&gt;0, INT(AU491/6), 0))</f>
        <v/>
      </c>
      <c r="AW491" s="20" t="n">
        <v>0</v>
      </c>
      <c r="AX491" s="20" t="n">
        <v>0</v>
      </c>
      <c r="AY491" s="13">
        <f>MIN(31, AU491+AV491+AW491+AX491)</f>
        <v/>
      </c>
      <c r="AZ491" s="14">
        <f>31-AY491</f>
        <v/>
      </c>
      <c r="BA491" s="21">
        <f>IF(AX491&gt;0, "01-İstirahat", IF(AZ491&gt;0, "12-Birden Fazla", ""))</f>
        <v/>
      </c>
      <c r="BB491" s="10" t="n">
        <v>0</v>
      </c>
      <c r="BC491" s="19" t="n">
        <v>0</v>
      </c>
      <c r="BD491" s="9" t="n">
        <v>0</v>
      </c>
      <c r="BE491" s="22">
        <f>(L491/30)*AU491</f>
        <v/>
      </c>
      <c r="BF491" s="15">
        <f>(L491/225)*((BB491*1.5)-(BC491*1.0))</f>
        <v/>
      </c>
      <c r="BG491" s="16">
        <f>(L491/225)*1.5*BD491</f>
        <v/>
      </c>
      <c r="BH491" s="15">
        <f>BF491+BG491</f>
        <v/>
      </c>
      <c r="BI491" s="17">
        <f>BE491+BH491</f>
        <v/>
      </c>
      <c r="BJ491" s="22">
        <f>IFERROR(VLOOKUP(B491, Resmi_Bordro_SGK!B:M, 11, FALSE), 0)</f>
        <v/>
      </c>
      <c r="BK491" s="18">
        <f>IFERROR(VLOOKUP(B491, Icra_Takip!A:E, 4, FALSE), 0)</f>
        <v/>
      </c>
      <c r="BL491" s="17">
        <f>IF(BI491&gt;BJ491, BI491-BJ491-BK491, 0)</f>
        <v/>
      </c>
      <c r="BM491" s="17">
        <f>BI491-BK491</f>
        <v/>
      </c>
    </row>
    <row r="492" ht="19" customHeight="1">
      <c r="A492" s="4" t="n">
        <v>489</v>
      </c>
      <c r="B492" s="5" t="inlineStr"/>
      <c r="C492" s="6" t="inlineStr">
        <is>
          <t>PINAR UZER</t>
        </is>
      </c>
      <c r="D492" s="4" t="inlineStr"/>
      <c r="E492" s="4" t="inlineStr"/>
      <c r="F492" s="4" t="inlineStr"/>
      <c r="G492" s="4" t="inlineStr"/>
      <c r="H492" s="4" t="inlineStr">
        <is>
          <t>SGK YOK</t>
        </is>
      </c>
      <c r="I492" s="4" t="inlineStr">
        <is>
          <t>MEVSİMLİK</t>
        </is>
      </c>
      <c r="J492" s="6" t="inlineStr"/>
      <c r="K492" s="6" t="inlineStr">
        <is>
          <t>SEVGİ</t>
        </is>
      </c>
      <c r="L492" s="7" t="n">
        <v>28075.5</v>
      </c>
      <c r="M492" s="4" t="inlineStr">
        <is>
          <t>FİDE KONSERVE</t>
        </is>
      </c>
      <c r="N492" s="4" t="inlineStr">
        <is>
          <t>ALIR</t>
        </is>
      </c>
      <c r="O492" s="8" t="n">
        <v>0</v>
      </c>
      <c r="P492" s="8" t="n">
        <v>0</v>
      </c>
      <c r="Q492" s="8" t="n">
        <v>0</v>
      </c>
      <c r="R492" s="9" t="n">
        <v>0</v>
      </c>
      <c r="S492" s="8" t="n">
        <v>0</v>
      </c>
      <c r="T492" s="8" t="n">
        <v>0</v>
      </c>
      <c r="U492" s="8" t="n">
        <v>0</v>
      </c>
      <c r="V492" s="8" t="n">
        <v>0</v>
      </c>
      <c r="W492" s="8" t="n">
        <v>0</v>
      </c>
      <c r="X492" s="8" t="n">
        <v>0</v>
      </c>
      <c r="Y492" s="9" t="n">
        <v>0</v>
      </c>
      <c r="Z492" s="8" t="n">
        <v>0</v>
      </c>
      <c r="AA492" s="8" t="n">
        <v>0</v>
      </c>
      <c r="AB492" s="8" t="n">
        <v>0</v>
      </c>
      <c r="AC492" s="8" t="n">
        <v>0</v>
      </c>
      <c r="AD492" s="8" t="n">
        <v>0</v>
      </c>
      <c r="AE492" s="8" t="n">
        <v>0</v>
      </c>
      <c r="AF492" s="9" t="n">
        <v>0</v>
      </c>
      <c r="AG492" s="8" t="n">
        <v>0</v>
      </c>
      <c r="AH492" s="8" t="n">
        <v>0</v>
      </c>
      <c r="AI492" s="8" t="n">
        <v>0</v>
      </c>
      <c r="AJ492" s="8" t="n">
        <v>0</v>
      </c>
      <c r="AK492" s="8" t="n">
        <v>0</v>
      </c>
      <c r="AL492" s="8" t="n">
        <v>0</v>
      </c>
      <c r="AM492" s="9" t="n">
        <v>0</v>
      </c>
      <c r="AN492" s="8" t="n">
        <v>0</v>
      </c>
      <c r="AO492" s="8" t="n">
        <v>0</v>
      </c>
      <c r="AP492" s="8" t="n">
        <v>0</v>
      </c>
      <c r="AQ492" s="8" t="n">
        <v>0</v>
      </c>
      <c r="AR492" s="8" t="n">
        <v>0</v>
      </c>
      <c r="AS492" s="8" t="n">
        <v>0</v>
      </c>
      <c r="AT492" s="10">
        <f>SUM(O492:AS492)</f>
        <v/>
      </c>
      <c r="AU492" s="11">
        <f>COUNTIF(O492:AS492, "&gt;0")</f>
        <v/>
      </c>
      <c r="AV492" s="12">
        <f>IF(AU492&gt;=5, 4, IF(AU492&gt;0, INT(AU492/6), 0))</f>
        <v/>
      </c>
      <c r="AW492" s="11" t="n">
        <v>0</v>
      </c>
      <c r="AX492" s="11" t="n">
        <v>0</v>
      </c>
      <c r="AY492" s="13">
        <f>MIN(31, AU492+AV492+AW492+AX492)</f>
        <v/>
      </c>
      <c r="AZ492" s="14">
        <f>31-AY492</f>
        <v/>
      </c>
      <c r="BA492" s="5">
        <f>IF(AX492&gt;0, "01-İstirahat", IF(AZ492&gt;0, "12-Birden Fazla", ""))</f>
        <v/>
      </c>
      <c r="BB492" s="10" t="n">
        <v>0</v>
      </c>
      <c r="BC492" s="8" t="n">
        <v>0</v>
      </c>
      <c r="BD492" s="9" t="n">
        <v>0</v>
      </c>
      <c r="BE492" s="7">
        <f>(L492/30)*AU492</f>
        <v/>
      </c>
      <c r="BF492" s="15">
        <f>(L492/225)*((BB492*1.5)-(BC492*1.0))</f>
        <v/>
      </c>
      <c r="BG492" s="16">
        <f>(L492/225)*1.5*BD492</f>
        <v/>
      </c>
      <c r="BH492" s="15">
        <f>BF492+BG492</f>
        <v/>
      </c>
      <c r="BI492" s="17">
        <f>BE492+BH492</f>
        <v/>
      </c>
      <c r="BJ492" s="7">
        <f>IFERROR(VLOOKUP(B492, Resmi_Bordro_SGK!B:M, 11, FALSE), 0)</f>
        <v/>
      </c>
      <c r="BK492" s="18">
        <f>IFERROR(VLOOKUP(B492, Icra_Takip!A:E, 4, FALSE), 0)</f>
        <v/>
      </c>
      <c r="BL492" s="17">
        <f>IF(BI492&gt;BJ492, BI492-BJ492-BK492, 0)</f>
        <v/>
      </c>
      <c r="BM492" s="17">
        <f>BI492-BK492</f>
        <v/>
      </c>
    </row>
    <row r="493" ht="19" customHeight="1">
      <c r="A493" s="4" t="n">
        <v>490</v>
      </c>
      <c r="B493" s="5" t="inlineStr"/>
      <c r="C493" s="6" t="inlineStr">
        <is>
          <t>BARAN ŞÇIKCAN</t>
        </is>
      </c>
      <c r="D493" s="4" t="inlineStr"/>
      <c r="E493" s="4" t="inlineStr"/>
      <c r="F493" s="4" t="inlineStr"/>
      <c r="G493" s="4" t="inlineStr"/>
      <c r="H493" s="4" t="inlineStr">
        <is>
          <t>SGK YOK</t>
        </is>
      </c>
      <c r="I493" s="4" t="inlineStr">
        <is>
          <t>MEVSİMLİK</t>
        </is>
      </c>
      <c r="J493" s="6" t="inlineStr"/>
      <c r="K493" s="6" t="inlineStr">
        <is>
          <t>SEVGİ</t>
        </is>
      </c>
      <c r="L493" s="7" t="n">
        <v>28075.5</v>
      </c>
      <c r="M493" s="4" t="inlineStr">
        <is>
          <t>FİDE KONSERVE</t>
        </is>
      </c>
      <c r="N493" s="4" t="inlineStr">
        <is>
          <t>ALIR</t>
        </is>
      </c>
      <c r="O493" s="19" t="n">
        <v>0</v>
      </c>
      <c r="P493" s="19" t="n">
        <v>0</v>
      </c>
      <c r="Q493" s="19" t="n">
        <v>0</v>
      </c>
      <c r="R493" s="9" t="n">
        <v>0</v>
      </c>
      <c r="S493" s="19" t="n">
        <v>0</v>
      </c>
      <c r="T493" s="19" t="n">
        <v>0</v>
      </c>
      <c r="U493" s="19" t="n">
        <v>0</v>
      </c>
      <c r="V493" s="19" t="n">
        <v>0</v>
      </c>
      <c r="W493" s="19" t="n">
        <v>0</v>
      </c>
      <c r="X493" s="19" t="n">
        <v>0</v>
      </c>
      <c r="Y493" s="9" t="n">
        <v>0</v>
      </c>
      <c r="Z493" s="19" t="n">
        <v>0</v>
      </c>
      <c r="AA493" s="19" t="n">
        <v>0</v>
      </c>
      <c r="AB493" s="19" t="n">
        <v>0</v>
      </c>
      <c r="AC493" s="19" t="n">
        <v>0</v>
      </c>
      <c r="AD493" s="19" t="n">
        <v>0</v>
      </c>
      <c r="AE493" s="19" t="n">
        <v>0</v>
      </c>
      <c r="AF493" s="9" t="n">
        <v>0</v>
      </c>
      <c r="AG493" s="19" t="n">
        <v>0</v>
      </c>
      <c r="AH493" s="19" t="n">
        <v>0</v>
      </c>
      <c r="AI493" s="19" t="n">
        <v>0</v>
      </c>
      <c r="AJ493" s="19" t="n">
        <v>0</v>
      </c>
      <c r="AK493" s="19" t="n">
        <v>0</v>
      </c>
      <c r="AL493" s="19" t="n">
        <v>0</v>
      </c>
      <c r="AM493" s="9" t="n">
        <v>0</v>
      </c>
      <c r="AN493" s="19" t="n">
        <v>0</v>
      </c>
      <c r="AO493" s="19" t="n">
        <v>0</v>
      </c>
      <c r="AP493" s="19" t="n">
        <v>0</v>
      </c>
      <c r="AQ493" s="19" t="n">
        <v>0</v>
      </c>
      <c r="AR493" s="19" t="n">
        <v>0</v>
      </c>
      <c r="AS493" s="19" t="n">
        <v>0</v>
      </c>
      <c r="AT493" s="10">
        <f>SUM(O493:AS493)</f>
        <v/>
      </c>
      <c r="AU493" s="20">
        <f>COUNTIF(O493:AS493, "&gt;0")</f>
        <v/>
      </c>
      <c r="AV493" s="12">
        <f>IF(AU493&gt;=5, 4, IF(AU493&gt;0, INT(AU493/6), 0))</f>
        <v/>
      </c>
      <c r="AW493" s="20" t="n">
        <v>0</v>
      </c>
      <c r="AX493" s="20" t="n">
        <v>0</v>
      </c>
      <c r="AY493" s="13">
        <f>MIN(31, AU493+AV493+AW493+AX493)</f>
        <v/>
      </c>
      <c r="AZ493" s="14">
        <f>31-AY493</f>
        <v/>
      </c>
      <c r="BA493" s="21">
        <f>IF(AX493&gt;0, "01-İstirahat", IF(AZ493&gt;0, "12-Birden Fazla", ""))</f>
        <v/>
      </c>
      <c r="BB493" s="10" t="n">
        <v>0</v>
      </c>
      <c r="BC493" s="19" t="n">
        <v>0</v>
      </c>
      <c r="BD493" s="9" t="n">
        <v>0</v>
      </c>
      <c r="BE493" s="22">
        <f>(L493/30)*AU493</f>
        <v/>
      </c>
      <c r="BF493" s="15">
        <f>(L493/225)*((BB493*1.5)-(BC493*1.0))</f>
        <v/>
      </c>
      <c r="BG493" s="16">
        <f>(L493/225)*1.5*BD493</f>
        <v/>
      </c>
      <c r="BH493" s="15">
        <f>BF493+BG493</f>
        <v/>
      </c>
      <c r="BI493" s="17">
        <f>BE493+BH493</f>
        <v/>
      </c>
      <c r="BJ493" s="22">
        <f>IFERROR(VLOOKUP(B493, Resmi_Bordro_SGK!B:M, 11, FALSE), 0)</f>
        <v/>
      </c>
      <c r="BK493" s="18">
        <f>IFERROR(VLOOKUP(B493, Icra_Takip!A:E, 4, FALSE), 0)</f>
        <v/>
      </c>
      <c r="BL493" s="17">
        <f>IF(BI493&gt;BJ493, BI493-BJ493-BK493, 0)</f>
        <v/>
      </c>
      <c r="BM493" s="17">
        <f>BI493-BK493</f>
        <v/>
      </c>
    </row>
    <row r="494" ht="19" customHeight="1">
      <c r="A494" s="4" t="n">
        <v>491</v>
      </c>
      <c r="B494" s="5" t="inlineStr">
        <is>
          <t>15793660164</t>
        </is>
      </c>
      <c r="C494" s="6" t="inlineStr">
        <is>
          <t>FADIL KALBAN</t>
        </is>
      </c>
      <c r="D494" s="4" t="inlineStr"/>
      <c r="E494" s="4" t="inlineStr"/>
      <c r="F494" s="4" t="inlineStr"/>
      <c r="G494" s="4" t="inlineStr"/>
      <c r="H494" s="4" t="inlineStr">
        <is>
          <t>SGK YOK</t>
        </is>
      </c>
      <c r="I494" s="4" t="inlineStr">
        <is>
          <t>DAİMİ</t>
        </is>
      </c>
      <c r="J494" s="6" t="inlineStr"/>
      <c r="K494" s="6" t="inlineStr"/>
      <c r="L494" s="7" t="n">
        <v>30185</v>
      </c>
      <c r="M494" s="4" t="inlineStr">
        <is>
          <t>FİDE KONSERVE</t>
        </is>
      </c>
      <c r="N494" s="4" t="inlineStr">
        <is>
          <t>ALIR</t>
        </is>
      </c>
      <c r="O494" s="8" t="n">
        <v>0</v>
      </c>
      <c r="P494" s="8" t="n">
        <v>0</v>
      </c>
      <c r="Q494" s="8" t="n">
        <v>0</v>
      </c>
      <c r="R494" s="9" t="n">
        <v>0</v>
      </c>
      <c r="S494" s="8" t="n">
        <v>0</v>
      </c>
      <c r="T494" s="8" t="n">
        <v>0</v>
      </c>
      <c r="U494" s="8" t="n">
        <v>0</v>
      </c>
      <c r="V494" s="8" t="n">
        <v>0</v>
      </c>
      <c r="W494" s="8" t="n">
        <v>0</v>
      </c>
      <c r="X494" s="8" t="n">
        <v>0</v>
      </c>
      <c r="Y494" s="9" t="n">
        <v>0</v>
      </c>
      <c r="Z494" s="8" t="n">
        <v>0</v>
      </c>
      <c r="AA494" s="8" t="n">
        <v>0</v>
      </c>
      <c r="AB494" s="8" t="n">
        <v>0</v>
      </c>
      <c r="AC494" s="8" t="n">
        <v>0</v>
      </c>
      <c r="AD494" s="8" t="n">
        <v>0</v>
      </c>
      <c r="AE494" s="8" t="n">
        <v>0</v>
      </c>
      <c r="AF494" s="9" t="n">
        <v>0</v>
      </c>
      <c r="AG494" s="8" t="n">
        <v>0</v>
      </c>
      <c r="AH494" s="8" t="n">
        <v>0</v>
      </c>
      <c r="AI494" s="8" t="n">
        <v>0</v>
      </c>
      <c r="AJ494" s="8" t="n">
        <v>0</v>
      </c>
      <c r="AK494" s="8" t="n">
        <v>0</v>
      </c>
      <c r="AL494" s="8" t="n">
        <v>0</v>
      </c>
      <c r="AM494" s="9" t="n">
        <v>0</v>
      </c>
      <c r="AN494" s="8" t="n">
        <v>0</v>
      </c>
      <c r="AO494" s="8" t="n">
        <v>0</v>
      </c>
      <c r="AP494" s="8" t="n">
        <v>0</v>
      </c>
      <c r="AQ494" s="8" t="n">
        <v>0</v>
      </c>
      <c r="AR494" s="8" t="n">
        <v>0</v>
      </c>
      <c r="AS494" s="8" t="n">
        <v>0</v>
      </c>
      <c r="AT494" s="10">
        <f>SUM(O494:AS494)</f>
        <v/>
      </c>
      <c r="AU494" s="11">
        <f>COUNTIF(O494:AS494, "&gt;0")</f>
        <v/>
      </c>
      <c r="AV494" s="12">
        <f>IF(AU494&gt;=5, 4, IF(AU494&gt;0, INT(AU494/6), 0))</f>
        <v/>
      </c>
      <c r="AW494" s="11" t="n">
        <v>0</v>
      </c>
      <c r="AX494" s="11" t="n">
        <v>0</v>
      </c>
      <c r="AY494" s="13">
        <f>MIN(31, AU494+AV494+AW494+AX494)</f>
        <v/>
      </c>
      <c r="AZ494" s="14">
        <f>31-AY494</f>
        <v/>
      </c>
      <c r="BA494" s="5">
        <f>IF(AX494&gt;0, "01-İstirahat", IF(AZ494&gt;0, "12-Birden Fazla", ""))</f>
        <v/>
      </c>
      <c r="BB494" s="10" t="n">
        <v>0</v>
      </c>
      <c r="BC494" s="8" t="n">
        <v>0</v>
      </c>
      <c r="BD494" s="9" t="n">
        <v>0</v>
      </c>
      <c r="BE494" s="7">
        <f>(L494/30)*AU494</f>
        <v/>
      </c>
      <c r="BF494" s="15">
        <f>(L494/225)*((BB494*1.5)-(BC494*1.0))</f>
        <v/>
      </c>
      <c r="BG494" s="16">
        <f>(L494/225)*1.5*BD494</f>
        <v/>
      </c>
      <c r="BH494" s="15">
        <f>BF494+BG494</f>
        <v/>
      </c>
      <c r="BI494" s="17">
        <f>BE494+BH494</f>
        <v/>
      </c>
      <c r="BJ494" s="7">
        <f>IFERROR(VLOOKUP(B494, Resmi_Bordro_SGK!B:M, 11, FALSE), 0)</f>
        <v/>
      </c>
      <c r="BK494" s="18">
        <f>IFERROR(VLOOKUP(B494, Icra_Takip!A:E, 4, FALSE), 0)</f>
        <v/>
      </c>
      <c r="BL494" s="17">
        <f>IF(BI494&gt;BJ494, BI494-BJ494-BK494, 0)</f>
        <v/>
      </c>
      <c r="BM494" s="17">
        <f>BI494-BK494</f>
        <v/>
      </c>
    </row>
    <row r="495" ht="19" customHeight="1">
      <c r="A495" s="4" t="n">
        <v>492</v>
      </c>
      <c r="B495" s="5" t="inlineStr">
        <is>
          <t>30181166332</t>
        </is>
      </c>
      <c r="C495" s="6" t="inlineStr">
        <is>
          <t>MEMNUNE KARAMAN</t>
        </is>
      </c>
      <c r="D495" s="4" t="inlineStr">
        <is>
          <t>MEVSİMLİK</t>
        </is>
      </c>
      <c r="E495" s="4" t="inlineStr"/>
      <c r="F495" s="4" t="inlineStr"/>
      <c r="G495" s="4" t="inlineStr"/>
      <c r="H495" s="4" t="inlineStr">
        <is>
          <t>SGK YOK</t>
        </is>
      </c>
      <c r="I495" s="4" t="inlineStr">
        <is>
          <t>MEVSİMLİK</t>
        </is>
      </c>
      <c r="J495" s="6" t="inlineStr">
        <is>
          <t>BALIK TEMİZLEME</t>
        </is>
      </c>
      <c r="K495" s="6" t="inlineStr">
        <is>
          <t>BALIKESİR</t>
        </is>
      </c>
      <c r="L495" s="7" t="n">
        <v>33000</v>
      </c>
      <c r="M495" s="4" t="inlineStr">
        <is>
          <t>FİDE KONSERVE</t>
        </is>
      </c>
      <c r="N495" s="4" t="inlineStr">
        <is>
          <t>ALIR</t>
        </is>
      </c>
      <c r="O495" s="19" t="n">
        <v>8</v>
      </c>
      <c r="P495" s="19" t="n">
        <v>8.5</v>
      </c>
      <c r="Q495" s="19" t="n">
        <v>0</v>
      </c>
      <c r="R495" s="9" t="n">
        <v>0</v>
      </c>
      <c r="S495" s="19" t="n">
        <v>7.5</v>
      </c>
      <c r="T495" s="19" t="n">
        <v>8</v>
      </c>
      <c r="U495" s="19" t="n">
        <v>8</v>
      </c>
      <c r="V495" s="19" t="n">
        <v>8</v>
      </c>
      <c r="W495" s="19" t="n">
        <v>8.5</v>
      </c>
      <c r="X495" s="19" t="n">
        <v>8.5</v>
      </c>
      <c r="Y495" s="9" t="n">
        <v>0</v>
      </c>
      <c r="Z495" s="19" t="n">
        <v>7.5</v>
      </c>
      <c r="AA495" s="19" t="n">
        <v>7.5</v>
      </c>
      <c r="AB495" s="19" t="n">
        <v>0</v>
      </c>
      <c r="AC495" s="19" t="n">
        <v>7.5</v>
      </c>
      <c r="AD495" s="19" t="n">
        <v>7.5</v>
      </c>
      <c r="AE495" s="19" t="n">
        <v>8.5</v>
      </c>
      <c r="AF495" s="9" t="n">
        <v>0</v>
      </c>
      <c r="AG495" s="19" t="n">
        <v>0</v>
      </c>
      <c r="AH495" s="19" t="n">
        <v>7.5</v>
      </c>
      <c r="AI495" s="19" t="n">
        <v>7.5</v>
      </c>
      <c r="AJ495" s="19" t="n">
        <v>0</v>
      </c>
      <c r="AK495" s="19" t="n">
        <v>0</v>
      </c>
      <c r="AL495" s="19" t="n">
        <v>0</v>
      </c>
      <c r="AM495" s="9" t="n">
        <v>0</v>
      </c>
      <c r="AN495" s="19" t="n">
        <v>0</v>
      </c>
      <c r="AO495" s="19" t="n">
        <v>0</v>
      </c>
      <c r="AP495" s="19" t="n">
        <v>0</v>
      </c>
      <c r="AQ495" s="19" t="n">
        <v>0</v>
      </c>
      <c r="AR495" s="19" t="n">
        <v>0</v>
      </c>
      <c r="AS495" s="19" t="n">
        <v>0</v>
      </c>
      <c r="AT495" s="10">
        <f>SUM(O495:AS495)</f>
        <v/>
      </c>
      <c r="AU495" s="20">
        <f>COUNTIF(O495:AS495, "&gt;0")</f>
        <v/>
      </c>
      <c r="AV495" s="12">
        <f>IF(AU495&gt;=5, 4, IF(AU495&gt;0, INT(AU495/6), 0))</f>
        <v/>
      </c>
      <c r="AW495" s="20" t="n">
        <v>0</v>
      </c>
      <c r="AX495" s="20" t="n">
        <v>0</v>
      </c>
      <c r="AY495" s="13">
        <f>MIN(31, AU495+AV495+AW495+AX495)</f>
        <v/>
      </c>
      <c r="AZ495" s="14">
        <f>31-AY495</f>
        <v/>
      </c>
      <c r="BA495" s="21">
        <f>IF(AX495&gt;0, "01-İstirahat", IF(AZ495&gt;0, "12-Birden Fazla", ""))</f>
        <v/>
      </c>
      <c r="BB495" s="10" t="n">
        <v>6</v>
      </c>
      <c r="BC495" s="19" t="n">
        <v>0</v>
      </c>
      <c r="BD495" s="9" t="n">
        <v>0</v>
      </c>
      <c r="BE495" s="22">
        <f>(L495/30)*AU495</f>
        <v/>
      </c>
      <c r="BF495" s="15">
        <f>(L495/225)*((BB495*1.5)-(BC495*1.0))</f>
        <v/>
      </c>
      <c r="BG495" s="16">
        <f>(L495/225)*1.5*BD495</f>
        <v/>
      </c>
      <c r="BH495" s="15">
        <f>BF495+BG495</f>
        <v/>
      </c>
      <c r="BI495" s="17">
        <f>BE495+BH495</f>
        <v/>
      </c>
      <c r="BJ495" s="22">
        <f>IFERROR(VLOOKUP(B495, Resmi_Bordro_SGK!B:M, 11, FALSE), 0)</f>
        <v/>
      </c>
      <c r="BK495" s="18">
        <f>IFERROR(VLOOKUP(B495, Icra_Takip!A:E, 4, FALSE), 0)</f>
        <v/>
      </c>
      <c r="BL495" s="17">
        <f>IF(BI495&gt;BJ495, BI495-BJ495-BK495, 0)</f>
        <v/>
      </c>
      <c r="BM495" s="17">
        <f>BI495-BK495</f>
        <v/>
      </c>
    </row>
    <row r="496" ht="19" customHeight="1">
      <c r="A496" s="4" t="n">
        <v>493</v>
      </c>
      <c r="B496" s="5" t="inlineStr">
        <is>
          <t>10819776010</t>
        </is>
      </c>
      <c r="C496" s="6" t="inlineStr">
        <is>
          <t>ACAR ÜRENLİOĞLU</t>
        </is>
      </c>
      <c r="D496" s="4" t="inlineStr"/>
      <c r="E496" s="4" t="inlineStr"/>
      <c r="F496" s="4" t="inlineStr"/>
      <c r="G496" s="4" t="inlineStr"/>
      <c r="H496" s="4" t="inlineStr">
        <is>
          <t>NORMAL</t>
        </is>
      </c>
      <c r="I496" s="4" t="inlineStr">
        <is>
          <t>MEVSİMLİK</t>
        </is>
      </c>
      <c r="J496" s="6" t="inlineStr"/>
      <c r="K496" s="6" t="inlineStr">
        <is>
          <t>BİGADİÇ</t>
        </is>
      </c>
      <c r="L496" s="7" t="n">
        <v>28075.5</v>
      </c>
      <c r="M496" s="4" t="inlineStr">
        <is>
          <t>FİDE KONSERVE</t>
        </is>
      </c>
      <c r="N496" s="4" t="inlineStr">
        <is>
          <t>ALIR</t>
        </is>
      </c>
      <c r="O496" s="8" t="n">
        <v>0</v>
      </c>
      <c r="P496" s="8" t="n">
        <v>0</v>
      </c>
      <c r="Q496" s="8" t="n">
        <v>0</v>
      </c>
      <c r="R496" s="9" t="n">
        <v>0</v>
      </c>
      <c r="S496" s="8" t="n">
        <v>0</v>
      </c>
      <c r="T496" s="8" t="n">
        <v>0</v>
      </c>
      <c r="U496" s="8" t="n">
        <v>0</v>
      </c>
      <c r="V496" s="8" t="n">
        <v>0</v>
      </c>
      <c r="W496" s="8" t="n">
        <v>0</v>
      </c>
      <c r="X496" s="8" t="n">
        <v>0</v>
      </c>
      <c r="Y496" s="9" t="n">
        <v>0</v>
      </c>
      <c r="Z496" s="8" t="n">
        <v>0</v>
      </c>
      <c r="AA496" s="8" t="n">
        <v>0</v>
      </c>
      <c r="AB496" s="8" t="n">
        <v>0</v>
      </c>
      <c r="AC496" s="8" t="n">
        <v>0</v>
      </c>
      <c r="AD496" s="8" t="n">
        <v>0</v>
      </c>
      <c r="AE496" s="8" t="n">
        <v>0</v>
      </c>
      <c r="AF496" s="9" t="n">
        <v>0</v>
      </c>
      <c r="AG496" s="8" t="n">
        <v>0</v>
      </c>
      <c r="AH496" s="8" t="n">
        <v>0</v>
      </c>
      <c r="AI496" s="8" t="n">
        <v>0</v>
      </c>
      <c r="AJ496" s="8" t="n">
        <v>0</v>
      </c>
      <c r="AK496" s="8" t="n">
        <v>0</v>
      </c>
      <c r="AL496" s="8" t="n">
        <v>0</v>
      </c>
      <c r="AM496" s="9" t="n">
        <v>0</v>
      </c>
      <c r="AN496" s="8" t="n">
        <v>0</v>
      </c>
      <c r="AO496" s="8" t="n">
        <v>0</v>
      </c>
      <c r="AP496" s="8" t="n">
        <v>0</v>
      </c>
      <c r="AQ496" s="8" t="n">
        <v>0</v>
      </c>
      <c r="AR496" s="8" t="n">
        <v>0</v>
      </c>
      <c r="AS496" s="8" t="n">
        <v>0</v>
      </c>
      <c r="AT496" s="10">
        <f>SUM(O496:AS496)</f>
        <v/>
      </c>
      <c r="AU496" s="11">
        <f>COUNTIF(O496:AS496, "&gt;0")</f>
        <v/>
      </c>
      <c r="AV496" s="12">
        <f>IF(AU496&gt;=5, 4, IF(AU496&gt;0, INT(AU496/6), 0))</f>
        <v/>
      </c>
      <c r="AW496" s="11" t="n">
        <v>0</v>
      </c>
      <c r="AX496" s="11" t="n">
        <v>0</v>
      </c>
      <c r="AY496" s="13">
        <f>MIN(31, AU496+AV496+AW496+AX496)</f>
        <v/>
      </c>
      <c r="AZ496" s="14">
        <f>31-AY496</f>
        <v/>
      </c>
      <c r="BA496" s="5">
        <f>IF(AX496&gt;0, "01-İstirahat", IF(AZ496&gt;0, "12-Birden Fazla", ""))</f>
        <v/>
      </c>
      <c r="BB496" s="10" t="n">
        <v>0</v>
      </c>
      <c r="BC496" s="8" t="n">
        <v>0</v>
      </c>
      <c r="BD496" s="9" t="n">
        <v>0</v>
      </c>
      <c r="BE496" s="7">
        <f>(L496/30)*AU496</f>
        <v/>
      </c>
      <c r="BF496" s="15">
        <f>(L496/225)*((BB496*1.5)-(BC496*1.0))</f>
        <v/>
      </c>
      <c r="BG496" s="16">
        <f>(L496/225)*1.5*BD496</f>
        <v/>
      </c>
      <c r="BH496" s="15">
        <f>BF496+BG496</f>
        <v/>
      </c>
      <c r="BI496" s="17">
        <f>BE496+BH496</f>
        <v/>
      </c>
      <c r="BJ496" s="7">
        <f>IFERROR(VLOOKUP(B496, Resmi_Bordro_SGK!B:M, 11, FALSE), 0)</f>
        <v/>
      </c>
      <c r="BK496" s="18">
        <f>IFERROR(VLOOKUP(B496, Icra_Takip!A:E, 4, FALSE), 0)</f>
        <v/>
      </c>
      <c r="BL496" s="17">
        <f>IF(BI496&gt;BJ496, BI496-BJ496-BK496, 0)</f>
        <v/>
      </c>
      <c r="BM496" s="17">
        <f>BI496-BK496</f>
        <v/>
      </c>
    </row>
    <row r="497" ht="19" customHeight="1">
      <c r="A497" s="4" t="n">
        <v>494</v>
      </c>
      <c r="B497" s="5" t="inlineStr">
        <is>
          <t>01389</t>
        </is>
      </c>
      <c r="C497" s="6" t="inlineStr">
        <is>
          <t>AHMET TALHA KÖKMEN</t>
        </is>
      </c>
      <c r="D497" s="4" t="inlineStr"/>
      <c r="E497" s="4" t="inlineStr"/>
      <c r="F497" s="4" t="inlineStr"/>
      <c r="G497" s="4" t="inlineStr"/>
      <c r="H497" s="4" t="inlineStr">
        <is>
          <t>NORMAL</t>
        </is>
      </c>
      <c r="I497" s="4" t="inlineStr">
        <is>
          <t>MEVSİMLİK</t>
        </is>
      </c>
      <c r="J497" s="6" t="inlineStr">
        <is>
          <t>DİĞER</t>
        </is>
      </c>
      <c r="K497" s="6" t="inlineStr"/>
      <c r="L497" s="7" t="n">
        <v>0</v>
      </c>
      <c r="M497" s="4" t="inlineStr">
        <is>
          <t>FİDE KONSERVE</t>
        </is>
      </c>
      <c r="N497" s="4" t="inlineStr">
        <is>
          <t>ALIR</t>
        </is>
      </c>
      <c r="O497" s="19" t="n">
        <v>0</v>
      </c>
      <c r="P497" s="19" t="n">
        <v>0</v>
      </c>
      <c r="Q497" s="19" t="n">
        <v>10.5</v>
      </c>
      <c r="R497" s="9" t="n">
        <v>0</v>
      </c>
      <c r="S497" s="19" t="n">
        <v>10.5</v>
      </c>
      <c r="T497" s="19" t="n">
        <v>10.5</v>
      </c>
      <c r="U497" s="19" t="n">
        <v>0</v>
      </c>
      <c r="V497" s="19" t="n">
        <v>0</v>
      </c>
      <c r="W497" s="19" t="n">
        <v>0</v>
      </c>
      <c r="X497" s="19" t="n">
        <v>0</v>
      </c>
      <c r="Y497" s="9" t="n">
        <v>0</v>
      </c>
      <c r="Z497" s="19" t="n">
        <v>0</v>
      </c>
      <c r="AA497" s="19" t="n">
        <v>0</v>
      </c>
      <c r="AB497" s="19" t="n">
        <v>0</v>
      </c>
      <c r="AC497" s="19" t="n">
        <v>0</v>
      </c>
      <c r="AD497" s="19" t="n">
        <v>0</v>
      </c>
      <c r="AE497" s="19" t="n">
        <v>0</v>
      </c>
      <c r="AF497" s="9" t="n">
        <v>0</v>
      </c>
      <c r="AG497" s="19" t="n">
        <v>0</v>
      </c>
      <c r="AH497" s="19" t="n">
        <v>0</v>
      </c>
      <c r="AI497" s="19" t="n">
        <v>0</v>
      </c>
      <c r="AJ497" s="19" t="n">
        <v>0</v>
      </c>
      <c r="AK497" s="19" t="n">
        <v>0</v>
      </c>
      <c r="AL497" s="19" t="n">
        <v>0</v>
      </c>
      <c r="AM497" s="9" t="n">
        <v>0</v>
      </c>
      <c r="AN497" s="19" t="n">
        <v>0</v>
      </c>
      <c r="AO497" s="19" t="n">
        <v>0</v>
      </c>
      <c r="AP497" s="19" t="n">
        <v>0</v>
      </c>
      <c r="AQ497" s="19" t="n">
        <v>0</v>
      </c>
      <c r="AR497" s="19" t="n">
        <v>0</v>
      </c>
      <c r="AS497" s="19" t="n">
        <v>0</v>
      </c>
      <c r="AT497" s="10">
        <f>SUM(O497:AS497)</f>
        <v/>
      </c>
      <c r="AU497" s="20">
        <f>COUNTIF(O497:AS497, "&gt;0")</f>
        <v/>
      </c>
      <c r="AV497" s="12">
        <f>IF(AU497&gt;=5, 4, IF(AU497&gt;0, INT(AU497/6), 0))</f>
        <v/>
      </c>
      <c r="AW497" s="20" t="n">
        <v>0</v>
      </c>
      <c r="AX497" s="20" t="n">
        <v>0</v>
      </c>
      <c r="AY497" s="13">
        <f>MIN(31, AU497+AV497+AW497+AX497)</f>
        <v/>
      </c>
      <c r="AZ497" s="14">
        <f>31-AY497</f>
        <v/>
      </c>
      <c r="BA497" s="21">
        <f>IF(AX497&gt;0, "01-İstirahat", IF(AZ497&gt;0, "12-Birden Fazla", ""))</f>
        <v/>
      </c>
      <c r="BB497" s="10" t="n">
        <v>9</v>
      </c>
      <c r="BC497" s="19" t="n">
        <v>0</v>
      </c>
      <c r="BD497" s="9" t="n">
        <v>0</v>
      </c>
      <c r="BE497" s="22">
        <f>(L497/30)*AU497</f>
        <v/>
      </c>
      <c r="BF497" s="15">
        <f>(L497/225)*((BB497*1.5)-(BC497*1.0))</f>
        <v/>
      </c>
      <c r="BG497" s="16">
        <f>(L497/225)*1.5*BD497</f>
        <v/>
      </c>
      <c r="BH497" s="15">
        <f>BF497+BG497</f>
        <v/>
      </c>
      <c r="BI497" s="17">
        <f>BE497+BH497</f>
        <v/>
      </c>
      <c r="BJ497" s="22">
        <f>IFERROR(VLOOKUP(B497, Resmi_Bordro_SGK!B:M, 11, FALSE), 0)</f>
        <v/>
      </c>
      <c r="BK497" s="18">
        <f>IFERROR(VLOOKUP(B497, Icra_Takip!A:E, 4, FALSE), 0)</f>
        <v/>
      </c>
      <c r="BL497" s="17">
        <f>IF(BI497&gt;BJ497, BI497-BJ497-BK497, 0)</f>
        <v/>
      </c>
      <c r="BM497" s="17">
        <f>BI497-BK497</f>
        <v/>
      </c>
    </row>
    <row r="498" ht="19" customHeight="1">
      <c r="A498" s="4" t="n">
        <v>495</v>
      </c>
      <c r="B498" s="5" t="inlineStr">
        <is>
          <t>01474</t>
        </is>
      </c>
      <c r="C498" s="6" t="inlineStr">
        <is>
          <t>ALİ DURMAN</t>
        </is>
      </c>
      <c r="D498" s="4" t="inlineStr"/>
      <c r="E498" s="4" t="inlineStr"/>
      <c r="F498" s="4" t="inlineStr"/>
      <c r="G498" s="4" t="inlineStr"/>
      <c r="H498" s="4" t="inlineStr">
        <is>
          <t>NORMAL</t>
        </is>
      </c>
      <c r="I498" s="4" t="inlineStr">
        <is>
          <t>MEVSİMLİK</t>
        </is>
      </c>
      <c r="J498" s="6" t="inlineStr">
        <is>
          <t>DİĞER</t>
        </is>
      </c>
      <c r="K498" s="6" t="inlineStr"/>
      <c r="L498" s="7" t="n">
        <v>0</v>
      </c>
      <c r="M498" s="4" t="inlineStr">
        <is>
          <t>FİDE KONSERVE</t>
        </is>
      </c>
      <c r="N498" s="4" t="inlineStr">
        <is>
          <t>ALIR</t>
        </is>
      </c>
      <c r="O498" s="8" t="n">
        <v>0</v>
      </c>
      <c r="P498" s="23" t="n">
        <v>10.5</v>
      </c>
      <c r="Q498" s="8" t="n">
        <v>10.5</v>
      </c>
      <c r="R498" s="9" t="n">
        <v>10.5</v>
      </c>
      <c r="S498" s="8" t="n">
        <v>0</v>
      </c>
      <c r="T498" s="8" t="n">
        <v>0</v>
      </c>
      <c r="U498" s="8" t="n">
        <v>0</v>
      </c>
      <c r="V498" s="8" t="n">
        <v>10.5</v>
      </c>
      <c r="W498" s="8" t="n">
        <v>0</v>
      </c>
      <c r="X498" s="8" t="n">
        <v>10.5</v>
      </c>
      <c r="Y498" s="9" t="n">
        <v>0</v>
      </c>
      <c r="Z498" s="8" t="n">
        <v>10.5</v>
      </c>
      <c r="AA498" s="8" t="n">
        <v>0</v>
      </c>
      <c r="AB498" s="8" t="n">
        <v>0</v>
      </c>
      <c r="AC498" s="8" t="n">
        <v>10.5</v>
      </c>
      <c r="AD498" s="8" t="n">
        <v>0</v>
      </c>
      <c r="AE498" s="8" t="n">
        <v>0</v>
      </c>
      <c r="AF498" s="9" t="n">
        <v>0</v>
      </c>
      <c r="AG498" s="8" t="n">
        <v>0</v>
      </c>
      <c r="AH498" s="8" t="n">
        <v>0</v>
      </c>
      <c r="AI498" s="8" t="n">
        <v>0</v>
      </c>
      <c r="AJ498" s="8" t="n">
        <v>0</v>
      </c>
      <c r="AK498" s="8" t="n">
        <v>0</v>
      </c>
      <c r="AL498" s="8" t="n">
        <v>0</v>
      </c>
      <c r="AM498" s="9" t="n">
        <v>0</v>
      </c>
      <c r="AN498" s="8" t="n">
        <v>0</v>
      </c>
      <c r="AO498" s="8" t="n">
        <v>0</v>
      </c>
      <c r="AP498" s="8" t="n">
        <v>0</v>
      </c>
      <c r="AQ498" s="8" t="n">
        <v>0</v>
      </c>
      <c r="AR498" s="8" t="n">
        <v>0</v>
      </c>
      <c r="AS498" s="8" t="n">
        <v>0</v>
      </c>
      <c r="AT498" s="10">
        <f>SUM(O498:AS498)</f>
        <v/>
      </c>
      <c r="AU498" s="11">
        <f>COUNTIF(O498:AS498, "&gt;0")</f>
        <v/>
      </c>
      <c r="AV498" s="12">
        <f>IF(AU498&gt;=5, 4, IF(AU498&gt;0, INT(AU498/6), 0))</f>
        <v/>
      </c>
      <c r="AW498" s="11" t="n">
        <v>0</v>
      </c>
      <c r="AX498" s="11" t="n">
        <v>0</v>
      </c>
      <c r="AY498" s="13">
        <f>MIN(31, AU498+AV498+AW498+AX498)</f>
        <v/>
      </c>
      <c r="AZ498" s="14">
        <f>31-AY498</f>
        <v/>
      </c>
      <c r="BA498" s="5">
        <f>IF(AX498&gt;0, "01-İstirahat", IF(AZ498&gt;0, "12-Birden Fazla", ""))</f>
        <v/>
      </c>
      <c r="BB498" s="10" t="n">
        <v>18</v>
      </c>
      <c r="BC498" s="8" t="n">
        <v>0</v>
      </c>
      <c r="BD498" s="9" t="n">
        <v>10.5</v>
      </c>
      <c r="BE498" s="7">
        <f>(L498/30)*AU498</f>
        <v/>
      </c>
      <c r="BF498" s="15">
        <f>(L498/225)*((BB498*1.5)-(BC498*1.0))</f>
        <v/>
      </c>
      <c r="BG498" s="16">
        <f>(L498/225)*1.5*BD498</f>
        <v/>
      </c>
      <c r="BH498" s="15">
        <f>BF498+BG498</f>
        <v/>
      </c>
      <c r="BI498" s="17">
        <f>BE498+BH498</f>
        <v/>
      </c>
      <c r="BJ498" s="7">
        <f>IFERROR(VLOOKUP(B498, Resmi_Bordro_SGK!B:M, 11, FALSE), 0)</f>
        <v/>
      </c>
      <c r="BK498" s="18">
        <f>IFERROR(VLOOKUP(B498, Icra_Takip!A:E, 4, FALSE), 0)</f>
        <v/>
      </c>
      <c r="BL498" s="17">
        <f>IF(BI498&gt;BJ498, BI498-BJ498-BK498, 0)</f>
        <v/>
      </c>
      <c r="BM498" s="17">
        <f>BI498-BK498</f>
        <v/>
      </c>
    </row>
    <row r="499" ht="19" customHeight="1">
      <c r="A499" s="4" t="n">
        <v>496</v>
      </c>
      <c r="B499" s="5" t="inlineStr">
        <is>
          <t>01390</t>
        </is>
      </c>
      <c r="C499" s="6" t="inlineStr">
        <is>
          <t>ALİ OSMAN İMRE</t>
        </is>
      </c>
      <c r="D499" s="4" t="inlineStr"/>
      <c r="E499" s="4" t="inlineStr"/>
      <c r="F499" s="4" t="inlineStr"/>
      <c r="G499" s="4" t="inlineStr"/>
      <c r="H499" s="4" t="inlineStr">
        <is>
          <t>NORMAL</t>
        </is>
      </c>
      <c r="I499" s="4" t="inlineStr">
        <is>
          <t>MEVSİMLİK</t>
        </is>
      </c>
      <c r="J499" s="6" t="inlineStr">
        <is>
          <t>DİĞER</t>
        </is>
      </c>
      <c r="K499" s="6" t="inlineStr"/>
      <c r="L499" s="7" t="n">
        <v>0</v>
      </c>
      <c r="M499" s="4" t="inlineStr">
        <is>
          <t>FİDE KONSERVE</t>
        </is>
      </c>
      <c r="N499" s="4" t="inlineStr">
        <is>
          <t>ALIR</t>
        </is>
      </c>
      <c r="O499" s="19" t="n">
        <v>0</v>
      </c>
      <c r="P499" s="19" t="n">
        <v>10.5</v>
      </c>
      <c r="Q499" s="19" t="n">
        <v>10.5</v>
      </c>
      <c r="R499" s="9" t="n">
        <v>10.5</v>
      </c>
      <c r="S499" s="19" t="n">
        <v>0</v>
      </c>
      <c r="T499" s="19" t="n">
        <v>10.5</v>
      </c>
      <c r="U499" s="19" t="n">
        <v>10.5</v>
      </c>
      <c r="V499" s="19" t="n">
        <v>10</v>
      </c>
      <c r="W499" s="19" t="n">
        <v>10.5</v>
      </c>
      <c r="X499" s="19" t="n">
        <v>0</v>
      </c>
      <c r="Y499" s="9" t="n">
        <v>10.5</v>
      </c>
      <c r="Z499" s="19" t="n">
        <v>10.5</v>
      </c>
      <c r="AA499" s="19" t="n">
        <v>0</v>
      </c>
      <c r="AB499" s="19" t="n">
        <v>10.5</v>
      </c>
      <c r="AC499" s="19" t="n">
        <v>10.5</v>
      </c>
      <c r="AD499" s="19" t="n">
        <v>0</v>
      </c>
      <c r="AE499" s="19" t="n">
        <v>0</v>
      </c>
      <c r="AF499" s="9" t="n">
        <v>10.5</v>
      </c>
      <c r="AG499" s="19" t="n">
        <v>10.5</v>
      </c>
      <c r="AH499" s="19" t="n">
        <v>0</v>
      </c>
      <c r="AI499" s="19" t="n">
        <v>0</v>
      </c>
      <c r="AJ499" s="19" t="n">
        <v>0</v>
      </c>
      <c r="AK499" s="19" t="n">
        <v>0</v>
      </c>
      <c r="AL499" s="19" t="n">
        <v>0</v>
      </c>
      <c r="AM499" s="9" t="n">
        <v>0</v>
      </c>
      <c r="AN499" s="19" t="n">
        <v>0</v>
      </c>
      <c r="AO499" s="19" t="n">
        <v>0</v>
      </c>
      <c r="AP499" s="19" t="n">
        <v>0</v>
      </c>
      <c r="AQ499" s="19" t="n">
        <v>0</v>
      </c>
      <c r="AR499" s="19" t="n">
        <v>0</v>
      </c>
      <c r="AS499" s="19" t="n">
        <v>0</v>
      </c>
      <c r="AT499" s="10">
        <f>SUM(O499:AS499)</f>
        <v/>
      </c>
      <c r="AU499" s="20">
        <f>COUNTIF(O499:AS499, "&gt;0")</f>
        <v/>
      </c>
      <c r="AV499" s="12">
        <f>IF(AU499&gt;=5, 4, IF(AU499&gt;0, INT(AU499/6), 0))</f>
        <v/>
      </c>
      <c r="AW499" s="20" t="n">
        <v>0</v>
      </c>
      <c r="AX499" s="20" t="n">
        <v>0</v>
      </c>
      <c r="AY499" s="13">
        <f>MIN(31, AU499+AV499+AW499+AX499)</f>
        <v/>
      </c>
      <c r="AZ499" s="14">
        <f>31-AY499</f>
        <v/>
      </c>
      <c r="BA499" s="21">
        <f>IF(AX499&gt;0, "01-İstirahat", IF(AZ499&gt;0, "12-Birden Fazla", ""))</f>
        <v/>
      </c>
      <c r="BB499" s="10" t="n">
        <v>29.5</v>
      </c>
      <c r="BC499" s="19" t="n">
        <v>0</v>
      </c>
      <c r="BD499" s="9" t="n">
        <v>31.5</v>
      </c>
      <c r="BE499" s="22">
        <f>(L499/30)*AU499</f>
        <v/>
      </c>
      <c r="BF499" s="15">
        <f>(L499/225)*((BB499*1.5)-(BC499*1.0))</f>
        <v/>
      </c>
      <c r="BG499" s="16">
        <f>(L499/225)*1.5*BD499</f>
        <v/>
      </c>
      <c r="BH499" s="15">
        <f>BF499+BG499</f>
        <v/>
      </c>
      <c r="BI499" s="17">
        <f>BE499+BH499</f>
        <v/>
      </c>
      <c r="BJ499" s="22">
        <f>IFERROR(VLOOKUP(B499, Resmi_Bordro_SGK!B:M, 11, FALSE), 0)</f>
        <v/>
      </c>
      <c r="BK499" s="18">
        <f>IFERROR(VLOOKUP(B499, Icra_Takip!A:E, 4, FALSE), 0)</f>
        <v/>
      </c>
      <c r="BL499" s="17">
        <f>IF(BI499&gt;BJ499, BI499-BJ499-BK499, 0)</f>
        <v/>
      </c>
      <c r="BM499" s="17">
        <f>BI499-BK499</f>
        <v/>
      </c>
    </row>
    <row r="500" ht="19" customHeight="1">
      <c r="A500" s="4" t="n">
        <v>497</v>
      </c>
      <c r="B500" s="5" t="inlineStr">
        <is>
          <t>01525</t>
        </is>
      </c>
      <c r="C500" s="6" t="inlineStr">
        <is>
          <t>ARZU BAYRAM</t>
        </is>
      </c>
      <c r="D500" s="4" t="inlineStr"/>
      <c r="E500" s="4" t="inlineStr"/>
      <c r="F500" s="4" t="inlineStr"/>
      <c r="G500" s="4" t="inlineStr"/>
      <c r="H500" s="4" t="inlineStr">
        <is>
          <t>NORMAL</t>
        </is>
      </c>
      <c r="I500" s="4" t="inlineStr">
        <is>
          <t>MEVSİMLİK</t>
        </is>
      </c>
      <c r="J500" s="6" t="inlineStr">
        <is>
          <t>DİĞER</t>
        </is>
      </c>
      <c r="K500" s="6" t="inlineStr"/>
      <c r="L500" s="7" t="n">
        <v>0</v>
      </c>
      <c r="M500" s="4" t="inlineStr">
        <is>
          <t>FİDE KONSERVE</t>
        </is>
      </c>
      <c r="N500" s="4" t="inlineStr">
        <is>
          <t>ALIR</t>
        </is>
      </c>
      <c r="O500" s="8" t="n">
        <v>0</v>
      </c>
      <c r="P500" s="8" t="n">
        <v>0</v>
      </c>
      <c r="Q500" s="8" t="n">
        <v>0</v>
      </c>
      <c r="R500" s="9" t="n">
        <v>0</v>
      </c>
      <c r="S500" s="8" t="n">
        <v>0</v>
      </c>
      <c r="T500" s="8" t="n">
        <v>0</v>
      </c>
      <c r="U500" s="8" t="n">
        <v>0</v>
      </c>
      <c r="V500" s="23" t="n">
        <v>18</v>
      </c>
      <c r="W500" s="8" t="n">
        <v>0</v>
      </c>
      <c r="X500" s="8" t="n">
        <v>0</v>
      </c>
      <c r="Y500" s="9" t="n">
        <v>0</v>
      </c>
      <c r="Z500" s="8" t="n">
        <v>0</v>
      </c>
      <c r="AA500" s="8" t="n">
        <v>0</v>
      </c>
      <c r="AB500" s="8" t="n">
        <v>0</v>
      </c>
      <c r="AC500" s="8" t="n">
        <v>0</v>
      </c>
      <c r="AD500" s="8" t="n">
        <v>0</v>
      </c>
      <c r="AE500" s="8" t="n">
        <v>0</v>
      </c>
      <c r="AF500" s="9" t="n">
        <v>0</v>
      </c>
      <c r="AG500" s="8" t="n">
        <v>0</v>
      </c>
      <c r="AH500" s="8" t="n">
        <v>0</v>
      </c>
      <c r="AI500" s="8" t="n">
        <v>0</v>
      </c>
      <c r="AJ500" s="8" t="n">
        <v>0</v>
      </c>
      <c r="AK500" s="8" t="n">
        <v>0</v>
      </c>
      <c r="AL500" s="8" t="n">
        <v>0</v>
      </c>
      <c r="AM500" s="9" t="n">
        <v>0</v>
      </c>
      <c r="AN500" s="8" t="n">
        <v>0</v>
      </c>
      <c r="AO500" s="8" t="n">
        <v>0</v>
      </c>
      <c r="AP500" s="8" t="n">
        <v>0</v>
      </c>
      <c r="AQ500" s="8" t="n">
        <v>0</v>
      </c>
      <c r="AR500" s="8" t="n">
        <v>0</v>
      </c>
      <c r="AS500" s="8" t="n">
        <v>0</v>
      </c>
      <c r="AT500" s="10">
        <f>SUM(O500:AS500)</f>
        <v/>
      </c>
      <c r="AU500" s="11">
        <f>COUNTIF(O500:AS500, "&gt;0")</f>
        <v/>
      </c>
      <c r="AV500" s="12">
        <f>IF(AU500&gt;=5, 4, IF(AU500&gt;0, INT(AU500/6), 0))</f>
        <v/>
      </c>
      <c r="AW500" s="11" t="n">
        <v>0</v>
      </c>
      <c r="AX500" s="11" t="n">
        <v>0</v>
      </c>
      <c r="AY500" s="13">
        <f>MIN(31, AU500+AV500+AW500+AX500)</f>
        <v/>
      </c>
      <c r="AZ500" s="14">
        <f>31-AY500</f>
        <v/>
      </c>
      <c r="BA500" s="5">
        <f>IF(AX500&gt;0, "01-İstirahat", IF(AZ500&gt;0, "12-Birden Fazla", ""))</f>
        <v/>
      </c>
      <c r="BB500" s="10" t="n">
        <v>10.5</v>
      </c>
      <c r="BC500" s="8" t="n">
        <v>0</v>
      </c>
      <c r="BD500" s="9" t="n">
        <v>0</v>
      </c>
      <c r="BE500" s="7">
        <f>(L500/30)*AU500</f>
        <v/>
      </c>
      <c r="BF500" s="15">
        <f>(L500/225)*((BB500*1.5)-(BC500*1.0))</f>
        <v/>
      </c>
      <c r="BG500" s="16">
        <f>(L500/225)*1.5*BD500</f>
        <v/>
      </c>
      <c r="BH500" s="15">
        <f>BF500+BG500</f>
        <v/>
      </c>
      <c r="BI500" s="17">
        <f>BE500+BH500</f>
        <v/>
      </c>
      <c r="BJ500" s="7">
        <f>IFERROR(VLOOKUP(B500, Resmi_Bordro_SGK!B:M, 11, FALSE), 0)</f>
        <v/>
      </c>
      <c r="BK500" s="18">
        <f>IFERROR(VLOOKUP(B500, Icra_Takip!A:E, 4, FALSE), 0)</f>
        <v/>
      </c>
      <c r="BL500" s="17">
        <f>IF(BI500&gt;BJ500, BI500-BJ500-BK500, 0)</f>
        <v/>
      </c>
      <c r="BM500" s="17">
        <f>BI500-BK500</f>
        <v/>
      </c>
    </row>
    <row r="501" ht="19" customHeight="1">
      <c r="A501" s="4" t="n">
        <v>498</v>
      </c>
      <c r="B501" s="5" t="inlineStr">
        <is>
          <t>01391</t>
        </is>
      </c>
      <c r="C501" s="6" t="inlineStr">
        <is>
          <t>ATAKAN TORUN</t>
        </is>
      </c>
      <c r="D501" s="4" t="inlineStr"/>
      <c r="E501" s="4" t="inlineStr"/>
      <c r="F501" s="4" t="inlineStr"/>
      <c r="G501" s="4" t="inlineStr"/>
      <c r="H501" s="4" t="inlineStr">
        <is>
          <t>NORMAL</t>
        </is>
      </c>
      <c r="I501" s="4" t="inlineStr">
        <is>
          <t>MEVSİMLİK</t>
        </is>
      </c>
      <c r="J501" s="6" t="inlineStr">
        <is>
          <t>DİĞER</t>
        </is>
      </c>
      <c r="K501" s="6" t="inlineStr"/>
      <c r="L501" s="7" t="n">
        <v>0</v>
      </c>
      <c r="M501" s="4" t="inlineStr">
        <is>
          <t>FİDE KONSERVE</t>
        </is>
      </c>
      <c r="N501" s="4" t="inlineStr">
        <is>
          <t>ALIR</t>
        </is>
      </c>
      <c r="O501" s="19" t="n">
        <v>0</v>
      </c>
      <c r="P501" s="19" t="n">
        <v>0</v>
      </c>
      <c r="Q501" s="23" t="n">
        <v>10.5</v>
      </c>
      <c r="R501" s="9" t="n">
        <v>0</v>
      </c>
      <c r="S501" s="19" t="n">
        <v>0</v>
      </c>
      <c r="T501" s="19" t="n">
        <v>10.5</v>
      </c>
      <c r="U501" s="19" t="n">
        <v>10.5</v>
      </c>
      <c r="V501" s="19" t="n">
        <v>10.5</v>
      </c>
      <c r="W501" s="19" t="n">
        <v>10.5</v>
      </c>
      <c r="X501" s="19" t="n">
        <v>0</v>
      </c>
      <c r="Y501" s="9" t="n">
        <v>0</v>
      </c>
      <c r="Z501" s="19" t="n">
        <v>10.5</v>
      </c>
      <c r="AA501" s="19" t="n">
        <v>10.5</v>
      </c>
      <c r="AB501" s="19" t="n">
        <v>10.5</v>
      </c>
      <c r="AC501" s="19" t="n">
        <v>1.5</v>
      </c>
      <c r="AD501" s="19" t="n">
        <v>0</v>
      </c>
      <c r="AE501" s="19" t="n">
        <v>0</v>
      </c>
      <c r="AF501" s="9" t="n">
        <v>0</v>
      </c>
      <c r="AG501" s="19" t="n">
        <v>10.5</v>
      </c>
      <c r="AH501" s="19" t="n">
        <v>0</v>
      </c>
      <c r="AI501" s="19" t="n">
        <v>0</v>
      </c>
      <c r="AJ501" s="19" t="n">
        <v>0</v>
      </c>
      <c r="AK501" s="19" t="n">
        <v>0</v>
      </c>
      <c r="AL501" s="19" t="n">
        <v>0</v>
      </c>
      <c r="AM501" s="9" t="n">
        <v>0</v>
      </c>
      <c r="AN501" s="19" t="n">
        <v>0</v>
      </c>
      <c r="AO501" s="19" t="n">
        <v>0</v>
      </c>
      <c r="AP501" s="19" t="n">
        <v>0</v>
      </c>
      <c r="AQ501" s="19" t="n">
        <v>0</v>
      </c>
      <c r="AR501" s="19" t="n">
        <v>0</v>
      </c>
      <c r="AS501" s="19" t="n">
        <v>0</v>
      </c>
      <c r="AT501" s="10">
        <f>SUM(O501:AS501)</f>
        <v/>
      </c>
      <c r="AU501" s="20">
        <f>COUNTIF(O501:AS501, "&gt;0")</f>
        <v/>
      </c>
      <c r="AV501" s="12">
        <f>IF(AU501&gt;=5, 4, IF(AU501&gt;0, INT(AU501/6), 0))</f>
        <v/>
      </c>
      <c r="AW501" s="20" t="n">
        <v>0</v>
      </c>
      <c r="AX501" s="20" t="n">
        <v>0</v>
      </c>
      <c r="AY501" s="13">
        <f>MIN(31, AU501+AV501+AW501+AX501)</f>
        <v/>
      </c>
      <c r="AZ501" s="14">
        <f>31-AY501</f>
        <v/>
      </c>
      <c r="BA501" s="21">
        <f>IF(AX501&gt;0, "01-İstirahat", IF(AZ501&gt;0, "12-Birden Fazla", ""))</f>
        <v/>
      </c>
      <c r="BB501" s="10" t="n">
        <v>27</v>
      </c>
      <c r="BC501" s="23" t="n">
        <v>6</v>
      </c>
      <c r="BD501" s="9" t="n">
        <v>0</v>
      </c>
      <c r="BE501" s="22">
        <f>(L501/30)*AU501</f>
        <v/>
      </c>
      <c r="BF501" s="15">
        <f>(L501/225)*((BB501*1.5)-(BC501*1.0))</f>
        <v/>
      </c>
      <c r="BG501" s="16">
        <f>(L501/225)*1.5*BD501</f>
        <v/>
      </c>
      <c r="BH501" s="15">
        <f>BF501+BG501</f>
        <v/>
      </c>
      <c r="BI501" s="17">
        <f>BE501+BH501</f>
        <v/>
      </c>
      <c r="BJ501" s="22">
        <f>IFERROR(VLOOKUP(B501, Resmi_Bordro_SGK!B:M, 11, FALSE), 0)</f>
        <v/>
      </c>
      <c r="BK501" s="18">
        <f>IFERROR(VLOOKUP(B501, Icra_Takip!A:E, 4, FALSE), 0)</f>
        <v/>
      </c>
      <c r="BL501" s="17">
        <f>IF(BI501&gt;BJ501, BI501-BJ501-BK501, 0)</f>
        <v/>
      </c>
      <c r="BM501" s="17">
        <f>BI501-BK501</f>
        <v/>
      </c>
    </row>
    <row r="502" ht="19" customHeight="1">
      <c r="A502" s="4" t="n">
        <v>499</v>
      </c>
      <c r="B502" s="5" t="inlineStr">
        <is>
          <t>01392</t>
        </is>
      </c>
      <c r="C502" s="6" t="inlineStr">
        <is>
          <t>AYLA BÇAKIR</t>
        </is>
      </c>
      <c r="D502" s="4" t="inlineStr"/>
      <c r="E502" s="4" t="inlineStr"/>
      <c r="F502" s="4" t="inlineStr"/>
      <c r="G502" s="4" t="inlineStr"/>
      <c r="H502" s="4" t="inlineStr">
        <is>
          <t>NORMAL</t>
        </is>
      </c>
      <c r="I502" s="4" t="inlineStr">
        <is>
          <t>MEVSİMLİK</t>
        </is>
      </c>
      <c r="J502" s="6" t="inlineStr">
        <is>
          <t>DİĞER</t>
        </is>
      </c>
      <c r="K502" s="6" t="inlineStr"/>
      <c r="L502" s="7" t="n">
        <v>0</v>
      </c>
      <c r="M502" s="4" t="inlineStr">
        <is>
          <t>FİDE KONSERVE</t>
        </is>
      </c>
      <c r="N502" s="4" t="inlineStr">
        <is>
          <t>ALIR</t>
        </is>
      </c>
      <c r="O502" s="8" t="n">
        <v>0</v>
      </c>
      <c r="P502" s="23" t="n">
        <v>10.5</v>
      </c>
      <c r="Q502" s="8" t="n">
        <v>0</v>
      </c>
      <c r="R502" s="9" t="n">
        <v>10.5</v>
      </c>
      <c r="S502" s="8" t="n">
        <v>10.5</v>
      </c>
      <c r="T502" s="8" t="n">
        <v>10.5</v>
      </c>
      <c r="U502" s="8" t="n">
        <v>0</v>
      </c>
      <c r="V502" s="8" t="n">
        <v>10.5</v>
      </c>
      <c r="W502" s="8" t="n">
        <v>10.5</v>
      </c>
      <c r="X502" s="8" t="n">
        <v>10.5</v>
      </c>
      <c r="Y502" s="9" t="n">
        <v>0</v>
      </c>
      <c r="Z502" s="8" t="n">
        <v>10.5</v>
      </c>
      <c r="AA502" s="8" t="n">
        <v>10.5</v>
      </c>
      <c r="AB502" s="8" t="n">
        <v>10.5</v>
      </c>
      <c r="AC502" s="8" t="n">
        <v>10.5</v>
      </c>
      <c r="AD502" s="8" t="n">
        <v>0</v>
      </c>
      <c r="AE502" s="8" t="n">
        <v>0</v>
      </c>
      <c r="AF502" s="9" t="n">
        <v>10.5</v>
      </c>
      <c r="AG502" s="8" t="n">
        <v>10.5</v>
      </c>
      <c r="AH502" s="8" t="n">
        <v>0</v>
      </c>
      <c r="AI502" s="8" t="n">
        <v>0</v>
      </c>
      <c r="AJ502" s="8" t="n">
        <v>0</v>
      </c>
      <c r="AK502" s="8" t="n">
        <v>0</v>
      </c>
      <c r="AL502" s="8" t="n">
        <v>0</v>
      </c>
      <c r="AM502" s="9" t="n">
        <v>0</v>
      </c>
      <c r="AN502" s="8" t="n">
        <v>0</v>
      </c>
      <c r="AO502" s="8" t="n">
        <v>0</v>
      </c>
      <c r="AP502" s="8" t="n">
        <v>0</v>
      </c>
      <c r="AQ502" s="8" t="n">
        <v>0</v>
      </c>
      <c r="AR502" s="8" t="n">
        <v>0</v>
      </c>
      <c r="AS502" s="8" t="n">
        <v>0</v>
      </c>
      <c r="AT502" s="10">
        <f>SUM(O502:AS502)</f>
        <v/>
      </c>
      <c r="AU502" s="11">
        <f>COUNTIF(O502:AS502, "&gt;0")</f>
        <v/>
      </c>
      <c r="AV502" s="12">
        <f>IF(AU502&gt;=5, 4, IF(AU502&gt;0, INT(AU502/6), 0))</f>
        <v/>
      </c>
      <c r="AW502" s="11" t="n">
        <v>0</v>
      </c>
      <c r="AX502" s="11" t="n">
        <v>0</v>
      </c>
      <c r="AY502" s="13">
        <f>MIN(31, AU502+AV502+AW502+AX502)</f>
        <v/>
      </c>
      <c r="AZ502" s="14">
        <f>31-AY502</f>
        <v/>
      </c>
      <c r="BA502" s="5">
        <f>IF(AX502&gt;0, "01-İstirahat", IF(AZ502&gt;0, "12-Birden Fazla", ""))</f>
        <v/>
      </c>
      <c r="BB502" s="10" t="n">
        <v>33</v>
      </c>
      <c r="BC502" s="8" t="n">
        <v>0</v>
      </c>
      <c r="BD502" s="9" t="n">
        <v>21</v>
      </c>
      <c r="BE502" s="7">
        <f>(L502/30)*AU502</f>
        <v/>
      </c>
      <c r="BF502" s="15">
        <f>(L502/225)*((BB502*1.5)-(BC502*1.0))</f>
        <v/>
      </c>
      <c r="BG502" s="16">
        <f>(L502/225)*1.5*BD502</f>
        <v/>
      </c>
      <c r="BH502" s="15">
        <f>BF502+BG502</f>
        <v/>
      </c>
      <c r="BI502" s="17">
        <f>BE502+BH502</f>
        <v/>
      </c>
      <c r="BJ502" s="7">
        <f>IFERROR(VLOOKUP(B502, Resmi_Bordro_SGK!B:M, 11, FALSE), 0)</f>
        <v/>
      </c>
      <c r="BK502" s="18">
        <f>IFERROR(VLOOKUP(B502, Icra_Takip!A:E, 4, FALSE), 0)</f>
        <v/>
      </c>
      <c r="BL502" s="17">
        <f>IF(BI502&gt;BJ502, BI502-BJ502-BK502, 0)</f>
        <v/>
      </c>
      <c r="BM502" s="17">
        <f>BI502-BK502</f>
        <v/>
      </c>
    </row>
    <row r="503" ht="19" customHeight="1">
      <c r="A503" s="4" t="n">
        <v>500</v>
      </c>
      <c r="B503" s="5" t="inlineStr">
        <is>
          <t>01522</t>
        </is>
      </c>
      <c r="C503" s="6" t="inlineStr">
        <is>
          <t>BAYRAM KARACA</t>
        </is>
      </c>
      <c r="D503" s="4" t="inlineStr"/>
      <c r="E503" s="4" t="inlineStr"/>
      <c r="F503" s="4" t="inlineStr"/>
      <c r="G503" s="4" t="inlineStr"/>
      <c r="H503" s="4" t="inlineStr">
        <is>
          <t>NORMAL</t>
        </is>
      </c>
      <c r="I503" s="4" t="inlineStr">
        <is>
          <t>MEVSİMLİK</t>
        </is>
      </c>
      <c r="J503" s="6" t="inlineStr">
        <is>
          <t>DİĞER</t>
        </is>
      </c>
      <c r="K503" s="6" t="inlineStr"/>
      <c r="L503" s="7" t="n">
        <v>0</v>
      </c>
      <c r="M503" s="4" t="inlineStr">
        <is>
          <t>FİDE KONSERVE</t>
        </is>
      </c>
      <c r="N503" s="4" t="inlineStr">
        <is>
          <t>ALIR</t>
        </is>
      </c>
      <c r="O503" s="19" t="n">
        <v>0</v>
      </c>
      <c r="P503" s="19" t="n">
        <v>0</v>
      </c>
      <c r="Q503" s="19" t="n">
        <v>0</v>
      </c>
      <c r="R503" s="9" t="n">
        <v>0</v>
      </c>
      <c r="S503" s="19" t="n">
        <v>0</v>
      </c>
      <c r="T503" s="19" t="n">
        <v>0</v>
      </c>
      <c r="U503" s="19" t="n">
        <v>10.5</v>
      </c>
      <c r="V503" s="19" t="n">
        <v>10.5</v>
      </c>
      <c r="W503" s="19" t="n">
        <v>10.5</v>
      </c>
      <c r="X503" s="19" t="n">
        <v>10.5</v>
      </c>
      <c r="Y503" s="9" t="n">
        <v>0</v>
      </c>
      <c r="Z503" s="19" t="n">
        <v>10.5</v>
      </c>
      <c r="AA503" s="19" t="n">
        <v>10.5</v>
      </c>
      <c r="AB503" s="19" t="n">
        <v>10.5</v>
      </c>
      <c r="AC503" s="19" t="n">
        <v>10.5</v>
      </c>
      <c r="AD503" s="19" t="n">
        <v>0</v>
      </c>
      <c r="AE503" s="19" t="n">
        <v>0</v>
      </c>
      <c r="AF503" s="9" t="n">
        <v>10.5</v>
      </c>
      <c r="AG503" s="19" t="n">
        <v>10.5</v>
      </c>
      <c r="AH503" s="19" t="n">
        <v>0</v>
      </c>
      <c r="AI503" s="19" t="n">
        <v>0</v>
      </c>
      <c r="AJ503" s="19" t="n">
        <v>0</v>
      </c>
      <c r="AK503" s="19" t="n">
        <v>0</v>
      </c>
      <c r="AL503" s="19" t="n">
        <v>0</v>
      </c>
      <c r="AM503" s="9" t="n">
        <v>0</v>
      </c>
      <c r="AN503" s="19" t="n">
        <v>0</v>
      </c>
      <c r="AO503" s="19" t="n">
        <v>0</v>
      </c>
      <c r="AP503" s="19" t="n">
        <v>0</v>
      </c>
      <c r="AQ503" s="19" t="n">
        <v>0</v>
      </c>
      <c r="AR503" s="19" t="n">
        <v>0</v>
      </c>
      <c r="AS503" s="19" t="n">
        <v>0</v>
      </c>
      <c r="AT503" s="10">
        <f>SUM(O503:AS503)</f>
        <v/>
      </c>
      <c r="AU503" s="20">
        <f>COUNTIF(O503:AS503, "&gt;0")</f>
        <v/>
      </c>
      <c r="AV503" s="12">
        <f>IF(AU503&gt;=5, 4, IF(AU503&gt;0, INT(AU503/6), 0))</f>
        <v/>
      </c>
      <c r="AW503" s="20" t="n">
        <v>0</v>
      </c>
      <c r="AX503" s="20" t="n">
        <v>0</v>
      </c>
      <c r="AY503" s="13">
        <f>MIN(31, AU503+AV503+AW503+AX503)</f>
        <v/>
      </c>
      <c r="AZ503" s="14">
        <f>31-AY503</f>
        <v/>
      </c>
      <c r="BA503" s="21">
        <f>IF(AX503&gt;0, "01-İstirahat", IF(AZ503&gt;0, "12-Birden Fazla", ""))</f>
        <v/>
      </c>
      <c r="BB503" s="10" t="n">
        <v>27</v>
      </c>
      <c r="BC503" s="19" t="n">
        <v>0</v>
      </c>
      <c r="BD503" s="9" t="n">
        <v>10.5</v>
      </c>
      <c r="BE503" s="22">
        <f>(L503/30)*AU503</f>
        <v/>
      </c>
      <c r="BF503" s="15">
        <f>(L503/225)*((BB503*1.5)-(BC503*1.0))</f>
        <v/>
      </c>
      <c r="BG503" s="16">
        <f>(L503/225)*1.5*BD503</f>
        <v/>
      </c>
      <c r="BH503" s="15">
        <f>BF503+BG503</f>
        <v/>
      </c>
      <c r="BI503" s="17">
        <f>BE503+BH503</f>
        <v/>
      </c>
      <c r="BJ503" s="22">
        <f>IFERROR(VLOOKUP(B503, Resmi_Bordro_SGK!B:M, 11, FALSE), 0)</f>
        <v/>
      </c>
      <c r="BK503" s="18">
        <f>IFERROR(VLOOKUP(B503, Icra_Takip!A:E, 4, FALSE), 0)</f>
        <v/>
      </c>
      <c r="BL503" s="17">
        <f>IF(BI503&gt;BJ503, BI503-BJ503-BK503, 0)</f>
        <v/>
      </c>
      <c r="BM503" s="17">
        <f>BI503-BK503</f>
        <v/>
      </c>
    </row>
    <row r="504" ht="19" customHeight="1">
      <c r="A504" s="4" t="n">
        <v>501</v>
      </c>
      <c r="B504" s="5" t="inlineStr">
        <is>
          <t>01396</t>
        </is>
      </c>
      <c r="C504" s="6" t="inlineStr">
        <is>
          <t>CEMAL BULUT</t>
        </is>
      </c>
      <c r="D504" s="4" t="inlineStr"/>
      <c r="E504" s="4" t="inlineStr"/>
      <c r="F504" s="4" t="inlineStr"/>
      <c r="G504" s="4" t="inlineStr"/>
      <c r="H504" s="4" t="inlineStr">
        <is>
          <t>NORMAL</t>
        </is>
      </c>
      <c r="I504" s="4" t="inlineStr">
        <is>
          <t>MEVSİMLİK</t>
        </is>
      </c>
      <c r="J504" s="6" t="inlineStr">
        <is>
          <t>DİĞER</t>
        </is>
      </c>
      <c r="K504" s="6" t="inlineStr"/>
      <c r="L504" s="7" t="n">
        <v>0</v>
      </c>
      <c r="M504" s="4" t="inlineStr">
        <is>
          <t>FİDE KONSERVE</t>
        </is>
      </c>
      <c r="N504" s="4" t="inlineStr">
        <is>
          <t>ALIR</t>
        </is>
      </c>
      <c r="O504" s="8" t="n">
        <v>0</v>
      </c>
      <c r="P504" s="8" t="n">
        <v>0</v>
      </c>
      <c r="Q504" s="23" t="n">
        <v>10.5</v>
      </c>
      <c r="R504" s="9" t="n">
        <v>0</v>
      </c>
      <c r="S504" s="8" t="n">
        <v>10.5</v>
      </c>
      <c r="T504" s="8" t="n">
        <v>10.5</v>
      </c>
      <c r="U504" s="8" t="n">
        <v>10.5</v>
      </c>
      <c r="V504" s="8" t="n">
        <v>10.5</v>
      </c>
      <c r="W504" s="8" t="n">
        <v>0</v>
      </c>
      <c r="X504" s="8" t="n">
        <v>10.5</v>
      </c>
      <c r="Y504" s="9" t="n">
        <v>0</v>
      </c>
      <c r="Z504" s="8" t="n">
        <v>10.5</v>
      </c>
      <c r="AA504" s="8" t="n">
        <v>0</v>
      </c>
      <c r="AB504" s="8" t="n">
        <v>10.5</v>
      </c>
      <c r="AC504" s="8" t="n">
        <v>0</v>
      </c>
      <c r="AD504" s="8" t="n">
        <v>0</v>
      </c>
      <c r="AE504" s="8" t="n">
        <v>0</v>
      </c>
      <c r="AF504" s="9" t="n">
        <v>0</v>
      </c>
      <c r="AG504" s="8" t="n">
        <v>0</v>
      </c>
      <c r="AH504" s="8" t="n">
        <v>0</v>
      </c>
      <c r="AI504" s="8" t="n">
        <v>0</v>
      </c>
      <c r="AJ504" s="8" t="n">
        <v>0</v>
      </c>
      <c r="AK504" s="8" t="n">
        <v>0</v>
      </c>
      <c r="AL504" s="8" t="n">
        <v>0</v>
      </c>
      <c r="AM504" s="9" t="n">
        <v>0</v>
      </c>
      <c r="AN504" s="8" t="n">
        <v>0</v>
      </c>
      <c r="AO504" s="8" t="n">
        <v>0</v>
      </c>
      <c r="AP504" s="8" t="n">
        <v>0</v>
      </c>
      <c r="AQ504" s="8" t="n">
        <v>0</v>
      </c>
      <c r="AR504" s="8" t="n">
        <v>0</v>
      </c>
      <c r="AS504" s="8" t="n">
        <v>0</v>
      </c>
      <c r="AT504" s="10">
        <f>SUM(O504:AS504)</f>
        <v/>
      </c>
      <c r="AU504" s="11">
        <f>COUNTIF(O504:AS504, "&gt;0")</f>
        <v/>
      </c>
      <c r="AV504" s="12">
        <f>IF(AU504&gt;=5, 4, IF(AU504&gt;0, INT(AU504/6), 0))</f>
        <v/>
      </c>
      <c r="AW504" s="11" t="n">
        <v>0</v>
      </c>
      <c r="AX504" s="11" t="n">
        <v>0</v>
      </c>
      <c r="AY504" s="13">
        <f>MIN(31, AU504+AV504+AW504+AX504)</f>
        <v/>
      </c>
      <c r="AZ504" s="14">
        <f>31-AY504</f>
        <v/>
      </c>
      <c r="BA504" s="5">
        <f>IF(AX504&gt;0, "01-İstirahat", IF(AZ504&gt;0, "12-Birden Fazla", ""))</f>
        <v/>
      </c>
      <c r="BB504" s="10" t="n">
        <v>24</v>
      </c>
      <c r="BC504" s="8" t="n">
        <v>0</v>
      </c>
      <c r="BD504" s="9" t="n">
        <v>0</v>
      </c>
      <c r="BE504" s="7">
        <f>(L504/30)*AU504</f>
        <v/>
      </c>
      <c r="BF504" s="15">
        <f>(L504/225)*((BB504*1.5)-(BC504*1.0))</f>
        <v/>
      </c>
      <c r="BG504" s="16">
        <f>(L504/225)*1.5*BD504</f>
        <v/>
      </c>
      <c r="BH504" s="15">
        <f>BF504+BG504</f>
        <v/>
      </c>
      <c r="BI504" s="17">
        <f>BE504+BH504</f>
        <v/>
      </c>
      <c r="BJ504" s="7">
        <f>IFERROR(VLOOKUP(B504, Resmi_Bordro_SGK!B:M, 11, FALSE), 0)</f>
        <v/>
      </c>
      <c r="BK504" s="18">
        <f>IFERROR(VLOOKUP(B504, Icra_Takip!A:E, 4, FALSE), 0)</f>
        <v/>
      </c>
      <c r="BL504" s="17">
        <f>IF(BI504&gt;BJ504, BI504-BJ504-BK504, 0)</f>
        <v/>
      </c>
      <c r="BM504" s="17">
        <f>BI504-BK504</f>
        <v/>
      </c>
    </row>
    <row r="505" ht="19" customHeight="1">
      <c r="A505" s="4" t="n">
        <v>502</v>
      </c>
      <c r="B505" s="5" t="inlineStr">
        <is>
          <t>01556</t>
        </is>
      </c>
      <c r="C505" s="6" t="inlineStr">
        <is>
          <t>CİHAN DOĞAN</t>
        </is>
      </c>
      <c r="D505" s="4" t="inlineStr"/>
      <c r="E505" s="4" t="inlineStr"/>
      <c r="F505" s="4" t="inlineStr"/>
      <c r="G505" s="4" t="inlineStr"/>
      <c r="H505" s="4" t="inlineStr">
        <is>
          <t>NORMAL</t>
        </is>
      </c>
      <c r="I505" s="4" t="inlineStr">
        <is>
          <t>MEVSİMLİK</t>
        </is>
      </c>
      <c r="J505" s="6" t="inlineStr">
        <is>
          <t>DİĞER</t>
        </is>
      </c>
      <c r="K505" s="6" t="inlineStr"/>
      <c r="L505" s="7" t="n">
        <v>0</v>
      </c>
      <c r="M505" s="4" t="inlineStr">
        <is>
          <t>FİDE KONSERVE</t>
        </is>
      </c>
      <c r="N505" s="4" t="inlineStr">
        <is>
          <t>ALIR</t>
        </is>
      </c>
      <c r="O505" s="19" t="n">
        <v>0</v>
      </c>
      <c r="P505" s="19" t="n">
        <v>0</v>
      </c>
      <c r="Q505" s="19" t="n">
        <v>0</v>
      </c>
      <c r="R505" s="9" t="n">
        <v>0</v>
      </c>
      <c r="S505" s="19" t="n">
        <v>0</v>
      </c>
      <c r="T505" s="19" t="n">
        <v>0</v>
      </c>
      <c r="U505" s="19" t="n">
        <v>0</v>
      </c>
      <c r="V505" s="19" t="n">
        <v>0</v>
      </c>
      <c r="W505" s="19" t="n">
        <v>0</v>
      </c>
      <c r="X505" s="19" t="n">
        <v>0</v>
      </c>
      <c r="Y505" s="9" t="n">
        <v>0</v>
      </c>
      <c r="Z505" s="19" t="n">
        <v>0</v>
      </c>
      <c r="AA505" s="19" t="n">
        <v>0</v>
      </c>
      <c r="AB505" s="23" t="n">
        <v>7.5</v>
      </c>
      <c r="AC505" s="19" t="n">
        <v>0</v>
      </c>
      <c r="AD505" s="23" t="n">
        <v>7.5</v>
      </c>
      <c r="AE505" s="23" t="n">
        <v>7.5</v>
      </c>
      <c r="AF505" s="9" t="n">
        <v>7.5</v>
      </c>
      <c r="AG505" s="23" t="n">
        <v>7.5</v>
      </c>
      <c r="AH505" s="23" t="n">
        <v>7.5</v>
      </c>
      <c r="AI505" s="19" t="n">
        <v>0</v>
      </c>
      <c r="AJ505" s="19" t="n">
        <v>0</v>
      </c>
      <c r="AK505" s="19" t="n">
        <v>0</v>
      </c>
      <c r="AL505" s="19" t="n">
        <v>0</v>
      </c>
      <c r="AM505" s="9" t="n">
        <v>0</v>
      </c>
      <c r="AN505" s="19" t="n">
        <v>0</v>
      </c>
      <c r="AO505" s="19" t="n">
        <v>0</v>
      </c>
      <c r="AP505" s="19" t="n">
        <v>0</v>
      </c>
      <c r="AQ505" s="19" t="n">
        <v>0</v>
      </c>
      <c r="AR505" s="19" t="n">
        <v>0</v>
      </c>
      <c r="AS505" s="19" t="n">
        <v>0</v>
      </c>
      <c r="AT505" s="10">
        <f>SUM(O505:AS505)</f>
        <v/>
      </c>
      <c r="AU505" s="20">
        <f>COUNTIF(O505:AS505, "&gt;0")</f>
        <v/>
      </c>
      <c r="AV505" s="12">
        <f>IF(AU505&gt;=5, 4, IF(AU505&gt;0, INT(AU505/6), 0))</f>
        <v/>
      </c>
      <c r="AW505" s="20" t="n">
        <v>0</v>
      </c>
      <c r="AX505" s="20" t="n">
        <v>0</v>
      </c>
      <c r="AY505" s="13">
        <f>MIN(31, AU505+AV505+AW505+AX505)</f>
        <v/>
      </c>
      <c r="AZ505" s="14">
        <f>31-AY505</f>
        <v/>
      </c>
      <c r="BA505" s="21">
        <f>IF(AX505&gt;0, "01-İstirahat", IF(AZ505&gt;0, "12-Birden Fazla", ""))</f>
        <v/>
      </c>
      <c r="BB505" s="10" t="n">
        <v>0</v>
      </c>
      <c r="BC505" s="19" t="n">
        <v>0</v>
      </c>
      <c r="BD505" s="9" t="n">
        <v>7.5</v>
      </c>
      <c r="BE505" s="22">
        <f>(L505/30)*AU505</f>
        <v/>
      </c>
      <c r="BF505" s="15">
        <f>(L505/225)*((BB505*1.5)-(BC505*1.0))</f>
        <v/>
      </c>
      <c r="BG505" s="16">
        <f>(L505/225)*1.5*BD505</f>
        <v/>
      </c>
      <c r="BH505" s="15">
        <f>BF505+BG505</f>
        <v/>
      </c>
      <c r="BI505" s="17">
        <f>BE505+BH505</f>
        <v/>
      </c>
      <c r="BJ505" s="22">
        <f>IFERROR(VLOOKUP(B505, Resmi_Bordro_SGK!B:M, 11, FALSE), 0)</f>
        <v/>
      </c>
      <c r="BK505" s="18">
        <f>IFERROR(VLOOKUP(B505, Icra_Takip!A:E, 4, FALSE), 0)</f>
        <v/>
      </c>
      <c r="BL505" s="17">
        <f>IF(BI505&gt;BJ505, BI505-BJ505-BK505, 0)</f>
        <v/>
      </c>
      <c r="BM505" s="17">
        <f>BI505-BK505</f>
        <v/>
      </c>
    </row>
    <row r="506" ht="19" customHeight="1">
      <c r="A506" s="4" t="n">
        <v>503</v>
      </c>
      <c r="B506" s="5" t="inlineStr">
        <is>
          <t>01398</t>
        </is>
      </c>
      <c r="C506" s="6" t="inlineStr">
        <is>
          <t>DERYA ORUÇ</t>
        </is>
      </c>
      <c r="D506" s="4" t="inlineStr"/>
      <c r="E506" s="4" t="inlineStr"/>
      <c r="F506" s="4" t="inlineStr"/>
      <c r="G506" s="4" t="inlineStr"/>
      <c r="H506" s="4" t="inlineStr">
        <is>
          <t>NORMAL</t>
        </is>
      </c>
      <c r="I506" s="4" t="inlineStr">
        <is>
          <t>MEVSİMLİK</t>
        </is>
      </c>
      <c r="J506" s="6" t="inlineStr">
        <is>
          <t>DİĞER</t>
        </is>
      </c>
      <c r="K506" s="6" t="inlineStr"/>
      <c r="L506" s="7" t="n">
        <v>0</v>
      </c>
      <c r="M506" s="4" t="inlineStr">
        <is>
          <t>FİDE KONSERVE</t>
        </is>
      </c>
      <c r="N506" s="4" t="inlineStr">
        <is>
          <t>ALIR</t>
        </is>
      </c>
      <c r="O506" s="8" t="n">
        <v>0</v>
      </c>
      <c r="P506" s="8" t="n">
        <v>0</v>
      </c>
      <c r="Q506" s="8" t="n">
        <v>10.5</v>
      </c>
      <c r="R506" s="9" t="n">
        <v>7.5</v>
      </c>
      <c r="S506" s="8" t="n">
        <v>10.5</v>
      </c>
      <c r="T506" s="8" t="n">
        <v>10.5</v>
      </c>
      <c r="U506" s="8" t="n">
        <v>10.5</v>
      </c>
      <c r="V506" s="8" t="n">
        <v>0</v>
      </c>
      <c r="W506" s="8" t="n">
        <v>10.5</v>
      </c>
      <c r="X506" s="8" t="n">
        <v>10.5</v>
      </c>
      <c r="Y506" s="9" t="n">
        <v>0</v>
      </c>
      <c r="Z506" s="8" t="n">
        <v>10.5</v>
      </c>
      <c r="AA506" s="8" t="n">
        <v>10.5</v>
      </c>
      <c r="AB506" s="8" t="n">
        <v>10.5</v>
      </c>
      <c r="AC506" s="8" t="n">
        <v>10.5</v>
      </c>
      <c r="AD506" s="8" t="n">
        <v>10.5</v>
      </c>
      <c r="AE506" s="8" t="n">
        <v>0</v>
      </c>
      <c r="AF506" s="9" t="n">
        <v>0</v>
      </c>
      <c r="AG506" s="8" t="n">
        <v>10.5</v>
      </c>
      <c r="AH506" s="8" t="n">
        <v>7.5</v>
      </c>
      <c r="AI506" s="8" t="n">
        <v>7.5</v>
      </c>
      <c r="AJ506" s="8" t="n">
        <v>0</v>
      </c>
      <c r="AK506" s="8" t="n">
        <v>0</v>
      </c>
      <c r="AL506" s="8" t="n">
        <v>0</v>
      </c>
      <c r="AM506" s="9" t="n">
        <v>0</v>
      </c>
      <c r="AN506" s="8" t="n">
        <v>0</v>
      </c>
      <c r="AO506" s="8" t="n">
        <v>0</v>
      </c>
      <c r="AP506" s="8" t="n">
        <v>0</v>
      </c>
      <c r="AQ506" s="8" t="n">
        <v>0</v>
      </c>
      <c r="AR506" s="8" t="n">
        <v>0</v>
      </c>
      <c r="AS506" s="8" t="n">
        <v>0</v>
      </c>
      <c r="AT506" s="10">
        <f>SUM(O506:AS506)</f>
        <v/>
      </c>
      <c r="AU506" s="11">
        <f>COUNTIF(O506:AS506, "&gt;0")</f>
        <v/>
      </c>
      <c r="AV506" s="12">
        <f>IF(AU506&gt;=5, 4, IF(AU506&gt;0, INT(AU506/6), 0))</f>
        <v/>
      </c>
      <c r="AW506" s="11" t="n">
        <v>0</v>
      </c>
      <c r="AX506" s="11" t="n">
        <v>0</v>
      </c>
      <c r="AY506" s="13">
        <f>MIN(31, AU506+AV506+AW506+AX506)</f>
        <v/>
      </c>
      <c r="AZ506" s="14">
        <f>31-AY506</f>
        <v/>
      </c>
      <c r="BA506" s="5">
        <f>IF(AX506&gt;0, "01-İstirahat", IF(AZ506&gt;0, "12-Birden Fazla", ""))</f>
        <v/>
      </c>
      <c r="BB506" s="10" t="n">
        <v>36</v>
      </c>
      <c r="BC506" s="8" t="n">
        <v>0</v>
      </c>
      <c r="BD506" s="9" t="n">
        <v>7.5</v>
      </c>
      <c r="BE506" s="7">
        <f>(L506/30)*AU506</f>
        <v/>
      </c>
      <c r="BF506" s="15">
        <f>(L506/225)*((BB506*1.5)-(BC506*1.0))</f>
        <v/>
      </c>
      <c r="BG506" s="16">
        <f>(L506/225)*1.5*BD506</f>
        <v/>
      </c>
      <c r="BH506" s="15">
        <f>BF506+BG506</f>
        <v/>
      </c>
      <c r="BI506" s="17">
        <f>BE506+BH506</f>
        <v/>
      </c>
      <c r="BJ506" s="7">
        <f>IFERROR(VLOOKUP(B506, Resmi_Bordro_SGK!B:M, 11, FALSE), 0)</f>
        <v/>
      </c>
      <c r="BK506" s="18">
        <f>IFERROR(VLOOKUP(B506, Icra_Takip!A:E, 4, FALSE), 0)</f>
        <v/>
      </c>
      <c r="BL506" s="17">
        <f>IF(BI506&gt;BJ506, BI506-BJ506-BK506, 0)</f>
        <v/>
      </c>
      <c r="BM506" s="17">
        <f>BI506-BK506</f>
        <v/>
      </c>
    </row>
    <row r="507" ht="19" customHeight="1">
      <c r="A507" s="4" t="n">
        <v>504</v>
      </c>
      <c r="B507" s="5" t="inlineStr">
        <is>
          <t>01537</t>
        </is>
      </c>
      <c r="C507" s="6" t="inlineStr">
        <is>
          <t>DERYANUR DEMİR</t>
        </is>
      </c>
      <c r="D507" s="4" t="inlineStr"/>
      <c r="E507" s="4" t="inlineStr"/>
      <c r="F507" s="4" t="inlineStr"/>
      <c r="G507" s="4" t="inlineStr"/>
      <c r="H507" s="4" t="inlineStr">
        <is>
          <t>NORMAL</t>
        </is>
      </c>
      <c r="I507" s="4" t="inlineStr">
        <is>
          <t>MEVSİMLİK</t>
        </is>
      </c>
      <c r="J507" s="6" t="inlineStr">
        <is>
          <t>DİĞER</t>
        </is>
      </c>
      <c r="K507" s="6" t="inlineStr"/>
      <c r="L507" s="7" t="n">
        <v>0</v>
      </c>
      <c r="M507" s="4" t="inlineStr">
        <is>
          <t>FİDE KONSERVE</t>
        </is>
      </c>
      <c r="N507" s="4" t="inlineStr">
        <is>
          <t>ALIR</t>
        </is>
      </c>
      <c r="O507" s="19" t="n">
        <v>0</v>
      </c>
      <c r="P507" s="19" t="n">
        <v>0</v>
      </c>
      <c r="Q507" s="19" t="n">
        <v>0</v>
      </c>
      <c r="R507" s="9" t="n">
        <v>0</v>
      </c>
      <c r="S507" s="19" t="n">
        <v>0</v>
      </c>
      <c r="T507" s="19" t="n">
        <v>0</v>
      </c>
      <c r="U507" s="19" t="n">
        <v>0</v>
      </c>
      <c r="V507" s="19" t="n">
        <v>7.5</v>
      </c>
      <c r="W507" s="19" t="n">
        <v>0</v>
      </c>
      <c r="X507" s="19" t="n">
        <v>0</v>
      </c>
      <c r="Y507" s="9" t="n">
        <v>0</v>
      </c>
      <c r="Z507" s="19" t="n">
        <v>0</v>
      </c>
      <c r="AA507" s="19" t="n">
        <v>0</v>
      </c>
      <c r="AB507" s="19" t="n">
        <v>0</v>
      </c>
      <c r="AC507" s="19" t="n">
        <v>0</v>
      </c>
      <c r="AD507" s="19" t="n">
        <v>0</v>
      </c>
      <c r="AE507" s="19" t="n">
        <v>0</v>
      </c>
      <c r="AF507" s="9" t="n">
        <v>0</v>
      </c>
      <c r="AG507" s="19" t="n">
        <v>0</v>
      </c>
      <c r="AH507" s="19" t="n">
        <v>0</v>
      </c>
      <c r="AI507" s="19" t="n">
        <v>0</v>
      </c>
      <c r="AJ507" s="19" t="n">
        <v>0</v>
      </c>
      <c r="AK507" s="19" t="n">
        <v>0</v>
      </c>
      <c r="AL507" s="19" t="n">
        <v>0</v>
      </c>
      <c r="AM507" s="9" t="n">
        <v>0</v>
      </c>
      <c r="AN507" s="19" t="n">
        <v>0</v>
      </c>
      <c r="AO507" s="19" t="n">
        <v>0</v>
      </c>
      <c r="AP507" s="19" t="n">
        <v>0</v>
      </c>
      <c r="AQ507" s="19" t="n">
        <v>0</v>
      </c>
      <c r="AR507" s="19" t="n">
        <v>0</v>
      </c>
      <c r="AS507" s="19" t="n">
        <v>0</v>
      </c>
      <c r="AT507" s="10">
        <f>SUM(O507:AS507)</f>
        <v/>
      </c>
      <c r="AU507" s="20">
        <f>COUNTIF(O507:AS507, "&gt;0")</f>
        <v/>
      </c>
      <c r="AV507" s="12">
        <f>IF(AU507&gt;=5, 4, IF(AU507&gt;0, INT(AU507/6), 0))</f>
        <v/>
      </c>
      <c r="AW507" s="20" t="n">
        <v>0</v>
      </c>
      <c r="AX507" s="20" t="n">
        <v>0</v>
      </c>
      <c r="AY507" s="13">
        <f>MIN(31, AU507+AV507+AW507+AX507)</f>
        <v/>
      </c>
      <c r="AZ507" s="14">
        <f>31-AY507</f>
        <v/>
      </c>
      <c r="BA507" s="21">
        <f>IF(AX507&gt;0, "01-İstirahat", IF(AZ507&gt;0, "12-Birden Fazla", ""))</f>
        <v/>
      </c>
      <c r="BB507" s="10" t="n">
        <v>0</v>
      </c>
      <c r="BC507" s="19" t="n">
        <v>0</v>
      </c>
      <c r="BD507" s="9" t="n">
        <v>0</v>
      </c>
      <c r="BE507" s="22">
        <f>(L507/30)*AU507</f>
        <v/>
      </c>
      <c r="BF507" s="15">
        <f>(L507/225)*((BB507*1.5)-(BC507*1.0))</f>
        <v/>
      </c>
      <c r="BG507" s="16">
        <f>(L507/225)*1.5*BD507</f>
        <v/>
      </c>
      <c r="BH507" s="15">
        <f>BF507+BG507</f>
        <v/>
      </c>
      <c r="BI507" s="17">
        <f>BE507+BH507</f>
        <v/>
      </c>
      <c r="BJ507" s="22">
        <f>IFERROR(VLOOKUP(B507, Resmi_Bordro_SGK!B:M, 11, FALSE), 0)</f>
        <v/>
      </c>
      <c r="BK507" s="18">
        <f>IFERROR(VLOOKUP(B507, Icra_Takip!A:E, 4, FALSE), 0)</f>
        <v/>
      </c>
      <c r="BL507" s="17">
        <f>IF(BI507&gt;BJ507, BI507-BJ507-BK507, 0)</f>
        <v/>
      </c>
      <c r="BM507" s="17">
        <f>BI507-BK507</f>
        <v/>
      </c>
    </row>
    <row r="508" ht="19" customHeight="1">
      <c r="A508" s="4" t="n">
        <v>505</v>
      </c>
      <c r="B508" s="5" t="inlineStr">
        <is>
          <t>01520</t>
        </is>
      </c>
      <c r="C508" s="6" t="inlineStr">
        <is>
          <t>DİLARA ÇELİK</t>
        </is>
      </c>
      <c r="D508" s="4" t="inlineStr"/>
      <c r="E508" s="4" t="inlineStr"/>
      <c r="F508" s="4" t="inlineStr"/>
      <c r="G508" s="4" t="inlineStr"/>
      <c r="H508" s="4" t="inlineStr">
        <is>
          <t>NORMAL</t>
        </is>
      </c>
      <c r="I508" s="4" t="inlineStr">
        <is>
          <t>MEVSİMLİK</t>
        </is>
      </c>
      <c r="J508" s="6" t="inlineStr">
        <is>
          <t>DİĞER</t>
        </is>
      </c>
      <c r="K508" s="6" t="inlineStr"/>
      <c r="L508" s="7" t="n">
        <v>0</v>
      </c>
      <c r="M508" s="4" t="inlineStr">
        <is>
          <t>FİDE KONSERVE</t>
        </is>
      </c>
      <c r="N508" s="4" t="inlineStr">
        <is>
          <t>ALIR</t>
        </is>
      </c>
      <c r="O508" s="8" t="n">
        <v>0</v>
      </c>
      <c r="P508" s="8" t="n">
        <v>0</v>
      </c>
      <c r="Q508" s="8" t="n">
        <v>0</v>
      </c>
      <c r="R508" s="9" t="n">
        <v>0</v>
      </c>
      <c r="S508" s="23" t="n">
        <v>7.5</v>
      </c>
      <c r="T508" s="8" t="n">
        <v>8</v>
      </c>
      <c r="U508" s="8" t="n">
        <v>8</v>
      </c>
      <c r="V508" s="8" t="n">
        <v>7.5</v>
      </c>
      <c r="W508" s="8" t="n">
        <v>7.5</v>
      </c>
      <c r="X508" s="8" t="n">
        <v>8.5</v>
      </c>
      <c r="Y508" s="9" t="n">
        <v>0</v>
      </c>
      <c r="Z508" s="8" t="n">
        <v>7.5</v>
      </c>
      <c r="AA508" s="8" t="n">
        <v>7.5</v>
      </c>
      <c r="AB508" s="8" t="n">
        <v>8.5</v>
      </c>
      <c r="AC508" s="8" t="n">
        <v>7.5</v>
      </c>
      <c r="AD508" s="8" t="n">
        <v>8</v>
      </c>
      <c r="AE508" s="8" t="n">
        <v>8.5</v>
      </c>
      <c r="AF508" s="9" t="n">
        <v>0</v>
      </c>
      <c r="AG508" s="8" t="n">
        <v>8</v>
      </c>
      <c r="AH508" s="8" t="n">
        <v>7.5</v>
      </c>
      <c r="AI508" s="8" t="n">
        <v>7.5</v>
      </c>
      <c r="AJ508" s="8" t="n">
        <v>0</v>
      </c>
      <c r="AK508" s="8" t="n">
        <v>0</v>
      </c>
      <c r="AL508" s="8" t="n">
        <v>0</v>
      </c>
      <c r="AM508" s="9" t="n">
        <v>0</v>
      </c>
      <c r="AN508" s="8" t="n">
        <v>0</v>
      </c>
      <c r="AO508" s="8" t="n">
        <v>0</v>
      </c>
      <c r="AP508" s="8" t="n">
        <v>0</v>
      </c>
      <c r="AQ508" s="8" t="n">
        <v>0</v>
      </c>
      <c r="AR508" s="8" t="n">
        <v>0</v>
      </c>
      <c r="AS508" s="8" t="n">
        <v>0</v>
      </c>
      <c r="AT508" s="10">
        <f>SUM(O508:AS508)</f>
        <v/>
      </c>
      <c r="AU508" s="11">
        <f>COUNTIF(O508:AS508, "&gt;0")</f>
        <v/>
      </c>
      <c r="AV508" s="12">
        <f>IF(AU508&gt;=5, 4, IF(AU508&gt;0, INT(AU508/6), 0))</f>
        <v/>
      </c>
      <c r="AW508" s="11" t="n">
        <v>0</v>
      </c>
      <c r="AX508" s="11" t="n">
        <v>0</v>
      </c>
      <c r="AY508" s="13">
        <f>MIN(31, AU508+AV508+AW508+AX508)</f>
        <v/>
      </c>
      <c r="AZ508" s="14">
        <f>31-AY508</f>
        <v/>
      </c>
      <c r="BA508" s="5">
        <f>IF(AX508&gt;0, "01-İstirahat", IF(AZ508&gt;0, "12-Birden Fazla", ""))</f>
        <v/>
      </c>
      <c r="BB508" s="10" t="n">
        <v>5</v>
      </c>
      <c r="BC508" s="8" t="n">
        <v>0</v>
      </c>
      <c r="BD508" s="9" t="n">
        <v>0</v>
      </c>
      <c r="BE508" s="7">
        <f>(L508/30)*AU508</f>
        <v/>
      </c>
      <c r="BF508" s="15">
        <f>(L508/225)*((BB508*1.5)-(BC508*1.0))</f>
        <v/>
      </c>
      <c r="BG508" s="16">
        <f>(L508/225)*1.5*BD508</f>
        <v/>
      </c>
      <c r="BH508" s="15">
        <f>BF508+BG508</f>
        <v/>
      </c>
      <c r="BI508" s="17">
        <f>BE508+BH508</f>
        <v/>
      </c>
      <c r="BJ508" s="7">
        <f>IFERROR(VLOOKUP(B508, Resmi_Bordro_SGK!B:M, 11, FALSE), 0)</f>
        <v/>
      </c>
      <c r="BK508" s="18">
        <f>IFERROR(VLOOKUP(B508, Icra_Takip!A:E, 4, FALSE), 0)</f>
        <v/>
      </c>
      <c r="BL508" s="17">
        <f>IF(BI508&gt;BJ508, BI508-BJ508-BK508, 0)</f>
        <v/>
      </c>
      <c r="BM508" s="17">
        <f>BI508-BK508</f>
        <v/>
      </c>
    </row>
    <row r="509" ht="19" customHeight="1">
      <c r="A509" s="4" t="n">
        <v>506</v>
      </c>
      <c r="B509" s="5" t="inlineStr">
        <is>
          <t>01399</t>
        </is>
      </c>
      <c r="C509" s="6" t="inlineStr">
        <is>
          <t>DÖNE BERBEROĞLU</t>
        </is>
      </c>
      <c r="D509" s="4" t="inlineStr"/>
      <c r="E509" s="4" t="inlineStr"/>
      <c r="F509" s="4" t="inlineStr"/>
      <c r="G509" s="4" t="inlineStr"/>
      <c r="H509" s="4" t="inlineStr">
        <is>
          <t>NORMAL</t>
        </is>
      </c>
      <c r="I509" s="4" t="inlineStr">
        <is>
          <t>MEVSİMLİK</t>
        </is>
      </c>
      <c r="J509" s="6" t="inlineStr">
        <is>
          <t>DİĞER</t>
        </is>
      </c>
      <c r="K509" s="6" t="inlineStr"/>
      <c r="L509" s="7" t="n">
        <v>0</v>
      </c>
      <c r="M509" s="4" t="inlineStr">
        <is>
          <t>FİDE KONSERVE</t>
        </is>
      </c>
      <c r="N509" s="4" t="inlineStr">
        <is>
          <t>ALIR</t>
        </is>
      </c>
      <c r="O509" s="19" t="n">
        <v>0</v>
      </c>
      <c r="P509" s="19" t="n">
        <v>0</v>
      </c>
      <c r="Q509" s="19" t="n">
        <v>8</v>
      </c>
      <c r="R509" s="9" t="n">
        <v>0</v>
      </c>
      <c r="S509" s="19" t="n">
        <v>7.5</v>
      </c>
      <c r="T509" s="19" t="n">
        <v>8</v>
      </c>
      <c r="U509" s="19" t="n">
        <v>8</v>
      </c>
      <c r="V509" s="19" t="n">
        <v>8</v>
      </c>
      <c r="W509" s="19" t="n">
        <v>8</v>
      </c>
      <c r="X509" s="19" t="n">
        <v>8.5</v>
      </c>
      <c r="Y509" s="9" t="n">
        <v>0</v>
      </c>
      <c r="Z509" s="19" t="n">
        <v>7.5</v>
      </c>
      <c r="AA509" s="19" t="n">
        <v>7.5</v>
      </c>
      <c r="AB509" s="19" t="n">
        <v>8.5</v>
      </c>
      <c r="AC509" s="19" t="n">
        <v>7.5</v>
      </c>
      <c r="AD509" s="19" t="n">
        <v>7.5</v>
      </c>
      <c r="AE509" s="19" t="n">
        <v>8.5</v>
      </c>
      <c r="AF509" s="9" t="n">
        <v>0</v>
      </c>
      <c r="AG509" s="19" t="n">
        <v>8</v>
      </c>
      <c r="AH509" s="19" t="n">
        <v>7.5</v>
      </c>
      <c r="AI509" s="19" t="n">
        <v>7.5</v>
      </c>
      <c r="AJ509" s="19" t="n">
        <v>0</v>
      </c>
      <c r="AK509" s="19" t="n">
        <v>0</v>
      </c>
      <c r="AL509" s="19" t="n">
        <v>0</v>
      </c>
      <c r="AM509" s="9" t="n">
        <v>0</v>
      </c>
      <c r="AN509" s="19" t="n">
        <v>0</v>
      </c>
      <c r="AO509" s="19" t="n">
        <v>0</v>
      </c>
      <c r="AP509" s="19" t="n">
        <v>0</v>
      </c>
      <c r="AQ509" s="19" t="n">
        <v>0</v>
      </c>
      <c r="AR509" s="19" t="n">
        <v>0</v>
      </c>
      <c r="AS509" s="19" t="n">
        <v>0</v>
      </c>
      <c r="AT509" s="10">
        <f>SUM(O509:AS509)</f>
        <v/>
      </c>
      <c r="AU509" s="20">
        <f>COUNTIF(O509:AS509, "&gt;0")</f>
        <v/>
      </c>
      <c r="AV509" s="12">
        <f>IF(AU509&gt;=5, 4, IF(AU509&gt;0, INT(AU509/6), 0))</f>
        <v/>
      </c>
      <c r="AW509" s="20" t="n">
        <v>0</v>
      </c>
      <c r="AX509" s="20" t="n">
        <v>0</v>
      </c>
      <c r="AY509" s="13">
        <f>MIN(31, AU509+AV509+AW509+AX509)</f>
        <v/>
      </c>
      <c r="AZ509" s="14">
        <f>31-AY509</f>
        <v/>
      </c>
      <c r="BA509" s="21">
        <f>IF(AX509&gt;0, "01-İstirahat", IF(AZ509&gt;0, "12-Birden Fazla", ""))</f>
        <v/>
      </c>
      <c r="BB509" s="10" t="n">
        <v>6</v>
      </c>
      <c r="BC509" s="19" t="n">
        <v>0</v>
      </c>
      <c r="BD509" s="9" t="n">
        <v>0</v>
      </c>
      <c r="BE509" s="22">
        <f>(L509/30)*AU509</f>
        <v/>
      </c>
      <c r="BF509" s="15">
        <f>(L509/225)*((BB509*1.5)-(BC509*1.0))</f>
        <v/>
      </c>
      <c r="BG509" s="16">
        <f>(L509/225)*1.5*BD509</f>
        <v/>
      </c>
      <c r="BH509" s="15">
        <f>BF509+BG509</f>
        <v/>
      </c>
      <c r="BI509" s="17">
        <f>BE509+BH509</f>
        <v/>
      </c>
      <c r="BJ509" s="22">
        <f>IFERROR(VLOOKUP(B509, Resmi_Bordro_SGK!B:M, 11, FALSE), 0)</f>
        <v/>
      </c>
      <c r="BK509" s="18">
        <f>IFERROR(VLOOKUP(B509, Icra_Takip!A:E, 4, FALSE), 0)</f>
        <v/>
      </c>
      <c r="BL509" s="17">
        <f>IF(BI509&gt;BJ509, BI509-BJ509-BK509, 0)</f>
        <v/>
      </c>
      <c r="BM509" s="17">
        <f>BI509-BK509</f>
        <v/>
      </c>
    </row>
    <row r="510" ht="19" customHeight="1">
      <c r="A510" s="4" t="n">
        <v>507</v>
      </c>
      <c r="B510" s="5" t="inlineStr">
        <is>
          <t>01530</t>
        </is>
      </c>
      <c r="C510" s="6" t="inlineStr">
        <is>
          <t>EFE CANBAZ</t>
        </is>
      </c>
      <c r="D510" s="4" t="inlineStr"/>
      <c r="E510" s="4" t="inlineStr"/>
      <c r="F510" s="4" t="inlineStr"/>
      <c r="G510" s="4" t="inlineStr"/>
      <c r="H510" s="4" t="inlineStr">
        <is>
          <t>NORMAL</t>
        </is>
      </c>
      <c r="I510" s="4" t="inlineStr">
        <is>
          <t>MEVSİMLİK</t>
        </is>
      </c>
      <c r="J510" s="6" t="inlineStr">
        <is>
          <t>DİĞER</t>
        </is>
      </c>
      <c r="K510" s="6" t="inlineStr"/>
      <c r="L510" s="7" t="n">
        <v>0</v>
      </c>
      <c r="M510" s="4" t="inlineStr">
        <is>
          <t>FİDE KONSERVE</t>
        </is>
      </c>
      <c r="N510" s="4" t="inlineStr">
        <is>
          <t>ALIR</t>
        </is>
      </c>
      <c r="O510" s="8" t="n">
        <v>0</v>
      </c>
      <c r="P510" s="8" t="n">
        <v>0</v>
      </c>
      <c r="Q510" s="8" t="n">
        <v>0</v>
      </c>
      <c r="R510" s="9" t="n">
        <v>0</v>
      </c>
      <c r="S510" s="8" t="n">
        <v>0</v>
      </c>
      <c r="T510" s="8" t="n">
        <v>0</v>
      </c>
      <c r="U510" s="8" t="n">
        <v>0</v>
      </c>
      <c r="V510" s="23" t="n">
        <v>10.5</v>
      </c>
      <c r="W510" s="8" t="n">
        <v>0</v>
      </c>
      <c r="X510" s="8" t="n">
        <v>10.5</v>
      </c>
      <c r="Y510" s="9" t="n">
        <v>10.5</v>
      </c>
      <c r="Z510" s="8" t="n">
        <v>0</v>
      </c>
      <c r="AA510" s="8" t="n">
        <v>10.5</v>
      </c>
      <c r="AB510" s="8" t="n">
        <v>10.5</v>
      </c>
      <c r="AC510" s="8" t="n">
        <v>5</v>
      </c>
      <c r="AD510" s="8" t="n">
        <v>0</v>
      </c>
      <c r="AE510" s="8" t="n">
        <v>0</v>
      </c>
      <c r="AF510" s="9" t="n">
        <v>0</v>
      </c>
      <c r="AG510" s="8" t="n">
        <v>10.5</v>
      </c>
      <c r="AH510" s="8" t="n">
        <v>0</v>
      </c>
      <c r="AI510" s="8" t="n">
        <v>0</v>
      </c>
      <c r="AJ510" s="8" t="n">
        <v>0</v>
      </c>
      <c r="AK510" s="8" t="n">
        <v>0</v>
      </c>
      <c r="AL510" s="8" t="n">
        <v>0</v>
      </c>
      <c r="AM510" s="9" t="n">
        <v>0</v>
      </c>
      <c r="AN510" s="8" t="n">
        <v>0</v>
      </c>
      <c r="AO510" s="8" t="n">
        <v>0</v>
      </c>
      <c r="AP510" s="8" t="n">
        <v>0</v>
      </c>
      <c r="AQ510" s="8" t="n">
        <v>0</v>
      </c>
      <c r="AR510" s="8" t="n">
        <v>0</v>
      </c>
      <c r="AS510" s="8" t="n">
        <v>0</v>
      </c>
      <c r="AT510" s="10">
        <f>SUM(O510:AS510)</f>
        <v/>
      </c>
      <c r="AU510" s="11">
        <f>COUNTIF(O510:AS510, "&gt;0")</f>
        <v/>
      </c>
      <c r="AV510" s="12">
        <f>IF(AU510&gt;=5, 4, IF(AU510&gt;0, INT(AU510/6), 0))</f>
        <v/>
      </c>
      <c r="AW510" s="11" t="n">
        <v>0</v>
      </c>
      <c r="AX510" s="11" t="n">
        <v>0</v>
      </c>
      <c r="AY510" s="13">
        <f>MIN(31, AU510+AV510+AW510+AX510)</f>
        <v/>
      </c>
      <c r="AZ510" s="14">
        <f>31-AY510</f>
        <v/>
      </c>
      <c r="BA510" s="5">
        <f>IF(AX510&gt;0, "01-İstirahat", IF(AZ510&gt;0, "12-Birden Fazla", ""))</f>
        <v/>
      </c>
      <c r="BB510" s="10" t="n">
        <v>15</v>
      </c>
      <c r="BC510" s="23" t="n">
        <v>2.5</v>
      </c>
      <c r="BD510" s="9" t="n">
        <v>10.5</v>
      </c>
      <c r="BE510" s="7">
        <f>(L510/30)*AU510</f>
        <v/>
      </c>
      <c r="BF510" s="15">
        <f>(L510/225)*((BB510*1.5)-(BC510*1.0))</f>
        <v/>
      </c>
      <c r="BG510" s="16">
        <f>(L510/225)*1.5*BD510</f>
        <v/>
      </c>
      <c r="BH510" s="15">
        <f>BF510+BG510</f>
        <v/>
      </c>
      <c r="BI510" s="17">
        <f>BE510+BH510</f>
        <v/>
      </c>
      <c r="BJ510" s="7">
        <f>IFERROR(VLOOKUP(B510, Resmi_Bordro_SGK!B:M, 11, FALSE), 0)</f>
        <v/>
      </c>
      <c r="BK510" s="18">
        <f>IFERROR(VLOOKUP(B510, Icra_Takip!A:E, 4, FALSE), 0)</f>
        <v/>
      </c>
      <c r="BL510" s="17">
        <f>IF(BI510&gt;BJ510, BI510-BJ510-BK510, 0)</f>
        <v/>
      </c>
      <c r="BM510" s="17">
        <f>BI510-BK510</f>
        <v/>
      </c>
    </row>
    <row r="511" ht="19" customHeight="1">
      <c r="A511" s="4" t="n">
        <v>508</v>
      </c>
      <c r="B511" s="5" t="inlineStr">
        <is>
          <t>01531</t>
        </is>
      </c>
      <c r="C511" s="6" t="inlineStr">
        <is>
          <t>ELİF BARUT</t>
        </is>
      </c>
      <c r="D511" s="4" t="inlineStr"/>
      <c r="E511" s="4" t="inlineStr"/>
      <c r="F511" s="4" t="inlineStr"/>
      <c r="G511" s="4" t="inlineStr"/>
      <c r="H511" s="4" t="inlineStr">
        <is>
          <t>NORMAL</t>
        </is>
      </c>
      <c r="I511" s="4" t="inlineStr">
        <is>
          <t>MEVSİMLİK</t>
        </is>
      </c>
      <c r="J511" s="6" t="inlineStr">
        <is>
          <t>DİĞER</t>
        </is>
      </c>
      <c r="K511" s="6" t="inlineStr"/>
      <c r="L511" s="7" t="n">
        <v>0</v>
      </c>
      <c r="M511" s="4" t="inlineStr">
        <is>
          <t>FİDE KONSERVE</t>
        </is>
      </c>
      <c r="N511" s="4" t="inlineStr">
        <is>
          <t>ALIR</t>
        </is>
      </c>
      <c r="O511" s="19" t="n">
        <v>0</v>
      </c>
      <c r="P511" s="19" t="n">
        <v>0</v>
      </c>
      <c r="Q511" s="19" t="n">
        <v>0</v>
      </c>
      <c r="R511" s="9" t="n">
        <v>0</v>
      </c>
      <c r="S511" s="19" t="n">
        <v>0</v>
      </c>
      <c r="T511" s="19" t="n">
        <v>0</v>
      </c>
      <c r="U511" s="19" t="n">
        <v>0</v>
      </c>
      <c r="V511" s="19" t="n">
        <v>10.5</v>
      </c>
      <c r="W511" s="19" t="n">
        <v>0</v>
      </c>
      <c r="X511" s="19" t="n">
        <v>10.5</v>
      </c>
      <c r="Y511" s="9" t="n">
        <v>0</v>
      </c>
      <c r="Z511" s="19" t="n">
        <v>0</v>
      </c>
      <c r="AA511" s="19" t="n">
        <v>0</v>
      </c>
      <c r="AB511" s="19" t="n">
        <v>0</v>
      </c>
      <c r="AC511" s="19" t="n">
        <v>0</v>
      </c>
      <c r="AD511" s="19" t="n">
        <v>0</v>
      </c>
      <c r="AE511" s="19" t="n">
        <v>0</v>
      </c>
      <c r="AF511" s="9" t="n">
        <v>0</v>
      </c>
      <c r="AG511" s="19" t="n">
        <v>0</v>
      </c>
      <c r="AH511" s="19" t="n">
        <v>0</v>
      </c>
      <c r="AI511" s="19" t="n">
        <v>0</v>
      </c>
      <c r="AJ511" s="19" t="n">
        <v>0</v>
      </c>
      <c r="AK511" s="19" t="n">
        <v>0</v>
      </c>
      <c r="AL511" s="19" t="n">
        <v>0</v>
      </c>
      <c r="AM511" s="9" t="n">
        <v>0</v>
      </c>
      <c r="AN511" s="19" t="n">
        <v>0</v>
      </c>
      <c r="AO511" s="19" t="n">
        <v>0</v>
      </c>
      <c r="AP511" s="19" t="n">
        <v>0</v>
      </c>
      <c r="AQ511" s="19" t="n">
        <v>0</v>
      </c>
      <c r="AR511" s="19" t="n">
        <v>0</v>
      </c>
      <c r="AS511" s="19" t="n">
        <v>0</v>
      </c>
      <c r="AT511" s="10">
        <f>SUM(O511:AS511)</f>
        <v/>
      </c>
      <c r="AU511" s="20">
        <f>COUNTIF(O511:AS511, "&gt;0")</f>
        <v/>
      </c>
      <c r="AV511" s="12">
        <f>IF(AU511&gt;=5, 4, IF(AU511&gt;0, INT(AU511/6), 0))</f>
        <v/>
      </c>
      <c r="AW511" s="20" t="n">
        <v>0</v>
      </c>
      <c r="AX511" s="20" t="n">
        <v>0</v>
      </c>
      <c r="AY511" s="13">
        <f>MIN(31, AU511+AV511+AW511+AX511)</f>
        <v/>
      </c>
      <c r="AZ511" s="14">
        <f>31-AY511</f>
        <v/>
      </c>
      <c r="BA511" s="21">
        <f>IF(AX511&gt;0, "01-İstirahat", IF(AZ511&gt;0, "12-Birden Fazla", ""))</f>
        <v/>
      </c>
      <c r="BB511" s="10" t="n">
        <v>6</v>
      </c>
      <c r="BC511" s="19" t="n">
        <v>0</v>
      </c>
      <c r="BD511" s="9" t="n">
        <v>0</v>
      </c>
      <c r="BE511" s="22">
        <f>(L511/30)*AU511</f>
        <v/>
      </c>
      <c r="BF511" s="15">
        <f>(L511/225)*((BB511*1.5)-(BC511*1.0))</f>
        <v/>
      </c>
      <c r="BG511" s="16">
        <f>(L511/225)*1.5*BD511</f>
        <v/>
      </c>
      <c r="BH511" s="15">
        <f>BF511+BG511</f>
        <v/>
      </c>
      <c r="BI511" s="17">
        <f>BE511+BH511</f>
        <v/>
      </c>
      <c r="BJ511" s="22">
        <f>IFERROR(VLOOKUP(B511, Resmi_Bordro_SGK!B:M, 11, FALSE), 0)</f>
        <v/>
      </c>
      <c r="BK511" s="18">
        <f>IFERROR(VLOOKUP(B511, Icra_Takip!A:E, 4, FALSE), 0)</f>
        <v/>
      </c>
      <c r="BL511" s="17">
        <f>IF(BI511&gt;BJ511, BI511-BJ511-BK511, 0)</f>
        <v/>
      </c>
      <c r="BM511" s="17">
        <f>BI511-BK511</f>
        <v/>
      </c>
    </row>
    <row r="512" ht="19" customHeight="1">
      <c r="A512" s="4" t="n">
        <v>509</v>
      </c>
      <c r="B512" s="5" t="inlineStr">
        <is>
          <t>01529</t>
        </is>
      </c>
      <c r="C512" s="6" t="inlineStr">
        <is>
          <t>EMİRHAN GÜNDEN</t>
        </is>
      </c>
      <c r="D512" s="4" t="inlineStr"/>
      <c r="E512" s="4" t="inlineStr"/>
      <c r="F512" s="4" t="inlineStr"/>
      <c r="G512" s="4" t="inlineStr"/>
      <c r="H512" s="4" t="inlineStr">
        <is>
          <t>NORMAL</t>
        </is>
      </c>
      <c r="I512" s="4" t="inlineStr">
        <is>
          <t>MEVSİMLİK</t>
        </is>
      </c>
      <c r="J512" s="6" t="inlineStr">
        <is>
          <t>DİĞER</t>
        </is>
      </c>
      <c r="K512" s="6" t="inlineStr"/>
      <c r="L512" s="7" t="n">
        <v>0</v>
      </c>
      <c r="M512" s="4" t="inlineStr">
        <is>
          <t>FİDE KONSERVE</t>
        </is>
      </c>
      <c r="N512" s="4" t="inlineStr">
        <is>
          <t>ALIR</t>
        </is>
      </c>
      <c r="O512" s="8" t="n">
        <v>0</v>
      </c>
      <c r="P512" s="8" t="n">
        <v>0</v>
      </c>
      <c r="Q512" s="8" t="n">
        <v>0</v>
      </c>
      <c r="R512" s="9" t="n">
        <v>0</v>
      </c>
      <c r="S512" s="8" t="n">
        <v>0</v>
      </c>
      <c r="T512" s="8" t="n">
        <v>0</v>
      </c>
      <c r="U512" s="8" t="n">
        <v>0</v>
      </c>
      <c r="V512" s="23" t="n">
        <v>10.5</v>
      </c>
      <c r="W512" s="8" t="n">
        <v>0</v>
      </c>
      <c r="X512" s="8" t="n">
        <v>10.5</v>
      </c>
      <c r="Y512" s="9" t="n">
        <v>0</v>
      </c>
      <c r="Z512" s="8" t="n">
        <v>0</v>
      </c>
      <c r="AA512" s="8" t="n">
        <v>10.5</v>
      </c>
      <c r="AB512" s="8" t="n">
        <v>10.5</v>
      </c>
      <c r="AC512" s="8" t="n">
        <v>0</v>
      </c>
      <c r="AD512" s="8" t="n">
        <v>0</v>
      </c>
      <c r="AE512" s="8" t="n">
        <v>0</v>
      </c>
      <c r="AF512" s="9" t="n">
        <v>0</v>
      </c>
      <c r="AG512" s="8" t="n">
        <v>0</v>
      </c>
      <c r="AH512" s="8" t="n">
        <v>0</v>
      </c>
      <c r="AI512" s="8" t="n">
        <v>0</v>
      </c>
      <c r="AJ512" s="8" t="n">
        <v>0</v>
      </c>
      <c r="AK512" s="8" t="n">
        <v>0</v>
      </c>
      <c r="AL512" s="8" t="n">
        <v>0</v>
      </c>
      <c r="AM512" s="9" t="n">
        <v>0</v>
      </c>
      <c r="AN512" s="8" t="n">
        <v>0</v>
      </c>
      <c r="AO512" s="8" t="n">
        <v>0</v>
      </c>
      <c r="AP512" s="8" t="n">
        <v>0</v>
      </c>
      <c r="AQ512" s="8" t="n">
        <v>0</v>
      </c>
      <c r="AR512" s="8" t="n">
        <v>0</v>
      </c>
      <c r="AS512" s="8" t="n">
        <v>0</v>
      </c>
      <c r="AT512" s="10">
        <f>SUM(O512:AS512)</f>
        <v/>
      </c>
      <c r="AU512" s="11">
        <f>COUNTIF(O512:AS512, "&gt;0")</f>
        <v/>
      </c>
      <c r="AV512" s="12">
        <f>IF(AU512&gt;=5, 4, IF(AU512&gt;0, INT(AU512/6), 0))</f>
        <v/>
      </c>
      <c r="AW512" s="11" t="n">
        <v>0</v>
      </c>
      <c r="AX512" s="11" t="n">
        <v>0</v>
      </c>
      <c r="AY512" s="13">
        <f>MIN(31, AU512+AV512+AW512+AX512)</f>
        <v/>
      </c>
      <c r="AZ512" s="14">
        <f>31-AY512</f>
        <v/>
      </c>
      <c r="BA512" s="5">
        <f>IF(AX512&gt;0, "01-İstirahat", IF(AZ512&gt;0, "12-Birden Fazla", ""))</f>
        <v/>
      </c>
      <c r="BB512" s="10" t="n">
        <v>12</v>
      </c>
      <c r="BC512" s="8" t="n">
        <v>0</v>
      </c>
      <c r="BD512" s="9" t="n">
        <v>0</v>
      </c>
      <c r="BE512" s="7">
        <f>(L512/30)*AU512</f>
        <v/>
      </c>
      <c r="BF512" s="15">
        <f>(L512/225)*((BB512*1.5)-(BC512*1.0))</f>
        <v/>
      </c>
      <c r="BG512" s="16">
        <f>(L512/225)*1.5*BD512</f>
        <v/>
      </c>
      <c r="BH512" s="15">
        <f>BF512+BG512</f>
        <v/>
      </c>
      <c r="BI512" s="17">
        <f>BE512+BH512</f>
        <v/>
      </c>
      <c r="BJ512" s="7">
        <f>IFERROR(VLOOKUP(B512, Resmi_Bordro_SGK!B:M, 11, FALSE), 0)</f>
        <v/>
      </c>
      <c r="BK512" s="18">
        <f>IFERROR(VLOOKUP(B512, Icra_Takip!A:E, 4, FALSE), 0)</f>
        <v/>
      </c>
      <c r="BL512" s="17">
        <f>IF(BI512&gt;BJ512, BI512-BJ512-BK512, 0)</f>
        <v/>
      </c>
      <c r="BM512" s="17">
        <f>BI512-BK512</f>
        <v/>
      </c>
    </row>
    <row r="513" ht="19" customHeight="1">
      <c r="A513" s="4" t="n">
        <v>510</v>
      </c>
      <c r="B513" s="5" t="inlineStr">
        <is>
          <t>01482</t>
        </is>
      </c>
      <c r="C513" s="6" t="inlineStr">
        <is>
          <t>EMRAH ÇÜVEN</t>
        </is>
      </c>
      <c r="D513" s="4" t="inlineStr"/>
      <c r="E513" s="4" t="inlineStr"/>
      <c r="F513" s="4" t="inlineStr"/>
      <c r="G513" s="4" t="inlineStr"/>
      <c r="H513" s="4" t="inlineStr">
        <is>
          <t>NORMAL</t>
        </is>
      </c>
      <c r="I513" s="4" t="inlineStr">
        <is>
          <t>MEVSİMLİK</t>
        </is>
      </c>
      <c r="J513" s="6" t="inlineStr">
        <is>
          <t>DİĞER</t>
        </is>
      </c>
      <c r="K513" s="6" t="inlineStr"/>
      <c r="L513" s="7" t="n">
        <v>0</v>
      </c>
      <c r="M513" s="4" t="inlineStr">
        <is>
          <t>FİDE KONSERVE</t>
        </is>
      </c>
      <c r="N513" s="4" t="inlineStr">
        <is>
          <t>ALIR</t>
        </is>
      </c>
      <c r="O513" s="19" t="n">
        <v>0</v>
      </c>
      <c r="P513" s="19" t="n">
        <v>0</v>
      </c>
      <c r="Q513" s="19" t="n">
        <v>10.5</v>
      </c>
      <c r="R513" s="9" t="n">
        <v>0</v>
      </c>
      <c r="S513" s="19" t="n">
        <v>10.5</v>
      </c>
      <c r="T513" s="19" t="n">
        <v>10.5</v>
      </c>
      <c r="U513" s="19" t="n">
        <v>10.5</v>
      </c>
      <c r="V513" s="19" t="n">
        <v>10.5</v>
      </c>
      <c r="W513" s="19" t="n">
        <v>10.5</v>
      </c>
      <c r="X513" s="19" t="n">
        <v>10.5</v>
      </c>
      <c r="Y513" s="9" t="n">
        <v>0</v>
      </c>
      <c r="Z513" s="19" t="n">
        <v>10.5</v>
      </c>
      <c r="AA513" s="19" t="n">
        <v>10.5</v>
      </c>
      <c r="AB513" s="19" t="n">
        <v>10.5</v>
      </c>
      <c r="AC513" s="19" t="n">
        <v>10.5</v>
      </c>
      <c r="AD513" s="19" t="n">
        <v>0</v>
      </c>
      <c r="AE513" s="19" t="n">
        <v>0</v>
      </c>
      <c r="AF513" s="9" t="n">
        <v>0</v>
      </c>
      <c r="AG513" s="19" t="n">
        <v>0</v>
      </c>
      <c r="AH513" s="19" t="n">
        <v>0</v>
      </c>
      <c r="AI513" s="19" t="n">
        <v>0</v>
      </c>
      <c r="AJ513" s="19" t="n">
        <v>0</v>
      </c>
      <c r="AK513" s="19" t="n">
        <v>0</v>
      </c>
      <c r="AL513" s="19" t="n">
        <v>0</v>
      </c>
      <c r="AM513" s="9" t="n">
        <v>0</v>
      </c>
      <c r="AN513" s="19" t="n">
        <v>0</v>
      </c>
      <c r="AO513" s="19" t="n">
        <v>0</v>
      </c>
      <c r="AP513" s="19" t="n">
        <v>0</v>
      </c>
      <c r="AQ513" s="19" t="n">
        <v>0</v>
      </c>
      <c r="AR513" s="19" t="n">
        <v>0</v>
      </c>
      <c r="AS513" s="19" t="n">
        <v>0</v>
      </c>
      <c r="AT513" s="10">
        <f>SUM(O513:AS513)</f>
        <v/>
      </c>
      <c r="AU513" s="20">
        <f>COUNTIF(O513:AS513, "&gt;0")</f>
        <v/>
      </c>
      <c r="AV513" s="12">
        <f>IF(AU513&gt;=5, 4, IF(AU513&gt;0, INT(AU513/6), 0))</f>
        <v/>
      </c>
      <c r="AW513" s="20" t="n">
        <v>0</v>
      </c>
      <c r="AX513" s="20" t="n">
        <v>0</v>
      </c>
      <c r="AY513" s="13">
        <f>MIN(31, AU513+AV513+AW513+AX513)</f>
        <v/>
      </c>
      <c r="AZ513" s="14">
        <f>31-AY513</f>
        <v/>
      </c>
      <c r="BA513" s="21">
        <f>IF(AX513&gt;0, "01-İstirahat", IF(AZ513&gt;0, "12-Birden Fazla", ""))</f>
        <v/>
      </c>
      <c r="BB513" s="10" t="n">
        <v>33</v>
      </c>
      <c r="BC513" s="19" t="n">
        <v>0</v>
      </c>
      <c r="BD513" s="9" t="n">
        <v>0</v>
      </c>
      <c r="BE513" s="22">
        <f>(L513/30)*AU513</f>
        <v/>
      </c>
      <c r="BF513" s="15">
        <f>(L513/225)*((BB513*1.5)-(BC513*1.0))</f>
        <v/>
      </c>
      <c r="BG513" s="16">
        <f>(L513/225)*1.5*BD513</f>
        <v/>
      </c>
      <c r="BH513" s="15">
        <f>BF513+BG513</f>
        <v/>
      </c>
      <c r="BI513" s="17">
        <f>BE513+BH513</f>
        <v/>
      </c>
      <c r="BJ513" s="22">
        <f>IFERROR(VLOOKUP(B513, Resmi_Bordro_SGK!B:M, 11, FALSE), 0)</f>
        <v/>
      </c>
      <c r="BK513" s="18">
        <f>IFERROR(VLOOKUP(B513, Icra_Takip!A:E, 4, FALSE), 0)</f>
        <v/>
      </c>
      <c r="BL513" s="17">
        <f>IF(BI513&gt;BJ513, BI513-BJ513-BK513, 0)</f>
        <v/>
      </c>
      <c r="BM513" s="17">
        <f>BI513-BK513</f>
        <v/>
      </c>
    </row>
    <row r="514" ht="19" customHeight="1">
      <c r="A514" s="4" t="n">
        <v>511</v>
      </c>
      <c r="B514" s="5" t="inlineStr">
        <is>
          <t>01403</t>
        </is>
      </c>
      <c r="C514" s="6" t="inlineStr">
        <is>
          <t>EMRE CAN ÇAKAR</t>
        </is>
      </c>
      <c r="D514" s="4" t="inlineStr"/>
      <c r="E514" s="4" t="inlineStr"/>
      <c r="F514" s="4" t="inlineStr"/>
      <c r="G514" s="4" t="inlineStr"/>
      <c r="H514" s="4" t="inlineStr">
        <is>
          <t>NORMAL</t>
        </is>
      </c>
      <c r="I514" s="4" t="inlineStr">
        <is>
          <t>MEVSİMLİK</t>
        </is>
      </c>
      <c r="J514" s="6" t="inlineStr">
        <is>
          <t>DİĞER</t>
        </is>
      </c>
      <c r="K514" s="6" t="inlineStr"/>
      <c r="L514" s="7" t="n">
        <v>0</v>
      </c>
      <c r="M514" s="4" t="inlineStr">
        <is>
          <t>FİDE KONSERVE</t>
        </is>
      </c>
      <c r="N514" s="4" t="inlineStr">
        <is>
          <t>ALIR</t>
        </is>
      </c>
      <c r="O514" s="8" t="n">
        <v>0</v>
      </c>
      <c r="P514" s="23" t="n">
        <v>7.5</v>
      </c>
      <c r="Q514" s="8" t="n">
        <v>0</v>
      </c>
      <c r="R514" s="9" t="n">
        <v>0</v>
      </c>
      <c r="S514" s="23" t="n">
        <v>7.5</v>
      </c>
      <c r="T514" s="23" t="n">
        <v>7.5</v>
      </c>
      <c r="U514" s="23" t="n">
        <v>22.5</v>
      </c>
      <c r="V514" s="23" t="n">
        <v>22.5</v>
      </c>
      <c r="W514" s="23" t="n">
        <v>10.5</v>
      </c>
      <c r="X514" s="23" t="n">
        <v>7.5</v>
      </c>
      <c r="Y514" s="9" t="n">
        <v>0</v>
      </c>
      <c r="Z514" s="8" t="n">
        <v>10.5</v>
      </c>
      <c r="AA514" s="23" t="n">
        <v>7.5</v>
      </c>
      <c r="AB514" s="8" t="n">
        <v>0</v>
      </c>
      <c r="AC514" s="23" t="n">
        <v>7.5</v>
      </c>
      <c r="AD514" s="23" t="n">
        <v>7</v>
      </c>
      <c r="AE514" s="23" t="n">
        <v>7.5</v>
      </c>
      <c r="AF514" s="9" t="n">
        <v>10.5</v>
      </c>
      <c r="AG514" s="23" t="n">
        <v>1</v>
      </c>
      <c r="AH514" s="8" t="n">
        <v>0</v>
      </c>
      <c r="AI514" s="8" t="n">
        <v>0</v>
      </c>
      <c r="AJ514" s="8" t="n">
        <v>0</v>
      </c>
      <c r="AK514" s="8" t="n">
        <v>0</v>
      </c>
      <c r="AL514" s="8" t="n">
        <v>0</v>
      </c>
      <c r="AM514" s="9" t="n">
        <v>0</v>
      </c>
      <c r="AN514" s="8" t="n">
        <v>0</v>
      </c>
      <c r="AO514" s="8" t="n">
        <v>0</v>
      </c>
      <c r="AP514" s="8" t="n">
        <v>0</v>
      </c>
      <c r="AQ514" s="8" t="n">
        <v>0</v>
      </c>
      <c r="AR514" s="8" t="n">
        <v>0</v>
      </c>
      <c r="AS514" s="8" t="n">
        <v>0</v>
      </c>
      <c r="AT514" s="10">
        <f>SUM(O514:AS514)</f>
        <v/>
      </c>
      <c r="AU514" s="11">
        <f>COUNTIF(O514:AS514, "&gt;0")</f>
        <v/>
      </c>
      <c r="AV514" s="12">
        <f>IF(AU514&gt;=5, 4, IF(AU514&gt;0, INT(AU514/6), 0))</f>
        <v/>
      </c>
      <c r="AW514" s="11" t="n">
        <v>0</v>
      </c>
      <c r="AX514" s="11" t="n">
        <v>0</v>
      </c>
      <c r="AY514" s="13">
        <f>MIN(31, AU514+AV514+AW514+AX514)</f>
        <v/>
      </c>
      <c r="AZ514" s="14">
        <f>31-AY514</f>
        <v/>
      </c>
      <c r="BA514" s="5">
        <f>IF(AX514&gt;0, "01-İstirahat", IF(AZ514&gt;0, "12-Birden Fazla", ""))</f>
        <v/>
      </c>
      <c r="BB514" s="10" t="n">
        <v>36</v>
      </c>
      <c r="BC514" s="23" t="n">
        <v>7</v>
      </c>
      <c r="BD514" s="9" t="n">
        <v>10.5</v>
      </c>
      <c r="BE514" s="7">
        <f>(L514/30)*AU514</f>
        <v/>
      </c>
      <c r="BF514" s="15">
        <f>(L514/225)*((BB514*1.5)-(BC514*1.0))</f>
        <v/>
      </c>
      <c r="BG514" s="16">
        <f>(L514/225)*1.5*BD514</f>
        <v/>
      </c>
      <c r="BH514" s="15">
        <f>BF514+BG514</f>
        <v/>
      </c>
      <c r="BI514" s="17">
        <f>BE514+BH514</f>
        <v/>
      </c>
      <c r="BJ514" s="7">
        <f>IFERROR(VLOOKUP(B514, Resmi_Bordro_SGK!B:M, 11, FALSE), 0)</f>
        <v/>
      </c>
      <c r="BK514" s="18">
        <f>IFERROR(VLOOKUP(B514, Icra_Takip!A:E, 4, FALSE), 0)</f>
        <v/>
      </c>
      <c r="BL514" s="17">
        <f>IF(BI514&gt;BJ514, BI514-BJ514-BK514, 0)</f>
        <v/>
      </c>
      <c r="BM514" s="17">
        <f>BI514-BK514</f>
        <v/>
      </c>
    </row>
    <row r="515" ht="19" customHeight="1">
      <c r="A515" s="4" t="n">
        <v>512</v>
      </c>
      <c r="B515" s="5" t="inlineStr">
        <is>
          <t>01406</t>
        </is>
      </c>
      <c r="C515" s="6" t="inlineStr">
        <is>
          <t>ENES ALKAN</t>
        </is>
      </c>
      <c r="D515" s="4" t="inlineStr"/>
      <c r="E515" s="4" t="inlineStr"/>
      <c r="F515" s="4" t="inlineStr"/>
      <c r="G515" s="4" t="inlineStr"/>
      <c r="H515" s="4" t="inlineStr">
        <is>
          <t>NORMAL</t>
        </is>
      </c>
      <c r="I515" s="4" t="inlineStr">
        <is>
          <t>MEVSİMLİK</t>
        </is>
      </c>
      <c r="J515" s="6" t="inlineStr">
        <is>
          <t>DİĞER</t>
        </is>
      </c>
      <c r="K515" s="6" t="inlineStr"/>
      <c r="L515" s="7" t="n">
        <v>0</v>
      </c>
      <c r="M515" s="4" t="inlineStr">
        <is>
          <t>FİDE KONSERVE</t>
        </is>
      </c>
      <c r="N515" s="4" t="inlineStr">
        <is>
          <t>ALIR</t>
        </is>
      </c>
      <c r="O515" s="19" t="n">
        <v>0</v>
      </c>
      <c r="P515" s="23" t="n">
        <v>7.5</v>
      </c>
      <c r="Q515" s="23" t="n">
        <v>7.5</v>
      </c>
      <c r="R515" s="9" t="n">
        <v>0</v>
      </c>
      <c r="S515" s="23" t="n">
        <v>7.5</v>
      </c>
      <c r="T515" s="23" t="n">
        <v>7.5</v>
      </c>
      <c r="U515" s="23" t="n">
        <v>7.5</v>
      </c>
      <c r="V515" s="19" t="n">
        <v>0</v>
      </c>
      <c r="W515" s="23" t="n">
        <v>7.5</v>
      </c>
      <c r="X515" s="23" t="n">
        <v>7.5</v>
      </c>
      <c r="Y515" s="9" t="n">
        <v>0</v>
      </c>
      <c r="Z515" s="23" t="n">
        <v>7.5</v>
      </c>
      <c r="AA515" s="23" t="n">
        <v>7.5</v>
      </c>
      <c r="AB515" s="19" t="n">
        <v>0</v>
      </c>
      <c r="AC515" s="23" t="n">
        <v>7.5</v>
      </c>
      <c r="AD515" s="23" t="n">
        <v>7.5</v>
      </c>
      <c r="AE515" s="23" t="n">
        <v>7.5</v>
      </c>
      <c r="AF515" s="9" t="n">
        <v>7.5</v>
      </c>
      <c r="AG515" s="23" t="n">
        <v>7.5</v>
      </c>
      <c r="AH515" s="19" t="n">
        <v>0</v>
      </c>
      <c r="AI515" s="19" t="n">
        <v>0</v>
      </c>
      <c r="AJ515" s="19" t="n">
        <v>0</v>
      </c>
      <c r="AK515" s="19" t="n">
        <v>0</v>
      </c>
      <c r="AL515" s="19" t="n">
        <v>0</v>
      </c>
      <c r="AM515" s="9" t="n">
        <v>0</v>
      </c>
      <c r="AN515" s="19" t="n">
        <v>0</v>
      </c>
      <c r="AO515" s="19" t="n">
        <v>0</v>
      </c>
      <c r="AP515" s="19" t="n">
        <v>0</v>
      </c>
      <c r="AQ515" s="19" t="n">
        <v>0</v>
      </c>
      <c r="AR515" s="19" t="n">
        <v>0</v>
      </c>
      <c r="AS515" s="19" t="n">
        <v>0</v>
      </c>
      <c r="AT515" s="10">
        <f>SUM(O515:AS515)</f>
        <v/>
      </c>
      <c r="AU515" s="20">
        <f>COUNTIF(O515:AS515, "&gt;0")</f>
        <v/>
      </c>
      <c r="AV515" s="12">
        <f>IF(AU515&gt;=5, 4, IF(AU515&gt;0, INT(AU515/6), 0))</f>
        <v/>
      </c>
      <c r="AW515" s="20" t="n">
        <v>0</v>
      </c>
      <c r="AX515" s="20" t="n">
        <v>0</v>
      </c>
      <c r="AY515" s="13">
        <f>MIN(31, AU515+AV515+AW515+AX515)</f>
        <v/>
      </c>
      <c r="AZ515" s="14">
        <f>31-AY515</f>
        <v/>
      </c>
      <c r="BA515" s="21">
        <f>IF(AX515&gt;0, "01-İstirahat", IF(AZ515&gt;0, "12-Birden Fazla", ""))</f>
        <v/>
      </c>
      <c r="BB515" s="10" t="n">
        <v>0</v>
      </c>
      <c r="BC515" s="19" t="n">
        <v>0</v>
      </c>
      <c r="BD515" s="9" t="n">
        <v>7.5</v>
      </c>
      <c r="BE515" s="22">
        <f>(L515/30)*AU515</f>
        <v/>
      </c>
      <c r="BF515" s="15">
        <f>(L515/225)*((BB515*1.5)-(BC515*1.0))</f>
        <v/>
      </c>
      <c r="BG515" s="16">
        <f>(L515/225)*1.5*BD515</f>
        <v/>
      </c>
      <c r="BH515" s="15">
        <f>BF515+BG515</f>
        <v/>
      </c>
      <c r="BI515" s="17">
        <f>BE515+BH515</f>
        <v/>
      </c>
      <c r="BJ515" s="22">
        <f>IFERROR(VLOOKUP(B515, Resmi_Bordro_SGK!B:M, 11, FALSE), 0)</f>
        <v/>
      </c>
      <c r="BK515" s="18">
        <f>IFERROR(VLOOKUP(B515, Icra_Takip!A:E, 4, FALSE), 0)</f>
        <v/>
      </c>
      <c r="BL515" s="17">
        <f>IF(BI515&gt;BJ515, BI515-BJ515-BK515, 0)</f>
        <v/>
      </c>
      <c r="BM515" s="17">
        <f>BI515-BK515</f>
        <v/>
      </c>
    </row>
    <row r="516" ht="19" customHeight="1">
      <c r="A516" s="4" t="n">
        <v>513</v>
      </c>
      <c r="B516" s="5" t="inlineStr">
        <is>
          <t>01407</t>
        </is>
      </c>
      <c r="C516" s="6" t="inlineStr">
        <is>
          <t>ENİFE MENTEŞ</t>
        </is>
      </c>
      <c r="D516" s="4" t="inlineStr"/>
      <c r="E516" s="4" t="inlineStr"/>
      <c r="F516" s="4" t="inlineStr"/>
      <c r="G516" s="4" t="inlineStr"/>
      <c r="H516" s="4" t="inlineStr">
        <is>
          <t>NORMAL</t>
        </is>
      </c>
      <c r="I516" s="4" t="inlineStr">
        <is>
          <t>MEVSİMLİK</t>
        </is>
      </c>
      <c r="J516" s="6" t="inlineStr">
        <is>
          <t>DİĞER</t>
        </is>
      </c>
      <c r="K516" s="6" t="inlineStr"/>
      <c r="L516" s="7" t="n">
        <v>0</v>
      </c>
      <c r="M516" s="4" t="inlineStr">
        <is>
          <t>FİDE KONSERVE</t>
        </is>
      </c>
      <c r="N516" s="4" t="inlineStr">
        <is>
          <t>ALIR</t>
        </is>
      </c>
      <c r="O516" s="8" t="n">
        <v>0</v>
      </c>
      <c r="P516" s="23" t="n">
        <v>10.5</v>
      </c>
      <c r="Q516" s="8" t="n">
        <v>10.5</v>
      </c>
      <c r="R516" s="9" t="n">
        <v>10.5</v>
      </c>
      <c r="S516" s="8" t="n">
        <v>0</v>
      </c>
      <c r="T516" s="8" t="n">
        <v>10.5</v>
      </c>
      <c r="U516" s="8" t="n">
        <v>10.5</v>
      </c>
      <c r="V516" s="8" t="n">
        <v>10.5</v>
      </c>
      <c r="W516" s="8" t="n">
        <v>10.5</v>
      </c>
      <c r="X516" s="8" t="n">
        <v>10.5</v>
      </c>
      <c r="Y516" s="9" t="n">
        <v>10.5</v>
      </c>
      <c r="Z516" s="8" t="n">
        <v>0</v>
      </c>
      <c r="AA516" s="8" t="n">
        <v>10.5</v>
      </c>
      <c r="AB516" s="8" t="n">
        <v>10.5</v>
      </c>
      <c r="AC516" s="8" t="n">
        <v>10.5</v>
      </c>
      <c r="AD516" s="8" t="n">
        <v>0</v>
      </c>
      <c r="AE516" s="8" t="n">
        <v>0</v>
      </c>
      <c r="AF516" s="9" t="n">
        <v>10.5</v>
      </c>
      <c r="AG516" s="8" t="n">
        <v>10.5</v>
      </c>
      <c r="AH516" s="8" t="n">
        <v>0</v>
      </c>
      <c r="AI516" s="8" t="n">
        <v>0</v>
      </c>
      <c r="AJ516" s="8" t="n">
        <v>0</v>
      </c>
      <c r="AK516" s="8" t="n">
        <v>0</v>
      </c>
      <c r="AL516" s="8" t="n">
        <v>0</v>
      </c>
      <c r="AM516" s="9" t="n">
        <v>0</v>
      </c>
      <c r="AN516" s="8" t="n">
        <v>0</v>
      </c>
      <c r="AO516" s="8" t="n">
        <v>0</v>
      </c>
      <c r="AP516" s="8" t="n">
        <v>0</v>
      </c>
      <c r="AQ516" s="8" t="n">
        <v>0</v>
      </c>
      <c r="AR516" s="8" t="n">
        <v>0</v>
      </c>
      <c r="AS516" s="8" t="n">
        <v>0</v>
      </c>
      <c r="AT516" s="10">
        <f>SUM(O516:AS516)</f>
        <v/>
      </c>
      <c r="AU516" s="11">
        <f>COUNTIF(O516:AS516, "&gt;0")</f>
        <v/>
      </c>
      <c r="AV516" s="12">
        <f>IF(AU516&gt;=5, 4, IF(AU516&gt;0, INT(AU516/6), 0))</f>
        <v/>
      </c>
      <c r="AW516" s="11" t="n">
        <v>0</v>
      </c>
      <c r="AX516" s="11" t="n">
        <v>0</v>
      </c>
      <c r="AY516" s="13">
        <f>MIN(31, AU516+AV516+AW516+AX516)</f>
        <v/>
      </c>
      <c r="AZ516" s="14">
        <f>31-AY516</f>
        <v/>
      </c>
      <c r="BA516" s="5">
        <f>IF(AX516&gt;0, "01-İstirahat", IF(AZ516&gt;0, "12-Birden Fazla", ""))</f>
        <v/>
      </c>
      <c r="BB516" s="10" t="n">
        <v>33</v>
      </c>
      <c r="BC516" s="8" t="n">
        <v>0</v>
      </c>
      <c r="BD516" s="9" t="n">
        <v>31.5</v>
      </c>
      <c r="BE516" s="7">
        <f>(L516/30)*AU516</f>
        <v/>
      </c>
      <c r="BF516" s="15">
        <f>(L516/225)*((BB516*1.5)-(BC516*1.0))</f>
        <v/>
      </c>
      <c r="BG516" s="16">
        <f>(L516/225)*1.5*BD516</f>
        <v/>
      </c>
      <c r="BH516" s="15">
        <f>BF516+BG516</f>
        <v/>
      </c>
      <c r="BI516" s="17">
        <f>BE516+BH516</f>
        <v/>
      </c>
      <c r="BJ516" s="7">
        <f>IFERROR(VLOOKUP(B516, Resmi_Bordro_SGK!B:M, 11, FALSE), 0)</f>
        <v/>
      </c>
      <c r="BK516" s="18">
        <f>IFERROR(VLOOKUP(B516, Icra_Takip!A:E, 4, FALSE), 0)</f>
        <v/>
      </c>
      <c r="BL516" s="17">
        <f>IF(BI516&gt;BJ516, BI516-BJ516-BK516, 0)</f>
        <v/>
      </c>
      <c r="BM516" s="17">
        <f>BI516-BK516</f>
        <v/>
      </c>
    </row>
    <row r="517" ht="19" customHeight="1">
      <c r="A517" s="4" t="n">
        <v>514</v>
      </c>
      <c r="B517" s="5" t="inlineStr">
        <is>
          <t>01521</t>
        </is>
      </c>
      <c r="C517" s="6" t="inlineStr">
        <is>
          <t>ERDAL MENTEŞ</t>
        </is>
      </c>
      <c r="D517" s="4" t="inlineStr"/>
      <c r="E517" s="4" t="inlineStr"/>
      <c r="F517" s="4" t="inlineStr"/>
      <c r="G517" s="4" t="inlineStr"/>
      <c r="H517" s="4" t="inlineStr">
        <is>
          <t>NORMAL</t>
        </is>
      </c>
      <c r="I517" s="4" t="inlineStr">
        <is>
          <t>MEVSİMLİK</t>
        </is>
      </c>
      <c r="J517" s="6" t="inlineStr">
        <is>
          <t>DİĞER</t>
        </is>
      </c>
      <c r="K517" s="6" t="inlineStr"/>
      <c r="L517" s="7" t="n">
        <v>0</v>
      </c>
      <c r="M517" s="4" t="inlineStr">
        <is>
          <t>FİDE KONSERVE</t>
        </is>
      </c>
      <c r="N517" s="4" t="inlineStr">
        <is>
          <t>ALIR</t>
        </is>
      </c>
      <c r="O517" s="19" t="n">
        <v>0</v>
      </c>
      <c r="P517" s="19" t="n">
        <v>0</v>
      </c>
      <c r="Q517" s="19" t="n">
        <v>0</v>
      </c>
      <c r="R517" s="9" t="n">
        <v>0</v>
      </c>
      <c r="S517" s="19" t="n">
        <v>0</v>
      </c>
      <c r="T517" s="19" t="n">
        <v>0</v>
      </c>
      <c r="U517" s="19" t="n">
        <v>10.5</v>
      </c>
      <c r="V517" s="19" t="n">
        <v>10.5</v>
      </c>
      <c r="W517" s="19" t="n">
        <v>10.5</v>
      </c>
      <c r="X517" s="19" t="n">
        <v>0</v>
      </c>
      <c r="Y517" s="9" t="n">
        <v>10.5</v>
      </c>
      <c r="Z517" s="19" t="n">
        <v>10.5</v>
      </c>
      <c r="AA517" s="19" t="n">
        <v>10.5</v>
      </c>
      <c r="AB517" s="19" t="n">
        <v>10.5</v>
      </c>
      <c r="AC517" s="19" t="n">
        <v>10.5</v>
      </c>
      <c r="AD517" s="19" t="n">
        <v>0</v>
      </c>
      <c r="AE517" s="19" t="n">
        <v>0</v>
      </c>
      <c r="AF517" s="9" t="n">
        <v>0</v>
      </c>
      <c r="AG517" s="19" t="n">
        <v>10.5</v>
      </c>
      <c r="AH517" s="19" t="n">
        <v>0</v>
      </c>
      <c r="AI517" s="19" t="n">
        <v>0</v>
      </c>
      <c r="AJ517" s="19" t="n">
        <v>0</v>
      </c>
      <c r="AK517" s="19" t="n">
        <v>0</v>
      </c>
      <c r="AL517" s="19" t="n">
        <v>0</v>
      </c>
      <c r="AM517" s="9" t="n">
        <v>0</v>
      </c>
      <c r="AN517" s="19" t="n">
        <v>0</v>
      </c>
      <c r="AO517" s="19" t="n">
        <v>0</v>
      </c>
      <c r="AP517" s="19" t="n">
        <v>0</v>
      </c>
      <c r="AQ517" s="19" t="n">
        <v>0</v>
      </c>
      <c r="AR517" s="19" t="n">
        <v>0</v>
      </c>
      <c r="AS517" s="19" t="n">
        <v>0</v>
      </c>
      <c r="AT517" s="10">
        <f>SUM(O517:AS517)</f>
        <v/>
      </c>
      <c r="AU517" s="20">
        <f>COUNTIF(O517:AS517, "&gt;0")</f>
        <v/>
      </c>
      <c r="AV517" s="12">
        <f>IF(AU517&gt;=5, 4, IF(AU517&gt;0, INT(AU517/6), 0))</f>
        <v/>
      </c>
      <c r="AW517" s="20" t="n">
        <v>0</v>
      </c>
      <c r="AX517" s="20" t="n">
        <v>0</v>
      </c>
      <c r="AY517" s="13">
        <f>MIN(31, AU517+AV517+AW517+AX517)</f>
        <v/>
      </c>
      <c r="AZ517" s="14">
        <f>31-AY517</f>
        <v/>
      </c>
      <c r="BA517" s="21">
        <f>IF(AX517&gt;0, "01-İstirahat", IF(AZ517&gt;0, "12-Birden Fazla", ""))</f>
        <v/>
      </c>
      <c r="BB517" s="10" t="n">
        <v>24</v>
      </c>
      <c r="BC517" s="19" t="n">
        <v>0</v>
      </c>
      <c r="BD517" s="9" t="n">
        <v>10.5</v>
      </c>
      <c r="BE517" s="22">
        <f>(L517/30)*AU517</f>
        <v/>
      </c>
      <c r="BF517" s="15">
        <f>(L517/225)*((BB517*1.5)-(BC517*1.0))</f>
        <v/>
      </c>
      <c r="BG517" s="16">
        <f>(L517/225)*1.5*BD517</f>
        <v/>
      </c>
      <c r="BH517" s="15">
        <f>BF517+BG517</f>
        <v/>
      </c>
      <c r="BI517" s="17">
        <f>BE517+BH517</f>
        <v/>
      </c>
      <c r="BJ517" s="22">
        <f>IFERROR(VLOOKUP(B517, Resmi_Bordro_SGK!B:M, 11, FALSE), 0)</f>
        <v/>
      </c>
      <c r="BK517" s="18">
        <f>IFERROR(VLOOKUP(B517, Icra_Takip!A:E, 4, FALSE), 0)</f>
        <v/>
      </c>
      <c r="BL517" s="17">
        <f>IF(BI517&gt;BJ517, BI517-BJ517-BK517, 0)</f>
        <v/>
      </c>
      <c r="BM517" s="17">
        <f>BI517-BK517</f>
        <v/>
      </c>
    </row>
    <row r="518" ht="19" customHeight="1">
      <c r="A518" s="4" t="n">
        <v>515</v>
      </c>
      <c r="B518" s="5" t="inlineStr">
        <is>
          <t>01409</t>
        </is>
      </c>
      <c r="C518" s="6" t="inlineStr">
        <is>
          <t>ERKAN ÖZGAN</t>
        </is>
      </c>
      <c r="D518" s="4" t="inlineStr"/>
      <c r="E518" s="4" t="inlineStr"/>
      <c r="F518" s="4" t="inlineStr"/>
      <c r="G518" s="4" t="inlineStr"/>
      <c r="H518" s="4" t="inlineStr">
        <is>
          <t>NORMAL</t>
        </is>
      </c>
      <c r="I518" s="4" t="inlineStr">
        <is>
          <t>MEVSİMLİK</t>
        </is>
      </c>
      <c r="J518" s="6" t="inlineStr">
        <is>
          <t>DİĞER</t>
        </is>
      </c>
      <c r="K518" s="6" t="inlineStr"/>
      <c r="L518" s="7" t="n">
        <v>0</v>
      </c>
      <c r="M518" s="4" t="inlineStr">
        <is>
          <t>FİDE KONSERVE</t>
        </is>
      </c>
      <c r="N518" s="4" t="inlineStr">
        <is>
          <t>ALIR</t>
        </is>
      </c>
      <c r="O518" s="8" t="n">
        <v>0</v>
      </c>
      <c r="P518" s="8" t="n">
        <v>10.5</v>
      </c>
      <c r="Q518" s="8" t="n">
        <v>10.5</v>
      </c>
      <c r="R518" s="9" t="n">
        <v>10.5</v>
      </c>
      <c r="S518" s="8" t="n">
        <v>10.5</v>
      </c>
      <c r="T518" s="8" t="n">
        <v>10.5</v>
      </c>
      <c r="U518" s="8" t="n">
        <v>10.5</v>
      </c>
      <c r="V518" s="8" t="n">
        <v>10.5</v>
      </c>
      <c r="W518" s="8" t="n">
        <v>10.5</v>
      </c>
      <c r="X518" s="8" t="n">
        <v>10.5</v>
      </c>
      <c r="Y518" s="9" t="n">
        <v>10.5</v>
      </c>
      <c r="Z518" s="8" t="n">
        <v>10.5</v>
      </c>
      <c r="AA518" s="8" t="n">
        <v>0</v>
      </c>
      <c r="AB518" s="8" t="n">
        <v>10.5</v>
      </c>
      <c r="AC518" s="8" t="n">
        <v>10.5</v>
      </c>
      <c r="AD518" s="8" t="n">
        <v>0</v>
      </c>
      <c r="AE518" s="8" t="n">
        <v>0</v>
      </c>
      <c r="AF518" s="9" t="n">
        <v>0</v>
      </c>
      <c r="AG518" s="8" t="n">
        <v>10.5</v>
      </c>
      <c r="AH518" s="8" t="n">
        <v>0</v>
      </c>
      <c r="AI518" s="8" t="n">
        <v>0</v>
      </c>
      <c r="AJ518" s="8" t="n">
        <v>0</v>
      </c>
      <c r="AK518" s="8" t="n">
        <v>0</v>
      </c>
      <c r="AL518" s="8" t="n">
        <v>0</v>
      </c>
      <c r="AM518" s="9" t="n">
        <v>0</v>
      </c>
      <c r="AN518" s="8" t="n">
        <v>0</v>
      </c>
      <c r="AO518" s="8" t="n">
        <v>0</v>
      </c>
      <c r="AP518" s="8" t="n">
        <v>0</v>
      </c>
      <c r="AQ518" s="8" t="n">
        <v>0</v>
      </c>
      <c r="AR518" s="8" t="n">
        <v>0</v>
      </c>
      <c r="AS518" s="8" t="n">
        <v>0</v>
      </c>
      <c r="AT518" s="10">
        <f>SUM(O518:AS518)</f>
        <v/>
      </c>
      <c r="AU518" s="11">
        <f>COUNTIF(O518:AS518, "&gt;0")</f>
        <v/>
      </c>
      <c r="AV518" s="12">
        <f>IF(AU518&gt;=5, 4, IF(AU518&gt;0, INT(AU518/6), 0))</f>
        <v/>
      </c>
      <c r="AW518" s="11" t="n">
        <v>0</v>
      </c>
      <c r="AX518" s="11" t="n">
        <v>0</v>
      </c>
      <c r="AY518" s="13">
        <f>MIN(31, AU518+AV518+AW518+AX518)</f>
        <v/>
      </c>
      <c r="AZ518" s="14">
        <f>31-AY518</f>
        <v/>
      </c>
      <c r="BA518" s="5">
        <f>IF(AX518&gt;0, "01-İstirahat", IF(AZ518&gt;0, "12-Birden Fazla", ""))</f>
        <v/>
      </c>
      <c r="BB518" s="10" t="n">
        <v>36</v>
      </c>
      <c r="BC518" s="8" t="n">
        <v>0</v>
      </c>
      <c r="BD518" s="9" t="n">
        <v>21</v>
      </c>
      <c r="BE518" s="7">
        <f>(L518/30)*AU518</f>
        <v/>
      </c>
      <c r="BF518" s="15">
        <f>(L518/225)*((BB518*1.5)-(BC518*1.0))</f>
        <v/>
      </c>
      <c r="BG518" s="16">
        <f>(L518/225)*1.5*BD518</f>
        <v/>
      </c>
      <c r="BH518" s="15">
        <f>BF518+BG518</f>
        <v/>
      </c>
      <c r="BI518" s="17">
        <f>BE518+BH518</f>
        <v/>
      </c>
      <c r="BJ518" s="7">
        <f>IFERROR(VLOOKUP(B518, Resmi_Bordro_SGK!B:M, 11, FALSE), 0)</f>
        <v/>
      </c>
      <c r="BK518" s="18">
        <f>IFERROR(VLOOKUP(B518, Icra_Takip!A:E, 4, FALSE), 0)</f>
        <v/>
      </c>
      <c r="BL518" s="17">
        <f>IF(BI518&gt;BJ518, BI518-BJ518-BK518, 0)</f>
        <v/>
      </c>
      <c r="BM518" s="17">
        <f>BI518-BK518</f>
        <v/>
      </c>
    </row>
    <row r="519" ht="19" customHeight="1">
      <c r="A519" s="4" t="n">
        <v>516</v>
      </c>
      <c r="B519" s="5" t="inlineStr">
        <is>
          <t>00641</t>
        </is>
      </c>
      <c r="C519" s="6" t="inlineStr">
        <is>
          <t>EZGİ EBRU ÖZÇELİK</t>
        </is>
      </c>
      <c r="D519" s="4" t="inlineStr"/>
      <c r="E519" s="4" t="inlineStr"/>
      <c r="F519" s="4" t="inlineStr"/>
      <c r="G519" s="4" t="inlineStr"/>
      <c r="H519" s="4" t="inlineStr">
        <is>
          <t>NORMAL</t>
        </is>
      </c>
      <c r="I519" s="4" t="inlineStr">
        <is>
          <t>MEVSİMLİK</t>
        </is>
      </c>
      <c r="J519" s="6" t="inlineStr">
        <is>
          <t>DİĞER</t>
        </is>
      </c>
      <c r="K519" s="6" t="inlineStr"/>
      <c r="L519" s="7" t="n">
        <v>0</v>
      </c>
      <c r="M519" s="4" t="inlineStr">
        <is>
          <t>FİDE KONSERVE</t>
        </is>
      </c>
      <c r="N519" s="4" t="inlineStr">
        <is>
          <t>ALIR</t>
        </is>
      </c>
      <c r="O519" s="19" t="n">
        <v>0</v>
      </c>
      <c r="P519" s="19" t="n">
        <v>0</v>
      </c>
      <c r="Q519" s="19" t="n">
        <v>0</v>
      </c>
      <c r="R519" s="9" t="n">
        <v>0</v>
      </c>
      <c r="S519" s="19" t="n">
        <v>0</v>
      </c>
      <c r="T519" s="19" t="n">
        <v>0</v>
      </c>
      <c r="U519" s="19" t="n">
        <v>0</v>
      </c>
      <c r="V519" s="19" t="n">
        <v>0</v>
      </c>
      <c r="W519" s="19" t="n">
        <v>0</v>
      </c>
      <c r="X519" s="19" t="n">
        <v>0</v>
      </c>
      <c r="Y519" s="9" t="n">
        <v>0</v>
      </c>
      <c r="Z519" s="23" t="n">
        <v>8.5</v>
      </c>
      <c r="AA519" s="19" t="n">
        <v>0</v>
      </c>
      <c r="AB519" s="19" t="n">
        <v>8</v>
      </c>
      <c r="AC519" s="19" t="n">
        <v>7.5</v>
      </c>
      <c r="AD519" s="19" t="n">
        <v>7.5</v>
      </c>
      <c r="AE519" s="19" t="n">
        <v>8.5</v>
      </c>
      <c r="AF519" s="9" t="n">
        <v>7.5</v>
      </c>
      <c r="AG519" s="19" t="n">
        <v>7.5</v>
      </c>
      <c r="AH519" s="19" t="n">
        <v>7.5</v>
      </c>
      <c r="AI519" s="19" t="n">
        <v>7.5</v>
      </c>
      <c r="AJ519" s="19" t="n">
        <v>0</v>
      </c>
      <c r="AK519" s="19" t="n">
        <v>0</v>
      </c>
      <c r="AL519" s="19" t="n">
        <v>0</v>
      </c>
      <c r="AM519" s="9" t="n">
        <v>0</v>
      </c>
      <c r="AN519" s="19" t="n">
        <v>0</v>
      </c>
      <c r="AO519" s="19" t="n">
        <v>0</v>
      </c>
      <c r="AP519" s="19" t="n">
        <v>0</v>
      </c>
      <c r="AQ519" s="19" t="n">
        <v>0</v>
      </c>
      <c r="AR519" s="19" t="n">
        <v>0</v>
      </c>
      <c r="AS519" s="19" t="n">
        <v>0</v>
      </c>
      <c r="AT519" s="10">
        <f>SUM(O519:AS519)</f>
        <v/>
      </c>
      <c r="AU519" s="20">
        <f>COUNTIF(O519:AS519, "&gt;0")</f>
        <v/>
      </c>
      <c r="AV519" s="12">
        <f>IF(AU519&gt;=5, 4, IF(AU519&gt;0, INT(AU519/6), 0))</f>
        <v/>
      </c>
      <c r="AW519" s="20" t="n">
        <v>0</v>
      </c>
      <c r="AX519" s="20" t="n">
        <v>0</v>
      </c>
      <c r="AY519" s="13">
        <f>MIN(31, AU519+AV519+AW519+AX519)</f>
        <v/>
      </c>
      <c r="AZ519" s="14">
        <f>31-AY519</f>
        <v/>
      </c>
      <c r="BA519" s="21">
        <f>IF(AX519&gt;0, "01-İstirahat", IF(AZ519&gt;0, "12-Birden Fazla", ""))</f>
        <v/>
      </c>
      <c r="BB519" s="10" t="n">
        <v>2.5</v>
      </c>
      <c r="BC519" s="19" t="n">
        <v>0</v>
      </c>
      <c r="BD519" s="9" t="n">
        <v>7.5</v>
      </c>
      <c r="BE519" s="22">
        <f>(L519/30)*AU519</f>
        <v/>
      </c>
      <c r="BF519" s="15">
        <f>(L519/225)*((BB519*1.5)-(BC519*1.0))</f>
        <v/>
      </c>
      <c r="BG519" s="16">
        <f>(L519/225)*1.5*BD519</f>
        <v/>
      </c>
      <c r="BH519" s="15">
        <f>BF519+BG519</f>
        <v/>
      </c>
      <c r="BI519" s="17">
        <f>BE519+BH519</f>
        <v/>
      </c>
      <c r="BJ519" s="22">
        <f>IFERROR(VLOOKUP(B519, Resmi_Bordro_SGK!B:M, 11, FALSE), 0)</f>
        <v/>
      </c>
      <c r="BK519" s="18">
        <f>IFERROR(VLOOKUP(B519, Icra_Takip!A:E, 4, FALSE), 0)</f>
        <v/>
      </c>
      <c r="BL519" s="17">
        <f>IF(BI519&gt;BJ519, BI519-BJ519-BK519, 0)</f>
        <v/>
      </c>
      <c r="BM519" s="17">
        <f>BI519-BK519</f>
        <v/>
      </c>
    </row>
    <row r="520" ht="19" customHeight="1">
      <c r="A520" s="4" t="n">
        <v>517</v>
      </c>
      <c r="B520" s="5" t="inlineStr">
        <is>
          <t>01412</t>
        </is>
      </c>
      <c r="C520" s="6" t="inlineStr">
        <is>
          <t>FATMA AYDIN</t>
        </is>
      </c>
      <c r="D520" s="4" t="inlineStr"/>
      <c r="E520" s="4" t="inlineStr"/>
      <c r="F520" s="4" t="inlineStr"/>
      <c r="G520" s="4" t="inlineStr"/>
      <c r="H520" s="4" t="inlineStr">
        <is>
          <t>NORMAL</t>
        </is>
      </c>
      <c r="I520" s="4" t="inlineStr">
        <is>
          <t>MEVSİMLİK</t>
        </is>
      </c>
      <c r="J520" s="6" t="inlineStr">
        <is>
          <t>DİĞER</t>
        </is>
      </c>
      <c r="K520" s="6" t="inlineStr"/>
      <c r="L520" s="7" t="n">
        <v>0</v>
      </c>
      <c r="M520" s="4" t="inlineStr">
        <is>
          <t>FİDE KONSERVE</t>
        </is>
      </c>
      <c r="N520" s="4" t="inlineStr">
        <is>
          <t>ALIR</t>
        </is>
      </c>
      <c r="O520" s="8" t="n">
        <v>0</v>
      </c>
      <c r="P520" s="23" t="n">
        <v>10.5</v>
      </c>
      <c r="Q520" s="8" t="n">
        <v>10.5</v>
      </c>
      <c r="R520" s="9" t="n">
        <v>0</v>
      </c>
      <c r="S520" s="8" t="n">
        <v>0</v>
      </c>
      <c r="T520" s="8" t="n">
        <v>10.5</v>
      </c>
      <c r="U520" s="8" t="n">
        <v>10.5</v>
      </c>
      <c r="V520" s="8" t="n">
        <v>10.5</v>
      </c>
      <c r="W520" s="8" t="n">
        <v>10.5</v>
      </c>
      <c r="X520" s="8" t="n">
        <v>10.5</v>
      </c>
      <c r="Y520" s="9" t="n">
        <v>0</v>
      </c>
      <c r="Z520" s="8" t="n">
        <v>7.5</v>
      </c>
      <c r="AA520" s="8" t="n">
        <v>10.5</v>
      </c>
      <c r="AB520" s="8" t="n">
        <v>10.5</v>
      </c>
      <c r="AC520" s="8" t="n">
        <v>10.5</v>
      </c>
      <c r="AD520" s="8" t="n">
        <v>0</v>
      </c>
      <c r="AE520" s="8" t="n">
        <v>10.5</v>
      </c>
      <c r="AF520" s="9" t="n">
        <v>0</v>
      </c>
      <c r="AG520" s="8" t="n">
        <v>10.5</v>
      </c>
      <c r="AH520" s="8" t="n">
        <v>7.5</v>
      </c>
      <c r="AI520" s="8" t="n">
        <v>7.5</v>
      </c>
      <c r="AJ520" s="8" t="n">
        <v>0</v>
      </c>
      <c r="AK520" s="8" t="n">
        <v>0</v>
      </c>
      <c r="AL520" s="8" t="n">
        <v>0</v>
      </c>
      <c r="AM520" s="9" t="n">
        <v>0</v>
      </c>
      <c r="AN520" s="8" t="n">
        <v>0</v>
      </c>
      <c r="AO520" s="8" t="n">
        <v>0</v>
      </c>
      <c r="AP520" s="8" t="n">
        <v>0</v>
      </c>
      <c r="AQ520" s="8" t="n">
        <v>0</v>
      </c>
      <c r="AR520" s="8" t="n">
        <v>0</v>
      </c>
      <c r="AS520" s="8" t="n">
        <v>0</v>
      </c>
      <c r="AT520" s="10">
        <f>SUM(O520:AS520)</f>
        <v/>
      </c>
      <c r="AU520" s="11">
        <f>COUNTIF(O520:AS520, "&gt;0")</f>
        <v/>
      </c>
      <c r="AV520" s="12">
        <f>IF(AU520&gt;=5, 4, IF(AU520&gt;0, INT(AU520/6), 0))</f>
        <v/>
      </c>
      <c r="AW520" s="11" t="n">
        <v>0</v>
      </c>
      <c r="AX520" s="11" t="n">
        <v>0</v>
      </c>
      <c r="AY520" s="13">
        <f>MIN(31, AU520+AV520+AW520+AX520)</f>
        <v/>
      </c>
      <c r="AZ520" s="14">
        <f>31-AY520</f>
        <v/>
      </c>
      <c r="BA520" s="5">
        <f>IF(AX520&gt;0, "01-İstirahat", IF(AZ520&gt;0, "12-Birden Fazla", ""))</f>
        <v/>
      </c>
      <c r="BB520" s="10" t="n">
        <v>36</v>
      </c>
      <c r="BC520" s="8" t="n">
        <v>0</v>
      </c>
      <c r="BD520" s="9" t="n">
        <v>0</v>
      </c>
      <c r="BE520" s="7">
        <f>(L520/30)*AU520</f>
        <v/>
      </c>
      <c r="BF520" s="15">
        <f>(L520/225)*((BB520*1.5)-(BC520*1.0))</f>
        <v/>
      </c>
      <c r="BG520" s="16">
        <f>(L520/225)*1.5*BD520</f>
        <v/>
      </c>
      <c r="BH520" s="15">
        <f>BF520+BG520</f>
        <v/>
      </c>
      <c r="BI520" s="17">
        <f>BE520+BH520</f>
        <v/>
      </c>
      <c r="BJ520" s="7">
        <f>IFERROR(VLOOKUP(B520, Resmi_Bordro_SGK!B:M, 11, FALSE), 0)</f>
        <v/>
      </c>
      <c r="BK520" s="18">
        <f>IFERROR(VLOOKUP(B520, Icra_Takip!A:E, 4, FALSE), 0)</f>
        <v/>
      </c>
      <c r="BL520" s="17">
        <f>IF(BI520&gt;BJ520, BI520-BJ520-BK520, 0)</f>
        <v/>
      </c>
      <c r="BM520" s="17">
        <f>BI520-BK520</f>
        <v/>
      </c>
    </row>
    <row r="521" ht="19" customHeight="1">
      <c r="A521" s="4" t="n">
        <v>518</v>
      </c>
      <c r="B521" s="5" t="inlineStr">
        <is>
          <t>01415</t>
        </is>
      </c>
      <c r="C521" s="6" t="inlineStr">
        <is>
          <t>FİLİZ ÜMÜK</t>
        </is>
      </c>
      <c r="D521" s="4" t="inlineStr"/>
      <c r="E521" s="4" t="inlineStr"/>
      <c r="F521" s="4" t="inlineStr"/>
      <c r="G521" s="4" t="inlineStr"/>
      <c r="H521" s="4" t="inlineStr">
        <is>
          <t>NORMAL</t>
        </is>
      </c>
      <c r="I521" s="4" t="inlineStr">
        <is>
          <t>MEVSİMLİK</t>
        </is>
      </c>
      <c r="J521" s="6" t="inlineStr">
        <is>
          <t>DİĞER</t>
        </is>
      </c>
      <c r="K521" s="6" t="inlineStr"/>
      <c r="L521" s="7" t="n">
        <v>0</v>
      </c>
      <c r="M521" s="4" t="inlineStr">
        <is>
          <t>FİDE KONSERVE</t>
        </is>
      </c>
      <c r="N521" s="4" t="inlineStr">
        <is>
          <t>ALIR</t>
        </is>
      </c>
      <c r="O521" s="19" t="n">
        <v>0</v>
      </c>
      <c r="P521" s="23" t="n">
        <v>10.5</v>
      </c>
      <c r="Q521" s="19" t="n">
        <v>10.5</v>
      </c>
      <c r="R521" s="9" t="n">
        <v>10.5</v>
      </c>
      <c r="S521" s="19" t="n">
        <v>0</v>
      </c>
      <c r="T521" s="19" t="n">
        <v>0</v>
      </c>
      <c r="U521" s="19" t="n">
        <v>10.5</v>
      </c>
      <c r="V521" s="19" t="n">
        <v>10.5</v>
      </c>
      <c r="W521" s="19" t="n">
        <v>10.5</v>
      </c>
      <c r="X521" s="19" t="n">
        <v>10.5</v>
      </c>
      <c r="Y521" s="9" t="n">
        <v>0</v>
      </c>
      <c r="Z521" s="19" t="n">
        <v>10.5</v>
      </c>
      <c r="AA521" s="19" t="n">
        <v>10.5</v>
      </c>
      <c r="AB521" s="19" t="n">
        <v>10.5</v>
      </c>
      <c r="AC521" s="19" t="n">
        <v>10.5</v>
      </c>
      <c r="AD521" s="19" t="n">
        <v>0</v>
      </c>
      <c r="AE521" s="19" t="n">
        <v>0</v>
      </c>
      <c r="AF521" s="9" t="n">
        <v>0</v>
      </c>
      <c r="AG521" s="19" t="n">
        <v>10.5</v>
      </c>
      <c r="AH521" s="19" t="n">
        <v>0</v>
      </c>
      <c r="AI521" s="19" t="n">
        <v>0</v>
      </c>
      <c r="AJ521" s="19" t="n">
        <v>0</v>
      </c>
      <c r="AK521" s="19" t="n">
        <v>0</v>
      </c>
      <c r="AL521" s="19" t="n">
        <v>0</v>
      </c>
      <c r="AM521" s="9" t="n">
        <v>0</v>
      </c>
      <c r="AN521" s="19" t="n">
        <v>0</v>
      </c>
      <c r="AO521" s="19" t="n">
        <v>0</v>
      </c>
      <c r="AP521" s="19" t="n">
        <v>0</v>
      </c>
      <c r="AQ521" s="19" t="n">
        <v>0</v>
      </c>
      <c r="AR521" s="19" t="n">
        <v>0</v>
      </c>
      <c r="AS521" s="19" t="n">
        <v>0</v>
      </c>
      <c r="AT521" s="10">
        <f>SUM(O521:AS521)</f>
        <v/>
      </c>
      <c r="AU521" s="20">
        <f>COUNTIF(O521:AS521, "&gt;0")</f>
        <v/>
      </c>
      <c r="AV521" s="12">
        <f>IF(AU521&gt;=5, 4, IF(AU521&gt;0, INT(AU521/6), 0))</f>
        <v/>
      </c>
      <c r="AW521" s="20" t="n">
        <v>0</v>
      </c>
      <c r="AX521" s="20" t="n">
        <v>0</v>
      </c>
      <c r="AY521" s="13">
        <f>MIN(31, AU521+AV521+AW521+AX521)</f>
        <v/>
      </c>
      <c r="AZ521" s="14">
        <f>31-AY521</f>
        <v/>
      </c>
      <c r="BA521" s="21">
        <f>IF(AX521&gt;0, "01-İstirahat", IF(AZ521&gt;0, "12-Birden Fazla", ""))</f>
        <v/>
      </c>
      <c r="BB521" s="10" t="n">
        <v>33</v>
      </c>
      <c r="BC521" s="19" t="n">
        <v>0</v>
      </c>
      <c r="BD521" s="9" t="n">
        <v>10.5</v>
      </c>
      <c r="BE521" s="22">
        <f>(L521/30)*AU521</f>
        <v/>
      </c>
      <c r="BF521" s="15">
        <f>(L521/225)*((BB521*1.5)-(BC521*1.0))</f>
        <v/>
      </c>
      <c r="BG521" s="16">
        <f>(L521/225)*1.5*BD521</f>
        <v/>
      </c>
      <c r="BH521" s="15">
        <f>BF521+BG521</f>
        <v/>
      </c>
      <c r="BI521" s="17">
        <f>BE521+BH521</f>
        <v/>
      </c>
      <c r="BJ521" s="22">
        <f>IFERROR(VLOOKUP(B521, Resmi_Bordro_SGK!B:M, 11, FALSE), 0)</f>
        <v/>
      </c>
      <c r="BK521" s="18">
        <f>IFERROR(VLOOKUP(B521, Icra_Takip!A:E, 4, FALSE), 0)</f>
        <v/>
      </c>
      <c r="BL521" s="17">
        <f>IF(BI521&gt;BJ521, BI521-BJ521-BK521, 0)</f>
        <v/>
      </c>
      <c r="BM521" s="17">
        <f>BI521-BK521</f>
        <v/>
      </c>
    </row>
    <row r="522" ht="19" customHeight="1">
      <c r="A522" s="4" t="n">
        <v>519</v>
      </c>
      <c r="B522" s="5" t="inlineStr">
        <is>
          <t>01483</t>
        </is>
      </c>
      <c r="C522" s="6" t="inlineStr">
        <is>
          <t>FURKAN UÇAK</t>
        </is>
      </c>
      <c r="D522" s="4" t="inlineStr"/>
      <c r="E522" s="4" t="inlineStr"/>
      <c r="F522" s="4" t="inlineStr"/>
      <c r="G522" s="4" t="inlineStr"/>
      <c r="H522" s="4" t="inlineStr">
        <is>
          <t>NORMAL</t>
        </is>
      </c>
      <c r="I522" s="4" t="inlineStr">
        <is>
          <t>MEVSİMLİK</t>
        </is>
      </c>
      <c r="J522" s="6" t="inlineStr">
        <is>
          <t>DİĞER</t>
        </is>
      </c>
      <c r="K522" s="6" t="inlineStr"/>
      <c r="L522" s="7" t="n">
        <v>0</v>
      </c>
      <c r="M522" s="4" t="inlineStr">
        <is>
          <t>FİDE KONSERVE</t>
        </is>
      </c>
      <c r="N522" s="4" t="inlineStr">
        <is>
          <t>ALIR</t>
        </is>
      </c>
      <c r="O522" s="8" t="n">
        <v>0</v>
      </c>
      <c r="P522" s="8" t="n">
        <v>0</v>
      </c>
      <c r="Q522" s="8" t="n">
        <v>5.5</v>
      </c>
      <c r="R522" s="9" t="n">
        <v>0</v>
      </c>
      <c r="S522" s="23" t="n">
        <v>7.5</v>
      </c>
      <c r="T522" s="8" t="n">
        <v>0</v>
      </c>
      <c r="U522" s="8" t="n">
        <v>0</v>
      </c>
      <c r="V522" s="8" t="n">
        <v>0</v>
      </c>
      <c r="W522" s="8" t="n">
        <v>0</v>
      </c>
      <c r="X522" s="8" t="n">
        <v>0</v>
      </c>
      <c r="Y522" s="9" t="n">
        <v>0</v>
      </c>
      <c r="Z522" s="8" t="n">
        <v>0</v>
      </c>
      <c r="AA522" s="8" t="n">
        <v>0</v>
      </c>
      <c r="AB522" s="8" t="n">
        <v>0</v>
      </c>
      <c r="AC522" s="8" t="n">
        <v>0</v>
      </c>
      <c r="AD522" s="8" t="n">
        <v>0</v>
      </c>
      <c r="AE522" s="8" t="n">
        <v>0</v>
      </c>
      <c r="AF522" s="9" t="n">
        <v>0</v>
      </c>
      <c r="AG522" s="8" t="n">
        <v>0</v>
      </c>
      <c r="AH522" s="8" t="n">
        <v>0</v>
      </c>
      <c r="AI522" s="8" t="n">
        <v>0</v>
      </c>
      <c r="AJ522" s="8" t="n">
        <v>0</v>
      </c>
      <c r="AK522" s="8" t="n">
        <v>0</v>
      </c>
      <c r="AL522" s="8" t="n">
        <v>0</v>
      </c>
      <c r="AM522" s="9" t="n">
        <v>0</v>
      </c>
      <c r="AN522" s="8" t="n">
        <v>0</v>
      </c>
      <c r="AO522" s="8" t="n">
        <v>0</v>
      </c>
      <c r="AP522" s="8" t="n">
        <v>0</v>
      </c>
      <c r="AQ522" s="8" t="n">
        <v>0</v>
      </c>
      <c r="AR522" s="8" t="n">
        <v>0</v>
      </c>
      <c r="AS522" s="8" t="n">
        <v>0</v>
      </c>
      <c r="AT522" s="10">
        <f>SUM(O522:AS522)</f>
        <v/>
      </c>
      <c r="AU522" s="11">
        <f>COUNTIF(O522:AS522, "&gt;0")</f>
        <v/>
      </c>
      <c r="AV522" s="12">
        <f>IF(AU522&gt;=5, 4, IF(AU522&gt;0, INT(AU522/6), 0))</f>
        <v/>
      </c>
      <c r="AW522" s="11" t="n">
        <v>0</v>
      </c>
      <c r="AX522" s="11" t="n">
        <v>0</v>
      </c>
      <c r="AY522" s="13">
        <f>MIN(31, AU522+AV522+AW522+AX522)</f>
        <v/>
      </c>
      <c r="AZ522" s="14">
        <f>31-AY522</f>
        <v/>
      </c>
      <c r="BA522" s="5">
        <f>IF(AX522&gt;0, "01-İstirahat", IF(AZ522&gt;0, "12-Birden Fazla", ""))</f>
        <v/>
      </c>
      <c r="BB522" s="10" t="n">
        <v>0</v>
      </c>
      <c r="BC522" s="23" t="n">
        <v>2</v>
      </c>
      <c r="BD522" s="9" t="n">
        <v>0</v>
      </c>
      <c r="BE522" s="7">
        <f>(L522/30)*AU522</f>
        <v/>
      </c>
      <c r="BF522" s="15">
        <f>(L522/225)*((BB522*1.5)-(BC522*1.0))</f>
        <v/>
      </c>
      <c r="BG522" s="16">
        <f>(L522/225)*1.5*BD522</f>
        <v/>
      </c>
      <c r="BH522" s="15">
        <f>BF522+BG522</f>
        <v/>
      </c>
      <c r="BI522" s="17">
        <f>BE522+BH522</f>
        <v/>
      </c>
      <c r="BJ522" s="7">
        <f>IFERROR(VLOOKUP(B522, Resmi_Bordro_SGK!B:M, 11, FALSE), 0)</f>
        <v/>
      </c>
      <c r="BK522" s="18">
        <f>IFERROR(VLOOKUP(B522, Icra_Takip!A:E, 4, FALSE), 0)</f>
        <v/>
      </c>
      <c r="BL522" s="17">
        <f>IF(BI522&gt;BJ522, BI522-BJ522-BK522, 0)</f>
        <v/>
      </c>
      <c r="BM522" s="17">
        <f>BI522-BK522</f>
        <v/>
      </c>
    </row>
    <row r="523" ht="19" customHeight="1">
      <c r="A523" s="4" t="n">
        <v>520</v>
      </c>
      <c r="B523" s="5" t="inlineStr">
        <is>
          <t>01417</t>
        </is>
      </c>
      <c r="C523" s="6" t="inlineStr">
        <is>
          <t>GÜLLÜ TOĞAÇ</t>
        </is>
      </c>
      <c r="D523" s="4" t="inlineStr"/>
      <c r="E523" s="4" t="inlineStr"/>
      <c r="F523" s="4" t="inlineStr"/>
      <c r="G523" s="4" t="inlineStr"/>
      <c r="H523" s="4" t="inlineStr">
        <is>
          <t>NORMAL</t>
        </is>
      </c>
      <c r="I523" s="4" t="inlineStr">
        <is>
          <t>MEVSİMLİK</t>
        </is>
      </c>
      <c r="J523" s="6" t="inlineStr">
        <is>
          <t>DİĞER</t>
        </is>
      </c>
      <c r="K523" s="6" t="inlineStr"/>
      <c r="L523" s="7" t="n">
        <v>0</v>
      </c>
      <c r="M523" s="4" t="inlineStr">
        <is>
          <t>FİDE KONSERVE</t>
        </is>
      </c>
      <c r="N523" s="4" t="inlineStr">
        <is>
          <t>ALIR</t>
        </is>
      </c>
      <c r="O523" s="19" t="n">
        <v>0</v>
      </c>
      <c r="P523" s="19" t="n">
        <v>10.5</v>
      </c>
      <c r="Q523" s="19" t="n">
        <v>10.5</v>
      </c>
      <c r="R523" s="9" t="n">
        <v>10.5</v>
      </c>
      <c r="S523" s="19" t="n">
        <v>10.5</v>
      </c>
      <c r="T523" s="19" t="n">
        <v>10.5</v>
      </c>
      <c r="U523" s="19" t="n">
        <v>0</v>
      </c>
      <c r="V523" s="19" t="n">
        <v>10.5</v>
      </c>
      <c r="W523" s="19" t="n">
        <v>10.5</v>
      </c>
      <c r="X523" s="19" t="n">
        <v>0</v>
      </c>
      <c r="Y523" s="9" t="n">
        <v>0</v>
      </c>
      <c r="Z523" s="19" t="n">
        <v>10.5</v>
      </c>
      <c r="AA523" s="19" t="n">
        <v>10.5</v>
      </c>
      <c r="AB523" s="19" t="n">
        <v>0</v>
      </c>
      <c r="AC523" s="19" t="n">
        <v>10.5</v>
      </c>
      <c r="AD523" s="19" t="n">
        <v>0</v>
      </c>
      <c r="AE523" s="19" t="n">
        <v>0</v>
      </c>
      <c r="AF523" s="9" t="n">
        <v>10.5</v>
      </c>
      <c r="AG523" s="19" t="n">
        <v>10.5</v>
      </c>
      <c r="AH523" s="19" t="n">
        <v>0</v>
      </c>
      <c r="AI523" s="19" t="n">
        <v>0</v>
      </c>
      <c r="AJ523" s="19" t="n">
        <v>0</v>
      </c>
      <c r="AK523" s="19" t="n">
        <v>0</v>
      </c>
      <c r="AL523" s="19" t="n">
        <v>0</v>
      </c>
      <c r="AM523" s="9" t="n">
        <v>0</v>
      </c>
      <c r="AN523" s="19" t="n">
        <v>0</v>
      </c>
      <c r="AO523" s="19" t="n">
        <v>0</v>
      </c>
      <c r="AP523" s="19" t="n">
        <v>0</v>
      </c>
      <c r="AQ523" s="19" t="n">
        <v>0</v>
      </c>
      <c r="AR523" s="19" t="n">
        <v>0</v>
      </c>
      <c r="AS523" s="19" t="n">
        <v>0</v>
      </c>
      <c r="AT523" s="10">
        <f>SUM(O523:AS523)</f>
        <v/>
      </c>
      <c r="AU523" s="20">
        <f>COUNTIF(O523:AS523, "&gt;0")</f>
        <v/>
      </c>
      <c r="AV523" s="12">
        <f>IF(AU523&gt;=5, 4, IF(AU523&gt;0, INT(AU523/6), 0))</f>
        <v/>
      </c>
      <c r="AW523" s="20" t="n">
        <v>0</v>
      </c>
      <c r="AX523" s="20" t="n">
        <v>0</v>
      </c>
      <c r="AY523" s="13">
        <f>MIN(31, AU523+AV523+AW523+AX523)</f>
        <v/>
      </c>
      <c r="AZ523" s="14">
        <f>31-AY523</f>
        <v/>
      </c>
      <c r="BA523" s="21">
        <f>IF(AX523&gt;0, "01-İstirahat", IF(AZ523&gt;0, "12-Birden Fazla", ""))</f>
        <v/>
      </c>
      <c r="BB523" s="10" t="n">
        <v>30</v>
      </c>
      <c r="BC523" s="19" t="n">
        <v>0</v>
      </c>
      <c r="BD523" s="9" t="n">
        <v>21</v>
      </c>
      <c r="BE523" s="22">
        <f>(L523/30)*AU523</f>
        <v/>
      </c>
      <c r="BF523" s="15">
        <f>(L523/225)*((BB523*1.5)-(BC523*1.0))</f>
        <v/>
      </c>
      <c r="BG523" s="16">
        <f>(L523/225)*1.5*BD523</f>
        <v/>
      </c>
      <c r="BH523" s="15">
        <f>BF523+BG523</f>
        <v/>
      </c>
      <c r="BI523" s="17">
        <f>BE523+BH523</f>
        <v/>
      </c>
      <c r="BJ523" s="22">
        <f>IFERROR(VLOOKUP(B523, Resmi_Bordro_SGK!B:M, 11, FALSE), 0)</f>
        <v/>
      </c>
      <c r="BK523" s="18">
        <f>IFERROR(VLOOKUP(B523, Icra_Takip!A:E, 4, FALSE), 0)</f>
        <v/>
      </c>
      <c r="BL523" s="17">
        <f>IF(BI523&gt;BJ523, BI523-BJ523-BK523, 0)</f>
        <v/>
      </c>
      <c r="BM523" s="17">
        <f>BI523-BK523</f>
        <v/>
      </c>
    </row>
    <row r="524" ht="19" customHeight="1">
      <c r="A524" s="4" t="n">
        <v>521</v>
      </c>
      <c r="B524" s="5" t="inlineStr">
        <is>
          <t>01558</t>
        </is>
      </c>
      <c r="C524" s="6" t="inlineStr">
        <is>
          <t>GÜLPERİ KERTİK</t>
        </is>
      </c>
      <c r="D524" s="4" t="inlineStr"/>
      <c r="E524" s="4" t="inlineStr"/>
      <c r="F524" s="4" t="inlineStr"/>
      <c r="G524" s="4" t="inlineStr"/>
      <c r="H524" s="4" t="inlineStr">
        <is>
          <t>NORMAL</t>
        </is>
      </c>
      <c r="I524" s="4" t="inlineStr">
        <is>
          <t>MEVSİMLİK</t>
        </is>
      </c>
      <c r="J524" s="6" t="inlineStr">
        <is>
          <t>DİĞER</t>
        </is>
      </c>
      <c r="K524" s="6" t="inlineStr"/>
      <c r="L524" s="7" t="n">
        <v>0</v>
      </c>
      <c r="M524" s="4" t="inlineStr">
        <is>
          <t>FİDE KONSERVE</t>
        </is>
      </c>
      <c r="N524" s="4" t="inlineStr">
        <is>
          <t>ALIR</t>
        </is>
      </c>
      <c r="O524" s="8" t="n">
        <v>0</v>
      </c>
      <c r="P524" s="8" t="n">
        <v>0</v>
      </c>
      <c r="Q524" s="8" t="n">
        <v>0</v>
      </c>
      <c r="R524" s="9" t="n">
        <v>0</v>
      </c>
      <c r="S524" s="8" t="n">
        <v>0</v>
      </c>
      <c r="T524" s="8" t="n">
        <v>0</v>
      </c>
      <c r="U524" s="8" t="n">
        <v>0</v>
      </c>
      <c r="V524" s="8" t="n">
        <v>0</v>
      </c>
      <c r="W524" s="8" t="n">
        <v>0</v>
      </c>
      <c r="X524" s="8" t="n">
        <v>0</v>
      </c>
      <c r="Y524" s="9" t="n">
        <v>0</v>
      </c>
      <c r="Z524" s="8" t="n">
        <v>0</v>
      </c>
      <c r="AA524" s="23" t="n">
        <v>7.5</v>
      </c>
      <c r="AB524" s="8" t="n">
        <v>8</v>
      </c>
      <c r="AC524" s="8" t="n">
        <v>8</v>
      </c>
      <c r="AD524" s="8" t="n">
        <v>7.5</v>
      </c>
      <c r="AE524" s="8" t="n">
        <v>8.5</v>
      </c>
      <c r="AF524" s="9" t="n">
        <v>7.5</v>
      </c>
      <c r="AG524" s="8" t="n">
        <v>7.5</v>
      </c>
      <c r="AH524" s="8" t="n">
        <v>7.5</v>
      </c>
      <c r="AI524" s="8" t="n">
        <v>7.5</v>
      </c>
      <c r="AJ524" s="8" t="n">
        <v>0</v>
      </c>
      <c r="AK524" s="8" t="n">
        <v>0</v>
      </c>
      <c r="AL524" s="8" t="n">
        <v>0</v>
      </c>
      <c r="AM524" s="9" t="n">
        <v>0</v>
      </c>
      <c r="AN524" s="8" t="n">
        <v>0</v>
      </c>
      <c r="AO524" s="8" t="n">
        <v>0</v>
      </c>
      <c r="AP524" s="8" t="n">
        <v>0</v>
      </c>
      <c r="AQ524" s="8" t="n">
        <v>0</v>
      </c>
      <c r="AR524" s="8" t="n">
        <v>0</v>
      </c>
      <c r="AS524" s="8" t="n">
        <v>0</v>
      </c>
      <c r="AT524" s="10">
        <f>SUM(O524:AS524)</f>
        <v/>
      </c>
      <c r="AU524" s="11">
        <f>COUNTIF(O524:AS524, "&gt;0")</f>
        <v/>
      </c>
      <c r="AV524" s="12">
        <f>IF(AU524&gt;=5, 4, IF(AU524&gt;0, INT(AU524/6), 0))</f>
        <v/>
      </c>
      <c r="AW524" s="11" t="n">
        <v>0</v>
      </c>
      <c r="AX524" s="11" t="n">
        <v>0</v>
      </c>
      <c r="AY524" s="13">
        <f>MIN(31, AU524+AV524+AW524+AX524)</f>
        <v/>
      </c>
      <c r="AZ524" s="14">
        <f>31-AY524</f>
        <v/>
      </c>
      <c r="BA524" s="5">
        <f>IF(AX524&gt;0, "01-İstirahat", IF(AZ524&gt;0, "12-Birden Fazla", ""))</f>
        <v/>
      </c>
      <c r="BB524" s="10" t="n">
        <v>2</v>
      </c>
      <c r="BC524" s="8" t="n">
        <v>0</v>
      </c>
      <c r="BD524" s="9" t="n">
        <v>7.5</v>
      </c>
      <c r="BE524" s="7">
        <f>(L524/30)*AU524</f>
        <v/>
      </c>
      <c r="BF524" s="15">
        <f>(L524/225)*((BB524*1.5)-(BC524*1.0))</f>
        <v/>
      </c>
      <c r="BG524" s="16">
        <f>(L524/225)*1.5*BD524</f>
        <v/>
      </c>
      <c r="BH524" s="15">
        <f>BF524+BG524</f>
        <v/>
      </c>
      <c r="BI524" s="17">
        <f>BE524+BH524</f>
        <v/>
      </c>
      <c r="BJ524" s="7">
        <f>IFERROR(VLOOKUP(B524, Resmi_Bordro_SGK!B:M, 11, FALSE), 0)</f>
        <v/>
      </c>
      <c r="BK524" s="18">
        <f>IFERROR(VLOOKUP(B524, Icra_Takip!A:E, 4, FALSE), 0)</f>
        <v/>
      </c>
      <c r="BL524" s="17">
        <f>IF(BI524&gt;BJ524, BI524-BJ524-BK524, 0)</f>
        <v/>
      </c>
      <c r="BM524" s="17">
        <f>BI524-BK524</f>
        <v/>
      </c>
    </row>
    <row r="525" ht="19" customHeight="1">
      <c r="A525" s="4" t="n">
        <v>522</v>
      </c>
      <c r="B525" s="5" t="inlineStr">
        <is>
          <t>01418</t>
        </is>
      </c>
      <c r="C525" s="6" t="inlineStr">
        <is>
          <t>GÜLSEMA POLAT</t>
        </is>
      </c>
      <c r="D525" s="4" t="inlineStr"/>
      <c r="E525" s="4" t="inlineStr"/>
      <c r="F525" s="4" t="inlineStr"/>
      <c r="G525" s="4" t="inlineStr"/>
      <c r="H525" s="4" t="inlineStr">
        <is>
          <t>NORMAL</t>
        </is>
      </c>
      <c r="I525" s="4" t="inlineStr">
        <is>
          <t>MEVSİMLİK</t>
        </is>
      </c>
      <c r="J525" s="6" t="inlineStr">
        <is>
          <t>DİĞER</t>
        </is>
      </c>
      <c r="K525" s="6" t="inlineStr"/>
      <c r="L525" s="7" t="n">
        <v>0</v>
      </c>
      <c r="M525" s="4" t="inlineStr">
        <is>
          <t>FİDE KONSERVE</t>
        </is>
      </c>
      <c r="N525" s="4" t="inlineStr">
        <is>
          <t>ALIR</t>
        </is>
      </c>
      <c r="O525" s="19" t="n">
        <v>0</v>
      </c>
      <c r="P525" s="19" t="n">
        <v>0</v>
      </c>
      <c r="Q525" s="19" t="n">
        <v>10.5</v>
      </c>
      <c r="R525" s="9" t="n">
        <v>10.5</v>
      </c>
      <c r="S525" s="19" t="n">
        <v>10.5</v>
      </c>
      <c r="T525" s="19" t="n">
        <v>10.5</v>
      </c>
      <c r="U525" s="19" t="n">
        <v>10.5</v>
      </c>
      <c r="V525" s="19" t="n">
        <v>10.5</v>
      </c>
      <c r="W525" s="19" t="n">
        <v>10.5</v>
      </c>
      <c r="X525" s="19" t="n">
        <v>10.5</v>
      </c>
      <c r="Y525" s="9" t="n">
        <v>10.5</v>
      </c>
      <c r="Z525" s="19" t="n">
        <v>10.5</v>
      </c>
      <c r="AA525" s="19" t="n">
        <v>0</v>
      </c>
      <c r="AB525" s="19" t="n">
        <v>10.5</v>
      </c>
      <c r="AC525" s="19" t="n">
        <v>10.5</v>
      </c>
      <c r="AD525" s="19" t="n">
        <v>0</v>
      </c>
      <c r="AE525" s="19" t="n">
        <v>0</v>
      </c>
      <c r="AF525" s="9" t="n">
        <v>10.5</v>
      </c>
      <c r="AG525" s="19" t="n">
        <v>0</v>
      </c>
      <c r="AH525" s="19" t="n">
        <v>0</v>
      </c>
      <c r="AI525" s="19" t="n">
        <v>0</v>
      </c>
      <c r="AJ525" s="19" t="n">
        <v>0</v>
      </c>
      <c r="AK525" s="19" t="n">
        <v>0</v>
      </c>
      <c r="AL525" s="19" t="n">
        <v>0</v>
      </c>
      <c r="AM525" s="9" t="n">
        <v>0</v>
      </c>
      <c r="AN525" s="19" t="n">
        <v>0</v>
      </c>
      <c r="AO525" s="19" t="n">
        <v>0</v>
      </c>
      <c r="AP525" s="19" t="n">
        <v>0</v>
      </c>
      <c r="AQ525" s="19" t="n">
        <v>0</v>
      </c>
      <c r="AR525" s="19" t="n">
        <v>0</v>
      </c>
      <c r="AS525" s="19" t="n">
        <v>0</v>
      </c>
      <c r="AT525" s="10">
        <f>SUM(O525:AS525)</f>
        <v/>
      </c>
      <c r="AU525" s="20">
        <f>COUNTIF(O525:AS525, "&gt;0")</f>
        <v/>
      </c>
      <c r="AV525" s="12">
        <f>IF(AU525&gt;=5, 4, IF(AU525&gt;0, INT(AU525/6), 0))</f>
        <v/>
      </c>
      <c r="AW525" s="20" t="n">
        <v>0</v>
      </c>
      <c r="AX525" s="20" t="n">
        <v>0</v>
      </c>
      <c r="AY525" s="13">
        <f>MIN(31, AU525+AV525+AW525+AX525)</f>
        <v/>
      </c>
      <c r="AZ525" s="14">
        <f>31-AY525</f>
        <v/>
      </c>
      <c r="BA525" s="21">
        <f>IF(AX525&gt;0, "01-İstirahat", IF(AZ525&gt;0, "12-Birden Fazla", ""))</f>
        <v/>
      </c>
      <c r="BB525" s="10" t="n">
        <v>30</v>
      </c>
      <c r="BC525" s="19" t="n">
        <v>0</v>
      </c>
      <c r="BD525" s="9" t="n">
        <v>31.5</v>
      </c>
      <c r="BE525" s="22">
        <f>(L525/30)*AU525</f>
        <v/>
      </c>
      <c r="BF525" s="15">
        <f>(L525/225)*((BB525*1.5)-(BC525*1.0))</f>
        <v/>
      </c>
      <c r="BG525" s="16">
        <f>(L525/225)*1.5*BD525</f>
        <v/>
      </c>
      <c r="BH525" s="15">
        <f>BF525+BG525</f>
        <v/>
      </c>
      <c r="BI525" s="17">
        <f>BE525+BH525</f>
        <v/>
      </c>
      <c r="BJ525" s="22">
        <f>IFERROR(VLOOKUP(B525, Resmi_Bordro_SGK!B:M, 11, FALSE), 0)</f>
        <v/>
      </c>
      <c r="BK525" s="18">
        <f>IFERROR(VLOOKUP(B525, Icra_Takip!A:E, 4, FALSE), 0)</f>
        <v/>
      </c>
      <c r="BL525" s="17">
        <f>IF(BI525&gt;BJ525, BI525-BJ525-BK525, 0)</f>
        <v/>
      </c>
      <c r="BM525" s="17">
        <f>BI525-BK525</f>
        <v/>
      </c>
    </row>
    <row r="526" ht="19" customHeight="1">
      <c r="A526" s="4" t="n">
        <v>523</v>
      </c>
      <c r="B526" s="5" t="inlineStr">
        <is>
          <t>01419</t>
        </is>
      </c>
      <c r="C526" s="6" t="inlineStr">
        <is>
          <t>GÜLSÜM KARACA</t>
        </is>
      </c>
      <c r="D526" s="4" t="inlineStr"/>
      <c r="E526" s="4" t="inlineStr"/>
      <c r="F526" s="4" t="inlineStr"/>
      <c r="G526" s="4" t="inlineStr"/>
      <c r="H526" s="4" t="inlineStr">
        <is>
          <t>NORMAL</t>
        </is>
      </c>
      <c r="I526" s="4" t="inlineStr">
        <is>
          <t>MEVSİMLİK</t>
        </is>
      </c>
      <c r="J526" s="6" t="inlineStr">
        <is>
          <t>DİĞER</t>
        </is>
      </c>
      <c r="K526" s="6" t="inlineStr"/>
      <c r="L526" s="7" t="n">
        <v>0</v>
      </c>
      <c r="M526" s="4" t="inlineStr">
        <is>
          <t>FİDE KONSERVE</t>
        </is>
      </c>
      <c r="N526" s="4" t="inlineStr">
        <is>
          <t>ALIR</t>
        </is>
      </c>
      <c r="O526" s="8" t="n">
        <v>0</v>
      </c>
      <c r="P526" s="23" t="n">
        <v>10.5</v>
      </c>
      <c r="Q526" s="8" t="n">
        <v>10.5</v>
      </c>
      <c r="R526" s="9" t="n">
        <v>0</v>
      </c>
      <c r="S526" s="8" t="n">
        <v>10.5</v>
      </c>
      <c r="T526" s="8" t="n">
        <v>10.5</v>
      </c>
      <c r="U526" s="8" t="n">
        <v>10.5</v>
      </c>
      <c r="V526" s="8" t="n">
        <v>10.5</v>
      </c>
      <c r="W526" s="8" t="n">
        <v>10.5</v>
      </c>
      <c r="X526" s="8" t="n">
        <v>10.5</v>
      </c>
      <c r="Y526" s="9" t="n">
        <v>0</v>
      </c>
      <c r="Z526" s="8" t="n">
        <v>10.5</v>
      </c>
      <c r="AA526" s="8" t="n">
        <v>10.5</v>
      </c>
      <c r="AB526" s="8" t="n">
        <v>10.5</v>
      </c>
      <c r="AC526" s="8" t="n">
        <v>10.5</v>
      </c>
      <c r="AD526" s="8" t="n">
        <v>0</v>
      </c>
      <c r="AE526" s="8" t="n">
        <v>0</v>
      </c>
      <c r="AF526" s="9" t="n">
        <v>0</v>
      </c>
      <c r="AG526" s="8" t="n">
        <v>10.5</v>
      </c>
      <c r="AH526" s="8" t="n">
        <v>0</v>
      </c>
      <c r="AI526" s="8" t="n">
        <v>0</v>
      </c>
      <c r="AJ526" s="8" t="n">
        <v>0</v>
      </c>
      <c r="AK526" s="8" t="n">
        <v>0</v>
      </c>
      <c r="AL526" s="8" t="n">
        <v>0</v>
      </c>
      <c r="AM526" s="9" t="n">
        <v>0</v>
      </c>
      <c r="AN526" s="8" t="n">
        <v>0</v>
      </c>
      <c r="AO526" s="8" t="n">
        <v>0</v>
      </c>
      <c r="AP526" s="8" t="n">
        <v>0</v>
      </c>
      <c r="AQ526" s="8" t="n">
        <v>0</v>
      </c>
      <c r="AR526" s="8" t="n">
        <v>0</v>
      </c>
      <c r="AS526" s="8" t="n">
        <v>0</v>
      </c>
      <c r="AT526" s="10">
        <f>SUM(O526:AS526)</f>
        <v/>
      </c>
      <c r="AU526" s="11">
        <f>COUNTIF(O526:AS526, "&gt;0")</f>
        <v/>
      </c>
      <c r="AV526" s="12">
        <f>IF(AU526&gt;=5, 4, IF(AU526&gt;0, INT(AU526/6), 0))</f>
        <v/>
      </c>
      <c r="AW526" s="11" t="n">
        <v>0</v>
      </c>
      <c r="AX526" s="11" t="n">
        <v>0</v>
      </c>
      <c r="AY526" s="13">
        <f>MIN(31, AU526+AV526+AW526+AX526)</f>
        <v/>
      </c>
      <c r="AZ526" s="14">
        <f>31-AY526</f>
        <v/>
      </c>
      <c r="BA526" s="5">
        <f>IF(AX526&gt;0, "01-İstirahat", IF(AZ526&gt;0, "12-Birden Fazla", ""))</f>
        <v/>
      </c>
      <c r="BB526" s="10" t="n">
        <v>39</v>
      </c>
      <c r="BC526" s="8" t="n">
        <v>0</v>
      </c>
      <c r="BD526" s="9" t="n">
        <v>0</v>
      </c>
      <c r="BE526" s="7">
        <f>(L526/30)*AU526</f>
        <v/>
      </c>
      <c r="BF526" s="15">
        <f>(L526/225)*((BB526*1.5)-(BC526*1.0))</f>
        <v/>
      </c>
      <c r="BG526" s="16">
        <f>(L526/225)*1.5*BD526</f>
        <v/>
      </c>
      <c r="BH526" s="15">
        <f>BF526+BG526</f>
        <v/>
      </c>
      <c r="BI526" s="17">
        <f>BE526+BH526</f>
        <v/>
      </c>
      <c r="BJ526" s="7">
        <f>IFERROR(VLOOKUP(B526, Resmi_Bordro_SGK!B:M, 11, FALSE), 0)</f>
        <v/>
      </c>
      <c r="BK526" s="18">
        <f>IFERROR(VLOOKUP(B526, Icra_Takip!A:E, 4, FALSE), 0)</f>
        <v/>
      </c>
      <c r="BL526" s="17">
        <f>IF(BI526&gt;BJ526, BI526-BJ526-BK526, 0)</f>
        <v/>
      </c>
      <c r="BM526" s="17">
        <f>BI526-BK526</f>
        <v/>
      </c>
    </row>
    <row r="527" ht="19" customHeight="1">
      <c r="A527" s="4" t="n">
        <v>524</v>
      </c>
      <c r="B527" s="5" t="inlineStr">
        <is>
          <t>01123</t>
        </is>
      </c>
      <c r="C527" s="6" t="inlineStr">
        <is>
          <t>HAVİN BATIBEY</t>
        </is>
      </c>
      <c r="D527" s="4" t="inlineStr"/>
      <c r="E527" s="4" t="inlineStr"/>
      <c r="F527" s="4" t="inlineStr"/>
      <c r="G527" s="4" t="inlineStr"/>
      <c r="H527" s="4" t="inlineStr">
        <is>
          <t>NORMAL</t>
        </is>
      </c>
      <c r="I527" s="4" t="inlineStr">
        <is>
          <t>MEVSİMLİK</t>
        </is>
      </c>
      <c r="J527" s="6" t="inlineStr">
        <is>
          <t>DİĞER</t>
        </is>
      </c>
      <c r="K527" s="6" t="inlineStr"/>
      <c r="L527" s="7" t="n">
        <v>0</v>
      </c>
      <c r="M527" s="4" t="inlineStr">
        <is>
          <t>FİDE KONSERVE</t>
        </is>
      </c>
      <c r="N527" s="4" t="inlineStr">
        <is>
          <t>ALIR</t>
        </is>
      </c>
      <c r="O527" s="19" t="n">
        <v>0</v>
      </c>
      <c r="P527" s="19" t="n">
        <v>0</v>
      </c>
      <c r="Q527" s="19" t="n">
        <v>0</v>
      </c>
      <c r="R527" s="9" t="n">
        <v>0</v>
      </c>
      <c r="S527" s="19" t="n">
        <v>0</v>
      </c>
      <c r="T527" s="19" t="n">
        <v>0</v>
      </c>
      <c r="U527" s="19" t="n">
        <v>7</v>
      </c>
      <c r="V527" s="19" t="n">
        <v>0</v>
      </c>
      <c r="W527" s="19" t="n">
        <v>0</v>
      </c>
      <c r="X527" s="19" t="n">
        <v>0</v>
      </c>
      <c r="Y527" s="9" t="n">
        <v>0</v>
      </c>
      <c r="Z527" s="19" t="n">
        <v>0</v>
      </c>
      <c r="AA527" s="19" t="n">
        <v>0</v>
      </c>
      <c r="AB527" s="19" t="n">
        <v>0</v>
      </c>
      <c r="AC527" s="19" t="n">
        <v>0</v>
      </c>
      <c r="AD527" s="19" t="n">
        <v>0</v>
      </c>
      <c r="AE527" s="19" t="n">
        <v>0</v>
      </c>
      <c r="AF527" s="9" t="n">
        <v>0</v>
      </c>
      <c r="AG527" s="19" t="n">
        <v>0</v>
      </c>
      <c r="AH527" s="19" t="n">
        <v>0</v>
      </c>
      <c r="AI527" s="19" t="n">
        <v>0</v>
      </c>
      <c r="AJ527" s="19" t="n">
        <v>0</v>
      </c>
      <c r="AK527" s="19" t="n">
        <v>0</v>
      </c>
      <c r="AL527" s="19" t="n">
        <v>0</v>
      </c>
      <c r="AM527" s="9" t="n">
        <v>0</v>
      </c>
      <c r="AN527" s="19" t="n">
        <v>0</v>
      </c>
      <c r="AO527" s="19" t="n">
        <v>0</v>
      </c>
      <c r="AP527" s="19" t="n">
        <v>0</v>
      </c>
      <c r="AQ527" s="19" t="n">
        <v>0</v>
      </c>
      <c r="AR527" s="19" t="n">
        <v>0</v>
      </c>
      <c r="AS527" s="19" t="n">
        <v>0</v>
      </c>
      <c r="AT527" s="10">
        <f>SUM(O527:AS527)</f>
        <v/>
      </c>
      <c r="AU527" s="20">
        <f>COUNTIF(O527:AS527, "&gt;0")</f>
        <v/>
      </c>
      <c r="AV527" s="12">
        <f>IF(AU527&gt;=5, 4, IF(AU527&gt;0, INT(AU527/6), 0))</f>
        <v/>
      </c>
      <c r="AW527" s="20" t="n">
        <v>0</v>
      </c>
      <c r="AX527" s="20" t="n">
        <v>0</v>
      </c>
      <c r="AY527" s="13">
        <f>MIN(31, AU527+AV527+AW527+AX527)</f>
        <v/>
      </c>
      <c r="AZ527" s="14">
        <f>31-AY527</f>
        <v/>
      </c>
      <c r="BA527" s="21">
        <f>IF(AX527&gt;0, "01-İstirahat", IF(AZ527&gt;0, "12-Birden Fazla", ""))</f>
        <v/>
      </c>
      <c r="BB527" s="10" t="n">
        <v>0</v>
      </c>
      <c r="BC527" s="23" t="n">
        <v>0.5</v>
      </c>
      <c r="BD527" s="9" t="n">
        <v>0</v>
      </c>
      <c r="BE527" s="22">
        <f>(L527/30)*AU527</f>
        <v/>
      </c>
      <c r="BF527" s="15">
        <f>(L527/225)*((BB527*1.5)-(BC527*1.0))</f>
        <v/>
      </c>
      <c r="BG527" s="16">
        <f>(L527/225)*1.5*BD527</f>
        <v/>
      </c>
      <c r="BH527" s="15">
        <f>BF527+BG527</f>
        <v/>
      </c>
      <c r="BI527" s="17">
        <f>BE527+BH527</f>
        <v/>
      </c>
      <c r="BJ527" s="22">
        <f>IFERROR(VLOOKUP(B527, Resmi_Bordro_SGK!B:M, 11, FALSE), 0)</f>
        <v/>
      </c>
      <c r="BK527" s="18">
        <f>IFERROR(VLOOKUP(B527, Icra_Takip!A:E, 4, FALSE), 0)</f>
        <v/>
      </c>
      <c r="BL527" s="17">
        <f>IF(BI527&gt;BJ527, BI527-BJ527-BK527, 0)</f>
        <v/>
      </c>
      <c r="BM527" s="17">
        <f>BI527-BK527</f>
        <v/>
      </c>
    </row>
    <row r="528" ht="19" customHeight="1">
      <c r="A528" s="4" t="n">
        <v>525</v>
      </c>
      <c r="B528" s="5" t="inlineStr">
        <is>
          <t>01484</t>
        </is>
      </c>
      <c r="C528" s="6" t="inlineStr">
        <is>
          <t>HİLAL KARAKOÇ</t>
        </is>
      </c>
      <c r="D528" s="4" t="inlineStr"/>
      <c r="E528" s="4" t="inlineStr"/>
      <c r="F528" s="4" t="inlineStr"/>
      <c r="G528" s="4" t="inlineStr"/>
      <c r="H528" s="4" t="inlineStr">
        <is>
          <t>NORMAL</t>
        </is>
      </c>
      <c r="I528" s="4" t="inlineStr">
        <is>
          <t>MEVSİMLİK</t>
        </is>
      </c>
      <c r="J528" s="6" t="inlineStr">
        <is>
          <t>DİĞER</t>
        </is>
      </c>
      <c r="K528" s="6" t="inlineStr"/>
      <c r="L528" s="7" t="n">
        <v>0</v>
      </c>
      <c r="M528" s="4" t="inlineStr">
        <is>
          <t>FİDE KONSERVE</t>
        </is>
      </c>
      <c r="N528" s="4" t="inlineStr">
        <is>
          <t>ALIR</t>
        </is>
      </c>
      <c r="O528" s="8" t="n">
        <v>0</v>
      </c>
      <c r="P528" s="8" t="n">
        <v>0</v>
      </c>
      <c r="Q528" s="8" t="n">
        <v>8</v>
      </c>
      <c r="R528" s="9" t="n">
        <v>0</v>
      </c>
      <c r="S528" s="8" t="n">
        <v>7.5</v>
      </c>
      <c r="T528" s="8" t="n">
        <v>8</v>
      </c>
      <c r="U528" s="8" t="n">
        <v>8</v>
      </c>
      <c r="V528" s="8" t="n">
        <v>8</v>
      </c>
      <c r="W528" s="8" t="n">
        <v>8</v>
      </c>
      <c r="X528" s="8" t="n">
        <v>8.5</v>
      </c>
      <c r="Y528" s="9" t="n">
        <v>0</v>
      </c>
      <c r="Z528" s="8" t="n">
        <v>0</v>
      </c>
      <c r="AA528" s="8" t="n">
        <v>7.5</v>
      </c>
      <c r="AB528" s="8" t="n">
        <v>0</v>
      </c>
      <c r="AC528" s="8" t="n">
        <v>7.5</v>
      </c>
      <c r="AD528" s="8" t="n">
        <v>7.5</v>
      </c>
      <c r="AE528" s="8" t="n">
        <v>8.5</v>
      </c>
      <c r="AF528" s="9" t="n">
        <v>0</v>
      </c>
      <c r="AG528" s="8" t="n">
        <v>8.5</v>
      </c>
      <c r="AH528" s="8" t="n">
        <v>7.5</v>
      </c>
      <c r="AI528" s="8" t="n">
        <v>7.5</v>
      </c>
      <c r="AJ528" s="8" t="n">
        <v>0</v>
      </c>
      <c r="AK528" s="8" t="n">
        <v>0</v>
      </c>
      <c r="AL528" s="8" t="n">
        <v>0</v>
      </c>
      <c r="AM528" s="9" t="n">
        <v>0</v>
      </c>
      <c r="AN528" s="8" t="n">
        <v>0</v>
      </c>
      <c r="AO528" s="8" t="n">
        <v>0</v>
      </c>
      <c r="AP528" s="8" t="n">
        <v>0</v>
      </c>
      <c r="AQ528" s="8" t="n">
        <v>0</v>
      </c>
      <c r="AR528" s="8" t="n">
        <v>0</v>
      </c>
      <c r="AS528" s="8" t="n">
        <v>0</v>
      </c>
      <c r="AT528" s="10">
        <f>SUM(O528:AS528)</f>
        <v/>
      </c>
      <c r="AU528" s="11">
        <f>COUNTIF(O528:AS528, "&gt;0")</f>
        <v/>
      </c>
      <c r="AV528" s="12">
        <f>IF(AU528&gt;=5, 4, IF(AU528&gt;0, INT(AU528/6), 0))</f>
        <v/>
      </c>
      <c r="AW528" s="11" t="n">
        <v>0</v>
      </c>
      <c r="AX528" s="11" t="n">
        <v>0</v>
      </c>
      <c r="AY528" s="13">
        <f>MIN(31, AU528+AV528+AW528+AX528)</f>
        <v/>
      </c>
      <c r="AZ528" s="14">
        <f>31-AY528</f>
        <v/>
      </c>
      <c r="BA528" s="5">
        <f>IF(AX528&gt;0, "01-İstirahat", IF(AZ528&gt;0, "12-Birden Fazla", ""))</f>
        <v/>
      </c>
      <c r="BB528" s="10" t="n">
        <v>5.5</v>
      </c>
      <c r="BC528" s="8" t="n">
        <v>0</v>
      </c>
      <c r="BD528" s="9" t="n">
        <v>0</v>
      </c>
      <c r="BE528" s="7">
        <f>(L528/30)*AU528</f>
        <v/>
      </c>
      <c r="BF528" s="15">
        <f>(L528/225)*((BB528*1.5)-(BC528*1.0))</f>
        <v/>
      </c>
      <c r="BG528" s="16">
        <f>(L528/225)*1.5*BD528</f>
        <v/>
      </c>
      <c r="BH528" s="15">
        <f>BF528+BG528</f>
        <v/>
      </c>
      <c r="BI528" s="17">
        <f>BE528+BH528</f>
        <v/>
      </c>
      <c r="BJ528" s="7">
        <f>IFERROR(VLOOKUP(B528, Resmi_Bordro_SGK!B:M, 11, FALSE), 0)</f>
        <v/>
      </c>
      <c r="BK528" s="18">
        <f>IFERROR(VLOOKUP(B528, Icra_Takip!A:E, 4, FALSE), 0)</f>
        <v/>
      </c>
      <c r="BL528" s="17">
        <f>IF(BI528&gt;BJ528, BI528-BJ528-BK528, 0)</f>
        <v/>
      </c>
      <c r="BM528" s="17">
        <f>BI528-BK528</f>
        <v/>
      </c>
    </row>
    <row r="529" ht="19" customHeight="1">
      <c r="A529" s="4" t="n">
        <v>526</v>
      </c>
      <c r="B529" s="5" t="inlineStr">
        <is>
          <t>01424</t>
        </is>
      </c>
      <c r="C529" s="6" t="inlineStr">
        <is>
          <t>İBÜŞRAHİM İMRE</t>
        </is>
      </c>
      <c r="D529" s="4" t="inlineStr"/>
      <c r="E529" s="4" t="inlineStr"/>
      <c r="F529" s="4" t="inlineStr"/>
      <c r="G529" s="4" t="inlineStr"/>
      <c r="H529" s="4" t="inlineStr">
        <is>
          <t>NORMAL</t>
        </is>
      </c>
      <c r="I529" s="4" t="inlineStr">
        <is>
          <t>MEVSİMLİK</t>
        </is>
      </c>
      <c r="J529" s="6" t="inlineStr">
        <is>
          <t>DİĞER</t>
        </is>
      </c>
      <c r="K529" s="6" t="inlineStr"/>
      <c r="L529" s="7" t="n">
        <v>0</v>
      </c>
      <c r="M529" s="4" t="inlineStr">
        <is>
          <t>FİDE KONSERVE</t>
        </is>
      </c>
      <c r="N529" s="4" t="inlineStr">
        <is>
          <t>ALIR</t>
        </is>
      </c>
      <c r="O529" s="19" t="n">
        <v>0</v>
      </c>
      <c r="P529" s="19" t="n">
        <v>10.5</v>
      </c>
      <c r="Q529" s="19" t="n">
        <v>10.5</v>
      </c>
      <c r="R529" s="9" t="n">
        <v>10.5</v>
      </c>
      <c r="S529" s="19" t="n">
        <v>0</v>
      </c>
      <c r="T529" s="19" t="n">
        <v>10.5</v>
      </c>
      <c r="U529" s="19" t="n">
        <v>10.5</v>
      </c>
      <c r="V529" s="19" t="n">
        <v>10.5</v>
      </c>
      <c r="W529" s="19" t="n">
        <v>10.5</v>
      </c>
      <c r="X529" s="19" t="n">
        <v>10.5</v>
      </c>
      <c r="Y529" s="9" t="n">
        <v>10.5</v>
      </c>
      <c r="Z529" s="19" t="n">
        <v>0</v>
      </c>
      <c r="AA529" s="23" t="n">
        <v>10.5</v>
      </c>
      <c r="AB529" s="19" t="n">
        <v>10.5</v>
      </c>
      <c r="AC529" s="19" t="n">
        <v>10.5</v>
      </c>
      <c r="AD529" s="19" t="n">
        <v>0</v>
      </c>
      <c r="AE529" s="19" t="n">
        <v>0</v>
      </c>
      <c r="AF529" s="9" t="n">
        <v>10.5</v>
      </c>
      <c r="AG529" s="19" t="n">
        <v>10.5</v>
      </c>
      <c r="AH529" s="19" t="n">
        <v>0</v>
      </c>
      <c r="AI529" s="19" t="n">
        <v>0</v>
      </c>
      <c r="AJ529" s="19" t="n">
        <v>0</v>
      </c>
      <c r="AK529" s="19" t="n">
        <v>0</v>
      </c>
      <c r="AL529" s="19" t="n">
        <v>0</v>
      </c>
      <c r="AM529" s="9" t="n">
        <v>0</v>
      </c>
      <c r="AN529" s="19" t="n">
        <v>0</v>
      </c>
      <c r="AO529" s="19" t="n">
        <v>0</v>
      </c>
      <c r="AP529" s="19" t="n">
        <v>0</v>
      </c>
      <c r="AQ529" s="19" t="n">
        <v>0</v>
      </c>
      <c r="AR529" s="19" t="n">
        <v>0</v>
      </c>
      <c r="AS529" s="19" t="n">
        <v>0</v>
      </c>
      <c r="AT529" s="10">
        <f>SUM(O529:AS529)</f>
        <v/>
      </c>
      <c r="AU529" s="20">
        <f>COUNTIF(O529:AS529, "&gt;0")</f>
        <v/>
      </c>
      <c r="AV529" s="12">
        <f>IF(AU529&gt;=5, 4, IF(AU529&gt;0, INT(AU529/6), 0))</f>
        <v/>
      </c>
      <c r="AW529" s="20" t="n">
        <v>0</v>
      </c>
      <c r="AX529" s="20" t="n">
        <v>0</v>
      </c>
      <c r="AY529" s="13">
        <f>MIN(31, AU529+AV529+AW529+AX529)</f>
        <v/>
      </c>
      <c r="AZ529" s="14">
        <f>31-AY529</f>
        <v/>
      </c>
      <c r="BA529" s="21">
        <f>IF(AX529&gt;0, "01-İstirahat", IF(AZ529&gt;0, "12-Birden Fazla", ""))</f>
        <v/>
      </c>
      <c r="BB529" s="10" t="n">
        <v>33</v>
      </c>
      <c r="BC529" s="19" t="n">
        <v>0</v>
      </c>
      <c r="BD529" s="9" t="n">
        <v>31.5</v>
      </c>
      <c r="BE529" s="22">
        <f>(L529/30)*AU529</f>
        <v/>
      </c>
      <c r="BF529" s="15">
        <f>(L529/225)*((BB529*1.5)-(BC529*1.0))</f>
        <v/>
      </c>
      <c r="BG529" s="16">
        <f>(L529/225)*1.5*BD529</f>
        <v/>
      </c>
      <c r="BH529" s="15">
        <f>BF529+BG529</f>
        <v/>
      </c>
      <c r="BI529" s="17">
        <f>BE529+BH529</f>
        <v/>
      </c>
      <c r="BJ529" s="22">
        <f>IFERROR(VLOOKUP(B529, Resmi_Bordro_SGK!B:M, 11, FALSE), 0)</f>
        <v/>
      </c>
      <c r="BK529" s="18">
        <f>IFERROR(VLOOKUP(B529, Icra_Takip!A:E, 4, FALSE), 0)</f>
        <v/>
      </c>
      <c r="BL529" s="17">
        <f>IF(BI529&gt;BJ529, BI529-BJ529-BK529, 0)</f>
        <v/>
      </c>
      <c r="BM529" s="17">
        <f>BI529-BK529</f>
        <v/>
      </c>
    </row>
    <row r="530" ht="19" customHeight="1">
      <c r="A530" s="4" t="n">
        <v>527</v>
      </c>
      <c r="B530" s="5" t="inlineStr">
        <is>
          <t>01423</t>
        </is>
      </c>
      <c r="C530" s="6" t="inlineStr">
        <is>
          <t>İBÜŞRAHİM HALİL ALPAN</t>
        </is>
      </c>
      <c r="D530" s="4" t="inlineStr"/>
      <c r="E530" s="4" t="inlineStr"/>
      <c r="F530" s="4" t="inlineStr"/>
      <c r="G530" s="4" t="inlineStr"/>
      <c r="H530" s="4" t="inlineStr">
        <is>
          <t>NORMAL</t>
        </is>
      </c>
      <c r="I530" s="4" t="inlineStr">
        <is>
          <t>MEVSİMLİK</t>
        </is>
      </c>
      <c r="J530" s="6" t="inlineStr">
        <is>
          <t>DİĞER</t>
        </is>
      </c>
      <c r="K530" s="6" t="inlineStr"/>
      <c r="L530" s="7" t="n">
        <v>0</v>
      </c>
      <c r="M530" s="4" t="inlineStr">
        <is>
          <t>FİDE KONSERVE</t>
        </is>
      </c>
      <c r="N530" s="4" t="inlineStr">
        <is>
          <t>ALIR</t>
        </is>
      </c>
      <c r="O530" s="8" t="n">
        <v>0</v>
      </c>
      <c r="P530" s="8" t="n">
        <v>0</v>
      </c>
      <c r="Q530" s="23" t="n">
        <v>8</v>
      </c>
      <c r="R530" s="9" t="n">
        <v>0</v>
      </c>
      <c r="S530" s="8" t="n">
        <v>0</v>
      </c>
      <c r="T530" s="8" t="n">
        <v>8</v>
      </c>
      <c r="U530" s="8" t="n">
        <v>8</v>
      </c>
      <c r="V530" s="8" t="n">
        <v>8</v>
      </c>
      <c r="W530" s="8" t="n">
        <v>8</v>
      </c>
      <c r="X530" s="8" t="n">
        <v>8.5</v>
      </c>
      <c r="Y530" s="9" t="n">
        <v>0</v>
      </c>
      <c r="Z530" s="8" t="n">
        <v>0</v>
      </c>
      <c r="AA530" s="8" t="n">
        <v>7.5</v>
      </c>
      <c r="AB530" s="8" t="n">
        <v>0</v>
      </c>
      <c r="AC530" s="8" t="n">
        <v>7.5</v>
      </c>
      <c r="AD530" s="8" t="n">
        <v>7.5</v>
      </c>
      <c r="AE530" s="8" t="n">
        <v>8.5</v>
      </c>
      <c r="AF530" s="9" t="n">
        <v>0</v>
      </c>
      <c r="AG530" s="8" t="n">
        <v>8</v>
      </c>
      <c r="AH530" s="8" t="n">
        <v>0</v>
      </c>
      <c r="AI530" s="8" t="n">
        <v>0</v>
      </c>
      <c r="AJ530" s="8" t="n">
        <v>0</v>
      </c>
      <c r="AK530" s="8" t="n">
        <v>0</v>
      </c>
      <c r="AL530" s="8" t="n">
        <v>0</v>
      </c>
      <c r="AM530" s="9" t="n">
        <v>0</v>
      </c>
      <c r="AN530" s="8" t="n">
        <v>0</v>
      </c>
      <c r="AO530" s="8" t="n">
        <v>0</v>
      </c>
      <c r="AP530" s="8" t="n">
        <v>0</v>
      </c>
      <c r="AQ530" s="8" t="n">
        <v>0</v>
      </c>
      <c r="AR530" s="8" t="n">
        <v>0</v>
      </c>
      <c r="AS530" s="8" t="n">
        <v>0</v>
      </c>
      <c r="AT530" s="10">
        <f>SUM(O530:AS530)</f>
        <v/>
      </c>
      <c r="AU530" s="11">
        <f>COUNTIF(O530:AS530, "&gt;0")</f>
        <v/>
      </c>
      <c r="AV530" s="12">
        <f>IF(AU530&gt;=5, 4, IF(AU530&gt;0, INT(AU530/6), 0))</f>
        <v/>
      </c>
      <c r="AW530" s="11" t="n">
        <v>0</v>
      </c>
      <c r="AX530" s="11" t="n">
        <v>0</v>
      </c>
      <c r="AY530" s="13">
        <f>MIN(31, AU530+AV530+AW530+AX530)</f>
        <v/>
      </c>
      <c r="AZ530" s="14">
        <f>31-AY530</f>
        <v/>
      </c>
      <c r="BA530" s="5">
        <f>IF(AX530&gt;0, "01-İstirahat", IF(AZ530&gt;0, "12-Birden Fazla", ""))</f>
        <v/>
      </c>
      <c r="BB530" s="10" t="n">
        <v>5</v>
      </c>
      <c r="BC530" s="8" t="n">
        <v>0</v>
      </c>
      <c r="BD530" s="9" t="n">
        <v>0</v>
      </c>
      <c r="BE530" s="7">
        <f>(L530/30)*AU530</f>
        <v/>
      </c>
      <c r="BF530" s="15">
        <f>(L530/225)*((BB530*1.5)-(BC530*1.0))</f>
        <v/>
      </c>
      <c r="BG530" s="16">
        <f>(L530/225)*1.5*BD530</f>
        <v/>
      </c>
      <c r="BH530" s="15">
        <f>BF530+BG530</f>
        <v/>
      </c>
      <c r="BI530" s="17">
        <f>BE530+BH530</f>
        <v/>
      </c>
      <c r="BJ530" s="7">
        <f>IFERROR(VLOOKUP(B530, Resmi_Bordro_SGK!B:M, 11, FALSE), 0)</f>
        <v/>
      </c>
      <c r="BK530" s="18">
        <f>IFERROR(VLOOKUP(B530, Icra_Takip!A:E, 4, FALSE), 0)</f>
        <v/>
      </c>
      <c r="BL530" s="17">
        <f>IF(BI530&gt;BJ530, BI530-BJ530-BK530, 0)</f>
        <v/>
      </c>
      <c r="BM530" s="17">
        <f>BI530-BK530</f>
        <v/>
      </c>
    </row>
    <row r="531" ht="19" customHeight="1">
      <c r="A531" s="4" t="n">
        <v>528</v>
      </c>
      <c r="B531" s="5" t="inlineStr">
        <is>
          <t>01539</t>
        </is>
      </c>
      <c r="C531" s="6" t="inlineStr">
        <is>
          <t>İDAL DÖNER</t>
        </is>
      </c>
      <c r="D531" s="4" t="inlineStr"/>
      <c r="E531" s="4" t="inlineStr"/>
      <c r="F531" s="4" t="inlineStr"/>
      <c r="G531" s="4" t="inlineStr"/>
      <c r="H531" s="4" t="inlineStr">
        <is>
          <t>NORMAL</t>
        </is>
      </c>
      <c r="I531" s="4" t="inlineStr">
        <is>
          <t>MEVSİMLİK</t>
        </is>
      </c>
      <c r="J531" s="6" t="inlineStr">
        <is>
          <t>DİĞER</t>
        </is>
      </c>
      <c r="K531" s="6" t="inlineStr"/>
      <c r="L531" s="7" t="n">
        <v>0</v>
      </c>
      <c r="M531" s="4" t="inlineStr">
        <is>
          <t>FİDE KONSERVE</t>
        </is>
      </c>
      <c r="N531" s="4" t="inlineStr">
        <is>
          <t>ALIR</t>
        </is>
      </c>
      <c r="O531" s="19" t="n">
        <v>0</v>
      </c>
      <c r="P531" s="19" t="n">
        <v>0</v>
      </c>
      <c r="Q531" s="19" t="n">
        <v>0</v>
      </c>
      <c r="R531" s="9" t="n">
        <v>0</v>
      </c>
      <c r="S531" s="19" t="n">
        <v>0</v>
      </c>
      <c r="T531" s="19" t="n">
        <v>0</v>
      </c>
      <c r="U531" s="19" t="n">
        <v>0</v>
      </c>
      <c r="V531" s="19" t="n">
        <v>0</v>
      </c>
      <c r="W531" s="23" t="n">
        <v>4.5</v>
      </c>
      <c r="X531" s="19" t="n">
        <v>10.5</v>
      </c>
      <c r="Y531" s="9" t="n">
        <v>10.5</v>
      </c>
      <c r="Z531" s="19" t="n">
        <v>10.5</v>
      </c>
      <c r="AA531" s="19" t="n">
        <v>7.5</v>
      </c>
      <c r="AB531" s="19" t="n">
        <v>10.5</v>
      </c>
      <c r="AC531" s="19" t="n">
        <v>10.5</v>
      </c>
      <c r="AD531" s="19" t="n">
        <v>0</v>
      </c>
      <c r="AE531" s="19" t="n">
        <v>0</v>
      </c>
      <c r="AF531" s="9" t="n">
        <v>0</v>
      </c>
      <c r="AG531" s="19" t="n">
        <v>10.5</v>
      </c>
      <c r="AH531" s="19" t="n">
        <v>0</v>
      </c>
      <c r="AI531" s="19" t="n">
        <v>7.5</v>
      </c>
      <c r="AJ531" s="19" t="n">
        <v>0</v>
      </c>
      <c r="AK531" s="19" t="n">
        <v>0</v>
      </c>
      <c r="AL531" s="19" t="n">
        <v>0</v>
      </c>
      <c r="AM531" s="9" t="n">
        <v>0</v>
      </c>
      <c r="AN531" s="19" t="n">
        <v>0</v>
      </c>
      <c r="AO531" s="19" t="n">
        <v>0</v>
      </c>
      <c r="AP531" s="19" t="n">
        <v>0</v>
      </c>
      <c r="AQ531" s="19" t="n">
        <v>0</v>
      </c>
      <c r="AR531" s="19" t="n">
        <v>0</v>
      </c>
      <c r="AS531" s="19" t="n">
        <v>0</v>
      </c>
      <c r="AT531" s="10">
        <f>SUM(O531:AS531)</f>
        <v/>
      </c>
      <c r="AU531" s="20">
        <f>COUNTIF(O531:AS531, "&gt;0")</f>
        <v/>
      </c>
      <c r="AV531" s="12">
        <f>IF(AU531&gt;=5, 4, IF(AU531&gt;0, INT(AU531/6), 0))</f>
        <v/>
      </c>
      <c r="AW531" s="20" t="n">
        <v>0</v>
      </c>
      <c r="AX531" s="20" t="n">
        <v>0</v>
      </c>
      <c r="AY531" s="13">
        <f>MIN(31, AU531+AV531+AW531+AX531)</f>
        <v/>
      </c>
      <c r="AZ531" s="14">
        <f>31-AY531</f>
        <v/>
      </c>
      <c r="BA531" s="21">
        <f>IF(AX531&gt;0, "01-İstirahat", IF(AZ531&gt;0, "12-Birden Fazla", ""))</f>
        <v/>
      </c>
      <c r="BB531" s="10" t="n">
        <v>15</v>
      </c>
      <c r="BC531" s="23" t="n">
        <v>3</v>
      </c>
      <c r="BD531" s="9" t="n">
        <v>10.5</v>
      </c>
      <c r="BE531" s="22">
        <f>(L531/30)*AU531</f>
        <v/>
      </c>
      <c r="BF531" s="15">
        <f>(L531/225)*((BB531*1.5)-(BC531*1.0))</f>
        <v/>
      </c>
      <c r="BG531" s="16">
        <f>(L531/225)*1.5*BD531</f>
        <v/>
      </c>
      <c r="BH531" s="15">
        <f>BF531+BG531</f>
        <v/>
      </c>
      <c r="BI531" s="17">
        <f>BE531+BH531</f>
        <v/>
      </c>
      <c r="BJ531" s="22">
        <f>IFERROR(VLOOKUP(B531, Resmi_Bordro_SGK!B:M, 11, FALSE), 0)</f>
        <v/>
      </c>
      <c r="BK531" s="18">
        <f>IFERROR(VLOOKUP(B531, Icra_Takip!A:E, 4, FALSE), 0)</f>
        <v/>
      </c>
      <c r="BL531" s="17">
        <f>IF(BI531&gt;BJ531, BI531-BJ531-BK531, 0)</f>
        <v/>
      </c>
      <c r="BM531" s="17">
        <f>BI531-BK531</f>
        <v/>
      </c>
    </row>
    <row r="532" ht="19" customHeight="1">
      <c r="A532" s="4" t="n">
        <v>529</v>
      </c>
      <c r="B532" s="5" t="inlineStr">
        <is>
          <t>01425</t>
        </is>
      </c>
      <c r="C532" s="6" t="inlineStr">
        <is>
          <t>İİPEK GÜNDOĞAN</t>
        </is>
      </c>
      <c r="D532" s="4" t="inlineStr"/>
      <c r="E532" s="4" t="inlineStr"/>
      <c r="F532" s="4" t="inlineStr"/>
      <c r="G532" s="4" t="inlineStr"/>
      <c r="H532" s="4" t="inlineStr">
        <is>
          <t>NORMAL</t>
        </is>
      </c>
      <c r="I532" s="4" t="inlineStr">
        <is>
          <t>MEVSİMLİK</t>
        </is>
      </c>
      <c r="J532" s="6" t="inlineStr">
        <is>
          <t>DİĞER</t>
        </is>
      </c>
      <c r="K532" s="6" t="inlineStr"/>
      <c r="L532" s="7" t="n">
        <v>0</v>
      </c>
      <c r="M532" s="4" t="inlineStr">
        <is>
          <t>FİDE KONSERVE</t>
        </is>
      </c>
      <c r="N532" s="4" t="inlineStr">
        <is>
          <t>ALIR</t>
        </is>
      </c>
      <c r="O532" s="8" t="n">
        <v>0</v>
      </c>
      <c r="P532" s="23" t="n">
        <v>8.5</v>
      </c>
      <c r="Q532" s="8" t="n">
        <v>0</v>
      </c>
      <c r="R532" s="9" t="n">
        <v>0</v>
      </c>
      <c r="S532" s="8" t="n">
        <v>0</v>
      </c>
      <c r="T532" s="8" t="n">
        <v>0</v>
      </c>
      <c r="U532" s="8" t="n">
        <v>8</v>
      </c>
      <c r="V532" s="8" t="n">
        <v>8</v>
      </c>
      <c r="W532" s="8" t="n">
        <v>8</v>
      </c>
      <c r="X532" s="8" t="n">
        <v>10.5</v>
      </c>
      <c r="Y532" s="9" t="n">
        <v>0</v>
      </c>
      <c r="Z532" s="8" t="n">
        <v>7.5</v>
      </c>
      <c r="AA532" s="8" t="n">
        <v>0</v>
      </c>
      <c r="AB532" s="8" t="n">
        <v>8.5</v>
      </c>
      <c r="AC532" s="8" t="n">
        <v>7.5</v>
      </c>
      <c r="AD532" s="8" t="n">
        <v>0</v>
      </c>
      <c r="AE532" s="8" t="n">
        <v>0</v>
      </c>
      <c r="AF532" s="9" t="n">
        <v>0</v>
      </c>
      <c r="AG532" s="8" t="n">
        <v>0</v>
      </c>
      <c r="AH532" s="8" t="n">
        <v>0</v>
      </c>
      <c r="AI532" s="8" t="n">
        <v>0</v>
      </c>
      <c r="AJ532" s="8" t="n">
        <v>0</v>
      </c>
      <c r="AK532" s="8" t="n">
        <v>0</v>
      </c>
      <c r="AL532" s="8" t="n">
        <v>0</v>
      </c>
      <c r="AM532" s="9" t="n">
        <v>0</v>
      </c>
      <c r="AN532" s="8" t="n">
        <v>0</v>
      </c>
      <c r="AO532" s="8" t="n">
        <v>0</v>
      </c>
      <c r="AP532" s="8" t="n">
        <v>0</v>
      </c>
      <c r="AQ532" s="8" t="n">
        <v>0</v>
      </c>
      <c r="AR532" s="8" t="n">
        <v>0</v>
      </c>
      <c r="AS532" s="8" t="n">
        <v>0</v>
      </c>
      <c r="AT532" s="10">
        <f>SUM(O532:AS532)</f>
        <v/>
      </c>
      <c r="AU532" s="11">
        <f>COUNTIF(O532:AS532, "&gt;0")</f>
        <v/>
      </c>
      <c r="AV532" s="12">
        <f>IF(AU532&gt;=5, 4, IF(AU532&gt;0, INT(AU532/6), 0))</f>
        <v/>
      </c>
      <c r="AW532" s="11" t="n">
        <v>0</v>
      </c>
      <c r="AX532" s="11" t="n">
        <v>0</v>
      </c>
      <c r="AY532" s="13">
        <f>MIN(31, AU532+AV532+AW532+AX532)</f>
        <v/>
      </c>
      <c r="AZ532" s="14">
        <f>31-AY532</f>
        <v/>
      </c>
      <c r="BA532" s="5">
        <f>IF(AX532&gt;0, "01-İstirahat", IF(AZ532&gt;0, "12-Birden Fazla", ""))</f>
        <v/>
      </c>
      <c r="BB532" s="10" t="n">
        <v>6.5</v>
      </c>
      <c r="BC532" s="8" t="n">
        <v>0</v>
      </c>
      <c r="BD532" s="9" t="n">
        <v>0</v>
      </c>
      <c r="BE532" s="7">
        <f>(L532/30)*AU532</f>
        <v/>
      </c>
      <c r="BF532" s="15">
        <f>(L532/225)*((BB532*1.5)-(BC532*1.0))</f>
        <v/>
      </c>
      <c r="BG532" s="16">
        <f>(L532/225)*1.5*BD532</f>
        <v/>
      </c>
      <c r="BH532" s="15">
        <f>BF532+BG532</f>
        <v/>
      </c>
      <c r="BI532" s="17">
        <f>BE532+BH532</f>
        <v/>
      </c>
      <c r="BJ532" s="7">
        <f>IFERROR(VLOOKUP(B532, Resmi_Bordro_SGK!B:M, 11, FALSE), 0)</f>
        <v/>
      </c>
      <c r="BK532" s="18">
        <f>IFERROR(VLOOKUP(B532, Icra_Takip!A:E, 4, FALSE), 0)</f>
        <v/>
      </c>
      <c r="BL532" s="17">
        <f>IF(BI532&gt;BJ532, BI532-BJ532-BK532, 0)</f>
        <v/>
      </c>
      <c r="BM532" s="17">
        <f>BI532-BK532</f>
        <v/>
      </c>
    </row>
    <row r="533" ht="19" customHeight="1">
      <c r="A533" s="4" t="n">
        <v>530</v>
      </c>
      <c r="B533" s="5" t="inlineStr">
        <is>
          <t>01426</t>
        </is>
      </c>
      <c r="C533" s="6" t="inlineStr">
        <is>
          <t>İSLAM TALAN</t>
        </is>
      </c>
      <c r="D533" s="4" t="inlineStr"/>
      <c r="E533" s="4" t="inlineStr"/>
      <c r="F533" s="4" t="inlineStr"/>
      <c r="G533" s="4" t="inlineStr"/>
      <c r="H533" s="4" t="inlineStr">
        <is>
          <t>NORMAL</t>
        </is>
      </c>
      <c r="I533" s="4" t="inlineStr">
        <is>
          <t>MEVSİMLİK</t>
        </is>
      </c>
      <c r="J533" s="6" t="inlineStr">
        <is>
          <t>DİĞER</t>
        </is>
      </c>
      <c r="K533" s="6" t="inlineStr"/>
      <c r="L533" s="7" t="n">
        <v>0</v>
      </c>
      <c r="M533" s="4" t="inlineStr">
        <is>
          <t>FİDE KONSERVE</t>
        </is>
      </c>
      <c r="N533" s="4" t="inlineStr">
        <is>
          <t>ALIR</t>
        </is>
      </c>
      <c r="O533" s="19" t="n">
        <v>0</v>
      </c>
      <c r="P533" s="19" t="n">
        <v>0</v>
      </c>
      <c r="Q533" s="19" t="n">
        <v>10.5</v>
      </c>
      <c r="R533" s="9" t="n">
        <v>0</v>
      </c>
      <c r="S533" s="19" t="n">
        <v>10.5</v>
      </c>
      <c r="T533" s="19" t="n">
        <v>10.5</v>
      </c>
      <c r="U533" s="19" t="n">
        <v>10.5</v>
      </c>
      <c r="V533" s="19" t="n">
        <v>10.5</v>
      </c>
      <c r="W533" s="19" t="n">
        <v>10.5</v>
      </c>
      <c r="X533" s="19" t="n">
        <v>10.5</v>
      </c>
      <c r="Y533" s="9" t="n">
        <v>10.5</v>
      </c>
      <c r="Z533" s="19" t="n">
        <v>10.5</v>
      </c>
      <c r="AA533" s="19" t="n">
        <v>0</v>
      </c>
      <c r="AB533" s="19" t="n">
        <v>10.5</v>
      </c>
      <c r="AC533" s="19" t="n">
        <v>10.5</v>
      </c>
      <c r="AD533" s="19" t="n">
        <v>0</v>
      </c>
      <c r="AE533" s="19" t="n">
        <v>0</v>
      </c>
      <c r="AF533" s="9" t="n">
        <v>0</v>
      </c>
      <c r="AG533" s="19" t="n">
        <v>10.5</v>
      </c>
      <c r="AH533" s="19" t="n">
        <v>0</v>
      </c>
      <c r="AI533" s="19" t="n">
        <v>0</v>
      </c>
      <c r="AJ533" s="19" t="n">
        <v>0</v>
      </c>
      <c r="AK533" s="19" t="n">
        <v>0</v>
      </c>
      <c r="AL533" s="19" t="n">
        <v>0</v>
      </c>
      <c r="AM533" s="9" t="n">
        <v>0</v>
      </c>
      <c r="AN533" s="19" t="n">
        <v>0</v>
      </c>
      <c r="AO533" s="19" t="n">
        <v>0</v>
      </c>
      <c r="AP533" s="19" t="n">
        <v>0</v>
      </c>
      <c r="AQ533" s="19" t="n">
        <v>0</v>
      </c>
      <c r="AR533" s="19" t="n">
        <v>0</v>
      </c>
      <c r="AS533" s="19" t="n">
        <v>0</v>
      </c>
      <c r="AT533" s="10">
        <f>SUM(O533:AS533)</f>
        <v/>
      </c>
      <c r="AU533" s="20">
        <f>COUNTIF(O533:AS533, "&gt;0")</f>
        <v/>
      </c>
      <c r="AV533" s="12">
        <f>IF(AU533&gt;=5, 4, IF(AU533&gt;0, INT(AU533/6), 0))</f>
        <v/>
      </c>
      <c r="AW533" s="20" t="n">
        <v>0</v>
      </c>
      <c r="AX533" s="20" t="n">
        <v>0</v>
      </c>
      <c r="AY533" s="13">
        <f>MIN(31, AU533+AV533+AW533+AX533)</f>
        <v/>
      </c>
      <c r="AZ533" s="14">
        <f>31-AY533</f>
        <v/>
      </c>
      <c r="BA533" s="21">
        <f>IF(AX533&gt;0, "01-İstirahat", IF(AZ533&gt;0, "12-Birden Fazla", ""))</f>
        <v/>
      </c>
      <c r="BB533" s="10" t="n">
        <v>33</v>
      </c>
      <c r="BC533" s="19" t="n">
        <v>0</v>
      </c>
      <c r="BD533" s="9" t="n">
        <v>10.5</v>
      </c>
      <c r="BE533" s="22">
        <f>(L533/30)*AU533</f>
        <v/>
      </c>
      <c r="BF533" s="15">
        <f>(L533/225)*((BB533*1.5)-(BC533*1.0))</f>
        <v/>
      </c>
      <c r="BG533" s="16">
        <f>(L533/225)*1.5*BD533</f>
        <v/>
      </c>
      <c r="BH533" s="15">
        <f>BF533+BG533</f>
        <v/>
      </c>
      <c r="BI533" s="17">
        <f>BE533+BH533</f>
        <v/>
      </c>
      <c r="BJ533" s="22">
        <f>IFERROR(VLOOKUP(B533, Resmi_Bordro_SGK!B:M, 11, FALSE), 0)</f>
        <v/>
      </c>
      <c r="BK533" s="18">
        <f>IFERROR(VLOOKUP(B533, Icra_Takip!A:E, 4, FALSE), 0)</f>
        <v/>
      </c>
      <c r="BL533" s="17">
        <f>IF(BI533&gt;BJ533, BI533-BJ533-BK533, 0)</f>
        <v/>
      </c>
      <c r="BM533" s="17">
        <f>BI533-BK533</f>
        <v/>
      </c>
    </row>
    <row r="534" ht="19" customHeight="1">
      <c r="A534" s="4" t="n">
        <v>531</v>
      </c>
      <c r="B534" s="5" t="inlineStr">
        <is>
          <t>01427</t>
        </is>
      </c>
      <c r="C534" s="6" t="inlineStr">
        <is>
          <t>KADİR KOÇ</t>
        </is>
      </c>
      <c r="D534" s="4" t="inlineStr"/>
      <c r="E534" s="4" t="inlineStr"/>
      <c r="F534" s="4" t="inlineStr"/>
      <c r="G534" s="4" t="inlineStr"/>
      <c r="H534" s="4" t="inlineStr">
        <is>
          <t>NORMAL</t>
        </is>
      </c>
      <c r="I534" s="4" t="inlineStr">
        <is>
          <t>MEVSİMLİK</t>
        </is>
      </c>
      <c r="J534" s="6" t="inlineStr">
        <is>
          <t>DİĞER</t>
        </is>
      </c>
      <c r="K534" s="6" t="inlineStr"/>
      <c r="L534" s="7" t="n">
        <v>0</v>
      </c>
      <c r="M534" s="4" t="inlineStr">
        <is>
          <t>FİDE KONSERVE</t>
        </is>
      </c>
      <c r="N534" s="4" t="inlineStr">
        <is>
          <t>ALIR</t>
        </is>
      </c>
      <c r="O534" s="8" t="n">
        <v>0</v>
      </c>
      <c r="P534" s="23" t="n">
        <v>10.5</v>
      </c>
      <c r="Q534" s="8" t="n">
        <v>10.5</v>
      </c>
      <c r="R534" s="9" t="n">
        <v>10.5</v>
      </c>
      <c r="S534" s="8" t="n">
        <v>10.5</v>
      </c>
      <c r="T534" s="8" t="n">
        <v>0</v>
      </c>
      <c r="U534" s="8" t="n">
        <v>10.5</v>
      </c>
      <c r="V534" s="8" t="n">
        <v>10.5</v>
      </c>
      <c r="W534" s="8" t="n">
        <v>10.5</v>
      </c>
      <c r="X534" s="8" t="n">
        <v>0</v>
      </c>
      <c r="Y534" s="9" t="n">
        <v>0</v>
      </c>
      <c r="Z534" s="23" t="n">
        <v>21</v>
      </c>
      <c r="AA534" s="8" t="n">
        <v>10.5</v>
      </c>
      <c r="AB534" s="8" t="n">
        <v>0</v>
      </c>
      <c r="AC534" s="8" t="n">
        <v>0</v>
      </c>
      <c r="AD534" s="8" t="n">
        <v>0</v>
      </c>
      <c r="AE534" s="8" t="n">
        <v>0</v>
      </c>
      <c r="AF534" s="9" t="n">
        <v>0</v>
      </c>
      <c r="AG534" s="8" t="n">
        <v>0</v>
      </c>
      <c r="AH534" s="8" t="n">
        <v>0</v>
      </c>
      <c r="AI534" s="8" t="n">
        <v>0</v>
      </c>
      <c r="AJ534" s="8" t="n">
        <v>0</v>
      </c>
      <c r="AK534" s="8" t="n">
        <v>0</v>
      </c>
      <c r="AL534" s="8" t="n">
        <v>0</v>
      </c>
      <c r="AM534" s="9" t="n">
        <v>0</v>
      </c>
      <c r="AN534" s="8" t="n">
        <v>0</v>
      </c>
      <c r="AO534" s="8" t="n">
        <v>0</v>
      </c>
      <c r="AP534" s="8" t="n">
        <v>0</v>
      </c>
      <c r="AQ534" s="8" t="n">
        <v>0</v>
      </c>
      <c r="AR534" s="8" t="n">
        <v>0</v>
      </c>
      <c r="AS534" s="8" t="n">
        <v>0</v>
      </c>
      <c r="AT534" s="10">
        <f>SUM(O534:AS534)</f>
        <v/>
      </c>
      <c r="AU534" s="11">
        <f>COUNTIF(O534:AS534, "&gt;0")</f>
        <v/>
      </c>
      <c r="AV534" s="12">
        <f>IF(AU534&gt;=5, 4, IF(AU534&gt;0, INT(AU534/6), 0))</f>
        <v/>
      </c>
      <c r="AW534" s="11" t="n">
        <v>0</v>
      </c>
      <c r="AX534" s="11" t="n">
        <v>0</v>
      </c>
      <c r="AY534" s="13">
        <f>MIN(31, AU534+AV534+AW534+AX534)</f>
        <v/>
      </c>
      <c r="AZ534" s="14">
        <f>31-AY534</f>
        <v/>
      </c>
      <c r="BA534" s="5">
        <f>IF(AX534&gt;0, "01-İstirahat", IF(AZ534&gt;0, "12-Birden Fazla", ""))</f>
        <v/>
      </c>
      <c r="BB534" s="10" t="n">
        <v>34.5</v>
      </c>
      <c r="BC534" s="8" t="n">
        <v>0</v>
      </c>
      <c r="BD534" s="9" t="n">
        <v>10.5</v>
      </c>
      <c r="BE534" s="7">
        <f>(L534/30)*AU534</f>
        <v/>
      </c>
      <c r="BF534" s="15">
        <f>(L534/225)*((BB534*1.5)-(BC534*1.0))</f>
        <v/>
      </c>
      <c r="BG534" s="16">
        <f>(L534/225)*1.5*BD534</f>
        <v/>
      </c>
      <c r="BH534" s="15">
        <f>BF534+BG534</f>
        <v/>
      </c>
      <c r="BI534" s="17">
        <f>BE534+BH534</f>
        <v/>
      </c>
      <c r="BJ534" s="7">
        <f>IFERROR(VLOOKUP(B534, Resmi_Bordro_SGK!B:M, 11, FALSE), 0)</f>
        <v/>
      </c>
      <c r="BK534" s="18">
        <f>IFERROR(VLOOKUP(B534, Icra_Takip!A:E, 4, FALSE), 0)</f>
        <v/>
      </c>
      <c r="BL534" s="17">
        <f>IF(BI534&gt;BJ534, BI534-BJ534-BK534, 0)</f>
        <v/>
      </c>
      <c r="BM534" s="17">
        <f>BI534-BK534</f>
        <v/>
      </c>
    </row>
    <row r="535" ht="19" customHeight="1">
      <c r="A535" s="4" t="n">
        <v>532</v>
      </c>
      <c r="B535" s="5" t="inlineStr">
        <is>
          <t>01481</t>
        </is>
      </c>
      <c r="C535" s="6" t="inlineStr">
        <is>
          <t>KADİR PIRILTI</t>
        </is>
      </c>
      <c r="D535" s="4" t="inlineStr"/>
      <c r="E535" s="4" t="inlineStr"/>
      <c r="F535" s="4" t="inlineStr"/>
      <c r="G535" s="4" t="inlineStr"/>
      <c r="H535" s="4" t="inlineStr">
        <is>
          <t>NORMAL</t>
        </is>
      </c>
      <c r="I535" s="4" t="inlineStr">
        <is>
          <t>MEVSİMLİK</t>
        </is>
      </c>
      <c r="J535" s="6" t="inlineStr">
        <is>
          <t>DİĞER</t>
        </is>
      </c>
      <c r="K535" s="6" t="inlineStr"/>
      <c r="L535" s="7" t="n">
        <v>0</v>
      </c>
      <c r="M535" s="4" t="inlineStr">
        <is>
          <t>FİDE KONSERVE</t>
        </is>
      </c>
      <c r="N535" s="4" t="inlineStr">
        <is>
          <t>ALIR</t>
        </is>
      </c>
      <c r="O535" s="19" t="n">
        <v>0</v>
      </c>
      <c r="P535" s="19" t="n">
        <v>0</v>
      </c>
      <c r="Q535" s="19" t="n">
        <v>10.5</v>
      </c>
      <c r="R535" s="9" t="n">
        <v>0</v>
      </c>
      <c r="S535" s="19" t="n">
        <v>10.5</v>
      </c>
      <c r="T535" s="19" t="n">
        <v>10.5</v>
      </c>
      <c r="U535" s="19" t="n">
        <v>10.5</v>
      </c>
      <c r="V535" s="19" t="n">
        <v>10.5</v>
      </c>
      <c r="W535" s="19" t="n">
        <v>10.5</v>
      </c>
      <c r="X535" s="19" t="n">
        <v>0</v>
      </c>
      <c r="Y535" s="9" t="n">
        <v>0</v>
      </c>
      <c r="Z535" s="19" t="n">
        <v>0</v>
      </c>
      <c r="AA535" s="19" t="n">
        <v>0</v>
      </c>
      <c r="AB535" s="19" t="n">
        <v>0</v>
      </c>
      <c r="AC535" s="19" t="n">
        <v>0</v>
      </c>
      <c r="AD535" s="19" t="n">
        <v>0</v>
      </c>
      <c r="AE535" s="19" t="n">
        <v>0</v>
      </c>
      <c r="AF535" s="9" t="n">
        <v>0</v>
      </c>
      <c r="AG535" s="19" t="n">
        <v>0</v>
      </c>
      <c r="AH535" s="19" t="n">
        <v>0</v>
      </c>
      <c r="AI535" s="19" t="n">
        <v>0</v>
      </c>
      <c r="AJ535" s="19" t="n">
        <v>0</v>
      </c>
      <c r="AK535" s="19" t="n">
        <v>0</v>
      </c>
      <c r="AL535" s="19" t="n">
        <v>0</v>
      </c>
      <c r="AM535" s="9" t="n">
        <v>0</v>
      </c>
      <c r="AN535" s="19" t="n">
        <v>0</v>
      </c>
      <c r="AO535" s="19" t="n">
        <v>0</v>
      </c>
      <c r="AP535" s="19" t="n">
        <v>0</v>
      </c>
      <c r="AQ535" s="19" t="n">
        <v>0</v>
      </c>
      <c r="AR535" s="19" t="n">
        <v>0</v>
      </c>
      <c r="AS535" s="19" t="n">
        <v>0</v>
      </c>
      <c r="AT535" s="10">
        <f>SUM(O535:AS535)</f>
        <v/>
      </c>
      <c r="AU535" s="20">
        <f>COUNTIF(O535:AS535, "&gt;0")</f>
        <v/>
      </c>
      <c r="AV535" s="12">
        <f>IF(AU535&gt;=5, 4, IF(AU535&gt;0, INT(AU535/6), 0))</f>
        <v/>
      </c>
      <c r="AW535" s="20" t="n">
        <v>0</v>
      </c>
      <c r="AX535" s="20" t="n">
        <v>0</v>
      </c>
      <c r="AY535" s="13">
        <f>MIN(31, AU535+AV535+AW535+AX535)</f>
        <v/>
      </c>
      <c r="AZ535" s="14">
        <f>31-AY535</f>
        <v/>
      </c>
      <c r="BA535" s="21">
        <f>IF(AX535&gt;0, "01-İstirahat", IF(AZ535&gt;0, "12-Birden Fazla", ""))</f>
        <v/>
      </c>
      <c r="BB535" s="10" t="n">
        <v>18</v>
      </c>
      <c r="BC535" s="19" t="n">
        <v>0</v>
      </c>
      <c r="BD535" s="9" t="n">
        <v>0</v>
      </c>
      <c r="BE535" s="22">
        <f>(L535/30)*AU535</f>
        <v/>
      </c>
      <c r="BF535" s="15">
        <f>(L535/225)*((BB535*1.5)-(BC535*1.0))</f>
        <v/>
      </c>
      <c r="BG535" s="16">
        <f>(L535/225)*1.5*BD535</f>
        <v/>
      </c>
      <c r="BH535" s="15">
        <f>BF535+BG535</f>
        <v/>
      </c>
      <c r="BI535" s="17">
        <f>BE535+BH535</f>
        <v/>
      </c>
      <c r="BJ535" s="22">
        <f>IFERROR(VLOOKUP(B535, Resmi_Bordro_SGK!B:M, 11, FALSE), 0)</f>
        <v/>
      </c>
      <c r="BK535" s="18">
        <f>IFERROR(VLOOKUP(B535, Icra_Takip!A:E, 4, FALSE), 0)</f>
        <v/>
      </c>
      <c r="BL535" s="17">
        <f>IF(BI535&gt;BJ535, BI535-BJ535-BK535, 0)</f>
        <v/>
      </c>
      <c r="BM535" s="17">
        <f>BI535-BK535</f>
        <v/>
      </c>
    </row>
    <row r="536" ht="19" customHeight="1">
      <c r="A536" s="4" t="n">
        <v>533</v>
      </c>
      <c r="B536" s="5" t="inlineStr">
        <is>
          <t>01541</t>
        </is>
      </c>
      <c r="C536" s="6" t="inlineStr">
        <is>
          <t>MEHMET BAYRAM</t>
        </is>
      </c>
      <c r="D536" s="4" t="inlineStr"/>
      <c r="E536" s="4" t="inlineStr"/>
      <c r="F536" s="4" t="inlineStr"/>
      <c r="G536" s="4" t="inlineStr"/>
      <c r="H536" s="4" t="inlineStr">
        <is>
          <t>NORMAL</t>
        </is>
      </c>
      <c r="I536" s="4" t="inlineStr">
        <is>
          <t>MEVSİMLİK</t>
        </is>
      </c>
      <c r="J536" s="6" t="inlineStr">
        <is>
          <t>DİĞER</t>
        </is>
      </c>
      <c r="K536" s="6" t="inlineStr"/>
      <c r="L536" s="7" t="n">
        <v>0</v>
      </c>
      <c r="M536" s="4" t="inlineStr">
        <is>
          <t>FİDE KONSERVE</t>
        </is>
      </c>
      <c r="N536" s="4" t="inlineStr">
        <is>
          <t>ALIR</t>
        </is>
      </c>
      <c r="O536" s="8" t="n">
        <v>0</v>
      </c>
      <c r="P536" s="8" t="n">
        <v>0</v>
      </c>
      <c r="Q536" s="8" t="n">
        <v>0</v>
      </c>
      <c r="R536" s="9" t="n">
        <v>0</v>
      </c>
      <c r="S536" s="8" t="n">
        <v>0</v>
      </c>
      <c r="T536" s="8" t="n">
        <v>0</v>
      </c>
      <c r="U536" s="8" t="n">
        <v>0</v>
      </c>
      <c r="V536" s="8" t="n">
        <v>0</v>
      </c>
      <c r="W536" s="8" t="n">
        <v>0</v>
      </c>
      <c r="X536" s="8" t="n">
        <v>8.5</v>
      </c>
      <c r="Y536" s="9" t="n">
        <v>0</v>
      </c>
      <c r="Z536" s="8" t="n">
        <v>0</v>
      </c>
      <c r="AA536" s="8" t="n">
        <v>7.5</v>
      </c>
      <c r="AB536" s="8" t="n">
        <v>8.5</v>
      </c>
      <c r="AC536" s="8" t="n">
        <v>10.5</v>
      </c>
      <c r="AD536" s="8" t="n">
        <v>0</v>
      </c>
      <c r="AE536" s="8" t="n">
        <v>0</v>
      </c>
      <c r="AF536" s="9" t="n">
        <v>0</v>
      </c>
      <c r="AG536" s="8" t="n">
        <v>0</v>
      </c>
      <c r="AH536" s="8" t="n">
        <v>0</v>
      </c>
      <c r="AI536" s="8" t="n">
        <v>7.5</v>
      </c>
      <c r="AJ536" s="8" t="n">
        <v>0</v>
      </c>
      <c r="AK536" s="8" t="n">
        <v>0</v>
      </c>
      <c r="AL536" s="8" t="n">
        <v>0</v>
      </c>
      <c r="AM536" s="9" t="n">
        <v>0</v>
      </c>
      <c r="AN536" s="8" t="n">
        <v>0</v>
      </c>
      <c r="AO536" s="8" t="n">
        <v>0</v>
      </c>
      <c r="AP536" s="8" t="n">
        <v>0</v>
      </c>
      <c r="AQ536" s="8" t="n">
        <v>0</v>
      </c>
      <c r="AR536" s="8" t="n">
        <v>0</v>
      </c>
      <c r="AS536" s="8" t="n">
        <v>0</v>
      </c>
      <c r="AT536" s="10">
        <f>SUM(O536:AS536)</f>
        <v/>
      </c>
      <c r="AU536" s="11">
        <f>COUNTIF(O536:AS536, "&gt;0")</f>
        <v/>
      </c>
      <c r="AV536" s="12">
        <f>IF(AU536&gt;=5, 4, IF(AU536&gt;0, INT(AU536/6), 0))</f>
        <v/>
      </c>
      <c r="AW536" s="11" t="n">
        <v>0</v>
      </c>
      <c r="AX536" s="11" t="n">
        <v>0</v>
      </c>
      <c r="AY536" s="13">
        <f>MIN(31, AU536+AV536+AW536+AX536)</f>
        <v/>
      </c>
      <c r="AZ536" s="14">
        <f>31-AY536</f>
        <v/>
      </c>
      <c r="BA536" s="5">
        <f>IF(AX536&gt;0, "01-İstirahat", IF(AZ536&gt;0, "12-Birden Fazla", ""))</f>
        <v/>
      </c>
      <c r="BB536" s="10" t="n">
        <v>5</v>
      </c>
      <c r="BC536" s="8" t="n">
        <v>0</v>
      </c>
      <c r="BD536" s="9" t="n">
        <v>0</v>
      </c>
      <c r="BE536" s="7">
        <f>(L536/30)*AU536</f>
        <v/>
      </c>
      <c r="BF536" s="15">
        <f>(L536/225)*((BB536*1.5)-(BC536*1.0))</f>
        <v/>
      </c>
      <c r="BG536" s="16">
        <f>(L536/225)*1.5*BD536</f>
        <v/>
      </c>
      <c r="BH536" s="15">
        <f>BF536+BG536</f>
        <v/>
      </c>
      <c r="BI536" s="17">
        <f>BE536+BH536</f>
        <v/>
      </c>
      <c r="BJ536" s="7">
        <f>IFERROR(VLOOKUP(B536, Resmi_Bordro_SGK!B:M, 11, FALSE), 0)</f>
        <v/>
      </c>
      <c r="BK536" s="18">
        <f>IFERROR(VLOOKUP(B536, Icra_Takip!A:E, 4, FALSE), 0)</f>
        <v/>
      </c>
      <c r="BL536" s="17">
        <f>IF(BI536&gt;BJ536, BI536-BJ536-BK536, 0)</f>
        <v/>
      </c>
      <c r="BM536" s="17">
        <f>BI536-BK536</f>
        <v/>
      </c>
    </row>
    <row r="537" ht="19" customHeight="1">
      <c r="A537" s="4" t="n">
        <v>534</v>
      </c>
      <c r="B537" s="5" t="inlineStr">
        <is>
          <t>01560</t>
        </is>
      </c>
      <c r="C537" s="6" t="inlineStr">
        <is>
          <t>MEHMET EMİN DEMİREL</t>
        </is>
      </c>
      <c r="D537" s="4" t="inlineStr"/>
      <c r="E537" s="4" t="inlineStr"/>
      <c r="F537" s="4" t="inlineStr"/>
      <c r="G537" s="4" t="inlineStr"/>
      <c r="H537" s="4" t="inlineStr">
        <is>
          <t>NORMAL</t>
        </is>
      </c>
      <c r="I537" s="4" t="inlineStr">
        <is>
          <t>MEVSİMLİK</t>
        </is>
      </c>
      <c r="J537" s="6" t="inlineStr">
        <is>
          <t>DİĞER</t>
        </is>
      </c>
      <c r="K537" s="6" t="inlineStr"/>
      <c r="L537" s="7" t="n">
        <v>0</v>
      </c>
      <c r="M537" s="4" t="inlineStr">
        <is>
          <t>FİDE KONSERVE</t>
        </is>
      </c>
      <c r="N537" s="4" t="inlineStr">
        <is>
          <t>ALIR</t>
        </is>
      </c>
      <c r="O537" s="19" t="n">
        <v>0</v>
      </c>
      <c r="P537" s="19" t="n">
        <v>0</v>
      </c>
      <c r="Q537" s="19" t="n">
        <v>0</v>
      </c>
      <c r="R537" s="9" t="n">
        <v>0</v>
      </c>
      <c r="S537" s="19" t="n">
        <v>0</v>
      </c>
      <c r="T537" s="19" t="n">
        <v>0</v>
      </c>
      <c r="U537" s="19" t="n">
        <v>0</v>
      </c>
      <c r="V537" s="19" t="n">
        <v>0</v>
      </c>
      <c r="W537" s="19" t="n">
        <v>0</v>
      </c>
      <c r="X537" s="19" t="n">
        <v>0</v>
      </c>
      <c r="Y537" s="9" t="n">
        <v>0</v>
      </c>
      <c r="Z537" s="19" t="n">
        <v>0</v>
      </c>
      <c r="AA537" s="19" t="n">
        <v>2</v>
      </c>
      <c r="AB537" s="19" t="n">
        <v>8</v>
      </c>
      <c r="AC537" s="19" t="n">
        <v>7.5</v>
      </c>
      <c r="AD537" s="19" t="n">
        <v>0</v>
      </c>
      <c r="AE537" s="19" t="n">
        <v>0</v>
      </c>
      <c r="AF537" s="9" t="n">
        <v>0</v>
      </c>
      <c r="AG537" s="19" t="n">
        <v>0</v>
      </c>
      <c r="AH537" s="19" t="n">
        <v>0</v>
      </c>
      <c r="AI537" s="19" t="n">
        <v>0</v>
      </c>
      <c r="AJ537" s="19" t="n">
        <v>0</v>
      </c>
      <c r="AK537" s="19" t="n">
        <v>0</v>
      </c>
      <c r="AL537" s="19" t="n">
        <v>0</v>
      </c>
      <c r="AM537" s="9" t="n">
        <v>0</v>
      </c>
      <c r="AN537" s="19" t="n">
        <v>0</v>
      </c>
      <c r="AO537" s="19" t="n">
        <v>0</v>
      </c>
      <c r="AP537" s="19" t="n">
        <v>0</v>
      </c>
      <c r="AQ537" s="19" t="n">
        <v>0</v>
      </c>
      <c r="AR537" s="19" t="n">
        <v>0</v>
      </c>
      <c r="AS537" s="19" t="n">
        <v>0</v>
      </c>
      <c r="AT537" s="10">
        <f>SUM(O537:AS537)</f>
        <v/>
      </c>
      <c r="AU537" s="20">
        <f>COUNTIF(O537:AS537, "&gt;0")</f>
        <v/>
      </c>
      <c r="AV537" s="12">
        <f>IF(AU537&gt;=5, 4, IF(AU537&gt;0, INT(AU537/6), 0))</f>
        <v/>
      </c>
      <c r="AW537" s="20" t="n">
        <v>0</v>
      </c>
      <c r="AX537" s="20" t="n">
        <v>0</v>
      </c>
      <c r="AY537" s="13">
        <f>MIN(31, AU537+AV537+AW537+AX537)</f>
        <v/>
      </c>
      <c r="AZ537" s="14">
        <f>31-AY537</f>
        <v/>
      </c>
      <c r="BA537" s="21">
        <f>IF(AX537&gt;0, "01-İstirahat", IF(AZ537&gt;0, "12-Birden Fazla", ""))</f>
        <v/>
      </c>
      <c r="BB537" s="10" t="n">
        <v>0.5</v>
      </c>
      <c r="BC537" s="23" t="n">
        <v>5.5</v>
      </c>
      <c r="BD537" s="9" t="n">
        <v>0</v>
      </c>
      <c r="BE537" s="22">
        <f>(L537/30)*AU537</f>
        <v/>
      </c>
      <c r="BF537" s="15">
        <f>(L537/225)*((BB537*1.5)-(BC537*1.0))</f>
        <v/>
      </c>
      <c r="BG537" s="16">
        <f>(L537/225)*1.5*BD537</f>
        <v/>
      </c>
      <c r="BH537" s="15">
        <f>BF537+BG537</f>
        <v/>
      </c>
      <c r="BI537" s="17">
        <f>BE537+BH537</f>
        <v/>
      </c>
      <c r="BJ537" s="22">
        <f>IFERROR(VLOOKUP(B537, Resmi_Bordro_SGK!B:M, 11, FALSE), 0)</f>
        <v/>
      </c>
      <c r="BK537" s="18">
        <f>IFERROR(VLOOKUP(B537, Icra_Takip!A:E, 4, FALSE), 0)</f>
        <v/>
      </c>
      <c r="BL537" s="17">
        <f>IF(BI537&gt;BJ537, BI537-BJ537-BK537, 0)</f>
        <v/>
      </c>
      <c r="BM537" s="17">
        <f>BI537-BK537</f>
        <v/>
      </c>
    </row>
    <row r="538" ht="19" customHeight="1">
      <c r="A538" s="4" t="n">
        <v>535</v>
      </c>
      <c r="B538" s="5" t="inlineStr">
        <is>
          <t>01553</t>
        </is>
      </c>
      <c r="C538" s="6" t="inlineStr">
        <is>
          <t>MEHMET KEİREM GÜN</t>
        </is>
      </c>
      <c r="D538" s="4" t="inlineStr"/>
      <c r="E538" s="4" t="inlineStr"/>
      <c r="F538" s="4" t="inlineStr"/>
      <c r="G538" s="4" t="inlineStr"/>
      <c r="H538" s="4" t="inlineStr">
        <is>
          <t>NORMAL</t>
        </is>
      </c>
      <c r="I538" s="4" t="inlineStr">
        <is>
          <t>MEVSİMLİK</t>
        </is>
      </c>
      <c r="J538" s="6" t="inlineStr">
        <is>
          <t>DİĞER</t>
        </is>
      </c>
      <c r="K538" s="6" t="inlineStr"/>
      <c r="L538" s="7" t="n">
        <v>0</v>
      </c>
      <c r="M538" s="4" t="inlineStr">
        <is>
          <t>FİDE KONSERVE</t>
        </is>
      </c>
      <c r="N538" s="4" t="inlineStr">
        <is>
          <t>ALIR</t>
        </is>
      </c>
      <c r="O538" s="8" t="n">
        <v>0</v>
      </c>
      <c r="P538" s="8" t="n">
        <v>0</v>
      </c>
      <c r="Q538" s="8" t="n">
        <v>0</v>
      </c>
      <c r="R538" s="9" t="n">
        <v>0</v>
      </c>
      <c r="S538" s="8" t="n">
        <v>0</v>
      </c>
      <c r="T538" s="8" t="n">
        <v>0</v>
      </c>
      <c r="U538" s="8" t="n">
        <v>0</v>
      </c>
      <c r="V538" s="8" t="n">
        <v>0</v>
      </c>
      <c r="W538" s="8" t="n">
        <v>0</v>
      </c>
      <c r="X538" s="8" t="n">
        <v>0</v>
      </c>
      <c r="Y538" s="9" t="n">
        <v>0</v>
      </c>
      <c r="Z538" s="8" t="n">
        <v>0</v>
      </c>
      <c r="AA538" s="23" t="n">
        <v>7.5</v>
      </c>
      <c r="AB538" s="8" t="n">
        <v>8</v>
      </c>
      <c r="AC538" s="8" t="n">
        <v>7.5</v>
      </c>
      <c r="AD538" s="8" t="n">
        <v>7.5</v>
      </c>
      <c r="AE538" s="8" t="n">
        <v>8.5</v>
      </c>
      <c r="AF538" s="9" t="n">
        <v>0</v>
      </c>
      <c r="AG538" s="8" t="n">
        <v>7.5</v>
      </c>
      <c r="AH538" s="8" t="n">
        <v>7.5</v>
      </c>
      <c r="AI538" s="8" t="n">
        <v>7.5</v>
      </c>
      <c r="AJ538" s="8" t="n">
        <v>0</v>
      </c>
      <c r="AK538" s="8" t="n">
        <v>0</v>
      </c>
      <c r="AL538" s="8" t="n">
        <v>0</v>
      </c>
      <c r="AM538" s="9" t="n">
        <v>0</v>
      </c>
      <c r="AN538" s="8" t="n">
        <v>0</v>
      </c>
      <c r="AO538" s="8" t="n">
        <v>0</v>
      </c>
      <c r="AP538" s="8" t="n">
        <v>0</v>
      </c>
      <c r="AQ538" s="8" t="n">
        <v>0</v>
      </c>
      <c r="AR538" s="8" t="n">
        <v>0</v>
      </c>
      <c r="AS538" s="8" t="n">
        <v>0</v>
      </c>
      <c r="AT538" s="10">
        <f>SUM(O538:AS538)</f>
        <v/>
      </c>
      <c r="AU538" s="11">
        <f>COUNTIF(O538:AS538, "&gt;0")</f>
        <v/>
      </c>
      <c r="AV538" s="12">
        <f>IF(AU538&gt;=5, 4, IF(AU538&gt;0, INT(AU538/6), 0))</f>
        <v/>
      </c>
      <c r="AW538" s="11" t="n">
        <v>0</v>
      </c>
      <c r="AX538" s="11" t="n">
        <v>0</v>
      </c>
      <c r="AY538" s="13">
        <f>MIN(31, AU538+AV538+AW538+AX538)</f>
        <v/>
      </c>
      <c r="AZ538" s="14">
        <f>31-AY538</f>
        <v/>
      </c>
      <c r="BA538" s="5">
        <f>IF(AX538&gt;0, "01-İstirahat", IF(AZ538&gt;0, "12-Birden Fazla", ""))</f>
        <v/>
      </c>
      <c r="BB538" s="10" t="n">
        <v>1.5</v>
      </c>
      <c r="BC538" s="8" t="n">
        <v>0</v>
      </c>
      <c r="BD538" s="9" t="n">
        <v>0</v>
      </c>
      <c r="BE538" s="7">
        <f>(L538/30)*AU538</f>
        <v/>
      </c>
      <c r="BF538" s="15">
        <f>(L538/225)*((BB538*1.5)-(BC538*1.0))</f>
        <v/>
      </c>
      <c r="BG538" s="16">
        <f>(L538/225)*1.5*BD538</f>
        <v/>
      </c>
      <c r="BH538" s="15">
        <f>BF538+BG538</f>
        <v/>
      </c>
      <c r="BI538" s="17">
        <f>BE538+BH538</f>
        <v/>
      </c>
      <c r="BJ538" s="7">
        <f>IFERROR(VLOOKUP(B538, Resmi_Bordro_SGK!B:M, 11, FALSE), 0)</f>
        <v/>
      </c>
      <c r="BK538" s="18">
        <f>IFERROR(VLOOKUP(B538, Icra_Takip!A:E, 4, FALSE), 0)</f>
        <v/>
      </c>
      <c r="BL538" s="17">
        <f>IF(BI538&gt;BJ538, BI538-BJ538-BK538, 0)</f>
        <v/>
      </c>
      <c r="BM538" s="17">
        <f>BI538-BK538</f>
        <v/>
      </c>
    </row>
    <row r="539" ht="19" customHeight="1">
      <c r="A539" s="4" t="n">
        <v>536</v>
      </c>
      <c r="B539" s="5" t="inlineStr">
        <is>
          <t>01475</t>
        </is>
      </c>
      <c r="C539" s="6" t="inlineStr">
        <is>
          <t>MERVE ALTIN</t>
        </is>
      </c>
      <c r="D539" s="4" t="inlineStr"/>
      <c r="E539" s="4" t="inlineStr"/>
      <c r="F539" s="4" t="inlineStr"/>
      <c r="G539" s="4" t="inlineStr"/>
      <c r="H539" s="4" t="inlineStr">
        <is>
          <t>NORMAL</t>
        </is>
      </c>
      <c r="I539" s="4" t="inlineStr">
        <is>
          <t>MEVSİMLİK</t>
        </is>
      </c>
      <c r="J539" s="6" t="inlineStr">
        <is>
          <t>DİĞER</t>
        </is>
      </c>
      <c r="K539" s="6" t="inlineStr"/>
      <c r="L539" s="7" t="n">
        <v>0</v>
      </c>
      <c r="M539" s="4" t="inlineStr">
        <is>
          <t>FİDE KONSERVE</t>
        </is>
      </c>
      <c r="N539" s="4" t="inlineStr">
        <is>
          <t>ALIR</t>
        </is>
      </c>
      <c r="O539" s="19" t="n">
        <v>0</v>
      </c>
      <c r="P539" s="19" t="n">
        <v>10.5</v>
      </c>
      <c r="Q539" s="19" t="n">
        <v>10.5</v>
      </c>
      <c r="R539" s="9" t="n">
        <v>0</v>
      </c>
      <c r="S539" s="19" t="n">
        <v>10.5</v>
      </c>
      <c r="T539" s="19" t="n">
        <v>10.5</v>
      </c>
      <c r="U539" s="19" t="n">
        <v>10.5</v>
      </c>
      <c r="V539" s="19" t="n">
        <v>0</v>
      </c>
      <c r="W539" s="19" t="n">
        <v>10.5</v>
      </c>
      <c r="X539" s="19" t="n">
        <v>10.5</v>
      </c>
      <c r="Y539" s="9" t="n">
        <v>10.5</v>
      </c>
      <c r="Z539" s="19" t="n">
        <v>10.5</v>
      </c>
      <c r="AA539" s="19" t="n">
        <v>0</v>
      </c>
      <c r="AB539" s="19" t="n">
        <v>10.5</v>
      </c>
      <c r="AC539" s="19" t="n">
        <v>0</v>
      </c>
      <c r="AD539" s="19" t="n">
        <v>0</v>
      </c>
      <c r="AE539" s="19" t="n">
        <v>0</v>
      </c>
      <c r="AF539" s="9" t="n">
        <v>0</v>
      </c>
      <c r="AG539" s="23" t="n">
        <v>7.5</v>
      </c>
      <c r="AH539" s="19" t="n">
        <v>0</v>
      </c>
      <c r="AI539" s="19" t="n">
        <v>0</v>
      </c>
      <c r="AJ539" s="19" t="n">
        <v>0</v>
      </c>
      <c r="AK539" s="19" t="n">
        <v>0</v>
      </c>
      <c r="AL539" s="19" t="n">
        <v>0</v>
      </c>
      <c r="AM539" s="9" t="n">
        <v>0</v>
      </c>
      <c r="AN539" s="19" t="n">
        <v>0</v>
      </c>
      <c r="AO539" s="19" t="n">
        <v>0</v>
      </c>
      <c r="AP539" s="19" t="n">
        <v>0</v>
      </c>
      <c r="AQ539" s="19" t="n">
        <v>0</v>
      </c>
      <c r="AR539" s="19" t="n">
        <v>0</v>
      </c>
      <c r="AS539" s="19" t="n">
        <v>0</v>
      </c>
      <c r="AT539" s="10">
        <f>SUM(O539:AS539)</f>
        <v/>
      </c>
      <c r="AU539" s="20">
        <f>COUNTIF(O539:AS539, "&gt;0")</f>
        <v/>
      </c>
      <c r="AV539" s="12">
        <f>IF(AU539&gt;=5, 4, IF(AU539&gt;0, INT(AU539/6), 0))</f>
        <v/>
      </c>
      <c r="AW539" s="20" t="n">
        <v>0</v>
      </c>
      <c r="AX539" s="20" t="n">
        <v>0</v>
      </c>
      <c r="AY539" s="13">
        <f>MIN(31, AU539+AV539+AW539+AX539)</f>
        <v/>
      </c>
      <c r="AZ539" s="14">
        <f>31-AY539</f>
        <v/>
      </c>
      <c r="BA539" s="21">
        <f>IF(AX539&gt;0, "01-İstirahat", IF(AZ539&gt;0, "12-Birden Fazla", ""))</f>
        <v/>
      </c>
      <c r="BB539" s="10" t="n">
        <v>27</v>
      </c>
      <c r="BC539" s="19" t="n">
        <v>0</v>
      </c>
      <c r="BD539" s="9" t="n">
        <v>10.5</v>
      </c>
      <c r="BE539" s="22">
        <f>(L539/30)*AU539</f>
        <v/>
      </c>
      <c r="BF539" s="15">
        <f>(L539/225)*((BB539*1.5)-(BC539*1.0))</f>
        <v/>
      </c>
      <c r="BG539" s="16">
        <f>(L539/225)*1.5*BD539</f>
        <v/>
      </c>
      <c r="BH539" s="15">
        <f>BF539+BG539</f>
        <v/>
      </c>
      <c r="BI539" s="17">
        <f>BE539+BH539</f>
        <v/>
      </c>
      <c r="BJ539" s="22">
        <f>IFERROR(VLOOKUP(B539, Resmi_Bordro_SGK!B:M, 11, FALSE), 0)</f>
        <v/>
      </c>
      <c r="BK539" s="18">
        <f>IFERROR(VLOOKUP(B539, Icra_Takip!A:E, 4, FALSE), 0)</f>
        <v/>
      </c>
      <c r="BL539" s="17">
        <f>IF(BI539&gt;BJ539, BI539-BJ539-BK539, 0)</f>
        <v/>
      </c>
      <c r="BM539" s="17">
        <f>BI539-BK539</f>
        <v/>
      </c>
    </row>
    <row r="540" ht="19" customHeight="1">
      <c r="A540" s="4" t="n">
        <v>537</v>
      </c>
      <c r="B540" s="5" t="inlineStr">
        <is>
          <t>01528</t>
        </is>
      </c>
      <c r="C540" s="6" t="inlineStr">
        <is>
          <t>MERVE İŞLER</t>
        </is>
      </c>
      <c r="D540" s="4" t="inlineStr"/>
      <c r="E540" s="4" t="inlineStr"/>
      <c r="F540" s="4" t="inlineStr"/>
      <c r="G540" s="4" t="inlineStr"/>
      <c r="H540" s="4" t="inlineStr">
        <is>
          <t>NORMAL</t>
        </is>
      </c>
      <c r="I540" s="4" t="inlineStr">
        <is>
          <t>MEVSİMLİK</t>
        </is>
      </c>
      <c r="J540" s="6" t="inlineStr">
        <is>
          <t>DİĞER</t>
        </is>
      </c>
      <c r="K540" s="6" t="inlineStr"/>
      <c r="L540" s="7" t="n">
        <v>0</v>
      </c>
      <c r="M540" s="4" t="inlineStr">
        <is>
          <t>FİDE KONSERVE</t>
        </is>
      </c>
      <c r="N540" s="4" t="inlineStr">
        <is>
          <t>ALIR</t>
        </is>
      </c>
      <c r="O540" s="8" t="n">
        <v>0</v>
      </c>
      <c r="P540" s="8" t="n">
        <v>0</v>
      </c>
      <c r="Q540" s="8" t="n">
        <v>0</v>
      </c>
      <c r="R540" s="9" t="n">
        <v>0</v>
      </c>
      <c r="S540" s="8" t="n">
        <v>0</v>
      </c>
      <c r="T540" s="8" t="n">
        <v>0</v>
      </c>
      <c r="U540" s="8" t="n">
        <v>0</v>
      </c>
      <c r="V540" s="8" t="n">
        <v>10.5</v>
      </c>
      <c r="W540" s="8" t="n">
        <v>0</v>
      </c>
      <c r="X540" s="8" t="n">
        <v>10.5</v>
      </c>
      <c r="Y540" s="9" t="n">
        <v>0</v>
      </c>
      <c r="Z540" s="8" t="n">
        <v>0</v>
      </c>
      <c r="AA540" s="8" t="n">
        <v>0</v>
      </c>
      <c r="AB540" s="8" t="n">
        <v>0</v>
      </c>
      <c r="AC540" s="8" t="n">
        <v>0</v>
      </c>
      <c r="AD540" s="8" t="n">
        <v>0</v>
      </c>
      <c r="AE540" s="8" t="n">
        <v>0</v>
      </c>
      <c r="AF540" s="9" t="n">
        <v>0</v>
      </c>
      <c r="AG540" s="8" t="n">
        <v>0</v>
      </c>
      <c r="AH540" s="8" t="n">
        <v>0</v>
      </c>
      <c r="AI540" s="8" t="n">
        <v>0</v>
      </c>
      <c r="AJ540" s="8" t="n">
        <v>0</v>
      </c>
      <c r="AK540" s="8" t="n">
        <v>0</v>
      </c>
      <c r="AL540" s="8" t="n">
        <v>0</v>
      </c>
      <c r="AM540" s="9" t="n">
        <v>0</v>
      </c>
      <c r="AN540" s="8" t="n">
        <v>0</v>
      </c>
      <c r="AO540" s="8" t="n">
        <v>0</v>
      </c>
      <c r="AP540" s="8" t="n">
        <v>0</v>
      </c>
      <c r="AQ540" s="8" t="n">
        <v>0</v>
      </c>
      <c r="AR540" s="8" t="n">
        <v>0</v>
      </c>
      <c r="AS540" s="8" t="n">
        <v>0</v>
      </c>
      <c r="AT540" s="10">
        <f>SUM(O540:AS540)</f>
        <v/>
      </c>
      <c r="AU540" s="11">
        <f>COUNTIF(O540:AS540, "&gt;0")</f>
        <v/>
      </c>
      <c r="AV540" s="12">
        <f>IF(AU540&gt;=5, 4, IF(AU540&gt;0, INT(AU540/6), 0))</f>
        <v/>
      </c>
      <c r="AW540" s="11" t="n">
        <v>0</v>
      </c>
      <c r="AX540" s="11" t="n">
        <v>0</v>
      </c>
      <c r="AY540" s="13">
        <f>MIN(31, AU540+AV540+AW540+AX540)</f>
        <v/>
      </c>
      <c r="AZ540" s="14">
        <f>31-AY540</f>
        <v/>
      </c>
      <c r="BA540" s="5">
        <f>IF(AX540&gt;0, "01-İstirahat", IF(AZ540&gt;0, "12-Birden Fazla", ""))</f>
        <v/>
      </c>
      <c r="BB540" s="10" t="n">
        <v>6</v>
      </c>
      <c r="BC540" s="8" t="n">
        <v>0</v>
      </c>
      <c r="BD540" s="9" t="n">
        <v>0</v>
      </c>
      <c r="BE540" s="7">
        <f>(L540/30)*AU540</f>
        <v/>
      </c>
      <c r="BF540" s="15">
        <f>(L540/225)*((BB540*1.5)-(BC540*1.0))</f>
        <v/>
      </c>
      <c r="BG540" s="16">
        <f>(L540/225)*1.5*BD540</f>
        <v/>
      </c>
      <c r="BH540" s="15">
        <f>BF540+BG540</f>
        <v/>
      </c>
      <c r="BI540" s="17">
        <f>BE540+BH540</f>
        <v/>
      </c>
      <c r="BJ540" s="7">
        <f>IFERROR(VLOOKUP(B540, Resmi_Bordro_SGK!B:M, 11, FALSE), 0)</f>
        <v/>
      </c>
      <c r="BK540" s="18">
        <f>IFERROR(VLOOKUP(B540, Icra_Takip!A:E, 4, FALSE), 0)</f>
        <v/>
      </c>
      <c r="BL540" s="17">
        <f>IF(BI540&gt;BJ540, BI540-BJ540-BK540, 0)</f>
        <v/>
      </c>
      <c r="BM540" s="17">
        <f>BI540-BK540</f>
        <v/>
      </c>
    </row>
    <row r="541" ht="19" customHeight="1">
      <c r="A541" s="4" t="n">
        <v>538</v>
      </c>
      <c r="B541" s="5" t="inlineStr">
        <is>
          <t>01555</t>
        </is>
      </c>
      <c r="C541" s="6" t="inlineStr">
        <is>
          <t>MİKAİL KOÇ</t>
        </is>
      </c>
      <c r="D541" s="4" t="inlineStr"/>
      <c r="E541" s="4" t="inlineStr"/>
      <c r="F541" s="4" t="inlineStr"/>
      <c r="G541" s="4" t="inlineStr"/>
      <c r="H541" s="4" t="inlineStr">
        <is>
          <t>NORMAL</t>
        </is>
      </c>
      <c r="I541" s="4" t="inlineStr">
        <is>
          <t>MEVSİMLİK</t>
        </is>
      </c>
      <c r="J541" s="6" t="inlineStr">
        <is>
          <t>DİĞER</t>
        </is>
      </c>
      <c r="K541" s="6" t="inlineStr"/>
      <c r="L541" s="7" t="n">
        <v>0</v>
      </c>
      <c r="M541" s="4" t="inlineStr">
        <is>
          <t>FİDE KONSERVE</t>
        </is>
      </c>
      <c r="N541" s="4" t="inlineStr">
        <is>
          <t>ALIR</t>
        </is>
      </c>
      <c r="O541" s="19" t="n">
        <v>0</v>
      </c>
      <c r="P541" s="19" t="n">
        <v>0</v>
      </c>
      <c r="Q541" s="19" t="n">
        <v>0</v>
      </c>
      <c r="R541" s="9" t="n">
        <v>0</v>
      </c>
      <c r="S541" s="19" t="n">
        <v>0</v>
      </c>
      <c r="T541" s="19" t="n">
        <v>0</v>
      </c>
      <c r="U541" s="19" t="n">
        <v>0</v>
      </c>
      <c r="V541" s="19" t="n">
        <v>0</v>
      </c>
      <c r="W541" s="19" t="n">
        <v>0</v>
      </c>
      <c r="X541" s="19" t="n">
        <v>0</v>
      </c>
      <c r="Y541" s="9" t="n">
        <v>0</v>
      </c>
      <c r="Z541" s="19" t="n">
        <v>0</v>
      </c>
      <c r="AA541" s="23" t="n">
        <v>7.5</v>
      </c>
      <c r="AB541" s="19" t="n">
        <v>8</v>
      </c>
      <c r="AC541" s="19" t="n">
        <v>7.5</v>
      </c>
      <c r="AD541" s="19" t="n">
        <v>0</v>
      </c>
      <c r="AE541" s="19" t="n">
        <v>0</v>
      </c>
      <c r="AF541" s="9" t="n">
        <v>0</v>
      </c>
      <c r="AG541" s="19" t="n">
        <v>0</v>
      </c>
      <c r="AH541" s="19" t="n">
        <v>0</v>
      </c>
      <c r="AI541" s="19" t="n">
        <v>0</v>
      </c>
      <c r="AJ541" s="19" t="n">
        <v>0</v>
      </c>
      <c r="AK541" s="19" t="n">
        <v>0</v>
      </c>
      <c r="AL541" s="19" t="n">
        <v>0</v>
      </c>
      <c r="AM541" s="9" t="n">
        <v>0</v>
      </c>
      <c r="AN541" s="19" t="n">
        <v>0</v>
      </c>
      <c r="AO541" s="19" t="n">
        <v>0</v>
      </c>
      <c r="AP541" s="19" t="n">
        <v>0</v>
      </c>
      <c r="AQ541" s="19" t="n">
        <v>0</v>
      </c>
      <c r="AR541" s="19" t="n">
        <v>0</v>
      </c>
      <c r="AS541" s="19" t="n">
        <v>0</v>
      </c>
      <c r="AT541" s="10">
        <f>SUM(O541:AS541)</f>
        <v/>
      </c>
      <c r="AU541" s="20">
        <f>COUNTIF(O541:AS541, "&gt;0")</f>
        <v/>
      </c>
      <c r="AV541" s="12">
        <f>IF(AU541&gt;=5, 4, IF(AU541&gt;0, INT(AU541/6), 0))</f>
        <v/>
      </c>
      <c r="AW541" s="20" t="n">
        <v>0</v>
      </c>
      <c r="AX541" s="20" t="n">
        <v>0</v>
      </c>
      <c r="AY541" s="13">
        <f>MIN(31, AU541+AV541+AW541+AX541)</f>
        <v/>
      </c>
      <c r="AZ541" s="14">
        <f>31-AY541</f>
        <v/>
      </c>
      <c r="BA541" s="21">
        <f>IF(AX541&gt;0, "01-İstirahat", IF(AZ541&gt;0, "12-Birden Fazla", ""))</f>
        <v/>
      </c>
      <c r="BB541" s="10" t="n">
        <v>0.5</v>
      </c>
      <c r="BC541" s="19" t="n">
        <v>0</v>
      </c>
      <c r="BD541" s="9" t="n">
        <v>0</v>
      </c>
      <c r="BE541" s="22">
        <f>(L541/30)*AU541</f>
        <v/>
      </c>
      <c r="BF541" s="15">
        <f>(L541/225)*((BB541*1.5)-(BC541*1.0))</f>
        <v/>
      </c>
      <c r="BG541" s="16">
        <f>(L541/225)*1.5*BD541</f>
        <v/>
      </c>
      <c r="BH541" s="15">
        <f>BF541+BG541</f>
        <v/>
      </c>
      <c r="BI541" s="17">
        <f>BE541+BH541</f>
        <v/>
      </c>
      <c r="BJ541" s="22">
        <f>IFERROR(VLOOKUP(B541, Resmi_Bordro_SGK!B:M, 11, FALSE), 0)</f>
        <v/>
      </c>
      <c r="BK541" s="18">
        <f>IFERROR(VLOOKUP(B541, Icra_Takip!A:E, 4, FALSE), 0)</f>
        <v/>
      </c>
      <c r="BL541" s="17">
        <f>IF(BI541&gt;BJ541, BI541-BJ541-BK541, 0)</f>
        <v/>
      </c>
      <c r="BM541" s="17">
        <f>BI541-BK541</f>
        <v/>
      </c>
    </row>
    <row r="542" ht="19" customHeight="1">
      <c r="A542" s="4" t="n">
        <v>539</v>
      </c>
      <c r="B542" s="5" t="inlineStr">
        <is>
          <t>01431</t>
        </is>
      </c>
      <c r="C542" s="6" t="inlineStr">
        <is>
          <t>MUHAMMED ABDULLAH GÜVEN</t>
        </is>
      </c>
      <c r="D542" s="4" t="inlineStr"/>
      <c r="E542" s="4" t="inlineStr"/>
      <c r="F542" s="4" t="inlineStr"/>
      <c r="G542" s="4" t="inlineStr"/>
      <c r="H542" s="4" t="inlineStr">
        <is>
          <t>NORMAL</t>
        </is>
      </c>
      <c r="I542" s="4" t="inlineStr">
        <is>
          <t>MEVSİMLİK</t>
        </is>
      </c>
      <c r="J542" s="6" t="inlineStr">
        <is>
          <t>DİĞER</t>
        </is>
      </c>
      <c r="K542" s="6" t="inlineStr"/>
      <c r="L542" s="7" t="n">
        <v>0</v>
      </c>
      <c r="M542" s="4" t="inlineStr">
        <is>
          <t>FİDE KONSERVE</t>
        </is>
      </c>
      <c r="N542" s="4" t="inlineStr">
        <is>
          <t>ALIR</t>
        </is>
      </c>
      <c r="O542" s="8" t="n">
        <v>0</v>
      </c>
      <c r="P542" s="23" t="n">
        <v>10.5</v>
      </c>
      <c r="Q542" s="8" t="n">
        <v>10.5</v>
      </c>
      <c r="R542" s="9" t="n">
        <v>0</v>
      </c>
      <c r="S542" s="8" t="n">
        <v>0</v>
      </c>
      <c r="T542" s="8" t="n">
        <v>0</v>
      </c>
      <c r="U542" s="8" t="n">
        <v>0</v>
      </c>
      <c r="V542" s="8" t="n">
        <v>0</v>
      </c>
      <c r="W542" s="8" t="n">
        <v>0</v>
      </c>
      <c r="X542" s="8" t="n">
        <v>0</v>
      </c>
      <c r="Y542" s="9" t="n">
        <v>0</v>
      </c>
      <c r="Z542" s="8" t="n">
        <v>0</v>
      </c>
      <c r="AA542" s="8" t="n">
        <v>0</v>
      </c>
      <c r="AB542" s="8" t="n">
        <v>0</v>
      </c>
      <c r="AC542" s="8" t="n">
        <v>0</v>
      </c>
      <c r="AD542" s="8" t="n">
        <v>0</v>
      </c>
      <c r="AE542" s="8" t="n">
        <v>0</v>
      </c>
      <c r="AF542" s="9" t="n">
        <v>0</v>
      </c>
      <c r="AG542" s="8" t="n">
        <v>0</v>
      </c>
      <c r="AH542" s="8" t="n">
        <v>0</v>
      </c>
      <c r="AI542" s="8" t="n">
        <v>0</v>
      </c>
      <c r="AJ542" s="8" t="n">
        <v>0</v>
      </c>
      <c r="AK542" s="8" t="n">
        <v>0</v>
      </c>
      <c r="AL542" s="8" t="n">
        <v>0</v>
      </c>
      <c r="AM542" s="9" t="n">
        <v>0</v>
      </c>
      <c r="AN542" s="8" t="n">
        <v>0</v>
      </c>
      <c r="AO542" s="8" t="n">
        <v>0</v>
      </c>
      <c r="AP542" s="8" t="n">
        <v>0</v>
      </c>
      <c r="AQ542" s="8" t="n">
        <v>0</v>
      </c>
      <c r="AR542" s="8" t="n">
        <v>0</v>
      </c>
      <c r="AS542" s="8" t="n">
        <v>0</v>
      </c>
      <c r="AT542" s="10">
        <f>SUM(O542:AS542)</f>
        <v/>
      </c>
      <c r="AU542" s="11">
        <f>COUNTIF(O542:AS542, "&gt;0")</f>
        <v/>
      </c>
      <c r="AV542" s="12">
        <f>IF(AU542&gt;=5, 4, IF(AU542&gt;0, INT(AU542/6), 0))</f>
        <v/>
      </c>
      <c r="AW542" s="11" t="n">
        <v>0</v>
      </c>
      <c r="AX542" s="11" t="n">
        <v>0</v>
      </c>
      <c r="AY542" s="13">
        <f>MIN(31, AU542+AV542+AW542+AX542)</f>
        <v/>
      </c>
      <c r="AZ542" s="14">
        <f>31-AY542</f>
        <v/>
      </c>
      <c r="BA542" s="5">
        <f>IF(AX542&gt;0, "01-İstirahat", IF(AZ542&gt;0, "12-Birden Fazla", ""))</f>
        <v/>
      </c>
      <c r="BB542" s="10" t="n">
        <v>6</v>
      </c>
      <c r="BC542" s="8" t="n">
        <v>0</v>
      </c>
      <c r="BD542" s="9" t="n">
        <v>0</v>
      </c>
      <c r="BE542" s="7">
        <f>(L542/30)*AU542</f>
        <v/>
      </c>
      <c r="BF542" s="15">
        <f>(L542/225)*((BB542*1.5)-(BC542*1.0))</f>
        <v/>
      </c>
      <c r="BG542" s="16">
        <f>(L542/225)*1.5*BD542</f>
        <v/>
      </c>
      <c r="BH542" s="15">
        <f>BF542+BG542</f>
        <v/>
      </c>
      <c r="BI542" s="17">
        <f>BE542+BH542</f>
        <v/>
      </c>
      <c r="BJ542" s="7">
        <f>IFERROR(VLOOKUP(B542, Resmi_Bordro_SGK!B:M, 11, FALSE), 0)</f>
        <v/>
      </c>
      <c r="BK542" s="18">
        <f>IFERROR(VLOOKUP(B542, Icra_Takip!A:E, 4, FALSE), 0)</f>
        <v/>
      </c>
      <c r="BL542" s="17">
        <f>IF(BI542&gt;BJ542, BI542-BJ542-BK542, 0)</f>
        <v/>
      </c>
      <c r="BM542" s="17">
        <f>BI542-BK542</f>
        <v/>
      </c>
    </row>
    <row r="543" ht="19" customHeight="1">
      <c r="A543" s="4" t="n">
        <v>540</v>
      </c>
      <c r="B543" s="5" t="inlineStr">
        <is>
          <t>01557</t>
        </is>
      </c>
      <c r="C543" s="6" t="inlineStr">
        <is>
          <t>MUHAMMET ERKAN BİNMEDİ</t>
        </is>
      </c>
      <c r="D543" s="4" t="inlineStr"/>
      <c r="E543" s="4" t="inlineStr"/>
      <c r="F543" s="4" t="inlineStr"/>
      <c r="G543" s="4" t="inlineStr"/>
      <c r="H543" s="4" t="inlineStr">
        <is>
          <t>NORMAL</t>
        </is>
      </c>
      <c r="I543" s="4" t="inlineStr">
        <is>
          <t>MEVSİMLİK</t>
        </is>
      </c>
      <c r="J543" s="6" t="inlineStr">
        <is>
          <t>DİĞER</t>
        </is>
      </c>
      <c r="K543" s="6" t="inlineStr"/>
      <c r="L543" s="7" t="n">
        <v>0</v>
      </c>
      <c r="M543" s="4" t="inlineStr">
        <is>
          <t>FİDE KONSERVE</t>
        </is>
      </c>
      <c r="N543" s="4" t="inlineStr">
        <is>
          <t>ALIR</t>
        </is>
      </c>
      <c r="O543" s="19" t="n">
        <v>0</v>
      </c>
      <c r="P543" s="19" t="n">
        <v>0</v>
      </c>
      <c r="Q543" s="19" t="n">
        <v>0</v>
      </c>
      <c r="R543" s="9" t="n">
        <v>0</v>
      </c>
      <c r="S543" s="19" t="n">
        <v>0</v>
      </c>
      <c r="T543" s="19" t="n">
        <v>0</v>
      </c>
      <c r="U543" s="19" t="n">
        <v>0</v>
      </c>
      <c r="V543" s="19" t="n">
        <v>0</v>
      </c>
      <c r="W543" s="19" t="n">
        <v>0</v>
      </c>
      <c r="X543" s="19" t="n">
        <v>0</v>
      </c>
      <c r="Y543" s="9" t="n">
        <v>0</v>
      </c>
      <c r="Z543" s="19" t="n">
        <v>0</v>
      </c>
      <c r="AA543" s="23" t="n">
        <v>7.5</v>
      </c>
      <c r="AB543" s="19" t="n">
        <v>8</v>
      </c>
      <c r="AC543" s="19" t="n">
        <v>0</v>
      </c>
      <c r="AD543" s="19" t="n">
        <v>7.5</v>
      </c>
      <c r="AE543" s="19" t="n">
        <v>8.5</v>
      </c>
      <c r="AF543" s="9" t="n">
        <v>7.5</v>
      </c>
      <c r="AG543" s="19" t="n">
        <v>0</v>
      </c>
      <c r="AH543" s="19" t="n">
        <v>7.5</v>
      </c>
      <c r="AI543" s="19" t="n">
        <v>7.5</v>
      </c>
      <c r="AJ543" s="19" t="n">
        <v>0</v>
      </c>
      <c r="AK543" s="19" t="n">
        <v>0</v>
      </c>
      <c r="AL543" s="19" t="n">
        <v>0</v>
      </c>
      <c r="AM543" s="9" t="n">
        <v>0</v>
      </c>
      <c r="AN543" s="19" t="n">
        <v>0</v>
      </c>
      <c r="AO543" s="19" t="n">
        <v>0</v>
      </c>
      <c r="AP543" s="19" t="n">
        <v>0</v>
      </c>
      <c r="AQ543" s="19" t="n">
        <v>0</v>
      </c>
      <c r="AR543" s="19" t="n">
        <v>0</v>
      </c>
      <c r="AS543" s="19" t="n">
        <v>0</v>
      </c>
      <c r="AT543" s="10">
        <f>SUM(O543:AS543)</f>
        <v/>
      </c>
      <c r="AU543" s="20">
        <f>COUNTIF(O543:AS543, "&gt;0")</f>
        <v/>
      </c>
      <c r="AV543" s="12">
        <f>IF(AU543&gt;=5, 4, IF(AU543&gt;0, INT(AU543/6), 0))</f>
        <v/>
      </c>
      <c r="AW543" s="20" t="n">
        <v>0</v>
      </c>
      <c r="AX543" s="20" t="n">
        <v>0</v>
      </c>
      <c r="AY543" s="13">
        <f>MIN(31, AU543+AV543+AW543+AX543)</f>
        <v/>
      </c>
      <c r="AZ543" s="14">
        <f>31-AY543</f>
        <v/>
      </c>
      <c r="BA543" s="21">
        <f>IF(AX543&gt;0, "01-İstirahat", IF(AZ543&gt;0, "12-Birden Fazla", ""))</f>
        <v/>
      </c>
      <c r="BB543" s="10" t="n">
        <v>1.5</v>
      </c>
      <c r="BC543" s="19" t="n">
        <v>0</v>
      </c>
      <c r="BD543" s="9" t="n">
        <v>7.5</v>
      </c>
      <c r="BE543" s="22">
        <f>(L543/30)*AU543</f>
        <v/>
      </c>
      <c r="BF543" s="15">
        <f>(L543/225)*((BB543*1.5)-(BC543*1.0))</f>
        <v/>
      </c>
      <c r="BG543" s="16">
        <f>(L543/225)*1.5*BD543</f>
        <v/>
      </c>
      <c r="BH543" s="15">
        <f>BF543+BG543</f>
        <v/>
      </c>
      <c r="BI543" s="17">
        <f>BE543+BH543</f>
        <v/>
      </c>
      <c r="BJ543" s="22">
        <f>IFERROR(VLOOKUP(B543, Resmi_Bordro_SGK!B:M, 11, FALSE), 0)</f>
        <v/>
      </c>
      <c r="BK543" s="18">
        <f>IFERROR(VLOOKUP(B543, Icra_Takip!A:E, 4, FALSE), 0)</f>
        <v/>
      </c>
      <c r="BL543" s="17">
        <f>IF(BI543&gt;BJ543, BI543-BJ543-BK543, 0)</f>
        <v/>
      </c>
      <c r="BM543" s="17">
        <f>BI543-BK543</f>
        <v/>
      </c>
    </row>
    <row r="544" ht="19" customHeight="1">
      <c r="A544" s="4" t="n">
        <v>541</v>
      </c>
      <c r="B544" s="5" t="inlineStr">
        <is>
          <t>01526</t>
        </is>
      </c>
      <c r="C544" s="6" t="inlineStr">
        <is>
          <t>MUHSİN HALBABA</t>
        </is>
      </c>
      <c r="D544" s="4" t="inlineStr"/>
      <c r="E544" s="4" t="inlineStr"/>
      <c r="F544" s="4" t="inlineStr"/>
      <c r="G544" s="4" t="inlineStr"/>
      <c r="H544" s="4" t="inlineStr">
        <is>
          <t>NORMAL</t>
        </is>
      </c>
      <c r="I544" s="4" t="inlineStr">
        <is>
          <t>MEVSİMLİK</t>
        </is>
      </c>
      <c r="J544" s="6" t="inlineStr">
        <is>
          <t>DİĞER</t>
        </is>
      </c>
      <c r="K544" s="6" t="inlineStr"/>
      <c r="L544" s="7" t="n">
        <v>0</v>
      </c>
      <c r="M544" s="4" t="inlineStr">
        <is>
          <t>FİDE KONSERVE</t>
        </is>
      </c>
      <c r="N544" s="4" t="inlineStr">
        <is>
          <t>ALIR</t>
        </is>
      </c>
      <c r="O544" s="8" t="n">
        <v>0</v>
      </c>
      <c r="P544" s="8" t="n">
        <v>0</v>
      </c>
      <c r="Q544" s="8" t="n">
        <v>0</v>
      </c>
      <c r="R544" s="9" t="n">
        <v>0</v>
      </c>
      <c r="S544" s="8" t="n">
        <v>0</v>
      </c>
      <c r="T544" s="8" t="n">
        <v>0</v>
      </c>
      <c r="U544" s="8" t="n">
        <v>0</v>
      </c>
      <c r="V544" s="23" t="n">
        <v>22.5</v>
      </c>
      <c r="W544" s="8" t="n">
        <v>0</v>
      </c>
      <c r="X544" s="8" t="n">
        <v>0</v>
      </c>
      <c r="Y544" s="9" t="n">
        <v>0</v>
      </c>
      <c r="Z544" s="8" t="n">
        <v>0</v>
      </c>
      <c r="AA544" s="8" t="n">
        <v>0</v>
      </c>
      <c r="AB544" s="8" t="n">
        <v>0</v>
      </c>
      <c r="AC544" s="8" t="n">
        <v>0</v>
      </c>
      <c r="AD544" s="8" t="n">
        <v>0</v>
      </c>
      <c r="AE544" s="8" t="n">
        <v>0</v>
      </c>
      <c r="AF544" s="9" t="n">
        <v>0</v>
      </c>
      <c r="AG544" s="8" t="n">
        <v>0</v>
      </c>
      <c r="AH544" s="8" t="n">
        <v>0</v>
      </c>
      <c r="AI544" s="8" t="n">
        <v>0</v>
      </c>
      <c r="AJ544" s="8" t="n">
        <v>0</v>
      </c>
      <c r="AK544" s="8" t="n">
        <v>0</v>
      </c>
      <c r="AL544" s="8" t="n">
        <v>0</v>
      </c>
      <c r="AM544" s="9" t="n">
        <v>0</v>
      </c>
      <c r="AN544" s="8" t="n">
        <v>0</v>
      </c>
      <c r="AO544" s="8" t="n">
        <v>0</v>
      </c>
      <c r="AP544" s="8" t="n">
        <v>0</v>
      </c>
      <c r="AQ544" s="8" t="n">
        <v>0</v>
      </c>
      <c r="AR544" s="8" t="n">
        <v>0</v>
      </c>
      <c r="AS544" s="8" t="n">
        <v>0</v>
      </c>
      <c r="AT544" s="10">
        <f>SUM(O544:AS544)</f>
        <v/>
      </c>
      <c r="AU544" s="11">
        <f>COUNTIF(O544:AS544, "&gt;0")</f>
        <v/>
      </c>
      <c r="AV544" s="12">
        <f>IF(AU544&gt;=5, 4, IF(AU544&gt;0, INT(AU544/6), 0))</f>
        <v/>
      </c>
      <c r="AW544" s="11" t="n">
        <v>0</v>
      </c>
      <c r="AX544" s="11" t="n">
        <v>0</v>
      </c>
      <c r="AY544" s="13">
        <f>MIN(31, AU544+AV544+AW544+AX544)</f>
        <v/>
      </c>
      <c r="AZ544" s="14">
        <f>31-AY544</f>
        <v/>
      </c>
      <c r="BA544" s="5">
        <f>IF(AX544&gt;0, "01-İstirahat", IF(AZ544&gt;0, "12-Birden Fazla", ""))</f>
        <v/>
      </c>
      <c r="BB544" s="10" t="n">
        <v>15</v>
      </c>
      <c r="BC544" s="8" t="n">
        <v>0</v>
      </c>
      <c r="BD544" s="9" t="n">
        <v>0</v>
      </c>
      <c r="BE544" s="7">
        <f>(L544/30)*AU544</f>
        <v/>
      </c>
      <c r="BF544" s="15">
        <f>(L544/225)*((BB544*1.5)-(BC544*1.0))</f>
        <v/>
      </c>
      <c r="BG544" s="16">
        <f>(L544/225)*1.5*BD544</f>
        <v/>
      </c>
      <c r="BH544" s="15">
        <f>BF544+BG544</f>
        <v/>
      </c>
      <c r="BI544" s="17">
        <f>BE544+BH544</f>
        <v/>
      </c>
      <c r="BJ544" s="7">
        <f>IFERROR(VLOOKUP(B544, Resmi_Bordro_SGK!B:M, 11, FALSE), 0)</f>
        <v/>
      </c>
      <c r="BK544" s="18">
        <f>IFERROR(VLOOKUP(B544, Icra_Takip!A:E, 4, FALSE), 0)</f>
        <v/>
      </c>
      <c r="BL544" s="17">
        <f>IF(BI544&gt;BJ544, BI544-BJ544-BK544, 0)</f>
        <v/>
      </c>
      <c r="BM544" s="17">
        <f>BI544-BK544</f>
        <v/>
      </c>
    </row>
    <row r="545" ht="19" customHeight="1">
      <c r="A545" s="4" t="n">
        <v>542</v>
      </c>
      <c r="B545" s="5" t="inlineStr">
        <is>
          <t>01554</t>
        </is>
      </c>
      <c r="C545" s="6" t="inlineStr">
        <is>
          <t>MUSTAFA ALİ ASAR</t>
        </is>
      </c>
      <c r="D545" s="4" t="inlineStr"/>
      <c r="E545" s="4" t="inlineStr"/>
      <c r="F545" s="4" t="inlineStr"/>
      <c r="G545" s="4" t="inlineStr"/>
      <c r="H545" s="4" t="inlineStr">
        <is>
          <t>NORMAL</t>
        </is>
      </c>
      <c r="I545" s="4" t="inlineStr">
        <is>
          <t>MEVSİMLİK</t>
        </is>
      </c>
      <c r="J545" s="6" t="inlineStr">
        <is>
          <t>DİĞER</t>
        </is>
      </c>
      <c r="K545" s="6" t="inlineStr"/>
      <c r="L545" s="7" t="n">
        <v>0</v>
      </c>
      <c r="M545" s="4" t="inlineStr">
        <is>
          <t>FİDE KONSERVE</t>
        </is>
      </c>
      <c r="N545" s="4" t="inlineStr">
        <is>
          <t>ALIR</t>
        </is>
      </c>
      <c r="O545" s="19" t="n">
        <v>0</v>
      </c>
      <c r="P545" s="19" t="n">
        <v>0</v>
      </c>
      <c r="Q545" s="19" t="n">
        <v>0</v>
      </c>
      <c r="R545" s="9" t="n">
        <v>0</v>
      </c>
      <c r="S545" s="19" t="n">
        <v>0</v>
      </c>
      <c r="T545" s="19" t="n">
        <v>0</v>
      </c>
      <c r="U545" s="19" t="n">
        <v>0</v>
      </c>
      <c r="V545" s="19" t="n">
        <v>0</v>
      </c>
      <c r="W545" s="19" t="n">
        <v>0</v>
      </c>
      <c r="X545" s="19" t="n">
        <v>0</v>
      </c>
      <c r="Y545" s="9" t="n">
        <v>0</v>
      </c>
      <c r="Z545" s="19" t="n">
        <v>0</v>
      </c>
      <c r="AA545" s="23" t="n">
        <v>7.5</v>
      </c>
      <c r="AB545" s="19" t="n">
        <v>8</v>
      </c>
      <c r="AC545" s="19" t="n">
        <v>7.5</v>
      </c>
      <c r="AD545" s="19" t="n">
        <v>7.5</v>
      </c>
      <c r="AE545" s="19" t="n">
        <v>8.5</v>
      </c>
      <c r="AF545" s="9" t="n">
        <v>7.5</v>
      </c>
      <c r="AG545" s="19" t="n">
        <v>7.5</v>
      </c>
      <c r="AH545" s="19" t="n">
        <v>7.5</v>
      </c>
      <c r="AI545" s="19" t="n">
        <v>7.5</v>
      </c>
      <c r="AJ545" s="19" t="n">
        <v>0</v>
      </c>
      <c r="AK545" s="19" t="n">
        <v>0</v>
      </c>
      <c r="AL545" s="19" t="n">
        <v>0</v>
      </c>
      <c r="AM545" s="9" t="n">
        <v>0</v>
      </c>
      <c r="AN545" s="19" t="n">
        <v>0</v>
      </c>
      <c r="AO545" s="19" t="n">
        <v>0</v>
      </c>
      <c r="AP545" s="19" t="n">
        <v>0</v>
      </c>
      <c r="AQ545" s="19" t="n">
        <v>0</v>
      </c>
      <c r="AR545" s="19" t="n">
        <v>0</v>
      </c>
      <c r="AS545" s="19" t="n">
        <v>0</v>
      </c>
      <c r="AT545" s="10">
        <f>SUM(O545:AS545)</f>
        <v/>
      </c>
      <c r="AU545" s="20">
        <f>COUNTIF(O545:AS545, "&gt;0")</f>
        <v/>
      </c>
      <c r="AV545" s="12">
        <f>IF(AU545&gt;=5, 4, IF(AU545&gt;0, INT(AU545/6), 0))</f>
        <v/>
      </c>
      <c r="AW545" s="20" t="n">
        <v>0</v>
      </c>
      <c r="AX545" s="20" t="n">
        <v>0</v>
      </c>
      <c r="AY545" s="13">
        <f>MIN(31, AU545+AV545+AW545+AX545)</f>
        <v/>
      </c>
      <c r="AZ545" s="14">
        <f>31-AY545</f>
        <v/>
      </c>
      <c r="BA545" s="21">
        <f>IF(AX545&gt;0, "01-İstirahat", IF(AZ545&gt;0, "12-Birden Fazla", ""))</f>
        <v/>
      </c>
      <c r="BB545" s="10" t="n">
        <v>1.5</v>
      </c>
      <c r="BC545" s="19" t="n">
        <v>0</v>
      </c>
      <c r="BD545" s="9" t="n">
        <v>7.5</v>
      </c>
      <c r="BE545" s="22">
        <f>(L545/30)*AU545</f>
        <v/>
      </c>
      <c r="BF545" s="15">
        <f>(L545/225)*((BB545*1.5)-(BC545*1.0))</f>
        <v/>
      </c>
      <c r="BG545" s="16">
        <f>(L545/225)*1.5*BD545</f>
        <v/>
      </c>
      <c r="BH545" s="15">
        <f>BF545+BG545</f>
        <v/>
      </c>
      <c r="BI545" s="17">
        <f>BE545+BH545</f>
        <v/>
      </c>
      <c r="BJ545" s="22">
        <f>IFERROR(VLOOKUP(B545, Resmi_Bordro_SGK!B:M, 11, FALSE), 0)</f>
        <v/>
      </c>
      <c r="BK545" s="18">
        <f>IFERROR(VLOOKUP(B545, Icra_Takip!A:E, 4, FALSE), 0)</f>
        <v/>
      </c>
      <c r="BL545" s="17">
        <f>IF(BI545&gt;BJ545, BI545-BJ545-BK545, 0)</f>
        <v/>
      </c>
      <c r="BM545" s="17">
        <f>BI545-BK545</f>
        <v/>
      </c>
    </row>
    <row r="546" ht="19" customHeight="1">
      <c r="A546" s="4" t="n">
        <v>543</v>
      </c>
      <c r="B546" s="5" t="inlineStr">
        <is>
          <t>01437</t>
        </is>
      </c>
      <c r="C546" s="6" t="inlineStr">
        <is>
          <t>MUTLU İMRE</t>
        </is>
      </c>
      <c r="D546" s="4" t="inlineStr"/>
      <c r="E546" s="4" t="inlineStr"/>
      <c r="F546" s="4" t="inlineStr"/>
      <c r="G546" s="4" t="inlineStr"/>
      <c r="H546" s="4" t="inlineStr">
        <is>
          <t>NORMAL</t>
        </is>
      </c>
      <c r="I546" s="4" t="inlineStr">
        <is>
          <t>MEVSİMLİK</t>
        </is>
      </c>
      <c r="J546" s="6" t="inlineStr">
        <is>
          <t>DİĞER</t>
        </is>
      </c>
      <c r="K546" s="6" t="inlineStr"/>
      <c r="L546" s="7" t="n">
        <v>0</v>
      </c>
      <c r="M546" s="4" t="inlineStr">
        <is>
          <t>FİDE KONSERVE</t>
        </is>
      </c>
      <c r="N546" s="4" t="inlineStr">
        <is>
          <t>ALIR</t>
        </is>
      </c>
      <c r="O546" s="8" t="n">
        <v>0</v>
      </c>
      <c r="P546" s="23" t="n">
        <v>10.5</v>
      </c>
      <c r="Q546" s="8" t="n">
        <v>10.5</v>
      </c>
      <c r="R546" s="9" t="n">
        <v>10.5</v>
      </c>
      <c r="S546" s="8" t="n">
        <v>0</v>
      </c>
      <c r="T546" s="8" t="n">
        <v>10.5</v>
      </c>
      <c r="U546" s="8" t="n">
        <v>10.5</v>
      </c>
      <c r="V546" s="8" t="n">
        <v>10.5</v>
      </c>
      <c r="W546" s="8" t="n">
        <v>10.5</v>
      </c>
      <c r="X546" s="8" t="n">
        <v>10.5</v>
      </c>
      <c r="Y546" s="9" t="n">
        <v>10.5</v>
      </c>
      <c r="Z546" s="8" t="n">
        <v>10.5</v>
      </c>
      <c r="AA546" s="8" t="n">
        <v>0</v>
      </c>
      <c r="AB546" s="8" t="n">
        <v>10.5</v>
      </c>
      <c r="AC546" s="8" t="n">
        <v>10.5</v>
      </c>
      <c r="AD546" s="8" t="n">
        <v>0</v>
      </c>
      <c r="AE546" s="8" t="n">
        <v>0</v>
      </c>
      <c r="AF546" s="9" t="n">
        <v>10.5</v>
      </c>
      <c r="AG546" s="8" t="n">
        <v>10.5</v>
      </c>
      <c r="AH546" s="8" t="n">
        <v>0</v>
      </c>
      <c r="AI546" s="8" t="n">
        <v>0</v>
      </c>
      <c r="AJ546" s="8" t="n">
        <v>0</v>
      </c>
      <c r="AK546" s="8" t="n">
        <v>0</v>
      </c>
      <c r="AL546" s="8" t="n">
        <v>0</v>
      </c>
      <c r="AM546" s="9" t="n">
        <v>0</v>
      </c>
      <c r="AN546" s="8" t="n">
        <v>0</v>
      </c>
      <c r="AO546" s="8" t="n">
        <v>0</v>
      </c>
      <c r="AP546" s="8" t="n">
        <v>0</v>
      </c>
      <c r="AQ546" s="8" t="n">
        <v>0</v>
      </c>
      <c r="AR546" s="8" t="n">
        <v>0</v>
      </c>
      <c r="AS546" s="8" t="n">
        <v>0</v>
      </c>
      <c r="AT546" s="10">
        <f>SUM(O546:AS546)</f>
        <v/>
      </c>
      <c r="AU546" s="11">
        <f>COUNTIF(O546:AS546, "&gt;0")</f>
        <v/>
      </c>
      <c r="AV546" s="12">
        <f>IF(AU546&gt;=5, 4, IF(AU546&gt;0, INT(AU546/6), 0))</f>
        <v/>
      </c>
      <c r="AW546" s="11" t="n">
        <v>0</v>
      </c>
      <c r="AX546" s="11" t="n">
        <v>0</v>
      </c>
      <c r="AY546" s="13">
        <f>MIN(31, AU546+AV546+AW546+AX546)</f>
        <v/>
      </c>
      <c r="AZ546" s="14">
        <f>31-AY546</f>
        <v/>
      </c>
      <c r="BA546" s="5">
        <f>IF(AX546&gt;0, "01-İstirahat", IF(AZ546&gt;0, "12-Birden Fazla", ""))</f>
        <v/>
      </c>
      <c r="BB546" s="10" t="n">
        <v>33</v>
      </c>
      <c r="BC546" s="8" t="n">
        <v>0</v>
      </c>
      <c r="BD546" s="9" t="n">
        <v>31.5</v>
      </c>
      <c r="BE546" s="7">
        <f>(L546/30)*AU546</f>
        <v/>
      </c>
      <c r="BF546" s="15">
        <f>(L546/225)*((BB546*1.5)-(BC546*1.0))</f>
        <v/>
      </c>
      <c r="BG546" s="16">
        <f>(L546/225)*1.5*BD546</f>
        <v/>
      </c>
      <c r="BH546" s="15">
        <f>BF546+BG546</f>
        <v/>
      </c>
      <c r="BI546" s="17">
        <f>BE546+BH546</f>
        <v/>
      </c>
      <c r="BJ546" s="7">
        <f>IFERROR(VLOOKUP(B546, Resmi_Bordro_SGK!B:M, 11, FALSE), 0)</f>
        <v/>
      </c>
      <c r="BK546" s="18">
        <f>IFERROR(VLOOKUP(B546, Icra_Takip!A:E, 4, FALSE), 0)</f>
        <v/>
      </c>
      <c r="BL546" s="17">
        <f>IF(BI546&gt;BJ546, BI546-BJ546-BK546, 0)</f>
        <v/>
      </c>
      <c r="BM546" s="17">
        <f>BI546-BK546</f>
        <v/>
      </c>
    </row>
    <row r="547" ht="19" customHeight="1">
      <c r="A547" s="4" t="n">
        <v>544</v>
      </c>
      <c r="B547" s="5" t="inlineStr">
        <is>
          <t>01439</t>
        </is>
      </c>
      <c r="C547" s="6" t="inlineStr">
        <is>
          <t>NAZİFE TEMELLİ</t>
        </is>
      </c>
      <c r="D547" s="4" t="inlineStr"/>
      <c r="E547" s="4" t="inlineStr"/>
      <c r="F547" s="4" t="inlineStr"/>
      <c r="G547" s="4" t="inlineStr"/>
      <c r="H547" s="4" t="inlineStr">
        <is>
          <t>NORMAL</t>
        </is>
      </c>
      <c r="I547" s="4" t="inlineStr">
        <is>
          <t>MEVSİMLİK</t>
        </is>
      </c>
      <c r="J547" s="6" t="inlineStr">
        <is>
          <t>DİĞER</t>
        </is>
      </c>
      <c r="K547" s="6" t="inlineStr"/>
      <c r="L547" s="7" t="n">
        <v>0</v>
      </c>
      <c r="M547" s="4" t="inlineStr">
        <is>
          <t>FİDE KONSERVE</t>
        </is>
      </c>
      <c r="N547" s="4" t="inlineStr">
        <is>
          <t>ALIR</t>
        </is>
      </c>
      <c r="O547" s="19" t="n">
        <v>0</v>
      </c>
      <c r="P547" s="19" t="n">
        <v>0</v>
      </c>
      <c r="Q547" s="23" t="n">
        <v>10.5</v>
      </c>
      <c r="R547" s="9" t="n">
        <v>0</v>
      </c>
      <c r="S547" s="19" t="n">
        <v>10.5</v>
      </c>
      <c r="T547" s="19" t="n">
        <v>0</v>
      </c>
      <c r="U547" s="19" t="n">
        <v>10.5</v>
      </c>
      <c r="V547" s="19" t="n">
        <v>0</v>
      </c>
      <c r="W547" s="19" t="n">
        <v>10.5</v>
      </c>
      <c r="X547" s="19" t="n">
        <v>10.5</v>
      </c>
      <c r="Y547" s="9" t="n">
        <v>0</v>
      </c>
      <c r="Z547" s="19" t="n">
        <v>10.5</v>
      </c>
      <c r="AA547" s="19" t="n">
        <v>0</v>
      </c>
      <c r="AB547" s="19" t="n">
        <v>0</v>
      </c>
      <c r="AC547" s="19" t="n">
        <v>0</v>
      </c>
      <c r="AD547" s="19" t="n">
        <v>0</v>
      </c>
      <c r="AE547" s="19" t="n">
        <v>0</v>
      </c>
      <c r="AF547" s="9" t="n">
        <v>0</v>
      </c>
      <c r="AG547" s="19" t="n">
        <v>0</v>
      </c>
      <c r="AH547" s="19" t="n">
        <v>0</v>
      </c>
      <c r="AI547" s="19" t="n">
        <v>0</v>
      </c>
      <c r="AJ547" s="19" t="n">
        <v>0</v>
      </c>
      <c r="AK547" s="19" t="n">
        <v>0</v>
      </c>
      <c r="AL547" s="19" t="n">
        <v>0</v>
      </c>
      <c r="AM547" s="9" t="n">
        <v>0</v>
      </c>
      <c r="AN547" s="19" t="n">
        <v>0</v>
      </c>
      <c r="AO547" s="19" t="n">
        <v>0</v>
      </c>
      <c r="AP547" s="19" t="n">
        <v>0</v>
      </c>
      <c r="AQ547" s="19" t="n">
        <v>0</v>
      </c>
      <c r="AR547" s="19" t="n">
        <v>0</v>
      </c>
      <c r="AS547" s="19" t="n">
        <v>0</v>
      </c>
      <c r="AT547" s="10">
        <f>SUM(O547:AS547)</f>
        <v/>
      </c>
      <c r="AU547" s="20">
        <f>COUNTIF(O547:AS547, "&gt;0")</f>
        <v/>
      </c>
      <c r="AV547" s="12">
        <f>IF(AU547&gt;=5, 4, IF(AU547&gt;0, INT(AU547/6), 0))</f>
        <v/>
      </c>
      <c r="AW547" s="20" t="n">
        <v>0</v>
      </c>
      <c r="AX547" s="20" t="n">
        <v>0</v>
      </c>
      <c r="AY547" s="13">
        <f>MIN(31, AU547+AV547+AW547+AX547)</f>
        <v/>
      </c>
      <c r="AZ547" s="14">
        <f>31-AY547</f>
        <v/>
      </c>
      <c r="BA547" s="21">
        <f>IF(AX547&gt;0, "01-İstirahat", IF(AZ547&gt;0, "12-Birden Fazla", ""))</f>
        <v/>
      </c>
      <c r="BB547" s="10" t="n">
        <v>18</v>
      </c>
      <c r="BC547" s="19" t="n">
        <v>0</v>
      </c>
      <c r="BD547" s="9" t="n">
        <v>0</v>
      </c>
      <c r="BE547" s="22">
        <f>(L547/30)*AU547</f>
        <v/>
      </c>
      <c r="BF547" s="15">
        <f>(L547/225)*((BB547*1.5)-(BC547*1.0))</f>
        <v/>
      </c>
      <c r="BG547" s="16">
        <f>(L547/225)*1.5*BD547</f>
        <v/>
      </c>
      <c r="BH547" s="15">
        <f>BF547+BG547</f>
        <v/>
      </c>
      <c r="BI547" s="17">
        <f>BE547+BH547</f>
        <v/>
      </c>
      <c r="BJ547" s="22">
        <f>IFERROR(VLOOKUP(B547, Resmi_Bordro_SGK!B:M, 11, FALSE), 0)</f>
        <v/>
      </c>
      <c r="BK547" s="18">
        <f>IFERROR(VLOOKUP(B547, Icra_Takip!A:E, 4, FALSE), 0)</f>
        <v/>
      </c>
      <c r="BL547" s="17">
        <f>IF(BI547&gt;BJ547, BI547-BJ547-BK547, 0)</f>
        <v/>
      </c>
      <c r="BM547" s="17">
        <f>BI547-BK547</f>
        <v/>
      </c>
    </row>
    <row r="548" ht="19" customHeight="1">
      <c r="A548" s="4" t="n">
        <v>545</v>
      </c>
      <c r="B548" s="5" t="inlineStr">
        <is>
          <t>01559</t>
        </is>
      </c>
      <c r="C548" s="6" t="inlineStr">
        <is>
          <t>NAZİRE OYMAK</t>
        </is>
      </c>
      <c r="D548" s="4" t="inlineStr"/>
      <c r="E548" s="4" t="inlineStr"/>
      <c r="F548" s="4" t="inlineStr"/>
      <c r="G548" s="4" t="inlineStr"/>
      <c r="H548" s="4" t="inlineStr">
        <is>
          <t>NORMAL</t>
        </is>
      </c>
      <c r="I548" s="4" t="inlineStr">
        <is>
          <t>MEVSİMLİK</t>
        </is>
      </c>
      <c r="J548" s="6" t="inlineStr">
        <is>
          <t>DİĞER</t>
        </is>
      </c>
      <c r="K548" s="6" t="inlineStr"/>
      <c r="L548" s="7" t="n">
        <v>0</v>
      </c>
      <c r="M548" s="4" t="inlineStr">
        <is>
          <t>FİDE KONSERVE</t>
        </is>
      </c>
      <c r="N548" s="4" t="inlineStr">
        <is>
          <t>ALIR</t>
        </is>
      </c>
      <c r="O548" s="8" t="n">
        <v>0</v>
      </c>
      <c r="P548" s="8" t="n">
        <v>0</v>
      </c>
      <c r="Q548" s="8" t="n">
        <v>0</v>
      </c>
      <c r="R548" s="9" t="n">
        <v>0</v>
      </c>
      <c r="S548" s="8" t="n">
        <v>0</v>
      </c>
      <c r="T548" s="8" t="n">
        <v>0</v>
      </c>
      <c r="U548" s="8" t="n">
        <v>0</v>
      </c>
      <c r="V548" s="8" t="n">
        <v>0</v>
      </c>
      <c r="W548" s="8" t="n">
        <v>0</v>
      </c>
      <c r="X548" s="8" t="n">
        <v>0</v>
      </c>
      <c r="Y548" s="9" t="n">
        <v>0</v>
      </c>
      <c r="Z548" s="8" t="n">
        <v>0</v>
      </c>
      <c r="AA548" s="8" t="n">
        <v>0</v>
      </c>
      <c r="AB548" s="23" t="n">
        <v>7.5</v>
      </c>
      <c r="AC548" s="23" t="n">
        <v>7.5</v>
      </c>
      <c r="AD548" s="8" t="n">
        <v>0</v>
      </c>
      <c r="AE548" s="23" t="n">
        <v>7.5</v>
      </c>
      <c r="AF548" s="9" t="n">
        <v>0</v>
      </c>
      <c r="AG548" s="8" t="n">
        <v>0</v>
      </c>
      <c r="AH548" s="23" t="n">
        <v>7.5</v>
      </c>
      <c r="AI548" s="8" t="n">
        <v>7.5</v>
      </c>
      <c r="AJ548" s="8" t="n">
        <v>0</v>
      </c>
      <c r="AK548" s="8" t="n">
        <v>0</v>
      </c>
      <c r="AL548" s="8" t="n">
        <v>0</v>
      </c>
      <c r="AM548" s="9" t="n">
        <v>0</v>
      </c>
      <c r="AN548" s="8" t="n">
        <v>0</v>
      </c>
      <c r="AO548" s="8" t="n">
        <v>0</v>
      </c>
      <c r="AP548" s="8" t="n">
        <v>0</v>
      </c>
      <c r="AQ548" s="8" t="n">
        <v>0</v>
      </c>
      <c r="AR548" s="8" t="n">
        <v>0</v>
      </c>
      <c r="AS548" s="8" t="n">
        <v>0</v>
      </c>
      <c r="AT548" s="10">
        <f>SUM(O548:AS548)</f>
        <v/>
      </c>
      <c r="AU548" s="11">
        <f>COUNTIF(O548:AS548, "&gt;0")</f>
        <v/>
      </c>
      <c r="AV548" s="12">
        <f>IF(AU548&gt;=5, 4, IF(AU548&gt;0, INT(AU548/6), 0))</f>
        <v/>
      </c>
      <c r="AW548" s="11" t="n">
        <v>0</v>
      </c>
      <c r="AX548" s="11" t="n">
        <v>0</v>
      </c>
      <c r="AY548" s="13">
        <f>MIN(31, AU548+AV548+AW548+AX548)</f>
        <v/>
      </c>
      <c r="AZ548" s="14">
        <f>31-AY548</f>
        <v/>
      </c>
      <c r="BA548" s="5">
        <f>IF(AX548&gt;0, "01-İstirahat", IF(AZ548&gt;0, "12-Birden Fazla", ""))</f>
        <v/>
      </c>
      <c r="BB548" s="10" t="n">
        <v>0</v>
      </c>
      <c r="BC548" s="8" t="n">
        <v>0</v>
      </c>
      <c r="BD548" s="9" t="n">
        <v>0</v>
      </c>
      <c r="BE548" s="7">
        <f>(L548/30)*AU548</f>
        <v/>
      </c>
      <c r="BF548" s="15">
        <f>(L548/225)*((BB548*1.5)-(BC548*1.0))</f>
        <v/>
      </c>
      <c r="BG548" s="16">
        <f>(L548/225)*1.5*BD548</f>
        <v/>
      </c>
      <c r="BH548" s="15">
        <f>BF548+BG548</f>
        <v/>
      </c>
      <c r="BI548" s="17">
        <f>BE548+BH548</f>
        <v/>
      </c>
      <c r="BJ548" s="7">
        <f>IFERROR(VLOOKUP(B548, Resmi_Bordro_SGK!B:M, 11, FALSE), 0)</f>
        <v/>
      </c>
      <c r="BK548" s="18">
        <f>IFERROR(VLOOKUP(B548, Icra_Takip!A:E, 4, FALSE), 0)</f>
        <v/>
      </c>
      <c r="BL548" s="17">
        <f>IF(BI548&gt;BJ548, BI548-BJ548-BK548, 0)</f>
        <v/>
      </c>
      <c r="BM548" s="17">
        <f>BI548-BK548</f>
        <v/>
      </c>
    </row>
    <row r="549" ht="19" customHeight="1">
      <c r="A549" s="4" t="n">
        <v>546</v>
      </c>
      <c r="B549" s="5" t="inlineStr">
        <is>
          <t>01538</t>
        </is>
      </c>
      <c r="C549" s="6" t="inlineStr">
        <is>
          <t>NEVRUZ ABAK</t>
        </is>
      </c>
      <c r="D549" s="4" t="inlineStr"/>
      <c r="E549" s="4" t="inlineStr"/>
      <c r="F549" s="4" t="inlineStr"/>
      <c r="G549" s="4" t="inlineStr"/>
      <c r="H549" s="4" t="inlineStr">
        <is>
          <t>NORMAL</t>
        </is>
      </c>
      <c r="I549" s="4" t="inlineStr">
        <is>
          <t>MEVSİMLİK</t>
        </is>
      </c>
      <c r="J549" s="6" t="inlineStr">
        <is>
          <t>DİĞER</t>
        </is>
      </c>
      <c r="K549" s="6" t="inlineStr"/>
      <c r="L549" s="7" t="n">
        <v>0</v>
      </c>
      <c r="M549" s="4" t="inlineStr">
        <is>
          <t>FİDE KONSERVE</t>
        </is>
      </c>
      <c r="N549" s="4" t="inlineStr">
        <is>
          <t>ALIR</t>
        </is>
      </c>
      <c r="O549" s="19" t="n">
        <v>0</v>
      </c>
      <c r="P549" s="19" t="n">
        <v>0</v>
      </c>
      <c r="Q549" s="19" t="n">
        <v>0</v>
      </c>
      <c r="R549" s="9" t="n">
        <v>0</v>
      </c>
      <c r="S549" s="19" t="n">
        <v>0</v>
      </c>
      <c r="T549" s="19" t="n">
        <v>0</v>
      </c>
      <c r="U549" s="19" t="n">
        <v>0</v>
      </c>
      <c r="V549" s="19" t="n">
        <v>0</v>
      </c>
      <c r="W549" s="19" t="n">
        <v>10.5</v>
      </c>
      <c r="X549" s="19" t="n">
        <v>10.5</v>
      </c>
      <c r="Y549" s="9" t="n">
        <v>10.5</v>
      </c>
      <c r="Z549" s="19" t="n">
        <v>10.5</v>
      </c>
      <c r="AA549" s="19" t="n">
        <v>10.5</v>
      </c>
      <c r="AB549" s="19" t="n">
        <v>10.5</v>
      </c>
      <c r="AC549" s="19" t="n">
        <v>10.5</v>
      </c>
      <c r="AD549" s="19" t="n">
        <v>10.5</v>
      </c>
      <c r="AE549" s="19" t="n">
        <v>10.5</v>
      </c>
      <c r="AF549" s="9" t="n">
        <v>0</v>
      </c>
      <c r="AG549" s="19" t="n">
        <v>0</v>
      </c>
      <c r="AH549" s="19" t="n">
        <v>7.5</v>
      </c>
      <c r="AI549" s="19" t="n">
        <v>7.5</v>
      </c>
      <c r="AJ549" s="19" t="n">
        <v>0</v>
      </c>
      <c r="AK549" s="19" t="n">
        <v>0</v>
      </c>
      <c r="AL549" s="19" t="n">
        <v>0</v>
      </c>
      <c r="AM549" s="9" t="n">
        <v>0</v>
      </c>
      <c r="AN549" s="19" t="n">
        <v>0</v>
      </c>
      <c r="AO549" s="19" t="n">
        <v>0</v>
      </c>
      <c r="AP549" s="19" t="n">
        <v>0</v>
      </c>
      <c r="AQ549" s="19" t="n">
        <v>0</v>
      </c>
      <c r="AR549" s="19" t="n">
        <v>0</v>
      </c>
      <c r="AS549" s="19" t="n">
        <v>0</v>
      </c>
      <c r="AT549" s="10">
        <f>SUM(O549:AS549)</f>
        <v/>
      </c>
      <c r="AU549" s="20">
        <f>COUNTIF(O549:AS549, "&gt;0")</f>
        <v/>
      </c>
      <c r="AV549" s="12">
        <f>IF(AU549&gt;=5, 4, IF(AU549&gt;0, INT(AU549/6), 0))</f>
        <v/>
      </c>
      <c r="AW549" s="20" t="n">
        <v>0</v>
      </c>
      <c r="AX549" s="20" t="n">
        <v>0</v>
      </c>
      <c r="AY549" s="13">
        <f>MIN(31, AU549+AV549+AW549+AX549)</f>
        <v/>
      </c>
      <c r="AZ549" s="14">
        <f>31-AY549</f>
        <v/>
      </c>
      <c r="BA549" s="21">
        <f>IF(AX549&gt;0, "01-İstirahat", IF(AZ549&gt;0, "12-Birden Fazla", ""))</f>
        <v/>
      </c>
      <c r="BB549" s="10" t="n">
        <v>24</v>
      </c>
      <c r="BC549" s="19" t="n">
        <v>0</v>
      </c>
      <c r="BD549" s="9" t="n">
        <v>10.5</v>
      </c>
      <c r="BE549" s="22">
        <f>(L549/30)*AU549</f>
        <v/>
      </c>
      <c r="BF549" s="15">
        <f>(L549/225)*((BB549*1.5)-(BC549*1.0))</f>
        <v/>
      </c>
      <c r="BG549" s="16">
        <f>(L549/225)*1.5*BD549</f>
        <v/>
      </c>
      <c r="BH549" s="15">
        <f>BF549+BG549</f>
        <v/>
      </c>
      <c r="BI549" s="17">
        <f>BE549+BH549</f>
        <v/>
      </c>
      <c r="BJ549" s="22">
        <f>IFERROR(VLOOKUP(B549, Resmi_Bordro_SGK!B:M, 11, FALSE), 0)</f>
        <v/>
      </c>
      <c r="BK549" s="18">
        <f>IFERROR(VLOOKUP(B549, Icra_Takip!A:E, 4, FALSE), 0)</f>
        <v/>
      </c>
      <c r="BL549" s="17">
        <f>IF(BI549&gt;BJ549, BI549-BJ549-BK549, 0)</f>
        <v/>
      </c>
      <c r="BM549" s="17">
        <f>BI549-BK549</f>
        <v/>
      </c>
    </row>
    <row r="550" ht="19" customHeight="1">
      <c r="A550" s="4" t="n">
        <v>547</v>
      </c>
      <c r="B550" s="5" t="inlineStr">
        <is>
          <t>01551</t>
        </is>
      </c>
      <c r="C550" s="6" t="inlineStr">
        <is>
          <t>NEZAHAT AKDUMAN</t>
        </is>
      </c>
      <c r="D550" s="4" t="inlineStr"/>
      <c r="E550" s="4" t="inlineStr"/>
      <c r="F550" s="4" t="inlineStr"/>
      <c r="G550" s="4" t="inlineStr"/>
      <c r="H550" s="4" t="inlineStr">
        <is>
          <t>NORMAL</t>
        </is>
      </c>
      <c r="I550" s="4" t="inlineStr">
        <is>
          <t>MEVSİMLİK</t>
        </is>
      </c>
      <c r="J550" s="6" t="inlineStr">
        <is>
          <t>DİĞER</t>
        </is>
      </c>
      <c r="K550" s="6" t="inlineStr"/>
      <c r="L550" s="7" t="n">
        <v>0</v>
      </c>
      <c r="M550" s="4" t="inlineStr">
        <is>
          <t>FİDE KONSERVE</t>
        </is>
      </c>
      <c r="N550" s="4" t="inlineStr">
        <is>
          <t>ALIR</t>
        </is>
      </c>
      <c r="O550" s="8" t="n">
        <v>0</v>
      </c>
      <c r="P550" s="8" t="n">
        <v>0</v>
      </c>
      <c r="Q550" s="8" t="n">
        <v>0</v>
      </c>
      <c r="R550" s="9" t="n">
        <v>0</v>
      </c>
      <c r="S550" s="8" t="n">
        <v>0</v>
      </c>
      <c r="T550" s="8" t="n">
        <v>0</v>
      </c>
      <c r="U550" s="8" t="n">
        <v>0</v>
      </c>
      <c r="V550" s="8" t="n">
        <v>0</v>
      </c>
      <c r="W550" s="8" t="n">
        <v>0</v>
      </c>
      <c r="X550" s="8" t="n">
        <v>0</v>
      </c>
      <c r="Y550" s="9" t="n">
        <v>0</v>
      </c>
      <c r="Z550" s="23" t="n">
        <v>8.5</v>
      </c>
      <c r="AA550" s="8" t="n">
        <v>7.5</v>
      </c>
      <c r="AB550" s="8" t="n">
        <v>8</v>
      </c>
      <c r="AC550" s="8" t="n">
        <v>7.5</v>
      </c>
      <c r="AD550" s="8" t="n">
        <v>7.5</v>
      </c>
      <c r="AE550" s="8" t="n">
        <v>8.5</v>
      </c>
      <c r="AF550" s="9" t="n">
        <v>7.5</v>
      </c>
      <c r="AG550" s="8" t="n">
        <v>7.5</v>
      </c>
      <c r="AH550" s="8" t="n">
        <v>7.5</v>
      </c>
      <c r="AI550" s="8" t="n">
        <v>0</v>
      </c>
      <c r="AJ550" s="8" t="n">
        <v>0</v>
      </c>
      <c r="AK550" s="8" t="n">
        <v>0</v>
      </c>
      <c r="AL550" s="8" t="n">
        <v>0</v>
      </c>
      <c r="AM550" s="9" t="n">
        <v>0</v>
      </c>
      <c r="AN550" s="8" t="n">
        <v>0</v>
      </c>
      <c r="AO550" s="8" t="n">
        <v>0</v>
      </c>
      <c r="AP550" s="8" t="n">
        <v>0</v>
      </c>
      <c r="AQ550" s="8" t="n">
        <v>0</v>
      </c>
      <c r="AR550" s="8" t="n">
        <v>0</v>
      </c>
      <c r="AS550" s="8" t="n">
        <v>0</v>
      </c>
      <c r="AT550" s="10">
        <f>SUM(O550:AS550)</f>
        <v/>
      </c>
      <c r="AU550" s="11">
        <f>COUNTIF(O550:AS550, "&gt;0")</f>
        <v/>
      </c>
      <c r="AV550" s="12">
        <f>IF(AU550&gt;=5, 4, IF(AU550&gt;0, INT(AU550/6), 0))</f>
        <v/>
      </c>
      <c r="AW550" s="11" t="n">
        <v>0</v>
      </c>
      <c r="AX550" s="11" t="n">
        <v>0</v>
      </c>
      <c r="AY550" s="13">
        <f>MIN(31, AU550+AV550+AW550+AX550)</f>
        <v/>
      </c>
      <c r="AZ550" s="14">
        <f>31-AY550</f>
        <v/>
      </c>
      <c r="BA550" s="5">
        <f>IF(AX550&gt;0, "01-İstirahat", IF(AZ550&gt;0, "12-Birden Fazla", ""))</f>
        <v/>
      </c>
      <c r="BB550" s="10" t="n">
        <v>2.5</v>
      </c>
      <c r="BC550" s="8" t="n">
        <v>0</v>
      </c>
      <c r="BD550" s="9" t="n">
        <v>7.5</v>
      </c>
      <c r="BE550" s="7">
        <f>(L550/30)*AU550</f>
        <v/>
      </c>
      <c r="BF550" s="15">
        <f>(L550/225)*((BB550*1.5)-(BC550*1.0))</f>
        <v/>
      </c>
      <c r="BG550" s="16">
        <f>(L550/225)*1.5*BD550</f>
        <v/>
      </c>
      <c r="BH550" s="15">
        <f>BF550+BG550</f>
        <v/>
      </c>
      <c r="BI550" s="17">
        <f>BE550+BH550</f>
        <v/>
      </c>
      <c r="BJ550" s="7">
        <f>IFERROR(VLOOKUP(B550, Resmi_Bordro_SGK!B:M, 11, FALSE), 0)</f>
        <v/>
      </c>
      <c r="BK550" s="18">
        <f>IFERROR(VLOOKUP(B550, Icra_Takip!A:E, 4, FALSE), 0)</f>
        <v/>
      </c>
      <c r="BL550" s="17">
        <f>IF(BI550&gt;BJ550, BI550-BJ550-BK550, 0)</f>
        <v/>
      </c>
      <c r="BM550" s="17">
        <f>BI550-BK550</f>
        <v/>
      </c>
    </row>
    <row r="551" ht="19" customHeight="1">
      <c r="A551" s="4" t="n">
        <v>548</v>
      </c>
      <c r="B551" s="5" t="inlineStr">
        <is>
          <t>01540</t>
        </is>
      </c>
      <c r="C551" s="6" t="inlineStr">
        <is>
          <t>NURAN ÜÇEBEY</t>
        </is>
      </c>
      <c r="D551" s="4" t="inlineStr"/>
      <c r="E551" s="4" t="inlineStr"/>
      <c r="F551" s="4" t="inlineStr"/>
      <c r="G551" s="4" t="inlineStr"/>
      <c r="H551" s="4" t="inlineStr">
        <is>
          <t>NORMAL</t>
        </is>
      </c>
      <c r="I551" s="4" t="inlineStr">
        <is>
          <t>MEVSİMLİK</t>
        </is>
      </c>
      <c r="J551" s="6" t="inlineStr">
        <is>
          <t>DİĞER</t>
        </is>
      </c>
      <c r="K551" s="6" t="inlineStr"/>
      <c r="L551" s="7" t="n">
        <v>0</v>
      </c>
      <c r="M551" s="4" t="inlineStr">
        <is>
          <t>FİDE KONSERVE</t>
        </is>
      </c>
      <c r="N551" s="4" t="inlineStr">
        <is>
          <t>ALIR</t>
        </is>
      </c>
      <c r="O551" s="19" t="n">
        <v>0</v>
      </c>
      <c r="P551" s="19" t="n">
        <v>0</v>
      </c>
      <c r="Q551" s="19" t="n">
        <v>0</v>
      </c>
      <c r="R551" s="9" t="n">
        <v>0</v>
      </c>
      <c r="S551" s="19" t="n">
        <v>0</v>
      </c>
      <c r="T551" s="19" t="n">
        <v>0</v>
      </c>
      <c r="U551" s="19" t="n">
        <v>0</v>
      </c>
      <c r="V551" s="19" t="n">
        <v>0</v>
      </c>
      <c r="W551" s="19" t="n">
        <v>10.5</v>
      </c>
      <c r="X551" s="19" t="n">
        <v>10.5</v>
      </c>
      <c r="Y551" s="9" t="n">
        <v>10.5</v>
      </c>
      <c r="Z551" s="19" t="n">
        <v>10.5</v>
      </c>
      <c r="AA551" s="19" t="n">
        <v>7.5</v>
      </c>
      <c r="AB551" s="19" t="n">
        <v>10.5</v>
      </c>
      <c r="AC551" s="19" t="n">
        <v>10.5</v>
      </c>
      <c r="AD551" s="19" t="n">
        <v>0</v>
      </c>
      <c r="AE551" s="19" t="n">
        <v>10.5</v>
      </c>
      <c r="AF551" s="9" t="n">
        <v>0</v>
      </c>
      <c r="AG551" s="19" t="n">
        <v>10.5</v>
      </c>
      <c r="AH551" s="19" t="n">
        <v>0</v>
      </c>
      <c r="AI551" s="19" t="n">
        <v>7.5</v>
      </c>
      <c r="AJ551" s="19" t="n">
        <v>0</v>
      </c>
      <c r="AK551" s="19" t="n">
        <v>0</v>
      </c>
      <c r="AL551" s="19" t="n">
        <v>0</v>
      </c>
      <c r="AM551" s="9" t="n">
        <v>0</v>
      </c>
      <c r="AN551" s="19" t="n">
        <v>0</v>
      </c>
      <c r="AO551" s="19" t="n">
        <v>0</v>
      </c>
      <c r="AP551" s="19" t="n">
        <v>0</v>
      </c>
      <c r="AQ551" s="19" t="n">
        <v>0</v>
      </c>
      <c r="AR551" s="19" t="n">
        <v>0</v>
      </c>
      <c r="AS551" s="19" t="n">
        <v>0</v>
      </c>
      <c r="AT551" s="10">
        <f>SUM(O551:AS551)</f>
        <v/>
      </c>
      <c r="AU551" s="20">
        <f>COUNTIF(O551:AS551, "&gt;0")</f>
        <v/>
      </c>
      <c r="AV551" s="12">
        <f>IF(AU551&gt;=5, 4, IF(AU551&gt;0, INT(AU551/6), 0))</f>
        <v/>
      </c>
      <c r="AW551" s="20" t="n">
        <v>0</v>
      </c>
      <c r="AX551" s="20" t="n">
        <v>0</v>
      </c>
      <c r="AY551" s="13">
        <f>MIN(31, AU551+AV551+AW551+AX551)</f>
        <v/>
      </c>
      <c r="AZ551" s="14">
        <f>31-AY551</f>
        <v/>
      </c>
      <c r="BA551" s="21">
        <f>IF(AX551&gt;0, "01-İstirahat", IF(AZ551&gt;0, "12-Birden Fazla", ""))</f>
        <v/>
      </c>
      <c r="BB551" s="10" t="n">
        <v>21</v>
      </c>
      <c r="BC551" s="19" t="n">
        <v>0</v>
      </c>
      <c r="BD551" s="9" t="n">
        <v>10.5</v>
      </c>
      <c r="BE551" s="22">
        <f>(L551/30)*AU551</f>
        <v/>
      </c>
      <c r="BF551" s="15">
        <f>(L551/225)*((BB551*1.5)-(BC551*1.0))</f>
        <v/>
      </c>
      <c r="BG551" s="16">
        <f>(L551/225)*1.5*BD551</f>
        <v/>
      </c>
      <c r="BH551" s="15">
        <f>BF551+BG551</f>
        <v/>
      </c>
      <c r="BI551" s="17">
        <f>BE551+BH551</f>
        <v/>
      </c>
      <c r="BJ551" s="22">
        <f>IFERROR(VLOOKUP(B551, Resmi_Bordro_SGK!B:M, 11, FALSE), 0)</f>
        <v/>
      </c>
      <c r="BK551" s="18">
        <f>IFERROR(VLOOKUP(B551, Icra_Takip!A:E, 4, FALSE), 0)</f>
        <v/>
      </c>
      <c r="BL551" s="17">
        <f>IF(BI551&gt;BJ551, BI551-BJ551-BK551, 0)</f>
        <v/>
      </c>
      <c r="BM551" s="17">
        <f>BI551-BK551</f>
        <v/>
      </c>
    </row>
    <row r="552" ht="19" customHeight="1">
      <c r="A552" s="4" t="n">
        <v>549</v>
      </c>
      <c r="B552" s="5" t="inlineStr">
        <is>
          <t>01441</t>
        </is>
      </c>
      <c r="C552" s="6" t="inlineStr">
        <is>
          <t>NURHAN ARABACI</t>
        </is>
      </c>
      <c r="D552" s="4" t="inlineStr"/>
      <c r="E552" s="4" t="inlineStr"/>
      <c r="F552" s="4" t="inlineStr"/>
      <c r="G552" s="4" t="inlineStr"/>
      <c r="H552" s="4" t="inlineStr">
        <is>
          <t>NORMAL</t>
        </is>
      </c>
      <c r="I552" s="4" t="inlineStr">
        <is>
          <t>MEVSİMLİK</t>
        </is>
      </c>
      <c r="J552" s="6" t="inlineStr">
        <is>
          <t>DİĞER</t>
        </is>
      </c>
      <c r="K552" s="6" t="inlineStr"/>
      <c r="L552" s="7" t="n">
        <v>0</v>
      </c>
      <c r="M552" s="4" t="inlineStr">
        <is>
          <t>FİDE KONSERVE</t>
        </is>
      </c>
      <c r="N552" s="4" t="inlineStr">
        <is>
          <t>ALIR</t>
        </is>
      </c>
      <c r="O552" s="8" t="n">
        <v>0</v>
      </c>
      <c r="P552" s="23" t="n">
        <v>8.5</v>
      </c>
      <c r="Q552" s="8" t="n">
        <v>8</v>
      </c>
      <c r="R552" s="9" t="n">
        <v>0</v>
      </c>
      <c r="S552" s="8" t="n">
        <v>7.5</v>
      </c>
      <c r="T552" s="8" t="n">
        <v>8</v>
      </c>
      <c r="U552" s="8" t="n">
        <v>8</v>
      </c>
      <c r="V552" s="8" t="n">
        <v>0</v>
      </c>
      <c r="W552" s="8" t="n">
        <v>0</v>
      </c>
      <c r="X552" s="8" t="n">
        <v>0</v>
      </c>
      <c r="Y552" s="9" t="n">
        <v>0</v>
      </c>
      <c r="Z552" s="8" t="n">
        <v>0</v>
      </c>
      <c r="AA552" s="8" t="n">
        <v>0</v>
      </c>
      <c r="AB552" s="8" t="n">
        <v>0</v>
      </c>
      <c r="AC552" s="8" t="n">
        <v>0</v>
      </c>
      <c r="AD552" s="8" t="n">
        <v>0</v>
      </c>
      <c r="AE552" s="8" t="n">
        <v>0</v>
      </c>
      <c r="AF552" s="9" t="n">
        <v>0</v>
      </c>
      <c r="AG552" s="8" t="n">
        <v>0</v>
      </c>
      <c r="AH552" s="8" t="n">
        <v>0</v>
      </c>
      <c r="AI552" s="8" t="n">
        <v>0</v>
      </c>
      <c r="AJ552" s="8" t="n">
        <v>0</v>
      </c>
      <c r="AK552" s="8" t="n">
        <v>0</v>
      </c>
      <c r="AL552" s="8" t="n">
        <v>0</v>
      </c>
      <c r="AM552" s="9" t="n">
        <v>0</v>
      </c>
      <c r="AN552" s="8" t="n">
        <v>0</v>
      </c>
      <c r="AO552" s="8" t="n">
        <v>0</v>
      </c>
      <c r="AP552" s="8" t="n">
        <v>0</v>
      </c>
      <c r="AQ552" s="8" t="n">
        <v>0</v>
      </c>
      <c r="AR552" s="8" t="n">
        <v>0</v>
      </c>
      <c r="AS552" s="8" t="n">
        <v>0</v>
      </c>
      <c r="AT552" s="10">
        <f>SUM(O552:AS552)</f>
        <v/>
      </c>
      <c r="AU552" s="11">
        <f>COUNTIF(O552:AS552, "&gt;0")</f>
        <v/>
      </c>
      <c r="AV552" s="12">
        <f>IF(AU552&gt;=5, 4, IF(AU552&gt;0, INT(AU552/6), 0))</f>
        <v/>
      </c>
      <c r="AW552" s="11" t="n">
        <v>0</v>
      </c>
      <c r="AX552" s="11" t="n">
        <v>0</v>
      </c>
      <c r="AY552" s="13">
        <f>MIN(31, AU552+AV552+AW552+AX552)</f>
        <v/>
      </c>
      <c r="AZ552" s="14">
        <f>31-AY552</f>
        <v/>
      </c>
      <c r="BA552" s="5">
        <f>IF(AX552&gt;0, "01-İstirahat", IF(AZ552&gt;0, "12-Birden Fazla", ""))</f>
        <v/>
      </c>
      <c r="BB552" s="10" t="n">
        <v>2.5</v>
      </c>
      <c r="BC552" s="8" t="n">
        <v>0</v>
      </c>
      <c r="BD552" s="9" t="n">
        <v>0</v>
      </c>
      <c r="BE552" s="7">
        <f>(L552/30)*AU552</f>
        <v/>
      </c>
      <c r="BF552" s="15">
        <f>(L552/225)*((BB552*1.5)-(BC552*1.0))</f>
        <v/>
      </c>
      <c r="BG552" s="16">
        <f>(L552/225)*1.5*BD552</f>
        <v/>
      </c>
      <c r="BH552" s="15">
        <f>BF552+BG552</f>
        <v/>
      </c>
      <c r="BI552" s="17">
        <f>BE552+BH552</f>
        <v/>
      </c>
      <c r="BJ552" s="7">
        <f>IFERROR(VLOOKUP(B552, Resmi_Bordro_SGK!B:M, 11, FALSE), 0)</f>
        <v/>
      </c>
      <c r="BK552" s="18">
        <f>IFERROR(VLOOKUP(B552, Icra_Takip!A:E, 4, FALSE), 0)</f>
        <v/>
      </c>
      <c r="BL552" s="17">
        <f>IF(BI552&gt;BJ552, BI552-BJ552-BK552, 0)</f>
        <v/>
      </c>
      <c r="BM552" s="17">
        <f>BI552-BK552</f>
        <v/>
      </c>
    </row>
    <row r="553" ht="19" customHeight="1">
      <c r="A553" s="4" t="n">
        <v>550</v>
      </c>
      <c r="B553" s="5" t="inlineStr">
        <is>
          <t>01535</t>
        </is>
      </c>
      <c r="C553" s="6" t="inlineStr">
        <is>
          <t>NURHAYAT AY</t>
        </is>
      </c>
      <c r="D553" s="4" t="inlineStr"/>
      <c r="E553" s="4" t="inlineStr"/>
      <c r="F553" s="4" t="inlineStr"/>
      <c r="G553" s="4" t="inlineStr"/>
      <c r="H553" s="4" t="inlineStr">
        <is>
          <t>NORMAL</t>
        </is>
      </c>
      <c r="I553" s="4" t="inlineStr">
        <is>
          <t>MEVSİMLİK</t>
        </is>
      </c>
      <c r="J553" s="6" t="inlineStr">
        <is>
          <t>DİĞER</t>
        </is>
      </c>
      <c r="K553" s="6" t="inlineStr"/>
      <c r="L553" s="7" t="n">
        <v>0</v>
      </c>
      <c r="M553" s="4" t="inlineStr">
        <is>
          <t>FİDE KONSERVE</t>
        </is>
      </c>
      <c r="N553" s="4" t="inlineStr">
        <is>
          <t>ALIR</t>
        </is>
      </c>
      <c r="O553" s="19" t="n">
        <v>0</v>
      </c>
      <c r="P553" s="19" t="n">
        <v>0</v>
      </c>
      <c r="Q553" s="19" t="n">
        <v>0</v>
      </c>
      <c r="R553" s="9" t="n">
        <v>0</v>
      </c>
      <c r="S553" s="19" t="n">
        <v>0</v>
      </c>
      <c r="T553" s="19" t="n">
        <v>0</v>
      </c>
      <c r="U553" s="19" t="n">
        <v>0</v>
      </c>
      <c r="V553" s="19" t="n">
        <v>7.5</v>
      </c>
      <c r="W553" s="19" t="n">
        <v>0</v>
      </c>
      <c r="X553" s="19" t="n">
        <v>0</v>
      </c>
      <c r="Y553" s="9" t="n">
        <v>0</v>
      </c>
      <c r="Z553" s="19" t="n">
        <v>0</v>
      </c>
      <c r="AA553" s="19" t="n">
        <v>0</v>
      </c>
      <c r="AB553" s="19" t="n">
        <v>0</v>
      </c>
      <c r="AC553" s="19" t="n">
        <v>0</v>
      </c>
      <c r="AD553" s="19" t="n">
        <v>0</v>
      </c>
      <c r="AE553" s="19" t="n">
        <v>0</v>
      </c>
      <c r="AF553" s="9" t="n">
        <v>0</v>
      </c>
      <c r="AG553" s="19" t="n">
        <v>0</v>
      </c>
      <c r="AH553" s="19" t="n">
        <v>0</v>
      </c>
      <c r="AI553" s="19" t="n">
        <v>0</v>
      </c>
      <c r="AJ553" s="19" t="n">
        <v>0</v>
      </c>
      <c r="AK553" s="19" t="n">
        <v>0</v>
      </c>
      <c r="AL553" s="19" t="n">
        <v>0</v>
      </c>
      <c r="AM553" s="9" t="n">
        <v>0</v>
      </c>
      <c r="AN553" s="19" t="n">
        <v>0</v>
      </c>
      <c r="AO553" s="19" t="n">
        <v>0</v>
      </c>
      <c r="AP553" s="19" t="n">
        <v>0</v>
      </c>
      <c r="AQ553" s="19" t="n">
        <v>0</v>
      </c>
      <c r="AR553" s="19" t="n">
        <v>0</v>
      </c>
      <c r="AS553" s="19" t="n">
        <v>0</v>
      </c>
      <c r="AT553" s="10">
        <f>SUM(O553:AS553)</f>
        <v/>
      </c>
      <c r="AU553" s="20">
        <f>COUNTIF(O553:AS553, "&gt;0")</f>
        <v/>
      </c>
      <c r="AV553" s="12">
        <f>IF(AU553&gt;=5, 4, IF(AU553&gt;0, INT(AU553/6), 0))</f>
        <v/>
      </c>
      <c r="AW553" s="20" t="n">
        <v>0</v>
      </c>
      <c r="AX553" s="20" t="n">
        <v>0</v>
      </c>
      <c r="AY553" s="13">
        <f>MIN(31, AU553+AV553+AW553+AX553)</f>
        <v/>
      </c>
      <c r="AZ553" s="14">
        <f>31-AY553</f>
        <v/>
      </c>
      <c r="BA553" s="21">
        <f>IF(AX553&gt;0, "01-İstirahat", IF(AZ553&gt;0, "12-Birden Fazla", ""))</f>
        <v/>
      </c>
      <c r="BB553" s="10" t="n">
        <v>0</v>
      </c>
      <c r="BC553" s="19" t="n">
        <v>0</v>
      </c>
      <c r="BD553" s="9" t="n">
        <v>0</v>
      </c>
      <c r="BE553" s="22">
        <f>(L553/30)*AU553</f>
        <v/>
      </c>
      <c r="BF553" s="15">
        <f>(L553/225)*((BB553*1.5)-(BC553*1.0))</f>
        <v/>
      </c>
      <c r="BG553" s="16">
        <f>(L553/225)*1.5*BD553</f>
        <v/>
      </c>
      <c r="BH553" s="15">
        <f>BF553+BG553</f>
        <v/>
      </c>
      <c r="BI553" s="17">
        <f>BE553+BH553</f>
        <v/>
      </c>
      <c r="BJ553" s="22">
        <f>IFERROR(VLOOKUP(B553, Resmi_Bordro_SGK!B:M, 11, FALSE), 0)</f>
        <v/>
      </c>
      <c r="BK553" s="18">
        <f>IFERROR(VLOOKUP(B553, Icra_Takip!A:E, 4, FALSE), 0)</f>
        <v/>
      </c>
      <c r="BL553" s="17">
        <f>IF(BI553&gt;BJ553, BI553-BJ553-BK553, 0)</f>
        <v/>
      </c>
      <c r="BM553" s="17">
        <f>BI553-BK553</f>
        <v/>
      </c>
    </row>
    <row r="554" ht="19" customHeight="1">
      <c r="A554" s="4" t="n">
        <v>551</v>
      </c>
      <c r="B554" s="5" t="inlineStr">
        <is>
          <t>01561</t>
        </is>
      </c>
      <c r="C554" s="6" t="inlineStr">
        <is>
          <t>OSMAN AKDOĞAN</t>
        </is>
      </c>
      <c r="D554" s="4" t="inlineStr"/>
      <c r="E554" s="4" t="inlineStr"/>
      <c r="F554" s="4" t="inlineStr"/>
      <c r="G554" s="4" t="inlineStr"/>
      <c r="H554" s="4" t="inlineStr">
        <is>
          <t>NORMAL</t>
        </is>
      </c>
      <c r="I554" s="4" t="inlineStr">
        <is>
          <t>MEVSİMLİK</t>
        </is>
      </c>
      <c r="J554" s="6" t="inlineStr">
        <is>
          <t>DİĞER</t>
        </is>
      </c>
      <c r="K554" s="6" t="inlineStr"/>
      <c r="L554" s="7" t="n">
        <v>0</v>
      </c>
      <c r="M554" s="4" t="inlineStr">
        <is>
          <t>FİDE KONSERVE</t>
        </is>
      </c>
      <c r="N554" s="4" t="inlineStr">
        <is>
          <t>ALIR</t>
        </is>
      </c>
      <c r="O554" s="8" t="n">
        <v>0</v>
      </c>
      <c r="P554" s="8" t="n">
        <v>0</v>
      </c>
      <c r="Q554" s="8" t="n">
        <v>0</v>
      </c>
      <c r="R554" s="9" t="n">
        <v>0</v>
      </c>
      <c r="S554" s="8" t="n">
        <v>0</v>
      </c>
      <c r="T554" s="8" t="n">
        <v>0</v>
      </c>
      <c r="U554" s="8" t="n">
        <v>0</v>
      </c>
      <c r="V554" s="8" t="n">
        <v>0</v>
      </c>
      <c r="W554" s="8" t="n">
        <v>0</v>
      </c>
      <c r="X554" s="8" t="n">
        <v>0</v>
      </c>
      <c r="Y554" s="9" t="n">
        <v>0</v>
      </c>
      <c r="Z554" s="8" t="n">
        <v>0</v>
      </c>
      <c r="AA554" s="8" t="n">
        <v>0</v>
      </c>
      <c r="AB554" s="8" t="n">
        <v>0</v>
      </c>
      <c r="AC554" s="8" t="n">
        <v>7.5</v>
      </c>
      <c r="AD554" s="8" t="n">
        <v>7.5</v>
      </c>
      <c r="AE554" s="8" t="n">
        <v>7.5</v>
      </c>
      <c r="AF554" s="9" t="n">
        <v>0</v>
      </c>
      <c r="AG554" s="8" t="n">
        <v>7.5</v>
      </c>
      <c r="AH554" s="8" t="n">
        <v>7.5</v>
      </c>
      <c r="AI554" s="8" t="n">
        <v>7.5</v>
      </c>
      <c r="AJ554" s="8" t="n">
        <v>0</v>
      </c>
      <c r="AK554" s="8" t="n">
        <v>0</v>
      </c>
      <c r="AL554" s="8" t="n">
        <v>0</v>
      </c>
      <c r="AM554" s="9" t="n">
        <v>0</v>
      </c>
      <c r="AN554" s="8" t="n">
        <v>0</v>
      </c>
      <c r="AO554" s="8" t="n">
        <v>0</v>
      </c>
      <c r="AP554" s="8" t="n">
        <v>0</v>
      </c>
      <c r="AQ554" s="8" t="n">
        <v>0</v>
      </c>
      <c r="AR554" s="8" t="n">
        <v>0</v>
      </c>
      <c r="AS554" s="8" t="n">
        <v>0</v>
      </c>
      <c r="AT554" s="10">
        <f>SUM(O554:AS554)</f>
        <v/>
      </c>
      <c r="AU554" s="11">
        <f>COUNTIF(O554:AS554, "&gt;0")</f>
        <v/>
      </c>
      <c r="AV554" s="12">
        <f>IF(AU554&gt;=5, 4, IF(AU554&gt;0, INT(AU554/6), 0))</f>
        <v/>
      </c>
      <c r="AW554" s="11" t="n">
        <v>0</v>
      </c>
      <c r="AX554" s="11" t="n">
        <v>0</v>
      </c>
      <c r="AY554" s="13">
        <f>MIN(31, AU554+AV554+AW554+AX554)</f>
        <v/>
      </c>
      <c r="AZ554" s="14">
        <f>31-AY554</f>
        <v/>
      </c>
      <c r="BA554" s="5">
        <f>IF(AX554&gt;0, "01-İstirahat", IF(AZ554&gt;0, "12-Birden Fazla", ""))</f>
        <v/>
      </c>
      <c r="BB554" s="10" t="n">
        <v>0</v>
      </c>
      <c r="BC554" s="8" t="n">
        <v>0</v>
      </c>
      <c r="BD554" s="9" t="n">
        <v>0</v>
      </c>
      <c r="BE554" s="7">
        <f>(L554/30)*AU554</f>
        <v/>
      </c>
      <c r="BF554" s="15">
        <f>(L554/225)*((BB554*1.5)-(BC554*1.0))</f>
        <v/>
      </c>
      <c r="BG554" s="16">
        <f>(L554/225)*1.5*BD554</f>
        <v/>
      </c>
      <c r="BH554" s="15">
        <f>BF554+BG554</f>
        <v/>
      </c>
      <c r="BI554" s="17">
        <f>BE554+BH554</f>
        <v/>
      </c>
      <c r="BJ554" s="7">
        <f>IFERROR(VLOOKUP(B554, Resmi_Bordro_SGK!B:M, 11, FALSE), 0)</f>
        <v/>
      </c>
      <c r="BK554" s="18">
        <f>IFERROR(VLOOKUP(B554, Icra_Takip!A:E, 4, FALSE), 0)</f>
        <v/>
      </c>
      <c r="BL554" s="17">
        <f>IF(BI554&gt;BJ554, BI554-BJ554-BK554, 0)</f>
        <v/>
      </c>
      <c r="BM554" s="17">
        <f>BI554-BK554</f>
        <v/>
      </c>
    </row>
    <row r="555" ht="19" customHeight="1">
      <c r="A555" s="4" t="n">
        <v>552</v>
      </c>
      <c r="B555" s="5" t="inlineStr">
        <is>
          <t>01444</t>
        </is>
      </c>
      <c r="C555" s="6" t="inlineStr">
        <is>
          <t>ÖZLEM BEYİRKEN</t>
        </is>
      </c>
      <c r="D555" s="4" t="inlineStr"/>
      <c r="E555" s="4" t="inlineStr"/>
      <c r="F555" s="4" t="inlineStr"/>
      <c r="G555" s="4" t="inlineStr"/>
      <c r="H555" s="4" t="inlineStr">
        <is>
          <t>NORMAL</t>
        </is>
      </c>
      <c r="I555" s="4" t="inlineStr">
        <is>
          <t>MEVSİMLİK</t>
        </is>
      </c>
      <c r="J555" s="6" t="inlineStr">
        <is>
          <t>DİĞER</t>
        </is>
      </c>
      <c r="K555" s="6" t="inlineStr"/>
      <c r="L555" s="7" t="n">
        <v>0</v>
      </c>
      <c r="M555" s="4" t="inlineStr">
        <is>
          <t>FİDE KONSERVE</t>
        </is>
      </c>
      <c r="N555" s="4" t="inlineStr">
        <is>
          <t>ALIR</t>
        </is>
      </c>
      <c r="O555" s="19" t="n">
        <v>0</v>
      </c>
      <c r="P555" s="23" t="n">
        <v>10.5</v>
      </c>
      <c r="Q555" s="19" t="n">
        <v>8</v>
      </c>
      <c r="R555" s="9" t="n">
        <v>0</v>
      </c>
      <c r="S555" s="19" t="n">
        <v>0</v>
      </c>
      <c r="T555" s="19" t="n">
        <v>10.5</v>
      </c>
      <c r="U555" s="19" t="n">
        <v>10.5</v>
      </c>
      <c r="V555" s="19" t="n">
        <v>0</v>
      </c>
      <c r="W555" s="19" t="n">
        <v>10.5</v>
      </c>
      <c r="X555" s="19" t="n">
        <v>10.5</v>
      </c>
      <c r="Y555" s="9" t="n">
        <v>0</v>
      </c>
      <c r="Z555" s="19" t="n">
        <v>7.5</v>
      </c>
      <c r="AA555" s="19" t="n">
        <v>0</v>
      </c>
      <c r="AB555" s="19" t="n">
        <v>10.5</v>
      </c>
      <c r="AC555" s="19" t="n">
        <v>10.5</v>
      </c>
      <c r="AD555" s="19" t="n">
        <v>0</v>
      </c>
      <c r="AE555" s="19" t="n">
        <v>0</v>
      </c>
      <c r="AF555" s="9" t="n">
        <v>0</v>
      </c>
      <c r="AG555" s="19" t="n">
        <v>10.5</v>
      </c>
      <c r="AH555" s="19" t="n">
        <v>0</v>
      </c>
      <c r="AI555" s="19" t="n">
        <v>7.5</v>
      </c>
      <c r="AJ555" s="19" t="n">
        <v>0</v>
      </c>
      <c r="AK555" s="19" t="n">
        <v>0</v>
      </c>
      <c r="AL555" s="19" t="n">
        <v>0</v>
      </c>
      <c r="AM555" s="9" t="n">
        <v>0</v>
      </c>
      <c r="AN555" s="19" t="n">
        <v>0</v>
      </c>
      <c r="AO555" s="19" t="n">
        <v>0</v>
      </c>
      <c r="AP555" s="19" t="n">
        <v>0</v>
      </c>
      <c r="AQ555" s="19" t="n">
        <v>0</v>
      </c>
      <c r="AR555" s="19" t="n">
        <v>0</v>
      </c>
      <c r="AS555" s="19" t="n">
        <v>0</v>
      </c>
      <c r="AT555" s="10">
        <f>SUM(O555:AS555)</f>
        <v/>
      </c>
      <c r="AU555" s="20">
        <f>COUNTIF(O555:AS555, "&gt;0")</f>
        <v/>
      </c>
      <c r="AV555" s="12">
        <f>IF(AU555&gt;=5, 4, IF(AU555&gt;0, INT(AU555/6), 0))</f>
        <v/>
      </c>
      <c r="AW555" s="20" t="n">
        <v>0</v>
      </c>
      <c r="AX555" s="20" t="n">
        <v>0</v>
      </c>
      <c r="AY555" s="13">
        <f>MIN(31, AU555+AV555+AW555+AX555)</f>
        <v/>
      </c>
      <c r="AZ555" s="14">
        <f>31-AY555</f>
        <v/>
      </c>
      <c r="BA555" s="21">
        <f>IF(AX555&gt;0, "01-İstirahat", IF(AZ555&gt;0, "12-Birden Fazla", ""))</f>
        <v/>
      </c>
      <c r="BB555" s="10" t="n">
        <v>24.5</v>
      </c>
      <c r="BC555" s="19" t="n">
        <v>0</v>
      </c>
      <c r="BD555" s="9" t="n">
        <v>0</v>
      </c>
      <c r="BE555" s="22">
        <f>(L555/30)*AU555</f>
        <v/>
      </c>
      <c r="BF555" s="15">
        <f>(L555/225)*((BB555*1.5)-(BC555*1.0))</f>
        <v/>
      </c>
      <c r="BG555" s="16">
        <f>(L555/225)*1.5*BD555</f>
        <v/>
      </c>
      <c r="BH555" s="15">
        <f>BF555+BG555</f>
        <v/>
      </c>
      <c r="BI555" s="17">
        <f>BE555+BH555</f>
        <v/>
      </c>
      <c r="BJ555" s="22">
        <f>IFERROR(VLOOKUP(B555, Resmi_Bordro_SGK!B:M, 11, FALSE), 0)</f>
        <v/>
      </c>
      <c r="BK555" s="18">
        <f>IFERROR(VLOOKUP(B555, Icra_Takip!A:E, 4, FALSE), 0)</f>
        <v/>
      </c>
      <c r="BL555" s="17">
        <f>IF(BI555&gt;BJ555, BI555-BJ555-BK555, 0)</f>
        <v/>
      </c>
      <c r="BM555" s="17">
        <f>BI555-BK555</f>
        <v/>
      </c>
    </row>
    <row r="556" ht="19" customHeight="1">
      <c r="A556" s="4" t="n">
        <v>553</v>
      </c>
      <c r="B556" s="5" t="inlineStr">
        <is>
          <t>01376</t>
        </is>
      </c>
      <c r="C556" s="6" t="inlineStr">
        <is>
          <t>PERİHAN YOZAN</t>
        </is>
      </c>
      <c r="D556" s="4" t="inlineStr"/>
      <c r="E556" s="4" t="inlineStr"/>
      <c r="F556" s="4" t="inlineStr"/>
      <c r="G556" s="4" t="inlineStr"/>
      <c r="H556" s="4" t="inlineStr">
        <is>
          <t>NORMAL</t>
        </is>
      </c>
      <c r="I556" s="4" t="inlineStr">
        <is>
          <t>MEVSİMLİK</t>
        </is>
      </c>
      <c r="J556" s="6" t="inlineStr">
        <is>
          <t>DİĞER</t>
        </is>
      </c>
      <c r="K556" s="6" t="inlineStr"/>
      <c r="L556" s="7" t="n">
        <v>0</v>
      </c>
      <c r="M556" s="4" t="inlineStr">
        <is>
          <t>FİDE KONSERVE</t>
        </is>
      </c>
      <c r="N556" s="4" t="inlineStr">
        <is>
          <t>ALIR</t>
        </is>
      </c>
      <c r="O556" s="8" t="n">
        <v>0</v>
      </c>
      <c r="P556" s="8" t="n">
        <v>0</v>
      </c>
      <c r="Q556" s="8" t="n">
        <v>0</v>
      </c>
      <c r="R556" s="9" t="n">
        <v>7.5</v>
      </c>
      <c r="S556" s="8" t="n">
        <v>7.5</v>
      </c>
      <c r="T556" s="8" t="n">
        <v>10.5</v>
      </c>
      <c r="U556" s="8" t="n">
        <v>10.5</v>
      </c>
      <c r="V556" s="8" t="n">
        <v>0</v>
      </c>
      <c r="W556" s="8" t="n">
        <v>10.5</v>
      </c>
      <c r="X556" s="8" t="n">
        <v>7.5</v>
      </c>
      <c r="Y556" s="9" t="n">
        <v>0</v>
      </c>
      <c r="Z556" s="8" t="n">
        <v>7.5</v>
      </c>
      <c r="AA556" s="8" t="n">
        <v>10.5</v>
      </c>
      <c r="AB556" s="8" t="n">
        <v>10.5</v>
      </c>
      <c r="AC556" s="8" t="n">
        <v>0</v>
      </c>
      <c r="AD556" s="8" t="n">
        <v>0</v>
      </c>
      <c r="AE556" s="8" t="n">
        <v>0</v>
      </c>
      <c r="AF556" s="9" t="n">
        <v>0</v>
      </c>
      <c r="AG556" s="8" t="n">
        <v>10.5</v>
      </c>
      <c r="AH556" s="8" t="n">
        <v>0</v>
      </c>
      <c r="AI556" s="8" t="n">
        <v>0</v>
      </c>
      <c r="AJ556" s="8" t="n">
        <v>0</v>
      </c>
      <c r="AK556" s="8" t="n">
        <v>0</v>
      </c>
      <c r="AL556" s="8" t="n">
        <v>0</v>
      </c>
      <c r="AM556" s="9" t="n">
        <v>0</v>
      </c>
      <c r="AN556" s="8" t="n">
        <v>0</v>
      </c>
      <c r="AO556" s="8" t="n">
        <v>0</v>
      </c>
      <c r="AP556" s="8" t="n">
        <v>0</v>
      </c>
      <c r="AQ556" s="8" t="n">
        <v>0</v>
      </c>
      <c r="AR556" s="8" t="n">
        <v>0</v>
      </c>
      <c r="AS556" s="8" t="n">
        <v>0</v>
      </c>
      <c r="AT556" s="10">
        <f>SUM(O556:AS556)</f>
        <v/>
      </c>
      <c r="AU556" s="11">
        <f>COUNTIF(O556:AS556, "&gt;0")</f>
        <v/>
      </c>
      <c r="AV556" s="12">
        <f>IF(AU556&gt;=5, 4, IF(AU556&gt;0, INT(AU556/6), 0))</f>
        <v/>
      </c>
      <c r="AW556" s="11" t="n">
        <v>0</v>
      </c>
      <c r="AX556" s="11" t="n">
        <v>0</v>
      </c>
      <c r="AY556" s="13">
        <f>MIN(31, AU556+AV556+AW556+AX556)</f>
        <v/>
      </c>
      <c r="AZ556" s="14">
        <f>31-AY556</f>
        <v/>
      </c>
      <c r="BA556" s="5">
        <f>IF(AX556&gt;0, "01-İstirahat", IF(AZ556&gt;0, "12-Birden Fazla", ""))</f>
        <v/>
      </c>
      <c r="BB556" s="10" t="n">
        <v>18</v>
      </c>
      <c r="BC556" s="8" t="n">
        <v>0</v>
      </c>
      <c r="BD556" s="9" t="n">
        <v>7.5</v>
      </c>
      <c r="BE556" s="7">
        <f>(L556/30)*AU556</f>
        <v/>
      </c>
      <c r="BF556" s="15">
        <f>(L556/225)*((BB556*1.5)-(BC556*1.0))</f>
        <v/>
      </c>
      <c r="BG556" s="16">
        <f>(L556/225)*1.5*BD556</f>
        <v/>
      </c>
      <c r="BH556" s="15">
        <f>BF556+BG556</f>
        <v/>
      </c>
      <c r="BI556" s="17">
        <f>BE556+BH556</f>
        <v/>
      </c>
      <c r="BJ556" s="7">
        <f>IFERROR(VLOOKUP(B556, Resmi_Bordro_SGK!B:M, 11, FALSE), 0)</f>
        <v/>
      </c>
      <c r="BK556" s="18">
        <f>IFERROR(VLOOKUP(B556, Icra_Takip!A:E, 4, FALSE), 0)</f>
        <v/>
      </c>
      <c r="BL556" s="17">
        <f>IF(BI556&gt;BJ556, BI556-BJ556-BK556, 0)</f>
        <v/>
      </c>
      <c r="BM556" s="17">
        <f>BI556-BK556</f>
        <v/>
      </c>
    </row>
    <row r="557" ht="19" customHeight="1">
      <c r="A557" s="4" t="n">
        <v>554</v>
      </c>
      <c r="B557" s="5" t="inlineStr">
        <is>
          <t>01447</t>
        </is>
      </c>
      <c r="C557" s="6" t="inlineStr">
        <is>
          <t>RABİA KIRCALI</t>
        </is>
      </c>
      <c r="D557" s="4" t="inlineStr"/>
      <c r="E557" s="4" t="inlineStr"/>
      <c r="F557" s="4" t="inlineStr"/>
      <c r="G557" s="4" t="inlineStr"/>
      <c r="H557" s="4" t="inlineStr">
        <is>
          <t>NORMAL</t>
        </is>
      </c>
      <c r="I557" s="4" t="inlineStr">
        <is>
          <t>MEVSİMLİK</t>
        </is>
      </c>
      <c r="J557" s="6" t="inlineStr">
        <is>
          <t>DİĞER</t>
        </is>
      </c>
      <c r="K557" s="6" t="inlineStr"/>
      <c r="L557" s="7" t="n">
        <v>0</v>
      </c>
      <c r="M557" s="4" t="inlineStr">
        <is>
          <t>FİDE KONSERVE</t>
        </is>
      </c>
      <c r="N557" s="4" t="inlineStr">
        <is>
          <t>ALIR</t>
        </is>
      </c>
      <c r="O557" s="19" t="n">
        <v>0</v>
      </c>
      <c r="P557" s="23" t="n">
        <v>10.5</v>
      </c>
      <c r="Q557" s="19" t="n">
        <v>0</v>
      </c>
      <c r="R557" s="9" t="n">
        <v>7.5</v>
      </c>
      <c r="S557" s="19" t="n">
        <v>0</v>
      </c>
      <c r="T557" s="19" t="n">
        <v>10.5</v>
      </c>
      <c r="U557" s="19" t="n">
        <v>10.5</v>
      </c>
      <c r="V557" s="19" t="n">
        <v>10.5</v>
      </c>
      <c r="W557" s="19" t="n">
        <v>0</v>
      </c>
      <c r="X557" s="19" t="n">
        <v>10.5</v>
      </c>
      <c r="Y557" s="9" t="n">
        <v>0</v>
      </c>
      <c r="Z557" s="19" t="n">
        <v>10.5</v>
      </c>
      <c r="AA557" s="19" t="n">
        <v>0</v>
      </c>
      <c r="AB557" s="19" t="n">
        <v>10.5</v>
      </c>
      <c r="AC557" s="19" t="n">
        <v>10.5</v>
      </c>
      <c r="AD557" s="19" t="n">
        <v>0</v>
      </c>
      <c r="AE557" s="19" t="n">
        <v>0</v>
      </c>
      <c r="AF557" s="9" t="n">
        <v>0</v>
      </c>
      <c r="AG557" s="19" t="n">
        <v>10.5</v>
      </c>
      <c r="AH557" s="19" t="n">
        <v>7.5</v>
      </c>
      <c r="AI557" s="19" t="n">
        <v>7.5</v>
      </c>
      <c r="AJ557" s="19" t="n">
        <v>0</v>
      </c>
      <c r="AK557" s="19" t="n">
        <v>0</v>
      </c>
      <c r="AL557" s="19" t="n">
        <v>0</v>
      </c>
      <c r="AM557" s="9" t="n">
        <v>0</v>
      </c>
      <c r="AN557" s="19" t="n">
        <v>0</v>
      </c>
      <c r="AO557" s="19" t="n">
        <v>0</v>
      </c>
      <c r="AP557" s="19" t="n">
        <v>0</v>
      </c>
      <c r="AQ557" s="19" t="n">
        <v>0</v>
      </c>
      <c r="AR557" s="19" t="n">
        <v>0</v>
      </c>
      <c r="AS557" s="19" t="n">
        <v>0</v>
      </c>
      <c r="AT557" s="10">
        <f>SUM(O557:AS557)</f>
        <v/>
      </c>
      <c r="AU557" s="20">
        <f>COUNTIF(O557:AS557, "&gt;0")</f>
        <v/>
      </c>
      <c r="AV557" s="12">
        <f>IF(AU557&gt;=5, 4, IF(AU557&gt;0, INT(AU557/6), 0))</f>
        <v/>
      </c>
      <c r="AW557" s="20" t="n">
        <v>0</v>
      </c>
      <c r="AX557" s="20" t="n">
        <v>0</v>
      </c>
      <c r="AY557" s="13">
        <f>MIN(31, AU557+AV557+AW557+AX557)</f>
        <v/>
      </c>
      <c r="AZ557" s="14">
        <f>31-AY557</f>
        <v/>
      </c>
      <c r="BA557" s="21">
        <f>IF(AX557&gt;0, "01-İstirahat", IF(AZ557&gt;0, "12-Birden Fazla", ""))</f>
        <v/>
      </c>
      <c r="BB557" s="10" t="n">
        <v>27</v>
      </c>
      <c r="BC557" s="19" t="n">
        <v>0</v>
      </c>
      <c r="BD557" s="9" t="n">
        <v>7.5</v>
      </c>
      <c r="BE557" s="22">
        <f>(L557/30)*AU557</f>
        <v/>
      </c>
      <c r="BF557" s="15">
        <f>(L557/225)*((BB557*1.5)-(BC557*1.0))</f>
        <v/>
      </c>
      <c r="BG557" s="16">
        <f>(L557/225)*1.5*BD557</f>
        <v/>
      </c>
      <c r="BH557" s="15">
        <f>BF557+BG557</f>
        <v/>
      </c>
      <c r="BI557" s="17">
        <f>BE557+BH557</f>
        <v/>
      </c>
      <c r="BJ557" s="22">
        <f>IFERROR(VLOOKUP(B557, Resmi_Bordro_SGK!B:M, 11, FALSE), 0)</f>
        <v/>
      </c>
      <c r="BK557" s="18">
        <f>IFERROR(VLOOKUP(B557, Icra_Takip!A:E, 4, FALSE), 0)</f>
        <v/>
      </c>
      <c r="BL557" s="17">
        <f>IF(BI557&gt;BJ557, BI557-BJ557-BK557, 0)</f>
        <v/>
      </c>
      <c r="BM557" s="17">
        <f>BI557-BK557</f>
        <v/>
      </c>
    </row>
    <row r="558" ht="19" customHeight="1">
      <c r="A558" s="4" t="n">
        <v>555</v>
      </c>
      <c r="B558" s="5" t="inlineStr">
        <is>
          <t>01446</t>
        </is>
      </c>
      <c r="C558" s="6" t="inlineStr">
        <is>
          <t>RAİBA DURMA</t>
        </is>
      </c>
      <c r="D558" s="4" t="inlineStr"/>
      <c r="E558" s="4" t="inlineStr"/>
      <c r="F558" s="4" t="inlineStr"/>
      <c r="G558" s="4" t="inlineStr"/>
      <c r="H558" s="4" t="inlineStr">
        <is>
          <t>NORMAL</t>
        </is>
      </c>
      <c r="I558" s="4" t="inlineStr">
        <is>
          <t>MEVSİMLİK</t>
        </is>
      </c>
      <c r="J558" s="6" t="inlineStr">
        <is>
          <t>DİĞER</t>
        </is>
      </c>
      <c r="K558" s="6" t="inlineStr"/>
      <c r="L558" s="7" t="n">
        <v>0</v>
      </c>
      <c r="M558" s="4" t="inlineStr">
        <is>
          <t>FİDE KONSERVE</t>
        </is>
      </c>
      <c r="N558" s="4" t="inlineStr">
        <is>
          <t>ALIR</t>
        </is>
      </c>
      <c r="O558" s="8" t="n">
        <v>0</v>
      </c>
      <c r="P558" s="23" t="n">
        <v>10.5</v>
      </c>
      <c r="Q558" s="8" t="n">
        <v>10.5</v>
      </c>
      <c r="R558" s="9" t="n">
        <v>10.5</v>
      </c>
      <c r="S558" s="8" t="n">
        <v>10.5</v>
      </c>
      <c r="T558" s="8" t="n">
        <v>0</v>
      </c>
      <c r="U558" s="8" t="n">
        <v>10.5</v>
      </c>
      <c r="V558" s="8" t="n">
        <v>10.5</v>
      </c>
      <c r="W558" s="8" t="n">
        <v>10.5</v>
      </c>
      <c r="X558" s="8" t="n">
        <v>0</v>
      </c>
      <c r="Y558" s="9" t="n">
        <v>10.5</v>
      </c>
      <c r="Z558" s="8" t="n">
        <v>10.5</v>
      </c>
      <c r="AA558" s="8" t="n">
        <v>10.5</v>
      </c>
      <c r="AB558" s="8" t="n">
        <v>10.5</v>
      </c>
      <c r="AC558" s="8" t="n">
        <v>10.5</v>
      </c>
      <c r="AD558" s="8" t="n">
        <v>0</v>
      </c>
      <c r="AE558" s="8" t="n">
        <v>0</v>
      </c>
      <c r="AF558" s="9" t="n">
        <v>10.5</v>
      </c>
      <c r="AG558" s="8" t="n">
        <v>0</v>
      </c>
      <c r="AH558" s="8" t="n">
        <v>0</v>
      </c>
      <c r="AI558" s="8" t="n">
        <v>0</v>
      </c>
      <c r="AJ558" s="8" t="n">
        <v>0</v>
      </c>
      <c r="AK558" s="8" t="n">
        <v>0</v>
      </c>
      <c r="AL558" s="8" t="n">
        <v>0</v>
      </c>
      <c r="AM558" s="9" t="n">
        <v>0</v>
      </c>
      <c r="AN558" s="8" t="n">
        <v>0</v>
      </c>
      <c r="AO558" s="8" t="n">
        <v>0</v>
      </c>
      <c r="AP558" s="8" t="n">
        <v>0</v>
      </c>
      <c r="AQ558" s="8" t="n">
        <v>0</v>
      </c>
      <c r="AR558" s="8" t="n">
        <v>0</v>
      </c>
      <c r="AS558" s="8" t="n">
        <v>0</v>
      </c>
      <c r="AT558" s="10">
        <f>SUM(O558:AS558)</f>
        <v/>
      </c>
      <c r="AU558" s="11">
        <f>COUNTIF(O558:AS558, "&gt;0")</f>
        <v/>
      </c>
      <c r="AV558" s="12">
        <f>IF(AU558&gt;=5, 4, IF(AU558&gt;0, INT(AU558/6), 0))</f>
        <v/>
      </c>
      <c r="AW558" s="11" t="n">
        <v>0</v>
      </c>
      <c r="AX558" s="11" t="n">
        <v>0</v>
      </c>
      <c r="AY558" s="13">
        <f>MIN(31, AU558+AV558+AW558+AX558)</f>
        <v/>
      </c>
      <c r="AZ558" s="14">
        <f>31-AY558</f>
        <v/>
      </c>
      <c r="BA558" s="5">
        <f>IF(AX558&gt;0, "01-İstirahat", IF(AZ558&gt;0, "12-Birden Fazla", ""))</f>
        <v/>
      </c>
      <c r="BB558" s="10" t="n">
        <v>30</v>
      </c>
      <c r="BC558" s="8" t="n">
        <v>0</v>
      </c>
      <c r="BD558" s="9" t="n">
        <v>31.5</v>
      </c>
      <c r="BE558" s="7">
        <f>(L558/30)*AU558</f>
        <v/>
      </c>
      <c r="BF558" s="15">
        <f>(L558/225)*((BB558*1.5)-(BC558*1.0))</f>
        <v/>
      </c>
      <c r="BG558" s="16">
        <f>(L558/225)*1.5*BD558</f>
        <v/>
      </c>
      <c r="BH558" s="15">
        <f>BF558+BG558</f>
        <v/>
      </c>
      <c r="BI558" s="17">
        <f>BE558+BH558</f>
        <v/>
      </c>
      <c r="BJ558" s="7">
        <f>IFERROR(VLOOKUP(B558, Resmi_Bordro_SGK!B:M, 11, FALSE), 0)</f>
        <v/>
      </c>
      <c r="BK558" s="18">
        <f>IFERROR(VLOOKUP(B558, Icra_Takip!A:E, 4, FALSE), 0)</f>
        <v/>
      </c>
      <c r="BL558" s="17">
        <f>IF(BI558&gt;BJ558, BI558-BJ558-BK558, 0)</f>
        <v/>
      </c>
      <c r="BM558" s="17">
        <f>BI558-BK558</f>
        <v/>
      </c>
    </row>
    <row r="559" ht="19" customHeight="1">
      <c r="A559" s="4" t="n">
        <v>556</v>
      </c>
      <c r="B559" s="5" t="inlineStr">
        <is>
          <t>01448</t>
        </is>
      </c>
      <c r="C559" s="6" t="inlineStr">
        <is>
          <t>İREMZİYE FİDAN</t>
        </is>
      </c>
      <c r="D559" s="4" t="inlineStr"/>
      <c r="E559" s="4" t="inlineStr"/>
      <c r="F559" s="4" t="inlineStr"/>
      <c r="G559" s="4" t="inlineStr"/>
      <c r="H559" s="4" t="inlineStr">
        <is>
          <t>NORMAL</t>
        </is>
      </c>
      <c r="I559" s="4" t="inlineStr">
        <is>
          <t>MEVSİMLİK</t>
        </is>
      </c>
      <c r="J559" s="6" t="inlineStr">
        <is>
          <t>DİĞER</t>
        </is>
      </c>
      <c r="K559" s="6" t="inlineStr"/>
      <c r="L559" s="7" t="n">
        <v>0</v>
      </c>
      <c r="M559" s="4" t="inlineStr">
        <is>
          <t>FİDE KONSERVE</t>
        </is>
      </c>
      <c r="N559" s="4" t="inlineStr">
        <is>
          <t>ALIR</t>
        </is>
      </c>
      <c r="O559" s="19" t="n">
        <v>0</v>
      </c>
      <c r="P559" s="19" t="n">
        <v>0</v>
      </c>
      <c r="Q559" s="23" t="n">
        <v>8</v>
      </c>
      <c r="R559" s="9" t="n">
        <v>0</v>
      </c>
      <c r="S559" s="19" t="n">
        <v>7.5</v>
      </c>
      <c r="T559" s="19" t="n">
        <v>8</v>
      </c>
      <c r="U559" s="19" t="n">
        <v>8</v>
      </c>
      <c r="V559" s="19" t="n">
        <v>8</v>
      </c>
      <c r="W559" s="19" t="n">
        <v>8.5</v>
      </c>
      <c r="X559" s="19" t="n">
        <v>8.5</v>
      </c>
      <c r="Y559" s="9" t="n">
        <v>0</v>
      </c>
      <c r="Z559" s="19" t="n">
        <v>7.5</v>
      </c>
      <c r="AA559" s="19" t="n">
        <v>7.5</v>
      </c>
      <c r="AB559" s="19" t="n">
        <v>8.5</v>
      </c>
      <c r="AC559" s="19" t="n">
        <v>7.5</v>
      </c>
      <c r="AD559" s="19" t="n">
        <v>8</v>
      </c>
      <c r="AE559" s="19" t="n">
        <v>8.5</v>
      </c>
      <c r="AF559" s="9" t="n">
        <v>0</v>
      </c>
      <c r="AG559" s="19" t="n">
        <v>8.5</v>
      </c>
      <c r="AH559" s="19" t="n">
        <v>7.5</v>
      </c>
      <c r="AI559" s="19" t="n">
        <v>7.5</v>
      </c>
      <c r="AJ559" s="19" t="n">
        <v>0</v>
      </c>
      <c r="AK559" s="19" t="n">
        <v>0</v>
      </c>
      <c r="AL559" s="19" t="n">
        <v>0</v>
      </c>
      <c r="AM559" s="9" t="n">
        <v>0</v>
      </c>
      <c r="AN559" s="19" t="n">
        <v>0</v>
      </c>
      <c r="AO559" s="19" t="n">
        <v>0</v>
      </c>
      <c r="AP559" s="19" t="n">
        <v>0</v>
      </c>
      <c r="AQ559" s="19" t="n">
        <v>0</v>
      </c>
      <c r="AR559" s="19" t="n">
        <v>0</v>
      </c>
      <c r="AS559" s="19" t="n">
        <v>0</v>
      </c>
      <c r="AT559" s="10">
        <f>SUM(O559:AS559)</f>
        <v/>
      </c>
      <c r="AU559" s="20">
        <f>COUNTIF(O559:AS559, "&gt;0")</f>
        <v/>
      </c>
      <c r="AV559" s="12">
        <f>IF(AU559&gt;=5, 4, IF(AU559&gt;0, INT(AU559/6), 0))</f>
        <v/>
      </c>
      <c r="AW559" s="20" t="n">
        <v>0</v>
      </c>
      <c r="AX559" s="20" t="n">
        <v>0</v>
      </c>
      <c r="AY559" s="13">
        <f>MIN(31, AU559+AV559+AW559+AX559)</f>
        <v/>
      </c>
      <c r="AZ559" s="14">
        <f>31-AY559</f>
        <v/>
      </c>
      <c r="BA559" s="21">
        <f>IF(AX559&gt;0, "01-İstirahat", IF(AZ559&gt;0, "12-Birden Fazla", ""))</f>
        <v/>
      </c>
      <c r="BB559" s="10" t="n">
        <v>7.5</v>
      </c>
      <c r="BC559" s="19" t="n">
        <v>0</v>
      </c>
      <c r="BD559" s="9" t="n">
        <v>0</v>
      </c>
      <c r="BE559" s="22">
        <f>(L559/30)*AU559</f>
        <v/>
      </c>
      <c r="BF559" s="15">
        <f>(L559/225)*((BB559*1.5)-(BC559*1.0))</f>
        <v/>
      </c>
      <c r="BG559" s="16">
        <f>(L559/225)*1.5*BD559</f>
        <v/>
      </c>
      <c r="BH559" s="15">
        <f>BF559+BG559</f>
        <v/>
      </c>
      <c r="BI559" s="17">
        <f>BE559+BH559</f>
        <v/>
      </c>
      <c r="BJ559" s="22">
        <f>IFERROR(VLOOKUP(B559, Resmi_Bordro_SGK!B:M, 11, FALSE), 0)</f>
        <v/>
      </c>
      <c r="BK559" s="18">
        <f>IFERROR(VLOOKUP(B559, Icra_Takip!A:E, 4, FALSE), 0)</f>
        <v/>
      </c>
      <c r="BL559" s="17">
        <f>IF(BI559&gt;BJ559, BI559-BJ559-BK559, 0)</f>
        <v/>
      </c>
      <c r="BM559" s="17">
        <f>BI559-BK559</f>
        <v/>
      </c>
    </row>
    <row r="560" ht="19" customHeight="1">
      <c r="A560" s="4" t="n">
        <v>557</v>
      </c>
      <c r="B560" s="5" t="inlineStr">
        <is>
          <t>01449</t>
        </is>
      </c>
      <c r="C560" s="6" t="inlineStr">
        <is>
          <t>SAADET ÇÇAKIR</t>
        </is>
      </c>
      <c r="D560" s="4" t="inlineStr"/>
      <c r="E560" s="4" t="inlineStr"/>
      <c r="F560" s="4" t="inlineStr"/>
      <c r="G560" s="4" t="inlineStr"/>
      <c r="H560" s="4" t="inlineStr">
        <is>
          <t>NORMAL</t>
        </is>
      </c>
      <c r="I560" s="4" t="inlineStr">
        <is>
          <t>MEVSİMLİK</t>
        </is>
      </c>
      <c r="J560" s="6" t="inlineStr">
        <is>
          <t>DİĞER</t>
        </is>
      </c>
      <c r="K560" s="6" t="inlineStr"/>
      <c r="L560" s="7" t="n">
        <v>0</v>
      </c>
      <c r="M560" s="4" t="inlineStr">
        <is>
          <t>FİDE KONSERVE</t>
        </is>
      </c>
      <c r="N560" s="4" t="inlineStr">
        <is>
          <t>ALIR</t>
        </is>
      </c>
      <c r="O560" s="8" t="n">
        <v>0</v>
      </c>
      <c r="P560" s="23" t="n">
        <v>10.5</v>
      </c>
      <c r="Q560" s="8" t="n">
        <v>10.5</v>
      </c>
      <c r="R560" s="9" t="n">
        <v>0</v>
      </c>
      <c r="S560" s="8" t="n">
        <v>10.5</v>
      </c>
      <c r="T560" s="8" t="n">
        <v>10.5</v>
      </c>
      <c r="U560" s="8" t="n">
        <v>10.5</v>
      </c>
      <c r="V560" s="8" t="n">
        <v>10.5</v>
      </c>
      <c r="W560" s="8" t="n">
        <v>10.5</v>
      </c>
      <c r="X560" s="8" t="n">
        <v>10.5</v>
      </c>
      <c r="Y560" s="9" t="n">
        <v>0</v>
      </c>
      <c r="Z560" s="8" t="n">
        <v>10.5</v>
      </c>
      <c r="AA560" s="8" t="n">
        <v>10.5</v>
      </c>
      <c r="AB560" s="8" t="n">
        <v>10.5</v>
      </c>
      <c r="AC560" s="8" t="n">
        <v>10.5</v>
      </c>
      <c r="AD560" s="8" t="n">
        <v>0</v>
      </c>
      <c r="AE560" s="8" t="n">
        <v>0</v>
      </c>
      <c r="AF560" s="9" t="n">
        <v>0</v>
      </c>
      <c r="AG560" s="8" t="n">
        <v>10.5</v>
      </c>
      <c r="AH560" s="8" t="n">
        <v>7.5</v>
      </c>
      <c r="AI560" s="8" t="n">
        <v>7.5</v>
      </c>
      <c r="AJ560" s="8" t="n">
        <v>0</v>
      </c>
      <c r="AK560" s="8" t="n">
        <v>0</v>
      </c>
      <c r="AL560" s="8" t="n">
        <v>0</v>
      </c>
      <c r="AM560" s="9" t="n">
        <v>0</v>
      </c>
      <c r="AN560" s="8" t="n">
        <v>0</v>
      </c>
      <c r="AO560" s="8" t="n">
        <v>0</v>
      </c>
      <c r="AP560" s="8" t="n">
        <v>0</v>
      </c>
      <c r="AQ560" s="8" t="n">
        <v>0</v>
      </c>
      <c r="AR560" s="8" t="n">
        <v>0</v>
      </c>
      <c r="AS560" s="8" t="n">
        <v>0</v>
      </c>
      <c r="AT560" s="10">
        <f>SUM(O560:AS560)</f>
        <v/>
      </c>
      <c r="AU560" s="11">
        <f>COUNTIF(O560:AS560, "&gt;0")</f>
        <v/>
      </c>
      <c r="AV560" s="12">
        <f>IF(AU560&gt;=5, 4, IF(AU560&gt;0, INT(AU560/6), 0))</f>
        <v/>
      </c>
      <c r="AW560" s="11" t="n">
        <v>0</v>
      </c>
      <c r="AX560" s="11" t="n">
        <v>0</v>
      </c>
      <c r="AY560" s="13">
        <f>MIN(31, AU560+AV560+AW560+AX560)</f>
        <v/>
      </c>
      <c r="AZ560" s="14">
        <f>31-AY560</f>
        <v/>
      </c>
      <c r="BA560" s="5">
        <f>IF(AX560&gt;0, "01-İstirahat", IF(AZ560&gt;0, "12-Birden Fazla", ""))</f>
        <v/>
      </c>
      <c r="BB560" s="10" t="n">
        <v>39</v>
      </c>
      <c r="BC560" s="8" t="n">
        <v>0</v>
      </c>
      <c r="BD560" s="9" t="n">
        <v>0</v>
      </c>
      <c r="BE560" s="7">
        <f>(L560/30)*AU560</f>
        <v/>
      </c>
      <c r="BF560" s="15">
        <f>(L560/225)*((BB560*1.5)-(BC560*1.0))</f>
        <v/>
      </c>
      <c r="BG560" s="16">
        <f>(L560/225)*1.5*BD560</f>
        <v/>
      </c>
      <c r="BH560" s="15">
        <f>BF560+BG560</f>
        <v/>
      </c>
      <c r="BI560" s="17">
        <f>BE560+BH560</f>
        <v/>
      </c>
      <c r="BJ560" s="7">
        <f>IFERROR(VLOOKUP(B560, Resmi_Bordro_SGK!B:M, 11, FALSE), 0)</f>
        <v/>
      </c>
      <c r="BK560" s="18">
        <f>IFERROR(VLOOKUP(B560, Icra_Takip!A:E, 4, FALSE), 0)</f>
        <v/>
      </c>
      <c r="BL560" s="17">
        <f>IF(BI560&gt;BJ560, BI560-BJ560-BK560, 0)</f>
        <v/>
      </c>
      <c r="BM560" s="17">
        <f>BI560-BK560</f>
        <v/>
      </c>
    </row>
    <row r="561" ht="19" customHeight="1">
      <c r="A561" s="4" t="n">
        <v>558</v>
      </c>
      <c r="B561" s="5" t="inlineStr">
        <is>
          <t>01450</t>
        </is>
      </c>
      <c r="C561" s="6" t="inlineStr">
        <is>
          <t>SAFİYE GÖKGÖZ</t>
        </is>
      </c>
      <c r="D561" s="4" t="inlineStr"/>
      <c r="E561" s="4" t="inlineStr"/>
      <c r="F561" s="4" t="inlineStr"/>
      <c r="G561" s="4" t="inlineStr"/>
      <c r="H561" s="4" t="inlineStr">
        <is>
          <t>NORMAL</t>
        </is>
      </c>
      <c r="I561" s="4" t="inlineStr">
        <is>
          <t>MEVSİMLİK</t>
        </is>
      </c>
      <c r="J561" s="6" t="inlineStr">
        <is>
          <t>DİĞER</t>
        </is>
      </c>
      <c r="K561" s="6" t="inlineStr"/>
      <c r="L561" s="7" t="n">
        <v>0</v>
      </c>
      <c r="M561" s="4" t="inlineStr">
        <is>
          <t>FİDE KONSERVE</t>
        </is>
      </c>
      <c r="N561" s="4" t="inlineStr">
        <is>
          <t>ALIR</t>
        </is>
      </c>
      <c r="O561" s="19" t="n">
        <v>0</v>
      </c>
      <c r="P561" s="23" t="n">
        <v>10.5</v>
      </c>
      <c r="Q561" s="19" t="n">
        <v>0</v>
      </c>
      <c r="R561" s="9" t="n">
        <v>7.5</v>
      </c>
      <c r="S561" s="19" t="n">
        <v>0</v>
      </c>
      <c r="T561" s="19" t="n">
        <v>10.5</v>
      </c>
      <c r="U561" s="19" t="n">
        <v>10.5</v>
      </c>
      <c r="V561" s="19" t="n">
        <v>10.5</v>
      </c>
      <c r="W561" s="19" t="n">
        <v>0</v>
      </c>
      <c r="X561" s="19" t="n">
        <v>10.5</v>
      </c>
      <c r="Y561" s="9" t="n">
        <v>0</v>
      </c>
      <c r="Z561" s="19" t="n">
        <v>10.5</v>
      </c>
      <c r="AA561" s="19" t="n">
        <v>7.5</v>
      </c>
      <c r="AB561" s="19" t="n">
        <v>10.5</v>
      </c>
      <c r="AC561" s="19" t="n">
        <v>0</v>
      </c>
      <c r="AD561" s="19" t="n">
        <v>0</v>
      </c>
      <c r="AE561" s="19" t="n">
        <v>0</v>
      </c>
      <c r="AF561" s="9" t="n">
        <v>0</v>
      </c>
      <c r="AG561" s="19" t="n">
        <v>0</v>
      </c>
      <c r="AH561" s="19" t="n">
        <v>7.5</v>
      </c>
      <c r="AI561" s="19" t="n">
        <v>7.5</v>
      </c>
      <c r="AJ561" s="19" t="n">
        <v>0</v>
      </c>
      <c r="AK561" s="19" t="n">
        <v>0</v>
      </c>
      <c r="AL561" s="19" t="n">
        <v>0</v>
      </c>
      <c r="AM561" s="9" t="n">
        <v>0</v>
      </c>
      <c r="AN561" s="19" t="n">
        <v>0</v>
      </c>
      <c r="AO561" s="19" t="n">
        <v>0</v>
      </c>
      <c r="AP561" s="19" t="n">
        <v>0</v>
      </c>
      <c r="AQ561" s="19" t="n">
        <v>0</v>
      </c>
      <c r="AR561" s="19" t="n">
        <v>0</v>
      </c>
      <c r="AS561" s="19" t="n">
        <v>0</v>
      </c>
      <c r="AT561" s="10">
        <f>SUM(O561:AS561)</f>
        <v/>
      </c>
      <c r="AU561" s="20">
        <f>COUNTIF(O561:AS561, "&gt;0")</f>
        <v/>
      </c>
      <c r="AV561" s="12">
        <f>IF(AU561&gt;=5, 4, IF(AU561&gt;0, INT(AU561/6), 0))</f>
        <v/>
      </c>
      <c r="AW561" s="20" t="n">
        <v>0</v>
      </c>
      <c r="AX561" s="20" t="n">
        <v>0</v>
      </c>
      <c r="AY561" s="13">
        <f>MIN(31, AU561+AV561+AW561+AX561)</f>
        <v/>
      </c>
      <c r="AZ561" s="14">
        <f>31-AY561</f>
        <v/>
      </c>
      <c r="BA561" s="21">
        <f>IF(AX561&gt;0, "01-İstirahat", IF(AZ561&gt;0, "12-Birden Fazla", ""))</f>
        <v/>
      </c>
      <c r="BB561" s="10" t="n">
        <v>21</v>
      </c>
      <c r="BC561" s="19" t="n">
        <v>0</v>
      </c>
      <c r="BD561" s="9" t="n">
        <v>7.5</v>
      </c>
      <c r="BE561" s="22">
        <f>(L561/30)*AU561</f>
        <v/>
      </c>
      <c r="BF561" s="15">
        <f>(L561/225)*((BB561*1.5)-(BC561*1.0))</f>
        <v/>
      </c>
      <c r="BG561" s="16">
        <f>(L561/225)*1.5*BD561</f>
        <v/>
      </c>
      <c r="BH561" s="15">
        <f>BF561+BG561</f>
        <v/>
      </c>
      <c r="BI561" s="17">
        <f>BE561+BH561</f>
        <v/>
      </c>
      <c r="BJ561" s="22">
        <f>IFERROR(VLOOKUP(B561, Resmi_Bordro_SGK!B:M, 11, FALSE), 0)</f>
        <v/>
      </c>
      <c r="BK561" s="18">
        <f>IFERROR(VLOOKUP(B561, Icra_Takip!A:E, 4, FALSE), 0)</f>
        <v/>
      </c>
      <c r="BL561" s="17">
        <f>IF(BI561&gt;BJ561, BI561-BJ561-BK561, 0)</f>
        <v/>
      </c>
      <c r="BM561" s="17">
        <f>BI561-BK561</f>
        <v/>
      </c>
    </row>
    <row r="562" ht="19" customHeight="1">
      <c r="A562" s="4" t="n">
        <v>559</v>
      </c>
      <c r="B562" s="5" t="inlineStr">
        <is>
          <t>01453</t>
        </is>
      </c>
      <c r="C562" s="6" t="inlineStr">
        <is>
          <t>SEBAHATTİN ÖRS</t>
        </is>
      </c>
      <c r="D562" s="4" t="inlineStr"/>
      <c r="E562" s="4" t="inlineStr"/>
      <c r="F562" s="4" t="inlineStr"/>
      <c r="G562" s="4" t="inlineStr"/>
      <c r="H562" s="4" t="inlineStr">
        <is>
          <t>NORMAL</t>
        </is>
      </c>
      <c r="I562" s="4" t="inlineStr">
        <is>
          <t>MEVSİMLİK</t>
        </is>
      </c>
      <c r="J562" s="6" t="inlineStr">
        <is>
          <t>DİĞER</t>
        </is>
      </c>
      <c r="K562" s="6" t="inlineStr"/>
      <c r="L562" s="7" t="n">
        <v>0</v>
      </c>
      <c r="M562" s="4" t="inlineStr">
        <is>
          <t>FİDE KONSERVE</t>
        </is>
      </c>
      <c r="N562" s="4" t="inlineStr">
        <is>
          <t>ALIR</t>
        </is>
      </c>
      <c r="O562" s="8" t="n">
        <v>0</v>
      </c>
      <c r="P562" s="23" t="n">
        <v>10.5</v>
      </c>
      <c r="Q562" s="8" t="n">
        <v>10.5</v>
      </c>
      <c r="R562" s="9" t="n">
        <v>10.5</v>
      </c>
      <c r="S562" s="8" t="n">
        <v>10.5</v>
      </c>
      <c r="T562" s="8" t="n">
        <v>0</v>
      </c>
      <c r="U562" s="8" t="n">
        <v>10.5</v>
      </c>
      <c r="V562" s="8" t="n">
        <v>10.5</v>
      </c>
      <c r="W562" s="8" t="n">
        <v>10.5</v>
      </c>
      <c r="X562" s="8" t="n">
        <v>10.5</v>
      </c>
      <c r="Y562" s="9" t="n">
        <v>0</v>
      </c>
      <c r="Z562" s="8" t="n">
        <v>10.5</v>
      </c>
      <c r="AA562" s="8" t="n">
        <v>10.5</v>
      </c>
      <c r="AB562" s="8" t="n">
        <v>10.5</v>
      </c>
      <c r="AC562" s="8" t="n">
        <v>10.5</v>
      </c>
      <c r="AD562" s="8" t="n">
        <v>0</v>
      </c>
      <c r="AE562" s="8" t="n">
        <v>0</v>
      </c>
      <c r="AF562" s="9" t="n">
        <v>0</v>
      </c>
      <c r="AG562" s="8" t="n">
        <v>10.5</v>
      </c>
      <c r="AH562" s="8" t="n">
        <v>0</v>
      </c>
      <c r="AI562" s="8" t="n">
        <v>0</v>
      </c>
      <c r="AJ562" s="8" t="n">
        <v>0</v>
      </c>
      <c r="AK562" s="8" t="n">
        <v>0</v>
      </c>
      <c r="AL562" s="8" t="n">
        <v>0</v>
      </c>
      <c r="AM562" s="9" t="n">
        <v>0</v>
      </c>
      <c r="AN562" s="8" t="n">
        <v>0</v>
      </c>
      <c r="AO562" s="8" t="n">
        <v>0</v>
      </c>
      <c r="AP562" s="8" t="n">
        <v>0</v>
      </c>
      <c r="AQ562" s="8" t="n">
        <v>0</v>
      </c>
      <c r="AR562" s="8" t="n">
        <v>0</v>
      </c>
      <c r="AS562" s="8" t="n">
        <v>0</v>
      </c>
      <c r="AT562" s="10">
        <f>SUM(O562:AS562)</f>
        <v/>
      </c>
      <c r="AU562" s="11">
        <f>COUNTIF(O562:AS562, "&gt;0")</f>
        <v/>
      </c>
      <c r="AV562" s="12">
        <f>IF(AU562&gt;=5, 4, IF(AU562&gt;0, INT(AU562/6), 0))</f>
        <v/>
      </c>
      <c r="AW562" s="11" t="n">
        <v>0</v>
      </c>
      <c r="AX562" s="11" t="n">
        <v>0</v>
      </c>
      <c r="AY562" s="13">
        <f>MIN(31, AU562+AV562+AW562+AX562)</f>
        <v/>
      </c>
      <c r="AZ562" s="14">
        <f>31-AY562</f>
        <v/>
      </c>
      <c r="BA562" s="5">
        <f>IF(AX562&gt;0, "01-İstirahat", IF(AZ562&gt;0, "12-Birden Fazla", ""))</f>
        <v/>
      </c>
      <c r="BB562" s="10" t="n">
        <v>36</v>
      </c>
      <c r="BC562" s="8" t="n">
        <v>0</v>
      </c>
      <c r="BD562" s="9" t="n">
        <v>10.5</v>
      </c>
      <c r="BE562" s="7">
        <f>(L562/30)*AU562</f>
        <v/>
      </c>
      <c r="BF562" s="15">
        <f>(L562/225)*((BB562*1.5)-(BC562*1.0))</f>
        <v/>
      </c>
      <c r="BG562" s="16">
        <f>(L562/225)*1.5*BD562</f>
        <v/>
      </c>
      <c r="BH562" s="15">
        <f>BF562+BG562</f>
        <v/>
      </c>
      <c r="BI562" s="17">
        <f>BE562+BH562</f>
        <v/>
      </c>
      <c r="BJ562" s="7">
        <f>IFERROR(VLOOKUP(B562, Resmi_Bordro_SGK!B:M, 11, FALSE), 0)</f>
        <v/>
      </c>
      <c r="BK562" s="18">
        <f>IFERROR(VLOOKUP(B562, Icra_Takip!A:E, 4, FALSE), 0)</f>
        <v/>
      </c>
      <c r="BL562" s="17">
        <f>IF(BI562&gt;BJ562, BI562-BJ562-BK562, 0)</f>
        <v/>
      </c>
      <c r="BM562" s="17">
        <f>BI562-BK562</f>
        <v/>
      </c>
    </row>
    <row r="563" ht="19" customHeight="1">
      <c r="A563" s="4" t="n">
        <v>560</v>
      </c>
      <c r="B563" s="5" t="inlineStr">
        <is>
          <t>01523</t>
        </is>
      </c>
      <c r="C563" s="6" t="inlineStr">
        <is>
          <t>SECAHET ABAKAY</t>
        </is>
      </c>
      <c r="D563" s="4" t="inlineStr"/>
      <c r="E563" s="4" t="inlineStr"/>
      <c r="F563" s="4" t="inlineStr"/>
      <c r="G563" s="4" t="inlineStr"/>
      <c r="H563" s="4" t="inlineStr">
        <is>
          <t>NORMAL</t>
        </is>
      </c>
      <c r="I563" s="4" t="inlineStr">
        <is>
          <t>MEVSİMLİK</t>
        </is>
      </c>
      <c r="J563" s="6" t="inlineStr">
        <is>
          <t>DİĞER</t>
        </is>
      </c>
      <c r="K563" s="6" t="inlineStr"/>
      <c r="L563" s="7" t="n">
        <v>0</v>
      </c>
      <c r="M563" s="4" t="inlineStr">
        <is>
          <t>FİDE KONSERVE</t>
        </is>
      </c>
      <c r="N563" s="4" t="inlineStr">
        <is>
          <t>ALIR</t>
        </is>
      </c>
      <c r="O563" s="19" t="n">
        <v>0</v>
      </c>
      <c r="P563" s="19" t="n">
        <v>0</v>
      </c>
      <c r="Q563" s="19" t="n">
        <v>0</v>
      </c>
      <c r="R563" s="9" t="n">
        <v>0</v>
      </c>
      <c r="S563" s="19" t="n">
        <v>0</v>
      </c>
      <c r="T563" s="19" t="n">
        <v>0</v>
      </c>
      <c r="U563" s="23" t="n">
        <v>10.5</v>
      </c>
      <c r="V563" s="19" t="n">
        <v>0</v>
      </c>
      <c r="W563" s="23" t="n">
        <v>10.5</v>
      </c>
      <c r="X563" s="23" t="n">
        <v>10.5</v>
      </c>
      <c r="Y563" s="9" t="n">
        <v>0</v>
      </c>
      <c r="Z563" s="23" t="n">
        <v>7.5</v>
      </c>
      <c r="AA563" s="23" t="n">
        <v>10.5</v>
      </c>
      <c r="AB563" s="23" t="n">
        <v>10.5</v>
      </c>
      <c r="AC563" s="23" t="n">
        <v>10.5</v>
      </c>
      <c r="AD563" s="19" t="n">
        <v>0</v>
      </c>
      <c r="AE563" s="23" t="n">
        <v>10.5</v>
      </c>
      <c r="AF563" s="9" t="n">
        <v>0</v>
      </c>
      <c r="AG563" s="23" t="n">
        <v>10.5</v>
      </c>
      <c r="AH563" s="23" t="n">
        <v>7.5</v>
      </c>
      <c r="AI563" s="23" t="n">
        <v>7.5</v>
      </c>
      <c r="AJ563" s="19" t="n">
        <v>0</v>
      </c>
      <c r="AK563" s="19" t="n">
        <v>0</v>
      </c>
      <c r="AL563" s="19" t="n">
        <v>0</v>
      </c>
      <c r="AM563" s="9" t="n">
        <v>0</v>
      </c>
      <c r="AN563" s="19" t="n">
        <v>0</v>
      </c>
      <c r="AO563" s="19" t="n">
        <v>0</v>
      </c>
      <c r="AP563" s="19" t="n">
        <v>0</v>
      </c>
      <c r="AQ563" s="19" t="n">
        <v>0</v>
      </c>
      <c r="AR563" s="19" t="n">
        <v>0</v>
      </c>
      <c r="AS563" s="19" t="n">
        <v>0</v>
      </c>
      <c r="AT563" s="10">
        <f>SUM(O563:AS563)</f>
        <v/>
      </c>
      <c r="AU563" s="20">
        <f>COUNTIF(O563:AS563, "&gt;0")</f>
        <v/>
      </c>
      <c r="AV563" s="12">
        <f>IF(AU563&gt;=5, 4, IF(AU563&gt;0, INT(AU563/6), 0))</f>
        <v/>
      </c>
      <c r="AW563" s="20" t="n">
        <v>0</v>
      </c>
      <c r="AX563" s="20" t="n">
        <v>0</v>
      </c>
      <c r="AY563" s="13">
        <f>MIN(31, AU563+AV563+AW563+AX563)</f>
        <v/>
      </c>
      <c r="AZ563" s="14">
        <f>31-AY563</f>
        <v/>
      </c>
      <c r="BA563" s="21">
        <f>IF(AX563&gt;0, "01-İstirahat", IF(AZ563&gt;0, "12-Birden Fazla", ""))</f>
        <v/>
      </c>
      <c r="BB563" s="10" t="n">
        <v>24</v>
      </c>
      <c r="BC563" s="19" t="n">
        <v>0</v>
      </c>
      <c r="BD563" s="9" t="n">
        <v>0</v>
      </c>
      <c r="BE563" s="22">
        <f>(L563/30)*AU563</f>
        <v/>
      </c>
      <c r="BF563" s="15">
        <f>(L563/225)*((BB563*1.5)-(BC563*1.0))</f>
        <v/>
      </c>
      <c r="BG563" s="16">
        <f>(L563/225)*1.5*BD563</f>
        <v/>
      </c>
      <c r="BH563" s="15">
        <f>BF563+BG563</f>
        <v/>
      </c>
      <c r="BI563" s="17">
        <f>BE563+BH563</f>
        <v/>
      </c>
      <c r="BJ563" s="22">
        <f>IFERROR(VLOOKUP(B563, Resmi_Bordro_SGK!B:M, 11, FALSE), 0)</f>
        <v/>
      </c>
      <c r="BK563" s="18">
        <f>IFERROR(VLOOKUP(B563, Icra_Takip!A:E, 4, FALSE), 0)</f>
        <v/>
      </c>
      <c r="BL563" s="17">
        <f>IF(BI563&gt;BJ563, BI563-BJ563-BK563, 0)</f>
        <v/>
      </c>
      <c r="BM563" s="17">
        <f>BI563-BK563</f>
        <v/>
      </c>
    </row>
    <row r="564" ht="19" customHeight="1">
      <c r="A564" s="4" t="n">
        <v>561</v>
      </c>
      <c r="B564" s="5" t="inlineStr">
        <is>
          <t>00979</t>
        </is>
      </c>
      <c r="C564" s="6" t="inlineStr">
        <is>
          <t>SEMRA KARAGÖZ</t>
        </is>
      </c>
      <c r="D564" s="4" t="inlineStr"/>
      <c r="E564" s="4" t="inlineStr"/>
      <c r="F564" s="4" t="inlineStr"/>
      <c r="G564" s="4" t="inlineStr"/>
      <c r="H564" s="4" t="inlineStr">
        <is>
          <t>NORMAL</t>
        </is>
      </c>
      <c r="I564" s="4" t="inlineStr">
        <is>
          <t>MEVSİMLİK</t>
        </is>
      </c>
      <c r="J564" s="6" t="inlineStr">
        <is>
          <t>DİĞER</t>
        </is>
      </c>
      <c r="K564" s="6" t="inlineStr"/>
      <c r="L564" s="7" t="n">
        <v>0</v>
      </c>
      <c r="M564" s="4" t="inlineStr">
        <is>
          <t>FİDE KONSERVE</t>
        </is>
      </c>
      <c r="N564" s="4" t="inlineStr">
        <is>
          <t>ALIR</t>
        </is>
      </c>
      <c r="O564" s="8" t="n">
        <v>0</v>
      </c>
      <c r="P564" s="8" t="n">
        <v>0</v>
      </c>
      <c r="Q564" s="8" t="n">
        <v>0</v>
      </c>
      <c r="R564" s="9" t="n">
        <v>0</v>
      </c>
      <c r="S564" s="8" t="n">
        <v>0</v>
      </c>
      <c r="T564" s="8" t="n">
        <v>7.5</v>
      </c>
      <c r="U564" s="8" t="n">
        <v>0</v>
      </c>
      <c r="V564" s="8" t="n">
        <v>7.5</v>
      </c>
      <c r="W564" s="8" t="n">
        <v>0</v>
      </c>
      <c r="X564" s="8" t="n">
        <v>0</v>
      </c>
      <c r="Y564" s="9" t="n">
        <v>0</v>
      </c>
      <c r="Z564" s="8" t="n">
        <v>0</v>
      </c>
      <c r="AA564" s="8" t="n">
        <v>0</v>
      </c>
      <c r="AB564" s="8" t="n">
        <v>0</v>
      </c>
      <c r="AC564" s="8" t="n">
        <v>0</v>
      </c>
      <c r="AD564" s="8" t="n">
        <v>0</v>
      </c>
      <c r="AE564" s="8" t="n">
        <v>0</v>
      </c>
      <c r="AF564" s="9" t="n">
        <v>0</v>
      </c>
      <c r="AG564" s="8" t="n">
        <v>0</v>
      </c>
      <c r="AH564" s="8" t="n">
        <v>0</v>
      </c>
      <c r="AI564" s="8" t="n">
        <v>0</v>
      </c>
      <c r="AJ564" s="8" t="n">
        <v>0</v>
      </c>
      <c r="AK564" s="8" t="n">
        <v>0</v>
      </c>
      <c r="AL564" s="8" t="n">
        <v>0</v>
      </c>
      <c r="AM564" s="9" t="n">
        <v>0</v>
      </c>
      <c r="AN564" s="8" t="n">
        <v>0</v>
      </c>
      <c r="AO564" s="8" t="n">
        <v>0</v>
      </c>
      <c r="AP564" s="8" t="n">
        <v>0</v>
      </c>
      <c r="AQ564" s="8" t="n">
        <v>0</v>
      </c>
      <c r="AR564" s="8" t="n">
        <v>0</v>
      </c>
      <c r="AS564" s="8" t="n">
        <v>0</v>
      </c>
      <c r="AT564" s="10">
        <f>SUM(O564:AS564)</f>
        <v/>
      </c>
      <c r="AU564" s="11">
        <f>COUNTIF(O564:AS564, "&gt;0")</f>
        <v/>
      </c>
      <c r="AV564" s="12">
        <f>IF(AU564&gt;=5, 4, IF(AU564&gt;0, INT(AU564/6), 0))</f>
        <v/>
      </c>
      <c r="AW564" s="11" t="n">
        <v>0</v>
      </c>
      <c r="AX564" s="11" t="n">
        <v>0</v>
      </c>
      <c r="AY564" s="13">
        <f>MIN(31, AU564+AV564+AW564+AX564)</f>
        <v/>
      </c>
      <c r="AZ564" s="14">
        <f>31-AY564</f>
        <v/>
      </c>
      <c r="BA564" s="5">
        <f>IF(AX564&gt;0, "01-İstirahat", IF(AZ564&gt;0, "12-Birden Fazla", ""))</f>
        <v/>
      </c>
      <c r="BB564" s="10" t="n">
        <v>0</v>
      </c>
      <c r="BC564" s="8" t="n">
        <v>0</v>
      </c>
      <c r="BD564" s="9" t="n">
        <v>0</v>
      </c>
      <c r="BE564" s="7">
        <f>(L564/30)*AU564</f>
        <v/>
      </c>
      <c r="BF564" s="15">
        <f>(L564/225)*((BB564*1.5)-(BC564*1.0))</f>
        <v/>
      </c>
      <c r="BG564" s="16">
        <f>(L564/225)*1.5*BD564</f>
        <v/>
      </c>
      <c r="BH564" s="15">
        <f>BF564+BG564</f>
        <v/>
      </c>
      <c r="BI564" s="17">
        <f>BE564+BH564</f>
        <v/>
      </c>
      <c r="BJ564" s="7">
        <f>IFERROR(VLOOKUP(B564, Resmi_Bordro_SGK!B:M, 11, FALSE), 0)</f>
        <v/>
      </c>
      <c r="BK564" s="18">
        <f>IFERROR(VLOOKUP(B564, Icra_Takip!A:E, 4, FALSE), 0)</f>
        <v/>
      </c>
      <c r="BL564" s="17">
        <f>IF(BI564&gt;BJ564, BI564-BJ564-BK564, 0)</f>
        <v/>
      </c>
      <c r="BM564" s="17">
        <f>BI564-BK564</f>
        <v/>
      </c>
    </row>
    <row r="565" ht="19" customHeight="1">
      <c r="A565" s="4" t="n">
        <v>562</v>
      </c>
      <c r="B565" s="5" t="inlineStr">
        <is>
          <t>01454</t>
        </is>
      </c>
      <c r="C565" s="6" t="inlineStr">
        <is>
          <t>SEMRA DUMRUL</t>
        </is>
      </c>
      <c r="D565" s="4" t="inlineStr"/>
      <c r="E565" s="4" t="inlineStr"/>
      <c r="F565" s="4" t="inlineStr"/>
      <c r="G565" s="4" t="inlineStr"/>
      <c r="H565" s="4" t="inlineStr">
        <is>
          <t>NORMAL</t>
        </is>
      </c>
      <c r="I565" s="4" t="inlineStr">
        <is>
          <t>MEVSİMLİK</t>
        </is>
      </c>
      <c r="J565" s="6" t="inlineStr">
        <is>
          <t>DİĞER</t>
        </is>
      </c>
      <c r="K565" s="6" t="inlineStr"/>
      <c r="L565" s="7" t="n">
        <v>0</v>
      </c>
      <c r="M565" s="4" t="inlineStr">
        <is>
          <t>FİDE KONSERVE</t>
        </is>
      </c>
      <c r="N565" s="4" t="inlineStr">
        <is>
          <t>ALIR</t>
        </is>
      </c>
      <c r="O565" s="19" t="n">
        <v>0</v>
      </c>
      <c r="P565" s="19" t="n">
        <v>10.5</v>
      </c>
      <c r="Q565" s="19" t="n">
        <v>10.5</v>
      </c>
      <c r="R565" s="9" t="n">
        <v>0</v>
      </c>
      <c r="S565" s="19" t="n">
        <v>10.5</v>
      </c>
      <c r="T565" s="19" t="n">
        <v>10.5</v>
      </c>
      <c r="U565" s="19" t="n">
        <v>10.5</v>
      </c>
      <c r="V565" s="19" t="n">
        <v>10.5</v>
      </c>
      <c r="W565" s="19" t="n">
        <v>10.5</v>
      </c>
      <c r="X565" s="19" t="n">
        <v>10.5</v>
      </c>
      <c r="Y565" s="9" t="n">
        <v>10.5</v>
      </c>
      <c r="Z565" s="19" t="n">
        <v>0</v>
      </c>
      <c r="AA565" s="19" t="n">
        <v>10.5</v>
      </c>
      <c r="AB565" s="19" t="n">
        <v>10.5</v>
      </c>
      <c r="AC565" s="19" t="n">
        <v>0</v>
      </c>
      <c r="AD565" s="19" t="n">
        <v>0</v>
      </c>
      <c r="AE565" s="19" t="n">
        <v>0</v>
      </c>
      <c r="AF565" s="9" t="n">
        <v>10.5</v>
      </c>
      <c r="AG565" s="19" t="n">
        <v>10.5</v>
      </c>
      <c r="AH565" s="19" t="n">
        <v>0</v>
      </c>
      <c r="AI565" s="19" t="n">
        <v>0</v>
      </c>
      <c r="AJ565" s="19" t="n">
        <v>0</v>
      </c>
      <c r="AK565" s="19" t="n">
        <v>0</v>
      </c>
      <c r="AL565" s="19" t="n">
        <v>0</v>
      </c>
      <c r="AM565" s="9" t="n">
        <v>0</v>
      </c>
      <c r="AN565" s="19" t="n">
        <v>0</v>
      </c>
      <c r="AO565" s="19" t="n">
        <v>0</v>
      </c>
      <c r="AP565" s="19" t="n">
        <v>0</v>
      </c>
      <c r="AQ565" s="19" t="n">
        <v>0</v>
      </c>
      <c r="AR565" s="19" t="n">
        <v>0</v>
      </c>
      <c r="AS565" s="19" t="n">
        <v>0</v>
      </c>
      <c r="AT565" s="10">
        <f>SUM(O565:AS565)</f>
        <v/>
      </c>
      <c r="AU565" s="20">
        <f>COUNTIF(O565:AS565, "&gt;0")</f>
        <v/>
      </c>
      <c r="AV565" s="12">
        <f>IF(AU565&gt;=5, 4, IF(AU565&gt;0, INT(AU565/6), 0))</f>
        <v/>
      </c>
      <c r="AW565" s="20" t="n">
        <v>0</v>
      </c>
      <c r="AX565" s="20" t="n">
        <v>0</v>
      </c>
      <c r="AY565" s="13">
        <f>MIN(31, AU565+AV565+AW565+AX565)</f>
        <v/>
      </c>
      <c r="AZ565" s="14">
        <f>31-AY565</f>
        <v/>
      </c>
      <c r="BA565" s="21">
        <f>IF(AX565&gt;0, "01-İstirahat", IF(AZ565&gt;0, "12-Birden Fazla", ""))</f>
        <v/>
      </c>
      <c r="BB565" s="10" t="n">
        <v>33</v>
      </c>
      <c r="BC565" s="19" t="n">
        <v>0</v>
      </c>
      <c r="BD565" s="9" t="n">
        <v>21</v>
      </c>
      <c r="BE565" s="22">
        <f>(L565/30)*AU565</f>
        <v/>
      </c>
      <c r="BF565" s="15">
        <f>(L565/225)*((BB565*1.5)-(BC565*1.0))</f>
        <v/>
      </c>
      <c r="BG565" s="16">
        <f>(L565/225)*1.5*BD565</f>
        <v/>
      </c>
      <c r="BH565" s="15">
        <f>BF565+BG565</f>
        <v/>
      </c>
      <c r="BI565" s="17">
        <f>BE565+BH565</f>
        <v/>
      </c>
      <c r="BJ565" s="22">
        <f>IFERROR(VLOOKUP(B565, Resmi_Bordro_SGK!B:M, 11, FALSE), 0)</f>
        <v/>
      </c>
      <c r="BK565" s="18">
        <f>IFERROR(VLOOKUP(B565, Icra_Takip!A:E, 4, FALSE), 0)</f>
        <v/>
      </c>
      <c r="BL565" s="17">
        <f>IF(BI565&gt;BJ565, BI565-BJ565-BK565, 0)</f>
        <v/>
      </c>
      <c r="BM565" s="17">
        <f>BI565-BK565</f>
        <v/>
      </c>
    </row>
    <row r="566" ht="19" customHeight="1">
      <c r="A566" s="4" t="n">
        <v>563</v>
      </c>
      <c r="B566" s="5" t="inlineStr">
        <is>
          <t>01455</t>
        </is>
      </c>
      <c r="C566" s="6" t="inlineStr">
        <is>
          <t>SERGEN SEPETÇİ</t>
        </is>
      </c>
      <c r="D566" s="4" t="inlineStr"/>
      <c r="E566" s="4" t="inlineStr"/>
      <c r="F566" s="4" t="inlineStr"/>
      <c r="G566" s="4" t="inlineStr"/>
      <c r="H566" s="4" t="inlineStr">
        <is>
          <t>NORMAL</t>
        </is>
      </c>
      <c r="I566" s="4" t="inlineStr">
        <is>
          <t>MEVSİMLİK</t>
        </is>
      </c>
      <c r="J566" s="6" t="inlineStr">
        <is>
          <t>DİĞER</t>
        </is>
      </c>
      <c r="K566" s="6" t="inlineStr"/>
      <c r="L566" s="7" t="n">
        <v>0</v>
      </c>
      <c r="M566" s="4" t="inlineStr">
        <is>
          <t>FİDE KONSERVE</t>
        </is>
      </c>
      <c r="N566" s="4" t="inlineStr">
        <is>
          <t>ALIR</t>
        </is>
      </c>
      <c r="O566" s="8" t="n">
        <v>0</v>
      </c>
      <c r="P566" s="23" t="n">
        <v>22.5</v>
      </c>
      <c r="Q566" s="8" t="n">
        <v>10.5</v>
      </c>
      <c r="R566" s="9" t="n">
        <v>10.5</v>
      </c>
      <c r="S566" s="8" t="n">
        <v>10.5</v>
      </c>
      <c r="T566" s="8" t="n">
        <v>0</v>
      </c>
      <c r="U566" s="8" t="n">
        <v>10.5</v>
      </c>
      <c r="V566" s="8" t="n">
        <v>10.5</v>
      </c>
      <c r="W566" s="8" t="n">
        <v>10.5</v>
      </c>
      <c r="X566" s="8" t="n">
        <v>0</v>
      </c>
      <c r="Y566" s="9" t="n">
        <v>0</v>
      </c>
      <c r="Z566" s="23" t="n">
        <v>21</v>
      </c>
      <c r="AA566" s="8" t="n">
        <v>10.5</v>
      </c>
      <c r="AB566" s="8" t="n">
        <v>0</v>
      </c>
      <c r="AC566" s="8" t="n">
        <v>10.5</v>
      </c>
      <c r="AD566" s="8" t="n">
        <v>0</v>
      </c>
      <c r="AE566" s="8" t="n">
        <v>0</v>
      </c>
      <c r="AF566" s="9" t="n">
        <v>0</v>
      </c>
      <c r="AG566" s="8" t="n">
        <v>0</v>
      </c>
      <c r="AH566" s="8" t="n">
        <v>0</v>
      </c>
      <c r="AI566" s="8" t="n">
        <v>0</v>
      </c>
      <c r="AJ566" s="8" t="n">
        <v>0</v>
      </c>
      <c r="AK566" s="8" t="n">
        <v>0</v>
      </c>
      <c r="AL566" s="8" t="n">
        <v>0</v>
      </c>
      <c r="AM566" s="9" t="n">
        <v>0</v>
      </c>
      <c r="AN566" s="8" t="n">
        <v>0</v>
      </c>
      <c r="AO566" s="8" t="n">
        <v>0</v>
      </c>
      <c r="AP566" s="8" t="n">
        <v>0</v>
      </c>
      <c r="AQ566" s="8" t="n">
        <v>0</v>
      </c>
      <c r="AR566" s="8" t="n">
        <v>0</v>
      </c>
      <c r="AS566" s="8" t="n">
        <v>0</v>
      </c>
      <c r="AT566" s="10">
        <f>SUM(O566:AS566)</f>
        <v/>
      </c>
      <c r="AU566" s="11">
        <f>COUNTIF(O566:AS566, "&gt;0")</f>
        <v/>
      </c>
      <c r="AV566" s="12">
        <f>IF(AU566&gt;=5, 4, IF(AU566&gt;0, INT(AU566/6), 0))</f>
        <v/>
      </c>
      <c r="AW566" s="11" t="n">
        <v>0</v>
      </c>
      <c r="AX566" s="11" t="n">
        <v>0</v>
      </c>
      <c r="AY566" s="13">
        <f>MIN(31, AU566+AV566+AW566+AX566)</f>
        <v/>
      </c>
      <c r="AZ566" s="14">
        <f>31-AY566</f>
        <v/>
      </c>
      <c r="BA566" s="5">
        <f>IF(AX566&gt;0, "01-İstirahat", IF(AZ566&gt;0, "12-Birden Fazla", ""))</f>
        <v/>
      </c>
      <c r="BB566" s="10" t="n">
        <v>49.5</v>
      </c>
      <c r="BC566" s="8" t="n">
        <v>0</v>
      </c>
      <c r="BD566" s="9" t="n">
        <v>10.5</v>
      </c>
      <c r="BE566" s="7">
        <f>(L566/30)*AU566</f>
        <v/>
      </c>
      <c r="BF566" s="15">
        <f>(L566/225)*((BB566*1.5)-(BC566*1.0))</f>
        <v/>
      </c>
      <c r="BG566" s="16">
        <f>(L566/225)*1.5*BD566</f>
        <v/>
      </c>
      <c r="BH566" s="15">
        <f>BF566+BG566</f>
        <v/>
      </c>
      <c r="BI566" s="17">
        <f>BE566+BH566</f>
        <v/>
      </c>
      <c r="BJ566" s="7">
        <f>IFERROR(VLOOKUP(B566, Resmi_Bordro_SGK!B:M, 11, FALSE), 0)</f>
        <v/>
      </c>
      <c r="BK566" s="18">
        <f>IFERROR(VLOOKUP(B566, Icra_Takip!A:E, 4, FALSE), 0)</f>
        <v/>
      </c>
      <c r="BL566" s="17">
        <f>IF(BI566&gt;BJ566, BI566-BJ566-BK566, 0)</f>
        <v/>
      </c>
      <c r="BM566" s="17">
        <f>BI566-BK566</f>
        <v/>
      </c>
    </row>
    <row r="567" ht="19" customHeight="1">
      <c r="A567" s="4" t="n">
        <v>564</v>
      </c>
      <c r="B567" s="5" t="inlineStr">
        <is>
          <t>01456</t>
        </is>
      </c>
      <c r="C567" s="6" t="inlineStr">
        <is>
          <t>SEVİLAY GÖKGÖZ</t>
        </is>
      </c>
      <c r="D567" s="4" t="inlineStr"/>
      <c r="E567" s="4" t="inlineStr"/>
      <c r="F567" s="4" t="inlineStr"/>
      <c r="G567" s="4" t="inlineStr"/>
      <c r="H567" s="4" t="inlineStr">
        <is>
          <t>NORMAL</t>
        </is>
      </c>
      <c r="I567" s="4" t="inlineStr">
        <is>
          <t>MEVSİMLİK</t>
        </is>
      </c>
      <c r="J567" s="6" t="inlineStr">
        <is>
          <t>DİĞER</t>
        </is>
      </c>
      <c r="K567" s="6" t="inlineStr"/>
      <c r="L567" s="7" t="n">
        <v>0</v>
      </c>
      <c r="M567" s="4" t="inlineStr">
        <is>
          <t>FİDE KONSERVE</t>
        </is>
      </c>
      <c r="N567" s="4" t="inlineStr">
        <is>
          <t>ALIR</t>
        </is>
      </c>
      <c r="O567" s="19" t="n">
        <v>0</v>
      </c>
      <c r="P567" s="23" t="n">
        <v>10.5</v>
      </c>
      <c r="Q567" s="19" t="n">
        <v>10.5</v>
      </c>
      <c r="R567" s="9" t="n">
        <v>7.5</v>
      </c>
      <c r="S567" s="19" t="n">
        <v>0</v>
      </c>
      <c r="T567" s="19" t="n">
        <v>10.5</v>
      </c>
      <c r="U567" s="19" t="n">
        <v>10.5</v>
      </c>
      <c r="V567" s="23" t="n">
        <v>7.5</v>
      </c>
      <c r="W567" s="19" t="n">
        <v>10.5</v>
      </c>
      <c r="X567" s="19" t="n">
        <v>10.5</v>
      </c>
      <c r="Y567" s="9" t="n">
        <v>0</v>
      </c>
      <c r="Z567" s="19" t="n">
        <v>10.5</v>
      </c>
      <c r="AA567" s="19" t="n">
        <v>10.5</v>
      </c>
      <c r="AB567" s="19" t="n">
        <v>10.5</v>
      </c>
      <c r="AC567" s="19" t="n">
        <v>10.5</v>
      </c>
      <c r="AD567" s="19" t="n">
        <v>0</v>
      </c>
      <c r="AE567" s="19" t="n">
        <v>10.5</v>
      </c>
      <c r="AF567" s="9" t="n">
        <v>0</v>
      </c>
      <c r="AG567" s="19" t="n">
        <v>0</v>
      </c>
      <c r="AH567" s="19" t="n">
        <v>7.5</v>
      </c>
      <c r="AI567" s="19" t="n">
        <v>7.5</v>
      </c>
      <c r="AJ567" s="19" t="n">
        <v>0</v>
      </c>
      <c r="AK567" s="19" t="n">
        <v>0</v>
      </c>
      <c r="AL567" s="19" t="n">
        <v>0</v>
      </c>
      <c r="AM567" s="9" t="n">
        <v>0</v>
      </c>
      <c r="AN567" s="19" t="n">
        <v>0</v>
      </c>
      <c r="AO567" s="19" t="n">
        <v>0</v>
      </c>
      <c r="AP567" s="19" t="n">
        <v>0</v>
      </c>
      <c r="AQ567" s="19" t="n">
        <v>0</v>
      </c>
      <c r="AR567" s="19" t="n">
        <v>0</v>
      </c>
      <c r="AS567" s="19" t="n">
        <v>0</v>
      </c>
      <c r="AT567" s="10">
        <f>SUM(O567:AS567)</f>
        <v/>
      </c>
      <c r="AU567" s="20">
        <f>COUNTIF(O567:AS567, "&gt;0")</f>
        <v/>
      </c>
      <c r="AV567" s="12">
        <f>IF(AU567&gt;=5, 4, IF(AU567&gt;0, INT(AU567/6), 0))</f>
        <v/>
      </c>
      <c r="AW567" s="20" t="n">
        <v>0</v>
      </c>
      <c r="AX567" s="20" t="n">
        <v>0</v>
      </c>
      <c r="AY567" s="13">
        <f>MIN(31, AU567+AV567+AW567+AX567)</f>
        <v/>
      </c>
      <c r="AZ567" s="14">
        <f>31-AY567</f>
        <v/>
      </c>
      <c r="BA567" s="21">
        <f>IF(AX567&gt;0, "01-İstirahat", IF(AZ567&gt;0, "12-Birden Fazla", ""))</f>
        <v/>
      </c>
      <c r="BB567" s="10" t="n">
        <v>33</v>
      </c>
      <c r="BC567" s="19" t="n">
        <v>0</v>
      </c>
      <c r="BD567" s="9" t="n">
        <v>7.5</v>
      </c>
      <c r="BE567" s="22">
        <f>(L567/30)*AU567</f>
        <v/>
      </c>
      <c r="BF567" s="15">
        <f>(L567/225)*((BB567*1.5)-(BC567*1.0))</f>
        <v/>
      </c>
      <c r="BG567" s="16">
        <f>(L567/225)*1.5*BD567</f>
        <v/>
      </c>
      <c r="BH567" s="15">
        <f>BF567+BG567</f>
        <v/>
      </c>
      <c r="BI567" s="17">
        <f>BE567+BH567</f>
        <v/>
      </c>
      <c r="BJ567" s="22">
        <f>IFERROR(VLOOKUP(B567, Resmi_Bordro_SGK!B:M, 11, FALSE), 0)</f>
        <v/>
      </c>
      <c r="BK567" s="18">
        <f>IFERROR(VLOOKUP(B567, Icra_Takip!A:E, 4, FALSE), 0)</f>
        <v/>
      </c>
      <c r="BL567" s="17">
        <f>IF(BI567&gt;BJ567, BI567-BJ567-BK567, 0)</f>
        <v/>
      </c>
      <c r="BM567" s="17">
        <f>BI567-BK567</f>
        <v/>
      </c>
    </row>
    <row r="568" ht="19" customHeight="1">
      <c r="A568" s="4" t="n">
        <v>565</v>
      </c>
      <c r="B568" s="5" t="inlineStr">
        <is>
          <t>01534</t>
        </is>
      </c>
      <c r="C568" s="6" t="inlineStr">
        <is>
          <t>SİBEL AKTAŞ</t>
        </is>
      </c>
      <c r="D568" s="4" t="inlineStr"/>
      <c r="E568" s="4" t="inlineStr"/>
      <c r="F568" s="4" t="inlineStr"/>
      <c r="G568" s="4" t="inlineStr"/>
      <c r="H568" s="4" t="inlineStr">
        <is>
          <t>NORMAL</t>
        </is>
      </c>
      <c r="I568" s="4" t="inlineStr">
        <is>
          <t>MEVSİMLİK</t>
        </is>
      </c>
      <c r="J568" s="6" t="inlineStr">
        <is>
          <t>DİĞER</t>
        </is>
      </c>
      <c r="K568" s="6" t="inlineStr"/>
      <c r="L568" s="7" t="n">
        <v>0</v>
      </c>
      <c r="M568" s="4" t="inlineStr">
        <is>
          <t>FİDE KONSERVE</t>
        </is>
      </c>
      <c r="N568" s="4" t="inlineStr">
        <is>
          <t>ALIR</t>
        </is>
      </c>
      <c r="O568" s="8" t="n">
        <v>0</v>
      </c>
      <c r="P568" s="8" t="n">
        <v>0</v>
      </c>
      <c r="Q568" s="8" t="n">
        <v>0</v>
      </c>
      <c r="R568" s="9" t="n">
        <v>0</v>
      </c>
      <c r="S568" s="8" t="n">
        <v>0</v>
      </c>
      <c r="T568" s="8" t="n">
        <v>0</v>
      </c>
      <c r="U568" s="8" t="n">
        <v>0</v>
      </c>
      <c r="V568" s="8" t="n">
        <v>7.5</v>
      </c>
      <c r="W568" s="8" t="n">
        <v>0</v>
      </c>
      <c r="X568" s="8" t="n">
        <v>0</v>
      </c>
      <c r="Y568" s="9" t="n">
        <v>0</v>
      </c>
      <c r="Z568" s="8" t="n">
        <v>0</v>
      </c>
      <c r="AA568" s="8" t="n">
        <v>0</v>
      </c>
      <c r="AB568" s="8" t="n">
        <v>0</v>
      </c>
      <c r="AC568" s="8" t="n">
        <v>0</v>
      </c>
      <c r="AD568" s="8" t="n">
        <v>0</v>
      </c>
      <c r="AE568" s="8" t="n">
        <v>0</v>
      </c>
      <c r="AF568" s="9" t="n">
        <v>0</v>
      </c>
      <c r="AG568" s="8" t="n">
        <v>0</v>
      </c>
      <c r="AH568" s="8" t="n">
        <v>0</v>
      </c>
      <c r="AI568" s="8" t="n">
        <v>0</v>
      </c>
      <c r="AJ568" s="8" t="n">
        <v>0</v>
      </c>
      <c r="AK568" s="8" t="n">
        <v>0</v>
      </c>
      <c r="AL568" s="8" t="n">
        <v>0</v>
      </c>
      <c r="AM568" s="9" t="n">
        <v>0</v>
      </c>
      <c r="AN568" s="8" t="n">
        <v>0</v>
      </c>
      <c r="AO568" s="8" t="n">
        <v>0</v>
      </c>
      <c r="AP568" s="8" t="n">
        <v>0</v>
      </c>
      <c r="AQ568" s="8" t="n">
        <v>0</v>
      </c>
      <c r="AR568" s="8" t="n">
        <v>0</v>
      </c>
      <c r="AS568" s="8" t="n">
        <v>0</v>
      </c>
      <c r="AT568" s="10">
        <f>SUM(O568:AS568)</f>
        <v/>
      </c>
      <c r="AU568" s="11">
        <f>COUNTIF(O568:AS568, "&gt;0")</f>
        <v/>
      </c>
      <c r="AV568" s="12">
        <f>IF(AU568&gt;=5, 4, IF(AU568&gt;0, INT(AU568/6), 0))</f>
        <v/>
      </c>
      <c r="AW568" s="11" t="n">
        <v>0</v>
      </c>
      <c r="AX568" s="11" t="n">
        <v>0</v>
      </c>
      <c r="AY568" s="13">
        <f>MIN(31, AU568+AV568+AW568+AX568)</f>
        <v/>
      </c>
      <c r="AZ568" s="14">
        <f>31-AY568</f>
        <v/>
      </c>
      <c r="BA568" s="5">
        <f>IF(AX568&gt;0, "01-İstirahat", IF(AZ568&gt;0, "12-Birden Fazla", ""))</f>
        <v/>
      </c>
      <c r="BB568" s="10" t="n">
        <v>0</v>
      </c>
      <c r="BC568" s="8" t="n">
        <v>0</v>
      </c>
      <c r="BD568" s="9" t="n">
        <v>0</v>
      </c>
      <c r="BE568" s="7">
        <f>(L568/30)*AU568</f>
        <v/>
      </c>
      <c r="BF568" s="15">
        <f>(L568/225)*((BB568*1.5)-(BC568*1.0))</f>
        <v/>
      </c>
      <c r="BG568" s="16">
        <f>(L568/225)*1.5*BD568</f>
        <v/>
      </c>
      <c r="BH568" s="15">
        <f>BF568+BG568</f>
        <v/>
      </c>
      <c r="BI568" s="17">
        <f>BE568+BH568</f>
        <v/>
      </c>
      <c r="BJ568" s="7">
        <f>IFERROR(VLOOKUP(B568, Resmi_Bordro_SGK!B:M, 11, FALSE), 0)</f>
        <v/>
      </c>
      <c r="BK568" s="18">
        <f>IFERROR(VLOOKUP(B568, Icra_Takip!A:E, 4, FALSE), 0)</f>
        <v/>
      </c>
      <c r="BL568" s="17">
        <f>IF(BI568&gt;BJ568, BI568-BJ568-BK568, 0)</f>
        <v/>
      </c>
      <c r="BM568" s="17">
        <f>BI568-BK568</f>
        <v/>
      </c>
    </row>
    <row r="569" ht="19" customHeight="1">
      <c r="A569" s="4" t="n">
        <v>566</v>
      </c>
      <c r="B569" s="5" t="inlineStr">
        <is>
          <t>01457</t>
        </is>
      </c>
      <c r="C569" s="6" t="inlineStr">
        <is>
          <t>SİNAN BAYINDIR</t>
        </is>
      </c>
      <c r="D569" s="4" t="inlineStr"/>
      <c r="E569" s="4" t="inlineStr"/>
      <c r="F569" s="4" t="inlineStr"/>
      <c r="G569" s="4" t="inlineStr"/>
      <c r="H569" s="4" t="inlineStr">
        <is>
          <t>NORMAL</t>
        </is>
      </c>
      <c r="I569" s="4" t="inlineStr">
        <is>
          <t>MEVSİMLİK</t>
        </is>
      </c>
      <c r="J569" s="6" t="inlineStr">
        <is>
          <t>DİĞER</t>
        </is>
      </c>
      <c r="K569" s="6" t="inlineStr"/>
      <c r="L569" s="7" t="n">
        <v>0</v>
      </c>
      <c r="M569" s="4" t="inlineStr">
        <is>
          <t>FİDE KONSERVE</t>
        </is>
      </c>
      <c r="N569" s="4" t="inlineStr">
        <is>
          <t>ALIR</t>
        </is>
      </c>
      <c r="O569" s="19" t="n">
        <v>0</v>
      </c>
      <c r="P569" s="23" t="n">
        <v>10.5</v>
      </c>
      <c r="Q569" s="19" t="n">
        <v>10.5</v>
      </c>
      <c r="R569" s="9" t="n">
        <v>10.5</v>
      </c>
      <c r="S569" s="19" t="n">
        <v>10.5</v>
      </c>
      <c r="T569" s="19" t="n">
        <v>0</v>
      </c>
      <c r="U569" s="19" t="n">
        <v>10.5</v>
      </c>
      <c r="V569" s="19" t="n">
        <v>10.5</v>
      </c>
      <c r="W569" s="19" t="n">
        <v>10.5</v>
      </c>
      <c r="X569" s="19" t="n">
        <v>0</v>
      </c>
      <c r="Y569" s="9" t="n">
        <v>0</v>
      </c>
      <c r="Z569" s="19" t="n">
        <v>10.5</v>
      </c>
      <c r="AA569" s="19" t="n">
        <v>10.5</v>
      </c>
      <c r="AB569" s="19" t="n">
        <v>0</v>
      </c>
      <c r="AC569" s="19" t="n">
        <v>0</v>
      </c>
      <c r="AD569" s="19" t="n">
        <v>0</v>
      </c>
      <c r="AE569" s="19" t="n">
        <v>0</v>
      </c>
      <c r="AF569" s="9" t="n">
        <v>0</v>
      </c>
      <c r="AG569" s="19" t="n">
        <v>0</v>
      </c>
      <c r="AH569" s="19" t="n">
        <v>0</v>
      </c>
      <c r="AI569" s="19" t="n">
        <v>0</v>
      </c>
      <c r="AJ569" s="19" t="n">
        <v>0</v>
      </c>
      <c r="AK569" s="19" t="n">
        <v>0</v>
      </c>
      <c r="AL569" s="19" t="n">
        <v>0</v>
      </c>
      <c r="AM569" s="9" t="n">
        <v>0</v>
      </c>
      <c r="AN569" s="19" t="n">
        <v>0</v>
      </c>
      <c r="AO569" s="19" t="n">
        <v>0</v>
      </c>
      <c r="AP569" s="19" t="n">
        <v>0</v>
      </c>
      <c r="AQ569" s="19" t="n">
        <v>0</v>
      </c>
      <c r="AR569" s="19" t="n">
        <v>0</v>
      </c>
      <c r="AS569" s="19" t="n">
        <v>0</v>
      </c>
      <c r="AT569" s="10">
        <f>SUM(O569:AS569)</f>
        <v/>
      </c>
      <c r="AU569" s="20">
        <f>COUNTIF(O569:AS569, "&gt;0")</f>
        <v/>
      </c>
      <c r="AV569" s="12">
        <f>IF(AU569&gt;=5, 4, IF(AU569&gt;0, INT(AU569/6), 0))</f>
        <v/>
      </c>
      <c r="AW569" s="20" t="n">
        <v>0</v>
      </c>
      <c r="AX569" s="20" t="n">
        <v>0</v>
      </c>
      <c r="AY569" s="13">
        <f>MIN(31, AU569+AV569+AW569+AX569)</f>
        <v/>
      </c>
      <c r="AZ569" s="14">
        <f>31-AY569</f>
        <v/>
      </c>
      <c r="BA569" s="21">
        <f>IF(AX569&gt;0, "01-İstirahat", IF(AZ569&gt;0, "12-Birden Fazla", ""))</f>
        <v/>
      </c>
      <c r="BB569" s="10" t="n">
        <v>24</v>
      </c>
      <c r="BC569" s="19" t="n">
        <v>0</v>
      </c>
      <c r="BD569" s="9" t="n">
        <v>10.5</v>
      </c>
      <c r="BE569" s="22">
        <f>(L569/30)*AU569</f>
        <v/>
      </c>
      <c r="BF569" s="15">
        <f>(L569/225)*((BB569*1.5)-(BC569*1.0))</f>
        <v/>
      </c>
      <c r="BG569" s="16">
        <f>(L569/225)*1.5*BD569</f>
        <v/>
      </c>
      <c r="BH569" s="15">
        <f>BF569+BG569</f>
        <v/>
      </c>
      <c r="BI569" s="17">
        <f>BE569+BH569</f>
        <v/>
      </c>
      <c r="BJ569" s="22">
        <f>IFERROR(VLOOKUP(B569, Resmi_Bordro_SGK!B:M, 11, FALSE), 0)</f>
        <v/>
      </c>
      <c r="BK569" s="18">
        <f>IFERROR(VLOOKUP(B569, Icra_Takip!A:E, 4, FALSE), 0)</f>
        <v/>
      </c>
      <c r="BL569" s="17">
        <f>IF(BI569&gt;BJ569, BI569-BJ569-BK569, 0)</f>
        <v/>
      </c>
      <c r="BM569" s="17">
        <f>BI569-BK569</f>
        <v/>
      </c>
    </row>
    <row r="570" ht="19" customHeight="1">
      <c r="A570" s="4" t="n">
        <v>567</v>
      </c>
      <c r="B570" s="5" t="inlineStr">
        <is>
          <t>01460</t>
        </is>
      </c>
      <c r="C570" s="6" t="inlineStr">
        <is>
          <t>ŞERİFE SEDA ÜZER</t>
        </is>
      </c>
      <c r="D570" s="4" t="inlineStr"/>
      <c r="E570" s="4" t="inlineStr"/>
      <c r="F570" s="4" t="inlineStr"/>
      <c r="G570" s="4" t="inlineStr"/>
      <c r="H570" s="4" t="inlineStr">
        <is>
          <t>NORMAL</t>
        </is>
      </c>
      <c r="I570" s="4" t="inlineStr">
        <is>
          <t>MEVSİMLİK</t>
        </is>
      </c>
      <c r="J570" s="6" t="inlineStr">
        <is>
          <t>DİĞER</t>
        </is>
      </c>
      <c r="K570" s="6" t="inlineStr"/>
      <c r="L570" s="7" t="n">
        <v>0</v>
      </c>
      <c r="M570" s="4" t="inlineStr">
        <is>
          <t>FİDE KONSERVE</t>
        </is>
      </c>
      <c r="N570" s="4" t="inlineStr">
        <is>
          <t>ALIR</t>
        </is>
      </c>
      <c r="O570" s="8" t="n">
        <v>0</v>
      </c>
      <c r="P570" s="23" t="n">
        <v>8.5</v>
      </c>
      <c r="Q570" s="8" t="n">
        <v>8</v>
      </c>
      <c r="R570" s="9" t="n">
        <v>0</v>
      </c>
      <c r="S570" s="8" t="n">
        <v>7.5</v>
      </c>
      <c r="T570" s="8" t="n">
        <v>8</v>
      </c>
      <c r="U570" s="8" t="n">
        <v>8</v>
      </c>
      <c r="V570" s="8" t="n">
        <v>8</v>
      </c>
      <c r="W570" s="8" t="n">
        <v>8</v>
      </c>
      <c r="X570" s="8" t="n">
        <v>10.5</v>
      </c>
      <c r="Y570" s="9" t="n">
        <v>0</v>
      </c>
      <c r="Z570" s="8" t="n">
        <v>7.5</v>
      </c>
      <c r="AA570" s="8" t="n">
        <v>7.5</v>
      </c>
      <c r="AB570" s="8" t="n">
        <v>8.5</v>
      </c>
      <c r="AC570" s="8" t="n">
        <v>0</v>
      </c>
      <c r="AD570" s="8" t="n">
        <v>7.5</v>
      </c>
      <c r="AE570" s="8" t="n">
        <v>8.5</v>
      </c>
      <c r="AF570" s="9" t="n">
        <v>0</v>
      </c>
      <c r="AG570" s="8" t="n">
        <v>8.5</v>
      </c>
      <c r="AH570" s="8" t="n">
        <v>7.5</v>
      </c>
      <c r="AI570" s="8" t="n">
        <v>7.5</v>
      </c>
      <c r="AJ570" s="8" t="n">
        <v>0</v>
      </c>
      <c r="AK570" s="8" t="n">
        <v>0</v>
      </c>
      <c r="AL570" s="8" t="n">
        <v>0</v>
      </c>
      <c r="AM570" s="9" t="n">
        <v>0</v>
      </c>
      <c r="AN570" s="8" t="n">
        <v>0</v>
      </c>
      <c r="AO570" s="8" t="n">
        <v>0</v>
      </c>
      <c r="AP570" s="8" t="n">
        <v>0</v>
      </c>
      <c r="AQ570" s="8" t="n">
        <v>0</v>
      </c>
      <c r="AR570" s="8" t="n">
        <v>0</v>
      </c>
      <c r="AS570" s="8" t="n">
        <v>0</v>
      </c>
      <c r="AT570" s="10">
        <f>SUM(O570:AS570)</f>
        <v/>
      </c>
      <c r="AU570" s="11">
        <f>COUNTIF(O570:AS570, "&gt;0")</f>
        <v/>
      </c>
      <c r="AV570" s="12">
        <f>IF(AU570&gt;=5, 4, IF(AU570&gt;0, INT(AU570/6), 0))</f>
        <v/>
      </c>
      <c r="AW570" s="11" t="n">
        <v>0</v>
      </c>
      <c r="AX570" s="11" t="n">
        <v>0</v>
      </c>
      <c r="AY570" s="13">
        <f>MIN(31, AU570+AV570+AW570+AX570)</f>
        <v/>
      </c>
      <c r="AZ570" s="14">
        <f>31-AY570</f>
        <v/>
      </c>
      <c r="BA570" s="5">
        <f>IF(AX570&gt;0, "01-İstirahat", IF(AZ570&gt;0, "12-Birden Fazla", ""))</f>
        <v/>
      </c>
      <c r="BB570" s="10" t="n">
        <v>9.5</v>
      </c>
      <c r="BC570" s="8" t="n">
        <v>0</v>
      </c>
      <c r="BD570" s="9" t="n">
        <v>0</v>
      </c>
      <c r="BE570" s="7">
        <f>(L570/30)*AU570</f>
        <v/>
      </c>
      <c r="BF570" s="15">
        <f>(L570/225)*((BB570*1.5)-(BC570*1.0))</f>
        <v/>
      </c>
      <c r="BG570" s="16">
        <f>(L570/225)*1.5*BD570</f>
        <v/>
      </c>
      <c r="BH570" s="15">
        <f>BF570+BG570</f>
        <v/>
      </c>
      <c r="BI570" s="17">
        <f>BE570+BH570</f>
        <v/>
      </c>
      <c r="BJ570" s="7">
        <f>IFERROR(VLOOKUP(B570, Resmi_Bordro_SGK!B:M, 11, FALSE), 0)</f>
        <v/>
      </c>
      <c r="BK570" s="18">
        <f>IFERROR(VLOOKUP(B570, Icra_Takip!A:E, 4, FALSE), 0)</f>
        <v/>
      </c>
      <c r="BL570" s="17">
        <f>IF(BI570&gt;BJ570, BI570-BJ570-BK570, 0)</f>
        <v/>
      </c>
      <c r="BM570" s="17">
        <f>BI570-BK570</f>
        <v/>
      </c>
    </row>
    <row r="571" ht="19" customHeight="1">
      <c r="A571" s="4" t="n">
        <v>568</v>
      </c>
      <c r="B571" s="5" t="inlineStr">
        <is>
          <t>01533</t>
        </is>
      </c>
      <c r="C571" s="6" t="inlineStr">
        <is>
          <t>ŞİLAN AY</t>
        </is>
      </c>
      <c r="D571" s="4" t="inlineStr"/>
      <c r="E571" s="4" t="inlineStr"/>
      <c r="F571" s="4" t="inlineStr"/>
      <c r="G571" s="4" t="inlineStr"/>
      <c r="H571" s="4" t="inlineStr">
        <is>
          <t>NORMAL</t>
        </is>
      </c>
      <c r="I571" s="4" t="inlineStr">
        <is>
          <t>MEVSİMLİK</t>
        </is>
      </c>
      <c r="J571" s="6" t="inlineStr">
        <is>
          <t>DİĞER</t>
        </is>
      </c>
      <c r="K571" s="6" t="inlineStr"/>
      <c r="L571" s="7" t="n">
        <v>0</v>
      </c>
      <c r="M571" s="4" t="inlineStr">
        <is>
          <t>FİDE KONSERVE</t>
        </is>
      </c>
      <c r="N571" s="4" t="inlineStr">
        <is>
          <t>ALIR</t>
        </is>
      </c>
      <c r="O571" s="19" t="n">
        <v>0</v>
      </c>
      <c r="P571" s="19" t="n">
        <v>0</v>
      </c>
      <c r="Q571" s="19" t="n">
        <v>0</v>
      </c>
      <c r="R571" s="9" t="n">
        <v>0</v>
      </c>
      <c r="S571" s="19" t="n">
        <v>0</v>
      </c>
      <c r="T571" s="19" t="n">
        <v>0</v>
      </c>
      <c r="U571" s="19" t="n">
        <v>0</v>
      </c>
      <c r="V571" s="19" t="n">
        <v>7.5</v>
      </c>
      <c r="W571" s="19" t="n">
        <v>0</v>
      </c>
      <c r="X571" s="19" t="n">
        <v>0</v>
      </c>
      <c r="Y571" s="9" t="n">
        <v>0</v>
      </c>
      <c r="Z571" s="19" t="n">
        <v>0</v>
      </c>
      <c r="AA571" s="19" t="n">
        <v>0</v>
      </c>
      <c r="AB571" s="19" t="n">
        <v>0</v>
      </c>
      <c r="AC571" s="19" t="n">
        <v>0</v>
      </c>
      <c r="AD571" s="19" t="n">
        <v>0</v>
      </c>
      <c r="AE571" s="19" t="n">
        <v>0</v>
      </c>
      <c r="AF571" s="9" t="n">
        <v>0</v>
      </c>
      <c r="AG571" s="19" t="n">
        <v>0</v>
      </c>
      <c r="AH571" s="19" t="n">
        <v>0</v>
      </c>
      <c r="AI571" s="19" t="n">
        <v>0</v>
      </c>
      <c r="AJ571" s="19" t="n">
        <v>0</v>
      </c>
      <c r="AK571" s="19" t="n">
        <v>0</v>
      </c>
      <c r="AL571" s="19" t="n">
        <v>0</v>
      </c>
      <c r="AM571" s="9" t="n">
        <v>0</v>
      </c>
      <c r="AN571" s="19" t="n">
        <v>0</v>
      </c>
      <c r="AO571" s="19" t="n">
        <v>0</v>
      </c>
      <c r="AP571" s="19" t="n">
        <v>0</v>
      </c>
      <c r="AQ571" s="19" t="n">
        <v>0</v>
      </c>
      <c r="AR571" s="19" t="n">
        <v>0</v>
      </c>
      <c r="AS571" s="19" t="n">
        <v>0</v>
      </c>
      <c r="AT571" s="10">
        <f>SUM(O571:AS571)</f>
        <v/>
      </c>
      <c r="AU571" s="20">
        <f>COUNTIF(O571:AS571, "&gt;0")</f>
        <v/>
      </c>
      <c r="AV571" s="12">
        <f>IF(AU571&gt;=5, 4, IF(AU571&gt;0, INT(AU571/6), 0))</f>
        <v/>
      </c>
      <c r="AW571" s="20" t="n">
        <v>0</v>
      </c>
      <c r="AX571" s="20" t="n">
        <v>0</v>
      </c>
      <c r="AY571" s="13">
        <f>MIN(31, AU571+AV571+AW571+AX571)</f>
        <v/>
      </c>
      <c r="AZ571" s="14">
        <f>31-AY571</f>
        <v/>
      </c>
      <c r="BA571" s="21">
        <f>IF(AX571&gt;0, "01-İstirahat", IF(AZ571&gt;0, "12-Birden Fazla", ""))</f>
        <v/>
      </c>
      <c r="BB571" s="10" t="n">
        <v>0</v>
      </c>
      <c r="BC571" s="19" t="n">
        <v>0</v>
      </c>
      <c r="BD571" s="9" t="n">
        <v>0</v>
      </c>
      <c r="BE571" s="22">
        <f>(L571/30)*AU571</f>
        <v/>
      </c>
      <c r="BF571" s="15">
        <f>(L571/225)*((BB571*1.5)-(BC571*1.0))</f>
        <v/>
      </c>
      <c r="BG571" s="16">
        <f>(L571/225)*1.5*BD571</f>
        <v/>
      </c>
      <c r="BH571" s="15">
        <f>BF571+BG571</f>
        <v/>
      </c>
      <c r="BI571" s="17">
        <f>BE571+BH571</f>
        <v/>
      </c>
      <c r="BJ571" s="22">
        <f>IFERROR(VLOOKUP(B571, Resmi_Bordro_SGK!B:M, 11, FALSE), 0)</f>
        <v/>
      </c>
      <c r="BK571" s="18">
        <f>IFERROR(VLOOKUP(B571, Icra_Takip!A:E, 4, FALSE), 0)</f>
        <v/>
      </c>
      <c r="BL571" s="17">
        <f>IF(BI571&gt;BJ571, BI571-BJ571-BK571, 0)</f>
        <v/>
      </c>
      <c r="BM571" s="17">
        <f>BI571-BK571</f>
        <v/>
      </c>
    </row>
    <row r="572" ht="19" customHeight="1">
      <c r="A572" s="4" t="n">
        <v>569</v>
      </c>
      <c r="B572" s="5" t="inlineStr">
        <is>
          <t>01552</t>
        </is>
      </c>
      <c r="C572" s="6" t="inlineStr">
        <is>
          <t>ŞÜKRÜ YAVUZ</t>
        </is>
      </c>
      <c r="D572" s="4" t="inlineStr"/>
      <c r="E572" s="4" t="inlineStr"/>
      <c r="F572" s="4" t="inlineStr"/>
      <c r="G572" s="4" t="inlineStr"/>
      <c r="H572" s="4" t="inlineStr">
        <is>
          <t>NORMAL</t>
        </is>
      </c>
      <c r="I572" s="4" t="inlineStr">
        <is>
          <t>MEVSİMLİK</t>
        </is>
      </c>
      <c r="J572" s="6" t="inlineStr">
        <is>
          <t>DİĞER</t>
        </is>
      </c>
      <c r="K572" s="6" t="inlineStr"/>
      <c r="L572" s="7" t="n">
        <v>0</v>
      </c>
      <c r="M572" s="4" t="inlineStr">
        <is>
          <t>FİDE KONSERVE</t>
        </is>
      </c>
      <c r="N572" s="4" t="inlineStr">
        <is>
          <t>ALIR</t>
        </is>
      </c>
      <c r="O572" s="8" t="n">
        <v>0</v>
      </c>
      <c r="P572" s="8" t="n">
        <v>0</v>
      </c>
      <c r="Q572" s="8" t="n">
        <v>0</v>
      </c>
      <c r="R572" s="9" t="n">
        <v>0</v>
      </c>
      <c r="S572" s="8" t="n">
        <v>0</v>
      </c>
      <c r="T572" s="8" t="n">
        <v>0</v>
      </c>
      <c r="U572" s="8" t="n">
        <v>0</v>
      </c>
      <c r="V572" s="8" t="n">
        <v>0</v>
      </c>
      <c r="W572" s="8" t="n">
        <v>0</v>
      </c>
      <c r="X572" s="8" t="n">
        <v>0</v>
      </c>
      <c r="Y572" s="9" t="n">
        <v>0</v>
      </c>
      <c r="Z572" s="8" t="n">
        <v>0</v>
      </c>
      <c r="AA572" s="23" t="n">
        <v>7.5</v>
      </c>
      <c r="AB572" s="8" t="n">
        <v>8</v>
      </c>
      <c r="AC572" s="8" t="n">
        <v>7.5</v>
      </c>
      <c r="AD572" s="8" t="n">
        <v>0</v>
      </c>
      <c r="AE572" s="23" t="n">
        <v>8.5</v>
      </c>
      <c r="AF572" s="9" t="n">
        <v>7.5</v>
      </c>
      <c r="AG572" s="8" t="n">
        <v>7.5</v>
      </c>
      <c r="AH572" s="8" t="n">
        <v>7.5</v>
      </c>
      <c r="AI572" s="8" t="n">
        <v>7.5</v>
      </c>
      <c r="AJ572" s="8" t="n">
        <v>0</v>
      </c>
      <c r="AK572" s="8" t="n">
        <v>0</v>
      </c>
      <c r="AL572" s="8" t="n">
        <v>0</v>
      </c>
      <c r="AM572" s="9" t="n">
        <v>0</v>
      </c>
      <c r="AN572" s="8" t="n">
        <v>0</v>
      </c>
      <c r="AO572" s="8" t="n">
        <v>0</v>
      </c>
      <c r="AP572" s="8" t="n">
        <v>0</v>
      </c>
      <c r="AQ572" s="8" t="n">
        <v>0</v>
      </c>
      <c r="AR572" s="8" t="n">
        <v>0</v>
      </c>
      <c r="AS572" s="8" t="n">
        <v>0</v>
      </c>
      <c r="AT572" s="10">
        <f>SUM(O572:AS572)</f>
        <v/>
      </c>
      <c r="AU572" s="11">
        <f>COUNTIF(O572:AS572, "&gt;0")</f>
        <v/>
      </c>
      <c r="AV572" s="12">
        <f>IF(AU572&gt;=5, 4, IF(AU572&gt;0, INT(AU572/6), 0))</f>
        <v/>
      </c>
      <c r="AW572" s="11" t="n">
        <v>0</v>
      </c>
      <c r="AX572" s="11" t="n">
        <v>0</v>
      </c>
      <c r="AY572" s="13">
        <f>MIN(31, AU572+AV572+AW572+AX572)</f>
        <v/>
      </c>
      <c r="AZ572" s="14">
        <f>31-AY572</f>
        <v/>
      </c>
      <c r="BA572" s="5">
        <f>IF(AX572&gt;0, "01-İstirahat", IF(AZ572&gt;0, "12-Birden Fazla", ""))</f>
        <v/>
      </c>
      <c r="BB572" s="10" t="n">
        <v>1.5</v>
      </c>
      <c r="BC572" s="8" t="n">
        <v>0</v>
      </c>
      <c r="BD572" s="9" t="n">
        <v>7.5</v>
      </c>
      <c r="BE572" s="7">
        <f>(L572/30)*AU572</f>
        <v/>
      </c>
      <c r="BF572" s="15">
        <f>(L572/225)*((BB572*1.5)-(BC572*1.0))</f>
        <v/>
      </c>
      <c r="BG572" s="16">
        <f>(L572/225)*1.5*BD572</f>
        <v/>
      </c>
      <c r="BH572" s="15">
        <f>BF572+BG572</f>
        <v/>
      </c>
      <c r="BI572" s="17">
        <f>BE572+BH572</f>
        <v/>
      </c>
      <c r="BJ572" s="7">
        <f>IFERROR(VLOOKUP(B572, Resmi_Bordro_SGK!B:M, 11, FALSE), 0)</f>
        <v/>
      </c>
      <c r="BK572" s="18">
        <f>IFERROR(VLOOKUP(B572, Icra_Takip!A:E, 4, FALSE), 0)</f>
        <v/>
      </c>
      <c r="BL572" s="17">
        <f>IF(BI572&gt;BJ572, BI572-BJ572-BK572, 0)</f>
        <v/>
      </c>
      <c r="BM572" s="17">
        <f>BI572-BK572</f>
        <v/>
      </c>
    </row>
    <row r="573" ht="19" customHeight="1">
      <c r="A573" s="4" t="n">
        <v>570</v>
      </c>
      <c r="B573" s="5" t="inlineStr">
        <is>
          <t>01536</t>
        </is>
      </c>
      <c r="C573" s="6" t="inlineStr">
        <is>
          <t>TUĞÇE KATMIŞ</t>
        </is>
      </c>
      <c r="D573" s="4" t="inlineStr"/>
      <c r="E573" s="4" t="inlineStr"/>
      <c r="F573" s="4" t="inlineStr"/>
      <c r="G573" s="4" t="inlineStr"/>
      <c r="H573" s="4" t="inlineStr">
        <is>
          <t>NORMAL</t>
        </is>
      </c>
      <c r="I573" s="4" t="inlineStr">
        <is>
          <t>MEVSİMLİK</t>
        </is>
      </c>
      <c r="J573" s="6" t="inlineStr">
        <is>
          <t>DİĞER</t>
        </is>
      </c>
      <c r="K573" s="6" t="inlineStr"/>
      <c r="L573" s="7" t="n">
        <v>0</v>
      </c>
      <c r="M573" s="4" t="inlineStr">
        <is>
          <t>FİDE KONSERVE</t>
        </is>
      </c>
      <c r="N573" s="4" t="inlineStr">
        <is>
          <t>ALIR</t>
        </is>
      </c>
      <c r="O573" s="19" t="n">
        <v>0</v>
      </c>
      <c r="P573" s="19" t="n">
        <v>0</v>
      </c>
      <c r="Q573" s="19" t="n">
        <v>0</v>
      </c>
      <c r="R573" s="9" t="n">
        <v>0</v>
      </c>
      <c r="S573" s="19" t="n">
        <v>0</v>
      </c>
      <c r="T573" s="19" t="n">
        <v>0</v>
      </c>
      <c r="U573" s="19" t="n">
        <v>0</v>
      </c>
      <c r="V573" s="19" t="n">
        <v>7.5</v>
      </c>
      <c r="W573" s="19" t="n">
        <v>0</v>
      </c>
      <c r="X573" s="19" t="n">
        <v>0</v>
      </c>
      <c r="Y573" s="9" t="n">
        <v>0</v>
      </c>
      <c r="Z573" s="19" t="n">
        <v>0</v>
      </c>
      <c r="AA573" s="19" t="n">
        <v>0</v>
      </c>
      <c r="AB573" s="19" t="n">
        <v>0</v>
      </c>
      <c r="AC573" s="19" t="n">
        <v>0</v>
      </c>
      <c r="AD573" s="19" t="n">
        <v>0</v>
      </c>
      <c r="AE573" s="19" t="n">
        <v>0</v>
      </c>
      <c r="AF573" s="9" t="n">
        <v>0</v>
      </c>
      <c r="AG573" s="19" t="n">
        <v>0</v>
      </c>
      <c r="AH573" s="19" t="n">
        <v>0</v>
      </c>
      <c r="AI573" s="19" t="n">
        <v>0</v>
      </c>
      <c r="AJ573" s="19" t="n">
        <v>0</v>
      </c>
      <c r="AK573" s="19" t="n">
        <v>0</v>
      </c>
      <c r="AL573" s="19" t="n">
        <v>0</v>
      </c>
      <c r="AM573" s="9" t="n">
        <v>0</v>
      </c>
      <c r="AN573" s="19" t="n">
        <v>0</v>
      </c>
      <c r="AO573" s="19" t="n">
        <v>0</v>
      </c>
      <c r="AP573" s="19" t="n">
        <v>0</v>
      </c>
      <c r="AQ573" s="19" t="n">
        <v>0</v>
      </c>
      <c r="AR573" s="19" t="n">
        <v>0</v>
      </c>
      <c r="AS573" s="19" t="n">
        <v>0</v>
      </c>
      <c r="AT573" s="10">
        <f>SUM(O573:AS573)</f>
        <v/>
      </c>
      <c r="AU573" s="20">
        <f>COUNTIF(O573:AS573, "&gt;0")</f>
        <v/>
      </c>
      <c r="AV573" s="12">
        <f>IF(AU573&gt;=5, 4, IF(AU573&gt;0, INT(AU573/6), 0))</f>
        <v/>
      </c>
      <c r="AW573" s="20" t="n">
        <v>0</v>
      </c>
      <c r="AX573" s="20" t="n">
        <v>0</v>
      </c>
      <c r="AY573" s="13">
        <f>MIN(31, AU573+AV573+AW573+AX573)</f>
        <v/>
      </c>
      <c r="AZ573" s="14">
        <f>31-AY573</f>
        <v/>
      </c>
      <c r="BA573" s="21">
        <f>IF(AX573&gt;0, "01-İstirahat", IF(AZ573&gt;0, "12-Birden Fazla", ""))</f>
        <v/>
      </c>
      <c r="BB573" s="10" t="n">
        <v>0</v>
      </c>
      <c r="BC573" s="19" t="n">
        <v>0</v>
      </c>
      <c r="BD573" s="9" t="n">
        <v>0</v>
      </c>
      <c r="BE573" s="22">
        <f>(L573/30)*AU573</f>
        <v/>
      </c>
      <c r="BF573" s="15">
        <f>(L573/225)*((BB573*1.5)-(BC573*1.0))</f>
        <v/>
      </c>
      <c r="BG573" s="16">
        <f>(L573/225)*1.5*BD573</f>
        <v/>
      </c>
      <c r="BH573" s="15">
        <f>BF573+BG573</f>
        <v/>
      </c>
      <c r="BI573" s="17">
        <f>BE573+BH573</f>
        <v/>
      </c>
      <c r="BJ573" s="22">
        <f>IFERROR(VLOOKUP(B573, Resmi_Bordro_SGK!B:M, 11, FALSE), 0)</f>
        <v/>
      </c>
      <c r="BK573" s="18">
        <f>IFERROR(VLOOKUP(B573, Icra_Takip!A:E, 4, FALSE), 0)</f>
        <v/>
      </c>
      <c r="BL573" s="17">
        <f>IF(BI573&gt;BJ573, BI573-BJ573-BK573, 0)</f>
        <v/>
      </c>
      <c r="BM573" s="17">
        <f>BI573-BK573</f>
        <v/>
      </c>
    </row>
    <row r="574" ht="19" customHeight="1">
      <c r="A574" s="4" t="n">
        <v>571</v>
      </c>
      <c r="B574" s="5" t="inlineStr">
        <is>
          <t>01463</t>
        </is>
      </c>
      <c r="C574" s="6" t="inlineStr">
        <is>
          <t>TÜRKAN BÇAKIR</t>
        </is>
      </c>
      <c r="D574" s="4" t="inlineStr"/>
      <c r="E574" s="4" t="inlineStr"/>
      <c r="F574" s="4" t="inlineStr"/>
      <c r="G574" s="4" t="inlineStr"/>
      <c r="H574" s="4" t="inlineStr">
        <is>
          <t>NORMAL</t>
        </is>
      </c>
      <c r="I574" s="4" t="inlineStr">
        <is>
          <t>MEVSİMLİK</t>
        </is>
      </c>
      <c r="J574" s="6" t="inlineStr">
        <is>
          <t>DİĞER</t>
        </is>
      </c>
      <c r="K574" s="6" t="inlineStr"/>
      <c r="L574" s="7" t="n">
        <v>0</v>
      </c>
      <c r="M574" s="4" t="inlineStr">
        <is>
          <t>FİDE KONSERVE</t>
        </is>
      </c>
      <c r="N574" s="4" t="inlineStr">
        <is>
          <t>ALIR</t>
        </is>
      </c>
      <c r="O574" s="8" t="n">
        <v>0</v>
      </c>
      <c r="P574" s="23" t="n">
        <v>10.5</v>
      </c>
      <c r="Q574" s="8" t="n">
        <v>10.5</v>
      </c>
      <c r="R574" s="9" t="n">
        <v>10.5</v>
      </c>
      <c r="S574" s="8" t="n">
        <v>10.5</v>
      </c>
      <c r="T574" s="8" t="n">
        <v>10.5</v>
      </c>
      <c r="U574" s="8" t="n">
        <v>0</v>
      </c>
      <c r="V574" s="8" t="n">
        <v>10.5</v>
      </c>
      <c r="W574" s="8" t="n">
        <v>10.5</v>
      </c>
      <c r="X574" s="8" t="n">
        <v>10.5</v>
      </c>
      <c r="Y574" s="9" t="n">
        <v>0</v>
      </c>
      <c r="Z574" s="8" t="n">
        <v>10.5</v>
      </c>
      <c r="AA574" s="8" t="n">
        <v>10.5</v>
      </c>
      <c r="AB574" s="8" t="n">
        <v>10.5</v>
      </c>
      <c r="AC574" s="8" t="n">
        <v>10.5</v>
      </c>
      <c r="AD574" s="8" t="n">
        <v>0</v>
      </c>
      <c r="AE574" s="8" t="n">
        <v>0</v>
      </c>
      <c r="AF574" s="9" t="n">
        <v>10.5</v>
      </c>
      <c r="AG574" s="8" t="n">
        <v>10.5</v>
      </c>
      <c r="AH574" s="8" t="n">
        <v>0</v>
      </c>
      <c r="AI574" s="8" t="n">
        <v>0</v>
      </c>
      <c r="AJ574" s="8" t="n">
        <v>0</v>
      </c>
      <c r="AK574" s="8" t="n">
        <v>0</v>
      </c>
      <c r="AL574" s="8" t="n">
        <v>0</v>
      </c>
      <c r="AM574" s="9" t="n">
        <v>0</v>
      </c>
      <c r="AN574" s="8" t="n">
        <v>0</v>
      </c>
      <c r="AO574" s="8" t="n">
        <v>0</v>
      </c>
      <c r="AP574" s="8" t="n">
        <v>0</v>
      </c>
      <c r="AQ574" s="8" t="n">
        <v>0</v>
      </c>
      <c r="AR574" s="8" t="n">
        <v>0</v>
      </c>
      <c r="AS574" s="8" t="n">
        <v>0</v>
      </c>
      <c r="AT574" s="10">
        <f>SUM(O574:AS574)</f>
        <v/>
      </c>
      <c r="AU574" s="11">
        <f>COUNTIF(O574:AS574, "&gt;0")</f>
        <v/>
      </c>
      <c r="AV574" s="12">
        <f>IF(AU574&gt;=5, 4, IF(AU574&gt;0, INT(AU574/6), 0))</f>
        <v/>
      </c>
      <c r="AW574" s="11" t="n">
        <v>0</v>
      </c>
      <c r="AX574" s="11" t="n">
        <v>0</v>
      </c>
      <c r="AY574" s="13">
        <f>MIN(31, AU574+AV574+AW574+AX574)</f>
        <v/>
      </c>
      <c r="AZ574" s="14">
        <f>31-AY574</f>
        <v/>
      </c>
      <c r="BA574" s="5">
        <f>IF(AX574&gt;0, "01-İstirahat", IF(AZ574&gt;0, "12-Birden Fazla", ""))</f>
        <v/>
      </c>
      <c r="BB574" s="10" t="n">
        <v>36</v>
      </c>
      <c r="BC574" s="8" t="n">
        <v>0</v>
      </c>
      <c r="BD574" s="9" t="n">
        <v>21</v>
      </c>
      <c r="BE574" s="7">
        <f>(L574/30)*AU574</f>
        <v/>
      </c>
      <c r="BF574" s="15">
        <f>(L574/225)*((BB574*1.5)-(BC574*1.0))</f>
        <v/>
      </c>
      <c r="BG574" s="16">
        <f>(L574/225)*1.5*BD574</f>
        <v/>
      </c>
      <c r="BH574" s="15">
        <f>BF574+BG574</f>
        <v/>
      </c>
      <c r="BI574" s="17">
        <f>BE574+BH574</f>
        <v/>
      </c>
      <c r="BJ574" s="7">
        <f>IFERROR(VLOOKUP(B574, Resmi_Bordro_SGK!B:M, 11, FALSE), 0)</f>
        <v/>
      </c>
      <c r="BK574" s="18">
        <f>IFERROR(VLOOKUP(B574, Icra_Takip!A:E, 4, FALSE), 0)</f>
        <v/>
      </c>
      <c r="BL574" s="17">
        <f>IF(BI574&gt;BJ574, BI574-BJ574-BK574, 0)</f>
        <v/>
      </c>
      <c r="BM574" s="17">
        <f>BI574-BK574</f>
        <v/>
      </c>
    </row>
    <row r="575" ht="19" customHeight="1">
      <c r="A575" s="4" t="n">
        <v>572</v>
      </c>
      <c r="B575" s="5" t="inlineStr">
        <is>
          <t>01465</t>
        </is>
      </c>
      <c r="C575" s="6" t="inlineStr">
        <is>
          <t>VEDAT DEMİR</t>
        </is>
      </c>
      <c r="D575" s="4" t="inlineStr"/>
      <c r="E575" s="4" t="inlineStr"/>
      <c r="F575" s="4" t="inlineStr"/>
      <c r="G575" s="4" t="inlineStr"/>
      <c r="H575" s="4" t="inlineStr">
        <is>
          <t>NORMAL</t>
        </is>
      </c>
      <c r="I575" s="4" t="inlineStr">
        <is>
          <t>MEVSİMLİK</t>
        </is>
      </c>
      <c r="J575" s="6" t="inlineStr">
        <is>
          <t>DİĞER</t>
        </is>
      </c>
      <c r="K575" s="6" t="inlineStr"/>
      <c r="L575" s="7" t="n">
        <v>0</v>
      </c>
      <c r="M575" s="4" t="inlineStr">
        <is>
          <t>FİDE KONSERVE</t>
        </is>
      </c>
      <c r="N575" s="4" t="inlineStr">
        <is>
          <t>ALIR</t>
        </is>
      </c>
      <c r="O575" s="19" t="n">
        <v>7.5</v>
      </c>
      <c r="P575" s="19" t="n">
        <v>10.5</v>
      </c>
      <c r="Q575" s="19" t="n">
        <v>10.5</v>
      </c>
      <c r="R575" s="9" t="n">
        <v>10.5</v>
      </c>
      <c r="S575" s="19" t="n">
        <v>10.5</v>
      </c>
      <c r="T575" s="19" t="n">
        <v>0</v>
      </c>
      <c r="U575" s="19" t="n">
        <v>10.5</v>
      </c>
      <c r="V575" s="19" t="n">
        <v>10.5</v>
      </c>
      <c r="W575" s="19" t="n">
        <v>10.5</v>
      </c>
      <c r="X575" s="19" t="n">
        <v>0</v>
      </c>
      <c r="Y575" s="9" t="n">
        <v>0</v>
      </c>
      <c r="Z575" s="23" t="n">
        <v>21</v>
      </c>
      <c r="AA575" s="19" t="n">
        <v>1</v>
      </c>
      <c r="AB575" s="19" t="n">
        <v>0</v>
      </c>
      <c r="AC575" s="19" t="n">
        <v>0</v>
      </c>
      <c r="AD575" s="19" t="n">
        <v>0</v>
      </c>
      <c r="AE575" s="19" t="n">
        <v>0</v>
      </c>
      <c r="AF575" s="9" t="n">
        <v>0</v>
      </c>
      <c r="AG575" s="19" t="n">
        <v>0</v>
      </c>
      <c r="AH575" s="19" t="n">
        <v>0</v>
      </c>
      <c r="AI575" s="19" t="n">
        <v>0</v>
      </c>
      <c r="AJ575" s="19" t="n">
        <v>0</v>
      </c>
      <c r="AK575" s="19" t="n">
        <v>0</v>
      </c>
      <c r="AL575" s="19" t="n">
        <v>0</v>
      </c>
      <c r="AM575" s="9" t="n">
        <v>0</v>
      </c>
      <c r="AN575" s="19" t="n">
        <v>0</v>
      </c>
      <c r="AO575" s="19" t="n">
        <v>0</v>
      </c>
      <c r="AP575" s="19" t="n">
        <v>0</v>
      </c>
      <c r="AQ575" s="19" t="n">
        <v>0</v>
      </c>
      <c r="AR575" s="19" t="n">
        <v>0</v>
      </c>
      <c r="AS575" s="19" t="n">
        <v>0</v>
      </c>
      <c r="AT575" s="10">
        <f>SUM(O575:AS575)</f>
        <v/>
      </c>
      <c r="AU575" s="20">
        <f>COUNTIF(O575:AS575, "&gt;0")</f>
        <v/>
      </c>
      <c r="AV575" s="12">
        <f>IF(AU575&gt;=5, 4, IF(AU575&gt;0, INT(AU575/6), 0))</f>
        <v/>
      </c>
      <c r="AW575" s="20" t="n">
        <v>0</v>
      </c>
      <c r="AX575" s="20" t="n">
        <v>0</v>
      </c>
      <c r="AY575" s="13">
        <f>MIN(31, AU575+AV575+AW575+AX575)</f>
        <v/>
      </c>
      <c r="AZ575" s="14">
        <f>31-AY575</f>
        <v/>
      </c>
      <c r="BA575" s="21">
        <f>IF(AX575&gt;0, "01-İstirahat", IF(AZ575&gt;0, "12-Birden Fazla", ""))</f>
        <v/>
      </c>
      <c r="BB575" s="10" t="n">
        <v>31.5</v>
      </c>
      <c r="BC575" s="23" t="n">
        <v>6.5</v>
      </c>
      <c r="BD575" s="9" t="n">
        <v>10.5</v>
      </c>
      <c r="BE575" s="22">
        <f>(L575/30)*AU575</f>
        <v/>
      </c>
      <c r="BF575" s="15">
        <f>(L575/225)*((BB575*1.5)-(BC575*1.0))</f>
        <v/>
      </c>
      <c r="BG575" s="16">
        <f>(L575/225)*1.5*BD575</f>
        <v/>
      </c>
      <c r="BH575" s="15">
        <f>BF575+BG575</f>
        <v/>
      </c>
      <c r="BI575" s="17">
        <f>BE575+BH575</f>
        <v/>
      </c>
      <c r="BJ575" s="22">
        <f>IFERROR(VLOOKUP(B575, Resmi_Bordro_SGK!B:M, 11, FALSE), 0)</f>
        <v/>
      </c>
      <c r="BK575" s="18">
        <f>IFERROR(VLOOKUP(B575, Icra_Takip!A:E, 4, FALSE), 0)</f>
        <v/>
      </c>
      <c r="BL575" s="17">
        <f>IF(BI575&gt;BJ575, BI575-BJ575-BK575, 0)</f>
        <v/>
      </c>
      <c r="BM575" s="17">
        <f>BI575-BK575</f>
        <v/>
      </c>
    </row>
    <row r="576" ht="19" customHeight="1">
      <c r="A576" s="4" t="n">
        <v>573</v>
      </c>
      <c r="B576" s="5" t="inlineStr">
        <is>
          <t>01466</t>
        </is>
      </c>
      <c r="C576" s="6" t="inlineStr">
        <is>
          <t>YELİZ KIRCALI</t>
        </is>
      </c>
      <c r="D576" s="4" t="inlineStr"/>
      <c r="E576" s="4" t="inlineStr"/>
      <c r="F576" s="4" t="inlineStr"/>
      <c r="G576" s="4" t="inlineStr"/>
      <c r="H576" s="4" t="inlineStr">
        <is>
          <t>NORMAL</t>
        </is>
      </c>
      <c r="I576" s="4" t="inlineStr">
        <is>
          <t>MEVSİMLİK</t>
        </is>
      </c>
      <c r="J576" s="6" t="inlineStr">
        <is>
          <t>DİĞER</t>
        </is>
      </c>
      <c r="K576" s="6" t="inlineStr"/>
      <c r="L576" s="7" t="n">
        <v>0</v>
      </c>
      <c r="M576" s="4" t="inlineStr">
        <is>
          <t>FİDE KONSERVE</t>
        </is>
      </c>
      <c r="N576" s="4" t="inlineStr">
        <is>
          <t>ALIR</t>
        </is>
      </c>
      <c r="O576" s="8" t="n">
        <v>0</v>
      </c>
      <c r="P576" s="23" t="n">
        <v>10.5</v>
      </c>
      <c r="Q576" s="8" t="n">
        <v>10.5</v>
      </c>
      <c r="R576" s="9" t="n">
        <v>10.5</v>
      </c>
      <c r="S576" s="8" t="n">
        <v>0</v>
      </c>
      <c r="T576" s="8" t="n">
        <v>10.5</v>
      </c>
      <c r="U576" s="8" t="n">
        <v>10.5</v>
      </c>
      <c r="V576" s="8" t="n">
        <v>10.5</v>
      </c>
      <c r="W576" s="8" t="n">
        <v>10.5</v>
      </c>
      <c r="X576" s="8" t="n">
        <v>10.5</v>
      </c>
      <c r="Y576" s="9" t="n">
        <v>0</v>
      </c>
      <c r="Z576" s="8" t="n">
        <v>10.5</v>
      </c>
      <c r="AA576" s="8" t="n">
        <v>0</v>
      </c>
      <c r="AB576" s="8" t="n">
        <v>10.5</v>
      </c>
      <c r="AC576" s="8" t="n">
        <v>10.5</v>
      </c>
      <c r="AD576" s="8" t="n">
        <v>0</v>
      </c>
      <c r="AE576" s="8" t="n">
        <v>0</v>
      </c>
      <c r="AF576" s="9" t="n">
        <v>10.5</v>
      </c>
      <c r="AG576" s="8" t="n">
        <v>10.5</v>
      </c>
      <c r="AH576" s="8" t="n">
        <v>0</v>
      </c>
      <c r="AI576" s="8" t="n">
        <v>0</v>
      </c>
      <c r="AJ576" s="8" t="n">
        <v>0</v>
      </c>
      <c r="AK576" s="8" t="n">
        <v>0</v>
      </c>
      <c r="AL576" s="8" t="n">
        <v>0</v>
      </c>
      <c r="AM576" s="9" t="n">
        <v>0</v>
      </c>
      <c r="AN576" s="8" t="n">
        <v>0</v>
      </c>
      <c r="AO576" s="8" t="n">
        <v>0</v>
      </c>
      <c r="AP576" s="8" t="n">
        <v>0</v>
      </c>
      <c r="AQ576" s="8" t="n">
        <v>0</v>
      </c>
      <c r="AR576" s="8" t="n">
        <v>0</v>
      </c>
      <c r="AS576" s="8" t="n">
        <v>0</v>
      </c>
      <c r="AT576" s="10">
        <f>SUM(O576:AS576)</f>
        <v/>
      </c>
      <c r="AU576" s="11">
        <f>COUNTIF(O576:AS576, "&gt;0")</f>
        <v/>
      </c>
      <c r="AV576" s="12">
        <f>IF(AU576&gt;=5, 4, IF(AU576&gt;0, INT(AU576/6), 0))</f>
        <v/>
      </c>
      <c r="AW576" s="11" t="n">
        <v>0</v>
      </c>
      <c r="AX576" s="11" t="n">
        <v>0</v>
      </c>
      <c r="AY576" s="13">
        <f>MIN(31, AU576+AV576+AW576+AX576)</f>
        <v/>
      </c>
      <c r="AZ576" s="14">
        <f>31-AY576</f>
        <v/>
      </c>
      <c r="BA576" s="5">
        <f>IF(AX576&gt;0, "01-İstirahat", IF(AZ576&gt;0, "12-Birden Fazla", ""))</f>
        <v/>
      </c>
      <c r="BB576" s="10" t="n">
        <v>33</v>
      </c>
      <c r="BC576" s="8" t="n">
        <v>0</v>
      </c>
      <c r="BD576" s="9" t="n">
        <v>21</v>
      </c>
      <c r="BE576" s="7">
        <f>(L576/30)*AU576</f>
        <v/>
      </c>
      <c r="BF576" s="15">
        <f>(L576/225)*((BB576*1.5)-(BC576*1.0))</f>
        <v/>
      </c>
      <c r="BG576" s="16">
        <f>(L576/225)*1.5*BD576</f>
        <v/>
      </c>
      <c r="BH576" s="15">
        <f>BF576+BG576</f>
        <v/>
      </c>
      <c r="BI576" s="17">
        <f>BE576+BH576</f>
        <v/>
      </c>
      <c r="BJ576" s="7">
        <f>IFERROR(VLOOKUP(B576, Resmi_Bordro_SGK!B:M, 11, FALSE), 0)</f>
        <v/>
      </c>
      <c r="BK576" s="18">
        <f>IFERROR(VLOOKUP(B576, Icra_Takip!A:E, 4, FALSE), 0)</f>
        <v/>
      </c>
      <c r="BL576" s="17">
        <f>IF(BI576&gt;BJ576, BI576-BJ576-BK576, 0)</f>
        <v/>
      </c>
      <c r="BM576" s="17">
        <f>BI576-BK576</f>
        <v/>
      </c>
    </row>
    <row r="577" ht="19" customHeight="1">
      <c r="A577" s="4" t="n">
        <v>574</v>
      </c>
      <c r="B577" s="5" t="inlineStr">
        <is>
          <t>01469</t>
        </is>
      </c>
      <c r="C577" s="6" t="inlineStr">
        <is>
          <t>YUSUF BÇAKIR</t>
        </is>
      </c>
      <c r="D577" s="4" t="inlineStr"/>
      <c r="E577" s="4" t="inlineStr"/>
      <c r="F577" s="4" t="inlineStr"/>
      <c r="G577" s="4" t="inlineStr"/>
      <c r="H577" s="4" t="inlineStr">
        <is>
          <t>NORMAL</t>
        </is>
      </c>
      <c r="I577" s="4" t="inlineStr">
        <is>
          <t>MEVSİMLİK</t>
        </is>
      </c>
      <c r="J577" s="6" t="inlineStr">
        <is>
          <t>DİĞER</t>
        </is>
      </c>
      <c r="K577" s="6" t="inlineStr"/>
      <c r="L577" s="7" t="n">
        <v>0</v>
      </c>
      <c r="M577" s="4" t="inlineStr">
        <is>
          <t>FİDE KONSERVE</t>
        </is>
      </c>
      <c r="N577" s="4" t="inlineStr">
        <is>
          <t>ALIR</t>
        </is>
      </c>
      <c r="O577" s="19" t="n">
        <v>0</v>
      </c>
      <c r="P577" s="19" t="n">
        <v>10.5</v>
      </c>
      <c r="Q577" s="19" t="n">
        <v>0</v>
      </c>
      <c r="R577" s="9" t="n">
        <v>10.5</v>
      </c>
      <c r="S577" s="19" t="n">
        <v>10.5</v>
      </c>
      <c r="T577" s="19" t="n">
        <v>10.5</v>
      </c>
      <c r="U577" s="19" t="n">
        <v>0</v>
      </c>
      <c r="V577" s="19" t="n">
        <v>10.5</v>
      </c>
      <c r="W577" s="19" t="n">
        <v>10.5</v>
      </c>
      <c r="X577" s="19" t="n">
        <v>10.5</v>
      </c>
      <c r="Y577" s="9" t="n">
        <v>0</v>
      </c>
      <c r="Z577" s="19" t="n">
        <v>10.5</v>
      </c>
      <c r="AA577" s="19" t="n">
        <v>10.5</v>
      </c>
      <c r="AB577" s="19" t="n">
        <v>10.5</v>
      </c>
      <c r="AC577" s="19" t="n">
        <v>0</v>
      </c>
      <c r="AD577" s="23" t="n">
        <v>7.5</v>
      </c>
      <c r="AE577" s="19" t="n">
        <v>0</v>
      </c>
      <c r="AF577" s="9" t="n">
        <v>10.5</v>
      </c>
      <c r="AG577" s="19" t="n">
        <v>10.5</v>
      </c>
      <c r="AH577" s="19" t="n">
        <v>0</v>
      </c>
      <c r="AI577" s="19" t="n">
        <v>0</v>
      </c>
      <c r="AJ577" s="19" t="n">
        <v>0</v>
      </c>
      <c r="AK577" s="19" t="n">
        <v>0</v>
      </c>
      <c r="AL577" s="19" t="n">
        <v>0</v>
      </c>
      <c r="AM577" s="9" t="n">
        <v>0</v>
      </c>
      <c r="AN577" s="19" t="n">
        <v>0</v>
      </c>
      <c r="AO577" s="19" t="n">
        <v>0</v>
      </c>
      <c r="AP577" s="19" t="n">
        <v>0</v>
      </c>
      <c r="AQ577" s="19" t="n">
        <v>0</v>
      </c>
      <c r="AR577" s="19" t="n">
        <v>0</v>
      </c>
      <c r="AS577" s="19" t="n">
        <v>0</v>
      </c>
      <c r="AT577" s="10">
        <f>SUM(O577:AS577)</f>
        <v/>
      </c>
      <c r="AU577" s="20">
        <f>COUNTIF(O577:AS577, "&gt;0")</f>
        <v/>
      </c>
      <c r="AV577" s="12">
        <f>IF(AU577&gt;=5, 4, IF(AU577&gt;0, INT(AU577/6), 0))</f>
        <v/>
      </c>
      <c r="AW577" s="20" t="n">
        <v>0</v>
      </c>
      <c r="AX577" s="20" t="n">
        <v>0</v>
      </c>
      <c r="AY577" s="13">
        <f>MIN(31, AU577+AV577+AW577+AX577)</f>
        <v/>
      </c>
      <c r="AZ577" s="14">
        <f>31-AY577</f>
        <v/>
      </c>
      <c r="BA577" s="21">
        <f>IF(AX577&gt;0, "01-İstirahat", IF(AZ577&gt;0, "12-Birden Fazla", ""))</f>
        <v/>
      </c>
      <c r="BB577" s="10" t="n">
        <v>30</v>
      </c>
      <c r="BC577" s="19" t="n">
        <v>0</v>
      </c>
      <c r="BD577" s="9" t="n">
        <v>21</v>
      </c>
      <c r="BE577" s="22">
        <f>(L577/30)*AU577</f>
        <v/>
      </c>
      <c r="BF577" s="15">
        <f>(L577/225)*((BB577*1.5)-(BC577*1.0))</f>
        <v/>
      </c>
      <c r="BG577" s="16">
        <f>(L577/225)*1.5*BD577</f>
        <v/>
      </c>
      <c r="BH577" s="15">
        <f>BF577+BG577</f>
        <v/>
      </c>
      <c r="BI577" s="17">
        <f>BE577+BH577</f>
        <v/>
      </c>
      <c r="BJ577" s="22">
        <f>IFERROR(VLOOKUP(B577, Resmi_Bordro_SGK!B:M, 11, FALSE), 0)</f>
        <v/>
      </c>
      <c r="BK577" s="18">
        <f>IFERROR(VLOOKUP(B577, Icra_Takip!A:E, 4, FALSE), 0)</f>
        <v/>
      </c>
      <c r="BL577" s="17">
        <f>IF(BI577&gt;BJ577, BI577-BJ577-BK577, 0)</f>
        <v/>
      </c>
      <c r="BM577" s="17">
        <f>BI577-BK577</f>
        <v/>
      </c>
    </row>
    <row r="578" ht="19" customHeight="1">
      <c r="A578" s="4" t="n">
        <v>575</v>
      </c>
      <c r="B578" s="5" t="inlineStr">
        <is>
          <t>01470</t>
        </is>
      </c>
      <c r="C578" s="6" t="inlineStr">
        <is>
          <t>YÜKSEL KARATUN</t>
        </is>
      </c>
      <c r="D578" s="4" t="inlineStr"/>
      <c r="E578" s="4" t="inlineStr"/>
      <c r="F578" s="4" t="inlineStr"/>
      <c r="G578" s="4" t="inlineStr"/>
      <c r="H578" s="4" t="inlineStr">
        <is>
          <t>NORMAL</t>
        </is>
      </c>
      <c r="I578" s="4" t="inlineStr">
        <is>
          <t>MEVSİMLİK</t>
        </is>
      </c>
      <c r="J578" s="6" t="inlineStr">
        <is>
          <t>DİĞER</t>
        </is>
      </c>
      <c r="K578" s="6" t="inlineStr"/>
      <c r="L578" s="7" t="n">
        <v>0</v>
      </c>
      <c r="M578" s="4" t="inlineStr">
        <is>
          <t>FİDE KONSERVE</t>
        </is>
      </c>
      <c r="N578" s="4" t="inlineStr">
        <is>
          <t>ALIR</t>
        </is>
      </c>
      <c r="O578" s="8" t="n">
        <v>0</v>
      </c>
      <c r="P578" s="8" t="n">
        <v>10.5</v>
      </c>
      <c r="Q578" s="8" t="n">
        <v>10.5</v>
      </c>
      <c r="R578" s="9" t="n">
        <v>0</v>
      </c>
      <c r="S578" s="8" t="n">
        <v>10.5</v>
      </c>
      <c r="T578" s="8" t="n">
        <v>10.5</v>
      </c>
      <c r="U578" s="8" t="n">
        <v>10.5</v>
      </c>
      <c r="V578" s="8" t="n">
        <v>10.5</v>
      </c>
      <c r="W578" s="8" t="n">
        <v>10.5</v>
      </c>
      <c r="X578" s="8" t="n">
        <v>10.5</v>
      </c>
      <c r="Y578" s="9" t="n">
        <v>10.5</v>
      </c>
      <c r="Z578" s="8" t="n">
        <v>0</v>
      </c>
      <c r="AA578" s="8" t="n">
        <v>10.5</v>
      </c>
      <c r="AB578" s="8" t="n">
        <v>10.5</v>
      </c>
      <c r="AC578" s="8" t="n">
        <v>10.5</v>
      </c>
      <c r="AD578" s="8" t="n">
        <v>0</v>
      </c>
      <c r="AE578" s="8" t="n">
        <v>0</v>
      </c>
      <c r="AF578" s="9" t="n">
        <v>10.5</v>
      </c>
      <c r="AG578" s="8" t="n">
        <v>10.5</v>
      </c>
      <c r="AH578" s="8" t="n">
        <v>0</v>
      </c>
      <c r="AI578" s="8" t="n">
        <v>0</v>
      </c>
      <c r="AJ578" s="8" t="n">
        <v>0</v>
      </c>
      <c r="AK578" s="8" t="n">
        <v>0</v>
      </c>
      <c r="AL578" s="8" t="n">
        <v>0</v>
      </c>
      <c r="AM578" s="9" t="n">
        <v>0</v>
      </c>
      <c r="AN578" s="8" t="n">
        <v>0</v>
      </c>
      <c r="AO578" s="8" t="n">
        <v>0</v>
      </c>
      <c r="AP578" s="8" t="n">
        <v>0</v>
      </c>
      <c r="AQ578" s="8" t="n">
        <v>0</v>
      </c>
      <c r="AR578" s="8" t="n">
        <v>0</v>
      </c>
      <c r="AS578" s="8" t="n">
        <v>0</v>
      </c>
      <c r="AT578" s="10">
        <f>SUM(O578:AS578)</f>
        <v/>
      </c>
      <c r="AU578" s="11">
        <f>COUNTIF(O578:AS578, "&gt;0")</f>
        <v/>
      </c>
      <c r="AV578" s="12">
        <f>IF(AU578&gt;=5, 4, IF(AU578&gt;0, INT(AU578/6), 0))</f>
        <v/>
      </c>
      <c r="AW578" s="11" t="n">
        <v>0</v>
      </c>
      <c r="AX578" s="11" t="n">
        <v>0</v>
      </c>
      <c r="AY578" s="13">
        <f>MIN(31, AU578+AV578+AW578+AX578)</f>
        <v/>
      </c>
      <c r="AZ578" s="14">
        <f>31-AY578</f>
        <v/>
      </c>
      <c r="BA578" s="5">
        <f>IF(AX578&gt;0, "01-İstirahat", IF(AZ578&gt;0, "12-Birden Fazla", ""))</f>
        <v/>
      </c>
      <c r="BB578" s="10" t="n">
        <v>36</v>
      </c>
      <c r="BC578" s="8" t="n">
        <v>0</v>
      </c>
      <c r="BD578" s="9" t="n">
        <v>21</v>
      </c>
      <c r="BE578" s="7">
        <f>(L578/30)*AU578</f>
        <v/>
      </c>
      <c r="BF578" s="15">
        <f>(L578/225)*((BB578*1.5)-(BC578*1.0))</f>
        <v/>
      </c>
      <c r="BG578" s="16">
        <f>(L578/225)*1.5*BD578</f>
        <v/>
      </c>
      <c r="BH578" s="15">
        <f>BF578+BG578</f>
        <v/>
      </c>
      <c r="BI578" s="17">
        <f>BE578+BH578</f>
        <v/>
      </c>
      <c r="BJ578" s="7">
        <f>IFERROR(VLOOKUP(B578, Resmi_Bordro_SGK!B:M, 11, FALSE), 0)</f>
        <v/>
      </c>
      <c r="BK578" s="18">
        <f>IFERROR(VLOOKUP(B578, Icra_Takip!A:E, 4, FALSE), 0)</f>
        <v/>
      </c>
      <c r="BL578" s="17">
        <f>IF(BI578&gt;BJ578, BI578-BJ578-BK578, 0)</f>
        <v/>
      </c>
      <c r="BM578" s="17">
        <f>BI578-BK578</f>
        <v/>
      </c>
    </row>
    <row r="579" ht="19" customHeight="1">
      <c r="A579" s="4" t="n">
        <v>576</v>
      </c>
      <c r="B579" s="5" t="inlineStr">
        <is>
          <t>01471</t>
        </is>
      </c>
      <c r="C579" s="6" t="inlineStr">
        <is>
          <t>ZEKİYE AYICI</t>
        </is>
      </c>
      <c r="D579" s="4" t="inlineStr"/>
      <c r="E579" s="4" t="inlineStr"/>
      <c r="F579" s="4" t="inlineStr"/>
      <c r="G579" s="4" t="inlineStr"/>
      <c r="H579" s="4" t="inlineStr">
        <is>
          <t>NORMAL</t>
        </is>
      </c>
      <c r="I579" s="4" t="inlineStr">
        <is>
          <t>MEVSİMLİK</t>
        </is>
      </c>
      <c r="J579" s="6" t="inlineStr">
        <is>
          <t>DİĞER</t>
        </is>
      </c>
      <c r="K579" s="6" t="inlineStr"/>
      <c r="L579" s="7" t="n">
        <v>0</v>
      </c>
      <c r="M579" s="4" t="inlineStr">
        <is>
          <t>FİDE KONSERVE</t>
        </is>
      </c>
      <c r="N579" s="4" t="inlineStr">
        <is>
          <t>ALIR</t>
        </is>
      </c>
      <c r="O579" s="19" t="n">
        <v>0</v>
      </c>
      <c r="P579" s="23" t="n">
        <v>10.5</v>
      </c>
      <c r="Q579" s="19" t="n">
        <v>0</v>
      </c>
      <c r="R579" s="9" t="n">
        <v>0</v>
      </c>
      <c r="S579" s="19" t="n">
        <v>0</v>
      </c>
      <c r="T579" s="19" t="n">
        <v>0</v>
      </c>
      <c r="U579" s="19" t="n">
        <v>0</v>
      </c>
      <c r="V579" s="19" t="n">
        <v>0</v>
      </c>
      <c r="W579" s="19" t="n">
        <v>0</v>
      </c>
      <c r="X579" s="19" t="n">
        <v>0</v>
      </c>
      <c r="Y579" s="9" t="n">
        <v>0</v>
      </c>
      <c r="Z579" s="19" t="n">
        <v>0</v>
      </c>
      <c r="AA579" s="19" t="n">
        <v>0</v>
      </c>
      <c r="AB579" s="19" t="n">
        <v>0</v>
      </c>
      <c r="AC579" s="19" t="n">
        <v>0</v>
      </c>
      <c r="AD579" s="19" t="n">
        <v>0</v>
      </c>
      <c r="AE579" s="19" t="n">
        <v>0</v>
      </c>
      <c r="AF579" s="9" t="n">
        <v>0</v>
      </c>
      <c r="AG579" s="19" t="n">
        <v>0</v>
      </c>
      <c r="AH579" s="19" t="n">
        <v>0</v>
      </c>
      <c r="AI579" s="19" t="n">
        <v>0</v>
      </c>
      <c r="AJ579" s="19" t="n">
        <v>0</v>
      </c>
      <c r="AK579" s="19" t="n">
        <v>0</v>
      </c>
      <c r="AL579" s="19" t="n">
        <v>0</v>
      </c>
      <c r="AM579" s="9" t="n">
        <v>0</v>
      </c>
      <c r="AN579" s="19" t="n">
        <v>0</v>
      </c>
      <c r="AO579" s="19" t="n">
        <v>0</v>
      </c>
      <c r="AP579" s="19" t="n">
        <v>0</v>
      </c>
      <c r="AQ579" s="19" t="n">
        <v>0</v>
      </c>
      <c r="AR579" s="19" t="n">
        <v>0</v>
      </c>
      <c r="AS579" s="19" t="n">
        <v>0</v>
      </c>
      <c r="AT579" s="10">
        <f>SUM(O579:AS579)</f>
        <v/>
      </c>
      <c r="AU579" s="20">
        <f>COUNTIF(O579:AS579, "&gt;0")</f>
        <v/>
      </c>
      <c r="AV579" s="12">
        <f>IF(AU579&gt;=5, 4, IF(AU579&gt;0, INT(AU579/6), 0))</f>
        <v/>
      </c>
      <c r="AW579" s="20" t="n">
        <v>0</v>
      </c>
      <c r="AX579" s="20" t="n">
        <v>0</v>
      </c>
      <c r="AY579" s="13">
        <f>MIN(31, AU579+AV579+AW579+AX579)</f>
        <v/>
      </c>
      <c r="AZ579" s="14">
        <f>31-AY579</f>
        <v/>
      </c>
      <c r="BA579" s="21">
        <f>IF(AX579&gt;0, "01-İstirahat", IF(AZ579&gt;0, "12-Birden Fazla", ""))</f>
        <v/>
      </c>
      <c r="BB579" s="10" t="n">
        <v>3</v>
      </c>
      <c r="BC579" s="19" t="n">
        <v>0</v>
      </c>
      <c r="BD579" s="9" t="n">
        <v>0</v>
      </c>
      <c r="BE579" s="22">
        <f>(L579/30)*AU579</f>
        <v/>
      </c>
      <c r="BF579" s="15">
        <f>(L579/225)*((BB579*1.5)-(BC579*1.0))</f>
        <v/>
      </c>
      <c r="BG579" s="16">
        <f>(L579/225)*1.5*BD579</f>
        <v/>
      </c>
      <c r="BH579" s="15">
        <f>BF579+BG579</f>
        <v/>
      </c>
      <c r="BI579" s="17">
        <f>BE579+BH579</f>
        <v/>
      </c>
      <c r="BJ579" s="22">
        <f>IFERROR(VLOOKUP(B579, Resmi_Bordro_SGK!B:M, 11, FALSE), 0)</f>
        <v/>
      </c>
      <c r="BK579" s="18">
        <f>IFERROR(VLOOKUP(B579, Icra_Takip!A:E, 4, FALSE), 0)</f>
        <v/>
      </c>
      <c r="BL579" s="17">
        <f>IF(BI579&gt;BJ579, BI579-BJ579-BK579, 0)</f>
        <v/>
      </c>
      <c r="BM579" s="17">
        <f>BI579-BK579</f>
        <v/>
      </c>
    </row>
    <row r="580" ht="22" customHeight="1">
      <c r="A580" s="24" t="inlineStr"/>
      <c r="B580" s="24" t="inlineStr"/>
      <c r="C580" s="25" t="inlineStr">
        <is>
          <t>GENEL TOPLAM</t>
        </is>
      </c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6">
        <f>SUM(L4:L579)</f>
        <v/>
      </c>
      <c r="M580" s="24" t="n"/>
      <c r="N580" s="24" t="n"/>
      <c r="O580" s="27">
        <f>SUM(O4:O579)</f>
        <v/>
      </c>
      <c r="P580" s="27">
        <f>SUM(P4:P579)</f>
        <v/>
      </c>
      <c r="Q580" s="27">
        <f>SUM(Q4:Q579)</f>
        <v/>
      </c>
      <c r="R580" s="27">
        <f>SUM(R4:R579)</f>
        <v/>
      </c>
      <c r="S580" s="27">
        <f>SUM(S4:S579)</f>
        <v/>
      </c>
      <c r="T580" s="27">
        <f>SUM(T4:T579)</f>
        <v/>
      </c>
      <c r="U580" s="27">
        <f>SUM(U4:U579)</f>
        <v/>
      </c>
      <c r="V580" s="27">
        <f>SUM(V4:V579)</f>
        <v/>
      </c>
      <c r="W580" s="27">
        <f>SUM(W4:W579)</f>
        <v/>
      </c>
      <c r="X580" s="27">
        <f>SUM(X4:X579)</f>
        <v/>
      </c>
      <c r="Y580" s="27">
        <f>SUM(Y4:Y579)</f>
        <v/>
      </c>
      <c r="Z580" s="27">
        <f>SUM(Z4:Z579)</f>
        <v/>
      </c>
      <c r="AA580" s="27">
        <f>SUM(AA4:AA579)</f>
        <v/>
      </c>
      <c r="AB580" s="27">
        <f>SUM(AB4:AB579)</f>
        <v/>
      </c>
      <c r="AC580" s="27">
        <f>SUM(AC4:AC579)</f>
        <v/>
      </c>
      <c r="AD580" s="27">
        <f>SUM(AD4:AD579)</f>
        <v/>
      </c>
      <c r="AE580" s="27">
        <f>SUM(AE4:AE579)</f>
        <v/>
      </c>
      <c r="AF580" s="27">
        <f>SUM(AF4:AF579)</f>
        <v/>
      </c>
      <c r="AG580" s="27">
        <f>SUM(AG4:AG579)</f>
        <v/>
      </c>
      <c r="AH580" s="27">
        <f>SUM(AH4:AH579)</f>
        <v/>
      </c>
      <c r="AI580" s="27">
        <f>SUM(AI4:AI579)</f>
        <v/>
      </c>
      <c r="AJ580" s="27">
        <f>SUM(AJ4:AJ579)</f>
        <v/>
      </c>
      <c r="AK580" s="27">
        <f>SUM(AK4:AK579)</f>
        <v/>
      </c>
      <c r="AL580" s="27">
        <f>SUM(AL4:AL579)</f>
        <v/>
      </c>
      <c r="AM580" s="27">
        <f>SUM(AM4:AM579)</f>
        <v/>
      </c>
      <c r="AN580" s="27">
        <f>SUM(AN4:AN579)</f>
        <v/>
      </c>
      <c r="AO580" s="27">
        <f>SUM(AO4:AO579)</f>
        <v/>
      </c>
      <c r="AP580" s="27">
        <f>SUM(AP4:AP579)</f>
        <v/>
      </c>
      <c r="AQ580" s="27">
        <f>SUM(AQ4:AQ579)</f>
        <v/>
      </c>
      <c r="AR580" s="27">
        <f>SUM(AR4:AR579)</f>
        <v/>
      </c>
      <c r="AS580" s="27">
        <f>SUM(AS4:AS579)</f>
        <v/>
      </c>
      <c r="AT580" s="27">
        <f>SUM(AT4:AT579)</f>
        <v/>
      </c>
      <c r="AU580" s="28">
        <f>SUM(AU4:AU579)</f>
        <v/>
      </c>
      <c r="AV580" s="28">
        <f>SUM(AV4:AV579)</f>
        <v/>
      </c>
      <c r="AW580" s="28">
        <f>SUM(AW4:AW579)</f>
        <v/>
      </c>
      <c r="AX580" s="28">
        <f>SUM(AX4:AX579)</f>
        <v/>
      </c>
      <c r="AY580" s="28">
        <f>SUM(AY4:AY579)</f>
        <v/>
      </c>
      <c r="AZ580" s="28">
        <f>SUM(AZ4:AZ579)</f>
        <v/>
      </c>
      <c r="BA580" s="24" t="n"/>
      <c r="BB580" s="27">
        <f>SUM(BB4:BB579)</f>
        <v/>
      </c>
      <c r="BC580" s="27">
        <f>SUM(BC4:BC579)</f>
        <v/>
      </c>
      <c r="BD580" s="27">
        <f>SUM(BD4:BD579)</f>
        <v/>
      </c>
      <c r="BE580" s="26">
        <f>SUM(BE4:BE579)</f>
        <v/>
      </c>
      <c r="BF580" s="26">
        <f>SUM(BF4:BF579)</f>
        <v/>
      </c>
      <c r="BG580" s="26">
        <f>SUM(BG4:BG579)</f>
        <v/>
      </c>
      <c r="BH580" s="26">
        <f>SUM(BH4:BH579)</f>
        <v/>
      </c>
      <c r="BI580" s="26">
        <f>SUM(BI4:BI579)</f>
        <v/>
      </c>
      <c r="BJ580" s="26">
        <f>SUM(BJ4:BJ579)</f>
        <v/>
      </c>
      <c r="BK580" s="26">
        <f>SUM(BK4:BK579)</f>
        <v/>
      </c>
      <c r="BL580" s="26">
        <f>SUM(BL4:BL579)</f>
        <v/>
      </c>
      <c r="BM580" s="26">
        <f>SUM(BM4:BM579)</f>
        <v/>
      </c>
    </row>
  </sheetData>
  <mergeCells count="1">
    <mergeCell ref="A1:N1"/>
  </mergeCells>
  <dataValidations count="1">
    <dataValidation sqref="O4:AS579" showDropDown="0" showInputMessage="1" showErrorMessage="1" allowBlank="1" errorTitle="Geçersiz Süre (Maksimum 24 Saat)" error="HATA: Bir günde 24 saatten fazla çalışma süresi yazılamaz! Lütfen 0 ile 24.0 saat arasında bir değer giriniz." promptTitle="Günlük Çalışma Süresi" prompt="Çalışma süresi 0 ile 24 saat arasında olmalıdır." type="decimal" operator="between">
      <formula1>0</formula1>
      <formula2>24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19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22" customWidth="1" min="6" max="6"/>
    <col width="20" customWidth="1" min="7" max="7"/>
    <col width="15" customWidth="1" min="8" max="8"/>
    <col width="15" customWidth="1" min="9" max="9"/>
    <col width="22" customWidth="1" min="10" max="10"/>
    <col width="26" customWidth="1" min="11" max="11"/>
    <col width="18" customWidth="1" min="12" max="12"/>
    <col width="16" customWidth="1" min="13" max="13"/>
    <col width="22" customWidth="1" min="14" max="14"/>
  </cols>
  <sheetData>
    <row r="1" ht="25" customHeight="1">
      <c r="A1" s="2" t="inlineStr">
        <is>
          <t>Sıra No</t>
        </is>
      </c>
      <c r="B1" s="2" t="inlineStr">
        <is>
          <t>Tarih</t>
        </is>
      </c>
      <c r="C1" s="2" t="inlineStr">
        <is>
          <t>Gün</t>
        </is>
      </c>
      <c r="D1" s="2" t="inlineStr">
        <is>
          <t>Kart No</t>
        </is>
      </c>
      <c r="E1" s="2" t="inlineStr">
        <is>
          <t>Sicil No</t>
        </is>
      </c>
      <c r="F1" s="2" t="inlineStr">
        <is>
          <t>Adı Soyadı</t>
        </is>
      </c>
      <c r="G1" s="2" t="inlineStr">
        <is>
          <t>Bölüm / Lokasyon</t>
        </is>
      </c>
      <c r="H1" s="2" t="inlineStr">
        <is>
          <t>Tespit Edilen Giriş</t>
        </is>
      </c>
      <c r="I1" s="2" t="inlineStr">
        <is>
          <t>Tespit Edilen Çıkış</t>
        </is>
      </c>
      <c r="J1" s="2" t="inlineStr">
        <is>
          <t>Tüm Basım Hareketleri</t>
        </is>
      </c>
      <c r="K1" s="2" t="inlineStr">
        <is>
          <t>İnceleme Nedeni (Hata Türü)</t>
        </is>
      </c>
      <c r="L1" s="2" t="inlineStr">
        <is>
          <t>Puantaja Yazılan Saat</t>
        </is>
      </c>
      <c r="M1" s="2" t="inlineStr">
        <is>
          <t>Fazla Mesai (Saat)</t>
        </is>
      </c>
      <c r="N1" s="2" t="inlineStr">
        <is>
          <t>İK / Amir Onayı &amp; Notu</t>
        </is>
      </c>
    </row>
    <row r="2">
      <c r="A2" s="4" t="n">
        <v>32</v>
      </c>
      <c r="B2" s="4" t="inlineStr">
        <is>
          <t>9.10.2026</t>
        </is>
      </c>
      <c r="C2" s="4" t="inlineStr">
        <is>
          <t>Cuma</t>
        </is>
      </c>
      <c r="D2" s="4" t="inlineStr">
        <is>
          <t>00207</t>
        </is>
      </c>
      <c r="E2" s="4" t="inlineStr">
        <is>
          <t>00207</t>
        </is>
      </c>
      <c r="F2" s="29" t="inlineStr">
        <is>
          <t>AHMET ŞŞENER</t>
        </is>
      </c>
      <c r="G2" s="29" t="inlineStr">
        <is>
          <t>MEYDAN</t>
        </is>
      </c>
      <c r="H2" s="4" t="inlineStr">
        <is>
          <t>07:31</t>
        </is>
      </c>
      <c r="I2" s="4" t="inlineStr">
        <is>
          <t>14:38</t>
        </is>
      </c>
      <c r="J2" s="29" t="inlineStr">
        <is>
          <t>07:31, 14:37, 14:38</t>
        </is>
      </c>
      <c r="K2" s="30" t="inlineStr">
        <is>
          <t>ÇOKLU_BASIM_MIN_MAX</t>
        </is>
      </c>
      <c r="L2" s="8" t="n">
        <v>0</v>
      </c>
      <c r="M2" s="8" t="n">
        <v>0</v>
      </c>
      <c r="N2" s="4" t="inlineStr">
        <is>
          <t>İK / Amir Onayında</t>
        </is>
      </c>
    </row>
    <row r="3">
      <c r="A3" s="4" t="n">
        <v>97</v>
      </c>
      <c r="B3" s="4" t="inlineStr">
        <is>
          <t>1.10.2026</t>
        </is>
      </c>
      <c r="C3" s="4" t="inlineStr">
        <is>
          <t>Perşembe</t>
        </is>
      </c>
      <c r="D3" s="4" t="inlineStr">
        <is>
          <t>01154</t>
        </is>
      </c>
      <c r="E3" s="4" t="inlineStr">
        <is>
          <t>01154</t>
        </is>
      </c>
      <c r="F3" s="29" t="inlineStr">
        <is>
          <t>AKİF TÜRKÇÜ</t>
        </is>
      </c>
      <c r="G3" s="29" t="inlineStr">
        <is>
          <t>BALIK TEMİZLİK</t>
        </is>
      </c>
      <c r="H3" s="4" t="inlineStr">
        <is>
          <t>18:08</t>
        </is>
      </c>
      <c r="I3" s="4" t="inlineStr">
        <is>
          <t>-</t>
        </is>
      </c>
      <c r="J3" s="29" t="inlineStr">
        <is>
          <t>18:08, 22:47</t>
        </is>
      </c>
      <c r="K3" s="30" t="inlineStr">
        <is>
          <t>ÇIKIŞ_YOK</t>
        </is>
      </c>
      <c r="L3" s="8" t="n">
        <v>7.5</v>
      </c>
      <c r="M3" s="8" t="n">
        <v>0</v>
      </c>
      <c r="N3" s="4" t="inlineStr">
        <is>
          <t>İK / Amir Onayında</t>
        </is>
      </c>
    </row>
    <row r="4">
      <c r="A4" s="4" t="n">
        <v>113</v>
      </c>
      <c r="B4" s="4" t="inlineStr">
        <is>
          <t>21.10.2026</t>
        </is>
      </c>
      <c r="C4" s="4" t="inlineStr">
        <is>
          <t>Çarşamba</t>
        </is>
      </c>
      <c r="D4" s="4" t="inlineStr">
        <is>
          <t>01154</t>
        </is>
      </c>
      <c r="E4" s="4" t="inlineStr">
        <is>
          <t>01154</t>
        </is>
      </c>
      <c r="F4" s="29" t="inlineStr">
        <is>
          <t>AKİF TÜRKÇÜ</t>
        </is>
      </c>
      <c r="G4" s="29" t="inlineStr">
        <is>
          <t>BALIK TEMİZLİK</t>
        </is>
      </c>
      <c r="H4" s="4" t="inlineStr">
        <is>
          <t>17:54</t>
        </is>
      </c>
      <c r="I4" s="4" t="inlineStr">
        <is>
          <t>-</t>
        </is>
      </c>
      <c r="J4" s="29" t="inlineStr">
        <is>
          <t>17:54</t>
        </is>
      </c>
      <c r="K4" s="30" t="inlineStr">
        <is>
          <t>ÇIKIŞ_YOK</t>
        </is>
      </c>
      <c r="L4" s="8" t="n">
        <v>7.5</v>
      </c>
      <c r="M4" s="8" t="n">
        <v>0</v>
      </c>
      <c r="N4" s="4" t="inlineStr">
        <is>
          <t>İK / Amir Onayında</t>
        </is>
      </c>
    </row>
    <row r="5">
      <c r="A5" s="4" t="n">
        <v>121</v>
      </c>
      <c r="B5" s="4" t="inlineStr">
        <is>
          <t>2.10.2026</t>
        </is>
      </c>
      <c r="C5" s="4" t="inlineStr">
        <is>
          <t>Cuma</t>
        </is>
      </c>
      <c r="D5" s="4" t="inlineStr">
        <is>
          <t>01474</t>
        </is>
      </c>
      <c r="E5" s="4" t="inlineStr">
        <is>
          <t>01474</t>
        </is>
      </c>
      <c r="F5" s="29" t="inlineStr">
        <is>
          <t>ALİ DURMAN</t>
        </is>
      </c>
      <c r="G5" s="29" t="inlineStr">
        <is>
          <t>DİĞER</t>
        </is>
      </c>
      <c r="H5" s="4" t="inlineStr">
        <is>
          <t>19:45</t>
        </is>
      </c>
      <c r="I5" s="4" t="inlineStr">
        <is>
          <t>07:55</t>
        </is>
      </c>
      <c r="J5" s="29" t="inlineStr">
        <is>
          <t>07:52, 19:45, 07:55</t>
        </is>
      </c>
      <c r="K5" s="30" t="inlineStr">
        <is>
          <t>ÇOKLU_BASIM_MIN_MAX</t>
        </is>
      </c>
      <c r="L5" s="8" t="n">
        <v>10.5</v>
      </c>
      <c r="M5" s="8" t="n">
        <v>3</v>
      </c>
      <c r="N5" s="4" t="inlineStr">
        <is>
          <t>İK / Amir Onayında</t>
        </is>
      </c>
    </row>
    <row r="6">
      <c r="A6" s="4" t="n">
        <v>166</v>
      </c>
      <c r="B6" s="4" t="inlineStr">
        <is>
          <t>15.10.2026</t>
        </is>
      </c>
      <c r="C6" s="4" t="inlineStr">
        <is>
          <t>Perşembe</t>
        </is>
      </c>
      <c r="D6" s="4" t="inlineStr">
        <is>
          <t>00208</t>
        </is>
      </c>
      <c r="E6" s="4" t="inlineStr">
        <is>
          <t>00208</t>
        </is>
      </c>
      <c r="F6" s="29" t="inlineStr">
        <is>
          <t>ANIL DEMİRTAŞ</t>
        </is>
      </c>
      <c r="G6" s="29" t="inlineStr">
        <is>
          <t>KONSERVE ÜRETİM ELEMANI</t>
        </is>
      </c>
      <c r="H6" s="4" t="inlineStr">
        <is>
          <t>15:55</t>
        </is>
      </c>
      <c r="I6" s="4" t="inlineStr">
        <is>
          <t>-</t>
        </is>
      </c>
      <c r="J6" s="29" t="inlineStr">
        <is>
          <t>15:55</t>
        </is>
      </c>
      <c r="K6" s="30" t="inlineStr">
        <is>
          <t>ÇIKIŞ_YOK</t>
        </is>
      </c>
      <c r="L6" s="8" t="n">
        <v>7.5</v>
      </c>
      <c r="M6" s="8" t="n">
        <v>0</v>
      </c>
      <c r="N6" s="4" t="inlineStr">
        <is>
          <t>İK / Amir Onayında</t>
        </is>
      </c>
    </row>
    <row r="7">
      <c r="A7" s="4" t="n">
        <v>171</v>
      </c>
      <c r="B7" s="4" t="inlineStr">
        <is>
          <t>21.10.2026</t>
        </is>
      </c>
      <c r="C7" s="4" t="inlineStr">
        <is>
          <t>Çarşamba</t>
        </is>
      </c>
      <c r="D7" s="4" t="inlineStr">
        <is>
          <t>00208</t>
        </is>
      </c>
      <c r="E7" s="4" t="inlineStr">
        <is>
          <t>00208</t>
        </is>
      </c>
      <c r="F7" s="29" t="inlineStr">
        <is>
          <t>ANIL DEMİRTAŞ</t>
        </is>
      </c>
      <c r="G7" s="29" t="inlineStr">
        <is>
          <t>KONSERVE ÜRETİM ELEMANI</t>
        </is>
      </c>
      <c r="H7" s="4" t="inlineStr">
        <is>
          <t>15:46</t>
        </is>
      </c>
      <c r="I7" s="4" t="inlineStr">
        <is>
          <t>-</t>
        </is>
      </c>
      <c r="J7" s="29" t="inlineStr">
        <is>
          <t>15:46</t>
        </is>
      </c>
      <c r="K7" s="30" t="inlineStr">
        <is>
          <t>ÇIKIŞ_YOK</t>
        </is>
      </c>
      <c r="L7" s="8" t="n">
        <v>7.5</v>
      </c>
      <c r="M7" s="8" t="n">
        <v>0</v>
      </c>
      <c r="N7" s="4" t="inlineStr">
        <is>
          <t>İK / Amir Onayında</t>
        </is>
      </c>
    </row>
    <row r="8">
      <c r="A8" s="4" t="n">
        <v>217</v>
      </c>
      <c r="B8" s="4" t="inlineStr">
        <is>
          <t>8.10.2026</t>
        </is>
      </c>
      <c r="C8" s="4" t="inlineStr">
        <is>
          <t>Perşembe</t>
        </is>
      </c>
      <c r="D8" s="4" t="inlineStr">
        <is>
          <t>01525</t>
        </is>
      </c>
      <c r="E8" s="4" t="inlineStr">
        <is>
          <t>01525</t>
        </is>
      </c>
      <c r="F8" s="29" t="inlineStr">
        <is>
          <t>ARZU BAYRAM</t>
        </is>
      </c>
      <c r="G8" s="29" t="inlineStr">
        <is>
          <t>DİĞER</t>
        </is>
      </c>
      <c r="H8" s="4" t="inlineStr">
        <is>
          <t>-</t>
        </is>
      </c>
      <c r="I8" s="4" t="inlineStr">
        <is>
          <t>03:37</t>
        </is>
      </c>
      <c r="J8" s="29" t="inlineStr">
        <is>
          <t>03:37</t>
        </is>
      </c>
      <c r="K8" s="30" t="inlineStr">
        <is>
          <t>GİRİŞ_YOK_AKŞAM</t>
        </is>
      </c>
      <c r="L8" s="8" t="n">
        <v>18</v>
      </c>
      <c r="M8" s="8" t="n">
        <v>10.5</v>
      </c>
      <c r="N8" s="4" t="inlineStr">
        <is>
          <t>İK / Amir Onayında</t>
        </is>
      </c>
    </row>
    <row r="9">
      <c r="A9" s="4" t="n">
        <v>252</v>
      </c>
      <c r="B9" s="4" t="inlineStr">
        <is>
          <t>3.10.2026</t>
        </is>
      </c>
      <c r="C9" s="4" t="inlineStr">
        <is>
          <t>Cumartesi</t>
        </is>
      </c>
      <c r="D9" s="4" t="inlineStr">
        <is>
          <t>01391</t>
        </is>
      </c>
      <c r="E9" s="4" t="inlineStr">
        <is>
          <t>01391</t>
        </is>
      </c>
      <c r="F9" s="29" t="inlineStr">
        <is>
          <t>ATAKAN TORUN</t>
        </is>
      </c>
      <c r="G9" s="29" t="inlineStr">
        <is>
          <t>DİĞER</t>
        </is>
      </c>
      <c r="H9" s="4" t="inlineStr">
        <is>
          <t>19:52</t>
        </is>
      </c>
      <c r="I9" s="4" t="inlineStr">
        <is>
          <t>08:02</t>
        </is>
      </c>
      <c r="J9" s="29" t="inlineStr">
        <is>
          <t>08:02, 19:52, 08:00</t>
        </is>
      </c>
      <c r="K9" s="30" t="inlineStr">
        <is>
          <t>ÇOKLU_BASIM_MIN_MAX</t>
        </is>
      </c>
      <c r="L9" s="8" t="n">
        <v>10.5</v>
      </c>
      <c r="M9" s="8" t="n">
        <v>3</v>
      </c>
      <c r="N9" s="4" t="inlineStr">
        <is>
          <t>İK / Amir Onayında</t>
        </is>
      </c>
    </row>
    <row r="10">
      <c r="A10" s="4" t="n">
        <v>263</v>
      </c>
      <c r="B10" s="4" t="inlineStr">
        <is>
          <t>2.10.2026</t>
        </is>
      </c>
      <c r="C10" s="4" t="inlineStr">
        <is>
          <t>Cuma</t>
        </is>
      </c>
      <c r="D10" s="4" t="inlineStr">
        <is>
          <t>00211</t>
        </is>
      </c>
      <c r="E10" s="4" t="inlineStr">
        <is>
          <t>00211</t>
        </is>
      </c>
      <c r="F10" s="29" t="inlineStr">
        <is>
          <t>AYÇA SEZER</t>
        </is>
      </c>
      <c r="G10" s="29" t="inlineStr">
        <is>
          <t>KALİTE</t>
        </is>
      </c>
      <c r="H10" s="4" t="inlineStr">
        <is>
          <t>07:43</t>
        </is>
      </c>
      <c r="I10" s="4" t="inlineStr">
        <is>
          <t>08:11</t>
        </is>
      </c>
      <c r="J10" s="29" t="inlineStr">
        <is>
          <t>07:43, 12:36, 19:24, 08:11</t>
        </is>
      </c>
      <c r="K10" s="30" t="inlineStr">
        <is>
          <t>PARÇALI_ÇALIŞMA</t>
        </is>
      </c>
      <c r="L10" s="8" t="n">
        <v>15</v>
      </c>
      <c r="M10" s="8" t="n">
        <v>7.5</v>
      </c>
      <c r="N10" s="4" t="inlineStr">
        <is>
          <t>İK / Amir Onayında</t>
        </is>
      </c>
    </row>
    <row r="11">
      <c r="A11" s="4" t="n">
        <v>277</v>
      </c>
      <c r="B11" s="4" t="inlineStr">
        <is>
          <t>2.10.2026</t>
        </is>
      </c>
      <c r="C11" s="4" t="inlineStr">
        <is>
          <t>Cuma</t>
        </is>
      </c>
      <c r="D11" s="4" t="inlineStr">
        <is>
          <t>01385</t>
        </is>
      </c>
      <c r="E11" s="4" t="inlineStr">
        <is>
          <t>01385</t>
        </is>
      </c>
      <c r="F11" s="29" t="inlineStr">
        <is>
          <t>AYÇA KARAMAN</t>
        </is>
      </c>
      <c r="G11" s="29" t="inlineStr">
        <is>
          <t>HALİL DİĞRENCİ</t>
        </is>
      </c>
      <c r="H11" s="4" t="inlineStr">
        <is>
          <t>07:50</t>
        </is>
      </c>
      <c r="I11" s="4" t="inlineStr">
        <is>
          <t>-</t>
        </is>
      </c>
      <c r="J11" s="29" t="inlineStr">
        <is>
          <t>07:50</t>
        </is>
      </c>
      <c r="K11" s="30" t="inlineStr">
        <is>
          <t>ÇIKIŞ_YOK</t>
        </is>
      </c>
      <c r="L11" s="8" t="n">
        <v>7.5</v>
      </c>
      <c r="M11" s="8" t="n">
        <v>0</v>
      </c>
      <c r="N11" s="4" t="inlineStr">
        <is>
          <t>İK / Amir Onayında</t>
        </is>
      </c>
    </row>
    <row r="12">
      <c r="A12" s="4" t="n">
        <v>292</v>
      </c>
      <c r="B12" s="4" t="inlineStr">
        <is>
          <t>2.10.2026</t>
        </is>
      </c>
      <c r="C12" s="4" t="inlineStr">
        <is>
          <t>Cuma</t>
        </is>
      </c>
      <c r="D12" s="4" t="inlineStr">
        <is>
          <t>01392</t>
        </is>
      </c>
      <c r="E12" s="4" t="inlineStr">
        <is>
          <t>01392</t>
        </is>
      </c>
      <c r="F12" s="29" t="inlineStr">
        <is>
          <t>AYLA BÇAKIR</t>
        </is>
      </c>
      <c r="G12" s="29" t="inlineStr">
        <is>
          <t>DİĞER</t>
        </is>
      </c>
      <c r="H12" s="4" t="inlineStr">
        <is>
          <t>19:48</t>
        </is>
      </c>
      <c r="I12" s="4" t="inlineStr">
        <is>
          <t>07:58</t>
        </is>
      </c>
      <c r="J12" s="29" t="inlineStr">
        <is>
          <t>07:53, 19:48, 07:58</t>
        </is>
      </c>
      <c r="K12" s="30" t="inlineStr">
        <is>
          <t>ÇOKLU_BASIM_MIN_MAX</t>
        </is>
      </c>
      <c r="L12" s="8" t="n">
        <v>10.5</v>
      </c>
      <c r="M12" s="8" t="n">
        <v>3</v>
      </c>
      <c r="N12" s="4" t="inlineStr">
        <is>
          <t>İK / Amir Onayında</t>
        </is>
      </c>
    </row>
    <row r="13">
      <c r="A13" s="4" t="n">
        <v>374</v>
      </c>
      <c r="B13" s="4" t="inlineStr">
        <is>
          <t>21.10.2026</t>
        </is>
      </c>
      <c r="C13" s="4" t="inlineStr">
        <is>
          <t>Çarşamba</t>
        </is>
      </c>
      <c r="D13" s="4" t="inlineStr">
        <is>
          <t>00021</t>
        </is>
      </c>
      <c r="E13" s="4" t="inlineStr">
        <is>
          <t>00021</t>
        </is>
      </c>
      <c r="F13" s="29" t="inlineStr">
        <is>
          <t>AYŞE KURT</t>
        </is>
      </c>
      <c r="G13" s="29" t="inlineStr">
        <is>
          <t>ÜRETİM</t>
        </is>
      </c>
      <c r="H13" s="4" t="inlineStr">
        <is>
          <t>15:53</t>
        </is>
      </c>
      <c r="I13" s="4" t="inlineStr">
        <is>
          <t>-</t>
        </is>
      </c>
      <c r="J13" s="29" t="inlineStr">
        <is>
          <t>15:53</t>
        </is>
      </c>
      <c r="K13" s="30" t="inlineStr">
        <is>
          <t>ÇIKIŞ_YOK</t>
        </is>
      </c>
      <c r="L13" s="8" t="n">
        <v>7.5</v>
      </c>
      <c r="M13" s="8" t="n">
        <v>0</v>
      </c>
      <c r="N13" s="4" t="inlineStr">
        <is>
          <t>İK / Amir Onayında</t>
        </is>
      </c>
    </row>
    <row r="14">
      <c r="A14" s="4" t="n">
        <v>453</v>
      </c>
      <c r="B14" s="4" t="inlineStr">
        <is>
          <t>2.10.2026</t>
        </is>
      </c>
      <c r="C14" s="4" t="inlineStr">
        <is>
          <t>Cuma</t>
        </is>
      </c>
      <c r="D14" s="4" t="inlineStr">
        <is>
          <t>00902</t>
        </is>
      </c>
      <c r="E14" s="4" t="inlineStr">
        <is>
          <t>00902</t>
        </is>
      </c>
      <c r="F14" s="29" t="inlineStr">
        <is>
          <t>BERK BERBER</t>
        </is>
      </c>
      <c r="G14" s="29" t="inlineStr">
        <is>
          <t>ÇEVRE MÜHENDİSİ</t>
        </is>
      </c>
      <c r="H14" s="4" t="inlineStr">
        <is>
          <t>08:05</t>
        </is>
      </c>
      <c r="I14" s="4" t="inlineStr">
        <is>
          <t>17:40</t>
        </is>
      </c>
      <c r="J14" s="29" t="inlineStr">
        <is>
          <t>04:06, 08:05, 17:40</t>
        </is>
      </c>
      <c r="K14" s="30" t="inlineStr">
        <is>
          <t>ÇOKLU_BASIM_MIN_MAX</t>
        </is>
      </c>
      <c r="L14" s="8" t="n">
        <v>8</v>
      </c>
      <c r="M14" s="8" t="n">
        <v>0.5</v>
      </c>
      <c r="N14" s="4" t="inlineStr">
        <is>
          <t>İK / Amir Onayında</t>
        </is>
      </c>
    </row>
    <row r="15">
      <c r="A15" s="4" t="n">
        <v>454</v>
      </c>
      <c r="B15" s="4" t="inlineStr">
        <is>
          <t>3.10.2026</t>
        </is>
      </c>
      <c r="C15" s="4" t="inlineStr">
        <is>
          <t>Cumartesi</t>
        </is>
      </c>
      <c r="D15" s="4" t="inlineStr">
        <is>
          <t>00902</t>
        </is>
      </c>
      <c r="E15" s="4" t="inlineStr">
        <is>
          <t>00902</t>
        </is>
      </c>
      <c r="F15" s="29" t="inlineStr">
        <is>
          <t>BERK BERBER</t>
        </is>
      </c>
      <c r="G15" s="29" t="inlineStr">
        <is>
          <t>ÇEVRE MÜHENDİSİ</t>
        </is>
      </c>
      <c r="H15" s="4" t="inlineStr">
        <is>
          <t>13:55</t>
        </is>
      </c>
      <c r="I15" s="4" t="inlineStr">
        <is>
          <t>17:33</t>
        </is>
      </c>
      <c r="J15" s="29" t="inlineStr">
        <is>
          <t>10:08, 13:55, 17:33</t>
        </is>
      </c>
      <c r="K15" s="30" t="inlineStr">
        <is>
          <t>ÇOKLU_BASIM_MIN_MAX</t>
        </is>
      </c>
      <c r="L15" s="8" t="n">
        <v>3</v>
      </c>
      <c r="M15" s="8" t="n">
        <v>0</v>
      </c>
      <c r="N15" s="4" t="inlineStr">
        <is>
          <t>İK / Amir Onayında</t>
        </is>
      </c>
    </row>
    <row r="16">
      <c r="A16" s="4" t="n">
        <v>457</v>
      </c>
      <c r="B16" s="4" t="inlineStr">
        <is>
          <t>7.10.2026</t>
        </is>
      </c>
      <c r="C16" s="4" t="inlineStr">
        <is>
          <t>Çarşamba</t>
        </is>
      </c>
      <c r="D16" s="4" t="inlineStr">
        <is>
          <t>00902</t>
        </is>
      </c>
      <c r="E16" s="4" t="inlineStr">
        <is>
          <t>00902</t>
        </is>
      </c>
      <c r="F16" s="29" t="inlineStr">
        <is>
          <t>BERK BERBER</t>
        </is>
      </c>
      <c r="G16" s="29" t="inlineStr">
        <is>
          <t>ÇEVRE MÜHENDİSİ</t>
        </is>
      </c>
      <c r="H16" s="4" t="inlineStr">
        <is>
          <t>07:44</t>
        </is>
      </c>
      <c r="I16" s="4" t="inlineStr">
        <is>
          <t>-</t>
        </is>
      </c>
      <c r="J16" s="29" t="inlineStr">
        <is>
          <t>07:44</t>
        </is>
      </c>
      <c r="K16" s="30" t="inlineStr">
        <is>
          <t>ÇIKIŞ_YOK</t>
        </is>
      </c>
      <c r="L16" s="8" t="n">
        <v>7.5</v>
      </c>
      <c r="M16" s="8" t="n">
        <v>0</v>
      </c>
      <c r="N16" s="4" t="inlineStr">
        <is>
          <t>İK / Amir Onayında</t>
        </is>
      </c>
    </row>
    <row r="17">
      <c r="A17" s="4" t="n">
        <v>458</v>
      </c>
      <c r="B17" s="4" t="inlineStr">
        <is>
          <t>8.10.2026</t>
        </is>
      </c>
      <c r="C17" s="4" t="inlineStr">
        <is>
          <t>Perşembe</t>
        </is>
      </c>
      <c r="D17" s="4" t="inlineStr">
        <is>
          <t>00902</t>
        </is>
      </c>
      <c r="E17" s="4" t="inlineStr">
        <is>
          <t>00902</t>
        </is>
      </c>
      <c r="F17" s="29" t="inlineStr">
        <is>
          <t>BERK BERBER</t>
        </is>
      </c>
      <c r="G17" s="29" t="inlineStr">
        <is>
          <t>ÇEVRE MÜHENDİSİ</t>
        </is>
      </c>
      <c r="H17" s="4" t="inlineStr">
        <is>
          <t>09:51</t>
        </is>
      </c>
      <c r="I17" s="4" t="inlineStr">
        <is>
          <t>17:10</t>
        </is>
      </c>
      <c r="J17" s="29" t="inlineStr">
        <is>
          <t>09:51, 09:52, 17:10</t>
        </is>
      </c>
      <c r="K17" s="30" t="inlineStr">
        <is>
          <t>ÇOKLU_BASIM_MIN_MAX</t>
        </is>
      </c>
      <c r="L17" s="8" t="n">
        <v>0</v>
      </c>
      <c r="M17" s="8" t="n">
        <v>0</v>
      </c>
      <c r="N17" s="4" t="inlineStr">
        <is>
          <t>İK / Amir Onayında</t>
        </is>
      </c>
    </row>
    <row r="18">
      <c r="A18" s="4" t="n">
        <v>459</v>
      </c>
      <c r="B18" s="4" t="inlineStr">
        <is>
          <t>9.10.2026</t>
        </is>
      </c>
      <c r="C18" s="4" t="inlineStr">
        <is>
          <t>Cuma</t>
        </is>
      </c>
      <c r="D18" s="4" t="inlineStr">
        <is>
          <t>00902</t>
        </is>
      </c>
      <c r="E18" s="4" t="inlineStr">
        <is>
          <t>00902</t>
        </is>
      </c>
      <c r="F18" s="29" t="inlineStr">
        <is>
          <t>BERK BERBER</t>
        </is>
      </c>
      <c r="G18" s="29" t="inlineStr">
        <is>
          <t>ÇEVRE MÜHENDİSİ</t>
        </is>
      </c>
      <c r="H18" s="4" t="inlineStr">
        <is>
          <t>-</t>
        </is>
      </c>
      <c r="I18" s="4" t="inlineStr">
        <is>
          <t>17:07</t>
        </is>
      </c>
      <c r="J18" s="29" t="inlineStr">
        <is>
          <t>17:07</t>
        </is>
      </c>
      <c r="K18" s="30" t="inlineStr">
        <is>
          <t>GİRİŞ_YOK_AKŞAM</t>
        </is>
      </c>
      <c r="L18" s="8" t="n">
        <v>7.5</v>
      </c>
      <c r="M18" s="8" t="n">
        <v>0</v>
      </c>
      <c r="N18" s="4" t="inlineStr">
        <is>
          <t>İK / Amir Onayında</t>
        </is>
      </c>
    </row>
    <row r="19">
      <c r="A19" s="4" t="n">
        <v>460</v>
      </c>
      <c r="B19" s="4" t="inlineStr">
        <is>
          <t>10.10.2026</t>
        </is>
      </c>
      <c r="C19" s="4" t="inlineStr">
        <is>
          <t>Cumartesi</t>
        </is>
      </c>
      <c r="D19" s="4" t="inlineStr">
        <is>
          <t>00902</t>
        </is>
      </c>
      <c r="E19" s="4" t="inlineStr">
        <is>
          <t>00902</t>
        </is>
      </c>
      <c r="F19" s="29" t="inlineStr">
        <is>
          <t>BERK BERBER</t>
        </is>
      </c>
      <c r="G19" s="29" t="inlineStr">
        <is>
          <t>ÇEVRE MÜHENDİSİ</t>
        </is>
      </c>
      <c r="H19" s="4" t="inlineStr">
        <is>
          <t>-</t>
        </is>
      </c>
      <c r="I19" s="4" t="inlineStr">
        <is>
          <t>18:08</t>
        </is>
      </c>
      <c r="J19" s="29" t="inlineStr">
        <is>
          <t>18:08</t>
        </is>
      </c>
      <c r="K19" s="30" t="inlineStr">
        <is>
          <t>GİRİŞ_YOK_AKŞAM</t>
        </is>
      </c>
      <c r="L19" s="8" t="n">
        <v>8.5</v>
      </c>
      <c r="M19" s="8" t="n">
        <v>1</v>
      </c>
      <c r="N19" s="4" t="inlineStr">
        <is>
          <t>İK / Amir Onayında</t>
        </is>
      </c>
    </row>
    <row r="20">
      <c r="A20" s="4" t="n">
        <v>464</v>
      </c>
      <c r="B20" s="4" t="inlineStr">
        <is>
          <t>15.10.2026</t>
        </is>
      </c>
      <c r="C20" s="4" t="inlineStr">
        <is>
          <t>Perşembe</t>
        </is>
      </c>
      <c r="D20" s="4" t="inlineStr">
        <is>
          <t>00902</t>
        </is>
      </c>
      <c r="E20" s="4" t="inlineStr">
        <is>
          <t>00902</t>
        </is>
      </c>
      <c r="F20" s="29" t="inlineStr">
        <is>
          <t>BERK BERBER</t>
        </is>
      </c>
      <c r="G20" s="29" t="inlineStr">
        <is>
          <t>ÇEVRE MÜHENDİSİ</t>
        </is>
      </c>
      <c r="H20" s="4" t="inlineStr">
        <is>
          <t>-</t>
        </is>
      </c>
      <c r="I20" s="4" t="inlineStr">
        <is>
          <t>17:04</t>
        </is>
      </c>
      <c r="J20" s="29" t="inlineStr">
        <is>
          <t>17:04</t>
        </is>
      </c>
      <c r="K20" s="30" t="inlineStr">
        <is>
          <t>GİRİŞ_YOK_AKŞAM</t>
        </is>
      </c>
      <c r="L20" s="8" t="n">
        <v>7.5</v>
      </c>
      <c r="M20" s="8" t="n">
        <v>0</v>
      </c>
      <c r="N20" s="4" t="inlineStr">
        <is>
          <t>İK / Amir Onayında</t>
        </is>
      </c>
    </row>
    <row r="21">
      <c r="A21" s="4" t="n">
        <v>465</v>
      </c>
      <c r="B21" s="4" t="inlineStr">
        <is>
          <t>17.10.2026</t>
        </is>
      </c>
      <c r="C21" s="4" t="inlineStr">
        <is>
          <t>Cumartesi</t>
        </is>
      </c>
      <c r="D21" s="4" t="inlineStr">
        <is>
          <t>00902</t>
        </is>
      </c>
      <c r="E21" s="4" t="inlineStr">
        <is>
          <t>00902</t>
        </is>
      </c>
      <c r="F21" s="29" t="inlineStr">
        <is>
          <t>BERK BERBER</t>
        </is>
      </c>
      <c r="G21" s="29" t="inlineStr">
        <is>
          <t>ÇEVRE MÜHENDİSİ</t>
        </is>
      </c>
      <c r="H21" s="4" t="inlineStr">
        <is>
          <t>01:09</t>
        </is>
      </c>
      <c r="I21" s="4" t="inlineStr">
        <is>
          <t>17:49</t>
        </is>
      </c>
      <c r="J21" s="29" t="inlineStr">
        <is>
          <t>01:09, 01:10, 17:49</t>
        </is>
      </c>
      <c r="K21" s="30" t="inlineStr">
        <is>
          <t>ÇOKLU_BASIM_MIN_MAX</t>
        </is>
      </c>
      <c r="L21" s="8" t="n">
        <v>14.5</v>
      </c>
      <c r="M21" s="8" t="n">
        <v>8</v>
      </c>
      <c r="N21" s="4" t="inlineStr">
        <is>
          <t>İK / Amir Onayında</t>
        </is>
      </c>
    </row>
    <row r="22">
      <c r="A22" s="4" t="n">
        <v>466</v>
      </c>
      <c r="B22" s="4" t="inlineStr">
        <is>
          <t>19.10.2026</t>
        </is>
      </c>
      <c r="C22" s="4" t="inlineStr">
        <is>
          <t>Pazartesi</t>
        </is>
      </c>
      <c r="D22" s="4" t="inlineStr">
        <is>
          <t>00902</t>
        </is>
      </c>
      <c r="E22" s="4" t="inlineStr">
        <is>
          <t>00902</t>
        </is>
      </c>
      <c r="F22" s="29" t="inlineStr">
        <is>
          <t>BERK BERBER</t>
        </is>
      </c>
      <c r="G22" s="29" t="inlineStr">
        <is>
          <t>ÇEVRE MÜHENDİSİ</t>
        </is>
      </c>
      <c r="H22" s="4" t="inlineStr">
        <is>
          <t>08:16</t>
        </is>
      </c>
      <c r="I22" s="4" t="inlineStr">
        <is>
          <t>18:57</t>
        </is>
      </c>
      <c r="J22" s="29" t="inlineStr">
        <is>
          <t>08:16, 18:19, 18:56, 18:57</t>
        </is>
      </c>
      <c r="K22" s="30" t="inlineStr">
        <is>
          <t>ÇOKLU_BASIM_MIN_MAX</t>
        </is>
      </c>
      <c r="L22" s="8" t="n">
        <v>9.5</v>
      </c>
      <c r="M22" s="8" t="n">
        <v>2</v>
      </c>
      <c r="N22" s="4" t="inlineStr">
        <is>
          <t>İK / Amir Onayında</t>
        </is>
      </c>
    </row>
    <row r="23">
      <c r="A23" s="4" t="n">
        <v>531</v>
      </c>
      <c r="B23" s="4" t="inlineStr">
        <is>
          <t>13.10.2026</t>
        </is>
      </c>
      <c r="C23" s="4" t="inlineStr">
        <is>
          <t>Salı</t>
        </is>
      </c>
      <c r="D23" s="4" t="inlineStr">
        <is>
          <t>01170</t>
        </is>
      </c>
      <c r="E23" s="4" t="inlineStr">
        <is>
          <t>01170</t>
        </is>
      </c>
      <c r="F23" s="29" t="inlineStr">
        <is>
          <t>BUKET DÖNMEZ</t>
        </is>
      </c>
      <c r="G23" s="29" t="inlineStr">
        <is>
          <t>KALİTE</t>
        </is>
      </c>
      <c r="H23" s="4" t="inlineStr">
        <is>
          <t>08:04</t>
        </is>
      </c>
      <c r="I23" s="4" t="inlineStr">
        <is>
          <t>-</t>
        </is>
      </c>
      <c r="J23" s="29" t="inlineStr">
        <is>
          <t>08:04</t>
        </is>
      </c>
      <c r="K23" s="30" t="inlineStr">
        <is>
          <t>ÇIKIŞ_YOK</t>
        </is>
      </c>
      <c r="L23" s="8" t="n">
        <v>7.5</v>
      </c>
      <c r="M23" s="8" t="n">
        <v>0</v>
      </c>
      <c r="N23" s="4" t="inlineStr">
        <is>
          <t>İK / Amir Onayında</t>
        </is>
      </c>
    </row>
    <row r="24">
      <c r="A24" s="4" t="n">
        <v>582</v>
      </c>
      <c r="B24" s="4" t="inlineStr">
        <is>
          <t>3.10.2026</t>
        </is>
      </c>
      <c r="C24" s="4" t="inlineStr">
        <is>
          <t>Cumartesi</t>
        </is>
      </c>
      <c r="D24" s="4" t="inlineStr">
        <is>
          <t>01396</t>
        </is>
      </c>
      <c r="E24" s="4" t="inlineStr">
        <is>
          <t>01396</t>
        </is>
      </c>
      <c r="F24" s="29" t="inlineStr">
        <is>
          <t>CEMAL BULUT</t>
        </is>
      </c>
      <c r="G24" s="29" t="inlineStr">
        <is>
          <t>DİĞER</t>
        </is>
      </c>
      <c r="H24" s="4" t="inlineStr">
        <is>
          <t>19:51</t>
        </is>
      </c>
      <c r="I24" s="4" t="inlineStr">
        <is>
          <t>08:06</t>
        </is>
      </c>
      <c r="J24" s="29" t="inlineStr">
        <is>
          <t>08:06, 19:51, 08:00</t>
        </is>
      </c>
      <c r="K24" s="30" t="inlineStr">
        <is>
          <t>ÇOKLU_BASIM_MIN_MAX</t>
        </is>
      </c>
      <c r="L24" s="8" t="n">
        <v>10.5</v>
      </c>
      <c r="M24" s="8" t="n">
        <v>3</v>
      </c>
      <c r="N24" s="4" t="inlineStr">
        <is>
          <t>İK / Amir Onayında</t>
        </is>
      </c>
    </row>
    <row r="25">
      <c r="A25" s="4" t="n">
        <v>592</v>
      </c>
      <c r="B25" s="4" t="inlineStr">
        <is>
          <t>3.10.2026</t>
        </is>
      </c>
      <c r="C25" s="4" t="inlineStr">
        <is>
          <t>Cumartesi</t>
        </is>
      </c>
      <c r="D25" s="4" t="inlineStr">
        <is>
          <t>00031</t>
        </is>
      </c>
      <c r="E25" s="4" t="inlineStr">
        <is>
          <t>00031</t>
        </is>
      </c>
      <c r="F25" s="29" t="inlineStr">
        <is>
          <t>CEMALETTİN BEDİZCİ</t>
        </is>
      </c>
      <c r="G25" s="29" t="inlineStr">
        <is>
          <t>BAKIM</t>
        </is>
      </c>
      <c r="H25" s="4" t="inlineStr">
        <is>
          <t>07:50</t>
        </is>
      </c>
      <c r="I25" s="4" t="inlineStr">
        <is>
          <t>-</t>
        </is>
      </c>
      <c r="J25" s="29" t="inlineStr">
        <is>
          <t>07:50</t>
        </is>
      </c>
      <c r="K25" s="30" t="inlineStr">
        <is>
          <t>ÇIKIŞ_YOK</t>
        </is>
      </c>
      <c r="L25" s="8" t="n">
        <v>7.5</v>
      </c>
      <c r="M25" s="8" t="n">
        <v>0</v>
      </c>
      <c r="N25" s="4" t="inlineStr">
        <is>
          <t>İK / Amir Onayında</t>
        </is>
      </c>
    </row>
    <row r="26">
      <c r="A26" s="4" t="n">
        <v>630</v>
      </c>
      <c r="B26" s="4" t="inlineStr">
        <is>
          <t>6.10.2026</t>
        </is>
      </c>
      <c r="C26" s="4" t="inlineStr">
        <is>
          <t>Salı</t>
        </is>
      </c>
      <c r="D26" s="4" t="inlineStr">
        <is>
          <t>01397</t>
        </is>
      </c>
      <c r="E26" s="4" t="inlineStr">
        <is>
          <t>01397</t>
        </is>
      </c>
      <c r="F26" s="29" t="inlineStr">
        <is>
          <t>CEMİLE TER</t>
        </is>
      </c>
      <c r="G26" s="29" t="inlineStr">
        <is>
          <t>HALİL DİĞRENCİ</t>
        </is>
      </c>
      <c r="H26" s="4" t="inlineStr">
        <is>
          <t>07:58</t>
        </is>
      </c>
      <c r="I26" s="4" t="inlineStr">
        <is>
          <t>20:00</t>
        </is>
      </c>
      <c r="J26" s="29" t="inlineStr">
        <is>
          <t>07:58, 19:59, 20:00</t>
        </is>
      </c>
      <c r="K26" s="30" t="inlineStr">
        <is>
          <t>ÇOKLU_BASIM_MIN_MAX</t>
        </is>
      </c>
      <c r="L26" s="8" t="n">
        <v>0</v>
      </c>
      <c r="M26" s="8" t="n">
        <v>0</v>
      </c>
      <c r="N26" s="4" t="inlineStr">
        <is>
          <t>İK / Amir Onayında</t>
        </is>
      </c>
    </row>
    <row r="27">
      <c r="A27" s="4" t="n">
        <v>639</v>
      </c>
      <c r="B27" s="4" t="inlineStr">
        <is>
          <t>20.10.2026</t>
        </is>
      </c>
      <c r="C27" s="4" t="inlineStr">
        <is>
          <t>Salı</t>
        </is>
      </c>
      <c r="D27" s="4" t="inlineStr">
        <is>
          <t>01397</t>
        </is>
      </c>
      <c r="E27" s="4" t="inlineStr">
        <is>
          <t>01397</t>
        </is>
      </c>
      <c r="F27" s="29" t="inlineStr">
        <is>
          <t>CEMİLE TER</t>
        </is>
      </c>
      <c r="G27" s="29" t="inlineStr">
        <is>
          <t>HALİL DİĞRENCİ</t>
        </is>
      </c>
      <c r="H27" s="4" t="inlineStr">
        <is>
          <t>-</t>
        </is>
      </c>
      <c r="I27" s="4" t="inlineStr">
        <is>
          <t>17:04</t>
        </is>
      </c>
      <c r="J27" s="29" t="inlineStr">
        <is>
          <t>17:04</t>
        </is>
      </c>
      <c r="K27" s="30" t="inlineStr">
        <is>
          <t>GİRİŞ_YOK_AKŞAM</t>
        </is>
      </c>
      <c r="L27" s="8" t="n">
        <v>7.5</v>
      </c>
      <c r="M27" s="8" t="n">
        <v>0</v>
      </c>
      <c r="N27" s="4" t="inlineStr">
        <is>
          <t>İK / Amir Onayında</t>
        </is>
      </c>
    </row>
    <row r="28">
      <c r="A28" s="4" t="n">
        <v>658</v>
      </c>
      <c r="B28" s="4" t="inlineStr">
        <is>
          <t>21.10.2026</t>
        </is>
      </c>
      <c r="C28" s="4" t="inlineStr">
        <is>
          <t>Çarşamba</t>
        </is>
      </c>
      <c r="D28" s="4" t="inlineStr">
        <is>
          <t>00320</t>
        </is>
      </c>
      <c r="E28" s="4" t="inlineStr">
        <is>
          <t>00320</t>
        </is>
      </c>
      <c r="F28" s="29" t="inlineStr">
        <is>
          <t>CEYDA ÖZ</t>
        </is>
      </c>
      <c r="G28" s="29" t="inlineStr">
        <is>
          <t>KALİTE</t>
        </is>
      </c>
      <c r="H28" s="4" t="inlineStr">
        <is>
          <t>15:50</t>
        </is>
      </c>
      <c r="I28" s="4" t="inlineStr">
        <is>
          <t>-</t>
        </is>
      </c>
      <c r="J28" s="29" t="inlineStr">
        <is>
          <t>15:50</t>
        </is>
      </c>
      <c r="K28" s="30" t="inlineStr">
        <is>
          <t>ÇIKIŞ_YOK</t>
        </is>
      </c>
      <c r="L28" s="8" t="n">
        <v>7.5</v>
      </c>
      <c r="M28" s="8" t="n">
        <v>0</v>
      </c>
      <c r="N28" s="4" t="inlineStr">
        <is>
          <t>İK / Amir Onayında</t>
        </is>
      </c>
    </row>
    <row r="29">
      <c r="A29" s="4" t="n">
        <v>679</v>
      </c>
      <c r="B29" s="4" t="inlineStr">
        <is>
          <t>6.10.2026</t>
        </is>
      </c>
      <c r="C29" s="4" t="inlineStr">
        <is>
          <t>Salı</t>
        </is>
      </c>
      <c r="D29" s="4" t="inlineStr">
        <is>
          <t>00943</t>
        </is>
      </c>
      <c r="E29" s="4" t="inlineStr">
        <is>
          <t>00943</t>
        </is>
      </c>
      <c r="F29" s="29" t="inlineStr">
        <is>
          <t>CİHAN YILMAZ</t>
        </is>
      </c>
      <c r="G29" s="29" t="inlineStr">
        <is>
          <t>BALIK</t>
        </is>
      </c>
      <c r="H29" s="4" t="inlineStr">
        <is>
          <t>07:58</t>
        </is>
      </c>
      <c r="I29" s="4" t="inlineStr">
        <is>
          <t>07:56</t>
        </is>
      </c>
      <c r="J29" s="29" t="inlineStr">
        <is>
          <t>07:58, 17:10, 22:17, 07:56</t>
        </is>
      </c>
      <c r="K29" s="30" t="inlineStr">
        <is>
          <t>PARÇALI_ÇALIŞMA</t>
        </is>
      </c>
      <c r="L29" s="8" t="n">
        <v>15</v>
      </c>
      <c r="M29" s="8" t="n">
        <v>7.5</v>
      </c>
      <c r="N29" s="4" t="inlineStr">
        <is>
          <t>İK / Amir Onayında</t>
        </is>
      </c>
    </row>
    <row r="30">
      <c r="A30" s="4" t="n">
        <v>689</v>
      </c>
      <c r="B30" s="4" t="inlineStr">
        <is>
          <t>18.10.2026</t>
        </is>
      </c>
      <c r="C30" s="4" t="inlineStr">
        <is>
          <t>Pazar</t>
        </is>
      </c>
      <c r="D30" s="4" t="inlineStr">
        <is>
          <t>00943</t>
        </is>
      </c>
      <c r="E30" s="4" t="inlineStr">
        <is>
          <t>00943</t>
        </is>
      </c>
      <c r="F30" s="29" t="inlineStr">
        <is>
          <t>CİHAN YILMAZ</t>
        </is>
      </c>
      <c r="G30" s="29" t="inlineStr">
        <is>
          <t>BALIK</t>
        </is>
      </c>
      <c r="H30" s="4" t="inlineStr">
        <is>
          <t>07:42</t>
        </is>
      </c>
      <c r="I30" s="4" t="inlineStr">
        <is>
          <t>08:02</t>
        </is>
      </c>
      <c r="J30" s="29" t="inlineStr">
        <is>
          <t>07:42, 17:28, 19:53, 08:02</t>
        </is>
      </c>
      <c r="K30" s="30" t="inlineStr">
        <is>
          <t>PARÇALI_ÇALIŞMA</t>
        </is>
      </c>
      <c r="L30" s="8" t="n">
        <v>18.5</v>
      </c>
      <c r="M30" s="8" t="n">
        <v>11</v>
      </c>
      <c r="N30" s="4" t="inlineStr">
        <is>
          <t>İK / Amir Onayında</t>
        </is>
      </c>
    </row>
    <row r="31">
      <c r="A31" s="4" t="n">
        <v>692</v>
      </c>
      <c r="B31" s="4" t="inlineStr">
        <is>
          <t>21.10.2026</t>
        </is>
      </c>
      <c r="C31" s="4" t="inlineStr">
        <is>
          <t>Çarşamba</t>
        </is>
      </c>
      <c r="D31" s="4" t="inlineStr">
        <is>
          <t>00943</t>
        </is>
      </c>
      <c r="E31" s="4" t="inlineStr">
        <is>
          <t>00943</t>
        </is>
      </c>
      <c r="F31" s="29" t="inlineStr">
        <is>
          <t>CİHAN YILMAZ</t>
        </is>
      </c>
      <c r="G31" s="29" t="inlineStr">
        <is>
          <t>BALIK</t>
        </is>
      </c>
      <c r="H31" s="4" t="inlineStr">
        <is>
          <t>16:40</t>
        </is>
      </c>
      <c r="I31" s="4" t="inlineStr">
        <is>
          <t>-</t>
        </is>
      </c>
      <c r="J31" s="29" t="inlineStr">
        <is>
          <t>16:40</t>
        </is>
      </c>
      <c r="K31" s="30" t="inlineStr">
        <is>
          <t>ÇIKIŞ_YOK</t>
        </is>
      </c>
      <c r="L31" s="8" t="n">
        <v>7.5</v>
      </c>
      <c r="M31" s="8" t="n">
        <v>0</v>
      </c>
      <c r="N31" s="4" t="inlineStr">
        <is>
          <t>İK / Amir Onayında</t>
        </is>
      </c>
    </row>
    <row r="32">
      <c r="A32" s="4" t="n">
        <v>693</v>
      </c>
      <c r="B32" s="4" t="inlineStr">
        <is>
          <t>14.10.2026</t>
        </is>
      </c>
      <c r="C32" s="4" t="inlineStr">
        <is>
          <t>Çarşamba</t>
        </is>
      </c>
      <c r="D32" s="4" t="inlineStr">
        <is>
          <t>01556</t>
        </is>
      </c>
      <c r="E32" s="4" t="inlineStr">
        <is>
          <t>01556</t>
        </is>
      </c>
      <c r="F32" s="29" t="inlineStr">
        <is>
          <t>CİHAN DOĞAN</t>
        </is>
      </c>
      <c r="G32" s="29" t="inlineStr">
        <is>
          <t>DİĞER</t>
        </is>
      </c>
      <c r="H32" s="4" t="inlineStr">
        <is>
          <t>08:05</t>
        </is>
      </c>
      <c r="I32" s="4" t="inlineStr">
        <is>
          <t>-</t>
        </is>
      </c>
      <c r="J32" s="29" t="inlineStr">
        <is>
          <t>08:05</t>
        </is>
      </c>
      <c r="K32" s="30" t="inlineStr">
        <is>
          <t>ÇIKIŞ_YOK</t>
        </is>
      </c>
      <c r="L32" s="8" t="n">
        <v>7.5</v>
      </c>
      <c r="M32" s="8" t="n">
        <v>0</v>
      </c>
      <c r="N32" s="4" t="inlineStr">
        <is>
          <t>İK / Amir Onayında</t>
        </is>
      </c>
    </row>
    <row r="33">
      <c r="A33" s="4" t="n">
        <v>694</v>
      </c>
      <c r="B33" s="4" t="inlineStr">
        <is>
          <t>16.10.2026</t>
        </is>
      </c>
      <c r="C33" s="4" t="inlineStr">
        <is>
          <t>Cuma</t>
        </is>
      </c>
      <c r="D33" s="4" t="inlineStr">
        <is>
          <t>01556</t>
        </is>
      </c>
      <c r="E33" s="4" t="inlineStr">
        <is>
          <t>01556</t>
        </is>
      </c>
      <c r="F33" s="29" t="inlineStr">
        <is>
          <t>CİHAN DOĞAN</t>
        </is>
      </c>
      <c r="G33" s="29" t="inlineStr">
        <is>
          <t>DİĞER</t>
        </is>
      </c>
      <c r="H33" s="4" t="inlineStr">
        <is>
          <t>08:00</t>
        </is>
      </c>
      <c r="I33" s="4" t="inlineStr">
        <is>
          <t>-</t>
        </is>
      </c>
      <c r="J33" s="29" t="inlineStr">
        <is>
          <t>08:00</t>
        </is>
      </c>
      <c r="K33" s="30" t="inlineStr">
        <is>
          <t>ÇIKIŞ_YOK</t>
        </is>
      </c>
      <c r="L33" s="8" t="n">
        <v>7.5</v>
      </c>
      <c r="M33" s="8" t="n">
        <v>0</v>
      </c>
      <c r="N33" s="4" t="inlineStr">
        <is>
          <t>İK / Amir Onayında</t>
        </is>
      </c>
    </row>
    <row r="34">
      <c r="A34" s="4" t="n">
        <v>695</v>
      </c>
      <c r="B34" s="4" t="inlineStr">
        <is>
          <t>17.10.2026</t>
        </is>
      </c>
      <c r="C34" s="4" t="inlineStr">
        <is>
          <t>Cumartesi</t>
        </is>
      </c>
      <c r="D34" s="4" t="inlineStr">
        <is>
          <t>01556</t>
        </is>
      </c>
      <c r="E34" s="4" t="inlineStr">
        <is>
          <t>01556</t>
        </is>
      </c>
      <c r="F34" s="29" t="inlineStr">
        <is>
          <t>CİHAN DOĞAN</t>
        </is>
      </c>
      <c r="G34" s="29" t="inlineStr">
        <is>
          <t>DİĞER</t>
        </is>
      </c>
      <c r="H34" s="4" t="inlineStr">
        <is>
          <t>08:02</t>
        </is>
      </c>
      <c r="I34" s="4" t="inlineStr">
        <is>
          <t>-</t>
        </is>
      </c>
      <c r="J34" s="29" t="inlineStr">
        <is>
          <t>08:02</t>
        </is>
      </c>
      <c r="K34" s="30" t="inlineStr">
        <is>
          <t>ÇIKIŞ_YOK</t>
        </is>
      </c>
      <c r="L34" s="8" t="n">
        <v>7.5</v>
      </c>
      <c r="M34" s="8" t="n">
        <v>0</v>
      </c>
      <c r="N34" s="4" t="inlineStr">
        <is>
          <t>İK / Amir Onayında</t>
        </is>
      </c>
    </row>
    <row r="35">
      <c r="A35" s="4" t="n">
        <v>696</v>
      </c>
      <c r="B35" s="4" t="inlineStr">
        <is>
          <t>18.10.2026</t>
        </is>
      </c>
      <c r="C35" s="4" t="inlineStr">
        <is>
          <t>Pazar</t>
        </is>
      </c>
      <c r="D35" s="4" t="inlineStr">
        <is>
          <t>01556</t>
        </is>
      </c>
      <c r="E35" s="4" t="inlineStr">
        <is>
          <t>01556</t>
        </is>
      </c>
      <c r="F35" s="29" t="inlineStr">
        <is>
          <t>CİHAN DOĞAN</t>
        </is>
      </c>
      <c r="G35" s="29" t="inlineStr">
        <is>
          <t>DİĞER</t>
        </is>
      </c>
      <c r="H35" s="4" t="inlineStr">
        <is>
          <t>08:05</t>
        </is>
      </c>
      <c r="I35" s="4" t="inlineStr">
        <is>
          <t>-</t>
        </is>
      </c>
      <c r="J35" s="29" t="inlineStr">
        <is>
          <t>08:05</t>
        </is>
      </c>
      <c r="K35" s="30" t="inlineStr">
        <is>
          <t>ÇIKIŞ_YOK</t>
        </is>
      </c>
      <c r="L35" s="8" t="n">
        <v>7.5</v>
      </c>
      <c r="M35" s="8" t="n">
        <v>0</v>
      </c>
      <c r="N35" s="4" t="inlineStr">
        <is>
          <t>İK / Amir Onayında</t>
        </is>
      </c>
    </row>
    <row r="36">
      <c r="A36" s="4" t="n">
        <v>697</v>
      </c>
      <c r="B36" s="4" t="inlineStr">
        <is>
          <t>19.10.2026</t>
        </is>
      </c>
      <c r="C36" s="4" t="inlineStr">
        <is>
          <t>Pazartesi</t>
        </is>
      </c>
      <c r="D36" s="4" t="inlineStr">
        <is>
          <t>01556</t>
        </is>
      </c>
      <c r="E36" s="4" t="inlineStr">
        <is>
          <t>01556</t>
        </is>
      </c>
      <c r="F36" s="29" t="inlineStr">
        <is>
          <t>CİHAN DOĞAN</t>
        </is>
      </c>
      <c r="G36" s="29" t="inlineStr">
        <is>
          <t>DİĞER</t>
        </is>
      </c>
      <c r="H36" s="4" t="inlineStr">
        <is>
          <t>07:49</t>
        </is>
      </c>
      <c r="I36" s="4" t="inlineStr">
        <is>
          <t>-</t>
        </is>
      </c>
      <c r="J36" s="29" t="inlineStr">
        <is>
          <t>07:49</t>
        </is>
      </c>
      <c r="K36" s="30" t="inlineStr">
        <is>
          <t>ÇIKIŞ_YOK</t>
        </is>
      </c>
      <c r="L36" s="8" t="n">
        <v>7.5</v>
      </c>
      <c r="M36" s="8" t="n">
        <v>0</v>
      </c>
      <c r="N36" s="4" t="inlineStr">
        <is>
          <t>İK / Amir Onayında</t>
        </is>
      </c>
    </row>
    <row r="37">
      <c r="A37" s="4" t="n">
        <v>698</v>
      </c>
      <c r="B37" s="4" t="inlineStr">
        <is>
          <t>20.10.2026</t>
        </is>
      </c>
      <c r="C37" s="4" t="inlineStr">
        <is>
          <t>Salı</t>
        </is>
      </c>
      <c r="D37" s="4" t="inlineStr">
        <is>
          <t>01556</t>
        </is>
      </c>
      <c r="E37" s="4" t="inlineStr">
        <is>
          <t>01556</t>
        </is>
      </c>
      <c r="F37" s="29" t="inlineStr">
        <is>
          <t>CİHAN DOĞAN</t>
        </is>
      </c>
      <c r="G37" s="29" t="inlineStr">
        <is>
          <t>DİĞER</t>
        </is>
      </c>
      <c r="H37" s="4" t="inlineStr">
        <is>
          <t>07:50</t>
        </is>
      </c>
      <c r="I37" s="4" t="inlineStr">
        <is>
          <t>-</t>
        </is>
      </c>
      <c r="J37" s="29" t="inlineStr">
        <is>
          <t>07:50</t>
        </is>
      </c>
      <c r="K37" s="30" t="inlineStr">
        <is>
          <t>ÇIKIŞ_YOK</t>
        </is>
      </c>
      <c r="L37" s="8" t="n">
        <v>7.5</v>
      </c>
      <c r="M37" s="8" t="n">
        <v>0</v>
      </c>
      <c r="N37" s="4" t="inlineStr">
        <is>
          <t>İK / Amir Onayında</t>
        </is>
      </c>
    </row>
    <row r="38">
      <c r="A38" s="4" t="n">
        <v>734</v>
      </c>
      <c r="B38" s="4" t="inlineStr">
        <is>
          <t>21.10.2026</t>
        </is>
      </c>
      <c r="C38" s="4" t="inlineStr">
        <is>
          <t>Çarşamba</t>
        </is>
      </c>
      <c r="D38" s="4" t="inlineStr">
        <is>
          <t>00033</t>
        </is>
      </c>
      <c r="E38" s="4" t="inlineStr">
        <is>
          <t>00033</t>
        </is>
      </c>
      <c r="F38" s="29" t="inlineStr">
        <is>
          <t>ÇİSEM BÇAKIR</t>
        </is>
      </c>
      <c r="G38" s="29" t="inlineStr">
        <is>
          <t>KALİTE</t>
        </is>
      </c>
      <c r="H38" s="4" t="inlineStr">
        <is>
          <t>15:46</t>
        </is>
      </c>
      <c r="I38" s="4" t="inlineStr">
        <is>
          <t>-</t>
        </is>
      </c>
      <c r="J38" s="29" t="inlineStr">
        <is>
          <t>15:46</t>
        </is>
      </c>
      <c r="K38" s="30" t="inlineStr">
        <is>
          <t>ÇIKIŞ_YOK</t>
        </is>
      </c>
      <c r="L38" s="8" t="n">
        <v>7.5</v>
      </c>
      <c r="M38" s="8" t="n">
        <v>0</v>
      </c>
      <c r="N38" s="4" t="inlineStr">
        <is>
          <t>İK / Amir Onayında</t>
        </is>
      </c>
    </row>
    <row r="39">
      <c r="A39" s="4" t="n">
        <v>781</v>
      </c>
      <c r="B39" s="4" t="inlineStr">
        <is>
          <t>5.10.2026</t>
        </is>
      </c>
      <c r="C39" s="4" t="inlineStr">
        <is>
          <t>Pazartesi</t>
        </is>
      </c>
      <c r="D39" s="4" t="inlineStr">
        <is>
          <t>01520</t>
        </is>
      </c>
      <c r="E39" s="4" t="inlineStr">
        <is>
          <t>01520</t>
        </is>
      </c>
      <c r="F39" s="29" t="inlineStr">
        <is>
          <t>DİLARA ÇELİK</t>
        </is>
      </c>
      <c r="G39" s="29" t="inlineStr">
        <is>
          <t>DİĞER</t>
        </is>
      </c>
      <c r="H39" s="4" t="inlineStr">
        <is>
          <t>-</t>
        </is>
      </c>
      <c r="I39" s="4" t="inlineStr">
        <is>
          <t>16:59</t>
        </is>
      </c>
      <c r="J39" s="29" t="inlineStr">
        <is>
          <t>16:59</t>
        </is>
      </c>
      <c r="K39" s="30" t="inlineStr">
        <is>
          <t>GİRİŞ_YOK_AKŞAM</t>
        </is>
      </c>
      <c r="L39" s="8" t="n">
        <v>7.5</v>
      </c>
      <c r="M39" s="8" t="n">
        <v>0</v>
      </c>
      <c r="N39" s="4" t="inlineStr">
        <is>
          <t>İK / Amir Onayında</t>
        </is>
      </c>
    </row>
    <row r="40">
      <c r="A40" s="4" t="n">
        <v>801</v>
      </c>
      <c r="B40" s="4" t="inlineStr">
        <is>
          <t>9.10.2026</t>
        </is>
      </c>
      <c r="C40" s="4" t="inlineStr">
        <is>
          <t>Cuma</t>
        </is>
      </c>
      <c r="D40" s="4" t="inlineStr">
        <is>
          <t>01362</t>
        </is>
      </c>
      <c r="E40" s="4" t="inlineStr">
        <is>
          <t>01362</t>
        </is>
      </c>
      <c r="F40" s="29" t="inlineStr">
        <is>
          <t>DİLEK ÇETİN</t>
        </is>
      </c>
      <c r="G40" s="29" t="inlineStr">
        <is>
          <t>HALİL DİĞRENCİ</t>
        </is>
      </c>
      <c r="H40" s="4" t="inlineStr">
        <is>
          <t>07:29</t>
        </is>
      </c>
      <c r="I40" s="4" t="inlineStr">
        <is>
          <t>-</t>
        </is>
      </c>
      <c r="J40" s="29" t="inlineStr">
        <is>
          <t>07:29, 17:24</t>
        </is>
      </c>
      <c r="K40" s="30" t="inlineStr">
        <is>
          <t>ÇIKIŞ_YOK</t>
        </is>
      </c>
      <c r="L40" s="8" t="n">
        <v>7.5</v>
      </c>
      <c r="M40" s="8" t="n">
        <v>0</v>
      </c>
      <c r="N40" s="4" t="inlineStr">
        <is>
          <t>İK / Amir Onayında</t>
        </is>
      </c>
    </row>
    <row r="41">
      <c r="A41" s="4" t="n">
        <v>916</v>
      </c>
      <c r="B41" s="4" t="inlineStr">
        <is>
          <t>8.10.2026</t>
        </is>
      </c>
      <c r="C41" s="4" t="inlineStr">
        <is>
          <t>Perşembe</t>
        </is>
      </c>
      <c r="D41" s="4" t="inlineStr">
        <is>
          <t>01530</t>
        </is>
      </c>
      <c r="E41" s="4" t="inlineStr">
        <is>
          <t>01530</t>
        </is>
      </c>
      <c r="F41" s="29" t="inlineStr">
        <is>
          <t>EFE CANBAZ</t>
        </is>
      </c>
      <c r="G41" s="29" t="inlineStr">
        <is>
          <t>DİĞER</t>
        </is>
      </c>
      <c r="H41" s="4" t="inlineStr">
        <is>
          <t>20:03</t>
        </is>
      </c>
      <c r="I41" s="4" t="inlineStr">
        <is>
          <t>07:59</t>
        </is>
      </c>
      <c r="J41" s="29" t="inlineStr">
        <is>
          <t>07:58, 20:03, 07:59</t>
        </is>
      </c>
      <c r="K41" s="30" t="inlineStr">
        <is>
          <t>ÇOKLU_BASIM_MIN_MAX</t>
        </is>
      </c>
      <c r="L41" s="8" t="n">
        <v>10.5</v>
      </c>
      <c r="M41" s="8" t="n">
        <v>3</v>
      </c>
      <c r="N41" s="4" t="inlineStr">
        <is>
          <t>İK / Amir Onayında</t>
        </is>
      </c>
    </row>
    <row r="42">
      <c r="A42" s="4" t="n">
        <v>938</v>
      </c>
      <c r="B42" s="4" t="inlineStr">
        <is>
          <t>19.10.2026</t>
        </is>
      </c>
      <c r="C42" s="4" t="inlineStr">
        <is>
          <t>Pazartesi</t>
        </is>
      </c>
      <c r="D42" s="4" t="inlineStr">
        <is>
          <t>00037</t>
        </is>
      </c>
      <c r="E42" s="4" t="inlineStr">
        <is>
          <t>00037</t>
        </is>
      </c>
      <c r="F42" s="29" t="inlineStr">
        <is>
          <t>EFRAİM DUMAN</t>
        </is>
      </c>
      <c r="G42" s="29" t="inlineStr">
        <is>
          <t>AMBAR</t>
        </is>
      </c>
      <c r="H42" s="4" t="inlineStr">
        <is>
          <t>19:57</t>
        </is>
      </c>
      <c r="I42" s="4" t="inlineStr">
        <is>
          <t>-</t>
        </is>
      </c>
      <c r="J42" s="29" t="inlineStr">
        <is>
          <t>19:57</t>
        </is>
      </c>
      <c r="K42" s="30" t="inlineStr">
        <is>
          <t>ÇIKIŞ_YOK</t>
        </is>
      </c>
      <c r="L42" s="8" t="n">
        <v>7.5</v>
      </c>
      <c r="M42" s="8" t="n">
        <v>0</v>
      </c>
      <c r="N42" s="4" t="inlineStr">
        <is>
          <t>İK / Amir Onayında</t>
        </is>
      </c>
    </row>
    <row r="43">
      <c r="A43" s="4" t="n">
        <v>939</v>
      </c>
      <c r="B43" s="4" t="inlineStr">
        <is>
          <t>20.10.2026</t>
        </is>
      </c>
      <c r="C43" s="4" t="inlineStr">
        <is>
          <t>Salı</t>
        </is>
      </c>
      <c r="D43" s="4" t="inlineStr">
        <is>
          <t>00037</t>
        </is>
      </c>
      <c r="E43" s="4" t="inlineStr">
        <is>
          <t>00037</t>
        </is>
      </c>
      <c r="F43" s="29" t="inlineStr">
        <is>
          <t>EFRAİM DUMAN</t>
        </is>
      </c>
      <c r="G43" s="29" t="inlineStr">
        <is>
          <t>AMBAR</t>
        </is>
      </c>
      <c r="H43" s="4" t="inlineStr">
        <is>
          <t>19:52</t>
        </is>
      </c>
      <c r="I43" s="4" t="inlineStr">
        <is>
          <t>07:44</t>
        </is>
      </c>
      <c r="J43" s="29" t="inlineStr">
        <is>
          <t>07:53, 19:52, 07:44</t>
        </is>
      </c>
      <c r="K43" s="30" t="inlineStr">
        <is>
          <t>ÇOKLU_BASIM_MIN_MAX</t>
        </is>
      </c>
      <c r="L43" s="8" t="n">
        <v>10</v>
      </c>
      <c r="M43" s="8" t="n">
        <v>2.5</v>
      </c>
      <c r="N43" s="4" t="inlineStr">
        <is>
          <t>İK / Amir Onayında</t>
        </is>
      </c>
    </row>
    <row r="44">
      <c r="A44" s="4" t="n">
        <v>946</v>
      </c>
      <c r="B44" s="4" t="inlineStr">
        <is>
          <t>8.10.2026</t>
        </is>
      </c>
      <c r="C44" s="4" t="inlineStr">
        <is>
          <t>Perşembe</t>
        </is>
      </c>
      <c r="D44" s="4" t="inlineStr">
        <is>
          <t>00002</t>
        </is>
      </c>
      <c r="E44" s="4" t="inlineStr">
        <is>
          <t>00002</t>
        </is>
      </c>
      <c r="F44" s="29" t="inlineStr">
        <is>
          <t>ELİF YAVAŞ</t>
        </is>
      </c>
      <c r="G44" s="29" t="inlineStr">
        <is>
          <t>MUHASEBE</t>
        </is>
      </c>
      <c r="H44" s="4" t="inlineStr">
        <is>
          <t>08:22</t>
        </is>
      </c>
      <c r="I44" s="4" t="inlineStr">
        <is>
          <t>-</t>
        </is>
      </c>
      <c r="J44" s="29" t="inlineStr">
        <is>
          <t>08:22</t>
        </is>
      </c>
      <c r="K44" s="30" t="inlineStr">
        <is>
          <t>ÇIKIŞ_YOK</t>
        </is>
      </c>
      <c r="L44" s="8" t="n">
        <v>7.5</v>
      </c>
      <c r="M44" s="8" t="n">
        <v>0</v>
      </c>
      <c r="N44" s="4" t="inlineStr">
        <is>
          <t>İK / Amir Onayında</t>
        </is>
      </c>
    </row>
    <row r="45">
      <c r="A45" s="4" t="n">
        <v>957</v>
      </c>
      <c r="B45" s="4" t="inlineStr">
        <is>
          <t>1.10.2026</t>
        </is>
      </c>
      <c r="C45" s="4" t="inlineStr">
        <is>
          <t>Perşembe</t>
        </is>
      </c>
      <c r="D45" s="4" t="inlineStr">
        <is>
          <t>00038</t>
        </is>
      </c>
      <c r="E45" s="4" t="inlineStr">
        <is>
          <t>00038</t>
        </is>
      </c>
      <c r="F45" s="29" t="inlineStr">
        <is>
          <t>ELİF TUNÇ</t>
        </is>
      </c>
      <c r="G45" s="29" t="inlineStr">
        <is>
          <t>KALİTE</t>
        </is>
      </c>
      <c r="H45" s="4" t="inlineStr">
        <is>
          <t>07:44</t>
        </is>
      </c>
      <c r="I45" s="4" t="inlineStr">
        <is>
          <t>-</t>
        </is>
      </c>
      <c r="J45" s="29" t="inlineStr">
        <is>
          <t>07:44</t>
        </is>
      </c>
      <c r="K45" s="30" t="inlineStr">
        <is>
          <t>ÇIKIŞ_YOK</t>
        </is>
      </c>
      <c r="L45" s="8" t="n">
        <v>7.5</v>
      </c>
      <c r="M45" s="8" t="n">
        <v>0</v>
      </c>
      <c r="N45" s="4" t="inlineStr">
        <is>
          <t>İK / Amir Onayında</t>
        </is>
      </c>
    </row>
    <row r="46">
      <c r="A46" s="4" t="n">
        <v>967</v>
      </c>
      <c r="B46" s="4" t="inlineStr">
        <is>
          <t>15.10.2026</t>
        </is>
      </c>
      <c r="C46" s="4" t="inlineStr">
        <is>
          <t>Perşembe</t>
        </is>
      </c>
      <c r="D46" s="4" t="inlineStr">
        <is>
          <t>00038</t>
        </is>
      </c>
      <c r="E46" s="4" t="inlineStr">
        <is>
          <t>00038</t>
        </is>
      </c>
      <c r="F46" s="29" t="inlineStr">
        <is>
          <t>ELİF TUNÇ</t>
        </is>
      </c>
      <c r="G46" s="29" t="inlineStr">
        <is>
          <t>KALİTE</t>
        </is>
      </c>
      <c r="H46" s="4" t="inlineStr">
        <is>
          <t>10:01</t>
        </is>
      </c>
      <c r="I46" s="4" t="inlineStr">
        <is>
          <t>-</t>
        </is>
      </c>
      <c r="J46" s="29" t="inlineStr">
        <is>
          <t>10:01</t>
        </is>
      </c>
      <c r="K46" s="30" t="inlineStr">
        <is>
          <t>ÇIKIŞ_YOK</t>
        </is>
      </c>
      <c r="L46" s="8" t="n">
        <v>7.5</v>
      </c>
      <c r="M46" s="8" t="n">
        <v>0</v>
      </c>
      <c r="N46" s="4" t="inlineStr">
        <is>
          <t>İK / Amir Onayında</t>
        </is>
      </c>
    </row>
    <row r="47">
      <c r="A47" s="4" t="n">
        <v>968</v>
      </c>
      <c r="B47" s="4" t="inlineStr">
        <is>
          <t>16.10.2026</t>
        </is>
      </c>
      <c r="C47" s="4" t="inlineStr">
        <is>
          <t>Cuma</t>
        </is>
      </c>
      <c r="D47" s="4" t="inlineStr">
        <is>
          <t>00038</t>
        </is>
      </c>
      <c r="E47" s="4" t="inlineStr">
        <is>
          <t>00038</t>
        </is>
      </c>
      <c r="F47" s="29" t="inlineStr">
        <is>
          <t>ELİF TUNÇ</t>
        </is>
      </c>
      <c r="G47" s="29" t="inlineStr">
        <is>
          <t>KALİTE</t>
        </is>
      </c>
      <c r="H47" s="4" t="inlineStr">
        <is>
          <t>07:41</t>
        </is>
      </c>
      <c r="I47" s="4" t="inlineStr">
        <is>
          <t>-</t>
        </is>
      </c>
      <c r="J47" s="29" t="inlineStr">
        <is>
          <t>07:41</t>
        </is>
      </c>
      <c r="K47" s="30" t="inlineStr">
        <is>
          <t>ÇIKIŞ_YOK</t>
        </is>
      </c>
      <c r="L47" s="8" t="n">
        <v>7.5</v>
      </c>
      <c r="M47" s="8" t="n">
        <v>0</v>
      </c>
      <c r="N47" s="4" t="inlineStr">
        <is>
          <t>İK / Amir Onayında</t>
        </is>
      </c>
    </row>
    <row r="48">
      <c r="A48" s="4" t="n">
        <v>969</v>
      </c>
      <c r="B48" s="4" t="inlineStr">
        <is>
          <t>17.10.2026</t>
        </is>
      </c>
      <c r="C48" s="4" t="inlineStr">
        <is>
          <t>Cumartesi</t>
        </is>
      </c>
      <c r="D48" s="4" t="inlineStr">
        <is>
          <t>00038</t>
        </is>
      </c>
      <c r="E48" s="4" t="inlineStr">
        <is>
          <t>00038</t>
        </is>
      </c>
      <c r="F48" s="29" t="inlineStr">
        <is>
          <t>ELİF TUNÇ</t>
        </is>
      </c>
      <c r="G48" s="29" t="inlineStr">
        <is>
          <t>KALİTE</t>
        </is>
      </c>
      <c r="H48" s="4" t="inlineStr">
        <is>
          <t>-</t>
        </is>
      </c>
      <c r="I48" s="4" t="inlineStr">
        <is>
          <t>10:28</t>
        </is>
      </c>
      <c r="J48" s="29" t="inlineStr">
        <is>
          <t>10:28</t>
        </is>
      </c>
      <c r="K48" s="30" t="inlineStr">
        <is>
          <t>GİRİŞ_YOK_AKŞAM</t>
        </is>
      </c>
      <c r="L48" s="8" t="n">
        <v>2.5</v>
      </c>
      <c r="M48" s="8" t="n">
        <v>0</v>
      </c>
      <c r="N48" s="4" t="inlineStr">
        <is>
          <t>İK / Amir Onayında</t>
        </is>
      </c>
    </row>
    <row r="49">
      <c r="A49" s="4" t="n">
        <v>1044</v>
      </c>
      <c r="B49" s="4" t="inlineStr">
        <is>
          <t>21.10.2026</t>
        </is>
      </c>
      <c r="C49" s="4" t="inlineStr">
        <is>
          <t>Çarşamba</t>
        </is>
      </c>
      <c r="D49" s="4" t="inlineStr">
        <is>
          <t>00045</t>
        </is>
      </c>
      <c r="E49" s="4" t="inlineStr">
        <is>
          <t>00045</t>
        </is>
      </c>
      <c r="F49" s="29" t="inlineStr">
        <is>
          <t>EMİNE ÇAPAR</t>
        </is>
      </c>
      <c r="G49" s="29" t="inlineStr">
        <is>
          <t>YEMEKHANE</t>
        </is>
      </c>
      <c r="H49" s="4" t="inlineStr">
        <is>
          <t>19:15</t>
        </is>
      </c>
      <c r="I49" s="4" t="inlineStr">
        <is>
          <t>-</t>
        </is>
      </c>
      <c r="J49" s="29" t="inlineStr">
        <is>
          <t>19:15</t>
        </is>
      </c>
      <c r="K49" s="30" t="inlineStr">
        <is>
          <t>ÇIKIŞ_YOK</t>
        </is>
      </c>
      <c r="L49" s="8" t="n">
        <v>7.5</v>
      </c>
      <c r="M49" s="8" t="n">
        <v>0</v>
      </c>
      <c r="N49" s="4" t="inlineStr">
        <is>
          <t>İK / Amir Onayında</t>
        </is>
      </c>
    </row>
    <row r="50">
      <c r="A50" s="4" t="n">
        <v>1049</v>
      </c>
      <c r="B50" s="4" t="inlineStr">
        <is>
          <t>6.10.2026</t>
        </is>
      </c>
      <c r="C50" s="4" t="inlineStr">
        <is>
          <t>Salı</t>
        </is>
      </c>
      <c r="D50" s="4" t="inlineStr">
        <is>
          <t>00197</t>
        </is>
      </c>
      <c r="E50" s="4" t="inlineStr">
        <is>
          <t>00197</t>
        </is>
      </c>
      <c r="F50" s="29" t="inlineStr">
        <is>
          <t>EMİNE SARI</t>
        </is>
      </c>
      <c r="G50" s="29" t="inlineStr">
        <is>
          <t>YEMEKHANE</t>
        </is>
      </c>
      <c r="H50" s="4" t="inlineStr">
        <is>
          <t>07:53</t>
        </is>
      </c>
      <c r="I50" s="4" t="inlineStr">
        <is>
          <t>17:32</t>
        </is>
      </c>
      <c r="J50" s="29" t="inlineStr">
        <is>
          <t>07:53, 07:54, 17:32</t>
        </is>
      </c>
      <c r="K50" s="30" t="inlineStr">
        <is>
          <t>ÇOKLU_BASIM_MIN_MAX</t>
        </is>
      </c>
      <c r="L50" s="8" t="n">
        <v>0</v>
      </c>
      <c r="M50" s="8" t="n">
        <v>0</v>
      </c>
      <c r="N50" s="4" t="inlineStr">
        <is>
          <t>İK / Amir Onayında</t>
        </is>
      </c>
    </row>
    <row r="51">
      <c r="A51" s="4" t="n">
        <v>1050</v>
      </c>
      <c r="B51" s="4" t="inlineStr">
        <is>
          <t>7.10.2026</t>
        </is>
      </c>
      <c r="C51" s="4" t="inlineStr">
        <is>
          <t>Çarşamba</t>
        </is>
      </c>
      <c r="D51" s="4" t="inlineStr">
        <is>
          <t>00197</t>
        </is>
      </c>
      <c r="E51" s="4" t="inlineStr">
        <is>
          <t>00197</t>
        </is>
      </c>
      <c r="F51" s="29" t="inlineStr">
        <is>
          <t>EMİNE SARI</t>
        </is>
      </c>
      <c r="G51" s="29" t="inlineStr">
        <is>
          <t>YEMEKHANE</t>
        </is>
      </c>
      <c r="H51" s="4" t="inlineStr">
        <is>
          <t>07:49</t>
        </is>
      </c>
      <c r="I51" s="4" t="inlineStr">
        <is>
          <t>07:54</t>
        </is>
      </c>
      <c r="J51" s="29" t="inlineStr">
        <is>
          <t>07:49, 17:18, 18:58, 07:54</t>
        </is>
      </c>
      <c r="K51" s="30" t="inlineStr">
        <is>
          <t>PARÇALI_ÇALIŞMA</t>
        </is>
      </c>
      <c r="L51" s="8" t="n">
        <v>6.48</v>
      </c>
      <c r="M51" s="8" t="n">
        <v>0</v>
      </c>
      <c r="N51" s="4" t="inlineStr">
        <is>
          <t>İK / Amir Onayında</t>
        </is>
      </c>
    </row>
    <row r="52">
      <c r="A52" s="4" t="n">
        <v>1052</v>
      </c>
      <c r="B52" s="4" t="inlineStr">
        <is>
          <t>9.10.2026</t>
        </is>
      </c>
      <c r="C52" s="4" t="inlineStr">
        <is>
          <t>Cuma</t>
        </is>
      </c>
      <c r="D52" s="4" t="inlineStr">
        <is>
          <t>00197</t>
        </is>
      </c>
      <c r="E52" s="4" t="inlineStr">
        <is>
          <t>00197</t>
        </is>
      </c>
      <c r="F52" s="29" t="inlineStr">
        <is>
          <t>EMİNE SARI</t>
        </is>
      </c>
      <c r="G52" s="29" t="inlineStr">
        <is>
          <t>YEMEKHANE</t>
        </is>
      </c>
      <c r="H52" s="4" t="inlineStr">
        <is>
          <t>08:25</t>
        </is>
      </c>
      <c r="I52" s="4" t="inlineStr">
        <is>
          <t>17:39</t>
        </is>
      </c>
      <c r="J52" s="29" t="inlineStr">
        <is>
          <t>03:47, 08:25, 17:39</t>
        </is>
      </c>
      <c r="K52" s="30" t="inlineStr">
        <is>
          <t>ÇOKLU_BASIM_MIN_MAX</t>
        </is>
      </c>
      <c r="L52" s="8" t="n">
        <v>7.5</v>
      </c>
      <c r="M52" s="8" t="n">
        <v>0.5</v>
      </c>
      <c r="N52" s="4" t="inlineStr">
        <is>
          <t>İK / Amir Onayında</t>
        </is>
      </c>
    </row>
    <row r="53">
      <c r="A53" s="4" t="n">
        <v>1139</v>
      </c>
      <c r="B53" s="4" t="inlineStr">
        <is>
          <t>21.10.2026</t>
        </is>
      </c>
      <c r="C53" s="4" t="inlineStr">
        <is>
          <t>Çarşamba</t>
        </is>
      </c>
      <c r="D53" s="4" t="inlineStr">
        <is>
          <t>00046</t>
        </is>
      </c>
      <c r="E53" s="4" t="inlineStr">
        <is>
          <t>00046</t>
        </is>
      </c>
      <c r="F53" s="29" t="inlineStr">
        <is>
          <t>EMİRHAN MUTLU</t>
        </is>
      </c>
      <c r="G53" s="29" t="inlineStr">
        <is>
          <t>BAKIM</t>
        </is>
      </c>
      <c r="H53" s="4" t="inlineStr">
        <is>
          <t>08:13</t>
        </is>
      </c>
      <c r="I53" s="4" t="inlineStr">
        <is>
          <t>-</t>
        </is>
      </c>
      <c r="J53" s="29" t="inlineStr">
        <is>
          <t>08:13</t>
        </is>
      </c>
      <c r="K53" s="30" t="inlineStr">
        <is>
          <t>ÇIKIŞ_YOK</t>
        </is>
      </c>
      <c r="L53" s="8" t="n">
        <v>7.5</v>
      </c>
      <c r="M53" s="8" t="n">
        <v>0</v>
      </c>
      <c r="N53" s="4" t="inlineStr">
        <is>
          <t>İK / Amir Onayında</t>
        </is>
      </c>
    </row>
    <row r="54">
      <c r="A54" s="4" t="n">
        <v>1140</v>
      </c>
      <c r="B54" s="4" t="inlineStr">
        <is>
          <t>8.10.2026</t>
        </is>
      </c>
      <c r="C54" s="4" t="inlineStr">
        <is>
          <t>Perşembe</t>
        </is>
      </c>
      <c r="D54" s="4" t="inlineStr">
        <is>
          <t>01529</t>
        </is>
      </c>
      <c r="E54" s="4" t="inlineStr">
        <is>
          <t>01529</t>
        </is>
      </c>
      <c r="F54" s="29" t="inlineStr">
        <is>
          <t>EMİRHAN GÜNDEN</t>
        </is>
      </c>
      <c r="G54" s="29" t="inlineStr">
        <is>
          <t>DİĞER</t>
        </is>
      </c>
      <c r="H54" s="4" t="inlineStr">
        <is>
          <t>20:04</t>
        </is>
      </c>
      <c r="I54" s="4" t="inlineStr">
        <is>
          <t>08:01</t>
        </is>
      </c>
      <c r="J54" s="29" t="inlineStr">
        <is>
          <t>08:00, 20:04, 08:01</t>
        </is>
      </c>
      <c r="K54" s="30" t="inlineStr">
        <is>
          <t>ÇOKLU_BASIM_MIN_MAX</t>
        </is>
      </c>
      <c r="L54" s="8" t="n">
        <v>10.5</v>
      </c>
      <c r="M54" s="8" t="n">
        <v>3</v>
      </c>
      <c r="N54" s="4" t="inlineStr">
        <is>
          <t>İK / Amir Onayında</t>
        </is>
      </c>
    </row>
    <row r="55">
      <c r="A55" s="4" t="n">
        <v>1172</v>
      </c>
      <c r="B55" s="4" t="inlineStr">
        <is>
          <t>2.10.2026</t>
        </is>
      </c>
      <c r="C55" s="4" t="inlineStr">
        <is>
          <t>Cuma</t>
        </is>
      </c>
      <c r="D55" s="4" t="inlineStr">
        <is>
          <t>01403</t>
        </is>
      </c>
      <c r="E55" s="4" t="inlineStr">
        <is>
          <t>01403</t>
        </is>
      </c>
      <c r="F55" s="29" t="inlineStr">
        <is>
          <t>EMRE CAN ÇAKAR</t>
        </is>
      </c>
      <c r="G55" s="29" t="inlineStr">
        <is>
          <t>DİĞER</t>
        </is>
      </c>
      <c r="H55" s="4" t="inlineStr">
        <is>
          <t>-</t>
        </is>
      </c>
      <c r="I55" s="4" t="inlineStr">
        <is>
          <t>16:47</t>
        </is>
      </c>
      <c r="J55" s="29" t="inlineStr">
        <is>
          <t>16:47</t>
        </is>
      </c>
      <c r="K55" s="30" t="inlineStr">
        <is>
          <t>GİRİŞ_YOK_AKŞAM</t>
        </is>
      </c>
      <c r="L55" s="8" t="n">
        <v>7.5</v>
      </c>
      <c r="M55" s="8" t="n">
        <v>0</v>
      </c>
      <c r="N55" s="4" t="inlineStr">
        <is>
          <t>İK / Amir Onayında</t>
        </is>
      </c>
    </row>
    <row r="56">
      <c r="A56" s="4" t="n">
        <v>1173</v>
      </c>
      <c r="B56" s="4" t="inlineStr">
        <is>
          <t>5.10.2026</t>
        </is>
      </c>
      <c r="C56" s="4" t="inlineStr">
        <is>
          <t>Pazartesi</t>
        </is>
      </c>
      <c r="D56" s="4" t="inlineStr">
        <is>
          <t>01403</t>
        </is>
      </c>
      <c r="E56" s="4" t="inlineStr">
        <is>
          <t>01403</t>
        </is>
      </c>
      <c r="F56" s="29" t="inlineStr">
        <is>
          <t>EMRE CAN ÇAKAR</t>
        </is>
      </c>
      <c r="G56" s="29" t="inlineStr">
        <is>
          <t>DİĞER</t>
        </is>
      </c>
      <c r="H56" s="4" t="inlineStr">
        <is>
          <t>-</t>
        </is>
      </c>
      <c r="I56" s="4" t="inlineStr">
        <is>
          <t>17:01</t>
        </is>
      </c>
      <c r="J56" s="29" t="inlineStr">
        <is>
          <t>17:01</t>
        </is>
      </c>
      <c r="K56" s="30" t="inlineStr">
        <is>
          <t>GİRİŞ_YOK_AKŞAM</t>
        </is>
      </c>
      <c r="L56" s="8" t="n">
        <v>7.5</v>
      </c>
      <c r="M56" s="8" t="n">
        <v>0</v>
      </c>
      <c r="N56" s="4" t="inlineStr">
        <is>
          <t>İK / Amir Onayında</t>
        </is>
      </c>
    </row>
    <row r="57">
      <c r="A57" s="4" t="n">
        <v>1174</v>
      </c>
      <c r="B57" s="4" t="inlineStr">
        <is>
          <t>6.10.2026</t>
        </is>
      </c>
      <c r="C57" s="4" t="inlineStr">
        <is>
          <t>Salı</t>
        </is>
      </c>
      <c r="D57" s="4" t="inlineStr">
        <is>
          <t>01403</t>
        </is>
      </c>
      <c r="E57" s="4" t="inlineStr">
        <is>
          <t>01403</t>
        </is>
      </c>
      <c r="F57" s="29" t="inlineStr">
        <is>
          <t>EMRE CAN ÇAKAR</t>
        </is>
      </c>
      <c r="G57" s="29" t="inlineStr">
        <is>
          <t>DİĞER</t>
        </is>
      </c>
      <c r="H57" s="4" t="inlineStr">
        <is>
          <t>-</t>
        </is>
      </c>
      <c r="I57" s="4" t="inlineStr">
        <is>
          <t>16:49</t>
        </is>
      </c>
      <c r="J57" s="29" t="inlineStr">
        <is>
          <t>16:49</t>
        </is>
      </c>
      <c r="K57" s="30" t="inlineStr">
        <is>
          <t>GİRİŞ_YOK_AKŞAM</t>
        </is>
      </c>
      <c r="L57" s="8" t="n">
        <v>7.5</v>
      </c>
      <c r="M57" s="8" t="n">
        <v>0</v>
      </c>
      <c r="N57" s="4" t="inlineStr">
        <is>
          <t>İK / Amir Onayında</t>
        </is>
      </c>
    </row>
    <row r="58">
      <c r="A58" s="4" t="n">
        <v>1175</v>
      </c>
      <c r="B58" s="4" t="inlineStr">
        <is>
          <t>7.10.2026</t>
        </is>
      </c>
      <c r="C58" s="4" t="inlineStr">
        <is>
          <t>Çarşamba</t>
        </is>
      </c>
      <c r="D58" s="4" t="inlineStr">
        <is>
          <t>01403</t>
        </is>
      </c>
      <c r="E58" s="4" t="inlineStr">
        <is>
          <t>01403</t>
        </is>
      </c>
      <c r="F58" s="29" t="inlineStr">
        <is>
          <t>EMRE CAN ÇAKAR</t>
        </is>
      </c>
      <c r="G58" s="29" t="inlineStr">
        <is>
          <t>DİĞER</t>
        </is>
      </c>
      <c r="H58" s="4" t="inlineStr">
        <is>
          <t>-</t>
        </is>
      </c>
      <c r="I58" s="4" t="inlineStr">
        <is>
          <t>07:56</t>
        </is>
      </c>
      <c r="J58" s="29" t="inlineStr">
        <is>
          <t>07:56</t>
        </is>
      </c>
      <c r="K58" s="30" t="inlineStr">
        <is>
          <t>GİRİŞ_YOK_AKŞAM</t>
        </is>
      </c>
      <c r="L58" s="8" t="n">
        <v>22.5</v>
      </c>
      <c r="M58" s="8" t="n">
        <v>15</v>
      </c>
      <c r="N58" s="4" t="inlineStr">
        <is>
          <t>İK / Amir Onayında</t>
        </is>
      </c>
    </row>
    <row r="59">
      <c r="A59" s="4" t="n">
        <v>1176</v>
      </c>
      <c r="B59" s="4" t="inlineStr">
        <is>
          <t>8.10.2026</t>
        </is>
      </c>
      <c r="C59" s="4" t="inlineStr">
        <is>
          <t>Perşembe</t>
        </is>
      </c>
      <c r="D59" s="4" t="inlineStr">
        <is>
          <t>01403</t>
        </is>
      </c>
      <c r="E59" s="4" t="inlineStr">
        <is>
          <t>01403</t>
        </is>
      </c>
      <c r="F59" s="29" t="inlineStr">
        <is>
          <t>EMRE CAN ÇAKAR</t>
        </is>
      </c>
      <c r="G59" s="29" t="inlineStr">
        <is>
          <t>DİĞER</t>
        </is>
      </c>
      <c r="H59" s="4" t="inlineStr">
        <is>
          <t>-</t>
        </is>
      </c>
      <c r="I59" s="4" t="inlineStr">
        <is>
          <t>07:46</t>
        </is>
      </c>
      <c r="J59" s="29" t="inlineStr">
        <is>
          <t>07:46</t>
        </is>
      </c>
      <c r="K59" s="30" t="inlineStr">
        <is>
          <t>GİRİŞ_YOK_AKŞAM</t>
        </is>
      </c>
      <c r="L59" s="8" t="n">
        <v>22.5</v>
      </c>
      <c r="M59" s="8" t="n">
        <v>15</v>
      </c>
      <c r="N59" s="4" t="inlineStr">
        <is>
          <t>İK / Amir Onayında</t>
        </is>
      </c>
    </row>
    <row r="60">
      <c r="A60" s="4" t="n">
        <v>1177</v>
      </c>
      <c r="B60" s="4" t="inlineStr">
        <is>
          <t>9.10.2026</t>
        </is>
      </c>
      <c r="C60" s="4" t="inlineStr">
        <is>
          <t>Cuma</t>
        </is>
      </c>
      <c r="D60" s="4" t="inlineStr">
        <is>
          <t>01403</t>
        </is>
      </c>
      <c r="E60" s="4" t="inlineStr">
        <is>
          <t>01403</t>
        </is>
      </c>
      <c r="F60" s="29" t="inlineStr">
        <is>
          <t>EMRE CAN ÇAKAR</t>
        </is>
      </c>
      <c r="G60" s="29" t="inlineStr">
        <is>
          <t>DİĞER</t>
        </is>
      </c>
      <c r="H60" s="4" t="inlineStr">
        <is>
          <t>-</t>
        </is>
      </c>
      <c r="I60" s="4" t="inlineStr">
        <is>
          <t>19:51</t>
        </is>
      </c>
      <c r="J60" s="29" t="inlineStr">
        <is>
          <t>19:51</t>
        </is>
      </c>
      <c r="K60" s="30" t="inlineStr">
        <is>
          <t>GİRİŞ_YOK_AKŞAM</t>
        </is>
      </c>
      <c r="L60" s="8" t="n">
        <v>10.5</v>
      </c>
      <c r="M60" s="8" t="n">
        <v>3</v>
      </c>
      <c r="N60" s="4" t="inlineStr">
        <is>
          <t>İK / Amir Onayında</t>
        </is>
      </c>
    </row>
    <row r="61">
      <c r="A61" s="4" t="n">
        <v>1178</v>
      </c>
      <c r="B61" s="4" t="inlineStr">
        <is>
          <t>10.10.2026</t>
        </is>
      </c>
      <c r="C61" s="4" t="inlineStr">
        <is>
          <t>Cumartesi</t>
        </is>
      </c>
      <c r="D61" s="4" t="inlineStr">
        <is>
          <t>01403</t>
        </is>
      </c>
      <c r="E61" s="4" t="inlineStr">
        <is>
          <t>01403</t>
        </is>
      </c>
      <c r="F61" s="29" t="inlineStr">
        <is>
          <t>EMRE CAN ÇAKAR</t>
        </is>
      </c>
      <c r="G61" s="29" t="inlineStr">
        <is>
          <t>DİĞER</t>
        </is>
      </c>
      <c r="H61" s="4" t="inlineStr">
        <is>
          <t>-</t>
        </is>
      </c>
      <c r="I61" s="4" t="inlineStr">
        <is>
          <t>16:55</t>
        </is>
      </c>
      <c r="J61" s="29" t="inlineStr">
        <is>
          <t>16:55</t>
        </is>
      </c>
      <c r="K61" s="30" t="inlineStr">
        <is>
          <t>GİRİŞ_YOK_AKŞAM</t>
        </is>
      </c>
      <c r="L61" s="8" t="n">
        <v>7.5</v>
      </c>
      <c r="M61" s="8" t="n">
        <v>0</v>
      </c>
      <c r="N61" s="4" t="inlineStr">
        <is>
          <t>İK / Amir Onayında</t>
        </is>
      </c>
    </row>
    <row r="62">
      <c r="A62" s="4" t="n">
        <v>1180</v>
      </c>
      <c r="B62" s="4" t="inlineStr">
        <is>
          <t>13.10.2026</t>
        </is>
      </c>
      <c r="C62" s="4" t="inlineStr">
        <is>
          <t>Salı</t>
        </is>
      </c>
      <c r="D62" s="4" t="inlineStr">
        <is>
          <t>01403</t>
        </is>
      </c>
      <c r="E62" s="4" t="inlineStr">
        <is>
          <t>01403</t>
        </is>
      </c>
      <c r="F62" s="29" t="inlineStr">
        <is>
          <t>EMRE CAN ÇAKAR</t>
        </is>
      </c>
      <c r="G62" s="29" t="inlineStr">
        <is>
          <t>DİĞER</t>
        </is>
      </c>
      <c r="H62" s="4" t="inlineStr">
        <is>
          <t>-</t>
        </is>
      </c>
      <c r="I62" s="4" t="inlineStr">
        <is>
          <t>08:00</t>
        </is>
      </c>
      <c r="J62" s="29" t="inlineStr">
        <is>
          <t>08:00</t>
        </is>
      </c>
      <c r="K62" s="30" t="inlineStr">
        <is>
          <t>GİRİŞ_YOK_AKŞAM</t>
        </is>
      </c>
      <c r="L62" s="8" t="n">
        <v>7.5</v>
      </c>
      <c r="M62" s="8" t="n">
        <v>0</v>
      </c>
      <c r="N62" s="4" t="inlineStr">
        <is>
          <t>İK / Amir Onayında</t>
        </is>
      </c>
    </row>
    <row r="63">
      <c r="A63" s="4" t="n">
        <v>1181</v>
      </c>
      <c r="B63" s="4" t="inlineStr">
        <is>
          <t>15.10.2026</t>
        </is>
      </c>
      <c r="C63" s="4" t="inlineStr">
        <is>
          <t>Perşembe</t>
        </is>
      </c>
      <c r="D63" s="4" t="inlineStr">
        <is>
          <t>01403</t>
        </is>
      </c>
      <c r="E63" s="4" t="inlineStr">
        <is>
          <t>01403</t>
        </is>
      </c>
      <c r="F63" s="29" t="inlineStr">
        <is>
          <t>EMRE CAN ÇAKAR</t>
        </is>
      </c>
      <c r="G63" s="29" t="inlineStr">
        <is>
          <t>DİĞER</t>
        </is>
      </c>
      <c r="H63" s="4" t="inlineStr">
        <is>
          <t>-</t>
        </is>
      </c>
      <c r="I63" s="4" t="inlineStr">
        <is>
          <t>17:02</t>
        </is>
      </c>
      <c r="J63" s="29" t="inlineStr">
        <is>
          <t>17:02</t>
        </is>
      </c>
      <c r="K63" s="30" t="inlineStr">
        <is>
          <t>GİRİŞ_YOK_AKŞAM</t>
        </is>
      </c>
      <c r="L63" s="8" t="n">
        <v>7.5</v>
      </c>
      <c r="M63" s="8" t="n">
        <v>0</v>
      </c>
      <c r="N63" s="4" t="inlineStr">
        <is>
          <t>İK / Amir Onayında</t>
        </is>
      </c>
    </row>
    <row r="64">
      <c r="A64" s="4" t="n">
        <v>1182</v>
      </c>
      <c r="B64" s="4" t="inlineStr">
        <is>
          <t>16.10.2026</t>
        </is>
      </c>
      <c r="C64" s="4" t="inlineStr">
        <is>
          <t>Cuma</t>
        </is>
      </c>
      <c r="D64" s="4" t="inlineStr">
        <is>
          <t>01403</t>
        </is>
      </c>
      <c r="E64" s="4" t="inlineStr">
        <is>
          <t>01403</t>
        </is>
      </c>
      <c r="F64" s="29" t="inlineStr">
        <is>
          <t>EMRE CAN ÇAKAR</t>
        </is>
      </c>
      <c r="G64" s="29" t="inlineStr">
        <is>
          <t>DİĞER</t>
        </is>
      </c>
      <c r="H64" s="4" t="inlineStr">
        <is>
          <t>-</t>
        </is>
      </c>
      <c r="I64" s="4" t="inlineStr">
        <is>
          <t>16:42</t>
        </is>
      </c>
      <c r="J64" s="29" t="inlineStr">
        <is>
          <t>08:02, 16:42</t>
        </is>
      </c>
      <c r="K64" s="30" t="inlineStr">
        <is>
          <t>GİRİŞ_YOK_AKŞAM</t>
        </is>
      </c>
      <c r="L64" s="8" t="n">
        <v>7</v>
      </c>
      <c r="M64" s="8" t="n">
        <v>0</v>
      </c>
      <c r="N64" s="4" t="inlineStr">
        <is>
          <t>İK / Amir Onayında</t>
        </is>
      </c>
    </row>
    <row r="65">
      <c r="A65" s="4" t="n">
        <v>1183</v>
      </c>
      <c r="B65" s="4" t="inlineStr">
        <is>
          <t>17.10.2026</t>
        </is>
      </c>
      <c r="C65" s="4" t="inlineStr">
        <is>
          <t>Cumartesi</t>
        </is>
      </c>
      <c r="D65" s="4" t="inlineStr">
        <is>
          <t>01403</t>
        </is>
      </c>
      <c r="E65" s="4" t="inlineStr">
        <is>
          <t>01403</t>
        </is>
      </c>
      <c r="F65" s="29" t="inlineStr">
        <is>
          <t>EMRE CAN ÇAKAR</t>
        </is>
      </c>
      <c r="G65" s="29" t="inlineStr">
        <is>
          <t>DİĞER</t>
        </is>
      </c>
      <c r="H65" s="4" t="inlineStr">
        <is>
          <t>-</t>
        </is>
      </c>
      <c r="I65" s="4" t="inlineStr">
        <is>
          <t>17:03</t>
        </is>
      </c>
      <c r="J65" s="29" t="inlineStr">
        <is>
          <t>17:03</t>
        </is>
      </c>
      <c r="K65" s="30" t="inlineStr">
        <is>
          <t>GİRİŞ_YOK_AKŞAM</t>
        </is>
      </c>
      <c r="L65" s="8" t="n">
        <v>7.5</v>
      </c>
      <c r="M65" s="8" t="n">
        <v>0</v>
      </c>
      <c r="N65" s="4" t="inlineStr">
        <is>
          <t>İK / Amir Onayında</t>
        </is>
      </c>
    </row>
    <row r="66">
      <c r="A66" s="4" t="n">
        <v>1184</v>
      </c>
      <c r="B66" s="4" t="inlineStr">
        <is>
          <t>18.10.2026</t>
        </is>
      </c>
      <c r="C66" s="4" t="inlineStr">
        <is>
          <t>Pazar</t>
        </is>
      </c>
      <c r="D66" s="4" t="inlineStr">
        <is>
          <t>01403</t>
        </is>
      </c>
      <c r="E66" s="4" t="inlineStr">
        <is>
          <t>01403</t>
        </is>
      </c>
      <c r="F66" s="29" t="inlineStr">
        <is>
          <t>EMRE CAN ÇAKAR</t>
        </is>
      </c>
      <c r="G66" s="29" t="inlineStr">
        <is>
          <t>DİĞER</t>
        </is>
      </c>
      <c r="H66" s="4" t="inlineStr">
        <is>
          <t>-</t>
        </is>
      </c>
      <c r="I66" s="4" t="inlineStr">
        <is>
          <t>20:00</t>
        </is>
      </c>
      <c r="J66" s="29" t="inlineStr">
        <is>
          <t>08:18, 20:00</t>
        </is>
      </c>
      <c r="K66" s="30" t="inlineStr">
        <is>
          <t>GİRİŞ_YOK_AKŞAM</t>
        </is>
      </c>
      <c r="L66" s="8" t="n">
        <v>10.5</v>
      </c>
      <c r="M66" s="8" t="n">
        <v>3</v>
      </c>
      <c r="N66" s="4" t="inlineStr">
        <is>
          <t>İK / Amir Onayında</t>
        </is>
      </c>
    </row>
    <row r="67">
      <c r="A67" s="4" t="n">
        <v>1185</v>
      </c>
      <c r="B67" s="4" t="inlineStr">
        <is>
          <t>19.10.2026</t>
        </is>
      </c>
      <c r="C67" s="4" t="inlineStr">
        <is>
          <t>Pazartesi</t>
        </is>
      </c>
      <c r="D67" s="4" t="inlineStr">
        <is>
          <t>01403</t>
        </is>
      </c>
      <c r="E67" s="4" t="inlineStr">
        <is>
          <t>01403</t>
        </is>
      </c>
      <c r="F67" s="29" t="inlineStr">
        <is>
          <t>EMRE CAN ÇAKAR</t>
        </is>
      </c>
      <c r="G67" s="29" t="inlineStr">
        <is>
          <t>DİĞER</t>
        </is>
      </c>
      <c r="H67" s="4" t="inlineStr">
        <is>
          <t>-</t>
        </is>
      </c>
      <c r="I67" s="4" t="inlineStr">
        <is>
          <t>09:15</t>
        </is>
      </c>
      <c r="J67" s="29" t="inlineStr">
        <is>
          <t>08:36, 09:15</t>
        </is>
      </c>
      <c r="K67" s="30" t="inlineStr">
        <is>
          <t>GİRİŞ_YOK_AKŞAM</t>
        </is>
      </c>
      <c r="L67" s="8" t="n">
        <v>1</v>
      </c>
      <c r="M67" s="8" t="n">
        <v>0</v>
      </c>
      <c r="N67" s="4" t="inlineStr">
        <is>
          <t>İK / Amir Onayında</t>
        </is>
      </c>
    </row>
    <row r="68">
      <c r="A68" s="4" t="n">
        <v>1186</v>
      </c>
      <c r="B68" s="4" t="inlineStr">
        <is>
          <t>1.10.2026</t>
        </is>
      </c>
      <c r="C68" s="4" t="inlineStr">
        <is>
          <t>Perşembe</t>
        </is>
      </c>
      <c r="D68" s="4" t="inlineStr">
        <is>
          <t>00007</t>
        </is>
      </c>
      <c r="E68" s="4" t="inlineStr">
        <is>
          <t>00007</t>
        </is>
      </c>
      <c r="F68" s="29" t="inlineStr">
        <is>
          <t>ENDER BİLBAY</t>
        </is>
      </c>
      <c r="G68" s="29" t="inlineStr">
        <is>
          <t>KAPI GÖREVLİSİ</t>
        </is>
      </c>
      <c r="H68" s="4" t="inlineStr">
        <is>
          <t>22:53</t>
        </is>
      </c>
      <c r="I68" s="4" t="inlineStr">
        <is>
          <t>00:24</t>
        </is>
      </c>
      <c r="J68" s="29" t="inlineStr">
        <is>
          <t>16:11, 22:53, 00:24</t>
        </is>
      </c>
      <c r="K68" s="30" t="inlineStr">
        <is>
          <t>ÇOKLU_BASIM_MIN_MAX</t>
        </is>
      </c>
      <c r="L68" s="8" t="n">
        <v>0.5</v>
      </c>
      <c r="M68" s="8" t="n">
        <v>0</v>
      </c>
      <c r="N68" s="4" t="inlineStr">
        <is>
          <t>İK / Amir Onayında</t>
        </is>
      </c>
    </row>
    <row r="69">
      <c r="A69" s="4" t="n">
        <v>1191</v>
      </c>
      <c r="B69" s="4" t="inlineStr">
        <is>
          <t>6.10.2026</t>
        </is>
      </c>
      <c r="C69" s="4" t="inlineStr">
        <is>
          <t>Salı</t>
        </is>
      </c>
      <c r="D69" s="4" t="inlineStr">
        <is>
          <t>00007</t>
        </is>
      </c>
      <c r="E69" s="4" t="inlineStr">
        <is>
          <t>00007</t>
        </is>
      </c>
      <c r="F69" s="29" t="inlineStr">
        <is>
          <t>ENDER BİLBAY</t>
        </is>
      </c>
      <c r="G69" s="29" t="inlineStr">
        <is>
          <t>KAPI GÖREVLİSİ</t>
        </is>
      </c>
      <c r="H69" s="4" t="inlineStr">
        <is>
          <t>15:59</t>
        </is>
      </c>
      <c r="I69" s="4" t="inlineStr">
        <is>
          <t>00:00</t>
        </is>
      </c>
      <c r="J69" s="29" t="inlineStr">
        <is>
          <t>15:59, 17:05, 00:00</t>
        </is>
      </c>
      <c r="K69" s="30" t="inlineStr">
        <is>
          <t>ÇOKLU_BASIM_MIN_MAX</t>
        </is>
      </c>
      <c r="L69" s="8" t="n">
        <v>6.42</v>
      </c>
      <c r="M69" s="8" t="n">
        <v>0</v>
      </c>
      <c r="N69" s="4" t="inlineStr">
        <is>
          <t>İK / Amir Onayında</t>
        </is>
      </c>
    </row>
    <row r="70">
      <c r="A70" s="4" t="n">
        <v>1193</v>
      </c>
      <c r="B70" s="4" t="inlineStr">
        <is>
          <t>8.10.2026</t>
        </is>
      </c>
      <c r="C70" s="4" t="inlineStr">
        <is>
          <t>Perşembe</t>
        </is>
      </c>
      <c r="D70" s="4" t="inlineStr">
        <is>
          <t>00007</t>
        </is>
      </c>
      <c r="E70" s="4" t="inlineStr">
        <is>
          <t>00007</t>
        </is>
      </c>
      <c r="F70" s="29" t="inlineStr">
        <is>
          <t>ENDER BİLBAY</t>
        </is>
      </c>
      <c r="G70" s="29" t="inlineStr">
        <is>
          <t>KAPI GÖREVLİSİ</t>
        </is>
      </c>
      <c r="H70" s="4" t="inlineStr">
        <is>
          <t>16:02</t>
        </is>
      </c>
      <c r="I70" s="4" t="inlineStr">
        <is>
          <t>-</t>
        </is>
      </c>
      <c r="J70" s="29" t="inlineStr">
        <is>
          <t>16:02</t>
        </is>
      </c>
      <c r="K70" s="30" t="inlineStr">
        <is>
          <t>ÇIKIŞ_YOK</t>
        </is>
      </c>
      <c r="L70" s="8" t="n">
        <v>7.5</v>
      </c>
      <c r="M70" s="8" t="n">
        <v>0</v>
      </c>
      <c r="N70" s="4" t="inlineStr">
        <is>
          <t>İK / Amir Onayında</t>
        </is>
      </c>
    </row>
    <row r="71">
      <c r="A71" s="4" t="n">
        <v>1199</v>
      </c>
      <c r="B71" s="4" t="inlineStr">
        <is>
          <t>21.10.2026</t>
        </is>
      </c>
      <c r="C71" s="4" t="inlineStr">
        <is>
          <t>Çarşamba</t>
        </is>
      </c>
      <c r="D71" s="4" t="inlineStr">
        <is>
          <t>00007</t>
        </is>
      </c>
      <c r="E71" s="4" t="inlineStr">
        <is>
          <t>00007</t>
        </is>
      </c>
      <c r="F71" s="29" t="inlineStr">
        <is>
          <t>ENDER BİLBAY</t>
        </is>
      </c>
      <c r="G71" s="29" t="inlineStr">
        <is>
          <t>KAPI GÖREVLİSİ</t>
        </is>
      </c>
      <c r="H71" s="4" t="inlineStr">
        <is>
          <t>15:46</t>
        </is>
      </c>
      <c r="I71" s="4" t="inlineStr">
        <is>
          <t>-</t>
        </is>
      </c>
      <c r="J71" s="29" t="inlineStr">
        <is>
          <t>15:46</t>
        </is>
      </c>
      <c r="K71" s="30" t="inlineStr">
        <is>
          <t>ÇIKIŞ_YOK</t>
        </is>
      </c>
      <c r="L71" s="8" t="n">
        <v>7.5</v>
      </c>
      <c r="M71" s="8" t="n">
        <v>0</v>
      </c>
      <c r="N71" s="4" t="inlineStr">
        <is>
          <t>İK / Amir Onayında</t>
        </is>
      </c>
    </row>
    <row r="72">
      <c r="A72" s="4" t="n">
        <v>1200</v>
      </c>
      <c r="B72" s="4" t="inlineStr">
        <is>
          <t>1.10.2026</t>
        </is>
      </c>
      <c r="C72" s="4" t="inlineStr">
        <is>
          <t>Perşembe</t>
        </is>
      </c>
      <c r="D72" s="4" t="inlineStr">
        <is>
          <t>00293</t>
        </is>
      </c>
      <c r="E72" s="4" t="inlineStr">
        <is>
          <t>00293</t>
        </is>
      </c>
      <c r="F72" s="29" t="inlineStr">
        <is>
          <t>ENES ABDE</t>
        </is>
      </c>
      <c r="G72" s="29" t="inlineStr">
        <is>
          <t>BALIK TEMİZLEME</t>
        </is>
      </c>
      <c r="H72" s="4" t="inlineStr">
        <is>
          <t>07:41</t>
        </is>
      </c>
      <c r="I72" s="4" t="inlineStr">
        <is>
          <t>17:33</t>
        </is>
      </c>
      <c r="J72" s="29" t="inlineStr">
        <is>
          <t>07:41, 07:42, 17:33</t>
        </is>
      </c>
      <c r="K72" s="30" t="inlineStr">
        <is>
          <t>ÇOKLU_BASIM_MIN_MAX</t>
        </is>
      </c>
      <c r="L72" s="8" t="n">
        <v>8</v>
      </c>
      <c r="M72" s="8" t="n">
        <v>0.5</v>
      </c>
      <c r="N72" s="4" t="inlineStr">
        <is>
          <t>İK / Amir Onayında</t>
        </is>
      </c>
    </row>
    <row r="73">
      <c r="A73" s="4" t="n">
        <v>1207</v>
      </c>
      <c r="B73" s="4" t="inlineStr">
        <is>
          <t>14.10.2026</t>
        </is>
      </c>
      <c r="C73" s="4" t="inlineStr">
        <is>
          <t>Çarşamba</t>
        </is>
      </c>
      <c r="D73" s="4" t="inlineStr">
        <is>
          <t>00293</t>
        </is>
      </c>
      <c r="E73" s="4" t="inlineStr">
        <is>
          <t>00293</t>
        </is>
      </c>
      <c r="F73" s="29" t="inlineStr">
        <is>
          <t>ENES ABDE</t>
        </is>
      </c>
      <c r="G73" s="29" t="inlineStr">
        <is>
          <t>BALIK TEMİZLEME</t>
        </is>
      </c>
      <c r="H73" s="4" t="inlineStr">
        <is>
          <t>18:12</t>
        </is>
      </c>
      <c r="I73" s="4" t="inlineStr">
        <is>
          <t>18:21</t>
        </is>
      </c>
      <c r="J73" s="29" t="inlineStr">
        <is>
          <t>07:58, 18:12, 18:21</t>
        </is>
      </c>
      <c r="K73" s="30" t="inlineStr">
        <is>
          <t>ÇOKLU_BASIM_MIN_MAX</t>
        </is>
      </c>
      <c r="L73" s="8" t="n">
        <v>0.5</v>
      </c>
      <c r="M73" s="8" t="n">
        <v>0</v>
      </c>
      <c r="N73" s="4" t="inlineStr">
        <is>
          <t>İK / Amir Onayında</t>
        </is>
      </c>
    </row>
    <row r="74">
      <c r="A74" s="4" t="n">
        <v>1212</v>
      </c>
      <c r="B74" s="4" t="inlineStr">
        <is>
          <t>2.10.2026</t>
        </is>
      </c>
      <c r="C74" s="4" t="inlineStr">
        <is>
          <t>Cuma</t>
        </is>
      </c>
      <c r="D74" s="4" t="inlineStr">
        <is>
          <t>01406</t>
        </is>
      </c>
      <c r="E74" s="4" t="inlineStr">
        <is>
          <t>01406</t>
        </is>
      </c>
      <c r="F74" s="29" t="inlineStr">
        <is>
          <t>ENES ALKAN</t>
        </is>
      </c>
      <c r="G74" s="29" t="inlineStr">
        <is>
          <t>DİĞER</t>
        </is>
      </c>
      <c r="H74" s="4" t="inlineStr">
        <is>
          <t>12:40</t>
        </is>
      </c>
      <c r="I74" s="4" t="inlineStr">
        <is>
          <t>-</t>
        </is>
      </c>
      <c r="J74" s="29" t="inlineStr">
        <is>
          <t>12:40</t>
        </is>
      </c>
      <c r="K74" s="30" t="inlineStr">
        <is>
          <t>ÇIKIŞ_YOK</t>
        </is>
      </c>
      <c r="L74" s="8" t="n">
        <v>7.5</v>
      </c>
      <c r="M74" s="8" t="n">
        <v>0</v>
      </c>
      <c r="N74" s="4" t="inlineStr">
        <is>
          <t>İK / Amir Onayında</t>
        </is>
      </c>
    </row>
    <row r="75">
      <c r="A75" s="4" t="n">
        <v>1213</v>
      </c>
      <c r="B75" s="4" t="inlineStr">
        <is>
          <t>3.10.2026</t>
        </is>
      </c>
      <c r="C75" s="4" t="inlineStr">
        <is>
          <t>Cumartesi</t>
        </is>
      </c>
      <c r="D75" s="4" t="inlineStr">
        <is>
          <t>01406</t>
        </is>
      </c>
      <c r="E75" s="4" t="inlineStr">
        <is>
          <t>01406</t>
        </is>
      </c>
      <c r="F75" s="29" t="inlineStr">
        <is>
          <t>ENES ALKAN</t>
        </is>
      </c>
      <c r="G75" s="29" t="inlineStr">
        <is>
          <t>DİĞER</t>
        </is>
      </c>
      <c r="H75" s="4" t="inlineStr">
        <is>
          <t>07:50</t>
        </is>
      </c>
      <c r="I75" s="4" t="inlineStr">
        <is>
          <t>-</t>
        </is>
      </c>
      <c r="J75" s="29" t="inlineStr">
        <is>
          <t>07:50</t>
        </is>
      </c>
      <c r="K75" s="30" t="inlineStr">
        <is>
          <t>ÇIKIŞ_YOK</t>
        </is>
      </c>
      <c r="L75" s="8" t="n">
        <v>7.5</v>
      </c>
      <c r="M75" s="8" t="n">
        <v>0</v>
      </c>
      <c r="N75" s="4" t="inlineStr">
        <is>
          <t>İK / Amir Onayında</t>
        </is>
      </c>
    </row>
    <row r="76">
      <c r="A76" s="4" t="n">
        <v>1214</v>
      </c>
      <c r="B76" s="4" t="inlineStr">
        <is>
          <t>5.10.2026</t>
        </is>
      </c>
      <c r="C76" s="4" t="inlineStr">
        <is>
          <t>Pazartesi</t>
        </is>
      </c>
      <c r="D76" s="4" t="inlineStr">
        <is>
          <t>01406</t>
        </is>
      </c>
      <c r="E76" s="4" t="inlineStr">
        <is>
          <t>01406</t>
        </is>
      </c>
      <c r="F76" s="29" t="inlineStr">
        <is>
          <t>ENES ALKAN</t>
        </is>
      </c>
      <c r="G76" s="29" t="inlineStr">
        <is>
          <t>DİĞER</t>
        </is>
      </c>
      <c r="H76" s="4" t="inlineStr">
        <is>
          <t>07:49</t>
        </is>
      </c>
      <c r="I76" s="4" t="inlineStr">
        <is>
          <t>-</t>
        </is>
      </c>
      <c r="J76" s="29" t="inlineStr">
        <is>
          <t>07:49</t>
        </is>
      </c>
      <c r="K76" s="30" t="inlineStr">
        <is>
          <t>ÇIKIŞ_YOK</t>
        </is>
      </c>
      <c r="L76" s="8" t="n">
        <v>7.5</v>
      </c>
      <c r="M76" s="8" t="n">
        <v>0</v>
      </c>
      <c r="N76" s="4" t="inlineStr">
        <is>
          <t>İK / Amir Onayında</t>
        </is>
      </c>
    </row>
    <row r="77">
      <c r="A77" s="4" t="n">
        <v>1215</v>
      </c>
      <c r="B77" s="4" t="inlineStr">
        <is>
          <t>6.10.2026</t>
        </is>
      </c>
      <c r="C77" s="4" t="inlineStr">
        <is>
          <t>Salı</t>
        </is>
      </c>
      <c r="D77" s="4" t="inlineStr">
        <is>
          <t>01406</t>
        </is>
      </c>
      <c r="E77" s="4" t="inlineStr">
        <is>
          <t>01406</t>
        </is>
      </c>
      <c r="F77" s="29" t="inlineStr">
        <is>
          <t>ENES ALKAN</t>
        </is>
      </c>
      <c r="G77" s="29" t="inlineStr">
        <is>
          <t>DİĞER</t>
        </is>
      </c>
      <c r="H77" s="4" t="inlineStr">
        <is>
          <t>08:03</t>
        </is>
      </c>
      <c r="I77" s="4" t="inlineStr">
        <is>
          <t>-</t>
        </is>
      </c>
      <c r="J77" s="29" t="inlineStr">
        <is>
          <t>08:03, 22:29</t>
        </is>
      </c>
      <c r="K77" s="30" t="inlineStr">
        <is>
          <t>ÇIKIŞ_YOK</t>
        </is>
      </c>
      <c r="L77" s="8" t="n">
        <v>7.5</v>
      </c>
      <c r="M77" s="8" t="n">
        <v>0</v>
      </c>
      <c r="N77" s="4" t="inlineStr">
        <is>
          <t>İK / Amir Onayında</t>
        </is>
      </c>
    </row>
    <row r="78">
      <c r="A78" s="4" t="n">
        <v>1216</v>
      </c>
      <c r="B78" s="4" t="inlineStr">
        <is>
          <t>7.10.2026</t>
        </is>
      </c>
      <c r="C78" s="4" t="inlineStr">
        <is>
          <t>Çarşamba</t>
        </is>
      </c>
      <c r="D78" s="4" t="inlineStr">
        <is>
          <t>01406</t>
        </is>
      </c>
      <c r="E78" s="4" t="inlineStr">
        <is>
          <t>01406</t>
        </is>
      </c>
      <c r="F78" s="29" t="inlineStr">
        <is>
          <t>ENES ALKAN</t>
        </is>
      </c>
      <c r="G78" s="29" t="inlineStr">
        <is>
          <t>DİĞER</t>
        </is>
      </c>
      <c r="H78" s="4" t="inlineStr">
        <is>
          <t>21:52</t>
        </is>
      </c>
      <c r="I78" s="4" t="inlineStr">
        <is>
          <t>-</t>
        </is>
      </c>
      <c r="J78" s="29" t="inlineStr">
        <is>
          <t>21:52</t>
        </is>
      </c>
      <c r="K78" s="30" t="inlineStr">
        <is>
          <t>ÇIKIŞ_YOK</t>
        </is>
      </c>
      <c r="L78" s="8" t="n">
        <v>7.5</v>
      </c>
      <c r="M78" s="8" t="n">
        <v>0</v>
      </c>
      <c r="N78" s="4" t="inlineStr">
        <is>
          <t>İK / Amir Onayında</t>
        </is>
      </c>
    </row>
    <row r="79">
      <c r="A79" s="4" t="n">
        <v>1217</v>
      </c>
      <c r="B79" s="4" t="inlineStr">
        <is>
          <t>9.10.2026</t>
        </is>
      </c>
      <c r="C79" s="4" t="inlineStr">
        <is>
          <t>Cuma</t>
        </is>
      </c>
      <c r="D79" s="4" t="inlineStr">
        <is>
          <t>01406</t>
        </is>
      </c>
      <c r="E79" s="4" t="inlineStr">
        <is>
          <t>01406</t>
        </is>
      </c>
      <c r="F79" s="29" t="inlineStr">
        <is>
          <t>ENES ALKAN</t>
        </is>
      </c>
      <c r="G79" s="29" t="inlineStr">
        <is>
          <t>DİĞER</t>
        </is>
      </c>
      <c r="H79" s="4" t="inlineStr">
        <is>
          <t>07:57</t>
        </is>
      </c>
      <c r="I79" s="4" t="inlineStr">
        <is>
          <t>-</t>
        </is>
      </c>
      <c r="J79" s="29" t="inlineStr">
        <is>
          <t>07:57</t>
        </is>
      </c>
      <c r="K79" s="30" t="inlineStr">
        <is>
          <t>ÇIKIŞ_YOK</t>
        </is>
      </c>
      <c r="L79" s="8" t="n">
        <v>7.5</v>
      </c>
      <c r="M79" s="8" t="n">
        <v>0</v>
      </c>
      <c r="N79" s="4" t="inlineStr">
        <is>
          <t>İK / Amir Onayında</t>
        </is>
      </c>
    </row>
    <row r="80">
      <c r="A80" s="4" t="n">
        <v>1218</v>
      </c>
      <c r="B80" s="4" t="inlineStr">
        <is>
          <t>10.10.2026</t>
        </is>
      </c>
      <c r="C80" s="4" t="inlineStr">
        <is>
          <t>Cumartesi</t>
        </is>
      </c>
      <c r="D80" s="4" t="inlineStr">
        <is>
          <t>01406</t>
        </is>
      </c>
      <c r="E80" s="4" t="inlineStr">
        <is>
          <t>01406</t>
        </is>
      </c>
      <c r="F80" s="29" t="inlineStr">
        <is>
          <t>ENES ALKAN</t>
        </is>
      </c>
      <c r="G80" s="29" t="inlineStr">
        <is>
          <t>DİĞER</t>
        </is>
      </c>
      <c r="H80" s="4" t="inlineStr">
        <is>
          <t>07:55</t>
        </is>
      </c>
      <c r="I80" s="4" t="inlineStr">
        <is>
          <t>-</t>
        </is>
      </c>
      <c r="J80" s="29" t="inlineStr">
        <is>
          <t>07:55</t>
        </is>
      </c>
      <c r="K80" s="30" t="inlineStr">
        <is>
          <t>ÇIKIŞ_YOK</t>
        </is>
      </c>
      <c r="L80" s="8" t="n">
        <v>7.5</v>
      </c>
      <c r="M80" s="8" t="n">
        <v>0</v>
      </c>
      <c r="N80" s="4" t="inlineStr">
        <is>
          <t>İK / Amir Onayında</t>
        </is>
      </c>
    </row>
    <row r="81">
      <c r="A81" s="4" t="n">
        <v>1219</v>
      </c>
      <c r="B81" s="4" t="inlineStr">
        <is>
          <t>12.10.2026</t>
        </is>
      </c>
      <c r="C81" s="4" t="inlineStr">
        <is>
          <t>Pazartesi</t>
        </is>
      </c>
      <c r="D81" s="4" t="inlineStr">
        <is>
          <t>01406</t>
        </is>
      </c>
      <c r="E81" s="4" t="inlineStr">
        <is>
          <t>01406</t>
        </is>
      </c>
      <c r="F81" s="29" t="inlineStr">
        <is>
          <t>ENES ALKAN</t>
        </is>
      </c>
      <c r="G81" s="29" t="inlineStr">
        <is>
          <t>DİĞER</t>
        </is>
      </c>
      <c r="H81" s="4" t="inlineStr">
        <is>
          <t>07:53</t>
        </is>
      </c>
      <c r="I81" s="4" t="inlineStr">
        <is>
          <t>-</t>
        </is>
      </c>
      <c r="J81" s="29" t="inlineStr">
        <is>
          <t>07:53, 22:07</t>
        </is>
      </c>
      <c r="K81" s="30" t="inlineStr">
        <is>
          <t>ÇIKIŞ_YOK</t>
        </is>
      </c>
      <c r="L81" s="8" t="n">
        <v>7.5</v>
      </c>
      <c r="M81" s="8" t="n">
        <v>0</v>
      </c>
      <c r="N81" s="4" t="inlineStr">
        <is>
          <t>İK / Amir Onayında</t>
        </is>
      </c>
    </row>
    <row r="82">
      <c r="A82" s="4" t="n">
        <v>1220</v>
      </c>
      <c r="B82" s="4" t="inlineStr">
        <is>
          <t>13.10.2026</t>
        </is>
      </c>
      <c r="C82" s="4" t="inlineStr">
        <is>
          <t>Salı</t>
        </is>
      </c>
      <c r="D82" s="4" t="inlineStr">
        <is>
          <t>01406</t>
        </is>
      </c>
      <c r="E82" s="4" t="inlineStr">
        <is>
          <t>01406</t>
        </is>
      </c>
      <c r="F82" s="29" t="inlineStr">
        <is>
          <t>ENES ALKAN</t>
        </is>
      </c>
      <c r="G82" s="29" t="inlineStr">
        <is>
          <t>DİĞER</t>
        </is>
      </c>
      <c r="H82" s="4" t="inlineStr">
        <is>
          <t>08:00</t>
        </is>
      </c>
      <c r="I82" s="4" t="inlineStr">
        <is>
          <t>-</t>
        </is>
      </c>
      <c r="J82" s="29" t="inlineStr">
        <is>
          <t>08:00</t>
        </is>
      </c>
      <c r="K82" s="30" t="inlineStr">
        <is>
          <t>ÇIKIŞ_YOK</t>
        </is>
      </c>
      <c r="L82" s="8" t="n">
        <v>7.5</v>
      </c>
      <c r="M82" s="8" t="n">
        <v>0</v>
      </c>
      <c r="N82" s="4" t="inlineStr">
        <is>
          <t>İK / Amir Onayında</t>
        </is>
      </c>
    </row>
    <row r="83">
      <c r="A83" s="4" t="n">
        <v>1221</v>
      </c>
      <c r="B83" s="4" t="inlineStr">
        <is>
          <t>15.10.2026</t>
        </is>
      </c>
      <c r="C83" s="4" t="inlineStr">
        <is>
          <t>Perşembe</t>
        </is>
      </c>
      <c r="D83" s="4" t="inlineStr">
        <is>
          <t>01406</t>
        </is>
      </c>
      <c r="E83" s="4" t="inlineStr">
        <is>
          <t>01406</t>
        </is>
      </c>
      <c r="F83" s="29" t="inlineStr">
        <is>
          <t>ENES ALKAN</t>
        </is>
      </c>
      <c r="G83" s="29" t="inlineStr">
        <is>
          <t>DİĞER</t>
        </is>
      </c>
      <c r="H83" s="4" t="inlineStr">
        <is>
          <t>07:55</t>
        </is>
      </c>
      <c r="I83" s="4" t="inlineStr">
        <is>
          <t>-</t>
        </is>
      </c>
      <c r="J83" s="29" t="inlineStr">
        <is>
          <t>07:55, 22:43</t>
        </is>
      </c>
      <c r="K83" s="30" t="inlineStr">
        <is>
          <t>ÇIKIŞ_YOK</t>
        </is>
      </c>
      <c r="L83" s="8" t="n">
        <v>7.5</v>
      </c>
      <c r="M83" s="8" t="n">
        <v>0</v>
      </c>
      <c r="N83" s="4" t="inlineStr">
        <is>
          <t>İK / Amir Onayında</t>
        </is>
      </c>
    </row>
    <row r="84">
      <c r="A84" s="4" t="n">
        <v>1222</v>
      </c>
      <c r="B84" s="4" t="inlineStr">
        <is>
          <t>16.10.2026</t>
        </is>
      </c>
      <c r="C84" s="4" t="inlineStr">
        <is>
          <t>Cuma</t>
        </is>
      </c>
      <c r="D84" s="4" t="inlineStr">
        <is>
          <t>01406</t>
        </is>
      </c>
      <c r="E84" s="4" t="inlineStr">
        <is>
          <t>01406</t>
        </is>
      </c>
      <c r="F84" s="29" t="inlineStr">
        <is>
          <t>ENES ALKAN</t>
        </is>
      </c>
      <c r="G84" s="29" t="inlineStr">
        <is>
          <t>DİĞER</t>
        </is>
      </c>
      <c r="H84" s="4" t="inlineStr">
        <is>
          <t>08:06</t>
        </is>
      </c>
      <c r="I84" s="4" t="inlineStr">
        <is>
          <t>-</t>
        </is>
      </c>
      <c r="J84" s="29" t="inlineStr">
        <is>
          <t>08:06</t>
        </is>
      </c>
      <c r="K84" s="30" t="inlineStr">
        <is>
          <t>ÇIKIŞ_YOK</t>
        </is>
      </c>
      <c r="L84" s="8" t="n">
        <v>7.5</v>
      </c>
      <c r="M84" s="8" t="n">
        <v>0</v>
      </c>
      <c r="N84" s="4" t="inlineStr">
        <is>
          <t>İK / Amir Onayında</t>
        </is>
      </c>
    </row>
    <row r="85">
      <c r="A85" s="4" t="n">
        <v>1223</v>
      </c>
      <c r="B85" s="4" t="inlineStr">
        <is>
          <t>17.10.2026</t>
        </is>
      </c>
      <c r="C85" s="4" t="inlineStr">
        <is>
          <t>Cumartesi</t>
        </is>
      </c>
      <c r="D85" s="4" t="inlineStr">
        <is>
          <t>01406</t>
        </is>
      </c>
      <c r="E85" s="4" t="inlineStr">
        <is>
          <t>01406</t>
        </is>
      </c>
      <c r="F85" s="29" t="inlineStr">
        <is>
          <t>ENES ALKAN</t>
        </is>
      </c>
      <c r="G85" s="29" t="inlineStr">
        <is>
          <t>DİĞER</t>
        </is>
      </c>
      <c r="H85" s="4" t="inlineStr">
        <is>
          <t>08:10</t>
        </is>
      </c>
      <c r="I85" s="4" t="inlineStr">
        <is>
          <t>-</t>
        </is>
      </c>
      <c r="J85" s="29" t="inlineStr">
        <is>
          <t>08:10, 20:15</t>
        </is>
      </c>
      <c r="K85" s="30" t="inlineStr">
        <is>
          <t>ÇIKIŞ_YOK</t>
        </is>
      </c>
      <c r="L85" s="8" t="n">
        <v>7.5</v>
      </c>
      <c r="M85" s="8" t="n">
        <v>0</v>
      </c>
      <c r="N85" s="4" t="inlineStr">
        <is>
          <t>İK / Amir Onayında</t>
        </is>
      </c>
    </row>
    <row r="86">
      <c r="A86" s="4" t="n">
        <v>1224</v>
      </c>
      <c r="B86" s="4" t="inlineStr">
        <is>
          <t>18.10.2026</t>
        </is>
      </c>
      <c r="C86" s="4" t="inlineStr">
        <is>
          <t>Pazar</t>
        </is>
      </c>
      <c r="D86" s="4" t="inlineStr">
        <is>
          <t>01406</t>
        </is>
      </c>
      <c r="E86" s="4" t="inlineStr">
        <is>
          <t>01406</t>
        </is>
      </c>
      <c r="F86" s="29" t="inlineStr">
        <is>
          <t>ENES ALKAN</t>
        </is>
      </c>
      <c r="G86" s="29" t="inlineStr">
        <is>
          <t>DİĞER</t>
        </is>
      </c>
      <c r="H86" s="4" t="inlineStr">
        <is>
          <t>08:19</t>
        </is>
      </c>
      <c r="I86" s="4" t="inlineStr">
        <is>
          <t>-</t>
        </is>
      </c>
      <c r="J86" s="29" t="inlineStr">
        <is>
          <t>08:19, 20:39</t>
        </is>
      </c>
      <c r="K86" s="30" t="inlineStr">
        <is>
          <t>ÇIKIŞ_YOK</t>
        </is>
      </c>
      <c r="L86" s="8" t="n">
        <v>7.5</v>
      </c>
      <c r="M86" s="8" t="n">
        <v>0</v>
      </c>
      <c r="N86" s="4" t="inlineStr">
        <is>
          <t>İK / Amir Onayında</t>
        </is>
      </c>
    </row>
    <row r="87">
      <c r="A87" s="4" t="n">
        <v>1225</v>
      </c>
      <c r="B87" s="4" t="inlineStr">
        <is>
          <t>19.10.2026</t>
        </is>
      </c>
      <c r="C87" s="4" t="inlineStr">
        <is>
          <t>Pazartesi</t>
        </is>
      </c>
      <c r="D87" s="4" t="inlineStr">
        <is>
          <t>01406</t>
        </is>
      </c>
      <c r="E87" s="4" t="inlineStr">
        <is>
          <t>01406</t>
        </is>
      </c>
      <c r="F87" s="29" t="inlineStr">
        <is>
          <t>ENES ALKAN</t>
        </is>
      </c>
      <c r="G87" s="29" t="inlineStr">
        <is>
          <t>DİĞER</t>
        </is>
      </c>
      <c r="H87" s="4" t="inlineStr">
        <is>
          <t>08:35</t>
        </is>
      </c>
      <c r="I87" s="4" t="inlineStr">
        <is>
          <t>-</t>
        </is>
      </c>
      <c r="J87" s="29" t="inlineStr">
        <is>
          <t>08:35</t>
        </is>
      </c>
      <c r="K87" s="30" t="inlineStr">
        <is>
          <t>ÇIKIŞ_YOK</t>
        </is>
      </c>
      <c r="L87" s="8" t="n">
        <v>7.5</v>
      </c>
      <c r="M87" s="8" t="n">
        <v>0</v>
      </c>
      <c r="N87" s="4" t="inlineStr">
        <is>
          <t>İK / Amir Onayında</t>
        </is>
      </c>
    </row>
    <row r="88">
      <c r="A88" s="4" t="n">
        <v>1226</v>
      </c>
      <c r="B88" s="4" t="inlineStr">
        <is>
          <t>2.10.2026</t>
        </is>
      </c>
      <c r="C88" s="4" t="inlineStr">
        <is>
          <t>Cuma</t>
        </is>
      </c>
      <c r="D88" s="4" t="inlineStr">
        <is>
          <t>01407</t>
        </is>
      </c>
      <c r="E88" s="4" t="inlineStr">
        <is>
          <t>01407</t>
        </is>
      </c>
      <c r="F88" s="29" t="inlineStr">
        <is>
          <t>ENİFE MENTEŞ</t>
        </is>
      </c>
      <c r="G88" s="29" t="inlineStr">
        <is>
          <t>DİĞER</t>
        </is>
      </c>
      <c r="H88" s="4" t="inlineStr">
        <is>
          <t>19:46</t>
        </is>
      </c>
      <c r="I88" s="4" t="inlineStr">
        <is>
          <t>07:53</t>
        </is>
      </c>
      <c r="J88" s="29" t="inlineStr">
        <is>
          <t>07:51, 19:46, 07:53</t>
        </is>
      </c>
      <c r="K88" s="30" t="inlineStr">
        <is>
          <t>ÇOKLU_BASIM_MIN_MAX</t>
        </is>
      </c>
      <c r="L88" s="8" t="n">
        <v>10.5</v>
      </c>
      <c r="M88" s="8" t="n">
        <v>3</v>
      </c>
      <c r="N88" s="4" t="inlineStr">
        <is>
          <t>İK / Amir Onayında</t>
        </is>
      </c>
    </row>
    <row r="89">
      <c r="A89" s="4" t="n">
        <v>1336</v>
      </c>
      <c r="B89" s="4" t="inlineStr">
        <is>
          <t>12.10.2026</t>
        </is>
      </c>
      <c r="C89" s="4" t="inlineStr">
        <is>
          <t>Pazartesi</t>
        </is>
      </c>
      <c r="D89" s="4" t="inlineStr">
        <is>
          <t>00641</t>
        </is>
      </c>
      <c r="E89" s="4" t="inlineStr">
        <is>
          <t>00641</t>
        </is>
      </c>
      <c r="F89" s="29" t="inlineStr">
        <is>
          <t>EZGİ EBRU ÖZÇELİK</t>
        </is>
      </c>
      <c r="G89" s="29" t="inlineStr">
        <is>
          <t>DİĞER</t>
        </is>
      </c>
      <c r="H89" s="4" t="inlineStr">
        <is>
          <t>-</t>
        </is>
      </c>
      <c r="I89" s="4" t="inlineStr">
        <is>
          <t>18:01</t>
        </is>
      </c>
      <c r="J89" s="29" t="inlineStr">
        <is>
          <t>18:01</t>
        </is>
      </c>
      <c r="K89" s="30" t="inlineStr">
        <is>
          <t>GİRİŞ_YOK_AKŞAM</t>
        </is>
      </c>
      <c r="L89" s="8" t="n">
        <v>8.5</v>
      </c>
      <c r="M89" s="8" t="n">
        <v>1</v>
      </c>
      <c r="N89" s="4" t="inlineStr">
        <is>
          <t>İK / Amir Onayında</t>
        </is>
      </c>
    </row>
    <row r="90">
      <c r="A90" s="4" t="n">
        <v>1337</v>
      </c>
      <c r="B90" s="4" t="inlineStr">
        <is>
          <t>13.10.2026</t>
        </is>
      </c>
      <c r="C90" s="4" t="inlineStr">
        <is>
          <t>Salı</t>
        </is>
      </c>
      <c r="D90" s="4" t="inlineStr">
        <is>
          <t>00641</t>
        </is>
      </c>
      <c r="E90" s="4" t="inlineStr">
        <is>
          <t>00641</t>
        </is>
      </c>
      <c r="F90" s="29" t="inlineStr">
        <is>
          <t>EZGİ EBRU ÖZÇELİK</t>
        </is>
      </c>
      <c r="G90" s="29" t="inlineStr">
        <is>
          <t>DİĞER</t>
        </is>
      </c>
      <c r="H90" s="4" t="inlineStr">
        <is>
          <t>07:56</t>
        </is>
      </c>
      <c r="I90" s="4" t="inlineStr">
        <is>
          <t>17:05</t>
        </is>
      </c>
      <c r="J90" s="29" t="inlineStr">
        <is>
          <t>07:56, 07:57, 17:05</t>
        </is>
      </c>
      <c r="K90" s="30" t="inlineStr">
        <is>
          <t>ÇOKLU_BASIM_MIN_MAX</t>
        </is>
      </c>
      <c r="L90" s="8" t="n">
        <v>0</v>
      </c>
      <c r="M90" s="8" t="n">
        <v>0</v>
      </c>
      <c r="N90" s="4" t="inlineStr">
        <is>
          <t>İK / Amir Onayında</t>
        </is>
      </c>
    </row>
    <row r="91">
      <c r="A91" s="4" t="n">
        <v>1363</v>
      </c>
      <c r="B91" s="4" t="inlineStr">
        <is>
          <t>21.10.2026</t>
        </is>
      </c>
      <c r="C91" s="4" t="inlineStr">
        <is>
          <t>Çarşamba</t>
        </is>
      </c>
      <c r="D91" s="4" t="inlineStr">
        <is>
          <t>00056</t>
        </is>
      </c>
      <c r="E91" s="4" t="inlineStr">
        <is>
          <t>00056</t>
        </is>
      </c>
      <c r="F91" s="29" t="inlineStr">
        <is>
          <t>FATMA ÇAM</t>
        </is>
      </c>
      <c r="G91" s="29" t="inlineStr">
        <is>
          <t>ÜRETİM</t>
        </is>
      </c>
      <c r="H91" s="4" t="inlineStr">
        <is>
          <t>15:51</t>
        </is>
      </c>
      <c r="I91" s="4" t="inlineStr">
        <is>
          <t>-</t>
        </is>
      </c>
      <c r="J91" s="29" t="inlineStr">
        <is>
          <t>15:51</t>
        </is>
      </c>
      <c r="K91" s="30" t="inlineStr">
        <is>
          <t>ÇIKIŞ_YOK</t>
        </is>
      </c>
      <c r="L91" s="8" t="n">
        <v>7.5</v>
      </c>
      <c r="M91" s="8" t="n">
        <v>0</v>
      </c>
      <c r="N91" s="4" t="inlineStr">
        <is>
          <t>İK / Amir Onayında</t>
        </is>
      </c>
    </row>
    <row r="92">
      <c r="A92" s="4" t="n">
        <v>1378</v>
      </c>
      <c r="B92" s="4" t="inlineStr">
        <is>
          <t>21.10.2026</t>
        </is>
      </c>
      <c r="C92" s="4" t="inlineStr">
        <is>
          <t>Çarşamba</t>
        </is>
      </c>
      <c r="D92" s="4" t="inlineStr">
        <is>
          <t>00057</t>
        </is>
      </c>
      <c r="E92" s="4" t="inlineStr">
        <is>
          <t>00057</t>
        </is>
      </c>
      <c r="F92" s="29" t="inlineStr">
        <is>
          <t>FATMA ÖZÇAM</t>
        </is>
      </c>
      <c r="G92" s="29" t="inlineStr">
        <is>
          <t>ÜRETİM</t>
        </is>
      </c>
      <c r="H92" s="4" t="inlineStr">
        <is>
          <t>15:51</t>
        </is>
      </c>
      <c r="I92" s="4" t="inlineStr">
        <is>
          <t>-</t>
        </is>
      </c>
      <c r="J92" s="29" t="inlineStr">
        <is>
          <t>15:51</t>
        </is>
      </c>
      <c r="K92" s="30" t="inlineStr">
        <is>
          <t>ÇIKIŞ_YOK</t>
        </is>
      </c>
      <c r="L92" s="8" t="n">
        <v>7.5</v>
      </c>
      <c r="M92" s="8" t="n">
        <v>0</v>
      </c>
      <c r="N92" s="4" t="inlineStr">
        <is>
          <t>İK / Amir Onayında</t>
        </is>
      </c>
    </row>
    <row r="93">
      <c r="A93" s="4" t="n">
        <v>1379</v>
      </c>
      <c r="B93" s="4" t="inlineStr">
        <is>
          <t>1.10.2026</t>
        </is>
      </c>
      <c r="C93" s="4" t="inlineStr">
        <is>
          <t>Perşembe</t>
        </is>
      </c>
      <c r="D93" s="4" t="inlineStr">
        <is>
          <t>00926</t>
        </is>
      </c>
      <c r="E93" s="4" t="inlineStr">
        <is>
          <t>00926</t>
        </is>
      </c>
      <c r="F93" s="29" t="inlineStr">
        <is>
          <t>FATMA DEMİRER</t>
        </is>
      </c>
      <c r="G93" s="29" t="inlineStr">
        <is>
          <t>BALIK TEMİZLEME</t>
        </is>
      </c>
      <c r="H93" s="4" t="inlineStr">
        <is>
          <t>07:56</t>
        </is>
      </c>
      <c r="I93" s="4" t="inlineStr">
        <is>
          <t>-</t>
        </is>
      </c>
      <c r="J93" s="29" t="inlineStr">
        <is>
          <t>07:56, 17:30</t>
        </is>
      </c>
      <c r="K93" s="30" t="inlineStr">
        <is>
          <t>ÇIKIŞ_YOK</t>
        </is>
      </c>
      <c r="L93" s="8" t="n">
        <v>7.5</v>
      </c>
      <c r="M93" s="8" t="n">
        <v>0</v>
      </c>
      <c r="N93" s="4" t="inlineStr">
        <is>
          <t>İK / Amir Onayında</t>
        </is>
      </c>
    </row>
    <row r="94">
      <c r="A94" s="4" t="n">
        <v>1390</v>
      </c>
      <c r="B94" s="4" t="inlineStr">
        <is>
          <t>19.10.2026</t>
        </is>
      </c>
      <c r="C94" s="4" t="inlineStr">
        <is>
          <t>Pazartesi</t>
        </is>
      </c>
      <c r="D94" s="4" t="inlineStr">
        <is>
          <t>00926</t>
        </is>
      </c>
      <c r="E94" s="4" t="inlineStr">
        <is>
          <t>00926</t>
        </is>
      </c>
      <c r="F94" s="29" t="inlineStr">
        <is>
          <t>FATMA DEMİRER</t>
        </is>
      </c>
      <c r="G94" s="29" t="inlineStr">
        <is>
          <t>BALIK TEMİZLEME</t>
        </is>
      </c>
      <c r="H94" s="4" t="inlineStr">
        <is>
          <t>07:49</t>
        </is>
      </c>
      <c r="I94" s="4" t="inlineStr">
        <is>
          <t>17:48</t>
        </is>
      </c>
      <c r="J94" s="29" t="inlineStr">
        <is>
          <t>07:49, 07:50, 17:48</t>
        </is>
      </c>
      <c r="K94" s="30" t="inlineStr">
        <is>
          <t>ÇOKLU_BASIM_MIN_MAX</t>
        </is>
      </c>
      <c r="L94" s="8" t="n">
        <v>0</v>
      </c>
      <c r="M94" s="8" t="n">
        <v>0</v>
      </c>
      <c r="N94" s="4" t="inlineStr">
        <is>
          <t>İK / Amir Onayında</t>
        </is>
      </c>
    </row>
    <row r="95">
      <c r="A95" s="4" t="n">
        <v>1393</v>
      </c>
      <c r="B95" s="4" t="inlineStr">
        <is>
          <t>2.10.2026</t>
        </is>
      </c>
      <c r="C95" s="4" t="inlineStr">
        <is>
          <t>Cuma</t>
        </is>
      </c>
      <c r="D95" s="4" t="inlineStr">
        <is>
          <t>01412</t>
        </is>
      </c>
      <c r="E95" s="4" t="inlineStr">
        <is>
          <t>01412</t>
        </is>
      </c>
      <c r="F95" s="29" t="inlineStr">
        <is>
          <t>FATMA AYDIN</t>
        </is>
      </c>
      <c r="G95" s="29" t="inlineStr">
        <is>
          <t>DİĞER</t>
        </is>
      </c>
      <c r="H95" s="4" t="inlineStr">
        <is>
          <t>-</t>
        </is>
      </c>
      <c r="I95" s="4" t="inlineStr">
        <is>
          <t>20:04</t>
        </is>
      </c>
      <c r="J95" s="29" t="inlineStr">
        <is>
          <t>20:04</t>
        </is>
      </c>
      <c r="K95" s="30" t="inlineStr">
        <is>
          <t>GİRİŞ_YOK_AKŞAM</t>
        </is>
      </c>
      <c r="L95" s="8" t="n">
        <v>10.5</v>
      </c>
      <c r="M95" s="8" t="n">
        <v>3</v>
      </c>
      <c r="N95" s="4" t="inlineStr">
        <is>
          <t>İK / Amir Onayında</t>
        </is>
      </c>
    </row>
    <row r="96">
      <c r="A96" s="4" t="n">
        <v>1449</v>
      </c>
      <c r="B96" s="4" t="inlineStr">
        <is>
          <t>21.10.2026</t>
        </is>
      </c>
      <c r="C96" s="4" t="inlineStr">
        <is>
          <t>Çarşamba</t>
        </is>
      </c>
      <c r="D96" s="4" t="inlineStr">
        <is>
          <t>01065</t>
        </is>
      </c>
      <c r="E96" s="4" t="inlineStr">
        <is>
          <t>01065</t>
        </is>
      </c>
      <c r="F96" s="29" t="inlineStr">
        <is>
          <t>FERUDUN BAKAN</t>
        </is>
      </c>
      <c r="G96" s="29" t="inlineStr">
        <is>
          <t>ÜRETİM</t>
        </is>
      </c>
      <c r="H96" s="4" t="inlineStr">
        <is>
          <t>15:50</t>
        </is>
      </c>
      <c r="I96" s="4" t="inlineStr">
        <is>
          <t>-</t>
        </is>
      </c>
      <c r="J96" s="29" t="inlineStr">
        <is>
          <t>15:50</t>
        </is>
      </c>
      <c r="K96" s="30" t="inlineStr">
        <is>
          <t>ÇIKIŞ_YOK</t>
        </is>
      </c>
      <c r="L96" s="8" t="n">
        <v>7.5</v>
      </c>
      <c r="M96" s="8" t="n">
        <v>0</v>
      </c>
      <c r="N96" s="4" t="inlineStr">
        <is>
          <t>İK / Amir Onayında</t>
        </is>
      </c>
    </row>
    <row r="97">
      <c r="A97" s="4" t="n">
        <v>1465</v>
      </c>
      <c r="B97" s="4" t="inlineStr">
        <is>
          <t>2.10.2026</t>
        </is>
      </c>
      <c r="C97" s="4" t="inlineStr">
        <is>
          <t>Cuma</t>
        </is>
      </c>
      <c r="D97" s="4" t="inlineStr">
        <is>
          <t>01415</t>
        </is>
      </c>
      <c r="E97" s="4" t="inlineStr">
        <is>
          <t>01415</t>
        </is>
      </c>
      <c r="F97" s="29" t="inlineStr">
        <is>
          <t>FİLİZ ÜMÜK</t>
        </is>
      </c>
      <c r="G97" s="29" t="inlineStr">
        <is>
          <t>DİĞER</t>
        </is>
      </c>
      <c r="H97" s="4" t="inlineStr">
        <is>
          <t>19:45</t>
        </is>
      </c>
      <c r="I97" s="4" t="inlineStr">
        <is>
          <t>07:53</t>
        </is>
      </c>
      <c r="J97" s="29" t="inlineStr">
        <is>
          <t>07:51, 19:45, 07:53</t>
        </is>
      </c>
      <c r="K97" s="30" t="inlineStr">
        <is>
          <t>ÇOKLU_BASIM_MIN_MAX</t>
        </is>
      </c>
      <c r="L97" s="8" t="n">
        <v>10.5</v>
      </c>
      <c r="M97" s="8" t="n">
        <v>3</v>
      </c>
      <c r="N97" s="4" t="inlineStr">
        <is>
          <t>İK / Amir Onayında</t>
        </is>
      </c>
    </row>
    <row r="98">
      <c r="A98" s="4" t="n">
        <v>1482</v>
      </c>
      <c r="B98" s="4" t="inlineStr">
        <is>
          <t>7.10.2026</t>
        </is>
      </c>
      <c r="C98" s="4" t="inlineStr">
        <is>
          <t>Çarşamba</t>
        </is>
      </c>
      <c r="D98" s="4" t="inlineStr">
        <is>
          <t>00927</t>
        </is>
      </c>
      <c r="E98" s="4" t="inlineStr">
        <is>
          <t>00927</t>
        </is>
      </c>
      <c r="F98" s="29" t="inlineStr">
        <is>
          <t>FİSUN ETİLER</t>
        </is>
      </c>
      <c r="G98" s="29" t="inlineStr">
        <is>
          <t>GÜVEN MUSTAFAKEMALPAŞA</t>
        </is>
      </c>
      <c r="H98" s="4" t="inlineStr">
        <is>
          <t>07:35</t>
        </is>
      </c>
      <c r="I98" s="4" t="inlineStr">
        <is>
          <t>17:24</t>
        </is>
      </c>
      <c r="J98" s="29" t="inlineStr">
        <is>
          <t>07:35, 07:54, 17:24</t>
        </is>
      </c>
      <c r="K98" s="30" t="inlineStr">
        <is>
          <t>ÇOKLU_BASIM_MIN_MAX</t>
        </is>
      </c>
      <c r="L98" s="8" t="n">
        <v>8</v>
      </c>
      <c r="M98" s="8" t="n">
        <v>0.5</v>
      </c>
      <c r="N98" s="4" t="inlineStr">
        <is>
          <t>İK / Amir Onayında</t>
        </is>
      </c>
    </row>
    <row r="99">
      <c r="A99" s="4" t="n">
        <v>1484</v>
      </c>
      <c r="B99" s="4" t="inlineStr">
        <is>
          <t>9.10.2026</t>
        </is>
      </c>
      <c r="C99" s="4" t="inlineStr">
        <is>
          <t>Cuma</t>
        </is>
      </c>
      <c r="D99" s="4" t="inlineStr">
        <is>
          <t>00927</t>
        </is>
      </c>
      <c r="E99" s="4" t="inlineStr">
        <is>
          <t>00927</t>
        </is>
      </c>
      <c r="F99" s="29" t="inlineStr">
        <is>
          <t>FİSUN ETİLER</t>
        </is>
      </c>
      <c r="G99" s="29" t="inlineStr">
        <is>
          <t>GÜVEN MUSTAFAKEMALPAŞA</t>
        </is>
      </c>
      <c r="H99" s="4" t="inlineStr">
        <is>
          <t>07:30</t>
        </is>
      </c>
      <c r="I99" s="4" t="inlineStr">
        <is>
          <t>-</t>
        </is>
      </c>
      <c r="J99" s="29" t="inlineStr">
        <is>
          <t>07:30</t>
        </is>
      </c>
      <c r="K99" s="30" t="inlineStr">
        <is>
          <t>ÇIKIŞ_YOK</t>
        </is>
      </c>
      <c r="L99" s="8" t="n">
        <v>7.5</v>
      </c>
      <c r="M99" s="8" t="n">
        <v>0</v>
      </c>
      <c r="N99" s="4" t="inlineStr">
        <is>
          <t>İK / Amir Onayında</t>
        </is>
      </c>
    </row>
    <row r="100">
      <c r="A100" s="4" t="n">
        <v>1495</v>
      </c>
      <c r="B100" s="4" t="inlineStr">
        <is>
          <t>5.10.2026</t>
        </is>
      </c>
      <c r="C100" s="4" t="inlineStr">
        <is>
          <t>Pazartesi</t>
        </is>
      </c>
      <c r="D100" s="4" t="inlineStr">
        <is>
          <t>01483</t>
        </is>
      </c>
      <c r="E100" s="4" t="inlineStr">
        <is>
          <t>01483</t>
        </is>
      </c>
      <c r="F100" s="29" t="inlineStr">
        <is>
          <t>FURKAN UÇAK</t>
        </is>
      </c>
      <c r="G100" s="29" t="inlineStr">
        <is>
          <t>DİĞER</t>
        </is>
      </c>
      <c r="H100" s="4" t="inlineStr">
        <is>
          <t>08:15</t>
        </is>
      </c>
      <c r="I100" s="4" t="inlineStr">
        <is>
          <t>-</t>
        </is>
      </c>
      <c r="J100" s="29" t="inlineStr">
        <is>
          <t>08:15</t>
        </is>
      </c>
      <c r="K100" s="30" t="inlineStr">
        <is>
          <t>ÇIKIŞ_YOK</t>
        </is>
      </c>
      <c r="L100" s="8" t="n">
        <v>7.5</v>
      </c>
      <c r="M100" s="8" t="n">
        <v>0</v>
      </c>
      <c r="N100" s="4" t="inlineStr">
        <is>
          <t>İK / Amir Onayında</t>
        </is>
      </c>
    </row>
    <row r="101">
      <c r="A101" s="4" t="n">
        <v>1496</v>
      </c>
      <c r="B101" s="4" t="inlineStr">
        <is>
          <t>1.10.2026</t>
        </is>
      </c>
      <c r="C101" s="4" t="inlineStr">
        <is>
          <t>Perşembe</t>
        </is>
      </c>
      <c r="D101" s="4" t="inlineStr">
        <is>
          <t>01044</t>
        </is>
      </c>
      <c r="E101" s="4" t="inlineStr">
        <is>
          <t>01044</t>
        </is>
      </c>
      <c r="F101" s="29" t="inlineStr">
        <is>
          <t>GÖZDE TÜRKÇÜ</t>
        </is>
      </c>
      <c r="G101" s="29" t="inlineStr">
        <is>
          <t>GÜVEN MUSTAFAKEMALPAŞA</t>
        </is>
      </c>
      <c r="H101" s="4" t="inlineStr">
        <is>
          <t>22:47</t>
        </is>
      </c>
      <c r="I101" s="4" t="inlineStr">
        <is>
          <t>01:08</t>
        </is>
      </c>
      <c r="J101" s="29" t="inlineStr">
        <is>
          <t>22:46, 22:47, 01:08</t>
        </is>
      </c>
      <c r="K101" s="30" t="inlineStr">
        <is>
          <t>ÇOKLU_BASIM_MIN_MAX</t>
        </is>
      </c>
      <c r="L101" s="8" t="n">
        <v>1</v>
      </c>
      <c r="M101" s="8" t="n">
        <v>0</v>
      </c>
      <c r="N101" s="4" t="inlineStr">
        <is>
          <t>İK / Amir Onayında</t>
        </is>
      </c>
    </row>
    <row r="102">
      <c r="A102" s="4" t="n">
        <v>1583</v>
      </c>
      <c r="B102" s="4" t="inlineStr">
        <is>
          <t>13.10.2026</t>
        </is>
      </c>
      <c r="C102" s="4" t="inlineStr">
        <is>
          <t>Salı</t>
        </is>
      </c>
      <c r="D102" s="4" t="inlineStr">
        <is>
          <t>01558</t>
        </is>
      </c>
      <c r="E102" s="4" t="inlineStr">
        <is>
          <t>01558</t>
        </is>
      </c>
      <c r="F102" s="29" t="inlineStr">
        <is>
          <t>GÜLPERİ KERTİK</t>
        </is>
      </c>
      <c r="G102" s="29" t="inlineStr">
        <is>
          <t>DİĞER</t>
        </is>
      </c>
      <c r="H102" s="4" t="inlineStr">
        <is>
          <t>-</t>
        </is>
      </c>
      <c r="I102" s="4" t="inlineStr">
        <is>
          <t>17:08</t>
        </is>
      </c>
      <c r="J102" s="29" t="inlineStr">
        <is>
          <t>17:08</t>
        </is>
      </c>
      <c r="K102" s="30" t="inlineStr">
        <is>
          <t>GİRİŞ_YOK_AKŞAM</t>
        </is>
      </c>
      <c r="L102" s="8" t="n">
        <v>7.5</v>
      </c>
      <c r="M102" s="8" t="n">
        <v>0</v>
      </c>
      <c r="N102" s="4" t="inlineStr">
        <is>
          <t>İK / Amir Onayında</t>
        </is>
      </c>
    </row>
    <row r="103">
      <c r="A103" s="4" t="n">
        <v>1616</v>
      </c>
      <c r="B103" s="4" t="inlineStr">
        <is>
          <t>14.10.2026</t>
        </is>
      </c>
      <c r="C103" s="4" t="inlineStr">
        <is>
          <t>Çarşamba</t>
        </is>
      </c>
      <c r="D103" s="4" t="inlineStr">
        <is>
          <t>00073</t>
        </is>
      </c>
      <c r="E103" s="4" t="inlineStr">
        <is>
          <t>00073</t>
        </is>
      </c>
      <c r="F103" s="29" t="inlineStr">
        <is>
          <t>GÜLSÜM GÖRGÜLÜ</t>
        </is>
      </c>
      <c r="G103" s="29" t="inlineStr">
        <is>
          <t>AMBAR</t>
        </is>
      </c>
      <c r="H103" s="4" t="inlineStr">
        <is>
          <t>07:59</t>
        </is>
      </c>
      <c r="I103" s="4" t="inlineStr">
        <is>
          <t>-</t>
        </is>
      </c>
      <c r="J103" s="29" t="inlineStr">
        <is>
          <t>07:59</t>
        </is>
      </c>
      <c r="K103" s="30" t="inlineStr">
        <is>
          <t>ÇIKIŞ_YOK</t>
        </is>
      </c>
      <c r="L103" s="8" t="n">
        <v>7.5</v>
      </c>
      <c r="M103" s="8" t="n">
        <v>0</v>
      </c>
      <c r="N103" s="4" t="inlineStr">
        <is>
          <t>İK / Amir Onayında</t>
        </is>
      </c>
    </row>
    <row r="104">
      <c r="A104" s="4" t="n">
        <v>1624</v>
      </c>
      <c r="B104" s="4" t="inlineStr">
        <is>
          <t>2.10.2026</t>
        </is>
      </c>
      <c r="C104" s="4" t="inlineStr">
        <is>
          <t>Cuma</t>
        </is>
      </c>
      <c r="D104" s="4" t="inlineStr">
        <is>
          <t>01419</t>
        </is>
      </c>
      <c r="E104" s="4" t="inlineStr">
        <is>
          <t>01419</t>
        </is>
      </c>
      <c r="F104" s="29" t="inlineStr">
        <is>
          <t>GÜLSÜM KARACA</t>
        </is>
      </c>
      <c r="G104" s="29" t="inlineStr">
        <is>
          <t>DİĞER</t>
        </is>
      </c>
      <c r="H104" s="4" t="inlineStr">
        <is>
          <t>19:45</t>
        </is>
      </c>
      <c r="I104" s="4" t="inlineStr">
        <is>
          <t>07:54</t>
        </is>
      </c>
      <c r="J104" s="29" t="inlineStr">
        <is>
          <t>07:51, 19:45, 07:54</t>
        </is>
      </c>
      <c r="K104" s="30" t="inlineStr">
        <is>
          <t>ÇOKLU_BASIM_MIN_MAX</t>
        </is>
      </c>
      <c r="L104" s="8" t="n">
        <v>10.5</v>
      </c>
      <c r="M104" s="8" t="n">
        <v>3</v>
      </c>
      <c r="N104" s="4" t="inlineStr">
        <is>
          <t>İK / Amir Onayında</t>
        </is>
      </c>
    </row>
    <row r="105">
      <c r="A105" s="4" t="n">
        <v>1690</v>
      </c>
      <c r="B105" s="4" t="inlineStr">
        <is>
          <t>7.10.2026</t>
        </is>
      </c>
      <c r="C105" s="4" t="inlineStr">
        <is>
          <t>Çarşamba</t>
        </is>
      </c>
      <c r="D105" s="4" t="inlineStr">
        <is>
          <t>00773</t>
        </is>
      </c>
      <c r="E105" s="4" t="inlineStr">
        <is>
          <t>00773</t>
        </is>
      </c>
      <c r="F105" s="29" t="inlineStr">
        <is>
          <t>GÜRAY PALA</t>
        </is>
      </c>
      <c r="G105" s="29" t="inlineStr">
        <is>
          <t>BALIK KESİM</t>
        </is>
      </c>
      <c r="H105" s="4" t="inlineStr">
        <is>
          <t>07:47</t>
        </is>
      </c>
      <c r="I105" s="4" t="inlineStr">
        <is>
          <t>08:00</t>
        </is>
      </c>
      <c r="J105" s="29" t="inlineStr">
        <is>
          <t>07:47, 17:08, 21:55, 08:00</t>
        </is>
      </c>
      <c r="K105" s="30" t="inlineStr">
        <is>
          <t>PARÇALI_ÇALIŞMA</t>
        </is>
      </c>
      <c r="L105" s="8" t="n">
        <v>15</v>
      </c>
      <c r="M105" s="8" t="n">
        <v>7.5</v>
      </c>
      <c r="N105" s="4" t="inlineStr">
        <is>
          <t>İK / Amir Onayında</t>
        </is>
      </c>
    </row>
    <row r="106">
      <c r="A106" s="4" t="n">
        <v>1701</v>
      </c>
      <c r="B106" s="4" t="inlineStr">
        <is>
          <t>21.10.2026</t>
        </is>
      </c>
      <c r="C106" s="4" t="inlineStr">
        <is>
          <t>Çarşamba</t>
        </is>
      </c>
      <c r="D106" s="4" t="inlineStr">
        <is>
          <t>00773</t>
        </is>
      </c>
      <c r="E106" s="4" t="inlineStr">
        <is>
          <t>00773</t>
        </is>
      </c>
      <c r="F106" s="29" t="inlineStr">
        <is>
          <t>GÜRAY PALA</t>
        </is>
      </c>
      <c r="G106" s="29" t="inlineStr">
        <is>
          <t>BALIK KESİM</t>
        </is>
      </c>
      <c r="H106" s="4" t="inlineStr">
        <is>
          <t>16:40</t>
        </is>
      </c>
      <c r="I106" s="4" t="inlineStr">
        <is>
          <t>-</t>
        </is>
      </c>
      <c r="J106" s="29" t="inlineStr">
        <is>
          <t>16:40</t>
        </is>
      </c>
      <c r="K106" s="30" t="inlineStr">
        <is>
          <t>ÇIKIŞ_YOK</t>
        </is>
      </c>
      <c r="L106" s="8" t="n">
        <v>7.5</v>
      </c>
      <c r="M106" s="8" t="n">
        <v>0</v>
      </c>
      <c r="N106" s="4" t="inlineStr">
        <is>
          <t>İK / Amir Onayında</t>
        </is>
      </c>
    </row>
    <row r="107">
      <c r="A107" s="4" t="n">
        <v>1781</v>
      </c>
      <c r="B107" s="4" t="inlineStr">
        <is>
          <t>3.10.2026</t>
        </is>
      </c>
      <c r="C107" s="4" t="inlineStr">
        <is>
          <t>Cumartesi</t>
        </is>
      </c>
      <c r="D107" s="4" t="inlineStr">
        <is>
          <t>00080</t>
        </is>
      </c>
      <c r="E107" s="4" t="inlineStr">
        <is>
          <t>00080</t>
        </is>
      </c>
      <c r="F107" s="29" t="inlineStr">
        <is>
          <t>HARUN YAHYA DURSUN</t>
        </is>
      </c>
      <c r="G107" s="29" t="inlineStr">
        <is>
          <t>BALIK DOLUM</t>
        </is>
      </c>
      <c r="H107" s="4" t="inlineStr">
        <is>
          <t>12:15</t>
        </is>
      </c>
      <c r="I107" s="4" t="inlineStr">
        <is>
          <t>22:48</t>
        </is>
      </c>
      <c r="J107" s="29" t="inlineStr">
        <is>
          <t>12:15, 17:35, 19:41, 22:48</t>
        </is>
      </c>
      <c r="K107" s="30" t="inlineStr">
        <is>
          <t>PARÇALI_ÇALIŞMA</t>
        </is>
      </c>
      <c r="L107" s="8" t="n">
        <v>8</v>
      </c>
      <c r="M107" s="8" t="n">
        <v>0.5</v>
      </c>
      <c r="N107" s="4" t="inlineStr">
        <is>
          <t>İK / Amir Onayında</t>
        </is>
      </c>
    </row>
    <row r="108">
      <c r="A108" s="4" t="n">
        <v>1794</v>
      </c>
      <c r="B108" s="4" t="inlineStr">
        <is>
          <t>19.10.2026</t>
        </is>
      </c>
      <c r="C108" s="4" t="inlineStr">
        <is>
          <t>Pazartesi</t>
        </is>
      </c>
      <c r="D108" s="4" t="inlineStr">
        <is>
          <t>00080</t>
        </is>
      </c>
      <c r="E108" s="4" t="inlineStr">
        <is>
          <t>00080</t>
        </is>
      </c>
      <c r="F108" s="29" t="inlineStr">
        <is>
          <t>HARUN YAHYA DURSUN</t>
        </is>
      </c>
      <c r="G108" s="29" t="inlineStr">
        <is>
          <t>BALIK DOLUM</t>
        </is>
      </c>
      <c r="H108" s="4" t="inlineStr">
        <is>
          <t>10:21</t>
        </is>
      </c>
      <c r="I108" s="4" t="inlineStr">
        <is>
          <t>20:00</t>
        </is>
      </c>
      <c r="J108" s="29" t="inlineStr">
        <is>
          <t>10:21, 19:23, 20:00</t>
        </is>
      </c>
      <c r="K108" s="30" t="inlineStr">
        <is>
          <t>ÇOKLU_BASIM_MIN_MAX</t>
        </is>
      </c>
      <c r="L108" s="8" t="n">
        <v>8</v>
      </c>
      <c r="M108" s="8" t="n">
        <v>3</v>
      </c>
      <c r="N108" s="4" t="inlineStr">
        <is>
          <t>İK / Amir Onayında</t>
        </is>
      </c>
    </row>
    <row r="109">
      <c r="A109" s="4" t="n">
        <v>1796</v>
      </c>
      <c r="B109" s="4" t="inlineStr">
        <is>
          <t>21.10.2026</t>
        </is>
      </c>
      <c r="C109" s="4" t="inlineStr">
        <is>
          <t>Çarşamba</t>
        </is>
      </c>
      <c r="D109" s="4" t="inlineStr">
        <is>
          <t>00080</t>
        </is>
      </c>
      <c r="E109" s="4" t="inlineStr">
        <is>
          <t>00080</t>
        </is>
      </c>
      <c r="F109" s="29" t="inlineStr">
        <is>
          <t>HARUN YAHYA DURSUN</t>
        </is>
      </c>
      <c r="G109" s="29" t="inlineStr">
        <is>
          <t>BALIK DOLUM</t>
        </is>
      </c>
      <c r="H109" s="4" t="inlineStr">
        <is>
          <t>07:39</t>
        </is>
      </c>
      <c r="I109" s="4" t="inlineStr">
        <is>
          <t>-</t>
        </is>
      </c>
      <c r="J109" s="29" t="inlineStr">
        <is>
          <t>07:39</t>
        </is>
      </c>
      <c r="K109" s="30" t="inlineStr">
        <is>
          <t>ÇIKIŞ_YOK</t>
        </is>
      </c>
      <c r="L109" s="8" t="n">
        <v>7.5</v>
      </c>
      <c r="M109" s="8" t="n">
        <v>0</v>
      </c>
      <c r="N109" s="4" t="inlineStr">
        <is>
          <t>İK / Amir Onayında</t>
        </is>
      </c>
    </row>
    <row r="110">
      <c r="A110" s="4" t="n">
        <v>1814</v>
      </c>
      <c r="B110" s="4" t="inlineStr">
        <is>
          <t>21.10.2026</t>
        </is>
      </c>
      <c r="C110" s="4" t="inlineStr">
        <is>
          <t>Çarşamba</t>
        </is>
      </c>
      <c r="D110" s="4" t="inlineStr">
        <is>
          <t>00084</t>
        </is>
      </c>
      <c r="E110" s="4" t="inlineStr">
        <is>
          <t>00084</t>
        </is>
      </c>
      <c r="F110" s="29" t="inlineStr">
        <is>
          <t>HATİCE KURT</t>
        </is>
      </c>
      <c r="G110" s="29" t="inlineStr">
        <is>
          <t>ÜRETİM</t>
        </is>
      </c>
      <c r="H110" s="4" t="inlineStr">
        <is>
          <t>15:52</t>
        </is>
      </c>
      <c r="I110" s="4" t="inlineStr">
        <is>
          <t>-</t>
        </is>
      </c>
      <c r="J110" s="29" t="inlineStr">
        <is>
          <t>15:52</t>
        </is>
      </c>
      <c r="K110" s="30" t="inlineStr">
        <is>
          <t>ÇIKIŞ_YOK</t>
        </is>
      </c>
      <c r="L110" s="8" t="n">
        <v>7.5</v>
      </c>
      <c r="M110" s="8" t="n">
        <v>0</v>
      </c>
      <c r="N110" s="4" t="inlineStr">
        <is>
          <t>İK / Amir Onayında</t>
        </is>
      </c>
    </row>
    <row r="111">
      <c r="A111" s="4" t="n">
        <v>1847</v>
      </c>
      <c r="B111" s="4" t="inlineStr">
        <is>
          <t>3.10.2026</t>
        </is>
      </c>
      <c r="C111" s="4" t="inlineStr">
        <is>
          <t>Cumartesi</t>
        </is>
      </c>
      <c r="D111" s="4" t="inlineStr">
        <is>
          <t>01096</t>
        </is>
      </c>
      <c r="E111" s="4" t="inlineStr">
        <is>
          <t>01096</t>
        </is>
      </c>
      <c r="F111" s="29" t="inlineStr">
        <is>
          <t>HATİCE ONUK</t>
        </is>
      </c>
      <c r="G111" s="29" t="inlineStr">
        <is>
          <t>ÜRETİM</t>
        </is>
      </c>
      <c r="H111" s="4" t="inlineStr">
        <is>
          <t>07:47</t>
        </is>
      </c>
      <c r="I111" s="4" t="inlineStr">
        <is>
          <t>-</t>
        </is>
      </c>
      <c r="J111" s="29" t="inlineStr">
        <is>
          <t>07:47</t>
        </is>
      </c>
      <c r="K111" s="30" t="inlineStr">
        <is>
          <t>ÇIKIŞ_YOK</t>
        </is>
      </c>
      <c r="L111" s="8" t="n">
        <v>7.5</v>
      </c>
      <c r="M111" s="8" t="n">
        <v>0</v>
      </c>
      <c r="N111" s="4" t="inlineStr">
        <is>
          <t>İK / Amir Onayında</t>
        </is>
      </c>
    </row>
    <row r="112">
      <c r="A112" s="4" t="n">
        <v>1863</v>
      </c>
      <c r="B112" s="4" t="inlineStr">
        <is>
          <t>4.10.2026</t>
        </is>
      </c>
      <c r="C112" s="4" t="inlineStr">
        <is>
          <t>Pazar</t>
        </is>
      </c>
      <c r="D112" s="4" t="inlineStr">
        <is>
          <t>01212</t>
        </is>
      </c>
      <c r="E112" s="4" t="inlineStr">
        <is>
          <t>01212</t>
        </is>
      </c>
      <c r="F112" s="29" t="inlineStr">
        <is>
          <t>HATİCE BUSE POLAT</t>
        </is>
      </c>
      <c r="G112" s="29" t="inlineStr">
        <is>
          <t>BALIK DOLUM</t>
        </is>
      </c>
      <c r="H112" s="4" t="inlineStr">
        <is>
          <t>-</t>
        </is>
      </c>
      <c r="I112" s="4" t="inlineStr">
        <is>
          <t>08:00</t>
        </is>
      </c>
      <c r="J112" s="29" t="inlineStr">
        <is>
          <t>08:00</t>
        </is>
      </c>
      <c r="K112" s="30" t="inlineStr">
        <is>
          <t>GİRİŞ_YOK_AKŞAM</t>
        </is>
      </c>
      <c r="L112" s="8" t="n">
        <v>7.5</v>
      </c>
      <c r="M112" s="8" t="n">
        <v>0</v>
      </c>
      <c r="N112" s="4" t="inlineStr">
        <is>
          <t>İK / Amir Onayında</t>
        </is>
      </c>
    </row>
    <row r="113">
      <c r="A113" s="4" t="n">
        <v>1890</v>
      </c>
      <c r="B113" s="4" t="inlineStr">
        <is>
          <t>3.10.2026</t>
        </is>
      </c>
      <c r="C113" s="4" t="inlineStr">
        <is>
          <t>Cumartesi</t>
        </is>
      </c>
      <c r="D113" s="4" t="inlineStr">
        <is>
          <t>00228</t>
        </is>
      </c>
      <c r="E113" s="4" t="inlineStr">
        <is>
          <t>00228</t>
        </is>
      </c>
      <c r="F113" s="29" t="inlineStr">
        <is>
          <t>HAVVA BAYRAM</t>
        </is>
      </c>
      <c r="G113" s="29" t="inlineStr">
        <is>
          <t>BALIK TEMİZLEME</t>
        </is>
      </c>
      <c r="H113" s="4" t="inlineStr">
        <is>
          <t>07:55</t>
        </is>
      </c>
      <c r="I113" s="4" t="inlineStr">
        <is>
          <t>17:33</t>
        </is>
      </c>
      <c r="J113" s="29" t="inlineStr">
        <is>
          <t>07:55, 07:56, 17:33</t>
        </is>
      </c>
      <c r="K113" s="30" t="inlineStr">
        <is>
          <t>ÇOKLU_BASIM_MIN_MAX</t>
        </is>
      </c>
      <c r="L113" s="8" t="n">
        <v>0</v>
      </c>
      <c r="M113" s="8" t="n">
        <v>0</v>
      </c>
      <c r="N113" s="4" t="inlineStr">
        <is>
          <t>İK / Amir Onayında</t>
        </is>
      </c>
    </row>
    <row r="114">
      <c r="A114" s="4" t="n">
        <v>1898</v>
      </c>
      <c r="B114" s="4" t="inlineStr">
        <is>
          <t>13.10.2026</t>
        </is>
      </c>
      <c r="C114" s="4" t="inlineStr">
        <is>
          <t>Salı</t>
        </is>
      </c>
      <c r="D114" s="4" t="inlineStr">
        <is>
          <t>00228</t>
        </is>
      </c>
      <c r="E114" s="4" t="inlineStr">
        <is>
          <t>00228</t>
        </is>
      </c>
      <c r="F114" s="29" t="inlineStr">
        <is>
          <t>HAVVA BAYRAM</t>
        </is>
      </c>
      <c r="G114" s="29" t="inlineStr">
        <is>
          <t>BALIK TEMİZLEME</t>
        </is>
      </c>
      <c r="H114" s="4" t="inlineStr">
        <is>
          <t>07:49</t>
        </is>
      </c>
      <c r="I114" s="4" t="inlineStr">
        <is>
          <t>-</t>
        </is>
      </c>
      <c r="J114" s="29" t="inlineStr">
        <is>
          <t>07:49</t>
        </is>
      </c>
      <c r="K114" s="30" t="inlineStr">
        <is>
          <t>ÇIKIŞ_YOK</t>
        </is>
      </c>
      <c r="L114" s="8" t="n">
        <v>7.5</v>
      </c>
      <c r="M114" s="8" t="n">
        <v>0</v>
      </c>
      <c r="N114" s="4" t="inlineStr">
        <is>
          <t>İK / Amir Onayında</t>
        </is>
      </c>
    </row>
    <row r="115">
      <c r="A115" s="4" t="n">
        <v>1981</v>
      </c>
      <c r="B115" s="4" t="inlineStr">
        <is>
          <t>15.10.2026</t>
        </is>
      </c>
      <c r="C115" s="4" t="inlineStr">
        <is>
          <t>Perşembe</t>
        </is>
      </c>
      <c r="D115" s="4" t="inlineStr">
        <is>
          <t>00480</t>
        </is>
      </c>
      <c r="E115" s="4" t="inlineStr">
        <is>
          <t>00480</t>
        </is>
      </c>
      <c r="F115" s="29" t="inlineStr">
        <is>
          <t>HÜLYA TOPAL</t>
        </is>
      </c>
      <c r="G115" s="29" t="inlineStr">
        <is>
          <t>AMBAR</t>
        </is>
      </c>
      <c r="H115" s="4" t="inlineStr">
        <is>
          <t>08:01</t>
        </is>
      </c>
      <c r="I115" s="4" t="inlineStr">
        <is>
          <t>-</t>
        </is>
      </c>
      <c r="J115" s="29" t="inlineStr">
        <is>
          <t>08:01, 17:25</t>
        </is>
      </c>
      <c r="K115" s="30" t="inlineStr">
        <is>
          <t>ÇIKIŞ_YOK</t>
        </is>
      </c>
      <c r="L115" s="8" t="n">
        <v>7.5</v>
      </c>
      <c r="M115" s="8" t="n">
        <v>0</v>
      </c>
      <c r="N115" s="4" t="inlineStr">
        <is>
          <t>İK / Amir Onayında</t>
        </is>
      </c>
    </row>
    <row r="116">
      <c r="A116" s="4" t="n">
        <v>1983</v>
      </c>
      <c r="B116" s="4" t="inlineStr">
        <is>
          <t>17.10.2026</t>
        </is>
      </c>
      <c r="C116" s="4" t="inlineStr">
        <is>
          <t>Cumartesi</t>
        </is>
      </c>
      <c r="D116" s="4" t="inlineStr">
        <is>
          <t>00480</t>
        </is>
      </c>
      <c r="E116" s="4" t="inlineStr">
        <is>
          <t>00480</t>
        </is>
      </c>
      <c r="F116" s="29" t="inlineStr">
        <is>
          <t>HÜLYA TOPAL</t>
        </is>
      </c>
      <c r="G116" s="29" t="inlineStr">
        <is>
          <t>AMBAR</t>
        </is>
      </c>
      <c r="H116" s="4" t="inlineStr">
        <is>
          <t>07:51</t>
        </is>
      </c>
      <c r="I116" s="4" t="inlineStr">
        <is>
          <t>17:16</t>
        </is>
      </c>
      <c r="J116" s="29" t="inlineStr">
        <is>
          <t>07:51, 17:15, 17:16</t>
        </is>
      </c>
      <c r="K116" s="30" t="inlineStr">
        <is>
          <t>ÇOKLU_BASIM_MIN_MAX</t>
        </is>
      </c>
      <c r="L116" s="8" t="n">
        <v>0</v>
      </c>
      <c r="M116" s="8" t="n">
        <v>0</v>
      </c>
      <c r="N116" s="4" t="inlineStr">
        <is>
          <t>İK / Amir Onayında</t>
        </is>
      </c>
    </row>
    <row r="117">
      <c r="A117" s="4" t="n">
        <v>1995</v>
      </c>
      <c r="B117" s="4" t="inlineStr">
        <is>
          <t>8.10.2026</t>
        </is>
      </c>
      <c r="C117" s="4" t="inlineStr">
        <is>
          <t>Perşembe</t>
        </is>
      </c>
      <c r="D117" s="4" t="inlineStr">
        <is>
          <t>00092</t>
        </is>
      </c>
      <c r="E117" s="4" t="inlineStr">
        <is>
          <t>00092</t>
        </is>
      </c>
      <c r="F117" s="29" t="inlineStr">
        <is>
          <t>İBÜŞRAHİM YILDIRIM</t>
        </is>
      </c>
      <c r="G117" s="29" t="inlineStr">
        <is>
          <t>MEYDAN</t>
        </is>
      </c>
      <c r="H117" s="4" t="inlineStr">
        <is>
          <t>07:43</t>
        </is>
      </c>
      <c r="I117" s="4" t="inlineStr">
        <is>
          <t>-</t>
        </is>
      </c>
      <c r="J117" s="29" t="inlineStr">
        <is>
          <t>07:43</t>
        </is>
      </c>
      <c r="K117" s="30" t="inlineStr">
        <is>
          <t>ÇIKIŞ_YOK</t>
        </is>
      </c>
      <c r="L117" s="8" t="n">
        <v>7.5</v>
      </c>
      <c r="M117" s="8" t="n">
        <v>0</v>
      </c>
      <c r="N117" s="4" t="inlineStr">
        <is>
          <t>İK / Amir Onayında</t>
        </is>
      </c>
    </row>
    <row r="118">
      <c r="A118" s="4" t="n">
        <v>2018</v>
      </c>
      <c r="B118" s="4" t="inlineStr">
        <is>
          <t>13.10.2026</t>
        </is>
      </c>
      <c r="C118" s="4" t="inlineStr">
        <is>
          <t>Salı</t>
        </is>
      </c>
      <c r="D118" s="4" t="inlineStr">
        <is>
          <t>01424</t>
        </is>
      </c>
      <c r="E118" s="4" t="inlineStr">
        <is>
          <t>01424</t>
        </is>
      </c>
      <c r="F118" s="29" t="inlineStr">
        <is>
          <t>İBÜŞRAHİM İMRE</t>
        </is>
      </c>
      <c r="G118" s="29" t="inlineStr">
        <is>
          <t>DİĞER</t>
        </is>
      </c>
      <c r="H118" s="4" t="inlineStr">
        <is>
          <t>20:01</t>
        </is>
      </c>
      <c r="I118" s="4" t="inlineStr">
        <is>
          <t>07:58</t>
        </is>
      </c>
      <c r="J118" s="29" t="inlineStr">
        <is>
          <t>07:54, 20:01, 07:58</t>
        </is>
      </c>
      <c r="K118" s="30" t="inlineStr">
        <is>
          <t>ÇOKLU_BASIM_MIN_MAX</t>
        </is>
      </c>
      <c r="L118" s="8" t="n">
        <v>10.5</v>
      </c>
      <c r="M118" s="8" t="n">
        <v>3</v>
      </c>
      <c r="N118" s="4" t="inlineStr">
        <is>
          <t>İK / Amir Onayında</t>
        </is>
      </c>
    </row>
    <row r="119">
      <c r="A119" s="4" t="n">
        <v>2023</v>
      </c>
      <c r="B119" s="4" t="inlineStr">
        <is>
          <t>3.10.2026</t>
        </is>
      </c>
      <c r="C119" s="4" t="inlineStr">
        <is>
          <t>Cumartesi</t>
        </is>
      </c>
      <c r="D119" s="4" t="inlineStr">
        <is>
          <t>01423</t>
        </is>
      </c>
      <c r="E119" s="4" t="inlineStr">
        <is>
          <t>01423</t>
        </is>
      </c>
      <c r="F119" s="29" t="inlineStr">
        <is>
          <t>İBÜŞRAHİM HALİL ALPAN</t>
        </is>
      </c>
      <c r="G119" s="29" t="inlineStr">
        <is>
          <t>DİĞER</t>
        </is>
      </c>
      <c r="H119" s="4" t="inlineStr">
        <is>
          <t>-</t>
        </is>
      </c>
      <c r="I119" s="4" t="inlineStr">
        <is>
          <t>17:42</t>
        </is>
      </c>
      <c r="J119" s="29" t="inlineStr">
        <is>
          <t>17:42</t>
        </is>
      </c>
      <c r="K119" s="30" t="inlineStr">
        <is>
          <t>GİRİŞ_YOK_AKŞAM</t>
        </is>
      </c>
      <c r="L119" s="8" t="n">
        <v>8</v>
      </c>
      <c r="M119" s="8" t="n">
        <v>0.5</v>
      </c>
      <c r="N119" s="4" t="inlineStr">
        <is>
          <t>İK / Amir Onayında</t>
        </is>
      </c>
    </row>
    <row r="120">
      <c r="A120" s="4" t="n">
        <v>2024</v>
      </c>
      <c r="B120" s="4" t="inlineStr">
        <is>
          <t>5.10.2026</t>
        </is>
      </c>
      <c r="C120" s="4" t="inlineStr">
        <is>
          <t>Pazartesi</t>
        </is>
      </c>
      <c r="D120" s="4" t="inlineStr">
        <is>
          <t>01423</t>
        </is>
      </c>
      <c r="E120" s="4" t="inlineStr">
        <is>
          <t>01423</t>
        </is>
      </c>
      <c r="F120" s="29" t="inlineStr">
        <is>
          <t>İBÜŞRAHİM HALİL ALPAN</t>
        </is>
      </c>
      <c r="G120" s="29" t="inlineStr">
        <is>
          <t>DİĞER</t>
        </is>
      </c>
      <c r="H120" s="4" t="inlineStr">
        <is>
          <t>07:50</t>
        </is>
      </c>
      <c r="I120" s="4" t="inlineStr">
        <is>
          <t>17:06</t>
        </is>
      </c>
      <c r="J120" s="29" t="inlineStr">
        <is>
          <t>07:50, 17:05, 17:06</t>
        </is>
      </c>
      <c r="K120" s="30" t="inlineStr">
        <is>
          <t>ÇOKLU_BASIM_MIN_MAX</t>
        </is>
      </c>
      <c r="L120" s="8" t="n">
        <v>0</v>
      </c>
      <c r="M120" s="8" t="n">
        <v>0</v>
      </c>
      <c r="N120" s="4" t="inlineStr">
        <is>
          <t>İK / Amir Onayında</t>
        </is>
      </c>
    </row>
    <row r="121">
      <c r="A121" s="4" t="n">
        <v>2035</v>
      </c>
      <c r="B121" s="4" t="inlineStr">
        <is>
          <t>20.10.2026</t>
        </is>
      </c>
      <c r="C121" s="4" t="inlineStr">
        <is>
          <t>Salı</t>
        </is>
      </c>
      <c r="D121" s="4" t="inlineStr">
        <is>
          <t>01423</t>
        </is>
      </c>
      <c r="E121" s="4" t="inlineStr">
        <is>
          <t>01423</t>
        </is>
      </c>
      <c r="F121" s="29" t="inlineStr">
        <is>
          <t>İBÜŞRAHİM HALİL ALPAN</t>
        </is>
      </c>
      <c r="G121" s="29" t="inlineStr">
        <is>
          <t>DİĞER</t>
        </is>
      </c>
      <c r="H121" s="4" t="inlineStr">
        <is>
          <t>07:52</t>
        </is>
      </c>
      <c r="I121" s="4" t="inlineStr">
        <is>
          <t>16:59</t>
        </is>
      </c>
      <c r="J121" s="29" t="inlineStr">
        <is>
          <t>07:52, 16:58, 16:59</t>
        </is>
      </c>
      <c r="K121" s="30" t="inlineStr">
        <is>
          <t>ÇOKLU_BASIM_MIN_MAX</t>
        </is>
      </c>
      <c r="L121" s="8" t="n">
        <v>0</v>
      </c>
      <c r="M121" s="8" t="n">
        <v>0</v>
      </c>
      <c r="N121" s="4" t="inlineStr">
        <is>
          <t>İK / Amir Onayında</t>
        </is>
      </c>
    </row>
    <row r="122">
      <c r="A122" s="4" t="n">
        <v>2036</v>
      </c>
      <c r="B122" s="4" t="inlineStr">
        <is>
          <t>9.10.2026</t>
        </is>
      </c>
      <c r="C122" s="4" t="inlineStr">
        <is>
          <t>Cuma</t>
        </is>
      </c>
      <c r="D122" s="4" t="inlineStr">
        <is>
          <t>01539</t>
        </is>
      </c>
      <c r="E122" s="4" t="inlineStr">
        <is>
          <t>01539</t>
        </is>
      </c>
      <c r="F122" s="29" t="inlineStr">
        <is>
          <t>İDAL DÖNER</t>
        </is>
      </c>
      <c r="G122" s="29" t="inlineStr">
        <is>
          <t>DİĞER</t>
        </is>
      </c>
      <c r="H122" s="4" t="inlineStr">
        <is>
          <t>15:05</t>
        </is>
      </c>
      <c r="I122" s="4" t="inlineStr">
        <is>
          <t>20:01</t>
        </is>
      </c>
      <c r="J122" s="29" t="inlineStr">
        <is>
          <t>07:47, 15:05, 20:01</t>
        </is>
      </c>
      <c r="K122" s="30" t="inlineStr">
        <is>
          <t>ÇOKLU_BASIM_MIN_MAX</t>
        </is>
      </c>
      <c r="L122" s="8" t="n">
        <v>4.5</v>
      </c>
      <c r="M122" s="8" t="n">
        <v>0</v>
      </c>
      <c r="N122" s="4" t="inlineStr">
        <is>
          <t>İK / Amir Onayında</t>
        </is>
      </c>
    </row>
    <row r="123">
      <c r="A123" s="4" t="n">
        <v>2051</v>
      </c>
      <c r="B123" s="4" t="inlineStr">
        <is>
          <t>8.10.2026</t>
        </is>
      </c>
      <c r="C123" s="4" t="inlineStr">
        <is>
          <t>Perşembe</t>
        </is>
      </c>
      <c r="D123" s="4" t="inlineStr">
        <is>
          <t>00426</t>
        </is>
      </c>
      <c r="E123" s="4" t="inlineStr">
        <is>
          <t>00426</t>
        </is>
      </c>
      <c r="F123" s="29" t="inlineStr">
        <is>
          <t>İİLKNUR KURDEŞ</t>
        </is>
      </c>
      <c r="G123" s="29" t="inlineStr">
        <is>
          <t>BALIK TEMİZLEME</t>
        </is>
      </c>
      <c r="H123" s="4" t="inlineStr">
        <is>
          <t>07:52</t>
        </is>
      </c>
      <c r="I123" s="4" t="inlineStr">
        <is>
          <t>-</t>
        </is>
      </c>
      <c r="J123" s="29" t="inlineStr">
        <is>
          <t>07:52, 17:38</t>
        </is>
      </c>
      <c r="K123" s="30" t="inlineStr">
        <is>
          <t>ÇIKIŞ_YOK</t>
        </is>
      </c>
      <c r="L123" s="8" t="n">
        <v>7.5</v>
      </c>
      <c r="M123" s="8" t="n">
        <v>0</v>
      </c>
      <c r="N123" s="4" t="inlineStr">
        <is>
          <t>İK / Amir Onayında</t>
        </is>
      </c>
    </row>
    <row r="124">
      <c r="A124" s="4" t="n">
        <v>2060</v>
      </c>
      <c r="B124" s="4" t="inlineStr">
        <is>
          <t>2.10.2026</t>
        </is>
      </c>
      <c r="C124" s="4" t="inlineStr">
        <is>
          <t>Cuma</t>
        </is>
      </c>
      <c r="D124" s="4" t="inlineStr">
        <is>
          <t>01425</t>
        </is>
      </c>
      <c r="E124" s="4" t="inlineStr">
        <is>
          <t>01425</t>
        </is>
      </c>
      <c r="F124" s="29" t="inlineStr">
        <is>
          <t>İİPEK GÜNDOĞAN</t>
        </is>
      </c>
      <c r="G124" s="29" t="inlineStr">
        <is>
          <t>DİĞER</t>
        </is>
      </c>
      <c r="H124" s="4" t="inlineStr">
        <is>
          <t>-</t>
        </is>
      </c>
      <c r="I124" s="4" t="inlineStr">
        <is>
          <t>17:52</t>
        </is>
      </c>
      <c r="J124" s="29" t="inlineStr">
        <is>
          <t>17:52</t>
        </is>
      </c>
      <c r="K124" s="30" t="inlineStr">
        <is>
          <t>GİRİŞ_YOK_AKŞAM</t>
        </is>
      </c>
      <c r="L124" s="8" t="n">
        <v>8.5</v>
      </c>
      <c r="M124" s="8" t="n">
        <v>1</v>
      </c>
      <c r="N124" s="4" t="inlineStr">
        <is>
          <t>İK / Amir Onayında</t>
        </is>
      </c>
    </row>
    <row r="125">
      <c r="A125" s="4" t="n">
        <v>2061</v>
      </c>
      <c r="B125" s="4" t="inlineStr">
        <is>
          <t>3.10.2026</t>
        </is>
      </c>
      <c r="C125" s="4" t="inlineStr">
        <is>
          <t>Cumartesi</t>
        </is>
      </c>
      <c r="D125" s="4" t="inlineStr">
        <is>
          <t>01425</t>
        </is>
      </c>
      <c r="E125" s="4" t="inlineStr">
        <is>
          <t>01425</t>
        </is>
      </c>
      <c r="F125" s="29" t="inlineStr">
        <is>
          <t>İİPEK GÜNDOĞAN</t>
        </is>
      </c>
      <c r="G125" s="29" t="inlineStr">
        <is>
          <t>DİĞER</t>
        </is>
      </c>
      <c r="H125" s="4" t="inlineStr">
        <is>
          <t>07:37</t>
        </is>
      </c>
      <c r="I125" s="4" t="inlineStr">
        <is>
          <t>17:41</t>
        </is>
      </c>
      <c r="J125" s="29" t="inlineStr">
        <is>
          <t>07:37, 13:59, 14:00, 17:41</t>
        </is>
      </c>
      <c r="K125" s="30" t="inlineStr">
        <is>
          <t>ÇOKLU_BASIM_MIN_MAX</t>
        </is>
      </c>
      <c r="L125" s="8" t="n">
        <v>0</v>
      </c>
      <c r="M125" s="8" t="n">
        <v>0</v>
      </c>
      <c r="N125" s="4" t="inlineStr">
        <is>
          <t>İK / Amir Onayında</t>
        </is>
      </c>
    </row>
    <row r="126">
      <c r="A126" s="4" t="n">
        <v>2083</v>
      </c>
      <c r="B126" s="4" t="inlineStr">
        <is>
          <t>3.10.2026</t>
        </is>
      </c>
      <c r="C126" s="4" t="inlineStr">
        <is>
          <t>Cumartesi</t>
        </is>
      </c>
      <c r="D126" s="4" t="inlineStr">
        <is>
          <t>00230</t>
        </is>
      </c>
      <c r="E126" s="4" t="inlineStr">
        <is>
          <t>00230</t>
        </is>
      </c>
      <c r="F126" s="29" t="inlineStr">
        <is>
          <t>İSMAİL İMİR</t>
        </is>
      </c>
      <c r="G126" s="29" t="inlineStr">
        <is>
          <t>OTOKLAV OPERATÖRÜ</t>
        </is>
      </c>
      <c r="H126" s="4" t="inlineStr">
        <is>
          <t>08:00</t>
        </is>
      </c>
      <c r="I126" s="4" t="inlineStr">
        <is>
          <t>-</t>
        </is>
      </c>
      <c r="J126" s="29" t="inlineStr">
        <is>
          <t>08:00</t>
        </is>
      </c>
      <c r="K126" s="30" t="inlineStr">
        <is>
          <t>ÇIKIŞ_YOK</t>
        </is>
      </c>
      <c r="L126" s="8" t="n">
        <v>7.5</v>
      </c>
      <c r="M126" s="8" t="n">
        <v>0</v>
      </c>
      <c r="N126" s="4" t="inlineStr">
        <is>
          <t>İK / Amir Onayında</t>
        </is>
      </c>
    </row>
    <row r="127">
      <c r="A127" s="4" t="n">
        <v>2084</v>
      </c>
      <c r="B127" s="4" t="inlineStr">
        <is>
          <t>4.10.2026</t>
        </is>
      </c>
      <c r="C127" s="4" t="inlineStr">
        <is>
          <t>Pazar</t>
        </is>
      </c>
      <c r="D127" s="4" t="inlineStr">
        <is>
          <t>00230</t>
        </is>
      </c>
      <c r="E127" s="4" t="inlineStr">
        <is>
          <t>00230</t>
        </is>
      </c>
      <c r="F127" s="29" t="inlineStr">
        <is>
          <t>İSMAİL İMİR</t>
        </is>
      </c>
      <c r="G127" s="29" t="inlineStr">
        <is>
          <t>OTOKLAV OPERATÖRÜ</t>
        </is>
      </c>
      <c r="H127" s="4" t="inlineStr">
        <is>
          <t>-</t>
        </is>
      </c>
      <c r="I127" s="4" t="inlineStr">
        <is>
          <t>03:03</t>
        </is>
      </c>
      <c r="J127" s="29" t="inlineStr">
        <is>
          <t>03:03</t>
        </is>
      </c>
      <c r="K127" s="30" t="inlineStr">
        <is>
          <t>GİRİŞ_YOK_AKŞAM</t>
        </is>
      </c>
      <c r="L127" s="8" t="n">
        <v>17.5</v>
      </c>
      <c r="M127" s="8" t="n">
        <v>10</v>
      </c>
      <c r="N127" s="4" t="inlineStr">
        <is>
          <t>İK / Amir Onayında</t>
        </is>
      </c>
    </row>
    <row r="128">
      <c r="A128" s="4" t="n">
        <v>2093</v>
      </c>
      <c r="B128" s="4" t="inlineStr">
        <is>
          <t>14.10.2026</t>
        </is>
      </c>
      <c r="C128" s="4" t="inlineStr">
        <is>
          <t>Çarşamba</t>
        </is>
      </c>
      <c r="D128" s="4" t="inlineStr">
        <is>
          <t>00230</t>
        </is>
      </c>
      <c r="E128" s="4" t="inlineStr">
        <is>
          <t>00230</t>
        </is>
      </c>
      <c r="F128" s="29" t="inlineStr">
        <is>
          <t>İSMAİL İMİR</t>
        </is>
      </c>
      <c r="G128" s="29" t="inlineStr">
        <is>
          <t>OTOKLAV OPERATÖRÜ</t>
        </is>
      </c>
      <c r="H128" s="4" t="inlineStr">
        <is>
          <t>07:44</t>
        </is>
      </c>
      <c r="I128" s="4" t="inlineStr">
        <is>
          <t>-</t>
        </is>
      </c>
      <c r="J128" s="29" t="inlineStr">
        <is>
          <t>07:44</t>
        </is>
      </c>
      <c r="K128" s="30" t="inlineStr">
        <is>
          <t>ÇIKIŞ_YOK</t>
        </is>
      </c>
      <c r="L128" s="8" t="n">
        <v>7.5</v>
      </c>
      <c r="M128" s="8" t="n">
        <v>0</v>
      </c>
      <c r="N128" s="4" t="inlineStr">
        <is>
          <t>İK / Amir Onayında</t>
        </is>
      </c>
    </row>
    <row r="129">
      <c r="A129" s="4" t="n">
        <v>2094</v>
      </c>
      <c r="B129" s="4" t="inlineStr">
        <is>
          <t>15.10.2026</t>
        </is>
      </c>
      <c r="C129" s="4" t="inlineStr">
        <is>
          <t>Perşembe</t>
        </is>
      </c>
      <c r="D129" s="4" t="inlineStr">
        <is>
          <t>00230</t>
        </is>
      </c>
      <c r="E129" s="4" t="inlineStr">
        <is>
          <t>00230</t>
        </is>
      </c>
      <c r="F129" s="29" t="inlineStr">
        <is>
          <t>İSMAİL İMİR</t>
        </is>
      </c>
      <c r="G129" s="29" t="inlineStr">
        <is>
          <t>OTOKLAV OPERATÖRÜ</t>
        </is>
      </c>
      <c r="H129" s="4" t="inlineStr">
        <is>
          <t>-</t>
        </is>
      </c>
      <c r="I129" s="4" t="inlineStr">
        <is>
          <t>04:07</t>
        </is>
      </c>
      <c r="J129" s="29" t="inlineStr">
        <is>
          <t>04:07</t>
        </is>
      </c>
      <c r="K129" s="30" t="inlineStr">
        <is>
          <t>GİRİŞ_YOK_AKŞAM</t>
        </is>
      </c>
      <c r="L129" s="8" t="n">
        <v>18.5</v>
      </c>
      <c r="M129" s="8" t="n">
        <v>11</v>
      </c>
      <c r="N129" s="4" t="inlineStr">
        <is>
          <t>İK / Amir Onayında</t>
        </is>
      </c>
    </row>
    <row r="130">
      <c r="A130" s="4" t="n">
        <v>2096</v>
      </c>
      <c r="B130" s="4" t="inlineStr">
        <is>
          <t>17.10.2026</t>
        </is>
      </c>
      <c r="C130" s="4" t="inlineStr">
        <is>
          <t>Cumartesi</t>
        </is>
      </c>
      <c r="D130" s="4" t="inlineStr">
        <is>
          <t>00230</t>
        </is>
      </c>
      <c r="E130" s="4" t="inlineStr">
        <is>
          <t>00230</t>
        </is>
      </c>
      <c r="F130" s="29" t="inlineStr">
        <is>
          <t>İSMAİL İMİR</t>
        </is>
      </c>
      <c r="G130" s="29" t="inlineStr">
        <is>
          <t>OTOKLAV OPERATÖRÜ</t>
        </is>
      </c>
      <c r="H130" s="4" t="inlineStr">
        <is>
          <t>07:41</t>
        </is>
      </c>
      <c r="I130" s="4" t="inlineStr">
        <is>
          <t>-</t>
        </is>
      </c>
      <c r="J130" s="29" t="inlineStr">
        <is>
          <t>07:41</t>
        </is>
      </c>
      <c r="K130" s="30" t="inlineStr">
        <is>
          <t>ÇIKIŞ_YOK</t>
        </is>
      </c>
      <c r="L130" s="8" t="n">
        <v>7.5</v>
      </c>
      <c r="M130" s="8" t="n">
        <v>0</v>
      </c>
      <c r="N130" s="4" t="inlineStr">
        <is>
          <t>İK / Amir Onayında</t>
        </is>
      </c>
    </row>
    <row r="131">
      <c r="A131" s="4" t="n">
        <v>2097</v>
      </c>
      <c r="B131" s="4" t="inlineStr">
        <is>
          <t>18.10.2026</t>
        </is>
      </c>
      <c r="C131" s="4" t="inlineStr">
        <is>
          <t>Pazar</t>
        </is>
      </c>
      <c r="D131" s="4" t="inlineStr">
        <is>
          <t>00230</t>
        </is>
      </c>
      <c r="E131" s="4" t="inlineStr">
        <is>
          <t>00230</t>
        </is>
      </c>
      <c r="F131" s="29" t="inlineStr">
        <is>
          <t>İSMAİL İMİR</t>
        </is>
      </c>
      <c r="G131" s="29" t="inlineStr">
        <is>
          <t>OTOKLAV OPERATÖRÜ</t>
        </is>
      </c>
      <c r="H131" s="4" t="inlineStr">
        <is>
          <t>-</t>
        </is>
      </c>
      <c r="I131" s="4" t="inlineStr">
        <is>
          <t>02:31</t>
        </is>
      </c>
      <c r="J131" s="29" t="inlineStr">
        <is>
          <t>02:31</t>
        </is>
      </c>
      <c r="K131" s="30" t="inlineStr">
        <is>
          <t>GİRİŞ_YOK_AKŞAM</t>
        </is>
      </c>
      <c r="L131" s="8" t="n">
        <v>17</v>
      </c>
      <c r="M131" s="8" t="n">
        <v>9.5</v>
      </c>
      <c r="N131" s="4" t="inlineStr">
        <is>
          <t>İK / Amir Onayında</t>
        </is>
      </c>
    </row>
    <row r="132">
      <c r="A132" s="4" t="n">
        <v>2100</v>
      </c>
      <c r="B132" s="4" t="inlineStr">
        <is>
          <t>21.10.2026</t>
        </is>
      </c>
      <c r="C132" s="4" t="inlineStr">
        <is>
          <t>Çarşamba</t>
        </is>
      </c>
      <c r="D132" s="4" t="inlineStr">
        <is>
          <t>00230</t>
        </is>
      </c>
      <c r="E132" s="4" t="inlineStr">
        <is>
          <t>00230</t>
        </is>
      </c>
      <c r="F132" s="29" t="inlineStr">
        <is>
          <t>İSMAİL İMİR</t>
        </is>
      </c>
      <c r="G132" s="29" t="inlineStr">
        <is>
          <t>OTOKLAV OPERATÖRÜ</t>
        </is>
      </c>
      <c r="H132" s="4" t="inlineStr">
        <is>
          <t>07:38</t>
        </is>
      </c>
      <c r="I132" s="4" t="inlineStr">
        <is>
          <t>-</t>
        </is>
      </c>
      <c r="J132" s="29" t="inlineStr">
        <is>
          <t>07:38</t>
        </is>
      </c>
      <c r="K132" s="30" t="inlineStr">
        <is>
          <t>ÇIKIŞ_YOK</t>
        </is>
      </c>
      <c r="L132" s="8" t="n">
        <v>7.5</v>
      </c>
      <c r="M132" s="8" t="n">
        <v>0</v>
      </c>
      <c r="N132" s="4" t="inlineStr">
        <is>
          <t>İK / Amir Onayında</t>
        </is>
      </c>
    </row>
    <row r="133">
      <c r="A133" s="4" t="n">
        <v>2105</v>
      </c>
      <c r="B133" s="4" t="inlineStr">
        <is>
          <t>6.10.2026</t>
        </is>
      </c>
      <c r="C133" s="4" t="inlineStr">
        <is>
          <t>Salı</t>
        </is>
      </c>
      <c r="D133" s="4" t="inlineStr">
        <is>
          <t>00783</t>
        </is>
      </c>
      <c r="E133" s="4" t="inlineStr">
        <is>
          <t>00783</t>
        </is>
      </c>
      <c r="F133" s="29" t="inlineStr">
        <is>
          <t>İSMAİL BARAK</t>
        </is>
      </c>
      <c r="G133" s="29" t="inlineStr">
        <is>
          <t>BALIK KESİM</t>
        </is>
      </c>
      <c r="H133" s="4" t="inlineStr">
        <is>
          <t>07:59</t>
        </is>
      </c>
      <c r="I133" s="4" t="inlineStr">
        <is>
          <t>08:01</t>
        </is>
      </c>
      <c r="J133" s="29" t="inlineStr">
        <is>
          <t>07:59, 17:10, 22:17, 08:01</t>
        </is>
      </c>
      <c r="K133" s="30" t="inlineStr">
        <is>
          <t>PARÇALI_ÇALIŞMA</t>
        </is>
      </c>
      <c r="L133" s="8" t="n">
        <v>15</v>
      </c>
      <c r="M133" s="8" t="n">
        <v>7.5</v>
      </c>
      <c r="N133" s="4" t="inlineStr">
        <is>
          <t>İK / Amir Onayında</t>
        </is>
      </c>
    </row>
    <row r="134">
      <c r="A134" s="4" t="n">
        <v>2117</v>
      </c>
      <c r="B134" s="4" t="inlineStr">
        <is>
          <t>21.10.2026</t>
        </is>
      </c>
      <c r="C134" s="4" t="inlineStr">
        <is>
          <t>Çarşamba</t>
        </is>
      </c>
      <c r="D134" s="4" t="inlineStr">
        <is>
          <t>00783</t>
        </is>
      </c>
      <c r="E134" s="4" t="inlineStr">
        <is>
          <t>00783</t>
        </is>
      </c>
      <c r="F134" s="29" t="inlineStr">
        <is>
          <t>İSMAİL BARAK</t>
        </is>
      </c>
      <c r="G134" s="29" t="inlineStr">
        <is>
          <t>BALIK KESİM</t>
        </is>
      </c>
      <c r="H134" s="4" t="inlineStr">
        <is>
          <t>16:40</t>
        </is>
      </c>
      <c r="I134" s="4" t="inlineStr">
        <is>
          <t>-</t>
        </is>
      </c>
      <c r="J134" s="29" t="inlineStr">
        <is>
          <t>16:40</t>
        </is>
      </c>
      <c r="K134" s="30" t="inlineStr">
        <is>
          <t>ÇIKIŞ_YOK</t>
        </is>
      </c>
      <c r="L134" s="8" t="n">
        <v>7.5</v>
      </c>
      <c r="M134" s="8" t="n">
        <v>0</v>
      </c>
      <c r="N134" s="4" t="inlineStr">
        <is>
          <t>İK / Amir Onayında</t>
        </is>
      </c>
    </row>
    <row r="135">
      <c r="A135" s="4" t="n">
        <v>2132</v>
      </c>
      <c r="B135" s="4" t="inlineStr">
        <is>
          <t>21.10.2026</t>
        </is>
      </c>
      <c r="C135" s="4" t="inlineStr">
        <is>
          <t>Çarşamba</t>
        </is>
      </c>
      <c r="D135" s="4" t="inlineStr">
        <is>
          <t>00093</t>
        </is>
      </c>
      <c r="E135" s="4" t="inlineStr">
        <is>
          <t>00093</t>
        </is>
      </c>
      <c r="F135" s="29" t="inlineStr">
        <is>
          <t>KADİR AZAR</t>
        </is>
      </c>
      <c r="G135" s="29" t="inlineStr">
        <is>
          <t>AMBAR</t>
        </is>
      </c>
      <c r="H135" s="4" t="inlineStr">
        <is>
          <t>07:44</t>
        </is>
      </c>
      <c r="I135" s="4" t="inlineStr">
        <is>
          <t>17:25</t>
        </is>
      </c>
      <c r="J135" s="29" t="inlineStr">
        <is>
          <t>07:44, 17:04, 17:25</t>
        </is>
      </c>
      <c r="K135" s="30" t="inlineStr">
        <is>
          <t>ÇOKLU_BASIM_MIN_MAX</t>
        </is>
      </c>
      <c r="L135" s="8" t="n">
        <v>8</v>
      </c>
      <c r="M135" s="8" t="n">
        <v>0.5</v>
      </c>
      <c r="N135" s="4" t="inlineStr">
        <is>
          <t>İK / Amir Onayında</t>
        </is>
      </c>
    </row>
    <row r="136">
      <c r="A136" s="4" t="n">
        <v>2133</v>
      </c>
      <c r="B136" s="4" t="inlineStr">
        <is>
          <t>2.10.2026</t>
        </is>
      </c>
      <c r="C136" s="4" t="inlineStr">
        <is>
          <t>Cuma</t>
        </is>
      </c>
      <c r="D136" s="4" t="inlineStr">
        <is>
          <t>01427</t>
        </is>
      </c>
      <c r="E136" s="4" t="inlineStr">
        <is>
          <t>01427</t>
        </is>
      </c>
      <c r="F136" s="29" t="inlineStr">
        <is>
          <t>KADİR KOÇ</t>
        </is>
      </c>
      <c r="G136" s="29" t="inlineStr">
        <is>
          <t>DİĞER</t>
        </is>
      </c>
      <c r="H136" s="4" t="inlineStr">
        <is>
          <t>19:46</t>
        </is>
      </c>
      <c r="I136" s="4" t="inlineStr">
        <is>
          <t>07:53</t>
        </is>
      </c>
      <c r="J136" s="29" t="inlineStr">
        <is>
          <t>07:50, 19:46, 07:53</t>
        </is>
      </c>
      <c r="K136" s="30" t="inlineStr">
        <is>
          <t>ÇOKLU_BASIM_MIN_MAX</t>
        </is>
      </c>
      <c r="L136" s="8" t="n">
        <v>10.5</v>
      </c>
      <c r="M136" s="8" t="n">
        <v>3</v>
      </c>
      <c r="N136" s="4" t="inlineStr">
        <is>
          <t>İK / Amir Onayında</t>
        </is>
      </c>
    </row>
    <row r="137">
      <c r="A137" s="4" t="n">
        <v>2140</v>
      </c>
      <c r="B137" s="4" t="inlineStr">
        <is>
          <t>12.10.2026</t>
        </is>
      </c>
      <c r="C137" s="4" t="inlineStr">
        <is>
          <t>Pazartesi</t>
        </is>
      </c>
      <c r="D137" s="4" t="inlineStr">
        <is>
          <t>01427</t>
        </is>
      </c>
      <c r="E137" s="4" t="inlineStr">
        <is>
          <t>01427</t>
        </is>
      </c>
      <c r="F137" s="29" t="inlineStr">
        <is>
          <t>KADİR KOÇ</t>
        </is>
      </c>
      <c r="G137" s="29" t="inlineStr">
        <is>
          <t>DİĞER</t>
        </is>
      </c>
      <c r="H137" s="4" t="inlineStr">
        <is>
          <t>08:10</t>
        </is>
      </c>
      <c r="I137" s="4" t="inlineStr">
        <is>
          <t>07:53</t>
        </is>
      </c>
      <c r="J137" s="29" t="inlineStr">
        <is>
          <t>08:10, 20:04, 20:06, 07:53</t>
        </is>
      </c>
      <c r="K137" s="30" t="inlineStr">
        <is>
          <t>PARÇALI_ÇALIŞMA</t>
        </is>
      </c>
      <c r="L137" s="8" t="n">
        <v>21</v>
      </c>
      <c r="M137" s="8" t="n">
        <v>13.5</v>
      </c>
      <c r="N137" s="4" t="inlineStr">
        <is>
          <t>İK / Amir Onayında</t>
        </is>
      </c>
    </row>
    <row r="138">
      <c r="A138" s="4" t="n">
        <v>2164</v>
      </c>
      <c r="B138" s="4" t="inlineStr">
        <is>
          <t>5.10.2026</t>
        </is>
      </c>
      <c r="C138" s="4" t="inlineStr">
        <is>
          <t>Pazartesi</t>
        </is>
      </c>
      <c r="D138" s="4" t="inlineStr">
        <is>
          <t>01428</t>
        </is>
      </c>
      <c r="E138" s="4" t="inlineStr">
        <is>
          <t>01428</t>
        </is>
      </c>
      <c r="F138" s="29" t="inlineStr">
        <is>
          <t>KAMİL İNATLI</t>
        </is>
      </c>
      <c r="G138" s="29" t="inlineStr">
        <is>
          <t>HALİL DİĞRENCİ</t>
        </is>
      </c>
      <c r="H138" s="4" t="inlineStr">
        <is>
          <t>07:51</t>
        </is>
      </c>
      <c r="I138" s="4" t="inlineStr">
        <is>
          <t>17:03</t>
        </is>
      </c>
      <c r="J138" s="29" t="inlineStr">
        <is>
          <t>07:51, 17:02, 17:03</t>
        </is>
      </c>
      <c r="K138" s="30" t="inlineStr">
        <is>
          <t>ÇOKLU_BASIM_MIN_MAX</t>
        </is>
      </c>
      <c r="L138" s="8" t="n">
        <v>0</v>
      </c>
      <c r="M138" s="8" t="n">
        <v>0</v>
      </c>
      <c r="N138" s="4" t="inlineStr">
        <is>
          <t>İK / Amir Onayında</t>
        </is>
      </c>
    </row>
    <row r="139">
      <c r="A139" s="4" t="n">
        <v>2211</v>
      </c>
      <c r="B139" s="4" t="inlineStr">
        <is>
          <t>19.10.2026</t>
        </is>
      </c>
      <c r="C139" s="4" t="inlineStr">
        <is>
          <t>Pazartesi</t>
        </is>
      </c>
      <c r="D139" s="4" t="inlineStr">
        <is>
          <t>00097</t>
        </is>
      </c>
      <c r="E139" s="4" t="inlineStr">
        <is>
          <t>00097</t>
        </is>
      </c>
      <c r="F139" s="29" t="inlineStr">
        <is>
          <t>KEMAL DURMUŞ</t>
        </is>
      </c>
      <c r="G139" s="29" t="inlineStr">
        <is>
          <t>İŞLETME</t>
        </is>
      </c>
      <c r="H139" s="4" t="inlineStr">
        <is>
          <t>06:25</t>
        </is>
      </c>
      <c r="I139" s="4" t="inlineStr">
        <is>
          <t>08:03</t>
        </is>
      </c>
      <c r="J139" s="29" t="inlineStr">
        <is>
          <t>06:25, 07:58, 19:57, 08:03</t>
        </is>
      </c>
      <c r="K139" s="30" t="inlineStr">
        <is>
          <t>PARÇALI_ÇALIŞMA</t>
        </is>
      </c>
      <c r="L139" s="8" t="n">
        <v>10.5</v>
      </c>
      <c r="M139" s="8" t="n">
        <v>3</v>
      </c>
      <c r="N139" s="4" t="inlineStr">
        <is>
          <t>İK / Amir Onayında</t>
        </is>
      </c>
    </row>
    <row r="140">
      <c r="A140" s="4" t="n">
        <v>2212</v>
      </c>
      <c r="B140" s="4" t="inlineStr">
        <is>
          <t>20.10.2026</t>
        </is>
      </c>
      <c r="C140" s="4" t="inlineStr">
        <is>
          <t>Salı</t>
        </is>
      </c>
      <c r="D140" s="4" t="inlineStr">
        <is>
          <t>00097</t>
        </is>
      </c>
      <c r="E140" s="4" t="inlineStr">
        <is>
          <t>00097</t>
        </is>
      </c>
      <c r="F140" s="29" t="inlineStr">
        <is>
          <t>KEMAL DURMUŞ</t>
        </is>
      </c>
      <c r="G140" s="29" t="inlineStr">
        <is>
          <t>İŞLETME</t>
        </is>
      </c>
      <c r="H140" s="4" t="inlineStr">
        <is>
          <t>19:52</t>
        </is>
      </c>
      <c r="I140" s="4" t="inlineStr">
        <is>
          <t>-</t>
        </is>
      </c>
      <c r="J140" s="29" t="inlineStr">
        <is>
          <t>19:52</t>
        </is>
      </c>
      <c r="K140" s="30" t="inlineStr">
        <is>
          <t>ÇIKIŞ_YOK</t>
        </is>
      </c>
      <c r="L140" s="8" t="n">
        <v>7.5</v>
      </c>
      <c r="M140" s="8" t="n">
        <v>0</v>
      </c>
      <c r="N140" s="4" t="inlineStr">
        <is>
          <t>İK / Amir Onayında</t>
        </is>
      </c>
    </row>
    <row r="141">
      <c r="A141" s="4" t="n">
        <v>2251</v>
      </c>
      <c r="B141" s="4" t="inlineStr">
        <is>
          <t>11.10.2026</t>
        </is>
      </c>
      <c r="C141" s="4" t="inlineStr">
        <is>
          <t>Pazar</t>
        </is>
      </c>
      <c r="D141" s="4" t="inlineStr">
        <is>
          <t>00199</t>
        </is>
      </c>
      <c r="E141" s="4" t="inlineStr">
        <is>
          <t>00199</t>
        </is>
      </c>
      <c r="F141" s="29" t="inlineStr">
        <is>
          <t>KÜRŞAT TÜRKAN</t>
        </is>
      </c>
      <c r="G141" s="29" t="inlineStr">
        <is>
          <t>BAKIM</t>
        </is>
      </c>
      <c r="H141" s="4" t="inlineStr">
        <is>
          <t>08:25</t>
        </is>
      </c>
      <c r="I141" s="4" t="inlineStr">
        <is>
          <t>-</t>
        </is>
      </c>
      <c r="J141" s="29" t="inlineStr">
        <is>
          <t>08:25</t>
        </is>
      </c>
      <c r="K141" s="30" t="inlineStr">
        <is>
          <t>ÇIKIŞ_YOK</t>
        </is>
      </c>
      <c r="L141" s="8" t="n">
        <v>7.5</v>
      </c>
      <c r="M141" s="8" t="n">
        <v>0</v>
      </c>
      <c r="N141" s="4" t="inlineStr">
        <is>
          <t>İK / Amir Onayında</t>
        </is>
      </c>
    </row>
    <row r="142">
      <c r="A142" s="4" t="n">
        <v>2252</v>
      </c>
      <c r="B142" s="4" t="inlineStr">
        <is>
          <t>12.10.2026</t>
        </is>
      </c>
      <c r="C142" s="4" t="inlineStr">
        <is>
          <t>Pazartesi</t>
        </is>
      </c>
      <c r="D142" s="4" t="inlineStr">
        <is>
          <t>00199</t>
        </is>
      </c>
      <c r="E142" s="4" t="inlineStr">
        <is>
          <t>00199</t>
        </is>
      </c>
      <c r="F142" s="29" t="inlineStr">
        <is>
          <t>KÜRŞAT TÜRKAN</t>
        </is>
      </c>
      <c r="G142" s="29" t="inlineStr">
        <is>
          <t>BAKIM</t>
        </is>
      </c>
      <c r="H142" s="4" t="inlineStr">
        <is>
          <t>07:57</t>
        </is>
      </c>
      <c r="I142" s="4" t="inlineStr">
        <is>
          <t>18:44</t>
        </is>
      </c>
      <c r="J142" s="29" t="inlineStr">
        <is>
          <t>07:57, 18:43, 18:44</t>
        </is>
      </c>
      <c r="K142" s="30" t="inlineStr">
        <is>
          <t>ÇOKLU_BASIM_MIN_MAX</t>
        </is>
      </c>
      <c r="L142" s="8" t="n">
        <v>9</v>
      </c>
      <c r="M142" s="8" t="n">
        <v>1.5</v>
      </c>
      <c r="N142" s="4" t="inlineStr">
        <is>
          <t>İK / Amir Onayında</t>
        </is>
      </c>
    </row>
    <row r="143">
      <c r="A143" s="4" t="n">
        <v>2257</v>
      </c>
      <c r="B143" s="4" t="inlineStr">
        <is>
          <t>17.10.2026</t>
        </is>
      </c>
      <c r="C143" s="4" t="inlineStr">
        <is>
          <t>Cumartesi</t>
        </is>
      </c>
      <c r="D143" s="4" t="inlineStr">
        <is>
          <t>00199</t>
        </is>
      </c>
      <c r="E143" s="4" t="inlineStr">
        <is>
          <t>00199</t>
        </is>
      </c>
      <c r="F143" s="29" t="inlineStr">
        <is>
          <t>KÜRŞAT TÜRKAN</t>
        </is>
      </c>
      <c r="G143" s="29" t="inlineStr">
        <is>
          <t>BAKIM</t>
        </is>
      </c>
      <c r="H143" s="4" t="inlineStr">
        <is>
          <t>07:59</t>
        </is>
      </c>
      <c r="I143" s="4" t="inlineStr">
        <is>
          <t>-</t>
        </is>
      </c>
      <c r="J143" s="29" t="inlineStr">
        <is>
          <t>07:59</t>
        </is>
      </c>
      <c r="K143" s="30" t="inlineStr">
        <is>
          <t>ÇIKIŞ_YOK</t>
        </is>
      </c>
      <c r="L143" s="8" t="n">
        <v>7.5</v>
      </c>
      <c r="M143" s="8" t="n">
        <v>0</v>
      </c>
      <c r="N143" s="4" t="inlineStr">
        <is>
          <t>İK / Amir Onayında</t>
        </is>
      </c>
    </row>
    <row r="144">
      <c r="A144" s="4" t="n">
        <v>2279</v>
      </c>
      <c r="B144" s="4" t="inlineStr">
        <is>
          <t>3.10.2026</t>
        </is>
      </c>
      <c r="C144" s="4" t="inlineStr">
        <is>
          <t>Cumartesi</t>
        </is>
      </c>
      <c r="D144" s="4" t="inlineStr">
        <is>
          <t>00200</t>
        </is>
      </c>
      <c r="E144" s="4" t="inlineStr">
        <is>
          <t>00200</t>
        </is>
      </c>
      <c r="F144" s="29" t="inlineStr">
        <is>
          <t>MAHMOUD ALZALEK</t>
        </is>
      </c>
      <c r="G144" s="29" t="inlineStr">
        <is>
          <t>ELEKTRİK</t>
        </is>
      </c>
      <c r="H144" s="4" t="inlineStr">
        <is>
          <t>10:07</t>
        </is>
      </c>
      <c r="I144" s="4" t="inlineStr">
        <is>
          <t>19:56</t>
        </is>
      </c>
      <c r="J144" s="29" t="inlineStr">
        <is>
          <t>10:07, 19:55, 19:56</t>
        </is>
      </c>
      <c r="K144" s="30" t="inlineStr">
        <is>
          <t>ÇOKLU_BASIM_MIN_MAX</t>
        </is>
      </c>
      <c r="L144" s="8" t="n">
        <v>0</v>
      </c>
      <c r="M144" s="8" t="n">
        <v>0</v>
      </c>
      <c r="N144" s="4" t="inlineStr">
        <is>
          <t>İK / Amir Onayında</t>
        </is>
      </c>
    </row>
    <row r="145">
      <c r="A145" s="4" t="n">
        <v>2280</v>
      </c>
      <c r="B145" s="4" t="inlineStr">
        <is>
          <t>4.10.2026</t>
        </is>
      </c>
      <c r="C145" s="4" t="inlineStr">
        <is>
          <t>Pazar</t>
        </is>
      </c>
      <c r="D145" s="4" t="inlineStr">
        <is>
          <t>00200</t>
        </is>
      </c>
      <c r="E145" s="4" t="inlineStr">
        <is>
          <t>00200</t>
        </is>
      </c>
      <c r="F145" s="29" t="inlineStr">
        <is>
          <t>MAHMOUD ALZALEK</t>
        </is>
      </c>
      <c r="G145" s="29" t="inlineStr">
        <is>
          <t>ELEKTRİK</t>
        </is>
      </c>
      <c r="H145" s="4" t="inlineStr">
        <is>
          <t>19:48</t>
        </is>
      </c>
      <c r="I145" s="4" t="inlineStr">
        <is>
          <t>08:03</t>
        </is>
      </c>
      <c r="J145" s="29" t="inlineStr">
        <is>
          <t>08:03, 19:48, 08:02</t>
        </is>
      </c>
      <c r="K145" s="30" t="inlineStr">
        <is>
          <t>ÇOKLU_BASIM_MIN_MAX</t>
        </is>
      </c>
      <c r="L145" s="8" t="n">
        <v>10.5</v>
      </c>
      <c r="M145" s="8" t="n">
        <v>3</v>
      </c>
      <c r="N145" s="4" t="inlineStr">
        <is>
          <t>İK / Amir Onayında</t>
        </is>
      </c>
    </row>
    <row r="146">
      <c r="A146" s="4" t="n">
        <v>2298</v>
      </c>
      <c r="B146" s="4" t="inlineStr">
        <is>
          <t>6.10.2026</t>
        </is>
      </c>
      <c r="C146" s="4" t="inlineStr">
        <is>
          <t>Salı</t>
        </is>
      </c>
      <c r="D146" s="4" t="inlineStr">
        <is>
          <t>00528</t>
        </is>
      </c>
      <c r="E146" s="4" t="inlineStr">
        <is>
          <t>00528</t>
        </is>
      </c>
      <c r="F146" s="29" t="inlineStr">
        <is>
          <t>MAHMURE ESEN</t>
        </is>
      </c>
      <c r="G146" s="29" t="inlineStr">
        <is>
          <t>BALIK TEMİZLEME</t>
        </is>
      </c>
      <c r="H146" s="4" t="inlineStr">
        <is>
          <t>07:59</t>
        </is>
      </c>
      <c r="I146" s="4" t="inlineStr">
        <is>
          <t>17:40</t>
        </is>
      </c>
      <c r="J146" s="29" t="inlineStr">
        <is>
          <t>07:59, 17:39, 17:40</t>
        </is>
      </c>
      <c r="K146" s="30" t="inlineStr">
        <is>
          <t>ÇOKLU_BASIM_MIN_MAX</t>
        </is>
      </c>
      <c r="L146" s="8" t="n">
        <v>8</v>
      </c>
      <c r="M146" s="8" t="n">
        <v>0.5</v>
      </c>
      <c r="N146" s="4" t="inlineStr">
        <is>
          <t>İK / Amir Onayında</t>
        </is>
      </c>
    </row>
    <row r="147">
      <c r="A147" s="4" t="n">
        <v>2306</v>
      </c>
      <c r="B147" s="4" t="inlineStr">
        <is>
          <t>15.10.2026</t>
        </is>
      </c>
      <c r="C147" s="4" t="inlineStr">
        <is>
          <t>Perşembe</t>
        </is>
      </c>
      <c r="D147" s="4" t="inlineStr">
        <is>
          <t>00528</t>
        </is>
      </c>
      <c r="E147" s="4" t="inlineStr">
        <is>
          <t>00528</t>
        </is>
      </c>
      <c r="F147" s="29" t="inlineStr">
        <is>
          <t>MAHMURE ESEN</t>
        </is>
      </c>
      <c r="G147" s="29" t="inlineStr">
        <is>
          <t>BALIK TEMİZLEME</t>
        </is>
      </c>
      <c r="H147" s="4" t="inlineStr">
        <is>
          <t>08:03</t>
        </is>
      </c>
      <c r="I147" s="4" t="inlineStr">
        <is>
          <t>-</t>
        </is>
      </c>
      <c r="J147" s="29" t="inlineStr">
        <is>
          <t>08:03, 17:03</t>
        </is>
      </c>
      <c r="K147" s="30" t="inlineStr">
        <is>
          <t>ÇIKIŞ_YOK</t>
        </is>
      </c>
      <c r="L147" s="8" t="n">
        <v>7.5</v>
      </c>
      <c r="M147" s="8" t="n">
        <v>0</v>
      </c>
      <c r="N147" s="4" t="inlineStr">
        <is>
          <t>İK / Amir Onayında</t>
        </is>
      </c>
    </row>
    <row r="148">
      <c r="A148" s="4" t="n">
        <v>2308</v>
      </c>
      <c r="B148" s="4" t="inlineStr">
        <is>
          <t>17.10.2026</t>
        </is>
      </c>
      <c r="C148" s="4" t="inlineStr">
        <is>
          <t>Cumartesi</t>
        </is>
      </c>
      <c r="D148" s="4" t="inlineStr">
        <is>
          <t>00528</t>
        </is>
      </c>
      <c r="E148" s="4" t="inlineStr">
        <is>
          <t>00528</t>
        </is>
      </c>
      <c r="F148" s="29" t="inlineStr">
        <is>
          <t>MAHMURE ESEN</t>
        </is>
      </c>
      <c r="G148" s="29" t="inlineStr">
        <is>
          <t>BALIK TEMİZLEME</t>
        </is>
      </c>
      <c r="H148" s="4" t="inlineStr">
        <is>
          <t>07:53</t>
        </is>
      </c>
      <c r="I148" s="4" t="inlineStr">
        <is>
          <t>17:51</t>
        </is>
      </c>
      <c r="J148" s="29" t="inlineStr">
        <is>
          <t>07:53, 17:50, 17:51</t>
        </is>
      </c>
      <c r="K148" s="30" t="inlineStr">
        <is>
          <t>ÇOKLU_BASIM_MIN_MAX</t>
        </is>
      </c>
      <c r="L148" s="8" t="n">
        <v>0</v>
      </c>
      <c r="M148" s="8" t="n">
        <v>0</v>
      </c>
      <c r="N148" s="4" t="inlineStr">
        <is>
          <t>İK / Amir Onayında</t>
        </is>
      </c>
    </row>
    <row r="149">
      <c r="A149" s="4" t="n">
        <v>2314</v>
      </c>
      <c r="B149" s="4" t="inlineStr">
        <is>
          <t>6.10.2026</t>
        </is>
      </c>
      <c r="C149" s="4" t="inlineStr">
        <is>
          <t>Salı</t>
        </is>
      </c>
      <c r="D149" s="4" t="inlineStr">
        <is>
          <t>01432</t>
        </is>
      </c>
      <c r="E149" s="4" t="inlineStr">
        <is>
          <t>01432</t>
        </is>
      </c>
      <c r="F149" s="29" t="inlineStr">
        <is>
          <t>MAHSUN GİRGİN</t>
        </is>
      </c>
      <c r="G149" s="29" t="inlineStr">
        <is>
          <t>HALİL DİĞRENCİ</t>
        </is>
      </c>
      <c r="H149" s="4" t="inlineStr">
        <is>
          <t>07:34</t>
        </is>
      </c>
      <c r="I149" s="4" t="inlineStr">
        <is>
          <t>07:56</t>
        </is>
      </c>
      <c r="J149" s="29" t="inlineStr">
        <is>
          <t>07:34, 17:10, 22:17, 07:56</t>
        </is>
      </c>
      <c r="K149" s="30" t="inlineStr">
        <is>
          <t>PARÇALI_ÇALIŞMA</t>
        </is>
      </c>
      <c r="L149" s="8" t="n">
        <v>15</v>
      </c>
      <c r="M149" s="8" t="n">
        <v>7.5</v>
      </c>
      <c r="N149" s="4" t="inlineStr">
        <is>
          <t>İK / Amir Onayında</t>
        </is>
      </c>
    </row>
    <row r="150">
      <c r="A150" s="4" t="n">
        <v>2316</v>
      </c>
      <c r="B150" s="4" t="inlineStr">
        <is>
          <t>8.10.2026</t>
        </is>
      </c>
      <c r="C150" s="4" t="inlineStr">
        <is>
          <t>Perşembe</t>
        </is>
      </c>
      <c r="D150" s="4" t="inlineStr">
        <is>
          <t>01432</t>
        </is>
      </c>
      <c r="E150" s="4" t="inlineStr">
        <is>
          <t>01432</t>
        </is>
      </c>
      <c r="F150" s="29" t="inlineStr">
        <is>
          <t>MAHSUN GİRGİN</t>
        </is>
      </c>
      <c r="G150" s="29" t="inlineStr">
        <is>
          <t>HALİL DİĞRENCİ</t>
        </is>
      </c>
      <c r="H150" s="4" t="inlineStr">
        <is>
          <t>07:33</t>
        </is>
      </c>
      <c r="I150" s="4" t="inlineStr">
        <is>
          <t>08:01</t>
        </is>
      </c>
      <c r="J150" s="29" t="inlineStr">
        <is>
          <t>07:33, 20:04, 20:09, 08:01</t>
        </is>
      </c>
      <c r="K150" s="30" t="inlineStr">
        <is>
          <t>PARÇALI_ÇALIŞMA</t>
        </is>
      </c>
      <c r="L150" s="8" t="n">
        <v>21</v>
      </c>
      <c r="M150" s="8" t="n">
        <v>13.5</v>
      </c>
      <c r="N150" s="4" t="inlineStr">
        <is>
          <t>İK / Amir Onayında</t>
        </is>
      </c>
    </row>
    <row r="151">
      <c r="A151" s="4" t="n">
        <v>2321</v>
      </c>
      <c r="B151" s="4" t="inlineStr">
        <is>
          <t>13.10.2026</t>
        </is>
      </c>
      <c r="C151" s="4" t="inlineStr">
        <is>
          <t>Salı</t>
        </is>
      </c>
      <c r="D151" s="4" t="inlineStr">
        <is>
          <t>01432</t>
        </is>
      </c>
      <c r="E151" s="4" t="inlineStr">
        <is>
          <t>01432</t>
        </is>
      </c>
      <c r="F151" s="29" t="inlineStr">
        <is>
          <t>MAHSUN GİRGİN</t>
        </is>
      </c>
      <c r="G151" s="29" t="inlineStr">
        <is>
          <t>HALİL DİĞRENCİ</t>
        </is>
      </c>
      <c r="H151" s="4" t="inlineStr">
        <is>
          <t>08:04</t>
        </is>
      </c>
      <c r="I151" s="4" t="inlineStr">
        <is>
          <t>07:56</t>
        </is>
      </c>
      <c r="J151" s="29" t="inlineStr">
        <is>
          <t>08:04, 20:01, 20:08, 07:56</t>
        </is>
      </c>
      <c r="K151" s="30" t="inlineStr">
        <is>
          <t>PARÇALI_ÇALIŞMA</t>
        </is>
      </c>
      <c r="L151" s="8" t="n">
        <v>21</v>
      </c>
      <c r="M151" s="8" t="n">
        <v>13.5</v>
      </c>
      <c r="N151" s="4" t="inlineStr">
        <is>
          <t>İK / Amir Onayında</t>
        </is>
      </c>
    </row>
    <row r="152">
      <c r="A152" s="4" t="n">
        <v>2324</v>
      </c>
      <c r="B152" s="4" t="inlineStr">
        <is>
          <t>16.10.2026</t>
        </is>
      </c>
      <c r="C152" s="4" t="inlineStr">
        <is>
          <t>Cuma</t>
        </is>
      </c>
      <c r="D152" s="4" t="inlineStr">
        <is>
          <t>01432</t>
        </is>
      </c>
      <c r="E152" s="4" t="inlineStr">
        <is>
          <t>01432</t>
        </is>
      </c>
      <c r="F152" s="29" t="inlineStr">
        <is>
          <t>MAHSUN GİRGİN</t>
        </is>
      </c>
      <c r="G152" s="29" t="inlineStr">
        <is>
          <t>HALİL DİĞRENCİ</t>
        </is>
      </c>
      <c r="H152" s="4" t="inlineStr">
        <is>
          <t>07:59</t>
        </is>
      </c>
      <c r="I152" s="4" t="inlineStr">
        <is>
          <t>20:02</t>
        </is>
      </c>
      <c r="J152" s="29" t="inlineStr">
        <is>
          <t>07:59, 08:00, 20:02</t>
        </is>
      </c>
      <c r="K152" s="30" t="inlineStr">
        <is>
          <t>ÇOKLU_BASIM_MIN_MAX</t>
        </is>
      </c>
      <c r="L152" s="8" t="n">
        <v>0</v>
      </c>
      <c r="M152" s="8" t="n">
        <v>0</v>
      </c>
      <c r="N152" s="4" t="inlineStr">
        <is>
          <t>İK / Amir Onayında</t>
        </is>
      </c>
    </row>
    <row r="153">
      <c r="A153" s="4" t="n">
        <v>2326</v>
      </c>
      <c r="B153" s="4" t="inlineStr">
        <is>
          <t>18.10.2026</t>
        </is>
      </c>
      <c r="C153" s="4" t="inlineStr">
        <is>
          <t>Pazar</t>
        </is>
      </c>
      <c r="D153" s="4" t="inlineStr">
        <is>
          <t>01432</t>
        </is>
      </c>
      <c r="E153" s="4" t="inlineStr">
        <is>
          <t>01432</t>
        </is>
      </c>
      <c r="F153" s="29" t="inlineStr">
        <is>
          <t>MAHSUN GİRGİN</t>
        </is>
      </c>
      <c r="G153" s="29" t="inlineStr">
        <is>
          <t>HALİL DİĞRENCİ</t>
        </is>
      </c>
      <c r="H153" s="4" t="inlineStr">
        <is>
          <t>07:42</t>
        </is>
      </c>
      <c r="I153" s="4" t="inlineStr">
        <is>
          <t>17:28</t>
        </is>
      </c>
      <c r="J153" s="29" t="inlineStr">
        <is>
          <t>07:42, 17:28, 17:31</t>
        </is>
      </c>
      <c r="K153" s="30" t="inlineStr">
        <is>
          <t>ÇOKLU_BASIM_MIN_MAX</t>
        </is>
      </c>
      <c r="L153" s="8" t="n">
        <v>8</v>
      </c>
      <c r="M153" s="8" t="n">
        <v>0.5</v>
      </c>
      <c r="N153" s="4" t="inlineStr">
        <is>
          <t>İK / Amir Onayında</t>
        </is>
      </c>
    </row>
    <row r="154">
      <c r="A154" s="4" t="n">
        <v>2327</v>
      </c>
      <c r="B154" s="4" t="inlineStr">
        <is>
          <t>19.10.2026</t>
        </is>
      </c>
      <c r="C154" s="4" t="inlineStr">
        <is>
          <t>Pazartesi</t>
        </is>
      </c>
      <c r="D154" s="4" t="inlineStr">
        <is>
          <t>01432</t>
        </is>
      </c>
      <c r="E154" s="4" t="inlineStr">
        <is>
          <t>01432</t>
        </is>
      </c>
      <c r="F154" s="29" t="inlineStr">
        <is>
          <t>MAHSUN GİRGİN</t>
        </is>
      </c>
      <c r="G154" s="29" t="inlineStr">
        <is>
          <t>HALİL DİĞRENCİ</t>
        </is>
      </c>
      <c r="H154" s="4" t="inlineStr">
        <is>
          <t>08:01</t>
        </is>
      </c>
      <c r="I154" s="4" t="inlineStr">
        <is>
          <t>20:01</t>
        </is>
      </c>
      <c r="J154" s="29" t="inlineStr">
        <is>
          <t>08:01, 08:02, 20:01</t>
        </is>
      </c>
      <c r="K154" s="30" t="inlineStr">
        <is>
          <t>ÇOKLU_BASIM_MIN_MAX</t>
        </is>
      </c>
      <c r="L154" s="8" t="n">
        <v>0</v>
      </c>
      <c r="M154" s="8" t="n">
        <v>0</v>
      </c>
      <c r="N154" s="4" t="inlineStr">
        <is>
          <t>İK / Amir Onayında</t>
        </is>
      </c>
    </row>
    <row r="155">
      <c r="A155" s="4" t="n">
        <v>2329</v>
      </c>
      <c r="B155" s="4" t="inlineStr">
        <is>
          <t>21.10.2026</t>
        </is>
      </c>
      <c r="C155" s="4" t="inlineStr">
        <is>
          <t>Çarşamba</t>
        </is>
      </c>
      <c r="D155" s="4" t="inlineStr">
        <is>
          <t>01432</t>
        </is>
      </c>
      <c r="E155" s="4" t="inlineStr">
        <is>
          <t>01432</t>
        </is>
      </c>
      <c r="F155" s="29" t="inlineStr">
        <is>
          <t>MAHSUN GİRGİN</t>
        </is>
      </c>
      <c r="G155" s="29" t="inlineStr">
        <is>
          <t>HALİL DİĞRENCİ</t>
        </is>
      </c>
      <c r="H155" s="4" t="inlineStr">
        <is>
          <t>08:01</t>
        </is>
      </c>
      <c r="I155" s="4" t="inlineStr">
        <is>
          <t>-</t>
        </is>
      </c>
      <c r="J155" s="29" t="inlineStr">
        <is>
          <t>08:01</t>
        </is>
      </c>
      <c r="K155" s="30" t="inlineStr">
        <is>
          <t>ÇIKIŞ_YOK</t>
        </is>
      </c>
      <c r="L155" s="8" t="n">
        <v>7.5</v>
      </c>
      <c r="M155" s="8" t="n">
        <v>0</v>
      </c>
      <c r="N155" s="4" t="inlineStr">
        <is>
          <t>İK / Amir Onayında</t>
        </is>
      </c>
    </row>
    <row r="156">
      <c r="A156" s="4" t="n">
        <v>2335</v>
      </c>
      <c r="B156" s="4" t="inlineStr">
        <is>
          <t>8.10.2026</t>
        </is>
      </c>
      <c r="C156" s="4" t="inlineStr">
        <is>
          <t>Perşembe</t>
        </is>
      </c>
      <c r="D156" s="4" t="inlineStr">
        <is>
          <t>00500</t>
        </is>
      </c>
      <c r="E156" s="4" t="inlineStr">
        <is>
          <t>00500</t>
        </is>
      </c>
      <c r="F156" s="29" t="inlineStr">
        <is>
          <t>MEHMET KARTAL</t>
        </is>
      </c>
      <c r="G156" s="29" t="inlineStr">
        <is>
          <t>AMBAR</t>
        </is>
      </c>
      <c r="H156" s="4" t="inlineStr">
        <is>
          <t>07:43</t>
        </is>
      </c>
      <c r="I156" s="4" t="inlineStr">
        <is>
          <t>-</t>
        </is>
      </c>
      <c r="J156" s="29" t="inlineStr">
        <is>
          <t>07:43</t>
        </is>
      </c>
      <c r="K156" s="30" t="inlineStr">
        <is>
          <t>ÇIKIŞ_YOK</t>
        </is>
      </c>
      <c r="L156" s="8" t="n">
        <v>7.5</v>
      </c>
      <c r="M156" s="8" t="n">
        <v>0</v>
      </c>
      <c r="N156" s="4" t="inlineStr">
        <is>
          <t>İK / Amir Onayında</t>
        </is>
      </c>
    </row>
    <row r="157">
      <c r="A157" s="4" t="n">
        <v>2348</v>
      </c>
      <c r="B157" s="4" t="inlineStr">
        <is>
          <t>21.10.2026</t>
        </is>
      </c>
      <c r="C157" s="4" t="inlineStr">
        <is>
          <t>Çarşamba</t>
        </is>
      </c>
      <c r="D157" s="4" t="inlineStr">
        <is>
          <t>00500</t>
        </is>
      </c>
      <c r="E157" s="4" t="inlineStr">
        <is>
          <t>00500</t>
        </is>
      </c>
      <c r="F157" s="29" t="inlineStr">
        <is>
          <t>MEHMET KARTAL</t>
        </is>
      </c>
      <c r="G157" s="29" t="inlineStr">
        <is>
          <t>AMBAR</t>
        </is>
      </c>
      <c r="H157" s="4" t="inlineStr">
        <is>
          <t>07:41</t>
        </is>
      </c>
      <c r="I157" s="4" t="inlineStr">
        <is>
          <t>-</t>
        </is>
      </c>
      <c r="J157" s="29" t="inlineStr">
        <is>
          <t>07:41</t>
        </is>
      </c>
      <c r="K157" s="30" t="inlineStr">
        <is>
          <t>ÇIKIŞ_YOK</t>
        </is>
      </c>
      <c r="L157" s="8" t="n">
        <v>7.5</v>
      </c>
      <c r="M157" s="8" t="n">
        <v>0</v>
      </c>
      <c r="N157" s="4" t="inlineStr">
        <is>
          <t>İK / Amir Onayında</t>
        </is>
      </c>
    </row>
    <row r="158">
      <c r="A158" s="4" t="n">
        <v>2355</v>
      </c>
      <c r="B158" s="4" t="inlineStr">
        <is>
          <t>2.10.2026</t>
        </is>
      </c>
      <c r="C158" s="4" t="inlineStr">
        <is>
          <t>Cuma</t>
        </is>
      </c>
      <c r="D158" s="4" t="inlineStr">
        <is>
          <t>01387</t>
        </is>
      </c>
      <c r="E158" s="4" t="inlineStr">
        <is>
          <t>01387</t>
        </is>
      </c>
      <c r="F158" s="29" t="inlineStr">
        <is>
          <t>MEHMET EMİN BATUR</t>
        </is>
      </c>
      <c r="G158" s="29" t="inlineStr">
        <is>
          <t>HALİL DİĞRENCİ</t>
        </is>
      </c>
      <c r="H158" s="4" t="inlineStr">
        <is>
          <t>-</t>
        </is>
      </c>
      <c r="I158" s="4" t="inlineStr">
        <is>
          <t>20:03</t>
        </is>
      </c>
      <c r="J158" s="29" t="inlineStr">
        <is>
          <t>20:03</t>
        </is>
      </c>
      <c r="K158" s="30" t="inlineStr">
        <is>
          <t>GİRİŞ_YOK_AKŞAM</t>
        </is>
      </c>
      <c r="L158" s="8" t="n">
        <v>10.5</v>
      </c>
      <c r="M158" s="8" t="n">
        <v>3</v>
      </c>
      <c r="N158" s="4" t="inlineStr">
        <is>
          <t>İK / Amir Onayında</t>
        </is>
      </c>
    </row>
    <row r="159">
      <c r="A159" s="4" t="n">
        <v>2370</v>
      </c>
      <c r="B159" s="4" t="inlineStr">
        <is>
          <t>13.10.2026</t>
        </is>
      </c>
      <c r="C159" s="4" t="inlineStr">
        <is>
          <t>Salı</t>
        </is>
      </c>
      <c r="D159" s="4" t="inlineStr">
        <is>
          <t>01553</t>
        </is>
      </c>
      <c r="E159" s="4" t="inlineStr">
        <is>
          <t>01553</t>
        </is>
      </c>
      <c r="F159" s="29" t="inlineStr">
        <is>
          <t>MEHMET KEİREM GÜN</t>
        </is>
      </c>
      <c r="G159" s="29" t="inlineStr">
        <is>
          <t>DİĞER</t>
        </is>
      </c>
      <c r="H159" s="4" t="inlineStr">
        <is>
          <t>-</t>
        </is>
      </c>
      <c r="I159" s="4" t="inlineStr">
        <is>
          <t>17:07</t>
        </is>
      </c>
      <c r="J159" s="29" t="inlineStr">
        <is>
          <t>17:07</t>
        </is>
      </c>
      <c r="K159" s="30" t="inlineStr">
        <is>
          <t>GİRİŞ_YOK_AKŞAM</t>
        </is>
      </c>
      <c r="L159" s="8" t="n">
        <v>7.5</v>
      </c>
      <c r="M159" s="8" t="n">
        <v>0</v>
      </c>
      <c r="N159" s="4" t="inlineStr">
        <is>
          <t>İK / Amir Onayında</t>
        </is>
      </c>
    </row>
    <row r="160">
      <c r="A160" s="4" t="n">
        <v>2395</v>
      </c>
      <c r="B160" s="4" t="inlineStr">
        <is>
          <t>3.10.2026</t>
        </is>
      </c>
      <c r="C160" s="4" t="inlineStr">
        <is>
          <t>Cumartesi</t>
        </is>
      </c>
      <c r="D160" s="4" t="inlineStr">
        <is>
          <t>01386</t>
        </is>
      </c>
      <c r="E160" s="4" t="inlineStr">
        <is>
          <t>01386</t>
        </is>
      </c>
      <c r="F160" s="29" t="inlineStr">
        <is>
          <t>MENEKŞE DURMAN</t>
        </is>
      </c>
      <c r="G160" s="29" t="inlineStr">
        <is>
          <t>HALİL DİĞRENCİ</t>
        </is>
      </c>
      <c r="H160" s="4" t="inlineStr">
        <is>
          <t>08:06</t>
        </is>
      </c>
      <c r="I160" s="4" t="inlineStr">
        <is>
          <t>20:06</t>
        </is>
      </c>
      <c r="J160" s="29" t="inlineStr">
        <is>
          <t>08:06, 20:05, 20:06</t>
        </is>
      </c>
      <c r="K160" s="30" t="inlineStr">
        <is>
          <t>ÇOKLU_BASIM_MIN_MAX</t>
        </is>
      </c>
      <c r="L160" s="8" t="n">
        <v>0</v>
      </c>
      <c r="M160" s="8" t="n">
        <v>0</v>
      </c>
      <c r="N160" s="4" t="inlineStr">
        <is>
          <t>İK / Amir Onayında</t>
        </is>
      </c>
    </row>
    <row r="161">
      <c r="A161" s="4" t="n">
        <v>2414</v>
      </c>
      <c r="B161" s="4" t="inlineStr">
        <is>
          <t>19.10.2026</t>
        </is>
      </c>
      <c r="C161" s="4" t="inlineStr">
        <is>
          <t>Pazartesi</t>
        </is>
      </c>
      <c r="D161" s="4" t="inlineStr">
        <is>
          <t>01475</t>
        </is>
      </c>
      <c r="E161" s="4" t="inlineStr">
        <is>
          <t>01475</t>
        </is>
      </c>
      <c r="F161" s="29" t="inlineStr">
        <is>
          <t>MERVE ALTIN</t>
        </is>
      </c>
      <c r="G161" s="29" t="inlineStr">
        <is>
          <t>DİĞER</t>
        </is>
      </c>
      <c r="H161" s="4" t="inlineStr">
        <is>
          <t>20:14</t>
        </is>
      </c>
      <c r="I161" s="4" t="inlineStr">
        <is>
          <t>-</t>
        </is>
      </c>
      <c r="J161" s="29" t="inlineStr">
        <is>
          <t>20:14</t>
        </is>
      </c>
      <c r="K161" s="30" t="inlineStr">
        <is>
          <t>ÇIKIŞ_YOK</t>
        </is>
      </c>
      <c r="L161" s="8" t="n">
        <v>7.5</v>
      </c>
      <c r="M161" s="8" t="n">
        <v>0</v>
      </c>
      <c r="N161" s="4" t="inlineStr">
        <is>
          <t>İK / Amir Onayında</t>
        </is>
      </c>
    </row>
    <row r="162">
      <c r="A162" s="4" t="n">
        <v>2427</v>
      </c>
      <c r="B162" s="4" t="inlineStr">
        <is>
          <t>10.10.2026</t>
        </is>
      </c>
      <c r="C162" s="4" t="inlineStr">
        <is>
          <t>Cumartesi</t>
        </is>
      </c>
      <c r="D162" s="4" t="inlineStr">
        <is>
          <t>00112</t>
        </is>
      </c>
      <c r="E162" s="4" t="inlineStr">
        <is>
          <t>00112</t>
        </is>
      </c>
      <c r="F162" s="29" t="inlineStr">
        <is>
          <t>MESUT ERDEL</t>
        </is>
      </c>
      <c r="G162" s="29" t="inlineStr">
        <is>
          <t>BAKIM</t>
        </is>
      </c>
      <c r="H162" s="4" t="inlineStr">
        <is>
          <t>08:18</t>
        </is>
      </c>
      <c r="I162" s="4" t="inlineStr">
        <is>
          <t>18:08</t>
        </is>
      </c>
      <c r="J162" s="29" t="inlineStr">
        <is>
          <t>08:18, 12:42, 13:43, 18:08</t>
        </is>
      </c>
      <c r="K162" s="30" t="inlineStr">
        <is>
          <t>PARÇALI_ÇALIŞMA</t>
        </is>
      </c>
      <c r="L162" s="8" t="n">
        <v>8</v>
      </c>
      <c r="M162" s="8" t="n">
        <v>0.5</v>
      </c>
      <c r="N162" s="4" t="inlineStr">
        <is>
          <t>İK / Amir Onayında</t>
        </is>
      </c>
    </row>
    <row r="163">
      <c r="A163" s="4" t="n">
        <v>2428</v>
      </c>
      <c r="B163" s="4" t="inlineStr">
        <is>
          <t>11.10.2026</t>
        </is>
      </c>
      <c r="C163" s="4" t="inlineStr">
        <is>
          <t>Pazar</t>
        </is>
      </c>
      <c r="D163" s="4" t="inlineStr">
        <is>
          <t>00112</t>
        </is>
      </c>
      <c r="E163" s="4" t="inlineStr">
        <is>
          <t>00112</t>
        </is>
      </c>
      <c r="F163" s="29" t="inlineStr">
        <is>
          <t>MESUT ERDEL</t>
        </is>
      </c>
      <c r="G163" s="29" t="inlineStr">
        <is>
          <t>BAKIM</t>
        </is>
      </c>
      <c r="H163" s="4" t="inlineStr">
        <is>
          <t>08:28</t>
        </is>
      </c>
      <c r="I163" s="4" t="inlineStr">
        <is>
          <t>17:30</t>
        </is>
      </c>
      <c r="J163" s="29" t="inlineStr">
        <is>
          <t>08:28, 10:44, 11:36, 17:30</t>
        </is>
      </c>
      <c r="K163" s="30" t="inlineStr">
        <is>
          <t>PARÇALI_ÇALIŞMA</t>
        </is>
      </c>
      <c r="L163" s="8" t="n">
        <v>6.5</v>
      </c>
      <c r="M163" s="8" t="n">
        <v>0</v>
      </c>
      <c r="N163" s="4" t="inlineStr">
        <is>
          <t>İK / Amir Onayında</t>
        </is>
      </c>
    </row>
    <row r="164">
      <c r="A164" s="4" t="n">
        <v>2446</v>
      </c>
      <c r="B164" s="4" t="inlineStr">
        <is>
          <t>1.10.2026</t>
        </is>
      </c>
      <c r="C164" s="4" t="inlineStr">
        <is>
          <t>Perşembe</t>
        </is>
      </c>
      <c r="D164" s="4" t="inlineStr">
        <is>
          <t>00005</t>
        </is>
      </c>
      <c r="E164" s="4" t="inlineStr">
        <is>
          <t>00005</t>
        </is>
      </c>
      <c r="F164" s="29" t="inlineStr">
        <is>
          <t>MHD BASSEL ALZALEK</t>
        </is>
      </c>
      <c r="G164" s="29" t="inlineStr">
        <is>
          <t>ELEKTRİK</t>
        </is>
      </c>
      <c r="H164" s="4" t="inlineStr">
        <is>
          <t>07:38</t>
        </is>
      </c>
      <c r="I164" s="4" t="inlineStr">
        <is>
          <t>-</t>
        </is>
      </c>
      <c r="J164" s="29" t="inlineStr">
        <is>
          <t>07:38</t>
        </is>
      </c>
      <c r="K164" s="30" t="inlineStr">
        <is>
          <t>ÇIKIŞ_YOK</t>
        </is>
      </c>
      <c r="L164" s="8" t="n">
        <v>7.5</v>
      </c>
      <c r="M164" s="8" t="n">
        <v>0</v>
      </c>
      <c r="N164" s="4" t="inlineStr">
        <is>
          <t>İK / Amir Onayında</t>
        </is>
      </c>
    </row>
    <row r="165">
      <c r="A165" s="4" t="n">
        <v>2447</v>
      </c>
      <c r="B165" s="4" t="inlineStr">
        <is>
          <t>2.10.2026</t>
        </is>
      </c>
      <c r="C165" s="4" t="inlineStr">
        <is>
          <t>Cuma</t>
        </is>
      </c>
      <c r="D165" s="4" t="inlineStr">
        <is>
          <t>00005</t>
        </is>
      </c>
      <c r="E165" s="4" t="inlineStr">
        <is>
          <t>00005</t>
        </is>
      </c>
      <c r="F165" s="29" t="inlineStr">
        <is>
          <t>MHD BASSEL ALZALEK</t>
        </is>
      </c>
      <c r="G165" s="29" t="inlineStr">
        <is>
          <t>ELEKTRİK</t>
        </is>
      </c>
      <c r="H165" s="4" t="inlineStr">
        <is>
          <t>07:29</t>
        </is>
      </c>
      <c r="I165" s="4" t="inlineStr">
        <is>
          <t>-</t>
        </is>
      </c>
      <c r="J165" s="29" t="inlineStr">
        <is>
          <t>07:29</t>
        </is>
      </c>
      <c r="K165" s="30" t="inlineStr">
        <is>
          <t>ÇIKIŞ_YOK</t>
        </is>
      </c>
      <c r="L165" s="8" t="n">
        <v>7.5</v>
      </c>
      <c r="M165" s="8" t="n">
        <v>0</v>
      </c>
      <c r="N165" s="4" t="inlineStr">
        <is>
          <t>İK / Amir Onayında</t>
        </is>
      </c>
    </row>
    <row r="166">
      <c r="A166" s="4" t="n">
        <v>2448</v>
      </c>
      <c r="B166" s="4" t="inlineStr">
        <is>
          <t>3.10.2026</t>
        </is>
      </c>
      <c r="C166" s="4" t="inlineStr">
        <is>
          <t>Cumartesi</t>
        </is>
      </c>
      <c r="D166" s="4" t="inlineStr">
        <is>
          <t>00005</t>
        </is>
      </c>
      <c r="E166" s="4" t="inlineStr">
        <is>
          <t>00005</t>
        </is>
      </c>
      <c r="F166" s="29" t="inlineStr">
        <is>
          <t>MHD BASSEL ALZALEK</t>
        </is>
      </c>
      <c r="G166" s="29" t="inlineStr">
        <is>
          <t>ELEKTRİK</t>
        </is>
      </c>
      <c r="H166" s="4" t="inlineStr">
        <is>
          <t>07:47</t>
        </is>
      </c>
      <c r="I166" s="4" t="inlineStr">
        <is>
          <t>-</t>
        </is>
      </c>
      <c r="J166" s="29" t="inlineStr">
        <is>
          <t>07:47</t>
        </is>
      </c>
      <c r="K166" s="30" t="inlineStr">
        <is>
          <t>ÇIKIŞ_YOK</t>
        </is>
      </c>
      <c r="L166" s="8" t="n">
        <v>7.5</v>
      </c>
      <c r="M166" s="8" t="n">
        <v>0</v>
      </c>
      <c r="N166" s="4" t="inlineStr">
        <is>
          <t>İK / Amir Onayında</t>
        </is>
      </c>
    </row>
    <row r="167">
      <c r="A167" s="4" t="n">
        <v>2449</v>
      </c>
      <c r="B167" s="4" t="inlineStr">
        <is>
          <t>4.10.2026</t>
        </is>
      </c>
      <c r="C167" s="4" t="inlineStr">
        <is>
          <t>Pazar</t>
        </is>
      </c>
      <c r="D167" s="4" t="inlineStr">
        <is>
          <t>00005</t>
        </is>
      </c>
      <c r="E167" s="4" t="inlineStr">
        <is>
          <t>00005</t>
        </is>
      </c>
      <c r="F167" s="29" t="inlineStr">
        <is>
          <t>MHD BASSEL ALZALEK</t>
        </is>
      </c>
      <c r="G167" s="29" t="inlineStr">
        <is>
          <t>ELEKTRİK</t>
        </is>
      </c>
      <c r="H167" s="4" t="inlineStr">
        <is>
          <t>07:31</t>
        </is>
      </c>
      <c r="I167" s="4" t="inlineStr">
        <is>
          <t>-</t>
        </is>
      </c>
      <c r="J167" s="29" t="inlineStr">
        <is>
          <t>07:31</t>
        </is>
      </c>
      <c r="K167" s="30" t="inlineStr">
        <is>
          <t>ÇIKIŞ_YOK</t>
        </is>
      </c>
      <c r="L167" s="8" t="n">
        <v>7.5</v>
      </c>
      <c r="M167" s="8" t="n">
        <v>0</v>
      </c>
      <c r="N167" s="4" t="inlineStr">
        <is>
          <t>İK / Amir Onayında</t>
        </is>
      </c>
    </row>
    <row r="168">
      <c r="A168" s="4" t="n">
        <v>2450</v>
      </c>
      <c r="B168" s="4" t="inlineStr">
        <is>
          <t>5.10.2026</t>
        </is>
      </c>
      <c r="C168" s="4" t="inlineStr">
        <is>
          <t>Pazartesi</t>
        </is>
      </c>
      <c r="D168" s="4" t="inlineStr">
        <is>
          <t>00005</t>
        </is>
      </c>
      <c r="E168" s="4" t="inlineStr">
        <is>
          <t>00005</t>
        </is>
      </c>
      <c r="F168" s="29" t="inlineStr">
        <is>
          <t>MHD BASSEL ALZALEK</t>
        </is>
      </c>
      <c r="G168" s="29" t="inlineStr">
        <is>
          <t>ELEKTRİK</t>
        </is>
      </c>
      <c r="H168" s="4" t="inlineStr">
        <is>
          <t>07:39</t>
        </is>
      </c>
      <c r="I168" s="4" t="inlineStr">
        <is>
          <t>-</t>
        </is>
      </c>
      <c r="J168" s="29" t="inlineStr">
        <is>
          <t>07:39</t>
        </is>
      </c>
      <c r="K168" s="30" t="inlineStr">
        <is>
          <t>ÇIKIŞ_YOK</t>
        </is>
      </c>
      <c r="L168" s="8" t="n">
        <v>7.5</v>
      </c>
      <c r="M168" s="8" t="n">
        <v>0</v>
      </c>
      <c r="N168" s="4" t="inlineStr">
        <is>
          <t>İK / Amir Onayında</t>
        </is>
      </c>
    </row>
    <row r="169">
      <c r="A169" s="4" t="n">
        <v>2451</v>
      </c>
      <c r="B169" s="4" t="inlineStr">
        <is>
          <t>6.10.2026</t>
        </is>
      </c>
      <c r="C169" s="4" t="inlineStr">
        <is>
          <t>Salı</t>
        </is>
      </c>
      <c r="D169" s="4" t="inlineStr">
        <is>
          <t>00005</t>
        </is>
      </c>
      <c r="E169" s="4" t="inlineStr">
        <is>
          <t>00005</t>
        </is>
      </c>
      <c r="F169" s="29" t="inlineStr">
        <is>
          <t>MHD BASSEL ALZALEK</t>
        </is>
      </c>
      <c r="G169" s="29" t="inlineStr">
        <is>
          <t>ELEKTRİK</t>
        </is>
      </c>
      <c r="H169" s="4" t="inlineStr">
        <is>
          <t>07:43</t>
        </is>
      </c>
      <c r="I169" s="4" t="inlineStr">
        <is>
          <t>-</t>
        </is>
      </c>
      <c r="J169" s="29" t="inlineStr">
        <is>
          <t>07:43</t>
        </is>
      </c>
      <c r="K169" s="30" t="inlineStr">
        <is>
          <t>ÇIKIŞ_YOK</t>
        </is>
      </c>
      <c r="L169" s="8" t="n">
        <v>7.5</v>
      </c>
      <c r="M169" s="8" t="n">
        <v>0</v>
      </c>
      <c r="N169" s="4" t="inlineStr">
        <is>
          <t>İK / Amir Onayında</t>
        </is>
      </c>
    </row>
    <row r="170">
      <c r="A170" s="4" t="n">
        <v>2452</v>
      </c>
      <c r="B170" s="4" t="inlineStr">
        <is>
          <t>7.10.2026</t>
        </is>
      </c>
      <c r="C170" s="4" t="inlineStr">
        <is>
          <t>Çarşamba</t>
        </is>
      </c>
      <c r="D170" s="4" t="inlineStr">
        <is>
          <t>00005</t>
        </is>
      </c>
      <c r="E170" s="4" t="inlineStr">
        <is>
          <t>00005</t>
        </is>
      </c>
      <c r="F170" s="29" t="inlineStr">
        <is>
          <t>MHD BASSEL ALZALEK</t>
        </is>
      </c>
      <c r="G170" s="29" t="inlineStr">
        <is>
          <t>ELEKTRİK</t>
        </is>
      </c>
      <c r="H170" s="4" t="inlineStr">
        <is>
          <t>07:41</t>
        </is>
      </c>
      <c r="I170" s="4" t="inlineStr">
        <is>
          <t>-</t>
        </is>
      </c>
      <c r="J170" s="29" t="inlineStr">
        <is>
          <t>07:41</t>
        </is>
      </c>
      <c r="K170" s="30" t="inlineStr">
        <is>
          <t>ÇIKIŞ_YOK</t>
        </is>
      </c>
      <c r="L170" s="8" t="n">
        <v>7.5</v>
      </c>
      <c r="M170" s="8" t="n">
        <v>0</v>
      </c>
      <c r="N170" s="4" t="inlineStr">
        <is>
          <t>İK / Amir Onayında</t>
        </is>
      </c>
    </row>
    <row r="171">
      <c r="A171" s="4" t="n">
        <v>2453</v>
      </c>
      <c r="B171" s="4" t="inlineStr">
        <is>
          <t>8.10.2026</t>
        </is>
      </c>
      <c r="C171" s="4" t="inlineStr">
        <is>
          <t>Perşembe</t>
        </is>
      </c>
      <c r="D171" s="4" t="inlineStr">
        <is>
          <t>00005</t>
        </is>
      </c>
      <c r="E171" s="4" t="inlineStr">
        <is>
          <t>00005</t>
        </is>
      </c>
      <c r="F171" s="29" t="inlineStr">
        <is>
          <t>MHD BASSEL ALZALEK</t>
        </is>
      </c>
      <c r="G171" s="29" t="inlineStr">
        <is>
          <t>ELEKTRİK</t>
        </is>
      </c>
      <c r="H171" s="4" t="inlineStr">
        <is>
          <t>07:43</t>
        </is>
      </c>
      <c r="I171" s="4" t="inlineStr">
        <is>
          <t>-</t>
        </is>
      </c>
      <c r="J171" s="29" t="inlineStr">
        <is>
          <t>07:43</t>
        </is>
      </c>
      <c r="K171" s="30" t="inlineStr">
        <is>
          <t>ÇIKIŞ_YOK</t>
        </is>
      </c>
      <c r="L171" s="8" t="n">
        <v>7.5</v>
      </c>
      <c r="M171" s="8" t="n">
        <v>0</v>
      </c>
      <c r="N171" s="4" t="inlineStr">
        <is>
          <t>İK / Amir Onayında</t>
        </is>
      </c>
    </row>
    <row r="172">
      <c r="A172" s="4" t="n">
        <v>2454</v>
      </c>
      <c r="B172" s="4" t="inlineStr">
        <is>
          <t>9.10.2026</t>
        </is>
      </c>
      <c r="C172" s="4" t="inlineStr">
        <is>
          <t>Cuma</t>
        </is>
      </c>
      <c r="D172" s="4" t="inlineStr">
        <is>
          <t>00005</t>
        </is>
      </c>
      <c r="E172" s="4" t="inlineStr">
        <is>
          <t>00005</t>
        </is>
      </c>
      <c r="F172" s="29" t="inlineStr">
        <is>
          <t>MHD BASSEL ALZALEK</t>
        </is>
      </c>
      <c r="G172" s="29" t="inlineStr">
        <is>
          <t>ELEKTRİK</t>
        </is>
      </c>
      <c r="H172" s="4" t="inlineStr">
        <is>
          <t>07:31</t>
        </is>
      </c>
      <c r="I172" s="4" t="inlineStr">
        <is>
          <t>-</t>
        </is>
      </c>
      <c r="J172" s="29" t="inlineStr">
        <is>
          <t>07:31</t>
        </is>
      </c>
      <c r="K172" s="30" t="inlineStr">
        <is>
          <t>ÇIKIŞ_YOK</t>
        </is>
      </c>
      <c r="L172" s="8" t="n">
        <v>7.5</v>
      </c>
      <c r="M172" s="8" t="n">
        <v>0</v>
      </c>
      <c r="N172" s="4" t="inlineStr">
        <is>
          <t>İK / Amir Onayında</t>
        </is>
      </c>
    </row>
    <row r="173">
      <c r="A173" s="4" t="n">
        <v>2455</v>
      </c>
      <c r="B173" s="4" t="inlineStr">
        <is>
          <t>10.10.2026</t>
        </is>
      </c>
      <c r="C173" s="4" t="inlineStr">
        <is>
          <t>Cumartesi</t>
        </is>
      </c>
      <c r="D173" s="4" t="inlineStr">
        <is>
          <t>00005</t>
        </is>
      </c>
      <c r="E173" s="4" t="inlineStr">
        <is>
          <t>00005</t>
        </is>
      </c>
      <c r="F173" s="29" t="inlineStr">
        <is>
          <t>MHD BASSEL ALZALEK</t>
        </is>
      </c>
      <c r="G173" s="29" t="inlineStr">
        <is>
          <t>ELEKTRİK</t>
        </is>
      </c>
      <c r="H173" s="4" t="inlineStr">
        <is>
          <t>07:46</t>
        </is>
      </c>
      <c r="I173" s="4" t="inlineStr">
        <is>
          <t>-</t>
        </is>
      </c>
      <c r="J173" s="29" t="inlineStr">
        <is>
          <t>07:46</t>
        </is>
      </c>
      <c r="K173" s="30" t="inlineStr">
        <is>
          <t>ÇIKIŞ_YOK</t>
        </is>
      </c>
      <c r="L173" s="8" t="n">
        <v>7.5</v>
      </c>
      <c r="M173" s="8" t="n">
        <v>0</v>
      </c>
      <c r="N173" s="4" t="inlineStr">
        <is>
          <t>İK / Amir Onayında</t>
        </is>
      </c>
    </row>
    <row r="174">
      <c r="A174" s="4" t="n">
        <v>2456</v>
      </c>
      <c r="B174" s="4" t="inlineStr">
        <is>
          <t>11.10.2026</t>
        </is>
      </c>
      <c r="C174" s="4" t="inlineStr">
        <is>
          <t>Pazar</t>
        </is>
      </c>
      <c r="D174" s="4" t="inlineStr">
        <is>
          <t>00005</t>
        </is>
      </c>
      <c r="E174" s="4" t="inlineStr">
        <is>
          <t>00005</t>
        </is>
      </c>
      <c r="F174" s="29" t="inlineStr">
        <is>
          <t>MHD BASSEL ALZALEK</t>
        </is>
      </c>
      <c r="G174" s="29" t="inlineStr">
        <is>
          <t>ELEKTRİK</t>
        </is>
      </c>
      <c r="H174" s="4" t="inlineStr">
        <is>
          <t>07:30</t>
        </is>
      </c>
      <c r="I174" s="4" t="inlineStr">
        <is>
          <t>-</t>
        </is>
      </c>
      <c r="J174" s="29" t="inlineStr">
        <is>
          <t>07:30</t>
        </is>
      </c>
      <c r="K174" s="30" t="inlineStr">
        <is>
          <t>ÇIKIŞ_YOK</t>
        </is>
      </c>
      <c r="L174" s="8" t="n">
        <v>7.5</v>
      </c>
      <c r="M174" s="8" t="n">
        <v>0</v>
      </c>
      <c r="N174" s="4" t="inlineStr">
        <is>
          <t>İK / Amir Onayında</t>
        </is>
      </c>
    </row>
    <row r="175">
      <c r="A175" s="4" t="n">
        <v>2457</v>
      </c>
      <c r="B175" s="4" t="inlineStr">
        <is>
          <t>12.10.2026</t>
        </is>
      </c>
      <c r="C175" s="4" t="inlineStr">
        <is>
          <t>Pazartesi</t>
        </is>
      </c>
      <c r="D175" s="4" t="inlineStr">
        <is>
          <t>00005</t>
        </is>
      </c>
      <c r="E175" s="4" t="inlineStr">
        <is>
          <t>00005</t>
        </is>
      </c>
      <c r="F175" s="29" t="inlineStr">
        <is>
          <t>MHD BASSEL ALZALEK</t>
        </is>
      </c>
      <c r="G175" s="29" t="inlineStr">
        <is>
          <t>ELEKTRİK</t>
        </is>
      </c>
      <c r="H175" s="4" t="inlineStr">
        <is>
          <t>07:30</t>
        </is>
      </c>
      <c r="I175" s="4" t="inlineStr">
        <is>
          <t>-</t>
        </is>
      </c>
      <c r="J175" s="29" t="inlineStr">
        <is>
          <t>07:30</t>
        </is>
      </c>
      <c r="K175" s="30" t="inlineStr">
        <is>
          <t>ÇIKIŞ_YOK</t>
        </is>
      </c>
      <c r="L175" s="8" t="n">
        <v>7.5</v>
      </c>
      <c r="M175" s="8" t="n">
        <v>0</v>
      </c>
      <c r="N175" s="4" t="inlineStr">
        <is>
          <t>İK / Amir Onayında</t>
        </is>
      </c>
    </row>
    <row r="176">
      <c r="A176" s="4" t="n">
        <v>2458</v>
      </c>
      <c r="B176" s="4" t="inlineStr">
        <is>
          <t>13.10.2026</t>
        </is>
      </c>
      <c r="C176" s="4" t="inlineStr">
        <is>
          <t>Salı</t>
        </is>
      </c>
      <c r="D176" s="4" t="inlineStr">
        <is>
          <t>00005</t>
        </is>
      </c>
      <c r="E176" s="4" t="inlineStr">
        <is>
          <t>00005</t>
        </is>
      </c>
      <c r="F176" s="29" t="inlineStr">
        <is>
          <t>MHD BASSEL ALZALEK</t>
        </is>
      </c>
      <c r="G176" s="29" t="inlineStr">
        <is>
          <t>ELEKTRİK</t>
        </is>
      </c>
      <c r="H176" s="4" t="inlineStr">
        <is>
          <t>07:46</t>
        </is>
      </c>
      <c r="I176" s="4" t="inlineStr">
        <is>
          <t>-</t>
        </is>
      </c>
      <c r="J176" s="29" t="inlineStr">
        <is>
          <t>07:46</t>
        </is>
      </c>
      <c r="K176" s="30" t="inlineStr">
        <is>
          <t>ÇIKIŞ_YOK</t>
        </is>
      </c>
      <c r="L176" s="8" t="n">
        <v>7.5</v>
      </c>
      <c r="M176" s="8" t="n">
        <v>0</v>
      </c>
      <c r="N176" s="4" t="inlineStr">
        <is>
          <t>İK / Amir Onayında</t>
        </is>
      </c>
    </row>
    <row r="177">
      <c r="A177" s="4" t="n">
        <v>2459</v>
      </c>
      <c r="B177" s="4" t="inlineStr">
        <is>
          <t>14.10.2026</t>
        </is>
      </c>
      <c r="C177" s="4" t="inlineStr">
        <is>
          <t>Çarşamba</t>
        </is>
      </c>
      <c r="D177" s="4" t="inlineStr">
        <is>
          <t>00005</t>
        </is>
      </c>
      <c r="E177" s="4" t="inlineStr">
        <is>
          <t>00005</t>
        </is>
      </c>
      <c r="F177" s="29" t="inlineStr">
        <is>
          <t>MHD BASSEL ALZALEK</t>
        </is>
      </c>
      <c r="G177" s="29" t="inlineStr">
        <is>
          <t>ELEKTRİK</t>
        </is>
      </c>
      <c r="H177" s="4" t="inlineStr">
        <is>
          <t>07:44</t>
        </is>
      </c>
      <c r="I177" s="4" t="inlineStr">
        <is>
          <t>-</t>
        </is>
      </c>
      <c r="J177" s="29" t="inlineStr">
        <is>
          <t>07:44</t>
        </is>
      </c>
      <c r="K177" s="30" t="inlineStr">
        <is>
          <t>ÇIKIŞ_YOK</t>
        </is>
      </c>
      <c r="L177" s="8" t="n">
        <v>7.5</v>
      </c>
      <c r="M177" s="8" t="n">
        <v>0</v>
      </c>
      <c r="N177" s="4" t="inlineStr">
        <is>
          <t>İK / Amir Onayında</t>
        </is>
      </c>
    </row>
    <row r="178">
      <c r="A178" s="4" t="n">
        <v>2460</v>
      </c>
      <c r="B178" s="4" t="inlineStr">
        <is>
          <t>15.10.2026</t>
        </is>
      </c>
      <c r="C178" s="4" t="inlineStr">
        <is>
          <t>Perşembe</t>
        </is>
      </c>
      <c r="D178" s="4" t="inlineStr">
        <is>
          <t>00005</t>
        </is>
      </c>
      <c r="E178" s="4" t="inlineStr">
        <is>
          <t>00005</t>
        </is>
      </c>
      <c r="F178" s="29" t="inlineStr">
        <is>
          <t>MHD BASSEL ALZALEK</t>
        </is>
      </c>
      <c r="G178" s="29" t="inlineStr">
        <is>
          <t>ELEKTRİK</t>
        </is>
      </c>
      <c r="H178" s="4" t="inlineStr">
        <is>
          <t>07:47</t>
        </is>
      </c>
      <c r="I178" s="4" t="inlineStr">
        <is>
          <t>-</t>
        </is>
      </c>
      <c r="J178" s="29" t="inlineStr">
        <is>
          <t>07:47</t>
        </is>
      </c>
      <c r="K178" s="30" t="inlineStr">
        <is>
          <t>ÇIKIŞ_YOK</t>
        </is>
      </c>
      <c r="L178" s="8" t="n">
        <v>7.5</v>
      </c>
      <c r="M178" s="8" t="n">
        <v>0</v>
      </c>
      <c r="N178" s="4" t="inlineStr">
        <is>
          <t>İK / Amir Onayında</t>
        </is>
      </c>
    </row>
    <row r="179">
      <c r="A179" s="4" t="n">
        <v>2461</v>
      </c>
      <c r="B179" s="4" t="inlineStr">
        <is>
          <t>16.10.2026</t>
        </is>
      </c>
      <c r="C179" s="4" t="inlineStr">
        <is>
          <t>Cuma</t>
        </is>
      </c>
      <c r="D179" s="4" t="inlineStr">
        <is>
          <t>00005</t>
        </is>
      </c>
      <c r="E179" s="4" t="inlineStr">
        <is>
          <t>00005</t>
        </is>
      </c>
      <c r="F179" s="29" t="inlineStr">
        <is>
          <t>MHD BASSEL ALZALEK</t>
        </is>
      </c>
      <c r="G179" s="29" t="inlineStr">
        <is>
          <t>ELEKTRİK</t>
        </is>
      </c>
      <c r="H179" s="4" t="inlineStr">
        <is>
          <t>07:34</t>
        </is>
      </c>
      <c r="I179" s="4" t="inlineStr">
        <is>
          <t>-</t>
        </is>
      </c>
      <c r="J179" s="29" t="inlineStr">
        <is>
          <t>07:34</t>
        </is>
      </c>
      <c r="K179" s="30" t="inlineStr">
        <is>
          <t>ÇIKIŞ_YOK</t>
        </is>
      </c>
      <c r="L179" s="8" t="n">
        <v>7.5</v>
      </c>
      <c r="M179" s="8" t="n">
        <v>0</v>
      </c>
      <c r="N179" s="4" t="inlineStr">
        <is>
          <t>İK / Amir Onayında</t>
        </is>
      </c>
    </row>
    <row r="180">
      <c r="A180" s="4" t="n">
        <v>2462</v>
      </c>
      <c r="B180" s="4" t="inlineStr">
        <is>
          <t>17.10.2026</t>
        </is>
      </c>
      <c r="C180" s="4" t="inlineStr">
        <is>
          <t>Cumartesi</t>
        </is>
      </c>
      <c r="D180" s="4" t="inlineStr">
        <is>
          <t>00005</t>
        </is>
      </c>
      <c r="E180" s="4" t="inlineStr">
        <is>
          <t>00005</t>
        </is>
      </c>
      <c r="F180" s="29" t="inlineStr">
        <is>
          <t>MHD BASSEL ALZALEK</t>
        </is>
      </c>
      <c r="G180" s="29" t="inlineStr">
        <is>
          <t>ELEKTRİK</t>
        </is>
      </c>
      <c r="H180" s="4" t="inlineStr">
        <is>
          <t>07:42</t>
        </is>
      </c>
      <c r="I180" s="4" t="inlineStr">
        <is>
          <t>-</t>
        </is>
      </c>
      <c r="J180" s="29" t="inlineStr">
        <is>
          <t>07:42</t>
        </is>
      </c>
      <c r="K180" s="30" t="inlineStr">
        <is>
          <t>ÇIKIŞ_YOK</t>
        </is>
      </c>
      <c r="L180" s="8" t="n">
        <v>7.5</v>
      </c>
      <c r="M180" s="8" t="n">
        <v>0</v>
      </c>
      <c r="N180" s="4" t="inlineStr">
        <is>
          <t>İK / Amir Onayında</t>
        </is>
      </c>
    </row>
    <row r="181">
      <c r="A181" s="4" t="n">
        <v>2463</v>
      </c>
      <c r="B181" s="4" t="inlineStr">
        <is>
          <t>18.10.2026</t>
        </is>
      </c>
      <c r="C181" s="4" t="inlineStr">
        <is>
          <t>Pazar</t>
        </is>
      </c>
      <c r="D181" s="4" t="inlineStr">
        <is>
          <t>00005</t>
        </is>
      </c>
      <c r="E181" s="4" t="inlineStr">
        <is>
          <t>00005</t>
        </is>
      </c>
      <c r="F181" s="29" t="inlineStr">
        <is>
          <t>MHD BASSEL ALZALEK</t>
        </is>
      </c>
      <c r="G181" s="29" t="inlineStr">
        <is>
          <t>ELEKTRİK</t>
        </is>
      </c>
      <c r="H181" s="4" t="inlineStr">
        <is>
          <t>07:31</t>
        </is>
      </c>
      <c r="I181" s="4" t="inlineStr">
        <is>
          <t>-</t>
        </is>
      </c>
      <c r="J181" s="29" t="inlineStr">
        <is>
          <t>07:31</t>
        </is>
      </c>
      <c r="K181" s="30" t="inlineStr">
        <is>
          <t>ÇIKIŞ_YOK</t>
        </is>
      </c>
      <c r="L181" s="8" t="n">
        <v>7.5</v>
      </c>
      <c r="M181" s="8" t="n">
        <v>0</v>
      </c>
      <c r="N181" s="4" t="inlineStr">
        <is>
          <t>İK / Amir Onayında</t>
        </is>
      </c>
    </row>
    <row r="182">
      <c r="A182" s="4" t="n">
        <v>2464</v>
      </c>
      <c r="B182" s="4" t="inlineStr">
        <is>
          <t>19.10.2026</t>
        </is>
      </c>
      <c r="C182" s="4" t="inlineStr">
        <is>
          <t>Pazartesi</t>
        </is>
      </c>
      <c r="D182" s="4" t="inlineStr">
        <is>
          <t>00005</t>
        </is>
      </c>
      <c r="E182" s="4" t="inlineStr">
        <is>
          <t>00005</t>
        </is>
      </c>
      <c r="F182" s="29" t="inlineStr">
        <is>
          <t>MHD BASSEL ALZALEK</t>
        </is>
      </c>
      <c r="G182" s="29" t="inlineStr">
        <is>
          <t>ELEKTRİK</t>
        </is>
      </c>
      <c r="H182" s="4" t="inlineStr">
        <is>
          <t>07:38</t>
        </is>
      </c>
      <c r="I182" s="4" t="inlineStr">
        <is>
          <t>-</t>
        </is>
      </c>
      <c r="J182" s="29" t="inlineStr">
        <is>
          <t>07:38</t>
        </is>
      </c>
      <c r="K182" s="30" t="inlineStr">
        <is>
          <t>ÇIKIŞ_YOK</t>
        </is>
      </c>
      <c r="L182" s="8" t="n">
        <v>7.5</v>
      </c>
      <c r="M182" s="8" t="n">
        <v>0</v>
      </c>
      <c r="N182" s="4" t="inlineStr">
        <is>
          <t>İK / Amir Onayında</t>
        </is>
      </c>
    </row>
    <row r="183">
      <c r="A183" s="4" t="n">
        <v>2465</v>
      </c>
      <c r="B183" s="4" t="inlineStr">
        <is>
          <t>20.10.2026</t>
        </is>
      </c>
      <c r="C183" s="4" t="inlineStr">
        <is>
          <t>Salı</t>
        </is>
      </c>
      <c r="D183" s="4" t="inlineStr">
        <is>
          <t>00005</t>
        </is>
      </c>
      <c r="E183" s="4" t="inlineStr">
        <is>
          <t>00005</t>
        </is>
      </c>
      <c r="F183" s="29" t="inlineStr">
        <is>
          <t>MHD BASSEL ALZALEK</t>
        </is>
      </c>
      <c r="G183" s="29" t="inlineStr">
        <is>
          <t>ELEKTRİK</t>
        </is>
      </c>
      <c r="H183" s="4" t="inlineStr">
        <is>
          <t>07:40</t>
        </is>
      </c>
      <c r="I183" s="4" t="inlineStr">
        <is>
          <t>-</t>
        </is>
      </c>
      <c r="J183" s="29" t="inlineStr">
        <is>
          <t>07:40</t>
        </is>
      </c>
      <c r="K183" s="30" t="inlineStr">
        <is>
          <t>ÇIKIŞ_YOK</t>
        </is>
      </c>
      <c r="L183" s="8" t="n">
        <v>7.5</v>
      </c>
      <c r="M183" s="8" t="n">
        <v>0</v>
      </c>
      <c r="N183" s="4" t="inlineStr">
        <is>
          <t>İK / Amir Onayında</t>
        </is>
      </c>
    </row>
    <row r="184">
      <c r="A184" s="4" t="n">
        <v>2466</v>
      </c>
      <c r="B184" s="4" t="inlineStr">
        <is>
          <t>21.10.2026</t>
        </is>
      </c>
      <c r="C184" s="4" t="inlineStr">
        <is>
          <t>Çarşamba</t>
        </is>
      </c>
      <c r="D184" s="4" t="inlineStr">
        <is>
          <t>00005</t>
        </is>
      </c>
      <c r="E184" s="4" t="inlineStr">
        <is>
          <t>00005</t>
        </is>
      </c>
      <c r="F184" s="29" t="inlineStr">
        <is>
          <t>MHD BASSEL ALZALEK</t>
        </is>
      </c>
      <c r="G184" s="29" t="inlineStr">
        <is>
          <t>ELEKTRİK</t>
        </is>
      </c>
      <c r="H184" s="4" t="inlineStr">
        <is>
          <t>07:38</t>
        </is>
      </c>
      <c r="I184" s="4" t="inlineStr">
        <is>
          <t>-</t>
        </is>
      </c>
      <c r="J184" s="29" t="inlineStr">
        <is>
          <t>07:38</t>
        </is>
      </c>
      <c r="K184" s="30" t="inlineStr">
        <is>
          <t>ÇIKIŞ_YOK</t>
        </is>
      </c>
      <c r="L184" s="8" t="n">
        <v>7.5</v>
      </c>
      <c r="M184" s="8" t="n">
        <v>0</v>
      </c>
      <c r="N184" s="4" t="inlineStr">
        <is>
          <t>İK / Amir Onayında</t>
        </is>
      </c>
    </row>
    <row r="185">
      <c r="A185" s="4" t="n">
        <v>2467</v>
      </c>
      <c r="B185" s="4" t="inlineStr">
        <is>
          <t>13.10.2026</t>
        </is>
      </c>
      <c r="C185" s="4" t="inlineStr">
        <is>
          <t>Salı</t>
        </is>
      </c>
      <c r="D185" s="4" t="inlineStr">
        <is>
          <t>01555</t>
        </is>
      </c>
      <c r="E185" s="4" t="inlineStr">
        <is>
          <t>01555</t>
        </is>
      </c>
      <c r="F185" s="29" t="inlineStr">
        <is>
          <t>MİKAİL KOÇ</t>
        </is>
      </c>
      <c r="G185" s="29" t="inlineStr">
        <is>
          <t>DİĞER</t>
        </is>
      </c>
      <c r="H185" s="4" t="inlineStr">
        <is>
          <t>-</t>
        </is>
      </c>
      <c r="I185" s="4" t="inlineStr">
        <is>
          <t>17:06</t>
        </is>
      </c>
      <c r="J185" s="29" t="inlineStr">
        <is>
          <t>17:06</t>
        </is>
      </c>
      <c r="K185" s="30" t="inlineStr">
        <is>
          <t>GİRİŞ_YOK_AKŞAM</t>
        </is>
      </c>
      <c r="L185" s="8" t="n">
        <v>7.5</v>
      </c>
      <c r="M185" s="8" t="n">
        <v>0</v>
      </c>
      <c r="N185" s="4" t="inlineStr">
        <is>
          <t>İK / Amir Onayında</t>
        </is>
      </c>
    </row>
    <row r="186">
      <c r="A186" s="4" t="n">
        <v>2485</v>
      </c>
      <c r="B186" s="4" t="inlineStr">
        <is>
          <t>17.10.2026</t>
        </is>
      </c>
      <c r="C186" s="4" t="inlineStr">
        <is>
          <t>Cumartesi</t>
        </is>
      </c>
      <c r="D186" s="4" t="inlineStr">
        <is>
          <t>00116</t>
        </is>
      </c>
      <c r="E186" s="4" t="inlineStr">
        <is>
          <t>00116</t>
        </is>
      </c>
      <c r="F186" s="29" t="inlineStr">
        <is>
          <t>MUHAMMED SAMİH SERHAN</t>
        </is>
      </c>
      <c r="G186" s="29" t="inlineStr">
        <is>
          <t>AMBAR</t>
        </is>
      </c>
      <c r="H186" s="4" t="inlineStr">
        <is>
          <t>08:34</t>
        </is>
      </c>
      <c r="I186" s="4" t="inlineStr">
        <is>
          <t>19:19</t>
        </is>
      </c>
      <c r="J186" s="29" t="inlineStr">
        <is>
          <t>08:34, 14:47, 16:30, 19:19</t>
        </is>
      </c>
      <c r="K186" s="30" t="inlineStr">
        <is>
          <t>PARÇALI_ÇALIŞMA</t>
        </is>
      </c>
      <c r="L186" s="8" t="n">
        <v>8</v>
      </c>
      <c r="M186" s="8" t="n">
        <v>0.5</v>
      </c>
      <c r="N186" s="4" t="inlineStr">
        <is>
          <t>İK / Amir Onayında</t>
        </is>
      </c>
    </row>
    <row r="187">
      <c r="A187" s="4" t="n">
        <v>2490</v>
      </c>
      <c r="B187" s="4" t="inlineStr">
        <is>
          <t>2.10.2026</t>
        </is>
      </c>
      <c r="C187" s="4" t="inlineStr">
        <is>
          <t>Cuma</t>
        </is>
      </c>
      <c r="D187" s="4" t="inlineStr">
        <is>
          <t>01431</t>
        </is>
      </c>
      <c r="E187" s="4" t="inlineStr">
        <is>
          <t>01431</t>
        </is>
      </c>
      <c r="F187" s="29" t="inlineStr">
        <is>
          <t>MUHAMMED ABDULLAH GÜVEN</t>
        </is>
      </c>
      <c r="G187" s="29" t="inlineStr">
        <is>
          <t>DİĞER</t>
        </is>
      </c>
      <c r="H187" s="4" t="inlineStr">
        <is>
          <t>19:45</t>
        </is>
      </c>
      <c r="I187" s="4" t="inlineStr">
        <is>
          <t>07:52</t>
        </is>
      </c>
      <c r="J187" s="29" t="inlineStr">
        <is>
          <t>07:50, 19:45, 07:52</t>
        </is>
      </c>
      <c r="K187" s="30" t="inlineStr">
        <is>
          <t>ÇOKLU_BASIM_MIN_MAX</t>
        </is>
      </c>
      <c r="L187" s="8" t="n">
        <v>10.5</v>
      </c>
      <c r="M187" s="8" t="n">
        <v>3</v>
      </c>
      <c r="N187" s="4" t="inlineStr">
        <is>
          <t>İK / Amir Onayında</t>
        </is>
      </c>
    </row>
    <row r="188">
      <c r="A188" s="4" t="n">
        <v>2492</v>
      </c>
      <c r="B188" s="4" t="inlineStr">
        <is>
          <t>13.10.2026</t>
        </is>
      </c>
      <c r="C188" s="4" t="inlineStr">
        <is>
          <t>Salı</t>
        </is>
      </c>
      <c r="D188" s="4" t="inlineStr">
        <is>
          <t>01557</t>
        </is>
      </c>
      <c r="E188" s="4" t="inlineStr">
        <is>
          <t>01557</t>
        </is>
      </c>
      <c r="F188" s="29" t="inlineStr">
        <is>
          <t>MUHAMMET ERKAN BİNMEDİ</t>
        </is>
      </c>
      <c r="G188" s="29" t="inlineStr">
        <is>
          <t>DİĞER</t>
        </is>
      </c>
      <c r="H188" s="4" t="inlineStr">
        <is>
          <t>-</t>
        </is>
      </c>
      <c r="I188" s="4" t="inlineStr">
        <is>
          <t>17:06</t>
        </is>
      </c>
      <c r="J188" s="29" t="inlineStr">
        <is>
          <t>17:06</t>
        </is>
      </c>
      <c r="K188" s="30" t="inlineStr">
        <is>
          <t>GİRİŞ_YOK_AKŞAM</t>
        </is>
      </c>
      <c r="L188" s="8" t="n">
        <v>7.5</v>
      </c>
      <c r="M188" s="8" t="n">
        <v>0</v>
      </c>
      <c r="N188" s="4" t="inlineStr">
        <is>
          <t>İK / Amir Onayında</t>
        </is>
      </c>
    </row>
    <row r="189">
      <c r="A189" s="4" t="n">
        <v>2499</v>
      </c>
      <c r="B189" s="4" t="inlineStr">
        <is>
          <t>8.10.2026</t>
        </is>
      </c>
      <c r="C189" s="4" t="inlineStr">
        <is>
          <t>Perşembe</t>
        </is>
      </c>
      <c r="D189" s="4" t="inlineStr">
        <is>
          <t>01526</t>
        </is>
      </c>
      <c r="E189" s="4" t="inlineStr">
        <is>
          <t>01526</t>
        </is>
      </c>
      <c r="F189" s="29" t="inlineStr">
        <is>
          <t>MUHSİN HALBABA</t>
        </is>
      </c>
      <c r="G189" s="29" t="inlineStr">
        <is>
          <t>DİĞER</t>
        </is>
      </c>
      <c r="H189" s="4" t="inlineStr">
        <is>
          <t>-</t>
        </is>
      </c>
      <c r="I189" s="4" t="inlineStr">
        <is>
          <t>07:54</t>
        </is>
      </c>
      <c r="J189" s="29" t="inlineStr">
        <is>
          <t>07:54</t>
        </is>
      </c>
      <c r="K189" s="30" t="inlineStr">
        <is>
          <t>GİRİŞ_YOK_AKŞAM</t>
        </is>
      </c>
      <c r="L189" s="8" t="n">
        <v>22.5</v>
      </c>
      <c r="M189" s="8" t="n">
        <v>15</v>
      </c>
      <c r="N189" s="4" t="inlineStr">
        <is>
          <t>İK / Amir Onayında</t>
        </is>
      </c>
    </row>
    <row r="190">
      <c r="A190" s="4" t="n">
        <v>2519</v>
      </c>
      <c r="B190" s="4" t="inlineStr">
        <is>
          <t>2.10.2026</t>
        </is>
      </c>
      <c r="C190" s="4" t="inlineStr">
        <is>
          <t>Cuma</t>
        </is>
      </c>
      <c r="D190" s="4" t="inlineStr">
        <is>
          <t>00572</t>
        </is>
      </c>
      <c r="E190" s="4" t="inlineStr">
        <is>
          <t>00572</t>
        </is>
      </c>
      <c r="F190" s="29" t="inlineStr">
        <is>
          <t>MURAT YONSUL</t>
        </is>
      </c>
      <c r="G190" s="29" t="inlineStr">
        <is>
          <t>AMBAR</t>
        </is>
      </c>
      <c r="H190" s="4" t="inlineStr">
        <is>
          <t>07:38</t>
        </is>
      </c>
      <c r="I190" s="4" t="inlineStr">
        <is>
          <t>-</t>
        </is>
      </c>
      <c r="J190" s="29" t="inlineStr">
        <is>
          <t>07:38</t>
        </is>
      </c>
      <c r="K190" s="30" t="inlineStr">
        <is>
          <t>ÇIKIŞ_YOK</t>
        </is>
      </c>
      <c r="L190" s="8" t="n">
        <v>7.5</v>
      </c>
      <c r="M190" s="8" t="n">
        <v>0</v>
      </c>
      <c r="N190" s="4" t="inlineStr">
        <is>
          <t>İK / Amir Onayında</t>
        </is>
      </c>
    </row>
    <row r="191">
      <c r="A191" s="4" t="n">
        <v>2520</v>
      </c>
      <c r="B191" s="4" t="inlineStr">
        <is>
          <t>4.10.2026</t>
        </is>
      </c>
      <c r="C191" s="4" t="inlineStr">
        <is>
          <t>Pazar</t>
        </is>
      </c>
      <c r="D191" s="4" t="inlineStr">
        <is>
          <t>00572</t>
        </is>
      </c>
      <c r="E191" s="4" t="inlineStr">
        <is>
          <t>00572</t>
        </is>
      </c>
      <c r="F191" s="29" t="inlineStr">
        <is>
          <t>MURAT YONSUL</t>
        </is>
      </c>
      <c r="G191" s="29" t="inlineStr">
        <is>
          <t>AMBAR</t>
        </is>
      </c>
      <c r="H191" s="4" t="inlineStr">
        <is>
          <t>-</t>
        </is>
      </c>
      <c r="I191" s="4" t="inlineStr">
        <is>
          <t>17:21</t>
        </is>
      </c>
      <c r="J191" s="29" t="inlineStr">
        <is>
          <t>17:21</t>
        </is>
      </c>
      <c r="K191" s="30" t="inlineStr">
        <is>
          <t>GİRİŞ_YOK_AKŞAM</t>
        </is>
      </c>
      <c r="L191" s="8" t="n">
        <v>8</v>
      </c>
      <c r="M191" s="8" t="n">
        <v>0.5</v>
      </c>
      <c r="N191" s="4" t="inlineStr">
        <is>
          <t>İK / Amir Onayında</t>
        </is>
      </c>
    </row>
    <row r="192">
      <c r="A192" s="4" t="n">
        <v>2526</v>
      </c>
      <c r="B192" s="4" t="inlineStr">
        <is>
          <t>11.10.2026</t>
        </is>
      </c>
      <c r="C192" s="4" t="inlineStr">
        <is>
          <t>Pazar</t>
        </is>
      </c>
      <c r="D192" s="4" t="inlineStr">
        <is>
          <t>00572</t>
        </is>
      </c>
      <c r="E192" s="4" t="inlineStr">
        <is>
          <t>00572</t>
        </is>
      </c>
      <c r="F192" s="29" t="inlineStr">
        <is>
          <t>MURAT YONSUL</t>
        </is>
      </c>
      <c r="G192" s="29" t="inlineStr">
        <is>
          <t>AMBAR</t>
        </is>
      </c>
      <c r="H192" s="4" t="inlineStr">
        <is>
          <t>07:50</t>
        </is>
      </c>
      <c r="I192" s="4" t="inlineStr">
        <is>
          <t>01:36</t>
        </is>
      </c>
      <c r="J192" s="29" t="inlineStr">
        <is>
          <t>07:50, 13:32, 21:35, 01:36</t>
        </is>
      </c>
      <c r="K192" s="30" t="inlineStr">
        <is>
          <t>PARÇALI_ÇALIŞMA</t>
        </is>
      </c>
      <c r="L192" s="8" t="n">
        <v>7.5</v>
      </c>
      <c r="M192" s="8" t="n">
        <v>0</v>
      </c>
      <c r="N192" s="4" t="inlineStr">
        <is>
          <t>İK / Amir Onayında</t>
        </is>
      </c>
    </row>
    <row r="193">
      <c r="A193" s="4" t="n">
        <v>2527</v>
      </c>
      <c r="B193" s="4" t="inlineStr">
        <is>
          <t>12.10.2026</t>
        </is>
      </c>
      <c r="C193" s="4" t="inlineStr">
        <is>
          <t>Pazartesi</t>
        </is>
      </c>
      <c r="D193" s="4" t="inlineStr">
        <is>
          <t>00572</t>
        </is>
      </c>
      <c r="E193" s="4" t="inlineStr">
        <is>
          <t>00572</t>
        </is>
      </c>
      <c r="F193" s="29" t="inlineStr">
        <is>
          <t>MURAT YONSUL</t>
        </is>
      </c>
      <c r="G193" s="29" t="inlineStr">
        <is>
          <t>AMBAR</t>
        </is>
      </c>
      <c r="H193" s="4" t="inlineStr">
        <is>
          <t>07:46</t>
        </is>
      </c>
      <c r="I193" s="4" t="inlineStr">
        <is>
          <t>-</t>
        </is>
      </c>
      <c r="J193" s="29" t="inlineStr">
        <is>
          <t>07:46</t>
        </is>
      </c>
      <c r="K193" s="30" t="inlineStr">
        <is>
          <t>ÇIKIŞ_YOK</t>
        </is>
      </c>
      <c r="L193" s="8" t="n">
        <v>7.5</v>
      </c>
      <c r="M193" s="8" t="n">
        <v>0</v>
      </c>
      <c r="N193" s="4" t="inlineStr">
        <is>
          <t>İK / Amir Onayında</t>
        </is>
      </c>
    </row>
    <row r="194">
      <c r="A194" s="4" t="n">
        <v>2529</v>
      </c>
      <c r="B194" s="4" t="inlineStr">
        <is>
          <t>14.10.2026</t>
        </is>
      </c>
      <c r="C194" s="4" t="inlineStr">
        <is>
          <t>Çarşamba</t>
        </is>
      </c>
      <c r="D194" s="4" t="inlineStr">
        <is>
          <t>00572</t>
        </is>
      </c>
      <c r="E194" s="4" t="inlineStr">
        <is>
          <t>00572</t>
        </is>
      </c>
      <c r="F194" s="29" t="inlineStr">
        <is>
          <t>MURAT YONSUL</t>
        </is>
      </c>
      <c r="G194" s="29" t="inlineStr">
        <is>
          <t>AMBAR</t>
        </is>
      </c>
      <c r="H194" s="4" t="inlineStr">
        <is>
          <t>07:40</t>
        </is>
      </c>
      <c r="I194" s="4" t="inlineStr">
        <is>
          <t>-</t>
        </is>
      </c>
      <c r="J194" s="29" t="inlineStr">
        <is>
          <t>07:40</t>
        </is>
      </c>
      <c r="K194" s="30" t="inlineStr">
        <is>
          <t>ÇIKIŞ_YOK</t>
        </is>
      </c>
      <c r="L194" s="8" t="n">
        <v>7.5</v>
      </c>
      <c r="M194" s="8" t="n">
        <v>0</v>
      </c>
      <c r="N194" s="4" t="inlineStr">
        <is>
          <t>İK / Amir Onayında</t>
        </is>
      </c>
    </row>
    <row r="195">
      <c r="A195" s="4" t="n">
        <v>2530</v>
      </c>
      <c r="B195" s="4" t="inlineStr">
        <is>
          <t>15.10.2026</t>
        </is>
      </c>
      <c r="C195" s="4" t="inlineStr">
        <is>
          <t>Perşembe</t>
        </is>
      </c>
      <c r="D195" s="4" t="inlineStr">
        <is>
          <t>00572</t>
        </is>
      </c>
      <c r="E195" s="4" t="inlineStr">
        <is>
          <t>00572</t>
        </is>
      </c>
      <c r="F195" s="29" t="inlineStr">
        <is>
          <t>MURAT YONSUL</t>
        </is>
      </c>
      <c r="G195" s="29" t="inlineStr">
        <is>
          <t>AMBAR</t>
        </is>
      </c>
      <c r="H195" s="4" t="inlineStr">
        <is>
          <t>07:50</t>
        </is>
      </c>
      <c r="I195" s="4" t="inlineStr">
        <is>
          <t>-</t>
        </is>
      </c>
      <c r="J195" s="29" t="inlineStr">
        <is>
          <t>07:50</t>
        </is>
      </c>
      <c r="K195" s="30" t="inlineStr">
        <is>
          <t>ÇIKIŞ_YOK</t>
        </is>
      </c>
      <c r="L195" s="8" t="n">
        <v>7.5</v>
      </c>
      <c r="M195" s="8" t="n">
        <v>0</v>
      </c>
      <c r="N195" s="4" t="inlineStr">
        <is>
          <t>İK / Amir Onayında</t>
        </is>
      </c>
    </row>
    <row r="196">
      <c r="A196" s="4" t="n">
        <v>2532</v>
      </c>
      <c r="B196" s="4" t="inlineStr">
        <is>
          <t>17.10.2026</t>
        </is>
      </c>
      <c r="C196" s="4" t="inlineStr">
        <is>
          <t>Cumartesi</t>
        </is>
      </c>
      <c r="D196" s="4" t="inlineStr">
        <is>
          <t>00572</t>
        </is>
      </c>
      <c r="E196" s="4" t="inlineStr">
        <is>
          <t>00572</t>
        </is>
      </c>
      <c r="F196" s="29" t="inlineStr">
        <is>
          <t>MURAT YONSUL</t>
        </is>
      </c>
      <c r="G196" s="29" t="inlineStr">
        <is>
          <t>AMBAR</t>
        </is>
      </c>
      <c r="H196" s="4" t="inlineStr">
        <is>
          <t>07:46</t>
        </is>
      </c>
      <c r="I196" s="4" t="inlineStr">
        <is>
          <t>-</t>
        </is>
      </c>
      <c r="J196" s="29" t="inlineStr">
        <is>
          <t>07:46</t>
        </is>
      </c>
      <c r="K196" s="30" t="inlineStr">
        <is>
          <t>ÇIKIŞ_YOK</t>
        </is>
      </c>
      <c r="L196" s="8" t="n">
        <v>7.5</v>
      </c>
      <c r="M196" s="8" t="n">
        <v>0</v>
      </c>
      <c r="N196" s="4" t="inlineStr">
        <is>
          <t>İK / Amir Onayında</t>
        </is>
      </c>
    </row>
    <row r="197">
      <c r="A197" s="4" t="n">
        <v>2533</v>
      </c>
      <c r="B197" s="4" t="inlineStr">
        <is>
          <t>18.10.2026</t>
        </is>
      </c>
      <c r="C197" s="4" t="inlineStr">
        <is>
          <t>Pazar</t>
        </is>
      </c>
      <c r="D197" s="4" t="inlineStr">
        <is>
          <t>00572</t>
        </is>
      </c>
      <c r="E197" s="4" t="inlineStr">
        <is>
          <t>00572</t>
        </is>
      </c>
      <c r="F197" s="29" t="inlineStr">
        <is>
          <t>MURAT YONSUL</t>
        </is>
      </c>
      <c r="G197" s="29" t="inlineStr">
        <is>
          <t>AMBAR</t>
        </is>
      </c>
      <c r="H197" s="4" t="inlineStr">
        <is>
          <t>09:52</t>
        </is>
      </c>
      <c r="I197" s="4" t="inlineStr">
        <is>
          <t>-</t>
        </is>
      </c>
      <c r="J197" s="29" t="inlineStr">
        <is>
          <t>09:52</t>
        </is>
      </c>
      <c r="K197" s="30" t="inlineStr">
        <is>
          <t>ÇIKIŞ_YOK</t>
        </is>
      </c>
      <c r="L197" s="8" t="n">
        <v>7.5</v>
      </c>
      <c r="M197" s="8" t="n">
        <v>0</v>
      </c>
      <c r="N197" s="4" t="inlineStr">
        <is>
          <t>İK / Amir Onayında</t>
        </is>
      </c>
    </row>
    <row r="198">
      <c r="A198" s="4" t="n">
        <v>2534</v>
      </c>
      <c r="B198" s="4" t="inlineStr">
        <is>
          <t>19.10.2026</t>
        </is>
      </c>
      <c r="C198" s="4" t="inlineStr">
        <is>
          <t>Pazartesi</t>
        </is>
      </c>
      <c r="D198" s="4" t="inlineStr">
        <is>
          <t>00572</t>
        </is>
      </c>
      <c r="E198" s="4" t="inlineStr">
        <is>
          <t>00572</t>
        </is>
      </c>
      <c r="F198" s="29" t="inlineStr">
        <is>
          <t>MURAT YONSUL</t>
        </is>
      </c>
      <c r="G198" s="29" t="inlineStr">
        <is>
          <t>AMBAR</t>
        </is>
      </c>
      <c r="H198" s="4" t="inlineStr">
        <is>
          <t>07:53</t>
        </is>
      </c>
      <c r="I198" s="4" t="inlineStr">
        <is>
          <t>-</t>
        </is>
      </c>
      <c r="J198" s="29" t="inlineStr">
        <is>
          <t>07:53</t>
        </is>
      </c>
      <c r="K198" s="30" t="inlineStr">
        <is>
          <t>ÇIKIŞ_YOK</t>
        </is>
      </c>
      <c r="L198" s="8" t="n">
        <v>7.5</v>
      </c>
      <c r="M198" s="8" t="n">
        <v>0</v>
      </c>
      <c r="N198" s="4" t="inlineStr">
        <is>
          <t>İK / Amir Onayında</t>
        </is>
      </c>
    </row>
    <row r="199">
      <c r="A199" s="4" t="n">
        <v>2536</v>
      </c>
      <c r="B199" s="4" t="inlineStr">
        <is>
          <t>21.10.2026</t>
        </is>
      </c>
      <c r="C199" s="4" t="inlineStr">
        <is>
          <t>Çarşamba</t>
        </is>
      </c>
      <c r="D199" s="4" t="inlineStr">
        <is>
          <t>00572</t>
        </is>
      </c>
      <c r="E199" s="4" t="inlineStr">
        <is>
          <t>00572</t>
        </is>
      </c>
      <c r="F199" s="29" t="inlineStr">
        <is>
          <t>MURAT YONSUL</t>
        </is>
      </c>
      <c r="G199" s="29" t="inlineStr">
        <is>
          <t>AMBAR</t>
        </is>
      </c>
      <c r="H199" s="4" t="inlineStr">
        <is>
          <t>07:44</t>
        </is>
      </c>
      <c r="I199" s="4" t="inlineStr">
        <is>
          <t>-</t>
        </is>
      </c>
      <c r="J199" s="29" t="inlineStr">
        <is>
          <t>07:44</t>
        </is>
      </c>
      <c r="K199" s="30" t="inlineStr">
        <is>
          <t>ÇIKIŞ_YOK</t>
        </is>
      </c>
      <c r="L199" s="8" t="n">
        <v>7.5</v>
      </c>
      <c r="M199" s="8" t="n">
        <v>0</v>
      </c>
      <c r="N199" s="4" t="inlineStr">
        <is>
          <t>İK / Amir Onayında</t>
        </is>
      </c>
    </row>
    <row r="200">
      <c r="A200" s="4" t="n">
        <v>2546</v>
      </c>
      <c r="B200" s="4" t="inlineStr">
        <is>
          <t>11.10.2026</t>
        </is>
      </c>
      <c r="C200" s="4" t="inlineStr">
        <is>
          <t>Pazar</t>
        </is>
      </c>
      <c r="D200" s="4" t="inlineStr">
        <is>
          <t>00118</t>
        </is>
      </c>
      <c r="E200" s="4" t="inlineStr">
        <is>
          <t>00118</t>
        </is>
      </c>
      <c r="F200" s="29" t="inlineStr">
        <is>
          <t>MUSTAFA KAYA</t>
        </is>
      </c>
      <c r="G200" s="29" t="inlineStr">
        <is>
          <t>İŞLETME</t>
        </is>
      </c>
      <c r="H200" s="4" t="inlineStr">
        <is>
          <t>08:54</t>
        </is>
      </c>
      <c r="I200" s="4" t="inlineStr">
        <is>
          <t>-</t>
        </is>
      </c>
      <c r="J200" s="29" t="inlineStr">
        <is>
          <t>08:54</t>
        </is>
      </c>
      <c r="K200" s="30" t="inlineStr">
        <is>
          <t>ÇIKIŞ_YOK</t>
        </is>
      </c>
      <c r="L200" s="8" t="n">
        <v>7.5</v>
      </c>
      <c r="M200" s="8" t="n">
        <v>0</v>
      </c>
      <c r="N200" s="4" t="inlineStr">
        <is>
          <t>İK / Amir Onayında</t>
        </is>
      </c>
    </row>
    <row r="201">
      <c r="A201" s="4" t="n">
        <v>2572</v>
      </c>
      <c r="B201" s="4" t="inlineStr">
        <is>
          <t>21.10.2026</t>
        </is>
      </c>
      <c r="C201" s="4" t="inlineStr">
        <is>
          <t>Çarşamba</t>
        </is>
      </c>
      <c r="D201" s="4" t="inlineStr">
        <is>
          <t>01373</t>
        </is>
      </c>
      <c r="E201" s="4" t="inlineStr">
        <is>
          <t>01373</t>
        </is>
      </c>
      <c r="F201" s="29" t="inlineStr">
        <is>
          <t>MUSTAFA KURT</t>
        </is>
      </c>
      <c r="G201" s="29" t="inlineStr">
        <is>
          <t>HALİL DİĞRENCİ</t>
        </is>
      </c>
      <c r="H201" s="4" t="inlineStr">
        <is>
          <t>07:38</t>
        </is>
      </c>
      <c r="I201" s="4" t="inlineStr">
        <is>
          <t>-</t>
        </is>
      </c>
      <c r="J201" s="29" t="inlineStr">
        <is>
          <t>07:38</t>
        </is>
      </c>
      <c r="K201" s="30" t="inlineStr">
        <is>
          <t>ÇIKIŞ_YOK</t>
        </is>
      </c>
      <c r="L201" s="8" t="n">
        <v>7.5</v>
      </c>
      <c r="M201" s="8" t="n">
        <v>0</v>
      </c>
      <c r="N201" s="4" t="inlineStr">
        <is>
          <t>İK / Amir Onayında</t>
        </is>
      </c>
    </row>
    <row r="202">
      <c r="A202" s="4" t="n">
        <v>2573</v>
      </c>
      <c r="B202" s="4" t="inlineStr">
        <is>
          <t>8.10.2026</t>
        </is>
      </c>
      <c r="C202" s="4" t="inlineStr">
        <is>
          <t>Perşembe</t>
        </is>
      </c>
      <c r="D202" s="4" t="inlineStr">
        <is>
          <t>01527</t>
        </is>
      </c>
      <c r="E202" s="4" t="inlineStr">
        <is>
          <t>01527</t>
        </is>
      </c>
      <c r="F202" s="29" t="inlineStr">
        <is>
          <t>MUSTAFA BAYSAN</t>
        </is>
      </c>
      <c r="G202" s="29" t="inlineStr">
        <is>
          <t>HALİL DİĞRENCİ</t>
        </is>
      </c>
      <c r="H202" s="4" t="inlineStr">
        <is>
          <t>20:02</t>
        </is>
      </c>
      <c r="I202" s="4" t="inlineStr">
        <is>
          <t>08:04</t>
        </is>
      </c>
      <c r="J202" s="29" t="inlineStr">
        <is>
          <t>08:02, 20:02, 08:04</t>
        </is>
      </c>
      <c r="K202" s="30" t="inlineStr">
        <is>
          <t>ÇOKLU_BASIM_MIN_MAX</t>
        </is>
      </c>
      <c r="L202" s="8" t="n">
        <v>10.5</v>
      </c>
      <c r="M202" s="8" t="n">
        <v>3</v>
      </c>
      <c r="N202" s="4" t="inlineStr">
        <is>
          <t>İK / Amir Onayında</t>
        </is>
      </c>
    </row>
    <row r="203">
      <c r="A203" s="4" t="n">
        <v>2582</v>
      </c>
      <c r="B203" s="4" t="inlineStr">
        <is>
          <t>13.10.2026</t>
        </is>
      </c>
      <c r="C203" s="4" t="inlineStr">
        <is>
          <t>Salı</t>
        </is>
      </c>
      <c r="D203" s="4" t="inlineStr">
        <is>
          <t>01554</t>
        </is>
      </c>
      <c r="E203" s="4" t="inlineStr">
        <is>
          <t>01554</t>
        </is>
      </c>
      <c r="F203" s="29" t="inlineStr">
        <is>
          <t>MUSTAFA ALİ ASAR</t>
        </is>
      </c>
      <c r="G203" s="29" t="inlineStr">
        <is>
          <t>DİĞER</t>
        </is>
      </c>
      <c r="H203" s="4" t="inlineStr">
        <is>
          <t>-</t>
        </is>
      </c>
      <c r="I203" s="4" t="inlineStr">
        <is>
          <t>17:07</t>
        </is>
      </c>
      <c r="J203" s="29" t="inlineStr">
        <is>
          <t>17:07</t>
        </is>
      </c>
      <c r="K203" s="30" t="inlineStr">
        <is>
          <t>GİRİŞ_YOK_AKŞAM</t>
        </is>
      </c>
      <c r="L203" s="8" t="n">
        <v>7.5</v>
      </c>
      <c r="M203" s="8" t="n">
        <v>0</v>
      </c>
      <c r="N203" s="4" t="inlineStr">
        <is>
          <t>İK / Amir Onayında</t>
        </is>
      </c>
    </row>
    <row r="204">
      <c r="A204" s="4" t="n">
        <v>2591</v>
      </c>
      <c r="B204" s="4" t="inlineStr">
        <is>
          <t>2.10.2026</t>
        </is>
      </c>
      <c r="C204" s="4" t="inlineStr">
        <is>
          <t>Cuma</t>
        </is>
      </c>
      <c r="D204" s="4" t="inlineStr">
        <is>
          <t>01437</t>
        </is>
      </c>
      <c r="E204" s="4" t="inlineStr">
        <is>
          <t>01437</t>
        </is>
      </c>
      <c r="F204" s="29" t="inlineStr">
        <is>
          <t>MUTLU İMRE</t>
        </is>
      </c>
      <c r="G204" s="29" t="inlineStr">
        <is>
          <t>DİĞER</t>
        </is>
      </c>
      <c r="H204" s="4" t="inlineStr">
        <is>
          <t>19:45</t>
        </is>
      </c>
      <c r="I204" s="4" t="inlineStr">
        <is>
          <t>07:53</t>
        </is>
      </c>
      <c r="J204" s="29" t="inlineStr">
        <is>
          <t>07:52, 19:45, 07:53</t>
        </is>
      </c>
      <c r="K204" s="30" t="inlineStr">
        <is>
          <t>ÇOKLU_BASIM_MIN_MAX</t>
        </is>
      </c>
      <c r="L204" s="8" t="n">
        <v>10.5</v>
      </c>
      <c r="M204" s="8" t="n">
        <v>3</v>
      </c>
      <c r="N204" s="4" t="inlineStr">
        <is>
          <t>İK / Amir Onayında</t>
        </is>
      </c>
    </row>
    <row r="205">
      <c r="A205" s="4" t="n">
        <v>2704</v>
      </c>
      <c r="B205" s="4" t="inlineStr">
        <is>
          <t>3.10.2026</t>
        </is>
      </c>
      <c r="C205" s="4" t="inlineStr">
        <is>
          <t>Cumartesi</t>
        </is>
      </c>
      <c r="D205" s="4" t="inlineStr">
        <is>
          <t>01439</t>
        </is>
      </c>
      <c r="E205" s="4" t="inlineStr">
        <is>
          <t>01439</t>
        </is>
      </c>
      <c r="F205" s="29" t="inlineStr">
        <is>
          <t>NAZİFE TEMELLİ</t>
        </is>
      </c>
      <c r="G205" s="29" t="inlineStr">
        <is>
          <t>DİĞER</t>
        </is>
      </c>
      <c r="H205" s="4" t="inlineStr">
        <is>
          <t>-</t>
        </is>
      </c>
      <c r="I205" s="4" t="inlineStr">
        <is>
          <t>20:05</t>
        </is>
      </c>
      <c r="J205" s="29" t="inlineStr">
        <is>
          <t>20:05</t>
        </is>
      </c>
      <c r="K205" s="30" t="inlineStr">
        <is>
          <t>GİRİŞ_YOK_AKŞAM</t>
        </is>
      </c>
      <c r="L205" s="8" t="n">
        <v>10.5</v>
      </c>
      <c r="M205" s="8" t="n">
        <v>3</v>
      </c>
      <c r="N205" s="4" t="inlineStr">
        <is>
          <t>İK / Amir Onayında</t>
        </is>
      </c>
    </row>
    <row r="206">
      <c r="A206" s="4" t="n">
        <v>2710</v>
      </c>
      <c r="B206" s="4" t="inlineStr">
        <is>
          <t>14.10.2026</t>
        </is>
      </c>
      <c r="C206" s="4" t="inlineStr">
        <is>
          <t>Çarşamba</t>
        </is>
      </c>
      <c r="D206" s="4" t="inlineStr">
        <is>
          <t>01559</t>
        </is>
      </c>
      <c r="E206" s="4" t="inlineStr">
        <is>
          <t>01559</t>
        </is>
      </c>
      <c r="F206" s="29" t="inlineStr">
        <is>
          <t>NAZİRE OYMAK</t>
        </is>
      </c>
      <c r="G206" s="29" t="inlineStr">
        <is>
          <t>DİĞER</t>
        </is>
      </c>
      <c r="H206" s="4" t="inlineStr">
        <is>
          <t>08:00</t>
        </is>
      </c>
      <c r="I206" s="4" t="inlineStr">
        <is>
          <t>-</t>
        </is>
      </c>
      <c r="J206" s="29" t="inlineStr">
        <is>
          <t>08:00</t>
        </is>
      </c>
      <c r="K206" s="30" t="inlineStr">
        <is>
          <t>ÇIKIŞ_YOK</t>
        </is>
      </c>
      <c r="L206" s="8" t="n">
        <v>7.5</v>
      </c>
      <c r="M206" s="8" t="n">
        <v>0</v>
      </c>
      <c r="N206" s="4" t="inlineStr">
        <is>
          <t>İK / Amir Onayında</t>
        </is>
      </c>
    </row>
    <row r="207">
      <c r="A207" s="4" t="n">
        <v>2711</v>
      </c>
      <c r="B207" s="4" t="inlineStr">
        <is>
          <t>15.10.2026</t>
        </is>
      </c>
      <c r="C207" s="4" t="inlineStr">
        <is>
          <t>Perşembe</t>
        </is>
      </c>
      <c r="D207" s="4" t="inlineStr">
        <is>
          <t>01559</t>
        </is>
      </c>
      <c r="E207" s="4" t="inlineStr">
        <is>
          <t>01559</t>
        </is>
      </c>
      <c r="F207" s="29" t="inlineStr">
        <is>
          <t>NAZİRE OYMAK</t>
        </is>
      </c>
      <c r="G207" s="29" t="inlineStr">
        <is>
          <t>DİĞER</t>
        </is>
      </c>
      <c r="H207" s="4" t="inlineStr">
        <is>
          <t>08:09</t>
        </is>
      </c>
      <c r="I207" s="4" t="inlineStr">
        <is>
          <t>-</t>
        </is>
      </c>
      <c r="J207" s="29" t="inlineStr">
        <is>
          <t>08:09</t>
        </is>
      </c>
      <c r="K207" s="30" t="inlineStr">
        <is>
          <t>ÇIKIŞ_YOK</t>
        </is>
      </c>
      <c r="L207" s="8" t="n">
        <v>7.5</v>
      </c>
      <c r="M207" s="8" t="n">
        <v>0</v>
      </c>
      <c r="N207" s="4" t="inlineStr">
        <is>
          <t>İK / Amir Onayında</t>
        </is>
      </c>
    </row>
    <row r="208">
      <c r="A208" s="4" t="n">
        <v>2712</v>
      </c>
      <c r="B208" s="4" t="inlineStr">
        <is>
          <t>17.10.2026</t>
        </is>
      </c>
      <c r="C208" s="4" t="inlineStr">
        <is>
          <t>Cumartesi</t>
        </is>
      </c>
      <c r="D208" s="4" t="inlineStr">
        <is>
          <t>01559</t>
        </is>
      </c>
      <c r="E208" s="4" t="inlineStr">
        <is>
          <t>01559</t>
        </is>
      </c>
      <c r="F208" s="29" t="inlineStr">
        <is>
          <t>NAZİRE OYMAK</t>
        </is>
      </c>
      <c r="G208" s="29" t="inlineStr">
        <is>
          <t>DİĞER</t>
        </is>
      </c>
      <c r="H208" s="4" t="inlineStr">
        <is>
          <t>07:36</t>
        </is>
      </c>
      <c r="I208" s="4" t="inlineStr">
        <is>
          <t>-</t>
        </is>
      </c>
      <c r="J208" s="29" t="inlineStr">
        <is>
          <t>07:36</t>
        </is>
      </c>
      <c r="K208" s="30" t="inlineStr">
        <is>
          <t>ÇIKIŞ_YOK</t>
        </is>
      </c>
      <c r="L208" s="8" t="n">
        <v>7.5</v>
      </c>
      <c r="M208" s="8" t="n">
        <v>0</v>
      </c>
      <c r="N208" s="4" t="inlineStr">
        <is>
          <t>İK / Amir Onayında</t>
        </is>
      </c>
    </row>
    <row r="209">
      <c r="A209" s="4" t="n">
        <v>2713</v>
      </c>
      <c r="B209" s="4" t="inlineStr">
        <is>
          <t>20.10.2026</t>
        </is>
      </c>
      <c r="C209" s="4" t="inlineStr">
        <is>
          <t>Salı</t>
        </is>
      </c>
      <c r="D209" s="4" t="inlineStr">
        <is>
          <t>01559</t>
        </is>
      </c>
      <c r="E209" s="4" t="inlineStr">
        <is>
          <t>01559</t>
        </is>
      </c>
      <c r="F209" s="29" t="inlineStr">
        <is>
          <t>NAZİRE OYMAK</t>
        </is>
      </c>
      <c r="G209" s="29" t="inlineStr">
        <is>
          <t>DİĞER</t>
        </is>
      </c>
      <c r="H209" s="4" t="inlineStr">
        <is>
          <t>08:01</t>
        </is>
      </c>
      <c r="I209" s="4" t="inlineStr">
        <is>
          <t>-</t>
        </is>
      </c>
      <c r="J209" s="29" t="inlineStr">
        <is>
          <t>08:01</t>
        </is>
      </c>
      <c r="K209" s="30" t="inlineStr">
        <is>
          <t>ÇIKIŞ_YOK</t>
        </is>
      </c>
      <c r="L209" s="8" t="n">
        <v>7.5</v>
      </c>
      <c r="M209" s="8" t="n">
        <v>0</v>
      </c>
      <c r="N209" s="4" t="inlineStr">
        <is>
          <t>İK / Amir Onayında</t>
        </is>
      </c>
    </row>
    <row r="210">
      <c r="A210" s="4" t="n">
        <v>2809</v>
      </c>
      <c r="B210" s="4" t="inlineStr">
        <is>
          <t>19.10.2026</t>
        </is>
      </c>
      <c r="C210" s="4" t="inlineStr">
        <is>
          <t>Pazartesi</t>
        </is>
      </c>
      <c r="D210" s="4" t="inlineStr">
        <is>
          <t>01538</t>
        </is>
      </c>
      <c r="E210" s="4" t="inlineStr">
        <is>
          <t>01538</t>
        </is>
      </c>
      <c r="F210" s="29" t="inlineStr">
        <is>
          <t>NEVRUZ ABAK</t>
        </is>
      </c>
      <c r="G210" s="29" t="inlineStr">
        <is>
          <t>DİĞER</t>
        </is>
      </c>
      <c r="H210" s="4" t="inlineStr">
        <is>
          <t>07:36</t>
        </is>
      </c>
      <c r="I210" s="4" t="inlineStr">
        <is>
          <t>19:59</t>
        </is>
      </c>
      <c r="J210" s="29" t="inlineStr">
        <is>
          <t>07:36, 07:37, 19:59</t>
        </is>
      </c>
      <c r="K210" s="30" t="inlineStr">
        <is>
          <t>ÇOKLU_BASIM_MIN_MAX</t>
        </is>
      </c>
      <c r="L210" s="8" t="n">
        <v>0</v>
      </c>
      <c r="M210" s="8" t="n">
        <v>0</v>
      </c>
      <c r="N210" s="4" t="inlineStr">
        <is>
          <t>İK / Amir Onayında</t>
        </is>
      </c>
    </row>
    <row r="211">
      <c r="A211" s="4" t="n">
        <v>2812</v>
      </c>
      <c r="B211" s="4" t="inlineStr">
        <is>
          <t>12.10.2026</t>
        </is>
      </c>
      <c r="C211" s="4" t="inlineStr">
        <is>
          <t>Pazartesi</t>
        </is>
      </c>
      <c r="D211" s="4" t="inlineStr">
        <is>
          <t>01551</t>
        </is>
      </c>
      <c r="E211" s="4" t="inlineStr">
        <is>
          <t>01551</t>
        </is>
      </c>
      <c r="F211" s="29" t="inlineStr">
        <is>
          <t>NEZAHAT AKDUMAN</t>
        </is>
      </c>
      <c r="G211" s="29" t="inlineStr">
        <is>
          <t>DİĞER</t>
        </is>
      </c>
      <c r="H211" s="4" t="inlineStr">
        <is>
          <t>-</t>
        </is>
      </c>
      <c r="I211" s="4" t="inlineStr">
        <is>
          <t>18:01</t>
        </is>
      </c>
      <c r="J211" s="29" t="inlineStr">
        <is>
          <t>18:01</t>
        </is>
      </c>
      <c r="K211" s="30" t="inlineStr">
        <is>
          <t>GİRİŞ_YOK_AKŞAM</t>
        </is>
      </c>
      <c r="L211" s="8" t="n">
        <v>8.5</v>
      </c>
      <c r="M211" s="8" t="n">
        <v>1</v>
      </c>
      <c r="N211" s="4" t="inlineStr">
        <is>
          <t>İK / Amir Onayında</t>
        </is>
      </c>
    </row>
    <row r="212">
      <c r="A212" s="4" t="n">
        <v>2898</v>
      </c>
      <c r="B212" s="4" t="inlineStr">
        <is>
          <t>21.10.2026</t>
        </is>
      </c>
      <c r="C212" s="4" t="inlineStr">
        <is>
          <t>Çarşamba</t>
        </is>
      </c>
      <c r="D212" s="4" t="inlineStr">
        <is>
          <t>01064</t>
        </is>
      </c>
      <c r="E212" s="4" t="inlineStr">
        <is>
          <t>01064</t>
        </is>
      </c>
      <c r="F212" s="29" t="inlineStr">
        <is>
          <t>NURGÜL PARLAS</t>
        </is>
      </c>
      <c r="G212" s="29" t="inlineStr">
        <is>
          <t>ÜRETİM</t>
        </is>
      </c>
      <c r="H212" s="4" t="inlineStr">
        <is>
          <t>15:52</t>
        </is>
      </c>
      <c r="I212" s="4" t="inlineStr">
        <is>
          <t>-</t>
        </is>
      </c>
      <c r="J212" s="29" t="inlineStr">
        <is>
          <t>15:52</t>
        </is>
      </c>
      <c r="K212" s="30" t="inlineStr">
        <is>
          <t>ÇIKIŞ_YOK</t>
        </is>
      </c>
      <c r="L212" s="8" t="n">
        <v>7.5</v>
      </c>
      <c r="M212" s="8" t="n">
        <v>0</v>
      </c>
      <c r="N212" s="4" t="inlineStr">
        <is>
          <t>İK / Amir Onayında</t>
        </is>
      </c>
    </row>
    <row r="213">
      <c r="A213" s="4" t="n">
        <v>2916</v>
      </c>
      <c r="B213" s="4" t="inlineStr">
        <is>
          <t>21.10.2026</t>
        </is>
      </c>
      <c r="C213" s="4" t="inlineStr">
        <is>
          <t>Çarşamba</t>
        </is>
      </c>
      <c r="D213" s="4" t="inlineStr">
        <is>
          <t>01352</t>
        </is>
      </c>
      <c r="E213" s="4" t="inlineStr">
        <is>
          <t>01352</t>
        </is>
      </c>
      <c r="F213" s="29" t="inlineStr">
        <is>
          <t>NURGÜL ADIGÜL</t>
        </is>
      </c>
      <c r="G213" s="29" t="inlineStr">
        <is>
          <t>ÜRETİM</t>
        </is>
      </c>
      <c r="H213" s="4" t="inlineStr">
        <is>
          <t>15:51</t>
        </is>
      </c>
      <c r="I213" s="4" t="inlineStr">
        <is>
          <t>-</t>
        </is>
      </c>
      <c r="J213" s="29" t="inlineStr">
        <is>
          <t>15:51</t>
        </is>
      </c>
      <c r="K213" s="30" t="inlineStr">
        <is>
          <t>ÇIKIŞ_YOK</t>
        </is>
      </c>
      <c r="L213" s="8" t="n">
        <v>7.5</v>
      </c>
      <c r="M213" s="8" t="n">
        <v>0</v>
      </c>
      <c r="N213" s="4" t="inlineStr">
        <is>
          <t>İK / Amir Onayında</t>
        </is>
      </c>
    </row>
    <row r="214">
      <c r="A214" s="4" t="n">
        <v>2917</v>
      </c>
      <c r="B214" s="4" t="inlineStr">
        <is>
          <t>2.10.2026</t>
        </is>
      </c>
      <c r="C214" s="4" t="inlineStr">
        <is>
          <t>Cuma</t>
        </is>
      </c>
      <c r="D214" s="4" t="inlineStr">
        <is>
          <t>01441</t>
        </is>
      </c>
      <c r="E214" s="4" t="inlineStr">
        <is>
          <t>01441</t>
        </is>
      </c>
      <c r="F214" s="29" t="inlineStr">
        <is>
          <t>NURHAN ARABACI</t>
        </is>
      </c>
      <c r="G214" s="29" t="inlineStr">
        <is>
          <t>DİĞER</t>
        </is>
      </c>
      <c r="H214" s="4" t="inlineStr">
        <is>
          <t>-</t>
        </is>
      </c>
      <c r="I214" s="4" t="inlineStr">
        <is>
          <t>17:54</t>
        </is>
      </c>
      <c r="J214" s="29" t="inlineStr">
        <is>
          <t>17:54</t>
        </is>
      </c>
      <c r="K214" s="30" t="inlineStr">
        <is>
          <t>GİRİŞ_YOK_AKŞAM</t>
        </is>
      </c>
      <c r="L214" s="8" t="n">
        <v>8.5</v>
      </c>
      <c r="M214" s="8" t="n">
        <v>1</v>
      </c>
      <c r="N214" s="4" t="inlineStr">
        <is>
          <t>İK / Amir Onayında</t>
        </is>
      </c>
    </row>
    <row r="215">
      <c r="A215" s="4" t="n">
        <v>2925</v>
      </c>
      <c r="B215" s="4" t="inlineStr">
        <is>
          <t>3.10.2026</t>
        </is>
      </c>
      <c r="C215" s="4" t="inlineStr">
        <is>
          <t>Cumartesi</t>
        </is>
      </c>
      <c r="D215" s="4" t="inlineStr">
        <is>
          <t>00003</t>
        </is>
      </c>
      <c r="E215" s="4" t="inlineStr">
        <is>
          <t>00003</t>
        </is>
      </c>
      <c r="F215" s="29" t="inlineStr">
        <is>
          <t>NURİ GÜLSER</t>
        </is>
      </c>
      <c r="G215" s="29" t="inlineStr">
        <is>
          <t>KAPI GÖREVLİSİ</t>
        </is>
      </c>
      <c r="H215" s="4" t="inlineStr">
        <is>
          <t>07:43</t>
        </is>
      </c>
      <c r="I215" s="4" t="inlineStr">
        <is>
          <t>15:57</t>
        </is>
      </c>
      <c r="J215" s="29" t="inlineStr">
        <is>
          <t>07:43, 08:13, 15:57</t>
        </is>
      </c>
      <c r="K215" s="30" t="inlineStr">
        <is>
          <t>ÇOKLU_BASIM_MIN_MAX</t>
        </is>
      </c>
      <c r="L215" s="8" t="n">
        <v>7.5</v>
      </c>
      <c r="M215" s="8" t="n">
        <v>0</v>
      </c>
      <c r="N215" s="4" t="inlineStr">
        <is>
          <t>İK / Amir Onayında</t>
        </is>
      </c>
    </row>
    <row r="216">
      <c r="A216" s="4" t="n">
        <v>2927</v>
      </c>
      <c r="B216" s="4" t="inlineStr">
        <is>
          <t>5.10.2026</t>
        </is>
      </c>
      <c r="C216" s="4" t="inlineStr">
        <is>
          <t>Pazartesi</t>
        </is>
      </c>
      <c r="D216" s="4" t="inlineStr">
        <is>
          <t>00003</t>
        </is>
      </c>
      <c r="E216" s="4" t="inlineStr">
        <is>
          <t>00003</t>
        </is>
      </c>
      <c r="F216" s="29" t="inlineStr">
        <is>
          <t>NURİ GÜLSER</t>
        </is>
      </c>
      <c r="G216" s="29" t="inlineStr">
        <is>
          <t>KAPI GÖREVLİSİ</t>
        </is>
      </c>
      <c r="H216" s="4" t="inlineStr">
        <is>
          <t>13:34</t>
        </is>
      </c>
      <c r="I216" s="4" t="inlineStr">
        <is>
          <t>15:52</t>
        </is>
      </c>
      <c r="J216" s="29" t="inlineStr">
        <is>
          <t>07:46, 13:34, 15:52</t>
        </is>
      </c>
      <c r="K216" s="30" t="inlineStr">
        <is>
          <t>ÇOKLU_BASIM_MIN_MAX</t>
        </is>
      </c>
      <c r="L216" s="8" t="n">
        <v>2.5</v>
      </c>
      <c r="M216" s="8" t="n">
        <v>0</v>
      </c>
      <c r="N216" s="4" t="inlineStr">
        <is>
          <t>İK / Amir Onayında</t>
        </is>
      </c>
    </row>
    <row r="217">
      <c r="A217" s="4" t="n">
        <v>2935</v>
      </c>
      <c r="B217" s="4" t="inlineStr">
        <is>
          <t>14.10.2026</t>
        </is>
      </c>
      <c r="C217" s="4" t="inlineStr">
        <is>
          <t>Çarşamba</t>
        </is>
      </c>
      <c r="D217" s="4" t="inlineStr">
        <is>
          <t>00003</t>
        </is>
      </c>
      <c r="E217" s="4" t="inlineStr">
        <is>
          <t>00003</t>
        </is>
      </c>
      <c r="F217" s="29" t="inlineStr">
        <is>
          <t>NURİ GÜLSER</t>
        </is>
      </c>
      <c r="G217" s="29" t="inlineStr">
        <is>
          <t>KAPI GÖREVLİSİ</t>
        </is>
      </c>
      <c r="H217" s="4" t="inlineStr">
        <is>
          <t>10:04</t>
        </is>
      </c>
      <c r="I217" s="4" t="inlineStr">
        <is>
          <t>16:00</t>
        </is>
      </c>
      <c r="J217" s="29" t="inlineStr">
        <is>
          <t>07:44, 10:04, 16:00</t>
        </is>
      </c>
      <c r="K217" s="30" t="inlineStr">
        <is>
          <t>ÇOKLU_BASIM_MIN_MAX</t>
        </is>
      </c>
      <c r="L217" s="8" t="n">
        <v>7.5</v>
      </c>
      <c r="M217" s="8" t="n">
        <v>0</v>
      </c>
      <c r="N217" s="4" t="inlineStr">
        <is>
          <t>İK / Amir Onayında</t>
        </is>
      </c>
    </row>
    <row r="218">
      <c r="A218" s="4" t="n">
        <v>2936</v>
      </c>
      <c r="B218" s="4" t="inlineStr">
        <is>
          <t>15.10.2026</t>
        </is>
      </c>
      <c r="C218" s="4" t="inlineStr">
        <is>
          <t>Perşembe</t>
        </is>
      </c>
      <c r="D218" s="4" t="inlineStr">
        <is>
          <t>00003</t>
        </is>
      </c>
      <c r="E218" s="4" t="inlineStr">
        <is>
          <t>00003</t>
        </is>
      </c>
      <c r="F218" s="29" t="inlineStr">
        <is>
          <t>NURİ GÜLSER</t>
        </is>
      </c>
      <c r="G218" s="29" t="inlineStr">
        <is>
          <t>KAPI GÖREVLİSİ</t>
        </is>
      </c>
      <c r="H218" s="4" t="inlineStr">
        <is>
          <t>07:50</t>
        </is>
      </c>
      <c r="I218" s="4" t="inlineStr">
        <is>
          <t>-</t>
        </is>
      </c>
      <c r="J218" s="29" t="inlineStr">
        <is>
          <t>07:50</t>
        </is>
      </c>
      <c r="K218" s="30" t="inlineStr">
        <is>
          <t>ÇIKIŞ_YOK</t>
        </is>
      </c>
      <c r="L218" s="8" t="n">
        <v>7.5</v>
      </c>
      <c r="M218" s="8" t="n">
        <v>0</v>
      </c>
      <c r="N218" s="4" t="inlineStr">
        <is>
          <t>İK / Amir Onayında</t>
        </is>
      </c>
    </row>
    <row r="219">
      <c r="A219" s="4" t="n">
        <v>2941</v>
      </c>
      <c r="B219" s="4" t="inlineStr">
        <is>
          <t>20.10.2026</t>
        </is>
      </c>
      <c r="C219" s="4" t="inlineStr">
        <is>
          <t>Salı</t>
        </is>
      </c>
      <c r="D219" s="4" t="inlineStr">
        <is>
          <t>00003</t>
        </is>
      </c>
      <c r="E219" s="4" t="inlineStr">
        <is>
          <t>00003</t>
        </is>
      </c>
      <c r="F219" s="29" t="inlineStr">
        <is>
          <t>NURİ GÜLSER</t>
        </is>
      </c>
      <c r="G219" s="29" t="inlineStr">
        <is>
          <t>KAPI GÖREVLİSİ</t>
        </is>
      </c>
      <c r="H219" s="4" t="inlineStr">
        <is>
          <t>07:47</t>
        </is>
      </c>
      <c r="I219" s="4" t="inlineStr">
        <is>
          <t>-</t>
        </is>
      </c>
      <c r="J219" s="29" t="inlineStr">
        <is>
          <t>07:47</t>
        </is>
      </c>
      <c r="K219" s="30" t="inlineStr">
        <is>
          <t>ÇIKIŞ_YOK</t>
        </is>
      </c>
      <c r="L219" s="8" t="n">
        <v>7.5</v>
      </c>
      <c r="M219" s="8" t="n">
        <v>0</v>
      </c>
      <c r="N219" s="4" t="inlineStr">
        <is>
          <t>İK / Amir Onayında</t>
        </is>
      </c>
    </row>
    <row r="220">
      <c r="A220" s="4" t="n">
        <v>3020</v>
      </c>
      <c r="B220" s="4" t="inlineStr">
        <is>
          <t>14.10.2026</t>
        </is>
      </c>
      <c r="C220" s="4" t="inlineStr">
        <is>
          <t>Çarşamba</t>
        </is>
      </c>
      <c r="D220" s="4" t="inlineStr">
        <is>
          <t>00006</t>
        </is>
      </c>
      <c r="E220" s="4" t="inlineStr">
        <is>
          <t>00006</t>
        </is>
      </c>
      <c r="F220" s="29" t="inlineStr">
        <is>
          <t>OZAN BUĞA</t>
        </is>
      </c>
      <c r="G220" s="29" t="inlineStr">
        <is>
          <t>BAKIM</t>
        </is>
      </c>
      <c r="H220" s="4" t="inlineStr">
        <is>
          <t>15:39</t>
        </is>
      </c>
      <c r="I220" s="4" t="inlineStr">
        <is>
          <t>00:04</t>
        </is>
      </c>
      <c r="J220" s="29" t="inlineStr">
        <is>
          <t>15:39, 16:44, 00:04</t>
        </is>
      </c>
      <c r="K220" s="30" t="inlineStr">
        <is>
          <t>ÇOKLU_BASIM_MIN_MAX</t>
        </is>
      </c>
      <c r="L220" s="8" t="n">
        <v>6.82</v>
      </c>
      <c r="M220" s="8" t="n">
        <v>0</v>
      </c>
      <c r="N220" s="4" t="inlineStr">
        <is>
          <t>İK / Amir Onayında</t>
        </is>
      </c>
    </row>
    <row r="221">
      <c r="A221" s="4" t="n">
        <v>3024</v>
      </c>
      <c r="B221" s="4" t="inlineStr">
        <is>
          <t>19.10.2026</t>
        </is>
      </c>
      <c r="C221" s="4" t="inlineStr">
        <is>
          <t>Pazartesi</t>
        </is>
      </c>
      <c r="D221" s="4" t="inlineStr">
        <is>
          <t>00006</t>
        </is>
      </c>
      <c r="E221" s="4" t="inlineStr">
        <is>
          <t>00006</t>
        </is>
      </c>
      <c r="F221" s="29" t="inlineStr">
        <is>
          <t>OZAN BUĞA</t>
        </is>
      </c>
      <c r="G221" s="29" t="inlineStr">
        <is>
          <t>BAKIM</t>
        </is>
      </c>
      <c r="H221" s="4" t="inlineStr">
        <is>
          <t>07:54</t>
        </is>
      </c>
      <c r="I221" s="4" t="inlineStr">
        <is>
          <t>08:08</t>
        </is>
      </c>
      <c r="J221" s="29" t="inlineStr">
        <is>
          <t>07:54, 12:11, 23:28, 08:08</t>
        </is>
      </c>
      <c r="K221" s="30" t="inlineStr">
        <is>
          <t>PARÇALI_ÇALIŞMA</t>
        </is>
      </c>
      <c r="L221" s="8" t="n">
        <v>11.45</v>
      </c>
      <c r="M221" s="8" t="n">
        <v>3.95</v>
      </c>
      <c r="N221" s="4" t="inlineStr">
        <is>
          <t>İK / Amir Onayında</t>
        </is>
      </c>
    </row>
    <row r="222">
      <c r="A222" s="4" t="n">
        <v>3027</v>
      </c>
      <c r="B222" s="4" t="inlineStr">
        <is>
          <t>3.10.2026</t>
        </is>
      </c>
      <c r="C222" s="4" t="inlineStr">
        <is>
          <t>Cumartesi</t>
        </is>
      </c>
      <c r="D222" s="4" t="inlineStr">
        <is>
          <t>01349</t>
        </is>
      </c>
      <c r="E222" s="4" t="inlineStr">
        <is>
          <t>01349</t>
        </is>
      </c>
      <c r="F222" s="29" t="inlineStr">
        <is>
          <t>ÖMÜR SEPETÇİ</t>
        </is>
      </c>
      <c r="G222" s="29" t="inlineStr">
        <is>
          <t>ÜRETİM</t>
        </is>
      </c>
      <c r="H222" s="4" t="inlineStr">
        <is>
          <t>07:54</t>
        </is>
      </c>
      <c r="I222" s="4" t="inlineStr">
        <is>
          <t>-</t>
        </is>
      </c>
      <c r="J222" s="29" t="inlineStr">
        <is>
          <t>07:54</t>
        </is>
      </c>
      <c r="K222" s="30" t="inlineStr">
        <is>
          <t>ÇIKIŞ_YOK</t>
        </is>
      </c>
      <c r="L222" s="8" t="n">
        <v>7.5</v>
      </c>
      <c r="M222" s="8" t="n">
        <v>0</v>
      </c>
      <c r="N222" s="4" t="inlineStr">
        <is>
          <t>İK / Amir Onayında</t>
        </is>
      </c>
    </row>
    <row r="223">
      <c r="A223" s="4" t="n">
        <v>3029</v>
      </c>
      <c r="B223" s="4" t="inlineStr">
        <is>
          <t>6.10.2026</t>
        </is>
      </c>
      <c r="C223" s="4" t="inlineStr">
        <is>
          <t>Salı</t>
        </is>
      </c>
      <c r="D223" s="4" t="inlineStr">
        <is>
          <t>01349</t>
        </is>
      </c>
      <c r="E223" s="4" t="inlineStr">
        <is>
          <t>01349</t>
        </is>
      </c>
      <c r="F223" s="29" t="inlineStr">
        <is>
          <t>ÖMÜR SEPETÇİ</t>
        </is>
      </c>
      <c r="G223" s="29" t="inlineStr">
        <is>
          <t>ÜRETİM</t>
        </is>
      </c>
      <c r="H223" s="4" t="inlineStr">
        <is>
          <t>08:01</t>
        </is>
      </c>
      <c r="I223" s="4" t="inlineStr">
        <is>
          <t>07:53</t>
        </is>
      </c>
      <c r="J223" s="29" t="inlineStr">
        <is>
          <t>08:01, 17:10, 22:29, 07:53</t>
        </is>
      </c>
      <c r="K223" s="30" t="inlineStr">
        <is>
          <t>PARÇALI_ÇALIŞMA</t>
        </is>
      </c>
      <c r="L223" s="8" t="n">
        <v>14</v>
      </c>
      <c r="M223" s="8" t="n">
        <v>6.5</v>
      </c>
      <c r="N223" s="4" t="inlineStr">
        <is>
          <t>İK / Amir Onayında</t>
        </is>
      </c>
    </row>
    <row r="224">
      <c r="A224" s="4" t="n">
        <v>3041</v>
      </c>
      <c r="B224" s="4" t="inlineStr">
        <is>
          <t>2.10.2026</t>
        </is>
      </c>
      <c r="C224" s="4" t="inlineStr">
        <is>
          <t>Cuma</t>
        </is>
      </c>
      <c r="D224" s="4" t="inlineStr">
        <is>
          <t>00139</t>
        </is>
      </c>
      <c r="E224" s="4" t="inlineStr">
        <is>
          <t>00139</t>
        </is>
      </c>
      <c r="F224" s="29" t="inlineStr">
        <is>
          <t>ÖMÜRLÜ FERİK</t>
        </is>
      </c>
      <c r="G224" s="29" t="inlineStr">
        <is>
          <t>KAZAN</t>
        </is>
      </c>
      <c r="H224" s="4" t="inlineStr">
        <is>
          <t>07:45</t>
        </is>
      </c>
      <c r="I224" s="4" t="inlineStr">
        <is>
          <t>-</t>
        </is>
      </c>
      <c r="J224" s="29" t="inlineStr">
        <is>
          <t>07:45</t>
        </is>
      </c>
      <c r="K224" s="30" t="inlineStr">
        <is>
          <t>ÇIKIŞ_YOK</t>
        </is>
      </c>
      <c r="L224" s="8" t="n">
        <v>7.5</v>
      </c>
      <c r="M224" s="8" t="n">
        <v>0</v>
      </c>
      <c r="N224" s="4" t="inlineStr">
        <is>
          <t>İK / Amir Onayında</t>
        </is>
      </c>
    </row>
    <row r="225">
      <c r="A225" s="4" t="n">
        <v>3060</v>
      </c>
      <c r="B225" s="4" t="inlineStr">
        <is>
          <t>2.10.2026</t>
        </is>
      </c>
      <c r="C225" s="4" t="inlineStr">
        <is>
          <t>Cuma</t>
        </is>
      </c>
      <c r="D225" s="4" t="inlineStr">
        <is>
          <t>01444</t>
        </is>
      </c>
      <c r="E225" s="4" t="inlineStr">
        <is>
          <t>01444</t>
        </is>
      </c>
      <c r="F225" s="29" t="inlineStr">
        <is>
          <t>ÖZLEM BEYİRKEN</t>
        </is>
      </c>
      <c r="G225" s="29" t="inlineStr">
        <is>
          <t>DİĞER</t>
        </is>
      </c>
      <c r="H225" s="4" t="inlineStr">
        <is>
          <t>-</t>
        </is>
      </c>
      <c r="I225" s="4" t="inlineStr">
        <is>
          <t>20:02</t>
        </is>
      </c>
      <c r="J225" s="29" t="inlineStr">
        <is>
          <t>20:02</t>
        </is>
      </c>
      <c r="K225" s="30" t="inlineStr">
        <is>
          <t>GİRİŞ_YOK_AKŞAM</t>
        </is>
      </c>
      <c r="L225" s="8" t="n">
        <v>10.5</v>
      </c>
      <c r="M225" s="8" t="n">
        <v>3</v>
      </c>
      <c r="N225" s="4" t="inlineStr">
        <is>
          <t>İK / Amir Onayında</t>
        </is>
      </c>
    </row>
    <row r="226">
      <c r="A226" s="4" t="n">
        <v>3071</v>
      </c>
      <c r="B226" s="4" t="inlineStr">
        <is>
          <t>2.10.2026</t>
        </is>
      </c>
      <c r="C226" s="4" t="inlineStr">
        <is>
          <t>Cuma</t>
        </is>
      </c>
      <c r="D226" s="4" t="inlineStr">
        <is>
          <t>01445</t>
        </is>
      </c>
      <c r="E226" s="4" t="inlineStr">
        <is>
          <t>01445</t>
        </is>
      </c>
      <c r="F226" s="29" t="inlineStr">
        <is>
          <t>ÖZLEM BİLGİÇ</t>
        </is>
      </c>
      <c r="G226" s="29" t="inlineStr">
        <is>
          <t>HALİL DİĞRENCİ</t>
        </is>
      </c>
      <c r="H226" s="4" t="inlineStr">
        <is>
          <t>17:55</t>
        </is>
      </c>
      <c r="I226" s="4" t="inlineStr">
        <is>
          <t>-</t>
        </is>
      </c>
      <c r="J226" s="29" t="inlineStr">
        <is>
          <t>17:55</t>
        </is>
      </c>
      <c r="K226" s="30" t="inlineStr">
        <is>
          <t>ÇIKIŞ_YOK</t>
        </is>
      </c>
      <c r="L226" s="8" t="n">
        <v>7.5</v>
      </c>
      <c r="M226" s="8" t="n">
        <v>0</v>
      </c>
      <c r="N226" s="4" t="inlineStr">
        <is>
          <t>İK / Amir Onayında</t>
        </is>
      </c>
    </row>
    <row r="227">
      <c r="A227" s="4" t="n">
        <v>3087</v>
      </c>
      <c r="B227" s="4" t="inlineStr">
        <is>
          <t>3.10.2026</t>
        </is>
      </c>
      <c r="C227" s="4" t="inlineStr">
        <is>
          <t>Cumartesi</t>
        </is>
      </c>
      <c r="D227" s="4" t="inlineStr">
        <is>
          <t>01376</t>
        </is>
      </c>
      <c r="E227" s="4" t="inlineStr">
        <is>
          <t>01376</t>
        </is>
      </c>
      <c r="F227" s="29" t="inlineStr">
        <is>
          <t>PERİHAN YOZAN</t>
        </is>
      </c>
      <c r="G227" s="29" t="inlineStr">
        <is>
          <t>DİĞER</t>
        </is>
      </c>
      <c r="H227" s="4" t="inlineStr">
        <is>
          <t>08:12</t>
        </is>
      </c>
      <c r="I227" s="4" t="inlineStr">
        <is>
          <t>20:05</t>
        </is>
      </c>
      <c r="J227" s="29" t="inlineStr">
        <is>
          <t>08:12, 08:14, 20:05</t>
        </is>
      </c>
      <c r="K227" s="30" t="inlineStr">
        <is>
          <t>ÇOKLU_BASIM_MIN_MAX</t>
        </is>
      </c>
      <c r="L227" s="8" t="n">
        <v>0</v>
      </c>
      <c r="M227" s="8" t="n">
        <v>0</v>
      </c>
      <c r="N227" s="4" t="inlineStr">
        <is>
          <t>İK / Amir Onayında</t>
        </is>
      </c>
    </row>
    <row r="228">
      <c r="A228" s="4" t="n">
        <v>3098</v>
      </c>
      <c r="B228" s="4" t="inlineStr">
        <is>
          <t>2.10.2026</t>
        </is>
      </c>
      <c r="C228" s="4" t="inlineStr">
        <is>
          <t>Cuma</t>
        </is>
      </c>
      <c r="D228" s="4" t="inlineStr">
        <is>
          <t>01447</t>
        </is>
      </c>
      <c r="E228" s="4" t="inlineStr">
        <is>
          <t>01447</t>
        </is>
      </c>
      <c r="F228" s="29" t="inlineStr">
        <is>
          <t>RABİA KIRCALI</t>
        </is>
      </c>
      <c r="G228" s="29" t="inlineStr">
        <is>
          <t>DİĞER</t>
        </is>
      </c>
      <c r="H228" s="4" t="inlineStr">
        <is>
          <t>-</t>
        </is>
      </c>
      <c r="I228" s="4" t="inlineStr">
        <is>
          <t>20:03</t>
        </is>
      </c>
      <c r="J228" s="29" t="inlineStr">
        <is>
          <t>20:03</t>
        </is>
      </c>
      <c r="K228" s="30" t="inlineStr">
        <is>
          <t>GİRİŞ_YOK_AKŞAM</t>
        </is>
      </c>
      <c r="L228" s="8" t="n">
        <v>10.5</v>
      </c>
      <c r="M228" s="8" t="n">
        <v>3</v>
      </c>
      <c r="N228" s="4" t="inlineStr">
        <is>
          <t>İK / Amir Onayında</t>
        </is>
      </c>
    </row>
    <row r="229">
      <c r="A229" s="4" t="n">
        <v>3127</v>
      </c>
      <c r="B229" s="4" t="inlineStr">
        <is>
          <t>2.10.2026</t>
        </is>
      </c>
      <c r="C229" s="4" t="inlineStr">
        <is>
          <t>Cuma</t>
        </is>
      </c>
      <c r="D229" s="4" t="inlineStr">
        <is>
          <t>01446</t>
        </is>
      </c>
      <c r="E229" s="4" t="inlineStr">
        <is>
          <t>01446</t>
        </is>
      </c>
      <c r="F229" s="29" t="inlineStr">
        <is>
          <t>RAİBA DURMA</t>
        </is>
      </c>
      <c r="G229" s="29" t="inlineStr">
        <is>
          <t>DİĞER</t>
        </is>
      </c>
      <c r="H229" s="4" t="inlineStr">
        <is>
          <t>19:45</t>
        </is>
      </c>
      <c r="I229" s="4" t="inlineStr">
        <is>
          <t>07:54</t>
        </is>
      </c>
      <c r="J229" s="29" t="inlineStr">
        <is>
          <t>07:52, 19:45, 07:54</t>
        </is>
      </c>
      <c r="K229" s="30" t="inlineStr">
        <is>
          <t>ÇOKLU_BASIM_MIN_MAX</t>
        </is>
      </c>
      <c r="L229" s="8" t="n">
        <v>10.5</v>
      </c>
      <c r="M229" s="8" t="n">
        <v>3</v>
      </c>
      <c r="N229" s="4" t="inlineStr">
        <is>
          <t>İK / Amir Onayında</t>
        </is>
      </c>
    </row>
    <row r="230">
      <c r="A230" s="4" t="n">
        <v>3180</v>
      </c>
      <c r="B230" s="4" t="inlineStr">
        <is>
          <t>21.10.2026</t>
        </is>
      </c>
      <c r="C230" s="4" t="inlineStr">
        <is>
          <t>Çarşamba</t>
        </is>
      </c>
      <c r="D230" s="4" t="inlineStr">
        <is>
          <t>01316</t>
        </is>
      </c>
      <c r="E230" s="4" t="inlineStr">
        <is>
          <t>01316</t>
        </is>
      </c>
      <c r="F230" s="29" t="inlineStr">
        <is>
          <t>RECEP İÇÖZ</t>
        </is>
      </c>
      <c r="G230" s="29" t="inlineStr">
        <is>
          <t>MEYDAN</t>
        </is>
      </c>
      <c r="H230" s="4" t="inlineStr">
        <is>
          <t>07:40</t>
        </is>
      </c>
      <c r="I230" s="4" t="inlineStr">
        <is>
          <t>-</t>
        </is>
      </c>
      <c r="J230" s="29" t="inlineStr">
        <is>
          <t>07:40</t>
        </is>
      </c>
      <c r="K230" s="30" t="inlineStr">
        <is>
          <t>ÇIKIŞ_YOK</t>
        </is>
      </c>
      <c r="L230" s="8" t="n">
        <v>7.5</v>
      </c>
      <c r="M230" s="8" t="n">
        <v>0</v>
      </c>
      <c r="N230" s="4" t="inlineStr">
        <is>
          <t>İK / Amir Onayında</t>
        </is>
      </c>
    </row>
    <row r="231">
      <c r="A231" s="4" t="n">
        <v>3181</v>
      </c>
      <c r="B231" s="4" t="inlineStr">
        <is>
          <t>3.10.2026</t>
        </is>
      </c>
      <c r="C231" s="4" t="inlineStr">
        <is>
          <t>Cumartesi</t>
        </is>
      </c>
      <c r="D231" s="4" t="inlineStr">
        <is>
          <t>01448</t>
        </is>
      </c>
      <c r="E231" s="4" t="inlineStr">
        <is>
          <t>01448</t>
        </is>
      </c>
      <c r="F231" s="29" t="inlineStr">
        <is>
          <t>İREMZİYE FİDAN</t>
        </is>
      </c>
      <c r="G231" s="29" t="inlineStr">
        <is>
          <t>DİĞER</t>
        </is>
      </c>
      <c r="H231" s="4" t="inlineStr">
        <is>
          <t>07:49</t>
        </is>
      </c>
      <c r="I231" s="4" t="inlineStr">
        <is>
          <t>17:38</t>
        </is>
      </c>
      <c r="J231" s="29" t="inlineStr">
        <is>
          <t>07:49, 08:10, 17:38</t>
        </is>
      </c>
      <c r="K231" s="30" t="inlineStr">
        <is>
          <t>ÇOKLU_BASIM_MIN_MAX</t>
        </is>
      </c>
      <c r="L231" s="8" t="n">
        <v>8</v>
      </c>
      <c r="M231" s="8" t="n">
        <v>0.5</v>
      </c>
      <c r="N231" s="4" t="inlineStr">
        <is>
          <t>İK / Amir Onayında</t>
        </is>
      </c>
    </row>
    <row r="232">
      <c r="A232" s="4" t="n">
        <v>3203</v>
      </c>
      <c r="B232" s="4" t="inlineStr">
        <is>
          <t>8.10.2026</t>
        </is>
      </c>
      <c r="C232" s="4" t="inlineStr">
        <is>
          <t>Perşembe</t>
        </is>
      </c>
      <c r="D232" s="4" t="inlineStr">
        <is>
          <t>00146</t>
        </is>
      </c>
      <c r="E232" s="4" t="inlineStr">
        <is>
          <t>00146</t>
        </is>
      </c>
      <c r="F232" s="29" t="inlineStr">
        <is>
          <t>RIDVAN DEMİRDAK</t>
        </is>
      </c>
      <c r="G232" s="29" t="inlineStr">
        <is>
          <t>ŞÖFÖR</t>
        </is>
      </c>
      <c r="H232" s="4" t="inlineStr">
        <is>
          <t>00:00</t>
        </is>
      </c>
      <c r="I232" s="4" t="inlineStr">
        <is>
          <t>08:10</t>
        </is>
      </c>
      <c r="J232" s="29" t="inlineStr">
        <is>
          <t>00:00, 07:44, 23:50, 08:10</t>
        </is>
      </c>
      <c r="K232" s="30" t="inlineStr">
        <is>
          <t>PARÇALI_ÇALIŞMA</t>
        </is>
      </c>
      <c r="L232" s="8" t="n">
        <v>14.5</v>
      </c>
      <c r="M232" s="8" t="n">
        <v>7</v>
      </c>
      <c r="N232" s="4" t="inlineStr">
        <is>
          <t>İK / Amir Onayında</t>
        </is>
      </c>
    </row>
    <row r="233">
      <c r="A233" s="4" t="n">
        <v>3204</v>
      </c>
      <c r="B233" s="4" t="inlineStr">
        <is>
          <t>9.10.2026</t>
        </is>
      </c>
      <c r="C233" s="4" t="inlineStr">
        <is>
          <t>Cuma</t>
        </is>
      </c>
      <c r="D233" s="4" t="inlineStr">
        <is>
          <t>00146</t>
        </is>
      </c>
      <c r="E233" s="4" t="inlineStr">
        <is>
          <t>00146</t>
        </is>
      </c>
      <c r="F233" s="29" t="inlineStr">
        <is>
          <t>RIDVAN DEMİRDAK</t>
        </is>
      </c>
      <c r="G233" s="29" t="inlineStr">
        <is>
          <t>ŞÖFÖR</t>
        </is>
      </c>
      <c r="H233" s="4" t="inlineStr">
        <is>
          <t>23:57</t>
        </is>
      </c>
      <c r="I233" s="4" t="inlineStr">
        <is>
          <t>-</t>
        </is>
      </c>
      <c r="J233" s="29" t="inlineStr">
        <is>
          <t>23:57</t>
        </is>
      </c>
      <c r="K233" s="30" t="inlineStr">
        <is>
          <t>ÇIKIŞ_YOK</t>
        </is>
      </c>
      <c r="L233" s="8" t="n">
        <v>7.5</v>
      </c>
      <c r="M233" s="8" t="n">
        <v>0</v>
      </c>
      <c r="N233" s="4" t="inlineStr">
        <is>
          <t>İK / Amir Onayında</t>
        </is>
      </c>
    </row>
    <row r="234">
      <c r="A234" s="4" t="n">
        <v>3208</v>
      </c>
      <c r="B234" s="4" t="inlineStr">
        <is>
          <t>13.10.2026</t>
        </is>
      </c>
      <c r="C234" s="4" t="inlineStr">
        <is>
          <t>Salı</t>
        </is>
      </c>
      <c r="D234" s="4" t="inlineStr">
        <is>
          <t>00146</t>
        </is>
      </c>
      <c r="E234" s="4" t="inlineStr">
        <is>
          <t>00146</t>
        </is>
      </c>
      <c r="F234" s="29" t="inlineStr">
        <is>
          <t>RIDVAN DEMİRDAK</t>
        </is>
      </c>
      <c r="G234" s="29" t="inlineStr">
        <is>
          <t>ŞÖFÖR</t>
        </is>
      </c>
      <c r="H234" s="4" t="inlineStr">
        <is>
          <t>15:58</t>
        </is>
      </c>
      <c r="I234" s="4" t="inlineStr">
        <is>
          <t>-</t>
        </is>
      </c>
      <c r="J234" s="29" t="inlineStr">
        <is>
          <t>15:58</t>
        </is>
      </c>
      <c r="K234" s="30" t="inlineStr">
        <is>
          <t>ÇIKIŞ_YOK</t>
        </is>
      </c>
      <c r="L234" s="8" t="n">
        <v>7.5</v>
      </c>
      <c r="M234" s="8" t="n">
        <v>0</v>
      </c>
      <c r="N234" s="4" t="inlineStr">
        <is>
          <t>İK / Amir Onayında</t>
        </is>
      </c>
    </row>
    <row r="235">
      <c r="A235" s="4" t="n">
        <v>3214</v>
      </c>
      <c r="B235" s="4" t="inlineStr">
        <is>
          <t>19.10.2026</t>
        </is>
      </c>
      <c r="C235" s="4" t="inlineStr">
        <is>
          <t>Pazartesi</t>
        </is>
      </c>
      <c r="D235" s="4" t="inlineStr">
        <is>
          <t>00146</t>
        </is>
      </c>
      <c r="E235" s="4" t="inlineStr">
        <is>
          <t>00146</t>
        </is>
      </c>
      <c r="F235" s="29" t="inlineStr">
        <is>
          <t>RIDVAN DEMİRDAK</t>
        </is>
      </c>
      <c r="G235" s="29" t="inlineStr">
        <is>
          <t>ŞÖFÖR</t>
        </is>
      </c>
      <c r="H235" s="4" t="inlineStr">
        <is>
          <t>15:49</t>
        </is>
      </c>
      <c r="I235" s="4" t="inlineStr">
        <is>
          <t>-</t>
        </is>
      </c>
      <c r="J235" s="29" t="inlineStr">
        <is>
          <t>15:49</t>
        </is>
      </c>
      <c r="K235" s="30" t="inlineStr">
        <is>
          <t>ÇIKIŞ_YOK</t>
        </is>
      </c>
      <c r="L235" s="8" t="n">
        <v>7.5</v>
      </c>
      <c r="M235" s="8" t="n">
        <v>0</v>
      </c>
      <c r="N235" s="4" t="inlineStr">
        <is>
          <t>İK / Amir Onayında</t>
        </is>
      </c>
    </row>
    <row r="236">
      <c r="A236" s="4" t="n">
        <v>3216</v>
      </c>
      <c r="B236" s="4" t="inlineStr">
        <is>
          <t>21.10.2026</t>
        </is>
      </c>
      <c r="C236" s="4" t="inlineStr">
        <is>
          <t>Çarşamba</t>
        </is>
      </c>
      <c r="D236" s="4" t="inlineStr">
        <is>
          <t>00146</t>
        </is>
      </c>
      <c r="E236" s="4" t="inlineStr">
        <is>
          <t>00146</t>
        </is>
      </c>
      <c r="F236" s="29" t="inlineStr">
        <is>
          <t>RIDVAN DEMİRDAK</t>
        </is>
      </c>
      <c r="G236" s="29" t="inlineStr">
        <is>
          <t>ŞÖFÖR</t>
        </is>
      </c>
      <c r="H236" s="4" t="inlineStr">
        <is>
          <t>13:50</t>
        </is>
      </c>
      <c r="I236" s="4" t="inlineStr">
        <is>
          <t>-</t>
        </is>
      </c>
      <c r="J236" s="29" t="inlineStr">
        <is>
          <t>13:50</t>
        </is>
      </c>
      <c r="K236" s="30" t="inlineStr">
        <is>
          <t>ÇIKIŞ_YOK</t>
        </is>
      </c>
      <c r="L236" s="8" t="n">
        <v>7.5</v>
      </c>
      <c r="M236" s="8" t="n">
        <v>0</v>
      </c>
      <c r="N236" s="4" t="inlineStr">
        <is>
          <t>İK / Amir Onayında</t>
        </is>
      </c>
    </row>
    <row r="237">
      <c r="A237" s="4" t="n">
        <v>3230</v>
      </c>
      <c r="B237" s="4" t="inlineStr">
        <is>
          <t>2.10.2026</t>
        </is>
      </c>
      <c r="C237" s="4" t="inlineStr">
        <is>
          <t>Cuma</t>
        </is>
      </c>
      <c r="D237" s="4" t="inlineStr">
        <is>
          <t>01449</t>
        </is>
      </c>
      <c r="E237" s="4" t="inlineStr">
        <is>
          <t>01449</t>
        </is>
      </c>
      <c r="F237" s="29" t="inlineStr">
        <is>
          <t>SAADET ÇÇAKIR</t>
        </is>
      </c>
      <c r="G237" s="29" t="inlineStr">
        <is>
          <t>DİĞER</t>
        </is>
      </c>
      <c r="H237" s="4" t="inlineStr">
        <is>
          <t>-</t>
        </is>
      </c>
      <c r="I237" s="4" t="inlineStr">
        <is>
          <t>20:03</t>
        </is>
      </c>
      <c r="J237" s="29" t="inlineStr">
        <is>
          <t>20:03</t>
        </is>
      </c>
      <c r="K237" s="30" t="inlineStr">
        <is>
          <t>GİRİŞ_YOK_AKŞAM</t>
        </is>
      </c>
      <c r="L237" s="8" t="n">
        <v>10.5</v>
      </c>
      <c r="M237" s="8" t="n">
        <v>3</v>
      </c>
      <c r="N237" s="4" t="inlineStr">
        <is>
          <t>İK / Amir Onayında</t>
        </is>
      </c>
    </row>
    <row r="238">
      <c r="A238" s="4" t="n">
        <v>3268</v>
      </c>
      <c r="B238" s="4" t="inlineStr">
        <is>
          <t>1.10.2026</t>
        </is>
      </c>
      <c r="C238" s="4" t="inlineStr">
        <is>
          <t>Perşembe</t>
        </is>
      </c>
      <c r="D238" s="4" t="inlineStr">
        <is>
          <t>00536</t>
        </is>
      </c>
      <c r="E238" s="4" t="inlineStr">
        <is>
          <t>00536</t>
        </is>
      </c>
      <c r="F238" s="29" t="inlineStr">
        <is>
          <t>SABRİ ACAR</t>
        </is>
      </c>
      <c r="G238" s="29" t="inlineStr">
        <is>
          <t>YENİ BALIK HATTI</t>
        </is>
      </c>
      <c r="H238" s="4" t="inlineStr">
        <is>
          <t>23:43</t>
        </is>
      </c>
      <c r="I238" s="4" t="inlineStr">
        <is>
          <t>-</t>
        </is>
      </c>
      <c r="J238" s="29" t="inlineStr">
        <is>
          <t>23:43</t>
        </is>
      </c>
      <c r="K238" s="30" t="inlineStr">
        <is>
          <t>ÇIKIŞ_YOK</t>
        </is>
      </c>
      <c r="L238" s="8" t="n">
        <v>7.5</v>
      </c>
      <c r="M238" s="8" t="n">
        <v>0</v>
      </c>
      <c r="N238" s="4" t="inlineStr">
        <is>
          <t>İK / Amir Onayında</t>
        </is>
      </c>
    </row>
    <row r="239">
      <c r="A239" s="4" t="n">
        <v>3269</v>
      </c>
      <c r="B239" s="4" t="inlineStr">
        <is>
          <t>2.10.2026</t>
        </is>
      </c>
      <c r="C239" s="4" t="inlineStr">
        <is>
          <t>Cuma</t>
        </is>
      </c>
      <c r="D239" s="4" t="inlineStr">
        <is>
          <t>00536</t>
        </is>
      </c>
      <c r="E239" s="4" t="inlineStr">
        <is>
          <t>00536</t>
        </is>
      </c>
      <c r="F239" s="29" t="inlineStr">
        <is>
          <t>SABRİ ACAR</t>
        </is>
      </c>
      <c r="G239" s="29" t="inlineStr">
        <is>
          <t>YENİ BALIK HATTI</t>
        </is>
      </c>
      <c r="H239" s="4" t="inlineStr">
        <is>
          <t>00:01</t>
        </is>
      </c>
      <c r="I239" s="4" t="inlineStr">
        <is>
          <t>07:55</t>
        </is>
      </c>
      <c r="J239" s="29" t="inlineStr">
        <is>
          <t>00:01, 07:54, 23:36, 07:55</t>
        </is>
      </c>
      <c r="K239" s="30" t="inlineStr">
        <is>
          <t>PARÇALI_ÇALIŞMA</t>
        </is>
      </c>
      <c r="L239" s="8" t="n">
        <v>14.7</v>
      </c>
      <c r="M239" s="8" t="n">
        <v>7.2</v>
      </c>
      <c r="N239" s="4" t="inlineStr">
        <is>
          <t>İK / Amir Onayında</t>
        </is>
      </c>
    </row>
    <row r="240">
      <c r="A240" s="4" t="n">
        <v>3274</v>
      </c>
      <c r="B240" s="4" t="inlineStr">
        <is>
          <t>8.10.2026</t>
        </is>
      </c>
      <c r="C240" s="4" t="inlineStr">
        <is>
          <t>Perşembe</t>
        </is>
      </c>
      <c r="D240" s="4" t="inlineStr">
        <is>
          <t>00536</t>
        </is>
      </c>
      <c r="E240" s="4" t="inlineStr">
        <is>
          <t>00536</t>
        </is>
      </c>
      <c r="F240" s="29" t="inlineStr">
        <is>
          <t>SABRİ ACAR</t>
        </is>
      </c>
      <c r="G240" s="29" t="inlineStr">
        <is>
          <t>YENİ BALIK HATTI</t>
        </is>
      </c>
      <c r="H240" s="4" t="inlineStr">
        <is>
          <t>23:48</t>
        </is>
      </c>
      <c r="I240" s="4" t="inlineStr">
        <is>
          <t>07:50</t>
        </is>
      </c>
      <c r="J240" s="29" t="inlineStr">
        <is>
          <t>23:48, 23:59, 07:50</t>
        </is>
      </c>
      <c r="K240" s="30" t="inlineStr">
        <is>
          <t>ÇOKLU_BASIM_MIN_MAX</t>
        </is>
      </c>
      <c r="L240" s="8" t="n">
        <v>7.5</v>
      </c>
      <c r="M240" s="8" t="n">
        <v>0</v>
      </c>
      <c r="N240" s="4" t="inlineStr">
        <is>
          <t>İK / Amir Onayında</t>
        </is>
      </c>
    </row>
    <row r="241">
      <c r="A241" s="4" t="n">
        <v>3285</v>
      </c>
      <c r="B241" s="4" t="inlineStr">
        <is>
          <t>2.10.2026</t>
        </is>
      </c>
      <c r="C241" s="4" t="inlineStr">
        <is>
          <t>Cuma</t>
        </is>
      </c>
      <c r="D241" s="4" t="inlineStr">
        <is>
          <t>01450</t>
        </is>
      </c>
      <c r="E241" s="4" t="inlineStr">
        <is>
          <t>01450</t>
        </is>
      </c>
      <c r="F241" s="29" t="inlineStr">
        <is>
          <t>SAFİYE GÖKGÖZ</t>
        </is>
      </c>
      <c r="G241" s="29" t="inlineStr">
        <is>
          <t>DİĞER</t>
        </is>
      </c>
      <c r="H241" s="4" t="inlineStr">
        <is>
          <t>-</t>
        </is>
      </c>
      <c r="I241" s="4" t="inlineStr">
        <is>
          <t>20:02</t>
        </is>
      </c>
      <c r="J241" s="29" t="inlineStr">
        <is>
          <t>20:02</t>
        </is>
      </c>
      <c r="K241" s="30" t="inlineStr">
        <is>
          <t>GİRİŞ_YOK_AKŞAM</t>
        </is>
      </c>
      <c r="L241" s="8" t="n">
        <v>10.5</v>
      </c>
      <c r="M241" s="8" t="n">
        <v>3</v>
      </c>
      <c r="N241" s="4" t="inlineStr">
        <is>
          <t>İK / Amir Onayında</t>
        </is>
      </c>
    </row>
    <row r="242">
      <c r="A242" s="4" t="n">
        <v>3286</v>
      </c>
      <c r="B242" s="4" t="inlineStr">
        <is>
          <t>3.10.2026</t>
        </is>
      </c>
      <c r="C242" s="4" t="inlineStr">
        <is>
          <t>Cumartesi</t>
        </is>
      </c>
      <c r="D242" s="4" t="inlineStr">
        <is>
          <t>01450</t>
        </is>
      </c>
      <c r="E242" s="4" t="inlineStr">
        <is>
          <t>01450</t>
        </is>
      </c>
      <c r="F242" s="29" t="inlineStr">
        <is>
          <t>SAFİYE GÖKGÖZ</t>
        </is>
      </c>
      <c r="G242" s="29" t="inlineStr">
        <is>
          <t>DİĞER</t>
        </is>
      </c>
      <c r="H242" s="4" t="inlineStr">
        <is>
          <t>08:04</t>
        </is>
      </c>
      <c r="I242" s="4" t="inlineStr">
        <is>
          <t>19:59</t>
        </is>
      </c>
      <c r="J242" s="29" t="inlineStr">
        <is>
          <t>08:04, 08:05, 19:59</t>
        </is>
      </c>
      <c r="K242" s="30" t="inlineStr">
        <is>
          <t>ÇOKLU_BASIM_MIN_MAX</t>
        </is>
      </c>
      <c r="L242" s="8" t="n">
        <v>0</v>
      </c>
      <c r="M242" s="8" t="n">
        <v>0</v>
      </c>
      <c r="N242" s="4" t="inlineStr">
        <is>
          <t>İK / Amir Onayında</t>
        </is>
      </c>
    </row>
    <row r="243">
      <c r="A243" s="4" t="n">
        <v>3297</v>
      </c>
      <c r="B243" s="4" t="inlineStr">
        <is>
          <t>2.10.2026</t>
        </is>
      </c>
      <c r="C243" s="4" t="inlineStr">
        <is>
          <t>Cuma</t>
        </is>
      </c>
      <c r="D243" s="4" t="inlineStr">
        <is>
          <t>01451</t>
        </is>
      </c>
      <c r="E243" s="4" t="inlineStr">
        <is>
          <t>01451</t>
        </is>
      </c>
      <c r="F243" s="29" t="inlineStr">
        <is>
          <t>SAHRA TÜRKÇÜ</t>
        </is>
      </c>
      <c r="G243" s="29" t="inlineStr">
        <is>
          <t>HALİL DİĞRENCİ</t>
        </is>
      </c>
      <c r="H243" s="4" t="inlineStr">
        <is>
          <t>18:05</t>
        </is>
      </c>
      <c r="I243" s="4" t="inlineStr">
        <is>
          <t>01:08</t>
        </is>
      </c>
      <c r="J243" s="29" t="inlineStr">
        <is>
          <t>01:08, 18:05, 00:56</t>
        </is>
      </c>
      <c r="K243" s="30" t="inlineStr">
        <is>
          <t>ÇOKLU_BASIM_MIN_MAX</t>
        </is>
      </c>
      <c r="L243" s="8" t="n">
        <v>6.5</v>
      </c>
      <c r="M243" s="8" t="n">
        <v>1</v>
      </c>
      <c r="N243" s="4" t="inlineStr">
        <is>
          <t>İK / Amir Onayında</t>
        </is>
      </c>
    </row>
    <row r="244">
      <c r="A244" s="4" t="n">
        <v>3301</v>
      </c>
      <c r="B244" s="4" t="inlineStr">
        <is>
          <t>2.10.2026</t>
        </is>
      </c>
      <c r="C244" s="4" t="inlineStr">
        <is>
          <t>Cuma</t>
        </is>
      </c>
      <c r="D244" s="4" t="inlineStr">
        <is>
          <t>01130</t>
        </is>
      </c>
      <c r="E244" s="4" t="inlineStr">
        <is>
          <t>01130</t>
        </is>
      </c>
      <c r="F244" s="29" t="inlineStr">
        <is>
          <t>SAMET YUMİTKEN</t>
        </is>
      </c>
      <c r="G244" s="29" t="inlineStr">
        <is>
          <t>ÜRETİM</t>
        </is>
      </c>
      <c r="H244" s="4" t="inlineStr">
        <is>
          <t>08:00</t>
        </is>
      </c>
      <c r="I244" s="4" t="inlineStr">
        <is>
          <t>-</t>
        </is>
      </c>
      <c r="J244" s="29" t="inlineStr">
        <is>
          <t>08:00</t>
        </is>
      </c>
      <c r="K244" s="30" t="inlineStr">
        <is>
          <t>ÇIKIŞ_YOK</t>
        </is>
      </c>
      <c r="L244" s="8" t="n">
        <v>7.5</v>
      </c>
      <c r="M244" s="8" t="n">
        <v>0</v>
      </c>
      <c r="N244" s="4" t="inlineStr">
        <is>
          <t>İK / Amir Onayında</t>
        </is>
      </c>
    </row>
    <row r="245">
      <c r="A245" s="4" t="n">
        <v>3311</v>
      </c>
      <c r="B245" s="4" t="inlineStr">
        <is>
          <t>20.10.2026</t>
        </is>
      </c>
      <c r="C245" s="4" t="inlineStr">
        <is>
          <t>Salı</t>
        </is>
      </c>
      <c r="D245" s="4" t="inlineStr">
        <is>
          <t>01130</t>
        </is>
      </c>
      <c r="E245" s="4" t="inlineStr">
        <is>
          <t>01130</t>
        </is>
      </c>
      <c r="F245" s="29" t="inlineStr">
        <is>
          <t>SAMET YUMİTKEN</t>
        </is>
      </c>
      <c r="G245" s="29" t="inlineStr">
        <is>
          <t>ÜRETİM</t>
        </is>
      </c>
      <c r="H245" s="4" t="inlineStr">
        <is>
          <t>07:32</t>
        </is>
      </c>
      <c r="I245" s="4" t="inlineStr">
        <is>
          <t>-</t>
        </is>
      </c>
      <c r="J245" s="29" t="inlineStr">
        <is>
          <t>07:32</t>
        </is>
      </c>
      <c r="K245" s="30" t="inlineStr">
        <is>
          <t>ÇIKIŞ_YOK</t>
        </is>
      </c>
      <c r="L245" s="8" t="n">
        <v>7.5</v>
      </c>
      <c r="M245" s="8" t="n">
        <v>0</v>
      </c>
      <c r="N245" s="4" t="inlineStr">
        <is>
          <t>İK / Amir Onayında</t>
        </is>
      </c>
    </row>
    <row r="246">
      <c r="A246" s="4" t="n">
        <v>3359</v>
      </c>
      <c r="B246" s="4" t="inlineStr">
        <is>
          <t>2.10.2026</t>
        </is>
      </c>
      <c r="C246" s="4" t="inlineStr">
        <is>
          <t>Cuma</t>
        </is>
      </c>
      <c r="D246" s="4" t="inlineStr">
        <is>
          <t>01453</t>
        </is>
      </c>
      <c r="E246" s="4" t="inlineStr">
        <is>
          <t>01453</t>
        </is>
      </c>
      <c r="F246" s="29" t="inlineStr">
        <is>
          <t>SEBAHATTİN ÖRS</t>
        </is>
      </c>
      <c r="G246" s="29" t="inlineStr">
        <is>
          <t>DİĞER</t>
        </is>
      </c>
      <c r="H246" s="4" t="inlineStr">
        <is>
          <t>19:46</t>
        </is>
      </c>
      <c r="I246" s="4" t="inlineStr">
        <is>
          <t>07:53</t>
        </is>
      </c>
      <c r="J246" s="29" t="inlineStr">
        <is>
          <t>07:52, 19:46, 07:53</t>
        </is>
      </c>
      <c r="K246" s="30" t="inlineStr">
        <is>
          <t>ÇOKLU_BASIM_MIN_MAX</t>
        </is>
      </c>
      <c r="L246" s="8" t="n">
        <v>10.5</v>
      </c>
      <c r="M246" s="8" t="n">
        <v>3</v>
      </c>
      <c r="N246" s="4" t="inlineStr">
        <is>
          <t>İK / Amir Onayında</t>
        </is>
      </c>
    </row>
    <row r="247">
      <c r="A247" s="4" t="n">
        <v>3372</v>
      </c>
      <c r="B247" s="4" t="inlineStr">
        <is>
          <t>7.10.2026</t>
        </is>
      </c>
      <c r="C247" s="4" t="inlineStr">
        <is>
          <t>Çarşamba</t>
        </is>
      </c>
      <c r="D247" s="4" t="inlineStr">
        <is>
          <t>01523</t>
        </is>
      </c>
      <c r="E247" s="4" t="inlineStr">
        <is>
          <t>01523</t>
        </is>
      </c>
      <c r="F247" s="29" t="inlineStr">
        <is>
          <t>SECAHET ABAKAY</t>
        </is>
      </c>
      <c r="G247" s="29" t="inlineStr">
        <is>
          <t>DİĞER</t>
        </is>
      </c>
      <c r="H247" s="4" t="inlineStr">
        <is>
          <t>-</t>
        </is>
      </c>
      <c r="I247" s="4" t="inlineStr">
        <is>
          <t>20:02</t>
        </is>
      </c>
      <c r="J247" s="29" t="inlineStr">
        <is>
          <t>20:02</t>
        </is>
      </c>
      <c r="K247" s="30" t="inlineStr">
        <is>
          <t>GİRİŞ_YOK_AKŞAM</t>
        </is>
      </c>
      <c r="L247" s="8" t="n">
        <v>10.5</v>
      </c>
      <c r="M247" s="8" t="n">
        <v>3</v>
      </c>
      <c r="N247" s="4" t="inlineStr">
        <is>
          <t>İK / Amir Onayında</t>
        </is>
      </c>
    </row>
    <row r="248">
      <c r="A248" s="4" t="n">
        <v>3373</v>
      </c>
      <c r="B248" s="4" t="inlineStr">
        <is>
          <t>9.10.2026</t>
        </is>
      </c>
      <c r="C248" s="4" t="inlineStr">
        <is>
          <t>Cuma</t>
        </is>
      </c>
      <c r="D248" s="4" t="inlineStr">
        <is>
          <t>01523</t>
        </is>
      </c>
      <c r="E248" s="4" t="inlineStr">
        <is>
          <t>01523</t>
        </is>
      </c>
      <c r="F248" s="29" t="inlineStr">
        <is>
          <t>SECAHET ABAKAY</t>
        </is>
      </c>
      <c r="G248" s="29" t="inlineStr">
        <is>
          <t>DİĞER</t>
        </is>
      </c>
      <c r="H248" s="4" t="inlineStr">
        <is>
          <t>-</t>
        </is>
      </c>
      <c r="I248" s="4" t="inlineStr">
        <is>
          <t>20:02</t>
        </is>
      </c>
      <c r="J248" s="29" t="inlineStr">
        <is>
          <t>20:02</t>
        </is>
      </c>
      <c r="K248" s="30" t="inlineStr">
        <is>
          <t>GİRİŞ_YOK_AKŞAM</t>
        </is>
      </c>
      <c r="L248" s="8" t="n">
        <v>10.5</v>
      </c>
      <c r="M248" s="8" t="n">
        <v>3</v>
      </c>
      <c r="N248" s="4" t="inlineStr">
        <is>
          <t>İK / Amir Onayında</t>
        </is>
      </c>
    </row>
    <row r="249">
      <c r="A249" s="4" t="n">
        <v>3374</v>
      </c>
      <c r="B249" s="4" t="inlineStr">
        <is>
          <t>10.10.2026</t>
        </is>
      </c>
      <c r="C249" s="4" t="inlineStr">
        <is>
          <t>Cumartesi</t>
        </is>
      </c>
      <c r="D249" s="4" t="inlineStr">
        <is>
          <t>01523</t>
        </is>
      </c>
      <c r="E249" s="4" t="inlineStr">
        <is>
          <t>01523</t>
        </is>
      </c>
      <c r="F249" s="29" t="inlineStr">
        <is>
          <t>SECAHET ABAKAY</t>
        </is>
      </c>
      <c r="G249" s="29" t="inlineStr">
        <is>
          <t>DİĞER</t>
        </is>
      </c>
      <c r="H249" s="4" t="inlineStr">
        <is>
          <t>-</t>
        </is>
      </c>
      <c r="I249" s="4" t="inlineStr">
        <is>
          <t>19:59</t>
        </is>
      </c>
      <c r="J249" s="29" t="inlineStr">
        <is>
          <t>19:59</t>
        </is>
      </c>
      <c r="K249" s="30" t="inlineStr">
        <is>
          <t>GİRİŞ_YOK_AKŞAM</t>
        </is>
      </c>
      <c r="L249" s="8" t="n">
        <v>10.5</v>
      </c>
      <c r="M249" s="8" t="n">
        <v>3</v>
      </c>
      <c r="N249" s="4" t="inlineStr">
        <is>
          <t>İK / Amir Onayında</t>
        </is>
      </c>
    </row>
    <row r="250">
      <c r="A250" s="4" t="n">
        <v>3375</v>
      </c>
      <c r="B250" s="4" t="inlineStr">
        <is>
          <t>12.10.2026</t>
        </is>
      </c>
      <c r="C250" s="4" t="inlineStr">
        <is>
          <t>Pazartesi</t>
        </is>
      </c>
      <c r="D250" s="4" t="inlineStr">
        <is>
          <t>01523</t>
        </is>
      </c>
      <c r="E250" s="4" t="inlineStr">
        <is>
          <t>01523</t>
        </is>
      </c>
      <c r="F250" s="29" t="inlineStr">
        <is>
          <t>SECAHET ABAKAY</t>
        </is>
      </c>
      <c r="G250" s="29" t="inlineStr">
        <is>
          <t>DİĞER</t>
        </is>
      </c>
      <c r="H250" s="4" t="inlineStr">
        <is>
          <t>-</t>
        </is>
      </c>
      <c r="I250" s="4" t="inlineStr">
        <is>
          <t>17:01</t>
        </is>
      </c>
      <c r="J250" s="29" t="inlineStr">
        <is>
          <t>07:50, 17:01</t>
        </is>
      </c>
      <c r="K250" s="30" t="inlineStr">
        <is>
          <t>GİRİŞ_YOK_AKŞAM</t>
        </is>
      </c>
      <c r="L250" s="8" t="n">
        <v>7.5</v>
      </c>
      <c r="M250" s="8" t="n">
        <v>0</v>
      </c>
      <c r="N250" s="4" t="inlineStr">
        <is>
          <t>İK / Amir Onayında</t>
        </is>
      </c>
    </row>
    <row r="251">
      <c r="A251" s="4" t="n">
        <v>3376</v>
      </c>
      <c r="B251" s="4" t="inlineStr">
        <is>
          <t>13.10.2026</t>
        </is>
      </c>
      <c r="C251" s="4" t="inlineStr">
        <is>
          <t>Salı</t>
        </is>
      </c>
      <c r="D251" s="4" t="inlineStr">
        <is>
          <t>01523</t>
        </is>
      </c>
      <c r="E251" s="4" t="inlineStr">
        <is>
          <t>01523</t>
        </is>
      </c>
      <c r="F251" s="29" t="inlineStr">
        <is>
          <t>SECAHET ABAKAY</t>
        </is>
      </c>
      <c r="G251" s="29" t="inlineStr">
        <is>
          <t>DİĞER</t>
        </is>
      </c>
      <c r="H251" s="4" t="inlineStr">
        <is>
          <t>-</t>
        </is>
      </c>
      <c r="I251" s="4" t="inlineStr">
        <is>
          <t>19:59</t>
        </is>
      </c>
      <c r="J251" s="29" t="inlineStr">
        <is>
          <t>19:59</t>
        </is>
      </c>
      <c r="K251" s="30" t="inlineStr">
        <is>
          <t>GİRİŞ_YOK_AKŞAM</t>
        </is>
      </c>
      <c r="L251" s="8" t="n">
        <v>10.5</v>
      </c>
      <c r="M251" s="8" t="n">
        <v>3</v>
      </c>
      <c r="N251" s="4" t="inlineStr">
        <is>
          <t>İK / Amir Onayında</t>
        </is>
      </c>
    </row>
    <row r="252">
      <c r="A252" s="4" t="n">
        <v>3377</v>
      </c>
      <c r="B252" s="4" t="inlineStr">
        <is>
          <t>14.10.2026</t>
        </is>
      </c>
      <c r="C252" s="4" t="inlineStr">
        <is>
          <t>Çarşamba</t>
        </is>
      </c>
      <c r="D252" s="4" t="inlineStr">
        <is>
          <t>01523</t>
        </is>
      </c>
      <c r="E252" s="4" t="inlineStr">
        <is>
          <t>01523</t>
        </is>
      </c>
      <c r="F252" s="29" t="inlineStr">
        <is>
          <t>SECAHET ABAKAY</t>
        </is>
      </c>
      <c r="G252" s="29" t="inlineStr">
        <is>
          <t>DİĞER</t>
        </is>
      </c>
      <c r="H252" s="4" t="inlineStr">
        <is>
          <t>-</t>
        </is>
      </c>
      <c r="I252" s="4" t="inlineStr">
        <is>
          <t>19:58</t>
        </is>
      </c>
      <c r="J252" s="29" t="inlineStr">
        <is>
          <t>08:03, 19:58</t>
        </is>
      </c>
      <c r="K252" s="30" t="inlineStr">
        <is>
          <t>GİRİŞ_YOK_AKŞAM</t>
        </is>
      </c>
      <c r="L252" s="8" t="n">
        <v>10.5</v>
      </c>
      <c r="M252" s="8" t="n">
        <v>3</v>
      </c>
      <c r="N252" s="4" t="inlineStr">
        <is>
          <t>İK / Amir Onayında</t>
        </is>
      </c>
    </row>
    <row r="253">
      <c r="A253" s="4" t="n">
        <v>3378</v>
      </c>
      <c r="B253" s="4" t="inlineStr">
        <is>
          <t>15.10.2026</t>
        </is>
      </c>
      <c r="C253" s="4" t="inlineStr">
        <is>
          <t>Perşembe</t>
        </is>
      </c>
      <c r="D253" s="4" t="inlineStr">
        <is>
          <t>01523</t>
        </is>
      </c>
      <c r="E253" s="4" t="inlineStr">
        <is>
          <t>01523</t>
        </is>
      </c>
      <c r="F253" s="29" t="inlineStr">
        <is>
          <t>SECAHET ABAKAY</t>
        </is>
      </c>
      <c r="G253" s="29" t="inlineStr">
        <is>
          <t>DİĞER</t>
        </is>
      </c>
      <c r="H253" s="4" t="inlineStr">
        <is>
          <t>-</t>
        </is>
      </c>
      <c r="I253" s="4" t="inlineStr">
        <is>
          <t>19:59</t>
        </is>
      </c>
      <c r="J253" s="29" t="inlineStr">
        <is>
          <t>19:59</t>
        </is>
      </c>
      <c r="K253" s="30" t="inlineStr">
        <is>
          <t>GİRİŞ_YOK_AKŞAM</t>
        </is>
      </c>
      <c r="L253" s="8" t="n">
        <v>10.5</v>
      </c>
      <c r="M253" s="8" t="n">
        <v>3</v>
      </c>
      <c r="N253" s="4" t="inlineStr">
        <is>
          <t>İK / Amir Onayında</t>
        </is>
      </c>
    </row>
    <row r="254">
      <c r="A254" s="4" t="n">
        <v>3379</v>
      </c>
      <c r="B254" s="4" t="inlineStr">
        <is>
          <t>17.10.2026</t>
        </is>
      </c>
      <c r="C254" s="4" t="inlineStr">
        <is>
          <t>Cumartesi</t>
        </is>
      </c>
      <c r="D254" s="4" t="inlineStr">
        <is>
          <t>01523</t>
        </is>
      </c>
      <c r="E254" s="4" t="inlineStr">
        <is>
          <t>01523</t>
        </is>
      </c>
      <c r="F254" s="29" t="inlineStr">
        <is>
          <t>SECAHET ABAKAY</t>
        </is>
      </c>
      <c r="G254" s="29" t="inlineStr">
        <is>
          <t>DİĞER</t>
        </is>
      </c>
      <c r="H254" s="4" t="inlineStr">
        <is>
          <t>-</t>
        </is>
      </c>
      <c r="I254" s="4" t="inlineStr">
        <is>
          <t>20:04</t>
        </is>
      </c>
      <c r="J254" s="29" t="inlineStr">
        <is>
          <t>20:04</t>
        </is>
      </c>
      <c r="K254" s="30" t="inlineStr">
        <is>
          <t>GİRİŞ_YOK_AKŞAM</t>
        </is>
      </c>
      <c r="L254" s="8" t="n">
        <v>10.5</v>
      </c>
      <c r="M254" s="8" t="n">
        <v>3</v>
      </c>
      <c r="N254" s="4" t="inlineStr">
        <is>
          <t>İK / Amir Onayında</t>
        </is>
      </c>
    </row>
    <row r="255">
      <c r="A255" s="4" t="n">
        <v>3380</v>
      </c>
      <c r="B255" s="4" t="inlineStr">
        <is>
          <t>19.10.2026</t>
        </is>
      </c>
      <c r="C255" s="4" t="inlineStr">
        <is>
          <t>Pazartesi</t>
        </is>
      </c>
      <c r="D255" s="4" t="inlineStr">
        <is>
          <t>01523</t>
        </is>
      </c>
      <c r="E255" s="4" t="inlineStr">
        <is>
          <t>01523</t>
        </is>
      </c>
      <c r="F255" s="29" t="inlineStr">
        <is>
          <t>SECAHET ABAKAY</t>
        </is>
      </c>
      <c r="G255" s="29" t="inlineStr">
        <is>
          <t>DİĞER</t>
        </is>
      </c>
      <c r="H255" s="4" t="inlineStr">
        <is>
          <t>-</t>
        </is>
      </c>
      <c r="I255" s="4" t="inlineStr">
        <is>
          <t>19:59</t>
        </is>
      </c>
      <c r="J255" s="29" t="inlineStr">
        <is>
          <t>19:59</t>
        </is>
      </c>
      <c r="K255" s="30" t="inlineStr">
        <is>
          <t>GİRİŞ_YOK_AKŞAM</t>
        </is>
      </c>
      <c r="L255" s="8" t="n">
        <v>10.5</v>
      </c>
      <c r="M255" s="8" t="n">
        <v>3</v>
      </c>
      <c r="N255" s="4" t="inlineStr">
        <is>
          <t>İK / Amir Onayında</t>
        </is>
      </c>
    </row>
    <row r="256">
      <c r="A256" s="4" t="n">
        <v>3381</v>
      </c>
      <c r="B256" s="4" t="inlineStr">
        <is>
          <t>20.10.2026</t>
        </is>
      </c>
      <c r="C256" s="4" t="inlineStr">
        <is>
          <t>Salı</t>
        </is>
      </c>
      <c r="D256" s="4" t="inlineStr">
        <is>
          <t>01523</t>
        </is>
      </c>
      <c r="E256" s="4" t="inlineStr">
        <is>
          <t>01523</t>
        </is>
      </c>
      <c r="F256" s="29" t="inlineStr">
        <is>
          <t>SECAHET ABAKAY</t>
        </is>
      </c>
      <c r="G256" s="29" t="inlineStr">
        <is>
          <t>DİĞER</t>
        </is>
      </c>
      <c r="H256" s="4" t="inlineStr">
        <is>
          <t>-</t>
        </is>
      </c>
      <c r="I256" s="4" t="inlineStr">
        <is>
          <t>17:07</t>
        </is>
      </c>
      <c r="J256" s="29" t="inlineStr">
        <is>
          <t>17:07</t>
        </is>
      </c>
      <c r="K256" s="30" t="inlineStr">
        <is>
          <t>GİRİŞ_YOK_AKŞAM</t>
        </is>
      </c>
      <c r="L256" s="8" t="n">
        <v>7.5</v>
      </c>
      <c r="M256" s="8" t="n">
        <v>0</v>
      </c>
      <c r="N256" s="4" t="inlineStr">
        <is>
          <t>İK / Amir Onayında</t>
        </is>
      </c>
    </row>
    <row r="257">
      <c r="A257" s="4" t="n">
        <v>3382</v>
      </c>
      <c r="B257" s="4" t="inlineStr">
        <is>
          <t>21.10.2026</t>
        </is>
      </c>
      <c r="C257" s="4" t="inlineStr">
        <is>
          <t>Çarşamba</t>
        </is>
      </c>
      <c r="D257" s="4" t="inlineStr">
        <is>
          <t>01523</t>
        </is>
      </c>
      <c r="E257" s="4" t="inlineStr">
        <is>
          <t>01523</t>
        </is>
      </c>
      <c r="F257" s="29" t="inlineStr">
        <is>
          <t>SECAHET ABAKAY</t>
        </is>
      </c>
      <c r="G257" s="29" t="inlineStr">
        <is>
          <t>DİĞER</t>
        </is>
      </c>
      <c r="H257" s="4" t="inlineStr">
        <is>
          <t>-</t>
        </is>
      </c>
      <c r="I257" s="4" t="inlineStr">
        <is>
          <t>17:07</t>
        </is>
      </c>
      <c r="J257" s="29" t="inlineStr">
        <is>
          <t>17:07</t>
        </is>
      </c>
      <c r="K257" s="30" t="inlineStr">
        <is>
          <t>GİRİŞ_YOK_AKŞAM</t>
        </is>
      </c>
      <c r="L257" s="8" t="n">
        <v>7.5</v>
      </c>
      <c r="M257" s="8" t="n">
        <v>0</v>
      </c>
      <c r="N257" s="4" t="inlineStr">
        <is>
          <t>İK / Amir Onayında</t>
        </is>
      </c>
    </row>
    <row r="258">
      <c r="A258" s="4" t="n">
        <v>3402</v>
      </c>
      <c r="B258" s="4" t="inlineStr">
        <is>
          <t>7.10.2026</t>
        </is>
      </c>
      <c r="C258" s="4" t="inlineStr">
        <is>
          <t>Çarşamba</t>
        </is>
      </c>
      <c r="D258" s="4" t="inlineStr">
        <is>
          <t>00153</t>
        </is>
      </c>
      <c r="E258" s="4" t="inlineStr">
        <is>
          <t>00153</t>
        </is>
      </c>
      <c r="F258" s="29" t="inlineStr">
        <is>
          <t>SEHER ÖZDEN</t>
        </is>
      </c>
      <c r="G258" s="29" t="inlineStr">
        <is>
          <t>YEMEKHANE</t>
        </is>
      </c>
      <c r="H258" s="4" t="inlineStr">
        <is>
          <t>07:50</t>
        </is>
      </c>
      <c r="I258" s="4" t="inlineStr">
        <is>
          <t>07:46</t>
        </is>
      </c>
      <c r="J258" s="29" t="inlineStr">
        <is>
          <t>07:50, 17:21, 18:58, 07:46</t>
        </is>
      </c>
      <c r="K258" s="30" t="inlineStr">
        <is>
          <t>PARÇALI_ÇALIŞMA</t>
        </is>
      </c>
      <c r="L258" s="8" t="n">
        <v>19.5</v>
      </c>
      <c r="M258" s="8" t="n">
        <v>12</v>
      </c>
      <c r="N258" s="4" t="inlineStr">
        <is>
          <t>İK / Amir Onayında</t>
        </is>
      </c>
    </row>
    <row r="259">
      <c r="A259" s="4" t="n">
        <v>3418</v>
      </c>
      <c r="B259" s="4" t="inlineStr">
        <is>
          <t>2.10.2026</t>
        </is>
      </c>
      <c r="C259" s="4" t="inlineStr">
        <is>
          <t>Cuma</t>
        </is>
      </c>
      <c r="D259" s="4" t="inlineStr">
        <is>
          <t>00009</t>
        </is>
      </c>
      <c r="E259" s="4" t="inlineStr">
        <is>
          <t>00009</t>
        </is>
      </c>
      <c r="F259" s="29" t="inlineStr">
        <is>
          <t>SELAHATTİN SÖĞÜT</t>
        </is>
      </c>
      <c r="G259" s="29" t="inlineStr">
        <is>
          <t>ŞÖFÖR</t>
        </is>
      </c>
      <c r="H259" s="4" t="inlineStr">
        <is>
          <t>10:06</t>
        </is>
      </c>
      <c r="I259" s="4" t="inlineStr">
        <is>
          <t>19:29</t>
        </is>
      </c>
      <c r="J259" s="29" t="inlineStr">
        <is>
          <t>10:06, 19:29, 21:32</t>
        </is>
      </c>
      <c r="K259" s="30" t="inlineStr">
        <is>
          <t>ÇOKLU_BASIM_MIN_MAX</t>
        </is>
      </c>
      <c r="L259" s="8" t="n">
        <v>8</v>
      </c>
      <c r="M259" s="8" t="n">
        <v>2.5</v>
      </c>
      <c r="N259" s="4" t="inlineStr">
        <is>
          <t>İK / Amir Onayında</t>
        </is>
      </c>
    </row>
    <row r="260">
      <c r="A260" s="4" t="n">
        <v>3422</v>
      </c>
      <c r="B260" s="4" t="inlineStr">
        <is>
          <t>19.10.2026</t>
        </is>
      </c>
      <c r="C260" s="4" t="inlineStr">
        <is>
          <t>Pazartesi</t>
        </is>
      </c>
      <c r="D260" s="4" t="inlineStr">
        <is>
          <t>00009</t>
        </is>
      </c>
      <c r="E260" s="4" t="inlineStr">
        <is>
          <t>00009</t>
        </is>
      </c>
      <c r="F260" s="29" t="inlineStr">
        <is>
          <t>SELAHATTİN SÖĞÜT</t>
        </is>
      </c>
      <c r="G260" s="29" t="inlineStr">
        <is>
          <t>ŞÖFÖR</t>
        </is>
      </c>
      <c r="H260" s="4" t="inlineStr">
        <is>
          <t>08:07</t>
        </is>
      </c>
      <c r="I260" s="4" t="inlineStr">
        <is>
          <t>-</t>
        </is>
      </c>
      <c r="J260" s="29" t="inlineStr">
        <is>
          <t>08:07</t>
        </is>
      </c>
      <c r="K260" s="30" t="inlineStr">
        <is>
          <t>ÇIKIŞ_YOK</t>
        </is>
      </c>
      <c r="L260" s="8" t="n">
        <v>7.5</v>
      </c>
      <c r="M260" s="8" t="n">
        <v>0</v>
      </c>
      <c r="N260" s="4" t="inlineStr">
        <is>
          <t>İK / Amir Onayında</t>
        </is>
      </c>
    </row>
    <row r="261">
      <c r="A261" s="4" t="n">
        <v>3450</v>
      </c>
      <c r="B261" s="4" t="inlineStr">
        <is>
          <t>4.10.2026</t>
        </is>
      </c>
      <c r="C261" s="4" t="inlineStr">
        <is>
          <t>Pazar</t>
        </is>
      </c>
      <c r="D261" s="4" t="inlineStr">
        <is>
          <t>01069</t>
        </is>
      </c>
      <c r="E261" s="4" t="inlineStr">
        <is>
          <t>01069</t>
        </is>
      </c>
      <c r="F261" s="29" t="inlineStr">
        <is>
          <t>SELMA AYHAN</t>
        </is>
      </c>
      <c r="G261" s="29" t="inlineStr">
        <is>
          <t>ÜRETİM</t>
        </is>
      </c>
      <c r="H261" s="4" t="inlineStr">
        <is>
          <t>-</t>
        </is>
      </c>
      <c r="I261" s="4" t="inlineStr">
        <is>
          <t>00:02</t>
        </is>
      </c>
      <c r="J261" s="29" t="inlineStr">
        <is>
          <t>00:02</t>
        </is>
      </c>
      <c r="K261" s="30" t="inlineStr">
        <is>
          <t>GİRİŞ_YOK_AKŞAM</t>
        </is>
      </c>
      <c r="L261" s="8" t="n">
        <v>14.5</v>
      </c>
      <c r="M261" s="8" t="n">
        <v>7</v>
      </c>
      <c r="N261" s="4" t="inlineStr">
        <is>
          <t>İK / Amir Onayında</t>
        </is>
      </c>
    </row>
    <row r="262">
      <c r="A262" s="4" t="n">
        <v>3455</v>
      </c>
      <c r="B262" s="4" t="inlineStr">
        <is>
          <t>9.10.2026</t>
        </is>
      </c>
      <c r="C262" s="4" t="inlineStr">
        <is>
          <t>Cuma</t>
        </is>
      </c>
      <c r="D262" s="4" t="inlineStr">
        <is>
          <t>01069</t>
        </is>
      </c>
      <c r="E262" s="4" t="inlineStr">
        <is>
          <t>01069</t>
        </is>
      </c>
      <c r="F262" s="29" t="inlineStr">
        <is>
          <t>SELMA AYHAN</t>
        </is>
      </c>
      <c r="G262" s="29" t="inlineStr">
        <is>
          <t>ÜRETİM</t>
        </is>
      </c>
      <c r="H262" s="4" t="inlineStr">
        <is>
          <t>-</t>
        </is>
      </c>
      <c r="I262" s="4" t="inlineStr">
        <is>
          <t>00:04</t>
        </is>
      </c>
      <c r="J262" s="29" t="inlineStr">
        <is>
          <t>00:04</t>
        </is>
      </c>
      <c r="K262" s="30" t="inlineStr">
        <is>
          <t>GİRİŞ_YOK_AKŞAM</t>
        </is>
      </c>
      <c r="L262" s="8" t="n">
        <v>14.5</v>
      </c>
      <c r="M262" s="8" t="n">
        <v>7</v>
      </c>
      <c r="N262" s="4" t="inlineStr">
        <is>
          <t>İK / Amir Onayında</t>
        </is>
      </c>
    </row>
    <row r="263">
      <c r="A263" s="4" t="n">
        <v>3457</v>
      </c>
      <c r="B263" s="4" t="inlineStr">
        <is>
          <t>21.10.2026</t>
        </is>
      </c>
      <c r="C263" s="4" t="inlineStr">
        <is>
          <t>Çarşamba</t>
        </is>
      </c>
      <c r="D263" s="4" t="inlineStr">
        <is>
          <t>01069</t>
        </is>
      </c>
      <c r="E263" s="4" t="inlineStr">
        <is>
          <t>01069</t>
        </is>
      </c>
      <c r="F263" s="29" t="inlineStr">
        <is>
          <t>SELMA AYHAN</t>
        </is>
      </c>
      <c r="G263" s="29" t="inlineStr">
        <is>
          <t>ÜRETİM</t>
        </is>
      </c>
      <c r="H263" s="4" t="inlineStr">
        <is>
          <t>15:50</t>
        </is>
      </c>
      <c r="I263" s="4" t="inlineStr">
        <is>
          <t>-</t>
        </is>
      </c>
      <c r="J263" s="29" t="inlineStr">
        <is>
          <t>15:50</t>
        </is>
      </c>
      <c r="K263" s="30" t="inlineStr">
        <is>
          <t>ÇIKIŞ_YOK</t>
        </is>
      </c>
      <c r="L263" s="8" t="n">
        <v>7.5</v>
      </c>
      <c r="M263" s="8" t="n">
        <v>0</v>
      </c>
      <c r="N263" s="4" t="inlineStr">
        <is>
          <t>İK / Amir Onayında</t>
        </is>
      </c>
    </row>
    <row r="264">
      <c r="A264" s="4" t="n">
        <v>3487</v>
      </c>
      <c r="B264" s="4" t="inlineStr">
        <is>
          <t>21.10.2026</t>
        </is>
      </c>
      <c r="C264" s="4" t="inlineStr">
        <is>
          <t>Çarşamba</t>
        </is>
      </c>
      <c r="D264" s="4" t="inlineStr">
        <is>
          <t>00724</t>
        </is>
      </c>
      <c r="E264" s="4" t="inlineStr">
        <is>
          <t>00724</t>
        </is>
      </c>
      <c r="F264" s="29" t="inlineStr">
        <is>
          <t>SEMANUR GÜLIŞIK</t>
        </is>
      </c>
      <c r="G264" s="29" t="inlineStr">
        <is>
          <t>FORMEN</t>
        </is>
      </c>
      <c r="H264" s="4" t="inlineStr">
        <is>
          <t>07:44</t>
        </is>
      </c>
      <c r="I264" s="4" t="inlineStr">
        <is>
          <t>17:25</t>
        </is>
      </c>
      <c r="J264" s="29" t="inlineStr">
        <is>
          <t>07:44, 17:06, 17:25</t>
        </is>
      </c>
      <c r="K264" s="30" t="inlineStr">
        <is>
          <t>ÇOKLU_BASIM_MIN_MAX</t>
        </is>
      </c>
      <c r="L264" s="8" t="n">
        <v>8</v>
      </c>
      <c r="M264" s="8" t="n">
        <v>0.5</v>
      </c>
      <c r="N264" s="4" t="inlineStr">
        <is>
          <t>İK / Amir Onayında</t>
        </is>
      </c>
    </row>
    <row r="265">
      <c r="A265" s="4" t="n">
        <v>3508</v>
      </c>
      <c r="B265" s="4" t="inlineStr">
        <is>
          <t>2.10.2026</t>
        </is>
      </c>
      <c r="C265" s="4" t="inlineStr">
        <is>
          <t>Cuma</t>
        </is>
      </c>
      <c r="D265" s="4" t="inlineStr">
        <is>
          <t>01455</t>
        </is>
      </c>
      <c r="E265" s="4" t="inlineStr">
        <is>
          <t>01455</t>
        </is>
      </c>
      <c r="F265" s="29" t="inlineStr">
        <is>
          <t>SERGEN SEPETÇİ</t>
        </is>
      </c>
      <c r="G265" s="29" t="inlineStr">
        <is>
          <t>DİĞER</t>
        </is>
      </c>
      <c r="H265" s="4" t="inlineStr">
        <is>
          <t>-</t>
        </is>
      </c>
      <c r="I265" s="4" t="inlineStr">
        <is>
          <t>07:51</t>
        </is>
      </c>
      <c r="J265" s="29" t="inlineStr">
        <is>
          <t>07:51</t>
        </is>
      </c>
      <c r="K265" s="30" t="inlineStr">
        <is>
          <t>GİRİŞ_YOK_AKŞAM</t>
        </is>
      </c>
      <c r="L265" s="8" t="n">
        <v>22.5</v>
      </c>
      <c r="M265" s="8" t="n">
        <v>15</v>
      </c>
      <c r="N265" s="4" t="inlineStr">
        <is>
          <t>İK / Amir Onayında</t>
        </is>
      </c>
    </row>
    <row r="266">
      <c r="A266" s="4" t="n">
        <v>3515</v>
      </c>
      <c r="B266" s="4" t="inlineStr">
        <is>
          <t>12.10.2026</t>
        </is>
      </c>
      <c r="C266" s="4" t="inlineStr">
        <is>
          <t>Pazartesi</t>
        </is>
      </c>
      <c r="D266" s="4" t="inlineStr">
        <is>
          <t>01455</t>
        </is>
      </c>
      <c r="E266" s="4" t="inlineStr">
        <is>
          <t>01455</t>
        </is>
      </c>
      <c r="F266" s="29" t="inlineStr">
        <is>
          <t>SERGEN SEPETÇİ</t>
        </is>
      </c>
      <c r="G266" s="29" t="inlineStr">
        <is>
          <t>DİĞER</t>
        </is>
      </c>
      <c r="H266" s="4" t="inlineStr">
        <is>
          <t>08:10</t>
        </is>
      </c>
      <c r="I266" s="4" t="inlineStr">
        <is>
          <t>07:53</t>
        </is>
      </c>
      <c r="J266" s="29" t="inlineStr">
        <is>
          <t>08:10, 20:04, 20:06, 07:53</t>
        </is>
      </c>
      <c r="K266" s="30" t="inlineStr">
        <is>
          <t>PARÇALI_ÇALIŞMA</t>
        </is>
      </c>
      <c r="L266" s="8" t="n">
        <v>21</v>
      </c>
      <c r="M266" s="8" t="n">
        <v>13.5</v>
      </c>
      <c r="N266" s="4" t="inlineStr">
        <is>
          <t>İK / Amir Onayında</t>
        </is>
      </c>
    </row>
    <row r="267">
      <c r="A267" s="4" t="n">
        <v>3527</v>
      </c>
      <c r="B267" s="4" t="inlineStr">
        <is>
          <t>15.10.2026</t>
        </is>
      </c>
      <c r="C267" s="4" t="inlineStr">
        <is>
          <t>Perşembe</t>
        </is>
      </c>
      <c r="D267" s="4" t="inlineStr">
        <is>
          <t>01129</t>
        </is>
      </c>
      <c r="E267" s="4" t="inlineStr">
        <is>
          <t>01129</t>
        </is>
      </c>
      <c r="F267" s="29" t="inlineStr">
        <is>
          <t>SERKAN YUMİTKEN</t>
        </is>
      </c>
      <c r="G267" s="29" t="inlineStr">
        <is>
          <t>ÜRETİM</t>
        </is>
      </c>
      <c r="H267" s="4" t="inlineStr">
        <is>
          <t>08:05</t>
        </is>
      </c>
      <c r="I267" s="4" t="inlineStr">
        <is>
          <t>-</t>
        </is>
      </c>
      <c r="J267" s="29" t="inlineStr">
        <is>
          <t>08:05</t>
        </is>
      </c>
      <c r="K267" s="30" t="inlineStr">
        <is>
          <t>ÇIKIŞ_YOK</t>
        </is>
      </c>
      <c r="L267" s="8" t="n">
        <v>7.5</v>
      </c>
      <c r="M267" s="8" t="n">
        <v>0</v>
      </c>
      <c r="N267" s="4" t="inlineStr">
        <is>
          <t>İK / Amir Onayında</t>
        </is>
      </c>
    </row>
    <row r="268">
      <c r="A268" s="4" t="n">
        <v>3533</v>
      </c>
      <c r="B268" s="4" t="inlineStr">
        <is>
          <t>1.10.2026</t>
        </is>
      </c>
      <c r="C268" s="4" t="inlineStr">
        <is>
          <t>Perşembe</t>
        </is>
      </c>
      <c r="D268" s="4" t="inlineStr">
        <is>
          <t>01361</t>
        </is>
      </c>
      <c r="E268" s="4" t="inlineStr">
        <is>
          <t>01361</t>
        </is>
      </c>
      <c r="F268" s="29" t="inlineStr">
        <is>
          <t>SERPİL İİPEK</t>
        </is>
      </c>
      <c r="G268" s="29" t="inlineStr">
        <is>
          <t>HALİL DİĞRENCİ</t>
        </is>
      </c>
      <c r="H268" s="4" t="inlineStr">
        <is>
          <t>07:51</t>
        </is>
      </c>
      <c r="I268" s="4" t="inlineStr">
        <is>
          <t>-</t>
        </is>
      </c>
      <c r="J268" s="29" t="inlineStr">
        <is>
          <t>07:51</t>
        </is>
      </c>
      <c r="K268" s="30" t="inlineStr">
        <is>
          <t>ÇIKIŞ_YOK</t>
        </is>
      </c>
      <c r="L268" s="8" t="n">
        <v>7.5</v>
      </c>
      <c r="M268" s="8" t="n">
        <v>0</v>
      </c>
      <c r="N268" s="4" t="inlineStr">
        <is>
          <t>İK / Amir Onayında</t>
        </is>
      </c>
    </row>
    <row r="269">
      <c r="A269" s="4" t="n">
        <v>3535</v>
      </c>
      <c r="B269" s="4" t="inlineStr">
        <is>
          <t>3.10.2026</t>
        </is>
      </c>
      <c r="C269" s="4" t="inlineStr">
        <is>
          <t>Cumartesi</t>
        </is>
      </c>
      <c r="D269" s="4" t="inlineStr">
        <is>
          <t>01361</t>
        </is>
      </c>
      <c r="E269" s="4" t="inlineStr">
        <is>
          <t>01361</t>
        </is>
      </c>
      <c r="F269" s="29" t="inlineStr">
        <is>
          <t>SERPİL İİPEK</t>
        </is>
      </c>
      <c r="G269" s="29" t="inlineStr">
        <is>
          <t>HALİL DİĞRENCİ</t>
        </is>
      </c>
      <c r="H269" s="4" t="inlineStr">
        <is>
          <t>07:47</t>
        </is>
      </c>
      <c r="I269" s="4" t="inlineStr">
        <is>
          <t>-</t>
        </is>
      </c>
      <c r="J269" s="29" t="inlineStr">
        <is>
          <t>07:47</t>
        </is>
      </c>
      <c r="K269" s="30" t="inlineStr">
        <is>
          <t>ÇIKIŞ_YOK</t>
        </is>
      </c>
      <c r="L269" s="8" t="n">
        <v>7.5</v>
      </c>
      <c r="M269" s="8" t="n">
        <v>0</v>
      </c>
      <c r="N269" s="4" t="inlineStr">
        <is>
          <t>İK / Amir Onayında</t>
        </is>
      </c>
    </row>
    <row r="270">
      <c r="A270" s="4" t="n">
        <v>3580</v>
      </c>
      <c r="B270" s="4" t="inlineStr">
        <is>
          <t>2.10.2026</t>
        </is>
      </c>
      <c r="C270" s="4" t="inlineStr">
        <is>
          <t>Cuma</t>
        </is>
      </c>
      <c r="D270" s="4" t="inlineStr">
        <is>
          <t>01456</t>
        </is>
      </c>
      <c r="E270" s="4" t="inlineStr">
        <is>
          <t>01456</t>
        </is>
      </c>
      <c r="F270" s="29" t="inlineStr">
        <is>
          <t>SEVİLAY GÖKGÖZ</t>
        </is>
      </c>
      <c r="G270" s="29" t="inlineStr">
        <is>
          <t>DİĞER</t>
        </is>
      </c>
      <c r="H270" s="4" t="inlineStr">
        <is>
          <t>-</t>
        </is>
      </c>
      <c r="I270" s="4" t="inlineStr">
        <is>
          <t>20:02</t>
        </is>
      </c>
      <c r="J270" s="29" t="inlineStr">
        <is>
          <t>20:02</t>
        </is>
      </c>
      <c r="K270" s="30" t="inlineStr">
        <is>
          <t>GİRİŞ_YOK_AKŞAM</t>
        </is>
      </c>
      <c r="L270" s="8" t="n">
        <v>10.5</v>
      </c>
      <c r="M270" s="8" t="n">
        <v>3</v>
      </c>
      <c r="N270" s="4" t="inlineStr">
        <is>
          <t>İK / Amir Onayında</t>
        </is>
      </c>
    </row>
    <row r="271">
      <c r="A271" s="4" t="n">
        <v>3585</v>
      </c>
      <c r="B271" s="4" t="inlineStr">
        <is>
          <t>8.10.2026</t>
        </is>
      </c>
      <c r="C271" s="4" t="inlineStr">
        <is>
          <t>Perşembe</t>
        </is>
      </c>
      <c r="D271" s="4" t="inlineStr">
        <is>
          <t>01456</t>
        </is>
      </c>
      <c r="E271" s="4" t="inlineStr">
        <is>
          <t>01456</t>
        </is>
      </c>
      <c r="F271" s="29" t="inlineStr">
        <is>
          <t>SEVİLAY GÖKGÖZ</t>
        </is>
      </c>
      <c r="G271" s="29" t="inlineStr">
        <is>
          <t>DİĞER</t>
        </is>
      </c>
      <c r="H271" s="4" t="inlineStr">
        <is>
          <t>07:52</t>
        </is>
      </c>
      <c r="I271" s="4" t="inlineStr">
        <is>
          <t>07:53</t>
        </is>
      </c>
      <c r="J271" s="29" t="inlineStr">
        <is>
          <t>07:52, 07:53, 20:00</t>
        </is>
      </c>
      <c r="K271" s="30" t="inlineStr">
        <is>
          <t>ÇOKLU_BASIM_MIN_MAX</t>
        </is>
      </c>
      <c r="L271" s="8" t="n">
        <v>7.5</v>
      </c>
      <c r="M271" s="8" t="n">
        <v>0</v>
      </c>
      <c r="N271" s="4" t="inlineStr">
        <is>
          <t>İK / Amir Onayında</t>
        </is>
      </c>
    </row>
    <row r="272">
      <c r="A272" s="4" t="n">
        <v>3620</v>
      </c>
      <c r="B272" s="4" t="inlineStr">
        <is>
          <t>21.10.2026</t>
        </is>
      </c>
      <c r="C272" s="4" t="inlineStr">
        <is>
          <t>Çarşamba</t>
        </is>
      </c>
      <c r="D272" s="4" t="inlineStr">
        <is>
          <t>01066</t>
        </is>
      </c>
      <c r="E272" s="4" t="inlineStr">
        <is>
          <t>01066</t>
        </is>
      </c>
      <c r="F272" s="29" t="inlineStr">
        <is>
          <t>SEZGİN YILDIRIM</t>
        </is>
      </c>
      <c r="G272" s="29" t="inlineStr">
        <is>
          <t>ÜRETİM</t>
        </is>
      </c>
      <c r="H272" s="4" t="inlineStr">
        <is>
          <t>15:51</t>
        </is>
      </c>
      <c r="I272" s="4" t="inlineStr">
        <is>
          <t>-</t>
        </is>
      </c>
      <c r="J272" s="29" t="inlineStr">
        <is>
          <t>15:51</t>
        </is>
      </c>
      <c r="K272" s="30" t="inlineStr">
        <is>
          <t>ÇIKIŞ_YOK</t>
        </is>
      </c>
      <c r="L272" s="8" t="n">
        <v>7.5</v>
      </c>
      <c r="M272" s="8" t="n">
        <v>0</v>
      </c>
      <c r="N272" s="4" t="inlineStr">
        <is>
          <t>İK / Amir Onayında</t>
        </is>
      </c>
    </row>
    <row r="273">
      <c r="A273" s="4" t="n">
        <v>3642</v>
      </c>
      <c r="B273" s="4" t="inlineStr">
        <is>
          <t>4.10.2026</t>
        </is>
      </c>
      <c r="C273" s="4" t="inlineStr">
        <is>
          <t>Pazar</t>
        </is>
      </c>
      <c r="D273" s="4" t="inlineStr">
        <is>
          <t>00170</t>
        </is>
      </c>
      <c r="E273" s="4" t="inlineStr">
        <is>
          <t>00170</t>
        </is>
      </c>
      <c r="F273" s="29" t="inlineStr">
        <is>
          <t>SİBEL ÇÇAKIR</t>
        </is>
      </c>
      <c r="G273" s="29" t="inlineStr">
        <is>
          <t>ÜRETİM</t>
        </is>
      </c>
      <c r="H273" s="4" t="inlineStr">
        <is>
          <t>-</t>
        </is>
      </c>
      <c r="I273" s="4" t="inlineStr">
        <is>
          <t>00:03</t>
        </is>
      </c>
      <c r="J273" s="29" t="inlineStr">
        <is>
          <t>00:03</t>
        </is>
      </c>
      <c r="K273" s="30" t="inlineStr">
        <is>
          <t>GİRİŞ_YOK_AKŞAM</t>
        </is>
      </c>
      <c r="L273" s="8" t="n">
        <v>14.5</v>
      </c>
      <c r="M273" s="8" t="n">
        <v>7</v>
      </c>
      <c r="N273" s="4" t="inlineStr">
        <is>
          <t>İK / Amir Onayında</t>
        </is>
      </c>
    </row>
    <row r="274">
      <c r="A274" s="4" t="n">
        <v>3650</v>
      </c>
      <c r="B274" s="4" t="inlineStr">
        <is>
          <t>13.10.2026</t>
        </is>
      </c>
      <c r="C274" s="4" t="inlineStr">
        <is>
          <t>Salı</t>
        </is>
      </c>
      <c r="D274" s="4" t="inlineStr">
        <is>
          <t>00170</t>
        </is>
      </c>
      <c r="E274" s="4" t="inlineStr">
        <is>
          <t>00170</t>
        </is>
      </c>
      <c r="F274" s="29" t="inlineStr">
        <is>
          <t>SİBEL ÇÇAKIR</t>
        </is>
      </c>
      <c r="G274" s="29" t="inlineStr">
        <is>
          <t>ÜRETİM</t>
        </is>
      </c>
      <c r="H274" s="4" t="inlineStr">
        <is>
          <t>15:54</t>
        </is>
      </c>
      <c r="I274" s="4" t="inlineStr">
        <is>
          <t>00:04</t>
        </is>
      </c>
      <c r="J274" s="29" t="inlineStr">
        <is>
          <t>00:02, 15:54, 00:04</t>
        </is>
      </c>
      <c r="K274" s="30" t="inlineStr">
        <is>
          <t>ÇOKLU_BASIM_MIN_MAX</t>
        </is>
      </c>
      <c r="L274" s="8" t="n">
        <v>7.5</v>
      </c>
      <c r="M274" s="8" t="n">
        <v>0</v>
      </c>
      <c r="N274" s="4" t="inlineStr">
        <is>
          <t>İK / Amir Onayında</t>
        </is>
      </c>
    </row>
    <row r="275">
      <c r="A275" s="4" t="n">
        <v>3657</v>
      </c>
      <c r="B275" s="4" t="inlineStr">
        <is>
          <t>21.10.2026</t>
        </is>
      </c>
      <c r="C275" s="4" t="inlineStr">
        <is>
          <t>Çarşamba</t>
        </is>
      </c>
      <c r="D275" s="4" t="inlineStr">
        <is>
          <t>00170</t>
        </is>
      </c>
      <c r="E275" s="4" t="inlineStr">
        <is>
          <t>00170</t>
        </is>
      </c>
      <c r="F275" s="29" t="inlineStr">
        <is>
          <t>SİBEL ÇÇAKIR</t>
        </is>
      </c>
      <c r="G275" s="29" t="inlineStr">
        <is>
          <t>ÜRETİM</t>
        </is>
      </c>
      <c r="H275" s="4" t="inlineStr">
        <is>
          <t>15:50</t>
        </is>
      </c>
      <c r="I275" s="4" t="inlineStr">
        <is>
          <t>-</t>
        </is>
      </c>
      <c r="J275" s="29" t="inlineStr">
        <is>
          <t>15:50</t>
        </is>
      </c>
      <c r="K275" s="30" t="inlineStr">
        <is>
          <t>ÇIKIŞ_YOK</t>
        </is>
      </c>
      <c r="L275" s="8" t="n">
        <v>7.5</v>
      </c>
      <c r="M275" s="8" t="n">
        <v>0</v>
      </c>
      <c r="N275" s="4" t="inlineStr">
        <is>
          <t>İK / Amir Onayında</t>
        </is>
      </c>
    </row>
    <row r="276">
      <c r="A276" s="4" t="n">
        <v>3659</v>
      </c>
      <c r="B276" s="4" t="inlineStr">
        <is>
          <t>2.10.2026</t>
        </is>
      </c>
      <c r="C276" s="4" t="inlineStr">
        <is>
          <t>Cuma</t>
        </is>
      </c>
      <c r="D276" s="4" t="inlineStr">
        <is>
          <t>01457</t>
        </is>
      </c>
      <c r="E276" s="4" t="inlineStr">
        <is>
          <t>01457</t>
        </is>
      </c>
      <c r="F276" s="29" t="inlineStr">
        <is>
          <t>SİNAN BAYINDIR</t>
        </is>
      </c>
      <c r="G276" s="29" t="inlineStr">
        <is>
          <t>DİĞER</t>
        </is>
      </c>
      <c r="H276" s="4" t="inlineStr">
        <is>
          <t>19:45</t>
        </is>
      </c>
      <c r="I276" s="4" t="inlineStr">
        <is>
          <t>07:54</t>
        </is>
      </c>
      <c r="J276" s="29" t="inlineStr">
        <is>
          <t>07:50, 19:45, 07:54</t>
        </is>
      </c>
      <c r="K276" s="30" t="inlineStr">
        <is>
          <t>ÇOKLU_BASIM_MIN_MAX</t>
        </is>
      </c>
      <c r="L276" s="8" t="n">
        <v>10.5</v>
      </c>
      <c r="M276" s="8" t="n">
        <v>3</v>
      </c>
      <c r="N276" s="4" t="inlineStr">
        <is>
          <t>İK / Amir Onayında</t>
        </is>
      </c>
    </row>
    <row r="277">
      <c r="A277" s="4" t="n">
        <v>3673</v>
      </c>
      <c r="B277" s="4" t="inlineStr">
        <is>
          <t>4.10.2026</t>
        </is>
      </c>
      <c r="C277" s="4" t="inlineStr">
        <is>
          <t>Pazar</t>
        </is>
      </c>
      <c r="D277" s="4" t="inlineStr">
        <is>
          <t>00176</t>
        </is>
      </c>
      <c r="E277" s="4" t="inlineStr">
        <is>
          <t>00176</t>
        </is>
      </c>
      <c r="F277" s="29" t="inlineStr">
        <is>
          <t>ŞADİ BAŞARICI</t>
        </is>
      </c>
      <c r="G277" s="29" t="inlineStr">
        <is>
          <t>BAKIM</t>
        </is>
      </c>
      <c r="H277" s="4" t="inlineStr">
        <is>
          <t>23:30</t>
        </is>
      </c>
      <c r="I277" s="4" t="inlineStr">
        <is>
          <t>08:41</t>
        </is>
      </c>
      <c r="J277" s="29" t="inlineStr">
        <is>
          <t>10:13, 23:30, 08:41</t>
        </is>
      </c>
      <c r="K277" s="30" t="inlineStr">
        <is>
          <t>ÇOKLU_BASIM_MIN_MAX</t>
        </is>
      </c>
      <c r="L277" s="8" t="n">
        <v>8</v>
      </c>
      <c r="M277" s="8" t="n">
        <v>0.5</v>
      </c>
      <c r="N277" s="4" t="inlineStr">
        <is>
          <t>İK / Amir Onayında</t>
        </is>
      </c>
    </row>
    <row r="278">
      <c r="A278" s="4" t="n">
        <v>3688</v>
      </c>
      <c r="B278" s="4" t="inlineStr">
        <is>
          <t>21.10.2026</t>
        </is>
      </c>
      <c r="C278" s="4" t="inlineStr">
        <is>
          <t>Çarşamba</t>
        </is>
      </c>
      <c r="D278" s="4" t="inlineStr">
        <is>
          <t>00176</t>
        </is>
      </c>
      <c r="E278" s="4" t="inlineStr">
        <is>
          <t>00176</t>
        </is>
      </c>
      <c r="F278" s="29" t="inlineStr">
        <is>
          <t>ŞADİ BAŞARICI</t>
        </is>
      </c>
      <c r="G278" s="29" t="inlineStr">
        <is>
          <t>BAKIM</t>
        </is>
      </c>
      <c r="H278" s="4" t="inlineStr">
        <is>
          <t>15:57</t>
        </is>
      </c>
      <c r="I278" s="4" t="inlineStr">
        <is>
          <t>-</t>
        </is>
      </c>
      <c r="J278" s="29" t="inlineStr">
        <is>
          <t>15:57</t>
        </is>
      </c>
      <c r="K278" s="30" t="inlineStr">
        <is>
          <t>ÇIKIŞ_YOK</t>
        </is>
      </c>
      <c r="L278" s="8" t="n">
        <v>7.5</v>
      </c>
      <c r="M278" s="8" t="n">
        <v>0</v>
      </c>
      <c r="N278" s="4" t="inlineStr">
        <is>
          <t>İK / Amir Onayında</t>
        </is>
      </c>
    </row>
    <row r="279">
      <c r="A279" s="4" t="n">
        <v>3718</v>
      </c>
      <c r="B279" s="4" t="inlineStr">
        <is>
          <t>3.10.2026</t>
        </is>
      </c>
      <c r="C279" s="4" t="inlineStr">
        <is>
          <t>Cumartesi</t>
        </is>
      </c>
      <c r="D279" s="4" t="inlineStr">
        <is>
          <t>01379</t>
        </is>
      </c>
      <c r="E279" s="4" t="inlineStr">
        <is>
          <t>01379</t>
        </is>
      </c>
      <c r="F279" s="29" t="inlineStr">
        <is>
          <t>ŞARİSTAN AYDIN</t>
        </is>
      </c>
      <c r="G279" s="29" t="inlineStr">
        <is>
          <t>HALİL DİĞRENCİ</t>
        </is>
      </c>
      <c r="H279" s="4" t="inlineStr">
        <is>
          <t>-</t>
        </is>
      </c>
      <c r="I279" s="4" t="inlineStr">
        <is>
          <t>17:07</t>
        </is>
      </c>
      <c r="J279" s="29" t="inlineStr">
        <is>
          <t>17:07</t>
        </is>
      </c>
      <c r="K279" s="30" t="inlineStr">
        <is>
          <t>GİRİŞ_YOK_AKŞAM</t>
        </is>
      </c>
      <c r="L279" s="8" t="n">
        <v>7.5</v>
      </c>
      <c r="M279" s="8" t="n">
        <v>0</v>
      </c>
      <c r="N279" s="4" t="inlineStr">
        <is>
          <t>İK / Amir Onayında</t>
        </is>
      </c>
    </row>
    <row r="280">
      <c r="A280" s="4" t="n">
        <v>3720</v>
      </c>
      <c r="B280" s="4" t="inlineStr">
        <is>
          <t>6.10.2026</t>
        </is>
      </c>
      <c r="C280" s="4" t="inlineStr">
        <is>
          <t>Salı</t>
        </is>
      </c>
      <c r="D280" s="4" t="inlineStr">
        <is>
          <t>01379</t>
        </is>
      </c>
      <c r="E280" s="4" t="inlineStr">
        <is>
          <t>01379</t>
        </is>
      </c>
      <c r="F280" s="29" t="inlineStr">
        <is>
          <t>ŞARİSTAN AYDIN</t>
        </is>
      </c>
      <c r="G280" s="29" t="inlineStr">
        <is>
          <t>HALİL DİĞRENCİ</t>
        </is>
      </c>
      <c r="H280" s="4" t="inlineStr">
        <is>
          <t>-</t>
        </is>
      </c>
      <c r="I280" s="4" t="inlineStr">
        <is>
          <t>17:07</t>
        </is>
      </c>
      <c r="J280" s="29" t="inlineStr">
        <is>
          <t>17:07</t>
        </is>
      </c>
      <c r="K280" s="30" t="inlineStr">
        <is>
          <t>GİRİŞ_YOK_AKŞAM</t>
        </is>
      </c>
      <c r="L280" s="8" t="n">
        <v>7.5</v>
      </c>
      <c r="M280" s="8" t="n">
        <v>0</v>
      </c>
      <c r="N280" s="4" t="inlineStr">
        <is>
          <t>İK / Amir Onayında</t>
        </is>
      </c>
    </row>
    <row r="281">
      <c r="A281" s="4" t="n">
        <v>3723</v>
      </c>
      <c r="B281" s="4" t="inlineStr">
        <is>
          <t>9.10.2026</t>
        </is>
      </c>
      <c r="C281" s="4" t="inlineStr">
        <is>
          <t>Cuma</t>
        </is>
      </c>
      <c r="D281" s="4" t="inlineStr">
        <is>
          <t>01379</t>
        </is>
      </c>
      <c r="E281" s="4" t="inlineStr">
        <is>
          <t>01379</t>
        </is>
      </c>
      <c r="F281" s="29" t="inlineStr">
        <is>
          <t>ŞARİSTAN AYDIN</t>
        </is>
      </c>
      <c r="G281" s="29" t="inlineStr">
        <is>
          <t>HALİL DİĞRENCİ</t>
        </is>
      </c>
      <c r="H281" s="4" t="inlineStr">
        <is>
          <t>12:12</t>
        </is>
      </c>
      <c r="I281" s="4" t="inlineStr">
        <is>
          <t>20:08</t>
        </is>
      </c>
      <c r="J281" s="29" t="inlineStr">
        <is>
          <t>12:12, 12:13, 20:08</t>
        </is>
      </c>
      <c r="K281" s="30" t="inlineStr">
        <is>
          <t>ÇOKLU_BASIM_MIN_MAX</t>
        </is>
      </c>
      <c r="L281" s="8" t="n">
        <v>0</v>
      </c>
      <c r="M281" s="8" t="n">
        <v>0</v>
      </c>
      <c r="N281" s="4" t="inlineStr">
        <is>
          <t>İK / Amir Onayında</t>
        </is>
      </c>
    </row>
    <row r="282">
      <c r="A282" s="4" t="n">
        <v>3738</v>
      </c>
      <c r="B282" s="4" t="inlineStr">
        <is>
          <t>3.10.2026</t>
        </is>
      </c>
      <c r="C282" s="4" t="inlineStr">
        <is>
          <t>Cumartesi</t>
        </is>
      </c>
      <c r="D282" s="4" t="inlineStr">
        <is>
          <t>01161</t>
        </is>
      </c>
      <c r="E282" s="4" t="inlineStr">
        <is>
          <t>01161</t>
        </is>
      </c>
      <c r="F282" s="29" t="inlineStr">
        <is>
          <t>ŞENGÜL ALEMİN</t>
        </is>
      </c>
      <c r="G282" s="29" t="inlineStr">
        <is>
          <t>ÜRETİM</t>
        </is>
      </c>
      <c r="H282" s="4" t="inlineStr">
        <is>
          <t>19:54</t>
        </is>
      </c>
      <c r="I282" s="4" t="inlineStr">
        <is>
          <t>-</t>
        </is>
      </c>
      <c r="J282" s="29" t="inlineStr">
        <is>
          <t>19:54</t>
        </is>
      </c>
      <c r="K282" s="30" t="inlineStr">
        <is>
          <t>ÇIKIŞ_YOK</t>
        </is>
      </c>
      <c r="L282" s="8" t="n">
        <v>7.5</v>
      </c>
      <c r="M282" s="8" t="n">
        <v>0</v>
      </c>
      <c r="N282" s="4" t="inlineStr">
        <is>
          <t>İK / Amir Onayında</t>
        </is>
      </c>
    </row>
    <row r="283">
      <c r="A283" s="4" t="n">
        <v>3739</v>
      </c>
      <c r="B283" s="4" t="inlineStr">
        <is>
          <t>4.10.2026</t>
        </is>
      </c>
      <c r="C283" s="4" t="inlineStr">
        <is>
          <t>Pazar</t>
        </is>
      </c>
      <c r="D283" s="4" t="inlineStr">
        <is>
          <t>01161</t>
        </is>
      </c>
      <c r="E283" s="4" t="inlineStr">
        <is>
          <t>01161</t>
        </is>
      </c>
      <c r="F283" s="29" t="inlineStr">
        <is>
          <t>ŞENGÜL ALEMİN</t>
        </is>
      </c>
      <c r="G283" s="29" t="inlineStr">
        <is>
          <t>ÜRETİM</t>
        </is>
      </c>
      <c r="H283" s="4" t="inlineStr">
        <is>
          <t>19:55</t>
        </is>
      </c>
      <c r="I283" s="4" t="inlineStr">
        <is>
          <t>-</t>
        </is>
      </c>
      <c r="J283" s="29" t="inlineStr">
        <is>
          <t>19:55</t>
        </is>
      </c>
      <c r="K283" s="30" t="inlineStr">
        <is>
          <t>ÇIKIŞ_YOK</t>
        </is>
      </c>
      <c r="L283" s="8" t="n">
        <v>7.5</v>
      </c>
      <c r="M283" s="8" t="n">
        <v>0</v>
      </c>
      <c r="N283" s="4" t="inlineStr">
        <is>
          <t>İK / Amir Onayında</t>
        </is>
      </c>
    </row>
    <row r="284">
      <c r="A284" s="4" t="n">
        <v>3742</v>
      </c>
      <c r="B284" s="4" t="inlineStr">
        <is>
          <t>10.10.2026</t>
        </is>
      </c>
      <c r="C284" s="4" t="inlineStr">
        <is>
          <t>Cumartesi</t>
        </is>
      </c>
      <c r="D284" s="4" t="inlineStr">
        <is>
          <t>01161</t>
        </is>
      </c>
      <c r="E284" s="4" t="inlineStr">
        <is>
          <t>01161</t>
        </is>
      </c>
      <c r="F284" s="29" t="inlineStr">
        <is>
          <t>ŞENGÜL ALEMİN</t>
        </is>
      </c>
      <c r="G284" s="29" t="inlineStr">
        <is>
          <t>ÜRETİM</t>
        </is>
      </c>
      <c r="H284" s="4" t="inlineStr">
        <is>
          <t>19:52</t>
        </is>
      </c>
      <c r="I284" s="4" t="inlineStr">
        <is>
          <t>-</t>
        </is>
      </c>
      <c r="J284" s="29" t="inlineStr">
        <is>
          <t>19:52</t>
        </is>
      </c>
      <c r="K284" s="30" t="inlineStr">
        <is>
          <t>ÇIKIŞ_YOK</t>
        </is>
      </c>
      <c r="L284" s="8" t="n">
        <v>7.5</v>
      </c>
      <c r="M284" s="8" t="n">
        <v>0</v>
      </c>
      <c r="N284" s="4" t="inlineStr">
        <is>
          <t>İK / Amir Onayında</t>
        </is>
      </c>
    </row>
    <row r="285">
      <c r="A285" s="4" t="n">
        <v>3744</v>
      </c>
      <c r="B285" s="4" t="inlineStr">
        <is>
          <t>13.10.2026</t>
        </is>
      </c>
      <c r="C285" s="4" t="inlineStr">
        <is>
          <t>Salı</t>
        </is>
      </c>
      <c r="D285" s="4" t="inlineStr">
        <is>
          <t>01161</t>
        </is>
      </c>
      <c r="E285" s="4" t="inlineStr">
        <is>
          <t>01161</t>
        </is>
      </c>
      <c r="F285" s="29" t="inlineStr">
        <is>
          <t>ŞENGÜL ALEMİN</t>
        </is>
      </c>
      <c r="G285" s="29" t="inlineStr">
        <is>
          <t>ÜRETİM</t>
        </is>
      </c>
      <c r="H285" s="4" t="inlineStr">
        <is>
          <t>19:54</t>
        </is>
      </c>
      <c r="I285" s="4" t="inlineStr">
        <is>
          <t>-</t>
        </is>
      </c>
      <c r="J285" s="29" t="inlineStr">
        <is>
          <t>19:54</t>
        </is>
      </c>
      <c r="K285" s="30" t="inlineStr">
        <is>
          <t>ÇIKIŞ_YOK</t>
        </is>
      </c>
      <c r="L285" s="8" t="n">
        <v>7.5</v>
      </c>
      <c r="M285" s="8" t="n">
        <v>0</v>
      </c>
      <c r="N285" s="4" t="inlineStr">
        <is>
          <t>İK / Amir Onayında</t>
        </is>
      </c>
    </row>
    <row r="286">
      <c r="A286" s="4" t="n">
        <v>3764</v>
      </c>
      <c r="B286" s="4" t="inlineStr">
        <is>
          <t>2.10.2026</t>
        </is>
      </c>
      <c r="C286" s="4" t="inlineStr">
        <is>
          <t>Cuma</t>
        </is>
      </c>
      <c r="D286" s="4" t="inlineStr">
        <is>
          <t>01460</t>
        </is>
      </c>
      <c r="E286" s="4" t="inlineStr">
        <is>
          <t>01460</t>
        </is>
      </c>
      <c r="F286" s="29" t="inlineStr">
        <is>
          <t>ŞERİFE SEDA ÜZER</t>
        </is>
      </c>
      <c r="G286" s="29" t="inlineStr">
        <is>
          <t>DİĞER</t>
        </is>
      </c>
      <c r="H286" s="4" t="inlineStr">
        <is>
          <t>-</t>
        </is>
      </c>
      <c r="I286" s="4" t="inlineStr">
        <is>
          <t>17:52</t>
        </is>
      </c>
      <c r="J286" s="29" t="inlineStr">
        <is>
          <t>17:52</t>
        </is>
      </c>
      <c r="K286" s="30" t="inlineStr">
        <is>
          <t>GİRİŞ_YOK_AKŞAM</t>
        </is>
      </c>
      <c r="L286" s="8" t="n">
        <v>8.5</v>
      </c>
      <c r="M286" s="8" t="n">
        <v>1</v>
      </c>
      <c r="N286" s="4" t="inlineStr">
        <is>
          <t>İK / Amir Onayında</t>
        </is>
      </c>
    </row>
    <row r="287">
      <c r="A287" s="4" t="n">
        <v>3797</v>
      </c>
      <c r="B287" s="4" t="inlineStr">
        <is>
          <t>13.10.2026</t>
        </is>
      </c>
      <c r="C287" s="4" t="inlineStr">
        <is>
          <t>Salı</t>
        </is>
      </c>
      <c r="D287" s="4" t="inlineStr">
        <is>
          <t>01552</t>
        </is>
      </c>
      <c r="E287" s="4" t="inlineStr">
        <is>
          <t>01552</t>
        </is>
      </c>
      <c r="F287" s="29" t="inlineStr">
        <is>
          <t>ŞÜKRÜ YAVUZ</t>
        </is>
      </c>
      <c r="G287" s="29" t="inlineStr">
        <is>
          <t>DİĞER</t>
        </is>
      </c>
      <c r="H287" s="4" t="inlineStr">
        <is>
          <t>-</t>
        </is>
      </c>
      <c r="I287" s="4" t="inlineStr">
        <is>
          <t>17:07</t>
        </is>
      </c>
      <c r="J287" s="29" t="inlineStr">
        <is>
          <t>17:07</t>
        </is>
      </c>
      <c r="K287" s="30" t="inlineStr">
        <is>
          <t>GİRİŞ_YOK_AKŞAM</t>
        </is>
      </c>
      <c r="L287" s="8" t="n">
        <v>7.5</v>
      </c>
      <c r="M287" s="8" t="n">
        <v>0</v>
      </c>
      <c r="N287" s="4" t="inlineStr">
        <is>
          <t>İK / Amir Onayında</t>
        </is>
      </c>
    </row>
    <row r="288">
      <c r="A288" s="4" t="n">
        <v>3800</v>
      </c>
      <c r="B288" s="4" t="inlineStr">
        <is>
          <t>17.10.2026</t>
        </is>
      </c>
      <c r="C288" s="4" t="inlineStr">
        <is>
          <t>Cumartesi</t>
        </is>
      </c>
      <c r="D288" s="4" t="inlineStr">
        <is>
          <t>01552</t>
        </is>
      </c>
      <c r="E288" s="4" t="inlineStr">
        <is>
          <t>01552</t>
        </is>
      </c>
      <c r="F288" s="29" t="inlineStr">
        <is>
          <t>ŞÜKRÜ YAVUZ</t>
        </is>
      </c>
      <c r="G288" s="29" t="inlineStr">
        <is>
          <t>DİĞER</t>
        </is>
      </c>
      <c r="H288" s="4" t="inlineStr">
        <is>
          <t>08:02</t>
        </is>
      </c>
      <c r="I288" s="4" t="inlineStr">
        <is>
          <t>17:52</t>
        </is>
      </c>
      <c r="J288" s="29" t="inlineStr">
        <is>
          <t>08:02, 17:51, 17:52</t>
        </is>
      </c>
      <c r="K288" s="30" t="inlineStr">
        <is>
          <t>ÇOKLU_BASIM_MIN_MAX</t>
        </is>
      </c>
      <c r="L288" s="8" t="n">
        <v>8.5</v>
      </c>
      <c r="M288" s="8" t="n">
        <v>1</v>
      </c>
      <c r="N288" s="4" t="inlineStr">
        <is>
          <t>İK / Amir Onayında</t>
        </is>
      </c>
    </row>
    <row r="289">
      <c r="A289" s="4" t="n">
        <v>3826</v>
      </c>
      <c r="B289" s="4" t="inlineStr">
        <is>
          <t>1.10.2026</t>
        </is>
      </c>
      <c r="C289" s="4" t="inlineStr">
        <is>
          <t>Perşembe</t>
        </is>
      </c>
      <c r="D289" s="4" t="inlineStr">
        <is>
          <t>00183</t>
        </is>
      </c>
      <c r="E289" s="4" t="inlineStr">
        <is>
          <t>00183</t>
        </is>
      </c>
      <c r="F289" s="29" t="inlineStr">
        <is>
          <t>TAYFUN ÇELİK</t>
        </is>
      </c>
      <c r="G289" s="29" t="inlineStr">
        <is>
          <t>MEYDAN</t>
        </is>
      </c>
      <c r="H289" s="4" t="inlineStr">
        <is>
          <t>07:58</t>
        </is>
      </c>
      <c r="I289" s="4" t="inlineStr">
        <is>
          <t>10:18</t>
        </is>
      </c>
      <c r="J289" s="29" t="inlineStr">
        <is>
          <t>07:58, 07:59, 10:18, 18:11</t>
        </is>
      </c>
      <c r="K289" s="30" t="inlineStr">
        <is>
          <t>ÇOKLU_BASIM_MIN_MAX</t>
        </is>
      </c>
      <c r="L289" s="8" t="n">
        <v>0.02</v>
      </c>
      <c r="M289" s="8" t="n">
        <v>0</v>
      </c>
      <c r="N289" s="4" t="inlineStr">
        <is>
          <t>İK / Amir Onayında</t>
        </is>
      </c>
    </row>
    <row r="290">
      <c r="A290" s="4" t="n">
        <v>3828</v>
      </c>
      <c r="B290" s="4" t="inlineStr">
        <is>
          <t>3.10.2026</t>
        </is>
      </c>
      <c r="C290" s="4" t="inlineStr">
        <is>
          <t>Cumartesi</t>
        </is>
      </c>
      <c r="D290" s="4" t="inlineStr">
        <is>
          <t>00183</t>
        </is>
      </c>
      <c r="E290" s="4" t="inlineStr">
        <is>
          <t>00183</t>
        </is>
      </c>
      <c r="F290" s="29" t="inlineStr">
        <is>
          <t>TAYFUN ÇELİK</t>
        </is>
      </c>
      <c r="G290" s="29" t="inlineStr">
        <is>
          <t>MEYDAN</t>
        </is>
      </c>
      <c r="H290" s="4" t="inlineStr">
        <is>
          <t>07:43</t>
        </is>
      </c>
      <c r="I290" s="4" t="inlineStr">
        <is>
          <t>-</t>
        </is>
      </c>
      <c r="J290" s="29" t="inlineStr">
        <is>
          <t>07:43</t>
        </is>
      </c>
      <c r="K290" s="30" t="inlineStr">
        <is>
          <t>ÇIKIŞ_YOK</t>
        </is>
      </c>
      <c r="L290" s="8" t="n">
        <v>7.5</v>
      </c>
      <c r="M290" s="8" t="n">
        <v>0</v>
      </c>
      <c r="N290" s="4" t="inlineStr">
        <is>
          <t>İK / Amir Onayında</t>
        </is>
      </c>
    </row>
    <row r="291">
      <c r="A291" s="4" t="n">
        <v>3829</v>
      </c>
      <c r="B291" s="4" t="inlineStr">
        <is>
          <t>4.10.2026</t>
        </is>
      </c>
      <c r="C291" s="4" t="inlineStr">
        <is>
          <t>Pazar</t>
        </is>
      </c>
      <c r="D291" s="4" t="inlineStr">
        <is>
          <t>00183</t>
        </is>
      </c>
      <c r="E291" s="4" t="inlineStr">
        <is>
          <t>00183</t>
        </is>
      </c>
      <c r="F291" s="29" t="inlineStr">
        <is>
          <t>TAYFUN ÇELİK</t>
        </is>
      </c>
      <c r="G291" s="29" t="inlineStr">
        <is>
          <t>MEYDAN</t>
        </is>
      </c>
      <c r="H291" s="4" t="inlineStr">
        <is>
          <t>-</t>
        </is>
      </c>
      <c r="I291" s="4" t="inlineStr">
        <is>
          <t>03:04</t>
        </is>
      </c>
      <c r="J291" s="29" t="inlineStr">
        <is>
          <t>03:04</t>
        </is>
      </c>
      <c r="K291" s="30" t="inlineStr">
        <is>
          <t>GİRİŞ_YOK_AKŞAM</t>
        </is>
      </c>
      <c r="L291" s="8" t="n">
        <v>17.5</v>
      </c>
      <c r="M291" s="8" t="n">
        <v>10</v>
      </c>
      <c r="N291" s="4" t="inlineStr">
        <is>
          <t>İK / Amir Onayında</t>
        </is>
      </c>
    </row>
    <row r="292">
      <c r="A292" s="4" t="n">
        <v>3838</v>
      </c>
      <c r="B292" s="4" t="inlineStr">
        <is>
          <t>14.10.2026</t>
        </is>
      </c>
      <c r="C292" s="4" t="inlineStr">
        <is>
          <t>Çarşamba</t>
        </is>
      </c>
      <c r="D292" s="4" t="inlineStr">
        <is>
          <t>00183</t>
        </is>
      </c>
      <c r="E292" s="4" t="inlineStr">
        <is>
          <t>00183</t>
        </is>
      </c>
      <c r="F292" s="29" t="inlineStr">
        <is>
          <t>TAYFUN ÇELİK</t>
        </is>
      </c>
      <c r="G292" s="29" t="inlineStr">
        <is>
          <t>MEYDAN</t>
        </is>
      </c>
      <c r="H292" s="4" t="inlineStr">
        <is>
          <t>07:58</t>
        </is>
      </c>
      <c r="I292" s="4" t="inlineStr">
        <is>
          <t>-</t>
        </is>
      </c>
      <c r="J292" s="29" t="inlineStr">
        <is>
          <t>07:58</t>
        </is>
      </c>
      <c r="K292" s="30" t="inlineStr">
        <is>
          <t>ÇIKIŞ_YOK</t>
        </is>
      </c>
      <c r="L292" s="8" t="n">
        <v>7.5</v>
      </c>
      <c r="M292" s="8" t="n">
        <v>0</v>
      </c>
      <c r="N292" s="4" t="inlineStr">
        <is>
          <t>İK / Amir Onayında</t>
        </is>
      </c>
    </row>
    <row r="293">
      <c r="A293" s="4" t="n">
        <v>3839</v>
      </c>
      <c r="B293" s="4" t="inlineStr">
        <is>
          <t>15.10.2026</t>
        </is>
      </c>
      <c r="C293" s="4" t="inlineStr">
        <is>
          <t>Perşembe</t>
        </is>
      </c>
      <c r="D293" s="4" t="inlineStr">
        <is>
          <t>00183</t>
        </is>
      </c>
      <c r="E293" s="4" t="inlineStr">
        <is>
          <t>00183</t>
        </is>
      </c>
      <c r="F293" s="29" t="inlineStr">
        <is>
          <t>TAYFUN ÇELİK</t>
        </is>
      </c>
      <c r="G293" s="29" t="inlineStr">
        <is>
          <t>MEYDAN</t>
        </is>
      </c>
      <c r="H293" s="4" t="inlineStr">
        <is>
          <t>-</t>
        </is>
      </c>
      <c r="I293" s="4" t="inlineStr">
        <is>
          <t>04:07</t>
        </is>
      </c>
      <c r="J293" s="29" t="inlineStr">
        <is>
          <t>04:07</t>
        </is>
      </c>
      <c r="K293" s="30" t="inlineStr">
        <is>
          <t>GİRİŞ_YOK_AKŞAM</t>
        </is>
      </c>
      <c r="L293" s="8" t="n">
        <v>18.5</v>
      </c>
      <c r="M293" s="8" t="n">
        <v>11</v>
      </c>
      <c r="N293" s="4" t="inlineStr">
        <is>
          <t>İK / Amir Onayında</t>
        </is>
      </c>
    </row>
    <row r="294">
      <c r="A294" s="4" t="n">
        <v>3841</v>
      </c>
      <c r="B294" s="4" t="inlineStr">
        <is>
          <t>17.10.2026</t>
        </is>
      </c>
      <c r="C294" s="4" t="inlineStr">
        <is>
          <t>Cumartesi</t>
        </is>
      </c>
      <c r="D294" s="4" t="inlineStr">
        <is>
          <t>00183</t>
        </is>
      </c>
      <c r="E294" s="4" t="inlineStr">
        <is>
          <t>00183</t>
        </is>
      </c>
      <c r="F294" s="29" t="inlineStr">
        <is>
          <t>TAYFUN ÇELİK</t>
        </is>
      </c>
      <c r="G294" s="29" t="inlineStr">
        <is>
          <t>MEYDAN</t>
        </is>
      </c>
      <c r="H294" s="4" t="inlineStr">
        <is>
          <t>07:49</t>
        </is>
      </c>
      <c r="I294" s="4" t="inlineStr">
        <is>
          <t>-</t>
        </is>
      </c>
      <c r="J294" s="29" t="inlineStr">
        <is>
          <t>07:49</t>
        </is>
      </c>
      <c r="K294" s="30" t="inlineStr">
        <is>
          <t>ÇIKIŞ_YOK</t>
        </is>
      </c>
      <c r="L294" s="8" t="n">
        <v>7.5</v>
      </c>
      <c r="M294" s="8" t="n">
        <v>0</v>
      </c>
      <c r="N294" s="4" t="inlineStr">
        <is>
          <t>İK / Amir Onayında</t>
        </is>
      </c>
    </row>
    <row r="295">
      <c r="A295" s="4" t="n">
        <v>3842</v>
      </c>
      <c r="B295" s="4" t="inlineStr">
        <is>
          <t>18.10.2026</t>
        </is>
      </c>
      <c r="C295" s="4" t="inlineStr">
        <is>
          <t>Pazar</t>
        </is>
      </c>
      <c r="D295" s="4" t="inlineStr">
        <is>
          <t>00183</t>
        </is>
      </c>
      <c r="E295" s="4" t="inlineStr">
        <is>
          <t>00183</t>
        </is>
      </c>
      <c r="F295" s="29" t="inlineStr">
        <is>
          <t>TAYFUN ÇELİK</t>
        </is>
      </c>
      <c r="G295" s="29" t="inlineStr">
        <is>
          <t>MEYDAN</t>
        </is>
      </c>
      <c r="H295" s="4" t="inlineStr">
        <is>
          <t>-</t>
        </is>
      </c>
      <c r="I295" s="4" t="inlineStr">
        <is>
          <t>02:32</t>
        </is>
      </c>
      <c r="J295" s="29" t="inlineStr">
        <is>
          <t>02:32</t>
        </is>
      </c>
      <c r="K295" s="30" t="inlineStr">
        <is>
          <t>GİRİŞ_YOK_AKŞAM</t>
        </is>
      </c>
      <c r="L295" s="8" t="n">
        <v>17</v>
      </c>
      <c r="M295" s="8" t="n">
        <v>9.5</v>
      </c>
      <c r="N295" s="4" t="inlineStr">
        <is>
          <t>İK / Amir Onayında</t>
        </is>
      </c>
    </row>
    <row r="296">
      <c r="A296" s="4" t="n">
        <v>3845</v>
      </c>
      <c r="B296" s="4" t="inlineStr">
        <is>
          <t>21.10.2026</t>
        </is>
      </c>
      <c r="C296" s="4" t="inlineStr">
        <is>
          <t>Çarşamba</t>
        </is>
      </c>
      <c r="D296" s="4" t="inlineStr">
        <is>
          <t>00183</t>
        </is>
      </c>
      <c r="E296" s="4" t="inlineStr">
        <is>
          <t>00183</t>
        </is>
      </c>
      <c r="F296" s="29" t="inlineStr">
        <is>
          <t>TAYFUN ÇELİK</t>
        </is>
      </c>
      <c r="G296" s="29" t="inlineStr">
        <is>
          <t>MEYDAN</t>
        </is>
      </c>
      <c r="H296" s="4" t="inlineStr">
        <is>
          <t>07:47</t>
        </is>
      </c>
      <c r="I296" s="4" t="inlineStr">
        <is>
          <t>-</t>
        </is>
      </c>
      <c r="J296" s="29" t="inlineStr">
        <is>
          <t>07:47</t>
        </is>
      </c>
      <c r="K296" s="30" t="inlineStr">
        <is>
          <t>ÇIKIŞ_YOK</t>
        </is>
      </c>
      <c r="L296" s="8" t="n">
        <v>7.5</v>
      </c>
      <c r="M296" s="8" t="n">
        <v>0</v>
      </c>
      <c r="N296" s="4" t="inlineStr">
        <is>
          <t>İK / Amir Onayında</t>
        </is>
      </c>
    </row>
    <row r="297">
      <c r="A297" s="4" t="n">
        <v>3882</v>
      </c>
      <c r="B297" s="4" t="inlineStr">
        <is>
          <t>2.10.2026</t>
        </is>
      </c>
      <c r="C297" s="4" t="inlineStr">
        <is>
          <t>Cuma</t>
        </is>
      </c>
      <c r="D297" s="4" t="inlineStr">
        <is>
          <t>00501</t>
        </is>
      </c>
      <c r="E297" s="4" t="inlineStr">
        <is>
          <t>00501</t>
        </is>
      </c>
      <c r="F297" s="29" t="inlineStr">
        <is>
          <t>TUNCAY METİN</t>
        </is>
      </c>
      <c r="G297" s="29" t="inlineStr">
        <is>
          <t>KAPI GÖREVLİSİ</t>
        </is>
      </c>
      <c r="H297" s="4" t="inlineStr">
        <is>
          <t>23:46</t>
        </is>
      </c>
      <c r="I297" s="4" t="inlineStr">
        <is>
          <t>-</t>
        </is>
      </c>
      <c r="J297" s="29" t="inlineStr">
        <is>
          <t>23:46</t>
        </is>
      </c>
      <c r="K297" s="30" t="inlineStr">
        <is>
          <t>ÇIKIŞ_YOK</t>
        </is>
      </c>
      <c r="L297" s="8" t="n">
        <v>7.5</v>
      </c>
      <c r="M297" s="8" t="n">
        <v>0</v>
      </c>
      <c r="N297" s="4" t="inlineStr">
        <is>
          <t>İK / Amir Onayında</t>
        </is>
      </c>
    </row>
    <row r="298">
      <c r="A298" s="4" t="n">
        <v>3888</v>
      </c>
      <c r="B298" s="4" t="inlineStr">
        <is>
          <t>8.10.2026</t>
        </is>
      </c>
      <c r="C298" s="4" t="inlineStr">
        <is>
          <t>Perşembe</t>
        </is>
      </c>
      <c r="D298" s="4" t="inlineStr">
        <is>
          <t>00501</t>
        </is>
      </c>
      <c r="E298" s="4" t="inlineStr">
        <is>
          <t>00501</t>
        </is>
      </c>
      <c r="F298" s="29" t="inlineStr">
        <is>
          <t>TUNCAY METİN</t>
        </is>
      </c>
      <c r="G298" s="29" t="inlineStr">
        <is>
          <t>KAPI GÖREVLİSİ</t>
        </is>
      </c>
      <c r="H298" s="4" t="inlineStr">
        <is>
          <t>23:43</t>
        </is>
      </c>
      <c r="I298" s="4" t="inlineStr">
        <is>
          <t>-</t>
        </is>
      </c>
      <c r="J298" s="29" t="inlineStr">
        <is>
          <t>23:43</t>
        </is>
      </c>
      <c r="K298" s="30" t="inlineStr">
        <is>
          <t>ÇIKIŞ_YOK</t>
        </is>
      </c>
      <c r="L298" s="8" t="n">
        <v>7.5</v>
      </c>
      <c r="M298" s="8" t="n">
        <v>0</v>
      </c>
      <c r="N298" s="4" t="inlineStr">
        <is>
          <t>İK / Amir Onayında</t>
        </is>
      </c>
    </row>
    <row r="299">
      <c r="A299" s="4" t="n">
        <v>3889</v>
      </c>
      <c r="B299" s="4" t="inlineStr">
        <is>
          <t>9.10.2026</t>
        </is>
      </c>
      <c r="C299" s="4" t="inlineStr">
        <is>
          <t>Cuma</t>
        </is>
      </c>
      <c r="D299" s="4" t="inlineStr">
        <is>
          <t>00501</t>
        </is>
      </c>
      <c r="E299" s="4" t="inlineStr">
        <is>
          <t>00501</t>
        </is>
      </c>
      <c r="F299" s="29" t="inlineStr">
        <is>
          <t>TUNCAY METİN</t>
        </is>
      </c>
      <c r="G299" s="29" t="inlineStr">
        <is>
          <t>KAPI GÖREVLİSİ</t>
        </is>
      </c>
      <c r="H299" s="4" t="inlineStr">
        <is>
          <t>00:22</t>
        </is>
      </c>
      <c r="I299" s="4" t="inlineStr">
        <is>
          <t>07:59</t>
        </is>
      </c>
      <c r="J299" s="29" t="inlineStr">
        <is>
          <t>00:22, 08:02, 23:47, 07:59</t>
        </is>
      </c>
      <c r="K299" s="30" t="inlineStr">
        <is>
          <t>PARÇALI_ÇALIŞMA</t>
        </is>
      </c>
      <c r="L299" s="8" t="n">
        <v>14.37</v>
      </c>
      <c r="M299" s="8" t="n">
        <v>6.87</v>
      </c>
      <c r="N299" s="4" t="inlineStr">
        <is>
          <t>İK / Amir Onayında</t>
        </is>
      </c>
    </row>
    <row r="300">
      <c r="A300" s="4" t="n">
        <v>3896</v>
      </c>
      <c r="B300" s="4" t="inlineStr">
        <is>
          <t>17.10.2026</t>
        </is>
      </c>
      <c r="C300" s="4" t="inlineStr">
        <is>
          <t>Cumartesi</t>
        </is>
      </c>
      <c r="D300" s="4" t="inlineStr">
        <is>
          <t>00501</t>
        </is>
      </c>
      <c r="E300" s="4" t="inlineStr">
        <is>
          <t>00501</t>
        </is>
      </c>
      <c r="F300" s="29" t="inlineStr">
        <is>
          <t>TUNCAY METİN</t>
        </is>
      </c>
      <c r="G300" s="29" t="inlineStr">
        <is>
          <t>KAPI GÖREVLİSİ</t>
        </is>
      </c>
      <c r="H300" s="4" t="inlineStr">
        <is>
          <t>15:49</t>
        </is>
      </c>
      <c r="I300" s="4" t="inlineStr">
        <is>
          <t>23:59</t>
        </is>
      </c>
      <c r="J300" s="29" t="inlineStr">
        <is>
          <t>15:49, 23:48, 23:59</t>
        </is>
      </c>
      <c r="K300" s="30" t="inlineStr">
        <is>
          <t>ÇOKLU_BASIM_MIN_MAX</t>
        </is>
      </c>
      <c r="L300" s="8" t="n">
        <v>7.5</v>
      </c>
      <c r="M300" s="8" t="n">
        <v>0</v>
      </c>
      <c r="N300" s="4" t="inlineStr">
        <is>
          <t>İK / Amir Onayında</t>
        </is>
      </c>
    </row>
    <row r="301">
      <c r="A301" s="4" t="n">
        <v>3899</v>
      </c>
      <c r="B301" s="4" t="inlineStr">
        <is>
          <t>2.10.2026</t>
        </is>
      </c>
      <c r="C301" s="4" t="inlineStr">
        <is>
          <t>Cuma</t>
        </is>
      </c>
      <c r="D301" s="4" t="inlineStr">
        <is>
          <t>01463</t>
        </is>
      </c>
      <c r="E301" s="4" t="inlineStr">
        <is>
          <t>01463</t>
        </is>
      </c>
      <c r="F301" s="29" t="inlineStr">
        <is>
          <t>TÜRKAN BÇAKIR</t>
        </is>
      </c>
      <c r="G301" s="29" t="inlineStr">
        <is>
          <t>DİĞER</t>
        </is>
      </c>
      <c r="H301" s="4" t="inlineStr">
        <is>
          <t>19:46</t>
        </is>
      </c>
      <c r="I301" s="4" t="inlineStr">
        <is>
          <t>07:53</t>
        </is>
      </c>
      <c r="J301" s="29" t="inlineStr">
        <is>
          <t>07:51, 19:46, 07:53</t>
        </is>
      </c>
      <c r="K301" s="30" t="inlineStr">
        <is>
          <t>ÇOKLU_BASIM_MIN_MAX</t>
        </is>
      </c>
      <c r="L301" s="8" t="n">
        <v>10.5</v>
      </c>
      <c r="M301" s="8" t="n">
        <v>3</v>
      </c>
      <c r="N301" s="4" t="inlineStr">
        <is>
          <t>İK / Amir Onayında</t>
        </is>
      </c>
    </row>
    <row r="302">
      <c r="A302" s="4" t="n">
        <v>3933</v>
      </c>
      <c r="B302" s="4" t="inlineStr">
        <is>
          <t>3.10.2026</t>
        </is>
      </c>
      <c r="C302" s="4" t="inlineStr">
        <is>
          <t>Cumartesi</t>
        </is>
      </c>
      <c r="D302" s="4" t="inlineStr">
        <is>
          <t>01350</t>
        </is>
      </c>
      <c r="E302" s="4" t="inlineStr">
        <is>
          <t>01350</t>
        </is>
      </c>
      <c r="F302" s="29" t="inlineStr">
        <is>
          <t>ÜVEYS SEPETÇİ</t>
        </is>
      </c>
      <c r="G302" s="29" t="inlineStr">
        <is>
          <t>ÜRETİM</t>
        </is>
      </c>
      <c r="H302" s="4" t="inlineStr">
        <is>
          <t>07:54</t>
        </is>
      </c>
      <c r="I302" s="4" t="inlineStr">
        <is>
          <t>-</t>
        </is>
      </c>
      <c r="J302" s="29" t="inlineStr">
        <is>
          <t>07:54</t>
        </is>
      </c>
      <c r="K302" s="30" t="inlineStr">
        <is>
          <t>ÇIKIŞ_YOK</t>
        </is>
      </c>
      <c r="L302" s="8" t="n">
        <v>7.5</v>
      </c>
      <c r="M302" s="8" t="n">
        <v>0</v>
      </c>
      <c r="N302" s="4" t="inlineStr">
        <is>
          <t>İK / Amir Onayında</t>
        </is>
      </c>
    </row>
    <row r="303">
      <c r="A303" s="4" t="n">
        <v>3935</v>
      </c>
      <c r="B303" s="4" t="inlineStr">
        <is>
          <t>6.10.2026</t>
        </is>
      </c>
      <c r="C303" s="4" t="inlineStr">
        <is>
          <t>Salı</t>
        </is>
      </c>
      <c r="D303" s="4" t="inlineStr">
        <is>
          <t>01350</t>
        </is>
      </c>
      <c r="E303" s="4" t="inlineStr">
        <is>
          <t>01350</t>
        </is>
      </c>
      <c r="F303" s="29" t="inlineStr">
        <is>
          <t>ÜVEYS SEPETÇİ</t>
        </is>
      </c>
      <c r="G303" s="29" t="inlineStr">
        <is>
          <t>ÜRETİM</t>
        </is>
      </c>
      <c r="H303" s="4" t="inlineStr">
        <is>
          <t>08:01</t>
        </is>
      </c>
      <c r="I303" s="4" t="inlineStr">
        <is>
          <t>07:55</t>
        </is>
      </c>
      <c r="J303" s="29" t="inlineStr">
        <is>
          <t>08:01, 17:10, 22:29, 07:55</t>
        </is>
      </c>
      <c r="K303" s="30" t="inlineStr">
        <is>
          <t>PARÇALI_ÇALIŞMA</t>
        </is>
      </c>
      <c r="L303" s="8" t="n">
        <v>14</v>
      </c>
      <c r="M303" s="8" t="n">
        <v>6.5</v>
      </c>
      <c r="N303" s="4" t="inlineStr">
        <is>
          <t>İK / Amir Onayında</t>
        </is>
      </c>
    </row>
    <row r="304">
      <c r="A304" s="4" t="n">
        <v>3953</v>
      </c>
      <c r="B304" s="4" t="inlineStr">
        <is>
          <t>12.10.2026</t>
        </is>
      </c>
      <c r="C304" s="4" t="inlineStr">
        <is>
          <t>Pazartesi</t>
        </is>
      </c>
      <c r="D304" s="4" t="inlineStr">
        <is>
          <t>01465</t>
        </is>
      </c>
      <c r="E304" s="4" t="inlineStr">
        <is>
          <t>01465</t>
        </is>
      </c>
      <c r="F304" s="29" t="inlineStr">
        <is>
          <t>VEDAT DEMİR</t>
        </is>
      </c>
      <c r="G304" s="29" t="inlineStr">
        <is>
          <t>DİĞER</t>
        </is>
      </c>
      <c r="H304" s="4" t="inlineStr">
        <is>
          <t>08:10</t>
        </is>
      </c>
      <c r="I304" s="4" t="inlineStr">
        <is>
          <t>07:53</t>
        </is>
      </c>
      <c r="J304" s="29" t="inlineStr">
        <is>
          <t>08:10, 20:03, 20:06, 07:53</t>
        </is>
      </c>
      <c r="K304" s="30" t="inlineStr">
        <is>
          <t>PARÇALI_ÇALIŞMA</t>
        </is>
      </c>
      <c r="L304" s="8" t="n">
        <v>21</v>
      </c>
      <c r="M304" s="8" t="n">
        <v>13.5</v>
      </c>
      <c r="N304" s="4" t="inlineStr">
        <is>
          <t>İK / Amir Onayında</t>
        </is>
      </c>
    </row>
    <row r="305">
      <c r="A305" s="4" t="n">
        <v>3955</v>
      </c>
      <c r="B305" s="4" t="inlineStr">
        <is>
          <t>2.10.2026</t>
        </is>
      </c>
      <c r="C305" s="4" t="inlineStr">
        <is>
          <t>Cuma</t>
        </is>
      </c>
      <c r="D305" s="4" t="inlineStr">
        <is>
          <t>01466</t>
        </is>
      </c>
      <c r="E305" s="4" t="inlineStr">
        <is>
          <t>01466</t>
        </is>
      </c>
      <c r="F305" s="29" t="inlineStr">
        <is>
          <t>YELİZ KIRCALI</t>
        </is>
      </c>
      <c r="G305" s="29" t="inlineStr">
        <is>
          <t>DİĞER</t>
        </is>
      </c>
      <c r="H305" s="4" t="inlineStr">
        <is>
          <t>19:48</t>
        </is>
      </c>
      <c r="I305" s="4" t="inlineStr">
        <is>
          <t>07:58</t>
        </is>
      </c>
      <c r="J305" s="29" t="inlineStr">
        <is>
          <t>07:51, 19:48, 07:58</t>
        </is>
      </c>
      <c r="K305" s="30" t="inlineStr">
        <is>
          <t>ÇOKLU_BASIM_MIN_MAX</t>
        </is>
      </c>
      <c r="L305" s="8" t="n">
        <v>10.5</v>
      </c>
      <c r="M305" s="8" t="n">
        <v>3</v>
      </c>
      <c r="N305" s="4" t="inlineStr">
        <is>
          <t>İK / Amir Onayında</t>
        </is>
      </c>
    </row>
    <row r="306">
      <c r="A306" s="4" t="n">
        <v>3968</v>
      </c>
      <c r="B306" s="4" t="inlineStr">
        <is>
          <t>2.10.2026</t>
        </is>
      </c>
      <c r="C306" s="4" t="inlineStr">
        <is>
          <t>Cuma</t>
        </is>
      </c>
      <c r="D306" s="4" t="inlineStr">
        <is>
          <t>01467</t>
        </is>
      </c>
      <c r="E306" s="4" t="inlineStr">
        <is>
          <t>01467</t>
        </is>
      </c>
      <c r="F306" s="29" t="inlineStr">
        <is>
          <t>YEŞİM SARAÇOĞLU</t>
        </is>
      </c>
      <c r="G306" s="29" t="inlineStr">
        <is>
          <t>HALİL DİĞRENCİ</t>
        </is>
      </c>
      <c r="H306" s="4" t="inlineStr">
        <is>
          <t>-</t>
        </is>
      </c>
      <c r="I306" s="4" t="inlineStr">
        <is>
          <t>20:03</t>
        </is>
      </c>
      <c r="J306" s="29" t="inlineStr">
        <is>
          <t>20:03</t>
        </is>
      </c>
      <c r="K306" s="30" t="inlineStr">
        <is>
          <t>GİRİŞ_YOK_AKŞAM</t>
        </is>
      </c>
      <c r="L306" s="8" t="n">
        <v>10.5</v>
      </c>
      <c r="M306" s="8" t="n">
        <v>3</v>
      </c>
      <c r="N306" s="4" t="inlineStr">
        <is>
          <t>İK / Amir Onayında</t>
        </is>
      </c>
    </row>
    <row r="307">
      <c r="A307" s="4" t="n">
        <v>3999</v>
      </c>
      <c r="B307" s="4" t="inlineStr">
        <is>
          <t>1.10.2026</t>
        </is>
      </c>
      <c r="C307" s="4" t="inlineStr">
        <is>
          <t>Perşembe</t>
        </is>
      </c>
      <c r="D307" s="4" t="inlineStr">
        <is>
          <t>01364</t>
        </is>
      </c>
      <c r="E307" s="4" t="inlineStr">
        <is>
          <t>01364</t>
        </is>
      </c>
      <c r="F307" s="29" t="inlineStr">
        <is>
          <t>YUSUF ÇETİN</t>
        </is>
      </c>
      <c r="G307" s="29" t="inlineStr">
        <is>
          <t>HALİL DİĞRENCİ</t>
        </is>
      </c>
      <c r="H307" s="4" t="inlineStr">
        <is>
          <t>07:52</t>
        </is>
      </c>
      <c r="I307" s="4" t="inlineStr">
        <is>
          <t>20:00</t>
        </is>
      </c>
      <c r="J307" s="29" t="inlineStr">
        <is>
          <t>07:52, 07:53, 20:00</t>
        </is>
      </c>
      <c r="K307" s="30" t="inlineStr">
        <is>
          <t>ÇOKLU_BASIM_MIN_MAX</t>
        </is>
      </c>
      <c r="L307" s="8" t="n">
        <v>0</v>
      </c>
      <c r="M307" s="8" t="n">
        <v>0</v>
      </c>
      <c r="N307" s="4" t="inlineStr">
        <is>
          <t>İK / Amir Onayında</t>
        </is>
      </c>
    </row>
    <row r="308">
      <c r="A308" s="4" t="n">
        <v>4023</v>
      </c>
      <c r="B308" s="4" t="inlineStr">
        <is>
          <t>16.10.2026</t>
        </is>
      </c>
      <c r="C308" s="4" t="inlineStr">
        <is>
          <t>Cuma</t>
        </is>
      </c>
      <c r="D308" s="4" t="inlineStr">
        <is>
          <t>01469</t>
        </is>
      </c>
      <c r="E308" s="4" t="inlineStr">
        <is>
          <t>01469</t>
        </is>
      </c>
      <c r="F308" s="29" t="inlineStr">
        <is>
          <t>YUSUF BÇAKIR</t>
        </is>
      </c>
      <c r="G308" s="29" t="inlineStr">
        <is>
          <t>DİĞER</t>
        </is>
      </c>
      <c r="H308" s="4" t="inlineStr">
        <is>
          <t>-</t>
        </is>
      </c>
      <c r="I308" s="4" t="inlineStr">
        <is>
          <t>07:59</t>
        </is>
      </c>
      <c r="J308" s="29" t="inlineStr">
        <is>
          <t>07:59</t>
        </is>
      </c>
      <c r="K308" s="30" t="inlineStr">
        <is>
          <t>GİRİŞ_YOK_AKŞAM</t>
        </is>
      </c>
      <c r="L308" s="8" t="n">
        <v>7.5</v>
      </c>
      <c r="M308" s="8" t="n">
        <v>0</v>
      </c>
      <c r="N308" s="4" t="inlineStr">
        <is>
          <t>İK / Amir Onayında</t>
        </is>
      </c>
    </row>
    <row r="309">
      <c r="A309" s="4" t="n">
        <v>4112</v>
      </c>
      <c r="B309" s="4" t="inlineStr">
        <is>
          <t>5.10.2026</t>
        </is>
      </c>
      <c r="C309" s="4" t="inlineStr">
        <is>
          <t>Pazartesi</t>
        </is>
      </c>
      <c r="D309" s="4" t="inlineStr">
        <is>
          <t>01097</t>
        </is>
      </c>
      <c r="E309" s="4" t="inlineStr">
        <is>
          <t>01097</t>
        </is>
      </c>
      <c r="F309" s="29" t="inlineStr">
        <is>
          <t>ZEHRA ONUK</t>
        </is>
      </c>
      <c r="G309" s="29" t="inlineStr">
        <is>
          <t>ÜRETİM</t>
        </is>
      </c>
      <c r="H309" s="4" t="inlineStr">
        <is>
          <t>-</t>
        </is>
      </c>
      <c r="I309" s="4" t="inlineStr">
        <is>
          <t>17:10</t>
        </is>
      </c>
      <c r="J309" s="29" t="inlineStr">
        <is>
          <t>17:10</t>
        </is>
      </c>
      <c r="K309" s="30" t="inlineStr">
        <is>
          <t>GİRİŞ_YOK_AKŞAM</t>
        </is>
      </c>
      <c r="L309" s="8" t="n">
        <v>7.5</v>
      </c>
      <c r="M309" s="8" t="n">
        <v>0</v>
      </c>
      <c r="N309" s="4" t="inlineStr">
        <is>
          <t>İK / Amir Onayında</t>
        </is>
      </c>
    </row>
    <row r="310">
      <c r="A310" s="4" t="n">
        <v>4143</v>
      </c>
      <c r="B310" s="4" t="inlineStr">
        <is>
          <t>2.10.2026</t>
        </is>
      </c>
      <c r="C310" s="4" t="inlineStr">
        <is>
          <t>Cuma</t>
        </is>
      </c>
      <c r="D310" s="4" t="inlineStr">
        <is>
          <t>01471</t>
        </is>
      </c>
      <c r="E310" s="4" t="inlineStr">
        <is>
          <t>01471</t>
        </is>
      </c>
      <c r="F310" s="29" t="inlineStr">
        <is>
          <t>ZEKİYE AYICI</t>
        </is>
      </c>
      <c r="G310" s="29" t="inlineStr">
        <is>
          <t>DİĞER</t>
        </is>
      </c>
      <c r="H310" s="4" t="inlineStr">
        <is>
          <t>19:46</t>
        </is>
      </c>
      <c r="I310" s="4" t="inlineStr">
        <is>
          <t>07:53</t>
        </is>
      </c>
      <c r="J310" s="29" t="inlineStr">
        <is>
          <t>07:52, 19:46, 07:53</t>
        </is>
      </c>
      <c r="K310" s="30" t="inlineStr">
        <is>
          <t>ÇOKLU_BASIM_MIN_MAX</t>
        </is>
      </c>
      <c r="L310" s="8" t="n">
        <v>10.5</v>
      </c>
      <c r="M310" s="8" t="n">
        <v>3</v>
      </c>
      <c r="N310" s="4" t="inlineStr">
        <is>
          <t>İK / Amir Onayında</t>
        </is>
      </c>
    </row>
    <row r="311">
      <c r="A311" s="4" t="n">
        <v>4178</v>
      </c>
      <c r="B311" s="4" t="inlineStr">
        <is>
          <t>8.10.2026</t>
        </is>
      </c>
      <c r="C311" s="4" t="inlineStr">
        <is>
          <t>Perşembe</t>
        </is>
      </c>
      <c r="D311" s="4" t="inlineStr">
        <is>
          <t>01472</t>
        </is>
      </c>
      <c r="E311" s="4" t="inlineStr">
        <is>
          <t>01472</t>
        </is>
      </c>
      <c r="F311" s="29" t="inlineStr">
        <is>
          <t>ZELİHA YAMAN</t>
        </is>
      </c>
      <c r="G311" s="29" t="inlineStr">
        <is>
          <t>HALİL DİĞRENCİ</t>
        </is>
      </c>
      <c r="H311" s="4" t="inlineStr">
        <is>
          <t>07:49</t>
        </is>
      </c>
      <c r="I311" s="4" t="inlineStr">
        <is>
          <t>-</t>
        </is>
      </c>
      <c r="J311" s="29" t="inlineStr">
        <is>
          <t>07:49</t>
        </is>
      </c>
      <c r="K311" s="30" t="inlineStr">
        <is>
          <t>ÇIKIŞ_YOK</t>
        </is>
      </c>
      <c r="L311" s="8" t="n">
        <v>7.5</v>
      </c>
      <c r="M311" s="8" t="n">
        <v>0</v>
      </c>
      <c r="N311" s="4" t="inlineStr">
        <is>
          <t>İK / Amir Onayında</t>
        </is>
      </c>
    </row>
    <row r="312">
      <c r="A312" s="4" t="n">
        <v>4179</v>
      </c>
      <c r="B312" s="4" t="inlineStr">
        <is>
          <t>9.10.2026</t>
        </is>
      </c>
      <c r="C312" s="4" t="inlineStr">
        <is>
          <t>Cuma</t>
        </is>
      </c>
      <c r="D312" s="4" t="inlineStr">
        <is>
          <t>01472</t>
        </is>
      </c>
      <c r="E312" s="4" t="inlineStr">
        <is>
          <t>01472</t>
        </is>
      </c>
      <c r="F312" s="29" t="inlineStr">
        <is>
          <t>ZELİHA YAMAN</t>
        </is>
      </c>
      <c r="G312" s="29" t="inlineStr">
        <is>
          <t>HALİL DİĞRENCİ</t>
        </is>
      </c>
      <c r="H312" s="4" t="inlineStr">
        <is>
          <t>07:53</t>
        </is>
      </c>
      <c r="I312" s="4" t="inlineStr">
        <is>
          <t>-</t>
        </is>
      </c>
      <c r="J312" s="29" t="inlineStr">
        <is>
          <t>07:53</t>
        </is>
      </c>
      <c r="K312" s="30" t="inlineStr">
        <is>
          <t>ÇIKIŞ_YOK</t>
        </is>
      </c>
      <c r="L312" s="8" t="n">
        <v>7.5</v>
      </c>
      <c r="M312" s="8" t="n">
        <v>0</v>
      </c>
      <c r="N312" s="4" t="inlineStr">
        <is>
          <t>İK / Amir Onayında</t>
        </is>
      </c>
    </row>
    <row r="313">
      <c r="A313" s="4" t="n">
        <v>4180</v>
      </c>
      <c r="B313" s="4" t="inlineStr">
        <is>
          <t>12.10.2026</t>
        </is>
      </c>
      <c r="C313" s="4" t="inlineStr">
        <is>
          <t>Pazartesi</t>
        </is>
      </c>
      <c r="D313" s="4" t="inlineStr">
        <is>
          <t>01472</t>
        </is>
      </c>
      <c r="E313" s="4" t="inlineStr">
        <is>
          <t>01472</t>
        </is>
      </c>
      <c r="F313" s="29" t="inlineStr">
        <is>
          <t>ZELİHA YAMAN</t>
        </is>
      </c>
      <c r="G313" s="29" t="inlineStr">
        <is>
          <t>HALİL DİĞRENCİ</t>
        </is>
      </c>
      <c r="H313" s="4" t="inlineStr">
        <is>
          <t>07:59</t>
        </is>
      </c>
      <c r="I313" s="4" t="inlineStr">
        <is>
          <t>-</t>
        </is>
      </c>
      <c r="J313" s="29" t="inlineStr">
        <is>
          <t>07:59</t>
        </is>
      </c>
      <c r="K313" s="30" t="inlineStr">
        <is>
          <t>ÇIKIŞ_YOK</t>
        </is>
      </c>
      <c r="L313" s="8" t="n">
        <v>7.5</v>
      </c>
      <c r="M313" s="8" t="n">
        <v>0</v>
      </c>
      <c r="N313" s="4" t="inlineStr">
        <is>
          <t>İK / Amir Onayında</t>
        </is>
      </c>
    </row>
    <row r="314">
      <c r="A314" s="4" t="n">
        <v>4181</v>
      </c>
      <c r="B314" s="4" t="inlineStr">
        <is>
          <t>13.10.2026</t>
        </is>
      </c>
      <c r="C314" s="4" t="inlineStr">
        <is>
          <t>Salı</t>
        </is>
      </c>
      <c r="D314" s="4" t="inlineStr">
        <is>
          <t>01472</t>
        </is>
      </c>
      <c r="E314" s="4" t="inlineStr">
        <is>
          <t>01472</t>
        </is>
      </c>
      <c r="F314" s="29" t="inlineStr">
        <is>
          <t>ZELİHA YAMAN</t>
        </is>
      </c>
      <c r="G314" s="29" t="inlineStr">
        <is>
          <t>HALİL DİĞRENCİ</t>
        </is>
      </c>
      <c r="H314" s="4" t="inlineStr">
        <is>
          <t>07:58</t>
        </is>
      </c>
      <c r="I314" s="4" t="inlineStr">
        <is>
          <t>-</t>
        </is>
      </c>
      <c r="J314" s="29" t="inlineStr">
        <is>
          <t>07:58</t>
        </is>
      </c>
      <c r="K314" s="30" t="inlineStr">
        <is>
          <t>ÇIKIŞ_YOK</t>
        </is>
      </c>
      <c r="L314" s="8" t="n">
        <v>7.5</v>
      </c>
      <c r="M314" s="8" t="n">
        <v>0</v>
      </c>
      <c r="N314" s="4" t="inlineStr">
        <is>
          <t>İK / Amir Onayında</t>
        </is>
      </c>
    </row>
    <row r="315">
      <c r="A315" s="4" t="n">
        <v>4182</v>
      </c>
      <c r="B315" s="4" t="inlineStr">
        <is>
          <t>15.10.2026</t>
        </is>
      </c>
      <c r="C315" s="4" t="inlineStr">
        <is>
          <t>Perşembe</t>
        </is>
      </c>
      <c r="D315" s="4" t="inlineStr">
        <is>
          <t>01472</t>
        </is>
      </c>
      <c r="E315" s="4" t="inlineStr">
        <is>
          <t>01472</t>
        </is>
      </c>
      <c r="F315" s="29" t="inlineStr">
        <is>
          <t>ZELİHA YAMAN</t>
        </is>
      </c>
      <c r="G315" s="29" t="inlineStr">
        <is>
          <t>HALİL DİĞRENCİ</t>
        </is>
      </c>
      <c r="H315" s="4" t="inlineStr">
        <is>
          <t>08:10</t>
        </is>
      </c>
      <c r="I315" s="4" t="inlineStr">
        <is>
          <t>-</t>
        </is>
      </c>
      <c r="J315" s="29" t="inlineStr">
        <is>
          <t>08:10</t>
        </is>
      </c>
      <c r="K315" s="30" t="inlineStr">
        <is>
          <t>ÇIKIŞ_YOK</t>
        </is>
      </c>
      <c r="L315" s="8" t="n">
        <v>7.5</v>
      </c>
      <c r="M315" s="8" t="n">
        <v>0</v>
      </c>
      <c r="N315" s="4" t="inlineStr">
        <is>
          <t>İK / Amir Onayında</t>
        </is>
      </c>
    </row>
    <row r="316">
      <c r="A316" s="4" t="n">
        <v>4183</v>
      </c>
      <c r="B316" s="4" t="inlineStr">
        <is>
          <t>19.10.2026</t>
        </is>
      </c>
      <c r="C316" s="4" t="inlineStr">
        <is>
          <t>Pazartesi</t>
        </is>
      </c>
      <c r="D316" s="4" t="inlineStr">
        <is>
          <t>01472</t>
        </is>
      </c>
      <c r="E316" s="4" t="inlineStr">
        <is>
          <t>01472</t>
        </is>
      </c>
      <c r="F316" s="29" t="inlineStr">
        <is>
          <t>ZELİHA YAMAN</t>
        </is>
      </c>
      <c r="G316" s="29" t="inlineStr">
        <is>
          <t>HALİL DİĞRENCİ</t>
        </is>
      </c>
      <c r="H316" s="4" t="inlineStr">
        <is>
          <t>08:05</t>
        </is>
      </c>
      <c r="I316" s="4" t="inlineStr">
        <is>
          <t>-</t>
        </is>
      </c>
      <c r="J316" s="29" t="inlineStr">
        <is>
          <t>08:05</t>
        </is>
      </c>
      <c r="K316" s="30" t="inlineStr">
        <is>
          <t>ÇIKIŞ_YOK</t>
        </is>
      </c>
      <c r="L316" s="8" t="n">
        <v>7.5</v>
      </c>
      <c r="M316" s="8" t="n">
        <v>0</v>
      </c>
      <c r="N316" s="4" t="inlineStr">
        <is>
          <t>İK / Amir Onayında</t>
        </is>
      </c>
    </row>
    <row r="317">
      <c r="A317" s="4" t="n">
        <v>4184</v>
      </c>
      <c r="B317" s="4" t="inlineStr">
        <is>
          <t>21.10.2026</t>
        </is>
      </c>
      <c r="C317" s="4" t="inlineStr">
        <is>
          <t>Çarşamba</t>
        </is>
      </c>
      <c r="D317" s="4" t="inlineStr">
        <is>
          <t>01472</t>
        </is>
      </c>
      <c r="E317" s="4" t="inlineStr">
        <is>
          <t>01472</t>
        </is>
      </c>
      <c r="F317" s="29" t="inlineStr">
        <is>
          <t>ZELİHA YAMAN</t>
        </is>
      </c>
      <c r="G317" s="29" t="inlineStr">
        <is>
          <t>HALİL DİĞRENCİ</t>
        </is>
      </c>
      <c r="H317" s="4" t="inlineStr">
        <is>
          <t>07:57</t>
        </is>
      </c>
      <c r="I317" s="4" t="inlineStr">
        <is>
          <t>-</t>
        </is>
      </c>
      <c r="J317" s="29" t="inlineStr">
        <is>
          <t>07:57</t>
        </is>
      </c>
      <c r="K317" s="30" t="inlineStr">
        <is>
          <t>ÇIKIŞ_YOK</t>
        </is>
      </c>
      <c r="L317" s="8" t="n">
        <v>7.5</v>
      </c>
      <c r="M317" s="8" t="n">
        <v>0</v>
      </c>
      <c r="N317" s="4" t="inlineStr">
        <is>
          <t>İK / Amir Onayında</t>
        </is>
      </c>
    </row>
    <row r="318">
      <c r="A318" s="4" t="n">
        <v>4226</v>
      </c>
      <c r="B318" s="4" t="inlineStr">
        <is>
          <t>8.10.2026</t>
        </is>
      </c>
      <c r="C318" s="4" t="inlineStr">
        <is>
          <t>Perşembe</t>
        </is>
      </c>
      <c r="D318" s="4" t="inlineStr">
        <is>
          <t>00765</t>
        </is>
      </c>
      <c r="E318" s="4" t="inlineStr">
        <is>
          <t>00765</t>
        </is>
      </c>
      <c r="F318" s="29" t="inlineStr">
        <is>
          <t>ZEYNEP ONBAŞI</t>
        </is>
      </c>
      <c r="G318" s="29" t="inlineStr">
        <is>
          <t>YEMEKHANE</t>
        </is>
      </c>
      <c r="H318" s="4" t="inlineStr">
        <is>
          <t>07:50</t>
        </is>
      </c>
      <c r="I318" s="4" t="inlineStr">
        <is>
          <t>-</t>
        </is>
      </c>
      <c r="J318" s="29" t="inlineStr">
        <is>
          <t>07:50</t>
        </is>
      </c>
      <c r="K318" s="30" t="inlineStr">
        <is>
          <t>ÇIKIŞ_YOK</t>
        </is>
      </c>
      <c r="L318" s="8" t="n">
        <v>7.5</v>
      </c>
      <c r="M318" s="8" t="n">
        <v>0</v>
      </c>
      <c r="N318" s="4" t="inlineStr">
        <is>
          <t>İK / Amir Onayında</t>
        </is>
      </c>
    </row>
    <row r="319">
      <c r="A319" s="4" t="n">
        <v>4227</v>
      </c>
      <c r="B319" s="4" t="inlineStr">
        <is>
          <t>9.10.2026</t>
        </is>
      </c>
      <c r="C319" s="4" t="inlineStr">
        <is>
          <t>Cuma</t>
        </is>
      </c>
      <c r="D319" s="4" t="inlineStr">
        <is>
          <t>00765</t>
        </is>
      </c>
      <c r="E319" s="4" t="inlineStr">
        <is>
          <t>00765</t>
        </is>
      </c>
      <c r="F319" s="29" t="inlineStr">
        <is>
          <t>ZEYNEP ONBAŞI</t>
        </is>
      </c>
      <c r="G319" s="29" t="inlineStr">
        <is>
          <t>YEMEKHANE</t>
        </is>
      </c>
      <c r="H319" s="4" t="inlineStr">
        <is>
          <t>08:57</t>
        </is>
      </c>
      <c r="I319" s="4" t="inlineStr">
        <is>
          <t>17:38</t>
        </is>
      </c>
      <c r="J319" s="29" t="inlineStr">
        <is>
          <t>03:47, 08:57, 17:38</t>
        </is>
      </c>
      <c r="K319" s="30" t="inlineStr">
        <is>
          <t>ÇOKLU_BASIM_MIN_MAX</t>
        </is>
      </c>
      <c r="L319" s="8" t="n">
        <v>7</v>
      </c>
      <c r="M319" s="8" t="n">
        <v>0.5</v>
      </c>
      <c r="N319" s="4" t="inlineStr">
        <is>
          <t>İK / Amir Onayında</t>
        </is>
      </c>
    </row>
  </sheetData>
  <dataValidations count="1">
    <dataValidation sqref="L2:L319" showDropDown="0" showInputMessage="0" showErrorMessage="1" allowBlank="1" errorTitle="Geçersiz Süre (Maksimum 24 Saat)" error="HATA: Bir günde 24 saatten fazla çalışma süresi yazılamaz! Lütfen 0 ile 24.0 saat arasında bir değer giriniz." type="decimal" operator="between">
      <formula1>0</formula1>
      <formula2>24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22" customWidth="1" min="6" max="6"/>
    <col width="20" customWidth="1" min="7" max="7"/>
    <col width="14" customWidth="1" min="8" max="8"/>
    <col width="14" customWidth="1" min="9" max="9"/>
    <col width="18" customWidth="1" min="10" max="10"/>
    <col width="18" customWidth="1" min="11" max="11"/>
    <col width="18" customWidth="1" min="12" max="12"/>
    <col width="18" customWidth="1" min="13" max="13"/>
    <col width="22" customWidth="1" min="14" max="14"/>
  </cols>
  <sheetData>
    <row r="1" ht="25" customHeight="1">
      <c r="A1" s="2" t="inlineStr">
        <is>
          <t>Sıra No</t>
        </is>
      </c>
      <c r="B1" s="2" t="inlineStr">
        <is>
          <t>Tarih</t>
        </is>
      </c>
      <c r="C1" s="2" t="inlineStr">
        <is>
          <t>Gün</t>
        </is>
      </c>
      <c r="D1" s="2" t="inlineStr">
        <is>
          <t>Kart No</t>
        </is>
      </c>
      <c r="E1" s="2" t="inlineStr">
        <is>
          <t>Sicil No</t>
        </is>
      </c>
      <c r="F1" s="2" t="inlineStr">
        <is>
          <t>Adı Soyadı</t>
        </is>
      </c>
      <c r="G1" s="2" t="inlineStr">
        <is>
          <t>Bölüm / Görev</t>
        </is>
      </c>
      <c r="H1" s="2" t="inlineStr">
        <is>
          <t>Giriş Saati</t>
        </is>
      </c>
      <c r="I1" s="2" t="inlineStr">
        <is>
          <t>Çıkış Saati</t>
        </is>
      </c>
      <c r="J1" s="2" t="inlineStr">
        <is>
          <t>Fiili Çalışma (Saat)</t>
        </is>
      </c>
      <c r="K1" s="2" t="inlineStr">
        <is>
          <t>Eklenen Prim (Saat)</t>
        </is>
      </c>
      <c r="L1" s="2" t="inlineStr">
        <is>
          <t>Puantaja Yazılan Saat</t>
        </is>
      </c>
      <c r="M1" s="2" t="inlineStr">
        <is>
          <t>Toplam Fazla Mesai</t>
        </is>
      </c>
      <c r="N1" s="2" t="inlineStr">
        <is>
          <t>Vardiya Amiri / İK Onayı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239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</cols>
  <sheetData>
    <row r="1" ht="25" customHeight="1">
      <c r="A1" s="2" t="inlineStr">
        <is>
          <t>Sıra No</t>
        </is>
      </c>
      <c r="B1" s="2" t="inlineStr">
        <is>
          <t>Sicil No</t>
        </is>
      </c>
      <c r="C1" s="2" t="inlineStr">
        <is>
          <t>Kart No</t>
        </is>
      </c>
      <c r="D1" s="2" t="inlineStr">
        <is>
          <t>Adı Soyadı</t>
        </is>
      </c>
      <c r="E1" s="2" t="inlineStr">
        <is>
          <t>Gün</t>
        </is>
      </c>
      <c r="F1" s="2" t="inlineStr">
        <is>
          <t>Giriş Tarihi</t>
        </is>
      </c>
      <c r="G1" s="2" t="inlineStr">
        <is>
          <t>Giriş Saati</t>
        </is>
      </c>
      <c r="H1" s="2" t="inlineStr">
        <is>
          <t>Çıkış Tarihi</t>
        </is>
      </c>
      <c r="I1" s="2" t="inlineStr">
        <is>
          <t>Çıkış Saati</t>
        </is>
      </c>
      <c r="J1" s="2" t="inlineStr">
        <is>
          <t>Toplam Süre</t>
        </is>
      </c>
      <c r="K1" s="2" t="inlineStr">
        <is>
          <t>Normal Mesai</t>
        </is>
      </c>
      <c r="L1" s="2" t="inlineStr">
        <is>
          <t>Fazla Mesai</t>
        </is>
      </c>
      <c r="M1" s="2" t="inlineStr">
        <is>
          <t>Lokasyon</t>
        </is>
      </c>
    </row>
    <row r="2">
      <c r="A2" s="4" t="n">
        <v>1</v>
      </c>
      <c r="B2" s="4" t="inlineStr">
        <is>
          <t>00206</t>
        </is>
      </c>
      <c r="C2" s="4" t="inlineStr">
        <is>
          <t>00206</t>
        </is>
      </c>
      <c r="D2" s="29" t="inlineStr">
        <is>
          <t>ADALET KALAYCI</t>
        </is>
      </c>
      <c r="E2" s="4" t="inlineStr">
        <is>
          <t>Perşembe</t>
        </is>
      </c>
      <c r="F2" s="4" t="inlineStr">
        <is>
          <t>1.10.2026</t>
        </is>
      </c>
      <c r="G2" s="4" t="inlineStr">
        <is>
          <t>07:44</t>
        </is>
      </c>
      <c r="H2" s="4" t="inlineStr">
        <is>
          <t>1.10.2026</t>
        </is>
      </c>
      <c r="I2" s="4" t="inlineStr">
        <is>
          <t>17:30</t>
        </is>
      </c>
      <c r="J2" s="8" t="n">
        <v>8</v>
      </c>
      <c r="K2" s="8" t="n">
        <v>7.5</v>
      </c>
      <c r="L2" s="8" t="n">
        <v>0.5</v>
      </c>
      <c r="M2" s="29" t="inlineStr">
        <is>
          <t>BANDIRMA</t>
        </is>
      </c>
    </row>
    <row r="3">
      <c r="A3" s="4" t="n">
        <v>2</v>
      </c>
      <c r="B3" s="4" t="inlineStr">
        <is>
          <t>00206</t>
        </is>
      </c>
      <c r="C3" s="4" t="inlineStr">
        <is>
          <t>00206</t>
        </is>
      </c>
      <c r="D3" s="29" t="inlineStr">
        <is>
          <t>ADALET KALAYCI</t>
        </is>
      </c>
      <c r="E3" s="4" t="inlineStr">
        <is>
          <t>Cuma</t>
        </is>
      </c>
      <c r="F3" s="4" t="inlineStr">
        <is>
          <t>2.10.2026</t>
        </is>
      </c>
      <c r="G3" s="4" t="inlineStr">
        <is>
          <t>07:43</t>
        </is>
      </c>
      <c r="H3" s="4" t="inlineStr">
        <is>
          <t>2.10.2026</t>
        </is>
      </c>
      <c r="I3" s="4" t="inlineStr">
        <is>
          <t>17:47</t>
        </is>
      </c>
      <c r="J3" s="8" t="n">
        <v>8.5</v>
      </c>
      <c r="K3" s="8" t="n">
        <v>7.5</v>
      </c>
      <c r="L3" s="8" t="n">
        <v>1</v>
      </c>
      <c r="M3" s="29" t="inlineStr">
        <is>
          <t>BANDIRMA</t>
        </is>
      </c>
    </row>
    <row r="4">
      <c r="A4" s="4" t="n">
        <v>3</v>
      </c>
      <c r="B4" s="4" t="inlineStr">
        <is>
          <t>00206</t>
        </is>
      </c>
      <c r="C4" s="4" t="inlineStr">
        <is>
          <t>00206</t>
        </is>
      </c>
      <c r="D4" s="29" t="inlineStr">
        <is>
          <t>ADALET KALAYCI</t>
        </is>
      </c>
      <c r="E4" s="4" t="inlineStr">
        <is>
          <t>Çarşamba</t>
        </is>
      </c>
      <c r="F4" s="4" t="inlineStr">
        <is>
          <t>7.10.2026</t>
        </is>
      </c>
      <c r="G4" s="4" t="inlineStr">
        <is>
          <t>07:44</t>
        </is>
      </c>
      <c r="H4" s="4" t="inlineStr">
        <is>
          <t>7.10.2026</t>
        </is>
      </c>
      <c r="I4" s="4" t="inlineStr">
        <is>
          <t>17:27</t>
        </is>
      </c>
      <c r="J4" s="8" t="n">
        <v>8</v>
      </c>
      <c r="K4" s="8" t="n">
        <v>7.5</v>
      </c>
      <c r="L4" s="8" t="n">
        <v>0.5</v>
      </c>
      <c r="M4" s="29" t="inlineStr">
        <is>
          <t>BANDIRMA</t>
        </is>
      </c>
    </row>
    <row r="5">
      <c r="A5" s="4" t="n">
        <v>4</v>
      </c>
      <c r="B5" s="4" t="inlineStr">
        <is>
          <t>00206</t>
        </is>
      </c>
      <c r="C5" s="4" t="inlineStr">
        <is>
          <t>00206</t>
        </is>
      </c>
      <c r="D5" s="29" t="inlineStr">
        <is>
          <t>ADALET KALAYCI</t>
        </is>
      </c>
      <c r="E5" s="4" t="inlineStr">
        <is>
          <t>Perşembe</t>
        </is>
      </c>
      <c r="F5" s="4" t="inlineStr">
        <is>
          <t>8.10.2026</t>
        </is>
      </c>
      <c r="G5" s="4" t="inlineStr">
        <is>
          <t>07:44</t>
        </is>
      </c>
      <c r="H5" s="4" t="inlineStr">
        <is>
          <t>8.10.2026</t>
        </is>
      </c>
      <c r="I5" s="4" t="inlineStr">
        <is>
          <t>17:36</t>
        </is>
      </c>
      <c r="J5" s="8" t="n">
        <v>8</v>
      </c>
      <c r="K5" s="8" t="n">
        <v>7.5</v>
      </c>
      <c r="L5" s="8" t="n">
        <v>0.5</v>
      </c>
      <c r="M5" s="29" t="inlineStr">
        <is>
          <t>BANDIRMA</t>
        </is>
      </c>
    </row>
    <row r="6">
      <c r="A6" s="4" t="n">
        <v>5</v>
      </c>
      <c r="B6" s="4" t="inlineStr">
        <is>
          <t>00206</t>
        </is>
      </c>
      <c r="C6" s="4" t="inlineStr">
        <is>
          <t>00206</t>
        </is>
      </c>
      <c r="D6" s="29" t="inlineStr">
        <is>
          <t>ADALET KALAYCI</t>
        </is>
      </c>
      <c r="E6" s="4" t="inlineStr">
        <is>
          <t>Cuma</t>
        </is>
      </c>
      <c r="F6" s="4" t="inlineStr">
        <is>
          <t>9.10.2026</t>
        </is>
      </c>
      <c r="G6" s="4" t="inlineStr">
        <is>
          <t>07:42</t>
        </is>
      </c>
      <c r="H6" s="4" t="inlineStr">
        <is>
          <t>9.10.2026</t>
        </is>
      </c>
      <c r="I6" s="4" t="inlineStr">
        <is>
          <t>17:48</t>
        </is>
      </c>
      <c r="J6" s="8" t="n">
        <v>8.5</v>
      </c>
      <c r="K6" s="8" t="n">
        <v>7.5</v>
      </c>
      <c r="L6" s="8" t="n">
        <v>1</v>
      </c>
      <c r="M6" s="29" t="inlineStr">
        <is>
          <t>BANDIRMA</t>
        </is>
      </c>
    </row>
    <row r="7">
      <c r="A7" s="4" t="n">
        <v>6</v>
      </c>
      <c r="B7" s="4" t="inlineStr">
        <is>
          <t>00206</t>
        </is>
      </c>
      <c r="C7" s="4" t="inlineStr">
        <is>
          <t>00206</t>
        </is>
      </c>
      <c r="D7" s="29" t="inlineStr">
        <is>
          <t>ADALET KALAYCI</t>
        </is>
      </c>
      <c r="E7" s="4" t="inlineStr">
        <is>
          <t>Çarşamba</t>
        </is>
      </c>
      <c r="F7" s="4" t="inlineStr">
        <is>
          <t>14.10.2026</t>
        </is>
      </c>
      <c r="G7" s="4" t="inlineStr">
        <is>
          <t>07:46</t>
        </is>
      </c>
      <c r="H7" s="4" t="inlineStr">
        <is>
          <t>14.10.2026</t>
        </is>
      </c>
      <c r="I7" s="4" t="inlineStr">
        <is>
          <t>18:09</t>
        </is>
      </c>
      <c r="J7" s="8" t="n">
        <v>8.5</v>
      </c>
      <c r="K7" s="8" t="n">
        <v>7.5</v>
      </c>
      <c r="L7" s="8" t="n">
        <v>1</v>
      </c>
      <c r="M7" s="29" t="inlineStr">
        <is>
          <t>BANDIRMA</t>
        </is>
      </c>
    </row>
    <row r="8">
      <c r="A8" s="4" t="n">
        <v>7</v>
      </c>
      <c r="B8" s="4" t="inlineStr">
        <is>
          <t>00206</t>
        </is>
      </c>
      <c r="C8" s="4" t="inlineStr">
        <is>
          <t>00206</t>
        </is>
      </c>
      <c r="D8" s="29" t="inlineStr">
        <is>
          <t>ADALET KALAYCI</t>
        </is>
      </c>
      <c r="E8" s="4" t="inlineStr">
        <is>
          <t>Perşembe</t>
        </is>
      </c>
      <c r="F8" s="4" t="inlineStr">
        <is>
          <t>15.10.2026</t>
        </is>
      </c>
      <c r="G8" s="4" t="inlineStr">
        <is>
          <t>07:44</t>
        </is>
      </c>
      <c r="H8" s="4" t="inlineStr">
        <is>
          <t>15.10.2026</t>
        </is>
      </c>
      <c r="I8" s="4" t="inlineStr">
        <is>
          <t>17:04</t>
        </is>
      </c>
      <c r="J8" s="8" t="n">
        <v>7.5</v>
      </c>
      <c r="K8" s="8" t="n">
        <v>7.5</v>
      </c>
      <c r="L8" s="8" t="n">
        <v>0</v>
      </c>
      <c r="M8" s="29" t="inlineStr">
        <is>
          <t>BANDIRMA</t>
        </is>
      </c>
    </row>
    <row r="9">
      <c r="A9" s="4" t="n">
        <v>8</v>
      </c>
      <c r="B9" s="4" t="inlineStr">
        <is>
          <t>00206</t>
        </is>
      </c>
      <c r="C9" s="4" t="inlineStr">
        <is>
          <t>00206</t>
        </is>
      </c>
      <c r="D9" s="29" t="inlineStr">
        <is>
          <t>ADALET KALAYCI</t>
        </is>
      </c>
      <c r="E9" s="4" t="inlineStr">
        <is>
          <t>Pazartesi</t>
        </is>
      </c>
      <c r="F9" s="4" t="inlineStr">
        <is>
          <t>19.10.2026</t>
        </is>
      </c>
      <c r="G9" s="4" t="inlineStr">
        <is>
          <t>07:53</t>
        </is>
      </c>
      <c r="H9" s="4" t="inlineStr">
        <is>
          <t>19.10.2026</t>
        </is>
      </c>
      <c r="I9" s="4" t="inlineStr">
        <is>
          <t>17:47</t>
        </is>
      </c>
      <c r="J9" s="8" t="n">
        <v>8.5</v>
      </c>
      <c r="K9" s="8" t="n">
        <v>7.5</v>
      </c>
      <c r="L9" s="8" t="n">
        <v>1</v>
      </c>
      <c r="M9" s="29" t="inlineStr">
        <is>
          <t>BANDIRMA</t>
        </is>
      </c>
    </row>
    <row r="10">
      <c r="A10" s="4" t="n">
        <v>9</v>
      </c>
      <c r="B10" s="4" t="inlineStr">
        <is>
          <t>00206</t>
        </is>
      </c>
      <c r="C10" s="4" t="inlineStr">
        <is>
          <t>00206</t>
        </is>
      </c>
      <c r="D10" s="29" t="inlineStr">
        <is>
          <t>ADALET KALAYCI</t>
        </is>
      </c>
      <c r="E10" s="4" t="inlineStr">
        <is>
          <t>Salı</t>
        </is>
      </c>
      <c r="F10" s="4" t="inlineStr">
        <is>
          <t>20.10.2026</t>
        </is>
      </c>
      <c r="G10" s="4" t="inlineStr">
        <is>
          <t>07:42</t>
        </is>
      </c>
      <c r="H10" s="4" t="inlineStr">
        <is>
          <t>20.10.2026</t>
        </is>
      </c>
      <c r="I10" s="4" t="inlineStr">
        <is>
          <t>17:03</t>
        </is>
      </c>
      <c r="J10" s="8" t="n">
        <v>7.5</v>
      </c>
      <c r="K10" s="8" t="n">
        <v>7.5</v>
      </c>
      <c r="L10" s="8" t="n">
        <v>0</v>
      </c>
      <c r="M10" s="29" t="inlineStr">
        <is>
          <t>BANDIRMA</t>
        </is>
      </c>
    </row>
    <row r="11">
      <c r="A11" s="4" t="n">
        <v>10</v>
      </c>
      <c r="B11" s="4" t="inlineStr">
        <is>
          <t>00011</t>
        </is>
      </c>
      <c r="C11" s="4" t="inlineStr">
        <is>
          <t>00011</t>
        </is>
      </c>
      <c r="D11" s="29" t="inlineStr">
        <is>
          <t>ADVİYE YARICI</t>
        </is>
      </c>
      <c r="E11" s="4" t="inlineStr">
        <is>
          <t>Perşembe</t>
        </is>
      </c>
      <c r="F11" s="4" t="inlineStr">
        <is>
          <t>1.10.2026</t>
        </is>
      </c>
      <c r="G11" s="4" t="inlineStr">
        <is>
          <t>07:49</t>
        </is>
      </c>
      <c r="H11" s="4" t="inlineStr">
        <is>
          <t>1.10.2026</t>
        </is>
      </c>
      <c r="I11" s="4" t="inlineStr">
        <is>
          <t>17:28</t>
        </is>
      </c>
      <c r="J11" s="8" t="n">
        <v>8</v>
      </c>
      <c r="K11" s="8" t="n">
        <v>7.5</v>
      </c>
      <c r="L11" s="8" t="n">
        <v>0.5</v>
      </c>
      <c r="M11" s="29" t="inlineStr">
        <is>
          <t>HALİL DİĞRENCİ</t>
        </is>
      </c>
    </row>
    <row r="12">
      <c r="A12" s="4" t="n">
        <v>11</v>
      </c>
      <c r="B12" s="4" t="inlineStr">
        <is>
          <t>00011</t>
        </is>
      </c>
      <c r="C12" s="4" t="inlineStr">
        <is>
          <t>00011</t>
        </is>
      </c>
      <c r="D12" s="29" t="inlineStr">
        <is>
          <t>ADVİYE YARICI</t>
        </is>
      </c>
      <c r="E12" s="4" t="inlineStr">
        <is>
          <t>Cuma</t>
        </is>
      </c>
      <c r="F12" s="4" t="inlineStr">
        <is>
          <t>2.10.2026</t>
        </is>
      </c>
      <c r="G12" s="4" t="inlineStr">
        <is>
          <t>07:47</t>
        </is>
      </c>
      <c r="H12" s="4" t="inlineStr">
        <is>
          <t>2.10.2026</t>
        </is>
      </c>
      <c r="I12" s="4" t="inlineStr">
        <is>
          <t>17:50</t>
        </is>
      </c>
      <c r="J12" s="8" t="n">
        <v>8.5</v>
      </c>
      <c r="K12" s="8" t="n">
        <v>7.5</v>
      </c>
      <c r="L12" s="8" t="n">
        <v>1</v>
      </c>
      <c r="M12" s="29" t="inlineStr">
        <is>
          <t>HALİL DİĞRENCİ</t>
        </is>
      </c>
    </row>
    <row r="13">
      <c r="A13" s="4" t="n">
        <v>12</v>
      </c>
      <c r="B13" s="4" t="inlineStr">
        <is>
          <t>00011</t>
        </is>
      </c>
      <c r="C13" s="4" t="inlineStr">
        <is>
          <t>00011</t>
        </is>
      </c>
      <c r="D13" s="29" t="inlineStr">
        <is>
          <t>ADVİYE YARICI</t>
        </is>
      </c>
      <c r="E13" s="4" t="inlineStr">
        <is>
          <t>Cumartesi</t>
        </is>
      </c>
      <c r="F13" s="4" t="inlineStr">
        <is>
          <t>3.10.2026</t>
        </is>
      </c>
      <c r="G13" s="4" t="inlineStr">
        <is>
          <t>07:45</t>
        </is>
      </c>
      <c r="H13" s="4" t="inlineStr">
        <is>
          <t>3.10.2026</t>
        </is>
      </c>
      <c r="I13" s="4" t="inlineStr">
        <is>
          <t>17:38</t>
        </is>
      </c>
      <c r="J13" s="8" t="n">
        <v>8</v>
      </c>
      <c r="K13" s="8" t="n">
        <v>7.5</v>
      </c>
      <c r="L13" s="8" t="n">
        <v>0.5</v>
      </c>
      <c r="M13" s="29" t="inlineStr">
        <is>
          <t>HALİL DİĞRENCİ</t>
        </is>
      </c>
    </row>
    <row r="14">
      <c r="A14" s="4" t="n">
        <v>13</v>
      </c>
      <c r="B14" s="4" t="inlineStr">
        <is>
          <t>00011</t>
        </is>
      </c>
      <c r="C14" s="4" t="inlineStr">
        <is>
          <t>00011</t>
        </is>
      </c>
      <c r="D14" s="29" t="inlineStr">
        <is>
          <t>ADVİYE YARICI</t>
        </is>
      </c>
      <c r="E14" s="4" t="inlineStr">
        <is>
          <t>Pazartesi</t>
        </is>
      </c>
      <c r="F14" s="4" t="inlineStr">
        <is>
          <t>5.10.2026</t>
        </is>
      </c>
      <c r="G14" s="4" t="inlineStr">
        <is>
          <t>08:01</t>
        </is>
      </c>
      <c r="H14" s="4" t="inlineStr">
        <is>
          <t>5.10.2026</t>
        </is>
      </c>
      <c r="I14" s="4" t="inlineStr">
        <is>
          <t>17:09</t>
        </is>
      </c>
      <c r="J14" s="8" t="n">
        <v>7.5</v>
      </c>
      <c r="K14" s="8" t="n">
        <v>7.5</v>
      </c>
      <c r="L14" s="8" t="n">
        <v>0</v>
      </c>
      <c r="M14" s="29" t="inlineStr">
        <is>
          <t>HALİL DİĞRENCİ</t>
        </is>
      </c>
    </row>
    <row r="15">
      <c r="A15" s="4" t="n">
        <v>14</v>
      </c>
      <c r="B15" s="4" t="inlineStr">
        <is>
          <t>00011</t>
        </is>
      </c>
      <c r="C15" s="4" t="inlineStr">
        <is>
          <t>00011</t>
        </is>
      </c>
      <c r="D15" s="29" t="inlineStr">
        <is>
          <t>ADVİYE YARICI</t>
        </is>
      </c>
      <c r="E15" s="4" t="inlineStr">
        <is>
          <t>Çarşamba</t>
        </is>
      </c>
      <c r="F15" s="4" t="inlineStr">
        <is>
          <t>7.10.2026</t>
        </is>
      </c>
      <c r="G15" s="4" t="inlineStr">
        <is>
          <t>07:34</t>
        </is>
      </c>
      <c r="H15" s="4" t="inlineStr">
        <is>
          <t>7.10.2026</t>
        </is>
      </c>
      <c r="I15" s="4" t="inlineStr">
        <is>
          <t>17:28</t>
        </is>
      </c>
      <c r="J15" s="8" t="n">
        <v>8</v>
      </c>
      <c r="K15" s="8" t="n">
        <v>7.5</v>
      </c>
      <c r="L15" s="8" t="n">
        <v>0.5</v>
      </c>
      <c r="M15" s="29" t="inlineStr">
        <is>
          <t>HALİL DİĞRENCİ</t>
        </is>
      </c>
    </row>
    <row r="16">
      <c r="A16" s="4" t="n">
        <v>15</v>
      </c>
      <c r="B16" s="4" t="inlineStr">
        <is>
          <t>00011</t>
        </is>
      </c>
      <c r="C16" s="4" t="inlineStr">
        <is>
          <t>00011</t>
        </is>
      </c>
      <c r="D16" s="29" t="inlineStr">
        <is>
          <t>ADVİYE YARICI</t>
        </is>
      </c>
      <c r="E16" s="4" t="inlineStr">
        <is>
          <t>Perşembe</t>
        </is>
      </c>
      <c r="F16" s="4" t="inlineStr">
        <is>
          <t>8.10.2026</t>
        </is>
      </c>
      <c r="G16" s="4" t="inlineStr">
        <is>
          <t>07:54</t>
        </is>
      </c>
      <c r="H16" s="4" t="inlineStr">
        <is>
          <t>8.10.2026</t>
        </is>
      </c>
      <c r="I16" s="4" t="inlineStr">
        <is>
          <t>17:38</t>
        </is>
      </c>
      <c r="J16" s="8" t="n">
        <v>8</v>
      </c>
      <c r="K16" s="8" t="n">
        <v>7.5</v>
      </c>
      <c r="L16" s="8" t="n">
        <v>0.5</v>
      </c>
      <c r="M16" s="29" t="inlineStr">
        <is>
          <t>HALİL DİĞRENCİ</t>
        </is>
      </c>
    </row>
    <row r="17">
      <c r="A17" s="4" t="n">
        <v>16</v>
      </c>
      <c r="B17" s="4" t="inlineStr">
        <is>
          <t>00011</t>
        </is>
      </c>
      <c r="C17" s="4" t="inlineStr">
        <is>
          <t>00011</t>
        </is>
      </c>
      <c r="D17" s="29" t="inlineStr">
        <is>
          <t>ADVİYE YARICI</t>
        </is>
      </c>
      <c r="E17" s="4" t="inlineStr">
        <is>
          <t>Cuma</t>
        </is>
      </c>
      <c r="F17" s="4" t="inlineStr">
        <is>
          <t>9.10.2026</t>
        </is>
      </c>
      <c r="G17" s="4" t="inlineStr">
        <is>
          <t>07:56</t>
        </is>
      </c>
      <c r="H17" s="4" t="inlineStr">
        <is>
          <t>9.10.2026</t>
        </is>
      </c>
      <c r="I17" s="4" t="inlineStr">
        <is>
          <t>17:46</t>
        </is>
      </c>
      <c r="J17" s="8" t="n">
        <v>8.5</v>
      </c>
      <c r="K17" s="8" t="n">
        <v>7.5</v>
      </c>
      <c r="L17" s="8" t="n">
        <v>1</v>
      </c>
      <c r="M17" s="29" t="inlineStr">
        <is>
          <t>HALİL DİĞRENCİ</t>
        </is>
      </c>
    </row>
    <row r="18">
      <c r="A18" s="4" t="n">
        <v>17</v>
      </c>
      <c r="B18" s="4" t="inlineStr">
        <is>
          <t>00011</t>
        </is>
      </c>
      <c r="C18" s="4" t="inlineStr">
        <is>
          <t>00011</t>
        </is>
      </c>
      <c r="D18" s="29" t="inlineStr">
        <is>
          <t>ADVİYE YARICI</t>
        </is>
      </c>
      <c r="E18" s="4" t="inlineStr">
        <is>
          <t>Cumartesi</t>
        </is>
      </c>
      <c r="F18" s="4" t="inlineStr">
        <is>
          <t>10.10.2026</t>
        </is>
      </c>
      <c r="G18" s="4" t="inlineStr">
        <is>
          <t>07:58</t>
        </is>
      </c>
      <c r="H18" s="4" t="inlineStr">
        <is>
          <t>10.10.2026</t>
        </is>
      </c>
      <c r="I18" s="4" t="inlineStr">
        <is>
          <t>18:14</t>
        </is>
      </c>
      <c r="J18" s="8" t="n">
        <v>8.5</v>
      </c>
      <c r="K18" s="8" t="n">
        <v>7.5</v>
      </c>
      <c r="L18" s="8" t="n">
        <v>1</v>
      </c>
      <c r="M18" s="29" t="inlineStr">
        <is>
          <t>HALİL DİĞRENCİ</t>
        </is>
      </c>
    </row>
    <row r="19">
      <c r="A19" s="4" t="n">
        <v>18</v>
      </c>
      <c r="B19" s="4" t="inlineStr">
        <is>
          <t>00011</t>
        </is>
      </c>
      <c r="C19" s="4" t="inlineStr">
        <is>
          <t>00011</t>
        </is>
      </c>
      <c r="D19" s="29" t="inlineStr">
        <is>
          <t>ADVİYE YARICI</t>
        </is>
      </c>
      <c r="E19" s="4" t="inlineStr">
        <is>
          <t>Pazartesi</t>
        </is>
      </c>
      <c r="F19" s="4" t="inlineStr">
        <is>
          <t>12.10.2026</t>
        </is>
      </c>
      <c r="G19" s="4" t="inlineStr">
        <is>
          <t>08:01</t>
        </is>
      </c>
      <c r="H19" s="4" t="inlineStr">
        <is>
          <t>12.10.2026</t>
        </is>
      </c>
      <c r="I19" s="4" t="inlineStr">
        <is>
          <t>17:04</t>
        </is>
      </c>
      <c r="J19" s="8" t="n">
        <v>7.5</v>
      </c>
      <c r="K19" s="8" t="n">
        <v>7.5</v>
      </c>
      <c r="L19" s="8" t="n">
        <v>0</v>
      </c>
      <c r="M19" s="29" t="inlineStr">
        <is>
          <t>HALİL DİĞRENCİ</t>
        </is>
      </c>
    </row>
    <row r="20">
      <c r="A20" s="4" t="n">
        <v>19</v>
      </c>
      <c r="B20" s="4" t="inlineStr">
        <is>
          <t>00011</t>
        </is>
      </c>
      <c r="C20" s="4" t="inlineStr">
        <is>
          <t>00011</t>
        </is>
      </c>
      <c r="D20" s="29" t="inlineStr">
        <is>
          <t>ADVİYE YARICI</t>
        </is>
      </c>
      <c r="E20" s="4" t="inlineStr">
        <is>
          <t>Salı</t>
        </is>
      </c>
      <c r="F20" s="4" t="inlineStr">
        <is>
          <t>13.10.2026</t>
        </is>
      </c>
      <c r="G20" s="4" t="inlineStr">
        <is>
          <t>08:01</t>
        </is>
      </c>
      <c r="H20" s="4" t="inlineStr">
        <is>
          <t>13.10.2026</t>
        </is>
      </c>
      <c r="I20" s="4" t="inlineStr">
        <is>
          <t>17:02</t>
        </is>
      </c>
      <c r="J20" s="8" t="n">
        <v>7.5</v>
      </c>
      <c r="K20" s="8" t="n">
        <v>7.5</v>
      </c>
      <c r="L20" s="8" t="n">
        <v>0</v>
      </c>
      <c r="M20" s="29" t="inlineStr">
        <is>
          <t>HALİL DİĞRENCİ</t>
        </is>
      </c>
    </row>
    <row r="21">
      <c r="A21" s="4" t="n">
        <v>20</v>
      </c>
      <c r="B21" s="4" t="inlineStr">
        <is>
          <t>00011</t>
        </is>
      </c>
      <c r="C21" s="4" t="inlineStr">
        <is>
          <t>00011</t>
        </is>
      </c>
      <c r="D21" s="29" t="inlineStr">
        <is>
          <t>ADVİYE YARICI</t>
        </is>
      </c>
      <c r="E21" s="4" t="inlineStr">
        <is>
          <t>Çarşamba</t>
        </is>
      </c>
      <c r="F21" s="4" t="inlineStr">
        <is>
          <t>14.10.2026</t>
        </is>
      </c>
      <c r="G21" s="4" t="inlineStr">
        <is>
          <t>07:55</t>
        </is>
      </c>
      <c r="H21" s="4" t="inlineStr">
        <is>
          <t>14.10.2026</t>
        </is>
      </c>
      <c r="I21" s="4" t="inlineStr">
        <is>
          <t>18:08</t>
        </is>
      </c>
      <c r="J21" s="8" t="n">
        <v>8.5</v>
      </c>
      <c r="K21" s="8" t="n">
        <v>7.5</v>
      </c>
      <c r="L21" s="8" t="n">
        <v>1</v>
      </c>
      <c r="M21" s="29" t="inlineStr">
        <is>
          <t>HALİL DİĞRENCİ</t>
        </is>
      </c>
    </row>
    <row r="22">
      <c r="A22" s="4" t="n">
        <v>21</v>
      </c>
      <c r="B22" s="4" t="inlineStr">
        <is>
          <t>00011</t>
        </is>
      </c>
      <c r="C22" s="4" t="inlineStr">
        <is>
          <t>00011</t>
        </is>
      </c>
      <c r="D22" s="29" t="inlineStr">
        <is>
          <t>ADVİYE YARICI</t>
        </is>
      </c>
      <c r="E22" s="4" t="inlineStr">
        <is>
          <t>Perşembe</t>
        </is>
      </c>
      <c r="F22" s="4" t="inlineStr">
        <is>
          <t>15.10.2026</t>
        </is>
      </c>
      <c r="G22" s="4" t="inlineStr">
        <is>
          <t>08:02</t>
        </is>
      </c>
      <c r="H22" s="4" t="inlineStr">
        <is>
          <t>15.10.2026</t>
        </is>
      </c>
      <c r="I22" s="4" t="inlineStr">
        <is>
          <t>17:03</t>
        </is>
      </c>
      <c r="J22" s="8" t="n">
        <v>7.5</v>
      </c>
      <c r="K22" s="8" t="n">
        <v>7.5</v>
      </c>
      <c r="L22" s="8" t="n">
        <v>0</v>
      </c>
      <c r="M22" s="29" t="inlineStr">
        <is>
          <t>HALİL DİĞRENCİ</t>
        </is>
      </c>
    </row>
    <row r="23">
      <c r="A23" s="4" t="n">
        <v>22</v>
      </c>
      <c r="B23" s="4" t="inlineStr">
        <is>
          <t>00011</t>
        </is>
      </c>
      <c r="C23" s="4" t="inlineStr">
        <is>
          <t>00011</t>
        </is>
      </c>
      <c r="D23" s="29" t="inlineStr">
        <is>
          <t>ADVİYE YARICI</t>
        </is>
      </c>
      <c r="E23" s="4" t="inlineStr">
        <is>
          <t>Cuma</t>
        </is>
      </c>
      <c r="F23" s="4" t="inlineStr">
        <is>
          <t>16.10.2026</t>
        </is>
      </c>
      <c r="G23" s="4" t="inlineStr">
        <is>
          <t>07:51</t>
        </is>
      </c>
      <c r="H23" s="4" t="inlineStr">
        <is>
          <t>16.10.2026</t>
        </is>
      </c>
      <c r="I23" s="4" t="inlineStr">
        <is>
          <t>17:17</t>
        </is>
      </c>
      <c r="J23" s="8" t="n">
        <v>7.5</v>
      </c>
      <c r="K23" s="8" t="n">
        <v>7.5</v>
      </c>
      <c r="L23" s="8" t="n">
        <v>0</v>
      </c>
      <c r="M23" s="29" t="inlineStr">
        <is>
          <t>HALİL DİĞRENCİ</t>
        </is>
      </c>
    </row>
    <row r="24">
      <c r="A24" s="4" t="n">
        <v>23</v>
      </c>
      <c r="B24" s="4" t="inlineStr">
        <is>
          <t>00011</t>
        </is>
      </c>
      <c r="C24" s="4" t="inlineStr">
        <is>
          <t>00011</t>
        </is>
      </c>
      <c r="D24" s="29" t="inlineStr">
        <is>
          <t>ADVİYE YARICI</t>
        </is>
      </c>
      <c r="E24" s="4" t="inlineStr">
        <is>
          <t>Cumartesi</t>
        </is>
      </c>
      <c r="F24" s="4" t="inlineStr">
        <is>
          <t>17.10.2026</t>
        </is>
      </c>
      <c r="G24" s="4" t="inlineStr">
        <is>
          <t>07:54</t>
        </is>
      </c>
      <c r="H24" s="4" t="inlineStr">
        <is>
          <t>17.10.2026</t>
        </is>
      </c>
      <c r="I24" s="4" t="inlineStr">
        <is>
          <t>17:51</t>
        </is>
      </c>
      <c r="J24" s="8" t="n">
        <v>8.5</v>
      </c>
      <c r="K24" s="8" t="n">
        <v>7.5</v>
      </c>
      <c r="L24" s="8" t="n">
        <v>1</v>
      </c>
      <c r="M24" s="29" t="inlineStr">
        <is>
          <t>HALİL DİĞRENCİ</t>
        </is>
      </c>
    </row>
    <row r="25">
      <c r="A25" s="4" t="n">
        <v>24</v>
      </c>
      <c r="B25" s="4" t="inlineStr">
        <is>
          <t>00011</t>
        </is>
      </c>
      <c r="C25" s="4" t="inlineStr">
        <is>
          <t>00011</t>
        </is>
      </c>
      <c r="D25" s="29" t="inlineStr">
        <is>
          <t>ADVİYE YARICI</t>
        </is>
      </c>
      <c r="E25" s="4" t="inlineStr">
        <is>
          <t>Pazartesi</t>
        </is>
      </c>
      <c r="F25" s="4" t="inlineStr">
        <is>
          <t>19.10.2026</t>
        </is>
      </c>
      <c r="G25" s="4" t="inlineStr">
        <is>
          <t>08:00</t>
        </is>
      </c>
      <c r="H25" s="4" t="inlineStr">
        <is>
          <t>19.10.2026</t>
        </is>
      </c>
      <c r="I25" s="4" t="inlineStr">
        <is>
          <t>17:48</t>
        </is>
      </c>
      <c r="J25" s="8" t="n">
        <v>8.5</v>
      </c>
      <c r="K25" s="8" t="n">
        <v>7.5</v>
      </c>
      <c r="L25" s="8" t="n">
        <v>1</v>
      </c>
      <c r="M25" s="29" t="inlineStr">
        <is>
          <t>HALİL DİĞRENCİ</t>
        </is>
      </c>
    </row>
    <row r="26">
      <c r="A26" s="4" t="n">
        <v>25</v>
      </c>
      <c r="B26" s="4" t="inlineStr">
        <is>
          <t>00207</t>
        </is>
      </c>
      <c r="C26" s="4" t="inlineStr">
        <is>
          <t>00207</t>
        </is>
      </c>
      <c r="D26" s="29" t="inlineStr">
        <is>
          <t>AHMET ŞŞENER</t>
        </is>
      </c>
      <c r="E26" s="4" t="inlineStr">
        <is>
          <t>Perşembe</t>
        </is>
      </c>
      <c r="F26" s="4" t="inlineStr">
        <is>
          <t>1.10.2026</t>
        </is>
      </c>
      <c r="G26" s="4" t="inlineStr">
        <is>
          <t>07:39</t>
        </is>
      </c>
      <c r="H26" s="4" t="inlineStr">
        <is>
          <t>1.10.2026</t>
        </is>
      </c>
      <c r="I26" s="4" t="inlineStr">
        <is>
          <t>16:59</t>
        </is>
      </c>
      <c r="J26" s="8" t="n">
        <v>7.5</v>
      </c>
      <c r="K26" s="8" t="n">
        <v>7.5</v>
      </c>
      <c r="L26" s="8" t="n">
        <v>0</v>
      </c>
      <c r="M26" s="29" t="inlineStr">
        <is>
          <t>SUSURLUK</t>
        </is>
      </c>
    </row>
    <row r="27">
      <c r="A27" s="4" t="n">
        <v>26</v>
      </c>
      <c r="B27" s="4" t="inlineStr">
        <is>
          <t>00207</t>
        </is>
      </c>
      <c r="C27" s="4" t="inlineStr">
        <is>
          <t>00207</t>
        </is>
      </c>
      <c r="D27" s="29" t="inlineStr">
        <is>
          <t>AHMET ŞŞENER</t>
        </is>
      </c>
      <c r="E27" s="4" t="inlineStr">
        <is>
          <t>Cuma</t>
        </is>
      </c>
      <c r="F27" s="4" t="inlineStr">
        <is>
          <t>2.10.2026</t>
        </is>
      </c>
      <c r="G27" s="4" t="inlineStr">
        <is>
          <t>07:29</t>
        </is>
      </c>
      <c r="H27" s="4" t="inlineStr">
        <is>
          <t>2.10.2026</t>
        </is>
      </c>
      <c r="I27" s="4" t="inlineStr">
        <is>
          <t>17:03</t>
        </is>
      </c>
      <c r="J27" s="8" t="n">
        <v>7.5</v>
      </c>
      <c r="K27" s="8" t="n">
        <v>7.5</v>
      </c>
      <c r="L27" s="8" t="n">
        <v>0</v>
      </c>
      <c r="M27" s="29" t="inlineStr">
        <is>
          <t>SUSURLUK</t>
        </is>
      </c>
    </row>
    <row r="28">
      <c r="A28" s="4" t="n">
        <v>27</v>
      </c>
      <c r="B28" s="4" t="inlineStr">
        <is>
          <t>00207</t>
        </is>
      </c>
      <c r="C28" s="4" t="inlineStr">
        <is>
          <t>00207</t>
        </is>
      </c>
      <c r="D28" s="29" t="inlineStr">
        <is>
          <t>AHMET ŞŞENER</t>
        </is>
      </c>
      <c r="E28" s="4" t="inlineStr">
        <is>
          <t>Cumartesi</t>
        </is>
      </c>
      <c r="F28" s="4" t="inlineStr">
        <is>
          <t>3.10.2026</t>
        </is>
      </c>
      <c r="G28" s="4" t="inlineStr">
        <is>
          <t>09:08</t>
        </is>
      </c>
      <c r="H28" s="4" t="inlineStr">
        <is>
          <t>3.10.2026</t>
        </is>
      </c>
      <c r="I28" s="4" t="inlineStr">
        <is>
          <t>17:04</t>
        </is>
      </c>
      <c r="J28" s="8" t="n">
        <v>6.5</v>
      </c>
      <c r="K28" s="8" t="n">
        <v>6.5</v>
      </c>
      <c r="L28" s="8" t="n">
        <v>0</v>
      </c>
      <c r="M28" s="29" t="inlineStr">
        <is>
          <t>SUSURLUK</t>
        </is>
      </c>
    </row>
    <row r="29">
      <c r="A29" s="4" t="n">
        <v>28</v>
      </c>
      <c r="B29" s="4" t="inlineStr">
        <is>
          <t>00207</t>
        </is>
      </c>
      <c r="C29" s="4" t="inlineStr">
        <is>
          <t>00207</t>
        </is>
      </c>
      <c r="D29" s="29" t="inlineStr">
        <is>
          <t>AHMET ŞŞENER</t>
        </is>
      </c>
      <c r="E29" s="4" t="inlineStr">
        <is>
          <t>Pazartesi</t>
        </is>
      </c>
      <c r="F29" s="4" t="inlineStr">
        <is>
          <t>5.10.2026</t>
        </is>
      </c>
      <c r="G29" s="4" t="inlineStr">
        <is>
          <t>07:43</t>
        </is>
      </c>
      <c r="H29" s="4" t="inlineStr">
        <is>
          <t>5.10.2026</t>
        </is>
      </c>
      <c r="I29" s="4" t="inlineStr">
        <is>
          <t>17:00</t>
        </is>
      </c>
      <c r="J29" s="8" t="n">
        <v>7.5</v>
      </c>
      <c r="K29" s="8" t="n">
        <v>7.5</v>
      </c>
      <c r="L29" s="8" t="n">
        <v>0</v>
      </c>
      <c r="M29" s="29" t="inlineStr">
        <is>
          <t>SUSURLUK</t>
        </is>
      </c>
    </row>
    <row r="30">
      <c r="A30" s="4" t="n">
        <v>29</v>
      </c>
      <c r="B30" s="4" t="inlineStr">
        <is>
          <t>00207</t>
        </is>
      </c>
      <c r="C30" s="4" t="inlineStr">
        <is>
          <t>00207</t>
        </is>
      </c>
      <c r="D30" s="29" t="inlineStr">
        <is>
          <t>AHMET ŞŞENER</t>
        </is>
      </c>
      <c r="E30" s="4" t="inlineStr">
        <is>
          <t>Salı</t>
        </is>
      </c>
      <c r="F30" s="4" t="inlineStr">
        <is>
          <t>6.10.2026</t>
        </is>
      </c>
      <c r="G30" s="4" t="inlineStr">
        <is>
          <t>07:43</t>
        </is>
      </c>
      <c r="H30" s="4" t="inlineStr">
        <is>
          <t>6.10.2026</t>
        </is>
      </c>
      <c r="I30" s="4" t="inlineStr">
        <is>
          <t>17:03</t>
        </is>
      </c>
      <c r="J30" s="8" t="n">
        <v>7.5</v>
      </c>
      <c r="K30" s="8" t="n">
        <v>7.5</v>
      </c>
      <c r="L30" s="8" t="n">
        <v>0</v>
      </c>
      <c r="M30" s="29" t="inlineStr">
        <is>
          <t>SUSURLUK</t>
        </is>
      </c>
    </row>
    <row r="31">
      <c r="A31" s="4" t="n">
        <v>30</v>
      </c>
      <c r="B31" s="4" t="inlineStr">
        <is>
          <t>00207</t>
        </is>
      </c>
      <c r="C31" s="4" t="inlineStr">
        <is>
          <t>00207</t>
        </is>
      </c>
      <c r="D31" s="29" t="inlineStr">
        <is>
          <t>AHMET ŞŞENER</t>
        </is>
      </c>
      <c r="E31" s="4" t="inlineStr">
        <is>
          <t>Çarşamba</t>
        </is>
      </c>
      <c r="F31" s="4" t="inlineStr">
        <is>
          <t>7.10.2026</t>
        </is>
      </c>
      <c r="G31" s="4" t="inlineStr">
        <is>
          <t>07:42</t>
        </is>
      </c>
      <c r="H31" s="4" t="inlineStr">
        <is>
          <t>7.10.2026</t>
        </is>
      </c>
      <c r="I31" s="4" t="inlineStr">
        <is>
          <t>16:58</t>
        </is>
      </c>
      <c r="J31" s="8" t="n">
        <v>7.5</v>
      </c>
      <c r="K31" s="8" t="n">
        <v>7.5</v>
      </c>
      <c r="L31" s="8" t="n">
        <v>0</v>
      </c>
      <c r="M31" s="29" t="inlineStr">
        <is>
          <t>SUSURLUK</t>
        </is>
      </c>
    </row>
    <row r="32">
      <c r="A32" s="4" t="n">
        <v>31</v>
      </c>
      <c r="B32" s="4" t="inlineStr">
        <is>
          <t>00207</t>
        </is>
      </c>
      <c r="C32" s="4" t="inlineStr">
        <is>
          <t>00207</t>
        </is>
      </c>
      <c r="D32" s="29" t="inlineStr">
        <is>
          <t>AHMET ŞŞENER</t>
        </is>
      </c>
      <c r="E32" s="4" t="inlineStr">
        <is>
          <t>Perşembe</t>
        </is>
      </c>
      <c r="F32" s="4" t="inlineStr">
        <is>
          <t>8.10.2026</t>
        </is>
      </c>
      <c r="G32" s="4" t="inlineStr">
        <is>
          <t>07:44</t>
        </is>
      </c>
      <c r="H32" s="4" t="inlineStr">
        <is>
          <t>8.10.2026</t>
        </is>
      </c>
      <c r="I32" s="4" t="inlineStr">
        <is>
          <t>17:01</t>
        </is>
      </c>
      <c r="J32" s="8" t="n">
        <v>7.5</v>
      </c>
      <c r="K32" s="8" t="n">
        <v>7.5</v>
      </c>
      <c r="L32" s="8" t="n">
        <v>0</v>
      </c>
      <c r="M32" s="29" t="inlineStr">
        <is>
          <t>SUSURLUK</t>
        </is>
      </c>
    </row>
    <row r="33">
      <c r="A33" s="4" t="n">
        <v>32</v>
      </c>
      <c r="B33" s="4" t="inlineStr">
        <is>
          <t>00207</t>
        </is>
      </c>
      <c r="C33" s="4" t="inlineStr">
        <is>
          <t>00207</t>
        </is>
      </c>
      <c r="D33" s="29" t="inlineStr">
        <is>
          <t>AHMET ŞŞENER</t>
        </is>
      </c>
      <c r="E33" s="4" t="inlineStr">
        <is>
          <t>Cuma</t>
        </is>
      </c>
      <c r="F33" s="4" t="inlineStr">
        <is>
          <t>9.10.2026</t>
        </is>
      </c>
      <c r="G33" s="4" t="inlineStr">
        <is>
          <t>07:31</t>
        </is>
      </c>
      <c r="H33" s="4" t="inlineStr">
        <is>
          <t>9.10.2026</t>
        </is>
      </c>
      <c r="I33" s="4" t="inlineStr">
        <is>
          <t>14:38</t>
        </is>
      </c>
      <c r="J33" s="8" t="n">
        <v>0</v>
      </c>
      <c r="K33" s="8" t="n">
        <v>0</v>
      </c>
      <c r="L33" s="8" t="n">
        <v>0</v>
      </c>
      <c r="M33" s="29" t="inlineStr">
        <is>
          <t>SUSURLUK</t>
        </is>
      </c>
    </row>
    <row r="34">
      <c r="A34" s="4" t="n">
        <v>33</v>
      </c>
      <c r="B34" s="4" t="inlineStr">
        <is>
          <t>00207</t>
        </is>
      </c>
      <c r="C34" s="4" t="inlineStr">
        <is>
          <t>00207</t>
        </is>
      </c>
      <c r="D34" s="29" t="inlineStr">
        <is>
          <t>AHMET ŞŞENER</t>
        </is>
      </c>
      <c r="E34" s="4" t="inlineStr">
        <is>
          <t>Pazartesi</t>
        </is>
      </c>
      <c r="F34" s="4" t="inlineStr">
        <is>
          <t>12.10.2026</t>
        </is>
      </c>
      <c r="G34" s="4" t="inlineStr">
        <is>
          <t>07:30</t>
        </is>
      </c>
      <c r="H34" s="4" t="inlineStr">
        <is>
          <t>12.10.2026</t>
        </is>
      </c>
      <c r="I34" s="4" t="inlineStr">
        <is>
          <t>16:57</t>
        </is>
      </c>
      <c r="J34" s="8" t="n">
        <v>7.5</v>
      </c>
      <c r="K34" s="8" t="n">
        <v>7.5</v>
      </c>
      <c r="L34" s="8" t="n">
        <v>0</v>
      </c>
      <c r="M34" s="29" t="inlineStr">
        <is>
          <t>SUSURLUK</t>
        </is>
      </c>
    </row>
    <row r="35">
      <c r="A35" s="4" t="n">
        <v>34</v>
      </c>
      <c r="B35" s="4" t="inlineStr">
        <is>
          <t>00207</t>
        </is>
      </c>
      <c r="C35" s="4" t="inlineStr">
        <is>
          <t>00207</t>
        </is>
      </c>
      <c r="D35" s="29" t="inlineStr">
        <is>
          <t>AHMET ŞŞENER</t>
        </is>
      </c>
      <c r="E35" s="4" t="inlineStr">
        <is>
          <t>Salı</t>
        </is>
      </c>
      <c r="F35" s="4" t="inlineStr">
        <is>
          <t>13.10.2026</t>
        </is>
      </c>
      <c r="G35" s="4" t="inlineStr">
        <is>
          <t>07:47</t>
        </is>
      </c>
      <c r="H35" s="4" t="inlineStr">
        <is>
          <t>13.10.2026</t>
        </is>
      </c>
      <c r="I35" s="4" t="inlineStr">
        <is>
          <t>16:58</t>
        </is>
      </c>
      <c r="J35" s="8" t="n">
        <v>7.5</v>
      </c>
      <c r="K35" s="8" t="n">
        <v>7.5</v>
      </c>
      <c r="L35" s="8" t="n">
        <v>0</v>
      </c>
      <c r="M35" s="29" t="inlineStr">
        <is>
          <t>SUSURLUK</t>
        </is>
      </c>
    </row>
    <row r="36">
      <c r="A36" s="4" t="n">
        <v>35</v>
      </c>
      <c r="B36" s="4" t="inlineStr">
        <is>
          <t>00207</t>
        </is>
      </c>
      <c r="C36" s="4" t="inlineStr">
        <is>
          <t>00207</t>
        </is>
      </c>
      <c r="D36" s="29" t="inlineStr">
        <is>
          <t>AHMET ŞŞENER</t>
        </is>
      </c>
      <c r="E36" s="4" t="inlineStr">
        <is>
          <t>Çarşamba</t>
        </is>
      </c>
      <c r="F36" s="4" t="inlineStr">
        <is>
          <t>14.10.2026</t>
        </is>
      </c>
      <c r="G36" s="4" t="inlineStr">
        <is>
          <t>07:45</t>
        </is>
      </c>
      <c r="H36" s="4" t="inlineStr">
        <is>
          <t>14.10.2026</t>
        </is>
      </c>
      <c r="I36" s="4" t="inlineStr">
        <is>
          <t>16:56</t>
        </is>
      </c>
      <c r="J36" s="8" t="n">
        <v>7.5</v>
      </c>
      <c r="K36" s="8" t="n">
        <v>7.5</v>
      </c>
      <c r="L36" s="8" t="n">
        <v>0</v>
      </c>
      <c r="M36" s="29" t="inlineStr">
        <is>
          <t>SUSURLUK</t>
        </is>
      </c>
    </row>
    <row r="37">
      <c r="A37" s="4" t="n">
        <v>36</v>
      </c>
      <c r="B37" s="4" t="inlineStr">
        <is>
          <t>00207</t>
        </is>
      </c>
      <c r="C37" s="4" t="inlineStr">
        <is>
          <t>00207</t>
        </is>
      </c>
      <c r="D37" s="29" t="inlineStr">
        <is>
          <t>AHMET ŞŞENER</t>
        </is>
      </c>
      <c r="E37" s="4" t="inlineStr">
        <is>
          <t>Perşembe</t>
        </is>
      </c>
      <c r="F37" s="4" t="inlineStr">
        <is>
          <t>15.10.2026</t>
        </is>
      </c>
      <c r="G37" s="4" t="inlineStr">
        <is>
          <t>07:48</t>
        </is>
      </c>
      <c r="H37" s="4" t="inlineStr">
        <is>
          <t>15.10.2026</t>
        </is>
      </c>
      <c r="I37" s="4" t="inlineStr">
        <is>
          <t>16:59</t>
        </is>
      </c>
      <c r="J37" s="8" t="n">
        <v>7.5</v>
      </c>
      <c r="K37" s="8" t="n">
        <v>7.5</v>
      </c>
      <c r="L37" s="8" t="n">
        <v>0</v>
      </c>
      <c r="M37" s="29" t="inlineStr">
        <is>
          <t>SUSURLUK</t>
        </is>
      </c>
    </row>
    <row r="38">
      <c r="A38" s="4" t="n">
        <v>37</v>
      </c>
      <c r="B38" s="4" t="inlineStr">
        <is>
          <t>00207</t>
        </is>
      </c>
      <c r="C38" s="4" t="inlineStr">
        <is>
          <t>00207</t>
        </is>
      </c>
      <c r="D38" s="29" t="inlineStr">
        <is>
          <t>AHMET ŞŞENER</t>
        </is>
      </c>
      <c r="E38" s="4" t="inlineStr">
        <is>
          <t>Cuma</t>
        </is>
      </c>
      <c r="F38" s="4" t="inlineStr">
        <is>
          <t>16.10.2026</t>
        </is>
      </c>
      <c r="G38" s="4" t="inlineStr">
        <is>
          <t>07:40</t>
        </is>
      </c>
      <c r="H38" s="4" t="inlineStr">
        <is>
          <t>16.10.2026</t>
        </is>
      </c>
      <c r="I38" s="4" t="inlineStr">
        <is>
          <t>17:00</t>
        </is>
      </c>
      <c r="J38" s="8" t="n">
        <v>7.5</v>
      </c>
      <c r="K38" s="8" t="n">
        <v>7.5</v>
      </c>
      <c r="L38" s="8" t="n">
        <v>0</v>
      </c>
      <c r="M38" s="29" t="inlineStr">
        <is>
          <t>SUSURLUK</t>
        </is>
      </c>
    </row>
    <row r="39">
      <c r="A39" s="4" t="n">
        <v>38</v>
      </c>
      <c r="B39" s="4" t="inlineStr">
        <is>
          <t>00207</t>
        </is>
      </c>
      <c r="C39" s="4" t="inlineStr">
        <is>
          <t>00207</t>
        </is>
      </c>
      <c r="D39" s="29" t="inlineStr">
        <is>
          <t>AHMET ŞŞENER</t>
        </is>
      </c>
      <c r="E39" s="4" t="inlineStr">
        <is>
          <t>Cumartesi</t>
        </is>
      </c>
      <c r="F39" s="4" t="inlineStr">
        <is>
          <t>17.10.2026</t>
        </is>
      </c>
      <c r="G39" s="4" t="inlineStr">
        <is>
          <t>07:43</t>
        </is>
      </c>
      <c r="H39" s="4" t="inlineStr">
        <is>
          <t>17.10.2026</t>
        </is>
      </c>
      <c r="I39" s="4" t="inlineStr">
        <is>
          <t>17:04</t>
        </is>
      </c>
      <c r="J39" s="8" t="n">
        <v>7.5</v>
      </c>
      <c r="K39" s="8" t="n">
        <v>7.5</v>
      </c>
      <c r="L39" s="8" t="n">
        <v>0</v>
      </c>
      <c r="M39" s="29" t="inlineStr">
        <is>
          <t>SUSURLUK</t>
        </is>
      </c>
    </row>
    <row r="40">
      <c r="A40" s="4" t="n">
        <v>39</v>
      </c>
      <c r="B40" s="4" t="inlineStr">
        <is>
          <t>00207</t>
        </is>
      </c>
      <c r="C40" s="4" t="inlineStr">
        <is>
          <t>00207</t>
        </is>
      </c>
      <c r="D40" s="29" t="inlineStr">
        <is>
          <t>AHMET ŞŞENER</t>
        </is>
      </c>
      <c r="E40" s="4" t="inlineStr">
        <is>
          <t>Pazartesi</t>
        </is>
      </c>
      <c r="F40" s="4" t="inlineStr">
        <is>
          <t>19.10.2026</t>
        </is>
      </c>
      <c r="G40" s="4" t="inlineStr">
        <is>
          <t>07:40</t>
        </is>
      </c>
      <c r="H40" s="4" t="inlineStr">
        <is>
          <t>19.10.2026</t>
        </is>
      </c>
      <c r="I40" s="4" t="inlineStr">
        <is>
          <t>16:58</t>
        </is>
      </c>
      <c r="J40" s="8" t="n">
        <v>7.5</v>
      </c>
      <c r="K40" s="8" t="n">
        <v>7.5</v>
      </c>
      <c r="L40" s="8" t="n">
        <v>0</v>
      </c>
      <c r="M40" s="29" t="inlineStr">
        <is>
          <t>SUSURLUK</t>
        </is>
      </c>
    </row>
    <row r="41">
      <c r="A41" s="4" t="n">
        <v>40</v>
      </c>
      <c r="B41" s="4" t="inlineStr">
        <is>
          <t>00207</t>
        </is>
      </c>
      <c r="C41" s="4" t="inlineStr">
        <is>
          <t>00207</t>
        </is>
      </c>
      <c r="D41" s="29" t="inlineStr">
        <is>
          <t>AHMET ŞŞENER</t>
        </is>
      </c>
      <c r="E41" s="4" t="inlineStr">
        <is>
          <t>Salı</t>
        </is>
      </c>
      <c r="F41" s="4" t="inlineStr">
        <is>
          <t>20.10.2026</t>
        </is>
      </c>
      <c r="G41" s="4" t="inlineStr">
        <is>
          <t>07:41</t>
        </is>
      </c>
      <c r="H41" s="4" t="inlineStr">
        <is>
          <t>20.10.2026</t>
        </is>
      </c>
      <c r="I41" s="4" t="inlineStr">
        <is>
          <t>16:58</t>
        </is>
      </c>
      <c r="J41" s="8" t="n">
        <v>7.5</v>
      </c>
      <c r="K41" s="8" t="n">
        <v>7.5</v>
      </c>
      <c r="L41" s="8" t="n">
        <v>0</v>
      </c>
      <c r="M41" s="29" t="inlineStr">
        <is>
          <t>SUSURLUK</t>
        </is>
      </c>
    </row>
    <row r="42">
      <c r="A42" s="4" t="n">
        <v>41</v>
      </c>
      <c r="B42" s="4" t="inlineStr">
        <is>
          <t>00207</t>
        </is>
      </c>
      <c r="C42" s="4" t="inlineStr">
        <is>
          <t>00207</t>
        </is>
      </c>
      <c r="D42" s="29" t="inlineStr">
        <is>
          <t>AHMET ŞŞENER</t>
        </is>
      </c>
      <c r="E42" s="4" t="inlineStr">
        <is>
          <t>Çarşamba</t>
        </is>
      </c>
      <c r="F42" s="4" t="inlineStr">
        <is>
          <t>21.10.2026</t>
        </is>
      </c>
      <c r="G42" s="4" t="inlineStr">
        <is>
          <t>07:38</t>
        </is>
      </c>
      <c r="H42" s="4" t="inlineStr">
        <is>
          <t>21.10.2026</t>
        </is>
      </c>
      <c r="I42" s="4" t="inlineStr">
        <is>
          <t>16:59</t>
        </is>
      </c>
      <c r="J42" s="8" t="n">
        <v>7.5</v>
      </c>
      <c r="K42" s="8" t="n">
        <v>7.5</v>
      </c>
      <c r="L42" s="8" t="n">
        <v>0</v>
      </c>
      <c r="M42" s="29" t="inlineStr">
        <is>
          <t>SUSURLUK</t>
        </is>
      </c>
    </row>
    <row r="43">
      <c r="A43" s="4" t="n">
        <v>42</v>
      </c>
      <c r="B43" s="4" t="inlineStr">
        <is>
          <t>00583</t>
        </is>
      </c>
      <c r="C43" s="4" t="inlineStr">
        <is>
          <t>00583</t>
        </is>
      </c>
      <c r="D43" s="29" t="inlineStr">
        <is>
          <t>AHMET BEYHAN</t>
        </is>
      </c>
      <c r="E43" s="4" t="inlineStr">
        <is>
          <t>Perşembe</t>
        </is>
      </c>
      <c r="F43" s="4" t="inlineStr">
        <is>
          <t>1.10.2026</t>
        </is>
      </c>
      <c r="G43" s="4" t="inlineStr">
        <is>
          <t>07:49</t>
        </is>
      </c>
      <c r="H43" s="4" t="inlineStr">
        <is>
          <t>1.10.2026</t>
        </is>
      </c>
      <c r="I43" s="4" t="inlineStr">
        <is>
          <t>18:25</t>
        </is>
      </c>
      <c r="J43" s="8" t="n">
        <v>9</v>
      </c>
      <c r="K43" s="8" t="n">
        <v>7.5</v>
      </c>
      <c r="L43" s="8" t="n">
        <v>1.5</v>
      </c>
      <c r="M43" s="29" t="inlineStr">
        <is>
          <t>KARACABEY</t>
        </is>
      </c>
    </row>
    <row r="44">
      <c r="A44" s="4" t="n">
        <v>43</v>
      </c>
      <c r="B44" s="4" t="inlineStr">
        <is>
          <t>00583</t>
        </is>
      </c>
      <c r="C44" s="4" t="inlineStr">
        <is>
          <t>00583</t>
        </is>
      </c>
      <c r="D44" s="29" t="inlineStr">
        <is>
          <t>AHMET BEYHAN</t>
        </is>
      </c>
      <c r="E44" s="4" t="inlineStr">
        <is>
          <t>Cuma</t>
        </is>
      </c>
      <c r="F44" s="4" t="inlineStr">
        <is>
          <t>2.10.2026</t>
        </is>
      </c>
      <c r="G44" s="4" t="inlineStr">
        <is>
          <t>07:45</t>
        </is>
      </c>
      <c r="H44" s="4" t="inlineStr">
        <is>
          <t>2.10.2026</t>
        </is>
      </c>
      <c r="I44" s="4" t="inlineStr">
        <is>
          <t>20:03</t>
        </is>
      </c>
      <c r="J44" s="8" t="n">
        <v>10.5</v>
      </c>
      <c r="K44" s="8" t="n">
        <v>7.5</v>
      </c>
      <c r="L44" s="8" t="n">
        <v>3</v>
      </c>
      <c r="M44" s="29" t="inlineStr">
        <is>
          <t>KARACABEY</t>
        </is>
      </c>
    </row>
    <row r="45">
      <c r="A45" s="4" t="n">
        <v>44</v>
      </c>
      <c r="B45" s="4" t="inlineStr">
        <is>
          <t>00583</t>
        </is>
      </c>
      <c r="C45" s="4" t="inlineStr">
        <is>
          <t>00583</t>
        </is>
      </c>
      <c r="D45" s="29" t="inlineStr">
        <is>
          <t>AHMET BEYHAN</t>
        </is>
      </c>
      <c r="E45" s="4" t="inlineStr">
        <is>
          <t>Cumartesi</t>
        </is>
      </c>
      <c r="F45" s="4" t="inlineStr">
        <is>
          <t>3.10.2026</t>
        </is>
      </c>
      <c r="G45" s="4" t="inlineStr">
        <is>
          <t>07:45</t>
        </is>
      </c>
      <c r="H45" s="4" t="inlineStr">
        <is>
          <t>3.10.2026</t>
        </is>
      </c>
      <c r="I45" s="4" t="inlineStr">
        <is>
          <t>17:55</t>
        </is>
      </c>
      <c r="J45" s="8" t="n">
        <v>8.5</v>
      </c>
      <c r="K45" s="8" t="n">
        <v>7.5</v>
      </c>
      <c r="L45" s="8" t="n">
        <v>1</v>
      </c>
      <c r="M45" s="29" t="inlineStr">
        <is>
          <t>KARACABEY</t>
        </is>
      </c>
    </row>
    <row r="46">
      <c r="A46" s="4" t="n">
        <v>45</v>
      </c>
      <c r="B46" s="4" t="inlineStr">
        <is>
          <t>00583</t>
        </is>
      </c>
      <c r="C46" s="4" t="inlineStr">
        <is>
          <t>00583</t>
        </is>
      </c>
      <c r="D46" s="29" t="inlineStr">
        <is>
          <t>AHMET BEYHAN</t>
        </is>
      </c>
      <c r="E46" s="4" t="inlineStr">
        <is>
          <t>Pazar</t>
        </is>
      </c>
      <c r="F46" s="4" t="inlineStr">
        <is>
          <t>4.10.2026</t>
        </is>
      </c>
      <c r="G46" s="4" t="inlineStr">
        <is>
          <t>08:27</t>
        </is>
      </c>
      <c r="H46" s="4" t="inlineStr">
        <is>
          <t>4.10.2026</t>
        </is>
      </c>
      <c r="I46" s="4" t="inlineStr">
        <is>
          <t>17:03</t>
        </is>
      </c>
      <c r="J46" s="8" t="n">
        <v>7</v>
      </c>
      <c r="K46" s="8" t="n">
        <v>7</v>
      </c>
      <c r="L46" s="8" t="n">
        <v>0</v>
      </c>
      <c r="M46" s="29" t="inlineStr">
        <is>
          <t>KARACABEY</t>
        </is>
      </c>
    </row>
    <row r="47">
      <c r="A47" s="4" t="n">
        <v>46</v>
      </c>
      <c r="B47" s="4" t="inlineStr">
        <is>
          <t>00583</t>
        </is>
      </c>
      <c r="C47" s="4" t="inlineStr">
        <is>
          <t>00583</t>
        </is>
      </c>
      <c r="D47" s="29" t="inlineStr">
        <is>
          <t>AHMET BEYHAN</t>
        </is>
      </c>
      <c r="E47" s="4" t="inlineStr">
        <is>
          <t>Pazartesi</t>
        </is>
      </c>
      <c r="F47" s="4" t="inlineStr">
        <is>
          <t>5.10.2026</t>
        </is>
      </c>
      <c r="G47" s="4" t="inlineStr">
        <is>
          <t>07:36</t>
        </is>
      </c>
      <c r="H47" s="4" t="inlineStr">
        <is>
          <t>5.10.2026</t>
        </is>
      </c>
      <c r="I47" s="4" t="inlineStr">
        <is>
          <t>20:00</t>
        </is>
      </c>
      <c r="J47" s="8" t="n">
        <v>10.5</v>
      </c>
      <c r="K47" s="8" t="n">
        <v>7.5</v>
      </c>
      <c r="L47" s="8" t="n">
        <v>3</v>
      </c>
      <c r="M47" s="29" t="inlineStr">
        <is>
          <t>KARACABEY</t>
        </is>
      </c>
    </row>
    <row r="48">
      <c r="A48" s="4" t="n">
        <v>47</v>
      </c>
      <c r="B48" s="4" t="inlineStr">
        <is>
          <t>00583</t>
        </is>
      </c>
      <c r="C48" s="4" t="inlineStr">
        <is>
          <t>00583</t>
        </is>
      </c>
      <c r="D48" s="29" t="inlineStr">
        <is>
          <t>AHMET BEYHAN</t>
        </is>
      </c>
      <c r="E48" s="4" t="inlineStr">
        <is>
          <t>Salı</t>
        </is>
      </c>
      <c r="F48" s="4" t="inlineStr">
        <is>
          <t>6.10.2026</t>
        </is>
      </c>
      <c r="G48" s="4" t="inlineStr">
        <is>
          <t>14:03</t>
        </is>
      </c>
      <c r="H48" s="4" t="inlineStr">
        <is>
          <t>6.10.2026</t>
        </is>
      </c>
      <c r="I48" s="4" t="inlineStr">
        <is>
          <t>20:03</t>
        </is>
      </c>
      <c r="J48" s="8" t="n">
        <v>5.5</v>
      </c>
      <c r="K48" s="8" t="n">
        <v>5.5</v>
      </c>
      <c r="L48" s="8" t="n">
        <v>0</v>
      </c>
      <c r="M48" s="29" t="inlineStr">
        <is>
          <t>KARACABEY</t>
        </is>
      </c>
    </row>
    <row r="49">
      <c r="A49" s="4" t="n">
        <v>48</v>
      </c>
      <c r="B49" s="4" t="inlineStr">
        <is>
          <t>00583</t>
        </is>
      </c>
      <c r="C49" s="4" t="inlineStr">
        <is>
          <t>00583</t>
        </is>
      </c>
      <c r="D49" s="29" t="inlineStr">
        <is>
          <t>AHMET BEYHAN</t>
        </is>
      </c>
      <c r="E49" s="4" t="inlineStr">
        <is>
          <t>Çarşamba</t>
        </is>
      </c>
      <c r="F49" s="4" t="inlineStr">
        <is>
          <t>7.10.2026</t>
        </is>
      </c>
      <c r="G49" s="4" t="inlineStr">
        <is>
          <t>07:51</t>
        </is>
      </c>
      <c r="H49" s="4" t="inlineStr">
        <is>
          <t>7.10.2026</t>
        </is>
      </c>
      <c r="I49" s="4" t="inlineStr">
        <is>
          <t>20:03</t>
        </is>
      </c>
      <c r="J49" s="8" t="n">
        <v>10.5</v>
      </c>
      <c r="K49" s="8" t="n">
        <v>7.5</v>
      </c>
      <c r="L49" s="8" t="n">
        <v>3</v>
      </c>
      <c r="M49" s="29" t="inlineStr">
        <is>
          <t>KARACABEY</t>
        </is>
      </c>
    </row>
    <row r="50">
      <c r="A50" s="4" t="n">
        <v>49</v>
      </c>
      <c r="B50" s="4" t="inlineStr">
        <is>
          <t>00583</t>
        </is>
      </c>
      <c r="C50" s="4" t="inlineStr">
        <is>
          <t>00583</t>
        </is>
      </c>
      <c r="D50" s="29" t="inlineStr">
        <is>
          <t>AHMET BEYHAN</t>
        </is>
      </c>
      <c r="E50" s="4" t="inlineStr">
        <is>
          <t>Perşembe</t>
        </is>
      </c>
      <c r="F50" s="4" t="inlineStr">
        <is>
          <t>8.10.2026</t>
        </is>
      </c>
      <c r="G50" s="4" t="inlineStr">
        <is>
          <t>07:53</t>
        </is>
      </c>
      <c r="H50" s="4" t="inlineStr">
        <is>
          <t>8.10.2026</t>
        </is>
      </c>
      <c r="I50" s="4" t="inlineStr">
        <is>
          <t>20:02</t>
        </is>
      </c>
      <c r="J50" s="8" t="n">
        <v>10.5</v>
      </c>
      <c r="K50" s="8" t="n">
        <v>7.5</v>
      </c>
      <c r="L50" s="8" t="n">
        <v>3</v>
      </c>
      <c r="M50" s="29" t="inlineStr">
        <is>
          <t>KARACABEY</t>
        </is>
      </c>
    </row>
    <row r="51">
      <c r="A51" s="4" t="n">
        <v>50</v>
      </c>
      <c r="B51" s="4" t="inlineStr">
        <is>
          <t>00583</t>
        </is>
      </c>
      <c r="C51" s="4" t="inlineStr">
        <is>
          <t>00583</t>
        </is>
      </c>
      <c r="D51" s="29" t="inlineStr">
        <is>
          <t>AHMET BEYHAN</t>
        </is>
      </c>
      <c r="E51" s="4" t="inlineStr">
        <is>
          <t>Cuma</t>
        </is>
      </c>
      <c r="F51" s="4" t="inlineStr">
        <is>
          <t>9.10.2026</t>
        </is>
      </c>
      <c r="G51" s="4" t="inlineStr">
        <is>
          <t>07:56</t>
        </is>
      </c>
      <c r="H51" s="4" t="inlineStr">
        <is>
          <t>9.10.2026</t>
        </is>
      </c>
      <c r="I51" s="4" t="inlineStr">
        <is>
          <t>20:01</t>
        </is>
      </c>
      <c r="J51" s="8" t="n">
        <v>10.5</v>
      </c>
      <c r="K51" s="8" t="n">
        <v>7.5</v>
      </c>
      <c r="L51" s="8" t="n">
        <v>3</v>
      </c>
      <c r="M51" s="29" t="inlineStr">
        <is>
          <t>KARACABEY</t>
        </is>
      </c>
    </row>
    <row r="52">
      <c r="A52" s="4" t="n">
        <v>51</v>
      </c>
      <c r="B52" s="4" t="inlineStr">
        <is>
          <t>00583</t>
        </is>
      </c>
      <c r="C52" s="4" t="inlineStr">
        <is>
          <t>00583</t>
        </is>
      </c>
      <c r="D52" s="29" t="inlineStr">
        <is>
          <t>AHMET BEYHAN</t>
        </is>
      </c>
      <c r="E52" s="4" t="inlineStr">
        <is>
          <t>Cumartesi</t>
        </is>
      </c>
      <c r="F52" s="4" t="inlineStr">
        <is>
          <t>10.10.2026</t>
        </is>
      </c>
      <c r="G52" s="4" t="inlineStr">
        <is>
          <t>07:58</t>
        </is>
      </c>
      <c r="H52" s="4" t="inlineStr">
        <is>
          <t>10.10.2026</t>
        </is>
      </c>
      <c r="I52" s="4" t="inlineStr">
        <is>
          <t>20:02</t>
        </is>
      </c>
      <c r="J52" s="8" t="n">
        <v>10.5</v>
      </c>
      <c r="K52" s="8" t="n">
        <v>7.5</v>
      </c>
      <c r="L52" s="8" t="n">
        <v>3</v>
      </c>
      <c r="M52" s="29" t="inlineStr">
        <is>
          <t>KARACABEY</t>
        </is>
      </c>
    </row>
    <row r="53">
      <c r="A53" s="4" t="n">
        <v>52</v>
      </c>
      <c r="B53" s="4" t="inlineStr">
        <is>
          <t>00583</t>
        </is>
      </c>
      <c r="C53" s="4" t="inlineStr">
        <is>
          <t>00583</t>
        </is>
      </c>
      <c r="D53" s="29" t="inlineStr">
        <is>
          <t>AHMET BEYHAN</t>
        </is>
      </c>
      <c r="E53" s="4" t="inlineStr">
        <is>
          <t>Pazar</t>
        </is>
      </c>
      <c r="F53" s="4" t="inlineStr">
        <is>
          <t>11.10.2026</t>
        </is>
      </c>
      <c r="G53" s="4" t="inlineStr">
        <is>
          <t>08:08</t>
        </is>
      </c>
      <c r="H53" s="4" t="inlineStr">
        <is>
          <t>11.10.2026</t>
        </is>
      </c>
      <c r="I53" s="4" t="inlineStr">
        <is>
          <t>17:32</t>
        </is>
      </c>
      <c r="J53" s="8" t="n">
        <v>8</v>
      </c>
      <c r="K53" s="8" t="n">
        <v>7.5</v>
      </c>
      <c r="L53" s="8" t="n">
        <v>0.5</v>
      </c>
      <c r="M53" s="29" t="inlineStr">
        <is>
          <t>KARACABEY</t>
        </is>
      </c>
    </row>
    <row r="54">
      <c r="A54" s="4" t="n">
        <v>53</v>
      </c>
      <c r="B54" s="4" t="inlineStr">
        <is>
          <t>00583</t>
        </is>
      </c>
      <c r="C54" s="4" t="inlineStr">
        <is>
          <t>00583</t>
        </is>
      </c>
      <c r="D54" s="29" t="inlineStr">
        <is>
          <t>AHMET BEYHAN</t>
        </is>
      </c>
      <c r="E54" s="4" t="inlineStr">
        <is>
          <t>Pazartesi</t>
        </is>
      </c>
      <c r="F54" s="4" t="inlineStr">
        <is>
          <t>12.10.2026</t>
        </is>
      </c>
      <c r="G54" s="4" t="inlineStr">
        <is>
          <t>08:03</t>
        </is>
      </c>
      <c r="H54" s="4" t="inlineStr">
        <is>
          <t>12.10.2026</t>
        </is>
      </c>
      <c r="I54" s="4" t="inlineStr">
        <is>
          <t>18:43</t>
        </is>
      </c>
      <c r="J54" s="8" t="n">
        <v>9</v>
      </c>
      <c r="K54" s="8" t="n">
        <v>7.5</v>
      </c>
      <c r="L54" s="8" t="n">
        <v>1.5</v>
      </c>
      <c r="M54" s="29" t="inlineStr">
        <is>
          <t>KARACABEY</t>
        </is>
      </c>
    </row>
    <row r="55">
      <c r="A55" s="4" t="n">
        <v>54</v>
      </c>
      <c r="B55" s="4" t="inlineStr">
        <is>
          <t>00583</t>
        </is>
      </c>
      <c r="C55" s="4" t="inlineStr">
        <is>
          <t>00583</t>
        </is>
      </c>
      <c r="D55" s="29" t="inlineStr">
        <is>
          <t>AHMET BEYHAN</t>
        </is>
      </c>
      <c r="E55" s="4" t="inlineStr">
        <is>
          <t>Salı</t>
        </is>
      </c>
      <c r="F55" s="4" t="inlineStr">
        <is>
          <t>13.10.2026</t>
        </is>
      </c>
      <c r="G55" s="4" t="inlineStr">
        <is>
          <t>08:00</t>
        </is>
      </c>
      <c r="H55" s="4" t="inlineStr">
        <is>
          <t>13.10.2026</t>
        </is>
      </c>
      <c r="I55" s="4" t="inlineStr">
        <is>
          <t>18:04</t>
        </is>
      </c>
      <c r="J55" s="8" t="n">
        <v>8.5</v>
      </c>
      <c r="K55" s="8" t="n">
        <v>7.5</v>
      </c>
      <c r="L55" s="8" t="n">
        <v>1</v>
      </c>
      <c r="M55" s="29" t="inlineStr">
        <is>
          <t>KARACABEY</t>
        </is>
      </c>
    </row>
    <row r="56">
      <c r="A56" s="4" t="n">
        <v>55</v>
      </c>
      <c r="B56" s="4" t="inlineStr">
        <is>
          <t>00583</t>
        </is>
      </c>
      <c r="C56" s="4" t="inlineStr">
        <is>
          <t>00583</t>
        </is>
      </c>
      <c r="D56" s="29" t="inlineStr">
        <is>
          <t>AHMET BEYHAN</t>
        </is>
      </c>
      <c r="E56" s="4" t="inlineStr">
        <is>
          <t>Çarşamba</t>
        </is>
      </c>
      <c r="F56" s="4" t="inlineStr">
        <is>
          <t>14.10.2026</t>
        </is>
      </c>
      <c r="G56" s="4" t="inlineStr">
        <is>
          <t>07:54</t>
        </is>
      </c>
      <c r="H56" s="4" t="inlineStr">
        <is>
          <t>14.10.2026</t>
        </is>
      </c>
      <c r="I56" s="4" t="inlineStr">
        <is>
          <t>20:05</t>
        </is>
      </c>
      <c r="J56" s="8" t="n">
        <v>10.5</v>
      </c>
      <c r="K56" s="8" t="n">
        <v>7.5</v>
      </c>
      <c r="L56" s="8" t="n">
        <v>3</v>
      </c>
      <c r="M56" s="29" t="inlineStr">
        <is>
          <t>KARACABEY</t>
        </is>
      </c>
    </row>
    <row r="57">
      <c r="A57" s="4" t="n">
        <v>56</v>
      </c>
      <c r="B57" s="4" t="inlineStr">
        <is>
          <t>00583</t>
        </is>
      </c>
      <c r="C57" s="4" t="inlineStr">
        <is>
          <t>00583</t>
        </is>
      </c>
      <c r="D57" s="29" t="inlineStr">
        <is>
          <t>AHMET BEYHAN</t>
        </is>
      </c>
      <c r="E57" s="4" t="inlineStr">
        <is>
          <t>Perşembe</t>
        </is>
      </c>
      <c r="F57" s="4" t="inlineStr">
        <is>
          <t>15.10.2026</t>
        </is>
      </c>
      <c r="G57" s="4" t="inlineStr">
        <is>
          <t>08:00</t>
        </is>
      </c>
      <c r="H57" s="4" t="inlineStr">
        <is>
          <t>15.10.2026</t>
        </is>
      </c>
      <c r="I57" s="4" t="inlineStr">
        <is>
          <t>18:00</t>
        </is>
      </c>
      <c r="J57" s="8" t="n">
        <v>8.5</v>
      </c>
      <c r="K57" s="8" t="n">
        <v>7.5</v>
      </c>
      <c r="L57" s="8" t="n">
        <v>1</v>
      </c>
      <c r="M57" s="29" t="inlineStr">
        <is>
          <t>KARACABEY</t>
        </is>
      </c>
    </row>
    <row r="58">
      <c r="A58" s="4" t="n">
        <v>57</v>
      </c>
      <c r="B58" s="4" t="inlineStr">
        <is>
          <t>00583</t>
        </is>
      </c>
      <c r="C58" s="4" t="inlineStr">
        <is>
          <t>00583</t>
        </is>
      </c>
      <c r="D58" s="29" t="inlineStr">
        <is>
          <t>AHMET BEYHAN</t>
        </is>
      </c>
      <c r="E58" s="4" t="inlineStr">
        <is>
          <t>Cuma</t>
        </is>
      </c>
      <c r="F58" s="4" t="inlineStr">
        <is>
          <t>16.10.2026</t>
        </is>
      </c>
      <c r="G58" s="4" t="inlineStr">
        <is>
          <t>07:50</t>
        </is>
      </c>
      <c r="H58" s="4" t="inlineStr">
        <is>
          <t>16.10.2026</t>
        </is>
      </c>
      <c r="I58" s="4" t="inlineStr">
        <is>
          <t>20:02</t>
        </is>
      </c>
      <c r="J58" s="8" t="n">
        <v>10.5</v>
      </c>
      <c r="K58" s="8" t="n">
        <v>7.5</v>
      </c>
      <c r="L58" s="8" t="n">
        <v>3</v>
      </c>
      <c r="M58" s="29" t="inlineStr">
        <is>
          <t>KARACABEY</t>
        </is>
      </c>
    </row>
    <row r="59">
      <c r="A59" s="4" t="n">
        <v>58</v>
      </c>
      <c r="B59" s="4" t="inlineStr">
        <is>
          <t>00583</t>
        </is>
      </c>
      <c r="C59" s="4" t="inlineStr">
        <is>
          <t>00583</t>
        </is>
      </c>
      <c r="D59" s="29" t="inlineStr">
        <is>
          <t>AHMET BEYHAN</t>
        </is>
      </c>
      <c r="E59" s="4" t="inlineStr">
        <is>
          <t>Cumartesi</t>
        </is>
      </c>
      <c r="F59" s="4" t="inlineStr">
        <is>
          <t>17.10.2026</t>
        </is>
      </c>
      <c r="G59" s="4" t="inlineStr">
        <is>
          <t>07:54</t>
        </is>
      </c>
      <c r="H59" s="4" t="inlineStr">
        <is>
          <t>17.10.2026</t>
        </is>
      </c>
      <c r="I59" s="4" t="inlineStr">
        <is>
          <t>20:01</t>
        </is>
      </c>
      <c r="J59" s="8" t="n">
        <v>10.5</v>
      </c>
      <c r="K59" s="8" t="n">
        <v>7.5</v>
      </c>
      <c r="L59" s="8" t="n">
        <v>3</v>
      </c>
      <c r="M59" s="29" t="inlineStr">
        <is>
          <t>KARACABEY</t>
        </is>
      </c>
    </row>
    <row r="60">
      <c r="A60" s="4" t="n">
        <v>59</v>
      </c>
      <c r="B60" s="4" t="inlineStr">
        <is>
          <t>00583</t>
        </is>
      </c>
      <c r="C60" s="4" t="inlineStr">
        <is>
          <t>00583</t>
        </is>
      </c>
      <c r="D60" s="29" t="inlineStr">
        <is>
          <t>AHMET BEYHAN</t>
        </is>
      </c>
      <c r="E60" s="4" t="inlineStr">
        <is>
          <t>Pazar</t>
        </is>
      </c>
      <c r="F60" s="4" t="inlineStr">
        <is>
          <t>18.10.2026</t>
        </is>
      </c>
      <c r="G60" s="4" t="inlineStr">
        <is>
          <t>08:10</t>
        </is>
      </c>
      <c r="H60" s="4" t="inlineStr">
        <is>
          <t>18.10.2026</t>
        </is>
      </c>
      <c r="I60" s="4" t="inlineStr">
        <is>
          <t>17:49</t>
        </is>
      </c>
      <c r="J60" s="8" t="n">
        <v>8.5</v>
      </c>
      <c r="K60" s="8" t="n">
        <v>7.5</v>
      </c>
      <c r="L60" s="8" t="n">
        <v>1</v>
      </c>
      <c r="M60" s="29" t="inlineStr">
        <is>
          <t>KARACABEY</t>
        </is>
      </c>
    </row>
    <row r="61">
      <c r="A61" s="4" t="n">
        <v>60</v>
      </c>
      <c r="B61" s="4" t="inlineStr">
        <is>
          <t>00583</t>
        </is>
      </c>
      <c r="C61" s="4" t="inlineStr">
        <is>
          <t>00583</t>
        </is>
      </c>
      <c r="D61" s="29" t="inlineStr">
        <is>
          <t>AHMET BEYHAN</t>
        </is>
      </c>
      <c r="E61" s="4" t="inlineStr">
        <is>
          <t>Pazartesi</t>
        </is>
      </c>
      <c r="F61" s="4" t="inlineStr">
        <is>
          <t>19.10.2026</t>
        </is>
      </c>
      <c r="G61" s="4" t="inlineStr">
        <is>
          <t>08:00</t>
        </is>
      </c>
      <c r="H61" s="4" t="inlineStr">
        <is>
          <t>19.10.2026</t>
        </is>
      </c>
      <c r="I61" s="4" t="inlineStr">
        <is>
          <t>17:06</t>
        </is>
      </c>
      <c r="J61" s="8" t="n">
        <v>7.5</v>
      </c>
      <c r="K61" s="8" t="n">
        <v>7.5</v>
      </c>
      <c r="L61" s="8" t="n">
        <v>0</v>
      </c>
      <c r="M61" s="29" t="inlineStr">
        <is>
          <t>KARACABEY</t>
        </is>
      </c>
    </row>
    <row r="62">
      <c r="A62" s="4" t="n">
        <v>61</v>
      </c>
      <c r="B62" s="4" t="inlineStr">
        <is>
          <t>00583</t>
        </is>
      </c>
      <c r="C62" s="4" t="inlineStr">
        <is>
          <t>00583</t>
        </is>
      </c>
      <c r="D62" s="29" t="inlineStr">
        <is>
          <t>AHMET BEYHAN</t>
        </is>
      </c>
      <c r="E62" s="4" t="inlineStr">
        <is>
          <t>Salı</t>
        </is>
      </c>
      <c r="F62" s="4" t="inlineStr">
        <is>
          <t>20.10.2026</t>
        </is>
      </c>
      <c r="G62" s="4" t="inlineStr">
        <is>
          <t>07:56</t>
        </is>
      </c>
      <c r="H62" s="4" t="inlineStr">
        <is>
          <t>20.10.2026</t>
        </is>
      </c>
      <c r="I62" s="4" t="inlineStr">
        <is>
          <t>17:45</t>
        </is>
      </c>
      <c r="J62" s="8" t="n">
        <v>8.5</v>
      </c>
      <c r="K62" s="8" t="n">
        <v>7.5</v>
      </c>
      <c r="L62" s="8" t="n">
        <v>1</v>
      </c>
      <c r="M62" s="29" t="inlineStr">
        <is>
          <t>KARACABEY</t>
        </is>
      </c>
    </row>
    <row r="63">
      <c r="A63" s="4" t="n">
        <v>62</v>
      </c>
      <c r="B63" s="4" t="inlineStr">
        <is>
          <t>00583</t>
        </is>
      </c>
      <c r="C63" s="4" t="inlineStr">
        <is>
          <t>00583</t>
        </is>
      </c>
      <c r="D63" s="29" t="inlineStr">
        <is>
          <t>AHMET BEYHAN</t>
        </is>
      </c>
      <c r="E63" s="4" t="inlineStr">
        <is>
          <t>Çarşamba</t>
        </is>
      </c>
      <c r="F63" s="4" t="inlineStr">
        <is>
          <t>21.10.2026</t>
        </is>
      </c>
      <c r="G63" s="4" t="inlineStr">
        <is>
          <t>07:55</t>
        </is>
      </c>
      <c r="H63" s="4" t="inlineStr">
        <is>
          <t>21.10.2026</t>
        </is>
      </c>
      <c r="I63" s="4" t="inlineStr">
        <is>
          <t>17:08</t>
        </is>
      </c>
      <c r="J63" s="8" t="n">
        <v>7.5</v>
      </c>
      <c r="K63" s="8" t="n">
        <v>7.5</v>
      </c>
      <c r="L63" s="8" t="n">
        <v>0</v>
      </c>
      <c r="M63" s="29" t="inlineStr">
        <is>
          <t>KARACABEY</t>
        </is>
      </c>
    </row>
    <row r="64">
      <c r="A64" s="4" t="n">
        <v>63</v>
      </c>
      <c r="B64" s="4" t="inlineStr">
        <is>
          <t>00830</t>
        </is>
      </c>
      <c r="C64" s="4" t="inlineStr">
        <is>
          <t>00830</t>
        </is>
      </c>
      <c r="D64" s="29" t="inlineStr">
        <is>
          <t>AHMET ÇÇAYLAK</t>
        </is>
      </c>
      <c r="E64" s="4" t="inlineStr">
        <is>
          <t>Perşembe</t>
        </is>
      </c>
      <c r="F64" s="4" t="inlineStr">
        <is>
          <t>1.10.2026</t>
        </is>
      </c>
      <c r="G64" s="4" t="inlineStr">
        <is>
          <t>07:38</t>
        </is>
      </c>
      <c r="H64" s="4" t="inlineStr">
        <is>
          <t>1.10.2026</t>
        </is>
      </c>
      <c r="I64" s="4" t="inlineStr">
        <is>
          <t>17:05</t>
        </is>
      </c>
      <c r="J64" s="8" t="n">
        <v>7.5</v>
      </c>
      <c r="K64" s="8" t="n">
        <v>7.5</v>
      </c>
      <c r="L64" s="8" t="n">
        <v>0</v>
      </c>
      <c r="M64" s="29" t="inlineStr">
        <is>
          <t>BALIKESİR</t>
        </is>
      </c>
    </row>
    <row r="65">
      <c r="A65" s="4" t="n">
        <v>64</v>
      </c>
      <c r="B65" s="4" t="inlineStr">
        <is>
          <t>00830</t>
        </is>
      </c>
      <c r="C65" s="4" t="inlineStr">
        <is>
          <t>00830</t>
        </is>
      </c>
      <c r="D65" s="29" t="inlineStr">
        <is>
          <t>AHMET ÇÇAYLAK</t>
        </is>
      </c>
      <c r="E65" s="4" t="inlineStr">
        <is>
          <t>Cuma</t>
        </is>
      </c>
      <c r="F65" s="4" t="inlineStr">
        <is>
          <t>2.10.2026</t>
        </is>
      </c>
      <c r="G65" s="4" t="inlineStr">
        <is>
          <t>07:42</t>
        </is>
      </c>
      <c r="H65" s="4" t="inlineStr">
        <is>
          <t>2.10.2026</t>
        </is>
      </c>
      <c r="I65" s="4" t="inlineStr">
        <is>
          <t>19:47</t>
        </is>
      </c>
      <c r="J65" s="8" t="n">
        <v>10.5</v>
      </c>
      <c r="K65" s="8" t="n">
        <v>7.5</v>
      </c>
      <c r="L65" s="8" t="n">
        <v>3</v>
      </c>
      <c r="M65" s="29" t="inlineStr">
        <is>
          <t>BALIKESİR</t>
        </is>
      </c>
    </row>
    <row r="66">
      <c r="A66" s="4" t="n">
        <v>65</v>
      </c>
      <c r="B66" s="4" t="inlineStr">
        <is>
          <t>00830</t>
        </is>
      </c>
      <c r="C66" s="4" t="inlineStr">
        <is>
          <t>00830</t>
        </is>
      </c>
      <c r="D66" s="29" t="inlineStr">
        <is>
          <t>AHMET ÇÇAYLAK</t>
        </is>
      </c>
      <c r="E66" s="4" t="inlineStr">
        <is>
          <t>Cumartesi</t>
        </is>
      </c>
      <c r="F66" s="4" t="inlineStr">
        <is>
          <t>3.10.2026</t>
        </is>
      </c>
      <c r="G66" s="4" t="inlineStr">
        <is>
          <t>07:43</t>
        </is>
      </c>
      <c r="H66" s="4" t="inlineStr">
        <is>
          <t>3.10.2026</t>
        </is>
      </c>
      <c r="I66" s="4" t="inlineStr">
        <is>
          <t>17:08</t>
        </is>
      </c>
      <c r="J66" s="8" t="n">
        <v>7.5</v>
      </c>
      <c r="K66" s="8" t="n">
        <v>7.5</v>
      </c>
      <c r="L66" s="8" t="n">
        <v>0</v>
      </c>
      <c r="M66" s="29" t="inlineStr">
        <is>
          <t>BALIKESİR</t>
        </is>
      </c>
    </row>
    <row r="67">
      <c r="A67" s="4" t="n">
        <v>66</v>
      </c>
      <c r="B67" s="4" t="inlineStr">
        <is>
          <t>00830</t>
        </is>
      </c>
      <c r="C67" s="4" t="inlineStr">
        <is>
          <t>00830</t>
        </is>
      </c>
      <c r="D67" s="29" t="inlineStr">
        <is>
          <t>AHMET ÇÇAYLAK</t>
        </is>
      </c>
      <c r="E67" s="4" t="inlineStr">
        <is>
          <t>Pazartesi</t>
        </is>
      </c>
      <c r="F67" s="4" t="inlineStr">
        <is>
          <t>5.10.2026</t>
        </is>
      </c>
      <c r="G67" s="4" t="inlineStr">
        <is>
          <t>07:42</t>
        </is>
      </c>
      <c r="H67" s="4" t="inlineStr">
        <is>
          <t>5.10.2026</t>
        </is>
      </c>
      <c r="I67" s="4" t="inlineStr">
        <is>
          <t>17:07</t>
        </is>
      </c>
      <c r="J67" s="8" t="n">
        <v>7.5</v>
      </c>
      <c r="K67" s="8" t="n">
        <v>7.5</v>
      </c>
      <c r="L67" s="8" t="n">
        <v>0</v>
      </c>
      <c r="M67" s="29" t="inlineStr">
        <is>
          <t>BALIKESİR</t>
        </is>
      </c>
    </row>
    <row r="68">
      <c r="A68" s="4" t="n">
        <v>67</v>
      </c>
      <c r="B68" s="4" t="inlineStr">
        <is>
          <t>00830</t>
        </is>
      </c>
      <c r="C68" s="4" t="inlineStr">
        <is>
          <t>00830</t>
        </is>
      </c>
      <c r="D68" s="29" t="inlineStr">
        <is>
          <t>AHMET ÇÇAYLAK</t>
        </is>
      </c>
      <c r="E68" s="4" t="inlineStr">
        <is>
          <t>Salı</t>
        </is>
      </c>
      <c r="F68" s="4" t="inlineStr">
        <is>
          <t>6.10.2026</t>
        </is>
      </c>
      <c r="G68" s="4" t="inlineStr">
        <is>
          <t>07:43</t>
        </is>
      </c>
      <c r="H68" s="4" t="inlineStr">
        <is>
          <t>6.10.2026</t>
        </is>
      </c>
      <c r="I68" s="4" t="inlineStr">
        <is>
          <t>17:08</t>
        </is>
      </c>
      <c r="J68" s="8" t="n">
        <v>7.5</v>
      </c>
      <c r="K68" s="8" t="n">
        <v>7.5</v>
      </c>
      <c r="L68" s="8" t="n">
        <v>0</v>
      </c>
      <c r="M68" s="29" t="inlineStr">
        <is>
          <t>BALIKESİR</t>
        </is>
      </c>
    </row>
    <row r="69">
      <c r="A69" s="4" t="n">
        <v>68</v>
      </c>
      <c r="B69" s="4" t="inlineStr">
        <is>
          <t>00830</t>
        </is>
      </c>
      <c r="C69" s="4" t="inlineStr">
        <is>
          <t>00830</t>
        </is>
      </c>
      <c r="D69" s="29" t="inlineStr">
        <is>
          <t>AHMET ÇÇAYLAK</t>
        </is>
      </c>
      <c r="E69" s="4" t="inlineStr">
        <is>
          <t>Çarşamba</t>
        </is>
      </c>
      <c r="F69" s="4" t="inlineStr">
        <is>
          <t>7.10.2026</t>
        </is>
      </c>
      <c r="G69" s="4" t="inlineStr">
        <is>
          <t>07:41</t>
        </is>
      </c>
      <c r="H69" s="4" t="inlineStr">
        <is>
          <t>7.10.2026</t>
        </is>
      </c>
      <c r="I69" s="4" t="inlineStr">
        <is>
          <t>18:09</t>
        </is>
      </c>
      <c r="J69" s="8" t="n">
        <v>8.5</v>
      </c>
      <c r="K69" s="8" t="n">
        <v>7.5</v>
      </c>
      <c r="L69" s="8" t="n">
        <v>1</v>
      </c>
      <c r="M69" s="29" t="inlineStr">
        <is>
          <t>BALIKESİR</t>
        </is>
      </c>
    </row>
    <row r="70">
      <c r="A70" s="4" t="n">
        <v>69</v>
      </c>
      <c r="B70" s="4" t="inlineStr">
        <is>
          <t>00830</t>
        </is>
      </c>
      <c r="C70" s="4" t="inlineStr">
        <is>
          <t>00830</t>
        </is>
      </c>
      <c r="D70" s="29" t="inlineStr">
        <is>
          <t>AHMET ÇÇAYLAK</t>
        </is>
      </c>
      <c r="E70" s="4" t="inlineStr">
        <is>
          <t>Cuma</t>
        </is>
      </c>
      <c r="F70" s="4" t="inlineStr">
        <is>
          <t>9.10.2026</t>
        </is>
      </c>
      <c r="G70" s="4" t="inlineStr">
        <is>
          <t>07:47</t>
        </is>
      </c>
      <c r="H70" s="4" t="inlineStr">
        <is>
          <t>9.10.2026</t>
        </is>
      </c>
      <c r="I70" s="4" t="inlineStr">
        <is>
          <t>17:07</t>
        </is>
      </c>
      <c r="J70" s="8" t="n">
        <v>7.5</v>
      </c>
      <c r="K70" s="8" t="n">
        <v>7.5</v>
      </c>
      <c r="L70" s="8" t="n">
        <v>0</v>
      </c>
      <c r="M70" s="29" t="inlineStr">
        <is>
          <t>BALIKESİR</t>
        </is>
      </c>
    </row>
    <row r="71">
      <c r="A71" s="4" t="n">
        <v>70</v>
      </c>
      <c r="B71" s="4" t="inlineStr">
        <is>
          <t>00830</t>
        </is>
      </c>
      <c r="C71" s="4" t="inlineStr">
        <is>
          <t>00830</t>
        </is>
      </c>
      <c r="D71" s="29" t="inlineStr">
        <is>
          <t>AHMET ÇÇAYLAK</t>
        </is>
      </c>
      <c r="E71" s="4" t="inlineStr">
        <is>
          <t>Cumartesi</t>
        </is>
      </c>
      <c r="F71" s="4" t="inlineStr">
        <is>
          <t>10.10.2026</t>
        </is>
      </c>
      <c r="G71" s="4" t="inlineStr">
        <is>
          <t>07:46</t>
        </is>
      </c>
      <c r="H71" s="4" t="inlineStr">
        <is>
          <t>10.10.2026</t>
        </is>
      </c>
      <c r="I71" s="4" t="inlineStr">
        <is>
          <t>17:06</t>
        </is>
      </c>
      <c r="J71" s="8" t="n">
        <v>7.5</v>
      </c>
      <c r="K71" s="8" t="n">
        <v>7.5</v>
      </c>
      <c r="L71" s="8" t="n">
        <v>0</v>
      </c>
      <c r="M71" s="29" t="inlineStr">
        <is>
          <t>BALIKESİR</t>
        </is>
      </c>
    </row>
    <row r="72">
      <c r="A72" s="4" t="n">
        <v>71</v>
      </c>
      <c r="B72" s="4" t="inlineStr">
        <is>
          <t>00830</t>
        </is>
      </c>
      <c r="C72" s="4" t="inlineStr">
        <is>
          <t>00830</t>
        </is>
      </c>
      <c r="D72" s="29" t="inlineStr">
        <is>
          <t>AHMET ÇÇAYLAK</t>
        </is>
      </c>
      <c r="E72" s="4" t="inlineStr">
        <is>
          <t>Pazar</t>
        </is>
      </c>
      <c r="F72" s="4" t="inlineStr">
        <is>
          <t>11.10.2026</t>
        </is>
      </c>
      <c r="G72" s="4" t="inlineStr">
        <is>
          <t>07:30</t>
        </is>
      </c>
      <c r="H72" s="4" t="inlineStr">
        <is>
          <t>11.10.2026</t>
        </is>
      </c>
      <c r="I72" s="4" t="inlineStr">
        <is>
          <t>17:11</t>
        </is>
      </c>
      <c r="J72" s="8" t="n">
        <v>7.5</v>
      </c>
      <c r="K72" s="8" t="n">
        <v>7.5</v>
      </c>
      <c r="L72" s="8" t="n">
        <v>0</v>
      </c>
      <c r="M72" s="29" t="inlineStr">
        <is>
          <t>BALIKESİR</t>
        </is>
      </c>
    </row>
    <row r="73">
      <c r="A73" s="4" t="n">
        <v>72</v>
      </c>
      <c r="B73" s="4" t="inlineStr">
        <is>
          <t>00830</t>
        </is>
      </c>
      <c r="C73" s="4" t="inlineStr">
        <is>
          <t>00830</t>
        </is>
      </c>
      <c r="D73" s="29" t="inlineStr">
        <is>
          <t>AHMET ÇÇAYLAK</t>
        </is>
      </c>
      <c r="E73" s="4" t="inlineStr">
        <is>
          <t>Pazartesi</t>
        </is>
      </c>
      <c r="F73" s="4" t="inlineStr">
        <is>
          <t>12.10.2026</t>
        </is>
      </c>
      <c r="G73" s="4" t="inlineStr">
        <is>
          <t>07:46</t>
        </is>
      </c>
      <c r="H73" s="4" t="inlineStr">
        <is>
          <t>12.10.2026</t>
        </is>
      </c>
      <c r="I73" s="4" t="inlineStr">
        <is>
          <t>19:54</t>
        </is>
      </c>
      <c r="J73" s="8" t="n">
        <v>10.5</v>
      </c>
      <c r="K73" s="8" t="n">
        <v>7.5</v>
      </c>
      <c r="L73" s="8" t="n">
        <v>3</v>
      </c>
      <c r="M73" s="29" t="inlineStr">
        <is>
          <t>BALIKESİR</t>
        </is>
      </c>
    </row>
    <row r="74">
      <c r="A74" s="4" t="n">
        <v>73</v>
      </c>
      <c r="B74" s="4" t="inlineStr">
        <is>
          <t>00830</t>
        </is>
      </c>
      <c r="C74" s="4" t="inlineStr">
        <is>
          <t>00830</t>
        </is>
      </c>
      <c r="D74" s="29" t="inlineStr">
        <is>
          <t>AHMET ÇÇAYLAK</t>
        </is>
      </c>
      <c r="E74" s="4" t="inlineStr">
        <is>
          <t>Salı</t>
        </is>
      </c>
      <c r="F74" s="4" t="inlineStr">
        <is>
          <t>13.10.2026</t>
        </is>
      </c>
      <c r="G74" s="4" t="inlineStr">
        <is>
          <t>07:47</t>
        </is>
      </c>
      <c r="H74" s="4" t="inlineStr">
        <is>
          <t>13.10.2026</t>
        </is>
      </c>
      <c r="I74" s="4" t="inlineStr">
        <is>
          <t>17:10</t>
        </is>
      </c>
      <c r="J74" s="8" t="n">
        <v>7.5</v>
      </c>
      <c r="K74" s="8" t="n">
        <v>7.5</v>
      </c>
      <c r="L74" s="8" t="n">
        <v>0</v>
      </c>
      <c r="M74" s="29" t="inlineStr">
        <is>
          <t>BALIKESİR</t>
        </is>
      </c>
    </row>
    <row r="75">
      <c r="A75" s="4" t="n">
        <v>74</v>
      </c>
      <c r="B75" s="4" t="inlineStr">
        <is>
          <t>00830</t>
        </is>
      </c>
      <c r="C75" s="4" t="inlineStr">
        <is>
          <t>00830</t>
        </is>
      </c>
      <c r="D75" s="29" t="inlineStr">
        <is>
          <t>AHMET ÇÇAYLAK</t>
        </is>
      </c>
      <c r="E75" s="4" t="inlineStr">
        <is>
          <t>Çarşamba</t>
        </is>
      </c>
      <c r="F75" s="4" t="inlineStr">
        <is>
          <t>14.10.2026</t>
        </is>
      </c>
      <c r="G75" s="4" t="inlineStr">
        <is>
          <t>07:45</t>
        </is>
      </c>
      <c r="H75" s="4" t="inlineStr">
        <is>
          <t>14.10.2026</t>
        </is>
      </c>
      <c r="I75" s="4" t="inlineStr">
        <is>
          <t>17:09</t>
        </is>
      </c>
      <c r="J75" s="8" t="n">
        <v>7.5</v>
      </c>
      <c r="K75" s="8" t="n">
        <v>7.5</v>
      </c>
      <c r="L75" s="8" t="n">
        <v>0</v>
      </c>
      <c r="M75" s="29" t="inlineStr">
        <is>
          <t>BALIKESİR</t>
        </is>
      </c>
    </row>
    <row r="76">
      <c r="A76" s="4" t="n">
        <v>75</v>
      </c>
      <c r="B76" s="4" t="inlineStr">
        <is>
          <t>00830</t>
        </is>
      </c>
      <c r="C76" s="4" t="inlineStr">
        <is>
          <t>00830</t>
        </is>
      </c>
      <c r="D76" s="29" t="inlineStr">
        <is>
          <t>AHMET ÇÇAYLAK</t>
        </is>
      </c>
      <c r="E76" s="4" t="inlineStr">
        <is>
          <t>Perşembe</t>
        </is>
      </c>
      <c r="F76" s="4" t="inlineStr">
        <is>
          <t>15.10.2026</t>
        </is>
      </c>
      <c r="G76" s="4" t="inlineStr">
        <is>
          <t>07:47</t>
        </is>
      </c>
      <c r="H76" s="4" t="inlineStr">
        <is>
          <t>15.10.2026</t>
        </is>
      </c>
      <c r="I76" s="4" t="inlineStr">
        <is>
          <t>17:10</t>
        </is>
      </c>
      <c r="J76" s="8" t="n">
        <v>7.5</v>
      </c>
      <c r="K76" s="8" t="n">
        <v>7.5</v>
      </c>
      <c r="L76" s="8" t="n">
        <v>0</v>
      </c>
      <c r="M76" s="29" t="inlineStr">
        <is>
          <t>BALIKESİR</t>
        </is>
      </c>
    </row>
    <row r="77">
      <c r="A77" s="4" t="n">
        <v>76</v>
      </c>
      <c r="B77" s="4" t="inlineStr">
        <is>
          <t>00830</t>
        </is>
      </c>
      <c r="C77" s="4" t="inlineStr">
        <is>
          <t>00830</t>
        </is>
      </c>
      <c r="D77" s="29" t="inlineStr">
        <is>
          <t>AHMET ÇÇAYLAK</t>
        </is>
      </c>
      <c r="E77" s="4" t="inlineStr">
        <is>
          <t>Cuma</t>
        </is>
      </c>
      <c r="F77" s="4" t="inlineStr">
        <is>
          <t>16.10.2026</t>
        </is>
      </c>
      <c r="G77" s="4" t="inlineStr">
        <is>
          <t>07:39</t>
        </is>
      </c>
      <c r="H77" s="4" t="inlineStr">
        <is>
          <t>16.10.2026</t>
        </is>
      </c>
      <c r="I77" s="4" t="inlineStr">
        <is>
          <t>20:03</t>
        </is>
      </c>
      <c r="J77" s="8" t="n">
        <v>10.5</v>
      </c>
      <c r="K77" s="8" t="n">
        <v>7.5</v>
      </c>
      <c r="L77" s="8" t="n">
        <v>3</v>
      </c>
      <c r="M77" s="29" t="inlineStr">
        <is>
          <t>BALIKESİR</t>
        </is>
      </c>
    </row>
    <row r="78">
      <c r="A78" s="4" t="n">
        <v>77</v>
      </c>
      <c r="B78" s="4" t="inlineStr">
        <is>
          <t>00830</t>
        </is>
      </c>
      <c r="C78" s="4" t="inlineStr">
        <is>
          <t>00830</t>
        </is>
      </c>
      <c r="D78" s="29" t="inlineStr">
        <is>
          <t>AHMET ÇÇAYLAK</t>
        </is>
      </c>
      <c r="E78" s="4" t="inlineStr">
        <is>
          <t>Cumartesi</t>
        </is>
      </c>
      <c r="F78" s="4" t="inlineStr">
        <is>
          <t>17.10.2026</t>
        </is>
      </c>
      <c r="G78" s="4" t="inlineStr">
        <is>
          <t>07:42</t>
        </is>
      </c>
      <c r="H78" s="4" t="inlineStr">
        <is>
          <t>17.10.2026</t>
        </is>
      </c>
      <c r="I78" s="4" t="inlineStr">
        <is>
          <t>17:12</t>
        </is>
      </c>
      <c r="J78" s="8" t="n">
        <v>7.5</v>
      </c>
      <c r="K78" s="8" t="n">
        <v>7.5</v>
      </c>
      <c r="L78" s="8" t="n">
        <v>0</v>
      </c>
      <c r="M78" s="29" t="inlineStr">
        <is>
          <t>BALIKESİR</t>
        </is>
      </c>
    </row>
    <row r="79">
      <c r="A79" s="4" t="n">
        <v>78</v>
      </c>
      <c r="B79" s="4" t="inlineStr">
        <is>
          <t>00830</t>
        </is>
      </c>
      <c r="C79" s="4" t="inlineStr">
        <is>
          <t>00830</t>
        </is>
      </c>
      <c r="D79" s="29" t="inlineStr">
        <is>
          <t>AHMET ÇÇAYLAK</t>
        </is>
      </c>
      <c r="E79" s="4" t="inlineStr">
        <is>
          <t>Pazar</t>
        </is>
      </c>
      <c r="F79" s="4" t="inlineStr">
        <is>
          <t>18.10.2026</t>
        </is>
      </c>
      <c r="G79" s="4" t="inlineStr">
        <is>
          <t>08:09</t>
        </is>
      </c>
      <c r="H79" s="4" t="inlineStr">
        <is>
          <t>18.10.2026</t>
        </is>
      </c>
      <c r="I79" s="4" t="inlineStr">
        <is>
          <t>17:06</t>
        </is>
      </c>
      <c r="J79" s="8" t="n">
        <v>7.5</v>
      </c>
      <c r="K79" s="8" t="n">
        <v>7.5</v>
      </c>
      <c r="L79" s="8" t="n">
        <v>0</v>
      </c>
      <c r="M79" s="29" t="inlineStr">
        <is>
          <t>BALIKESİR</t>
        </is>
      </c>
    </row>
    <row r="80">
      <c r="A80" s="4" t="n">
        <v>79</v>
      </c>
      <c r="B80" s="4" t="inlineStr">
        <is>
          <t>00830</t>
        </is>
      </c>
      <c r="C80" s="4" t="inlineStr">
        <is>
          <t>00830</t>
        </is>
      </c>
      <c r="D80" s="29" t="inlineStr">
        <is>
          <t>AHMET ÇÇAYLAK</t>
        </is>
      </c>
      <c r="E80" s="4" t="inlineStr">
        <is>
          <t>Pazartesi</t>
        </is>
      </c>
      <c r="F80" s="4" t="inlineStr">
        <is>
          <t>19.10.2026</t>
        </is>
      </c>
      <c r="G80" s="4" t="inlineStr">
        <is>
          <t>07:38</t>
        </is>
      </c>
      <c r="H80" s="4" t="inlineStr">
        <is>
          <t>19.10.2026</t>
        </is>
      </c>
      <c r="I80" s="4" t="inlineStr">
        <is>
          <t>17:11</t>
        </is>
      </c>
      <c r="J80" s="8" t="n">
        <v>7.5</v>
      </c>
      <c r="K80" s="8" t="n">
        <v>7.5</v>
      </c>
      <c r="L80" s="8" t="n">
        <v>0</v>
      </c>
      <c r="M80" s="29" t="inlineStr">
        <is>
          <t>BALIKESİR</t>
        </is>
      </c>
    </row>
    <row r="81">
      <c r="A81" s="4" t="n">
        <v>80</v>
      </c>
      <c r="B81" s="4" t="inlineStr">
        <is>
          <t>00830</t>
        </is>
      </c>
      <c r="C81" s="4" t="inlineStr">
        <is>
          <t>00830</t>
        </is>
      </c>
      <c r="D81" s="29" t="inlineStr">
        <is>
          <t>AHMET ÇÇAYLAK</t>
        </is>
      </c>
      <c r="E81" s="4" t="inlineStr">
        <is>
          <t>Salı</t>
        </is>
      </c>
      <c r="F81" s="4" t="inlineStr">
        <is>
          <t>20.10.2026</t>
        </is>
      </c>
      <c r="G81" s="4" t="inlineStr">
        <is>
          <t>07:40</t>
        </is>
      </c>
      <c r="H81" s="4" t="inlineStr">
        <is>
          <t>20.10.2026</t>
        </is>
      </c>
      <c r="I81" s="4" t="inlineStr">
        <is>
          <t>17:06</t>
        </is>
      </c>
      <c r="J81" s="8" t="n">
        <v>7.5</v>
      </c>
      <c r="K81" s="8" t="n">
        <v>7.5</v>
      </c>
      <c r="L81" s="8" t="n">
        <v>0</v>
      </c>
      <c r="M81" s="29" t="inlineStr">
        <is>
          <t>BALIKESİR</t>
        </is>
      </c>
    </row>
    <row r="82">
      <c r="A82" s="4" t="n">
        <v>81</v>
      </c>
      <c r="B82" s="4" t="inlineStr">
        <is>
          <t>00830</t>
        </is>
      </c>
      <c r="C82" s="4" t="inlineStr">
        <is>
          <t>00830</t>
        </is>
      </c>
      <c r="D82" s="29" t="inlineStr">
        <is>
          <t>AHMET ÇÇAYLAK</t>
        </is>
      </c>
      <c r="E82" s="4" t="inlineStr">
        <is>
          <t>Çarşamba</t>
        </is>
      </c>
      <c r="F82" s="4" t="inlineStr">
        <is>
          <t>21.10.2026</t>
        </is>
      </c>
      <c r="G82" s="4" t="inlineStr">
        <is>
          <t>07:38</t>
        </is>
      </c>
      <c r="H82" s="4" t="inlineStr">
        <is>
          <t>21.10.2026</t>
        </is>
      </c>
      <c r="I82" s="4" t="inlineStr">
        <is>
          <t>12:05</t>
        </is>
      </c>
      <c r="J82" s="8" t="n">
        <v>4</v>
      </c>
      <c r="K82" s="8" t="n">
        <v>4</v>
      </c>
      <c r="L82" s="8" t="n">
        <v>0</v>
      </c>
      <c r="M82" s="29" t="inlineStr">
        <is>
          <t>BALIKESİR</t>
        </is>
      </c>
    </row>
    <row r="83">
      <c r="A83" s="4" t="n">
        <v>82</v>
      </c>
      <c r="B83" s="4" t="inlineStr">
        <is>
          <t>01388</t>
        </is>
      </c>
      <c r="C83" s="4" t="inlineStr">
        <is>
          <t>01388</t>
        </is>
      </c>
      <c r="D83" s="29" t="inlineStr">
        <is>
          <t>AHMET CAN ABAKAY</t>
        </is>
      </c>
      <c r="E83" s="4" t="inlineStr">
        <is>
          <t>Cuma</t>
        </is>
      </c>
      <c r="F83" s="4" t="inlineStr">
        <is>
          <t>2.10.2026</t>
        </is>
      </c>
      <c r="G83" s="4" t="inlineStr">
        <is>
          <t>20:11</t>
        </is>
      </c>
      <c r="H83" s="4" t="inlineStr">
        <is>
          <t>2.10.2026</t>
        </is>
      </c>
      <c r="I83" s="4" t="inlineStr">
        <is>
          <t>07:58</t>
        </is>
      </c>
      <c r="J83" s="8" t="n">
        <v>10.5</v>
      </c>
      <c r="K83" s="8" t="n">
        <v>7.5</v>
      </c>
      <c r="L83" s="8" t="n">
        <v>3</v>
      </c>
      <c r="M83" s="29" t="inlineStr">
        <is>
          <t>HALİL DİĞRENCİ</t>
        </is>
      </c>
    </row>
    <row r="84">
      <c r="A84" s="4" t="n">
        <v>83</v>
      </c>
      <c r="B84" s="4" t="inlineStr">
        <is>
          <t>01388</t>
        </is>
      </c>
      <c r="C84" s="4" t="inlineStr">
        <is>
          <t>01388</t>
        </is>
      </c>
      <c r="D84" s="29" t="inlineStr">
        <is>
          <t>AHMET CAN ABAKAY</t>
        </is>
      </c>
      <c r="E84" s="4" t="inlineStr">
        <is>
          <t>Cumartesi</t>
        </is>
      </c>
      <c r="F84" s="4" t="inlineStr">
        <is>
          <t>3.10.2026</t>
        </is>
      </c>
      <c r="G84" s="4" t="inlineStr">
        <is>
          <t>19:54</t>
        </is>
      </c>
      <c r="H84" s="4" t="inlineStr">
        <is>
          <t>3.10.2026</t>
        </is>
      </c>
      <c r="I84" s="4" t="inlineStr">
        <is>
          <t>08:02</t>
        </is>
      </c>
      <c r="J84" s="8" t="n">
        <v>10.5</v>
      </c>
      <c r="K84" s="8" t="n">
        <v>7.5</v>
      </c>
      <c r="L84" s="8" t="n">
        <v>3</v>
      </c>
      <c r="M84" s="29" t="inlineStr">
        <is>
          <t>HALİL DİĞRENCİ</t>
        </is>
      </c>
    </row>
    <row r="85">
      <c r="A85" s="4" t="n">
        <v>84</v>
      </c>
      <c r="B85" s="4" t="inlineStr">
        <is>
          <t>01388</t>
        </is>
      </c>
      <c r="C85" s="4" t="inlineStr">
        <is>
          <t>01388</t>
        </is>
      </c>
      <c r="D85" s="29" t="inlineStr">
        <is>
          <t>AHMET CAN ABAKAY</t>
        </is>
      </c>
      <c r="E85" s="4" t="inlineStr">
        <is>
          <t>Pazartesi</t>
        </is>
      </c>
      <c r="F85" s="4" t="inlineStr">
        <is>
          <t>5.10.2026</t>
        </is>
      </c>
      <c r="G85" s="4" t="inlineStr">
        <is>
          <t>19:47</t>
        </is>
      </c>
      <c r="H85" s="4" t="inlineStr">
        <is>
          <t>5.10.2026</t>
        </is>
      </c>
      <c r="I85" s="4" t="inlineStr">
        <is>
          <t>07:56</t>
        </is>
      </c>
      <c r="J85" s="8" t="n">
        <v>10.5</v>
      </c>
      <c r="K85" s="8" t="n">
        <v>7.5</v>
      </c>
      <c r="L85" s="8" t="n">
        <v>3</v>
      </c>
      <c r="M85" s="29" t="inlineStr">
        <is>
          <t>HALİL DİĞRENCİ</t>
        </is>
      </c>
    </row>
    <row r="86">
      <c r="A86" s="4" t="n">
        <v>85</v>
      </c>
      <c r="B86" s="4" t="inlineStr">
        <is>
          <t>01388</t>
        </is>
      </c>
      <c r="C86" s="4" t="inlineStr">
        <is>
          <t>01388</t>
        </is>
      </c>
      <c r="D86" s="29" t="inlineStr">
        <is>
          <t>AHMET CAN ABAKAY</t>
        </is>
      </c>
      <c r="E86" s="4" t="inlineStr">
        <is>
          <t>Salı</t>
        </is>
      </c>
      <c r="F86" s="4" t="inlineStr">
        <is>
          <t>6.10.2026</t>
        </is>
      </c>
      <c r="G86" s="4" t="inlineStr">
        <is>
          <t>19:55</t>
        </is>
      </c>
      <c r="H86" s="4" t="inlineStr">
        <is>
          <t>6.10.2026</t>
        </is>
      </c>
      <c r="I86" s="4" t="inlineStr">
        <is>
          <t>08:01</t>
        </is>
      </c>
      <c r="J86" s="8" t="n">
        <v>10.5</v>
      </c>
      <c r="K86" s="8" t="n">
        <v>7.5</v>
      </c>
      <c r="L86" s="8" t="n">
        <v>3</v>
      </c>
      <c r="M86" s="29" t="inlineStr">
        <is>
          <t>HALİL DİĞRENCİ</t>
        </is>
      </c>
    </row>
    <row r="87">
      <c r="A87" s="4" t="n">
        <v>86</v>
      </c>
      <c r="B87" s="4" t="inlineStr">
        <is>
          <t>01388</t>
        </is>
      </c>
      <c r="C87" s="4" t="inlineStr">
        <is>
          <t>01388</t>
        </is>
      </c>
      <c r="D87" s="29" t="inlineStr">
        <is>
          <t>AHMET CAN ABAKAY</t>
        </is>
      </c>
      <c r="E87" s="4" t="inlineStr">
        <is>
          <t>Çarşamba</t>
        </is>
      </c>
      <c r="F87" s="4" t="inlineStr">
        <is>
          <t>7.10.2026</t>
        </is>
      </c>
      <c r="G87" s="4" t="inlineStr">
        <is>
          <t>19:52</t>
        </is>
      </c>
      <c r="H87" s="4" t="inlineStr">
        <is>
          <t>7.10.2026</t>
        </is>
      </c>
      <c r="I87" s="4" t="inlineStr">
        <is>
          <t>07:58</t>
        </is>
      </c>
      <c r="J87" s="8" t="n">
        <v>10.5</v>
      </c>
      <c r="K87" s="8" t="n">
        <v>7.5</v>
      </c>
      <c r="L87" s="8" t="n">
        <v>3</v>
      </c>
      <c r="M87" s="29" t="inlineStr">
        <is>
          <t>HALİL DİĞRENCİ</t>
        </is>
      </c>
    </row>
    <row r="88">
      <c r="A88" s="4" t="n">
        <v>87</v>
      </c>
      <c r="B88" s="4" t="inlineStr">
        <is>
          <t>01388</t>
        </is>
      </c>
      <c r="C88" s="4" t="inlineStr">
        <is>
          <t>01388</t>
        </is>
      </c>
      <c r="D88" s="29" t="inlineStr">
        <is>
          <t>AHMET CAN ABAKAY</t>
        </is>
      </c>
      <c r="E88" s="4" t="inlineStr">
        <is>
          <t>Perşembe</t>
        </is>
      </c>
      <c r="F88" s="4" t="inlineStr">
        <is>
          <t>8.10.2026</t>
        </is>
      </c>
      <c r="G88" s="4" t="inlineStr">
        <is>
          <t>20:03</t>
        </is>
      </c>
      <c r="H88" s="4" t="inlineStr">
        <is>
          <t>8.10.2026</t>
        </is>
      </c>
      <c r="I88" s="4" t="inlineStr">
        <is>
          <t>08:02</t>
        </is>
      </c>
      <c r="J88" s="8" t="n">
        <v>10.5</v>
      </c>
      <c r="K88" s="8" t="n">
        <v>7.5</v>
      </c>
      <c r="L88" s="8" t="n">
        <v>3</v>
      </c>
      <c r="M88" s="29" t="inlineStr">
        <is>
          <t>HALİL DİĞRENCİ</t>
        </is>
      </c>
    </row>
    <row r="89">
      <c r="A89" s="4" t="n">
        <v>88</v>
      </c>
      <c r="B89" s="4" t="inlineStr">
        <is>
          <t>01388</t>
        </is>
      </c>
      <c r="C89" s="4" t="inlineStr">
        <is>
          <t>01388</t>
        </is>
      </c>
      <c r="D89" s="29" t="inlineStr">
        <is>
          <t>AHMET CAN ABAKAY</t>
        </is>
      </c>
      <c r="E89" s="4" t="inlineStr">
        <is>
          <t>Cuma</t>
        </is>
      </c>
      <c r="F89" s="4" t="inlineStr">
        <is>
          <t>9.10.2026</t>
        </is>
      </c>
      <c r="G89" s="4" t="inlineStr">
        <is>
          <t>19:58</t>
        </is>
      </c>
      <c r="H89" s="4" t="inlineStr">
        <is>
          <t>9.10.2026</t>
        </is>
      </c>
      <c r="I89" s="4" t="inlineStr">
        <is>
          <t>08:02</t>
        </is>
      </c>
      <c r="J89" s="8" t="n">
        <v>10.5</v>
      </c>
      <c r="K89" s="8" t="n">
        <v>7.5</v>
      </c>
      <c r="L89" s="8" t="n">
        <v>3</v>
      </c>
      <c r="M89" s="29" t="inlineStr">
        <is>
          <t>HALİL DİĞRENCİ</t>
        </is>
      </c>
    </row>
    <row r="90">
      <c r="A90" s="4" t="n">
        <v>89</v>
      </c>
      <c r="B90" s="4" t="inlineStr">
        <is>
          <t>01388</t>
        </is>
      </c>
      <c r="C90" s="4" t="inlineStr">
        <is>
          <t>01388</t>
        </is>
      </c>
      <c r="D90" s="29" t="inlineStr">
        <is>
          <t>AHMET CAN ABAKAY</t>
        </is>
      </c>
      <c r="E90" s="4" t="inlineStr">
        <is>
          <t>Cumartesi</t>
        </is>
      </c>
      <c r="F90" s="4" t="inlineStr">
        <is>
          <t>10.10.2026</t>
        </is>
      </c>
      <c r="G90" s="4" t="inlineStr">
        <is>
          <t>19:50</t>
        </is>
      </c>
      <c r="H90" s="4" t="inlineStr">
        <is>
          <t>10.10.2026</t>
        </is>
      </c>
      <c r="I90" s="4" t="inlineStr">
        <is>
          <t>08:05</t>
        </is>
      </c>
      <c r="J90" s="8" t="n">
        <v>10.5</v>
      </c>
      <c r="K90" s="8" t="n">
        <v>7.5</v>
      </c>
      <c r="L90" s="8" t="n">
        <v>3</v>
      </c>
      <c r="M90" s="29" t="inlineStr">
        <is>
          <t>HALİL DİĞRENCİ</t>
        </is>
      </c>
    </row>
    <row r="91">
      <c r="A91" s="4" t="n">
        <v>90</v>
      </c>
      <c r="B91" s="4" t="inlineStr">
        <is>
          <t>01388</t>
        </is>
      </c>
      <c r="C91" s="4" t="inlineStr">
        <is>
          <t>01388</t>
        </is>
      </c>
      <c r="D91" s="29" t="inlineStr">
        <is>
          <t>AHMET CAN ABAKAY</t>
        </is>
      </c>
      <c r="E91" s="4" t="inlineStr">
        <is>
          <t>Pazartesi</t>
        </is>
      </c>
      <c r="F91" s="4" t="inlineStr">
        <is>
          <t>12.10.2026</t>
        </is>
      </c>
      <c r="G91" s="4" t="inlineStr">
        <is>
          <t>19:56</t>
        </is>
      </c>
      <c r="H91" s="4" t="inlineStr">
        <is>
          <t>12.10.2026</t>
        </is>
      </c>
      <c r="I91" s="4" t="inlineStr">
        <is>
          <t>07:59</t>
        </is>
      </c>
      <c r="J91" s="8" t="n">
        <v>10.5</v>
      </c>
      <c r="K91" s="8" t="n">
        <v>7.5</v>
      </c>
      <c r="L91" s="8" t="n">
        <v>3</v>
      </c>
      <c r="M91" s="29" t="inlineStr">
        <is>
          <t>HALİL DİĞRENCİ</t>
        </is>
      </c>
    </row>
    <row r="92">
      <c r="A92" s="4" t="n">
        <v>91</v>
      </c>
      <c r="B92" s="4" t="inlineStr">
        <is>
          <t>01388</t>
        </is>
      </c>
      <c r="C92" s="4" t="inlineStr">
        <is>
          <t>01388</t>
        </is>
      </c>
      <c r="D92" s="29" t="inlineStr">
        <is>
          <t>AHMET CAN ABAKAY</t>
        </is>
      </c>
      <c r="E92" s="4" t="inlineStr">
        <is>
          <t>Çarşamba</t>
        </is>
      </c>
      <c r="F92" s="4" t="inlineStr">
        <is>
          <t>14.10.2026</t>
        </is>
      </c>
      <c r="G92" s="4" t="inlineStr">
        <is>
          <t>20:03</t>
        </is>
      </c>
      <c r="H92" s="4" t="inlineStr">
        <is>
          <t>14.10.2026</t>
        </is>
      </c>
      <c r="I92" s="4" t="inlineStr">
        <is>
          <t>08:00</t>
        </is>
      </c>
      <c r="J92" s="8" t="n">
        <v>10.5</v>
      </c>
      <c r="K92" s="8" t="n">
        <v>7.5</v>
      </c>
      <c r="L92" s="8" t="n">
        <v>3</v>
      </c>
      <c r="M92" s="29" t="inlineStr">
        <is>
          <t>HALİL DİĞRENCİ</t>
        </is>
      </c>
    </row>
    <row r="93">
      <c r="A93" s="4" t="n">
        <v>92</v>
      </c>
      <c r="B93" s="4" t="inlineStr">
        <is>
          <t>01388</t>
        </is>
      </c>
      <c r="C93" s="4" t="inlineStr">
        <is>
          <t>01388</t>
        </is>
      </c>
      <c r="D93" s="29" t="inlineStr">
        <is>
          <t>AHMET CAN ABAKAY</t>
        </is>
      </c>
      <c r="E93" s="4" t="inlineStr">
        <is>
          <t>Perşembe</t>
        </is>
      </c>
      <c r="F93" s="4" t="inlineStr">
        <is>
          <t>15.10.2026</t>
        </is>
      </c>
      <c r="G93" s="4" t="inlineStr">
        <is>
          <t>19:52</t>
        </is>
      </c>
      <c r="H93" s="4" t="inlineStr">
        <is>
          <t>15.10.2026</t>
        </is>
      </c>
      <c r="I93" s="4" t="inlineStr">
        <is>
          <t>08:06</t>
        </is>
      </c>
      <c r="J93" s="8" t="n">
        <v>10.5</v>
      </c>
      <c r="K93" s="8" t="n">
        <v>7.5</v>
      </c>
      <c r="L93" s="8" t="n">
        <v>3</v>
      </c>
      <c r="M93" s="29" t="inlineStr">
        <is>
          <t>HALİL DİĞRENCİ</t>
        </is>
      </c>
    </row>
    <row r="94">
      <c r="A94" s="4" t="n">
        <v>93</v>
      </c>
      <c r="B94" s="4" t="inlineStr">
        <is>
          <t>01388</t>
        </is>
      </c>
      <c r="C94" s="4" t="inlineStr">
        <is>
          <t>01388</t>
        </is>
      </c>
      <c r="D94" s="29" t="inlineStr">
        <is>
          <t>AHMET CAN ABAKAY</t>
        </is>
      </c>
      <c r="E94" s="4" t="inlineStr">
        <is>
          <t>Pazartesi</t>
        </is>
      </c>
      <c r="F94" s="4" t="inlineStr">
        <is>
          <t>19.10.2026</t>
        </is>
      </c>
      <c r="G94" s="4" t="inlineStr">
        <is>
          <t>20:12</t>
        </is>
      </c>
      <c r="H94" s="4" t="inlineStr">
        <is>
          <t>19.10.2026</t>
        </is>
      </c>
      <c r="I94" s="4" t="inlineStr">
        <is>
          <t>08:05</t>
        </is>
      </c>
      <c r="J94" s="8" t="n">
        <v>10.5</v>
      </c>
      <c r="K94" s="8" t="n">
        <v>7.5</v>
      </c>
      <c r="L94" s="8" t="n">
        <v>3</v>
      </c>
      <c r="M94" s="29" t="inlineStr">
        <is>
          <t>HALİL DİĞRENCİ</t>
        </is>
      </c>
    </row>
    <row r="95">
      <c r="A95" s="4" t="n">
        <v>94</v>
      </c>
      <c r="B95" s="4" t="inlineStr">
        <is>
          <t>01389</t>
        </is>
      </c>
      <c r="C95" s="4" t="inlineStr">
        <is>
          <t>01389</t>
        </is>
      </c>
      <c r="D95" s="29" t="inlineStr">
        <is>
          <t>AHMET TALHA KÖKMEN</t>
        </is>
      </c>
      <c r="E95" s="4" t="inlineStr">
        <is>
          <t>Cumartesi</t>
        </is>
      </c>
      <c r="F95" s="4" t="inlineStr">
        <is>
          <t>3.10.2026</t>
        </is>
      </c>
      <c r="G95" s="4" t="inlineStr">
        <is>
          <t>20:00</t>
        </is>
      </c>
      <c r="H95" s="4" t="inlineStr">
        <is>
          <t>3.10.2026</t>
        </is>
      </c>
      <c r="I95" s="4" t="inlineStr">
        <is>
          <t>07:55</t>
        </is>
      </c>
      <c r="J95" s="8" t="n">
        <v>10.5</v>
      </c>
      <c r="K95" s="8" t="n">
        <v>7.5</v>
      </c>
      <c r="L95" s="8" t="n">
        <v>3</v>
      </c>
      <c r="M95" s="29" t="inlineStr">
        <is>
          <t>HALİL DİĞRENCİ</t>
        </is>
      </c>
    </row>
    <row r="96">
      <c r="A96" s="4" t="n">
        <v>95</v>
      </c>
      <c r="B96" s="4" t="inlineStr">
        <is>
          <t>01389</t>
        </is>
      </c>
      <c r="C96" s="4" t="inlineStr">
        <is>
          <t>01389</t>
        </is>
      </c>
      <c r="D96" s="29" t="inlineStr">
        <is>
          <t>AHMET TALHA KÖKMEN</t>
        </is>
      </c>
      <c r="E96" s="4" t="inlineStr">
        <is>
          <t>Pazartesi</t>
        </is>
      </c>
      <c r="F96" s="4" t="inlineStr">
        <is>
          <t>5.10.2026</t>
        </is>
      </c>
      <c r="G96" s="4" t="inlineStr">
        <is>
          <t>19:49</t>
        </is>
      </c>
      <c r="H96" s="4" t="inlineStr">
        <is>
          <t>5.10.2026</t>
        </is>
      </c>
      <c r="I96" s="4" t="inlineStr">
        <is>
          <t>07:59</t>
        </is>
      </c>
      <c r="J96" s="8" t="n">
        <v>10.5</v>
      </c>
      <c r="K96" s="8" t="n">
        <v>7.5</v>
      </c>
      <c r="L96" s="8" t="n">
        <v>3</v>
      </c>
      <c r="M96" s="29" t="inlineStr">
        <is>
          <t>HALİL DİĞRENCİ</t>
        </is>
      </c>
    </row>
    <row r="97">
      <c r="A97" s="4" t="n">
        <v>96</v>
      </c>
      <c r="B97" s="4" t="inlineStr">
        <is>
          <t>01389</t>
        </is>
      </c>
      <c r="C97" s="4" t="inlineStr">
        <is>
          <t>01389</t>
        </is>
      </c>
      <c r="D97" s="29" t="inlineStr">
        <is>
          <t>AHMET TALHA KÖKMEN</t>
        </is>
      </c>
      <c r="E97" s="4" t="inlineStr">
        <is>
          <t>Salı</t>
        </is>
      </c>
      <c r="F97" s="4" t="inlineStr">
        <is>
          <t>6.10.2026</t>
        </is>
      </c>
      <c r="G97" s="4" t="inlineStr">
        <is>
          <t>19:55</t>
        </is>
      </c>
      <c r="H97" s="4" t="inlineStr">
        <is>
          <t>6.10.2026</t>
        </is>
      </c>
      <c r="I97" s="4" t="inlineStr">
        <is>
          <t>08:02</t>
        </is>
      </c>
      <c r="J97" s="8" t="n">
        <v>10.5</v>
      </c>
      <c r="K97" s="8" t="n">
        <v>7.5</v>
      </c>
      <c r="L97" s="8" t="n">
        <v>3</v>
      </c>
      <c r="M97" s="29" t="inlineStr">
        <is>
          <t>HALİL DİĞRENCİ</t>
        </is>
      </c>
    </row>
    <row r="98">
      <c r="A98" s="4" t="n">
        <v>97</v>
      </c>
      <c r="B98" s="4" t="inlineStr">
        <is>
          <t>01154</t>
        </is>
      </c>
      <c r="C98" s="4" t="inlineStr">
        <is>
          <t>01154</t>
        </is>
      </c>
      <c r="D98" s="29" t="inlineStr">
        <is>
          <t>AKİF TÜRKÇÜ</t>
        </is>
      </c>
      <c r="E98" s="4" t="inlineStr">
        <is>
          <t>Perşembe</t>
        </is>
      </c>
      <c r="F98" s="4" t="inlineStr">
        <is>
          <t>1.10.2026</t>
        </is>
      </c>
      <c r="G98" s="4" t="inlineStr">
        <is>
          <t>18:08</t>
        </is>
      </c>
      <c r="H98" s="4" t="inlineStr">
        <is>
          <t>1.10.2026</t>
        </is>
      </c>
      <c r="I98" s="4" t="inlineStr">
        <is>
          <t>-</t>
        </is>
      </c>
      <c r="J98" s="8" t="n">
        <v>7.5</v>
      </c>
      <c r="K98" s="8" t="n">
        <v>7.5</v>
      </c>
      <c r="L98" s="8" t="n">
        <v>0</v>
      </c>
      <c r="M98" s="29" t="inlineStr">
        <is>
          <t>MKP</t>
        </is>
      </c>
    </row>
    <row r="99">
      <c r="A99" s="4" t="n">
        <v>98</v>
      </c>
      <c r="B99" s="4" t="inlineStr">
        <is>
          <t>01154</t>
        </is>
      </c>
      <c r="C99" s="4" t="inlineStr">
        <is>
          <t>01154</t>
        </is>
      </c>
      <c r="D99" s="29" t="inlineStr">
        <is>
          <t>AKİF TÜRKÇÜ</t>
        </is>
      </c>
      <c r="E99" s="4" t="inlineStr">
        <is>
          <t>Cuma</t>
        </is>
      </c>
      <c r="F99" s="4" t="inlineStr">
        <is>
          <t>2.10.2026</t>
        </is>
      </c>
      <c r="G99" s="4" t="inlineStr">
        <is>
          <t>18:05</t>
        </is>
      </c>
      <c r="H99" s="4" t="inlineStr">
        <is>
          <t>2.10.2026</t>
        </is>
      </c>
      <c r="I99" s="4" t="inlineStr">
        <is>
          <t>00:56</t>
        </is>
      </c>
      <c r="J99" s="8" t="n">
        <v>6.5</v>
      </c>
      <c r="K99" s="8" t="n">
        <v>5.5</v>
      </c>
      <c r="L99" s="8" t="n">
        <v>1</v>
      </c>
      <c r="M99" s="29" t="inlineStr">
        <is>
          <t>MKP</t>
        </is>
      </c>
    </row>
    <row r="100">
      <c r="A100" s="4" t="n">
        <v>99</v>
      </c>
      <c r="B100" s="4" t="inlineStr">
        <is>
          <t>01154</t>
        </is>
      </c>
      <c r="C100" s="4" t="inlineStr">
        <is>
          <t>01154</t>
        </is>
      </c>
      <c r="D100" s="29" t="inlineStr">
        <is>
          <t>AKİF TÜRKÇÜ</t>
        </is>
      </c>
      <c r="E100" s="4" t="inlineStr">
        <is>
          <t>Cumartesi</t>
        </is>
      </c>
      <c r="F100" s="4" t="inlineStr">
        <is>
          <t>3.10.2026</t>
        </is>
      </c>
      <c r="G100" s="4" t="inlineStr">
        <is>
          <t>17:56</t>
        </is>
      </c>
      <c r="H100" s="4" t="inlineStr">
        <is>
          <t>3.10.2026</t>
        </is>
      </c>
      <c r="I100" s="4" t="inlineStr">
        <is>
          <t>00:55</t>
        </is>
      </c>
      <c r="J100" s="8" t="n">
        <v>6.5</v>
      </c>
      <c r="K100" s="8" t="n">
        <v>5.5</v>
      </c>
      <c r="L100" s="8" t="n">
        <v>1</v>
      </c>
      <c r="M100" s="29" t="inlineStr">
        <is>
          <t>MKP</t>
        </is>
      </c>
    </row>
    <row r="101">
      <c r="A101" s="4" t="n">
        <v>100</v>
      </c>
      <c r="B101" s="4" t="inlineStr">
        <is>
          <t>01154</t>
        </is>
      </c>
      <c r="C101" s="4" t="inlineStr">
        <is>
          <t>01154</t>
        </is>
      </c>
      <c r="D101" s="29" t="inlineStr">
        <is>
          <t>AKİF TÜRKÇÜ</t>
        </is>
      </c>
      <c r="E101" s="4" t="inlineStr">
        <is>
          <t>Pazartesi</t>
        </is>
      </c>
      <c r="F101" s="4" t="inlineStr">
        <is>
          <t>5.10.2026</t>
        </is>
      </c>
      <c r="G101" s="4" t="inlineStr">
        <is>
          <t>17:46</t>
        </is>
      </c>
      <c r="H101" s="4" t="inlineStr">
        <is>
          <t>5.10.2026</t>
        </is>
      </c>
      <c r="I101" s="4" t="inlineStr">
        <is>
          <t>02:44</t>
        </is>
      </c>
      <c r="J101" s="8" t="n">
        <v>8.5</v>
      </c>
      <c r="K101" s="8" t="n">
        <v>6</v>
      </c>
      <c r="L101" s="8" t="n">
        <v>2.5</v>
      </c>
      <c r="M101" s="29" t="inlineStr">
        <is>
          <t>MKP</t>
        </is>
      </c>
    </row>
    <row r="102">
      <c r="A102" s="4" t="n">
        <v>101</v>
      </c>
      <c r="B102" s="4" t="inlineStr">
        <is>
          <t>01154</t>
        </is>
      </c>
      <c r="C102" s="4" t="inlineStr">
        <is>
          <t>01154</t>
        </is>
      </c>
      <c r="D102" s="29" t="inlineStr">
        <is>
          <t>AKİF TÜRKÇÜ</t>
        </is>
      </c>
      <c r="E102" s="4" t="inlineStr">
        <is>
          <t>Salı</t>
        </is>
      </c>
      <c r="F102" s="4" t="inlineStr">
        <is>
          <t>6.10.2026</t>
        </is>
      </c>
      <c r="G102" s="4" t="inlineStr">
        <is>
          <t>18:17</t>
        </is>
      </c>
      <c r="H102" s="4" t="inlineStr">
        <is>
          <t>6.10.2026</t>
        </is>
      </c>
      <c r="I102" s="4" t="inlineStr">
        <is>
          <t>02:31</t>
        </is>
      </c>
      <c r="J102" s="8" t="n">
        <v>8</v>
      </c>
      <c r="K102" s="8" t="n">
        <v>5.5</v>
      </c>
      <c r="L102" s="8" t="n">
        <v>2.5</v>
      </c>
      <c r="M102" s="29" t="inlineStr">
        <is>
          <t>MKP</t>
        </is>
      </c>
    </row>
    <row r="103">
      <c r="A103" s="4" t="n">
        <v>102</v>
      </c>
      <c r="B103" s="4" t="inlineStr">
        <is>
          <t>01154</t>
        </is>
      </c>
      <c r="C103" s="4" t="inlineStr">
        <is>
          <t>01154</t>
        </is>
      </c>
      <c r="D103" s="29" t="inlineStr">
        <is>
          <t>AKİF TÜRKÇÜ</t>
        </is>
      </c>
      <c r="E103" s="4" t="inlineStr">
        <is>
          <t>Çarşamba</t>
        </is>
      </c>
      <c r="F103" s="4" t="inlineStr">
        <is>
          <t>7.10.2026</t>
        </is>
      </c>
      <c r="G103" s="4" t="inlineStr">
        <is>
          <t>18:10</t>
        </is>
      </c>
      <c r="H103" s="4" t="inlineStr">
        <is>
          <t>7.10.2026</t>
        </is>
      </c>
      <c r="I103" s="4" t="inlineStr">
        <is>
          <t>01:00</t>
        </is>
      </c>
      <c r="J103" s="8" t="n">
        <v>6.5</v>
      </c>
      <c r="K103" s="8" t="n">
        <v>5.5</v>
      </c>
      <c r="L103" s="8" t="n">
        <v>1</v>
      </c>
      <c r="M103" s="29" t="inlineStr">
        <is>
          <t>MKP</t>
        </is>
      </c>
    </row>
    <row r="104">
      <c r="A104" s="4" t="n">
        <v>103</v>
      </c>
      <c r="B104" s="4" t="inlineStr">
        <is>
          <t>01154</t>
        </is>
      </c>
      <c r="C104" s="4" t="inlineStr">
        <is>
          <t>01154</t>
        </is>
      </c>
      <c r="D104" s="29" t="inlineStr">
        <is>
          <t>AKİF TÜRKÇÜ</t>
        </is>
      </c>
      <c r="E104" s="4" t="inlineStr">
        <is>
          <t>Perşembe</t>
        </is>
      </c>
      <c r="F104" s="4" t="inlineStr">
        <is>
          <t>8.10.2026</t>
        </is>
      </c>
      <c r="G104" s="4" t="inlineStr">
        <is>
          <t>18:01</t>
        </is>
      </c>
      <c r="H104" s="4" t="inlineStr">
        <is>
          <t>8.10.2026</t>
        </is>
      </c>
      <c r="I104" s="4" t="inlineStr">
        <is>
          <t>02:39</t>
        </is>
      </c>
      <c r="J104" s="8" t="n">
        <v>8</v>
      </c>
      <c r="K104" s="8" t="n">
        <v>5.5</v>
      </c>
      <c r="L104" s="8" t="n">
        <v>2.5</v>
      </c>
      <c r="M104" s="29" t="inlineStr">
        <is>
          <t>MKP</t>
        </is>
      </c>
    </row>
    <row r="105">
      <c r="A105" s="4" t="n">
        <v>104</v>
      </c>
      <c r="B105" s="4" t="inlineStr">
        <is>
          <t>01154</t>
        </is>
      </c>
      <c r="C105" s="4" t="inlineStr">
        <is>
          <t>01154</t>
        </is>
      </c>
      <c r="D105" s="29" t="inlineStr">
        <is>
          <t>AKİF TÜRKÇÜ</t>
        </is>
      </c>
      <c r="E105" s="4" t="inlineStr">
        <is>
          <t>Cuma</t>
        </is>
      </c>
      <c r="F105" s="4" t="inlineStr">
        <is>
          <t>9.10.2026</t>
        </is>
      </c>
      <c r="G105" s="4" t="inlineStr">
        <is>
          <t>18:04</t>
        </is>
      </c>
      <c r="H105" s="4" t="inlineStr">
        <is>
          <t>9.10.2026</t>
        </is>
      </c>
      <c r="I105" s="4" t="inlineStr">
        <is>
          <t>02:40</t>
        </is>
      </c>
      <c r="J105" s="8" t="n">
        <v>8</v>
      </c>
      <c r="K105" s="8" t="n">
        <v>5.5</v>
      </c>
      <c r="L105" s="8" t="n">
        <v>2.5</v>
      </c>
      <c r="M105" s="29" t="inlineStr">
        <is>
          <t>MKP</t>
        </is>
      </c>
    </row>
    <row r="106">
      <c r="A106" s="4" t="n">
        <v>105</v>
      </c>
      <c r="B106" s="4" t="inlineStr">
        <is>
          <t>01154</t>
        </is>
      </c>
      <c r="C106" s="4" t="inlineStr">
        <is>
          <t>01154</t>
        </is>
      </c>
      <c r="D106" s="29" t="inlineStr">
        <is>
          <t>AKİF TÜRKÇÜ</t>
        </is>
      </c>
      <c r="E106" s="4" t="inlineStr">
        <is>
          <t>Cumartesi</t>
        </is>
      </c>
      <c r="F106" s="4" t="inlineStr">
        <is>
          <t>10.10.2026</t>
        </is>
      </c>
      <c r="G106" s="4" t="inlineStr">
        <is>
          <t>18:17</t>
        </is>
      </c>
      <c r="H106" s="4" t="inlineStr">
        <is>
          <t>10.10.2026</t>
        </is>
      </c>
      <c r="I106" s="4" t="inlineStr">
        <is>
          <t>02:31</t>
        </is>
      </c>
      <c r="J106" s="8" t="n">
        <v>8</v>
      </c>
      <c r="K106" s="8" t="n">
        <v>5.5</v>
      </c>
      <c r="L106" s="8" t="n">
        <v>2.5</v>
      </c>
      <c r="M106" s="29" t="inlineStr">
        <is>
          <t>MKP</t>
        </is>
      </c>
    </row>
    <row r="107">
      <c r="A107" s="4" t="n">
        <v>106</v>
      </c>
      <c r="B107" s="4" t="inlineStr">
        <is>
          <t>01154</t>
        </is>
      </c>
      <c r="C107" s="4" t="inlineStr">
        <is>
          <t>01154</t>
        </is>
      </c>
      <c r="D107" s="29" t="inlineStr">
        <is>
          <t>AKİF TÜRKÇÜ</t>
        </is>
      </c>
      <c r="E107" s="4" t="inlineStr">
        <is>
          <t>Pazartesi</t>
        </is>
      </c>
      <c r="F107" s="4" t="inlineStr">
        <is>
          <t>12.10.2026</t>
        </is>
      </c>
      <c r="G107" s="4" t="inlineStr">
        <is>
          <t>17:58</t>
        </is>
      </c>
      <c r="H107" s="4" t="inlineStr">
        <is>
          <t>12.10.2026</t>
        </is>
      </c>
      <c r="I107" s="4" t="inlineStr">
        <is>
          <t>02:40</t>
        </is>
      </c>
      <c r="J107" s="8" t="n">
        <v>8</v>
      </c>
      <c r="K107" s="8" t="n">
        <v>5.5</v>
      </c>
      <c r="L107" s="8" t="n">
        <v>2.5</v>
      </c>
      <c r="M107" s="29" t="inlineStr">
        <is>
          <t>MKP</t>
        </is>
      </c>
    </row>
    <row r="108">
      <c r="A108" s="4" t="n">
        <v>107</v>
      </c>
      <c r="B108" s="4" t="inlineStr">
        <is>
          <t>01154</t>
        </is>
      </c>
      <c r="C108" s="4" t="inlineStr">
        <is>
          <t>01154</t>
        </is>
      </c>
      <c r="D108" s="29" t="inlineStr">
        <is>
          <t>AKİF TÜRKÇÜ</t>
        </is>
      </c>
      <c r="E108" s="4" t="inlineStr">
        <is>
          <t>Salı</t>
        </is>
      </c>
      <c r="F108" s="4" t="inlineStr">
        <is>
          <t>13.10.2026</t>
        </is>
      </c>
      <c r="G108" s="4" t="inlineStr">
        <is>
          <t>18:07</t>
        </is>
      </c>
      <c r="H108" s="4" t="inlineStr">
        <is>
          <t>13.10.2026</t>
        </is>
      </c>
      <c r="I108" s="4" t="inlineStr">
        <is>
          <t>01:00</t>
        </is>
      </c>
      <c r="J108" s="8" t="n">
        <v>6.5</v>
      </c>
      <c r="K108" s="8" t="n">
        <v>5.5</v>
      </c>
      <c r="L108" s="8" t="n">
        <v>1</v>
      </c>
      <c r="M108" s="29" t="inlineStr">
        <is>
          <t>MKP</t>
        </is>
      </c>
    </row>
    <row r="109">
      <c r="A109" s="4" t="n">
        <v>108</v>
      </c>
      <c r="B109" s="4" t="inlineStr">
        <is>
          <t>01154</t>
        </is>
      </c>
      <c r="C109" s="4" t="inlineStr">
        <is>
          <t>01154</t>
        </is>
      </c>
      <c r="D109" s="29" t="inlineStr">
        <is>
          <t>AKİF TÜRKÇÜ</t>
        </is>
      </c>
      <c r="E109" s="4" t="inlineStr">
        <is>
          <t>Çarşamba</t>
        </is>
      </c>
      <c r="F109" s="4" t="inlineStr">
        <is>
          <t>14.10.2026</t>
        </is>
      </c>
      <c r="G109" s="4" t="inlineStr">
        <is>
          <t>18:18</t>
        </is>
      </c>
      <c r="H109" s="4" t="inlineStr">
        <is>
          <t>14.10.2026</t>
        </is>
      </c>
      <c r="I109" s="4" t="inlineStr">
        <is>
          <t>01:00</t>
        </is>
      </c>
      <c r="J109" s="8" t="n">
        <v>6.5</v>
      </c>
      <c r="K109" s="8" t="n">
        <v>5.5</v>
      </c>
      <c r="L109" s="8" t="n">
        <v>1</v>
      </c>
      <c r="M109" s="29" t="inlineStr">
        <is>
          <t>MKP</t>
        </is>
      </c>
    </row>
    <row r="110">
      <c r="A110" s="4" t="n">
        <v>109</v>
      </c>
      <c r="B110" s="4" t="inlineStr">
        <is>
          <t>01154</t>
        </is>
      </c>
      <c r="C110" s="4" t="inlineStr">
        <is>
          <t>01154</t>
        </is>
      </c>
      <c r="D110" s="29" t="inlineStr">
        <is>
          <t>AKİF TÜRKÇÜ</t>
        </is>
      </c>
      <c r="E110" s="4" t="inlineStr">
        <is>
          <t>Perşembe</t>
        </is>
      </c>
      <c r="F110" s="4" t="inlineStr">
        <is>
          <t>15.10.2026</t>
        </is>
      </c>
      <c r="G110" s="4" t="inlineStr">
        <is>
          <t>18:27</t>
        </is>
      </c>
      <c r="H110" s="4" t="inlineStr">
        <is>
          <t>15.10.2026</t>
        </is>
      </c>
      <c r="I110" s="4" t="inlineStr">
        <is>
          <t>00:56</t>
        </is>
      </c>
      <c r="J110" s="8" t="n">
        <v>6</v>
      </c>
      <c r="K110" s="8" t="n">
        <v>5</v>
      </c>
      <c r="L110" s="8" t="n">
        <v>1</v>
      </c>
      <c r="M110" s="29" t="inlineStr">
        <is>
          <t>MKP</t>
        </is>
      </c>
    </row>
    <row r="111">
      <c r="A111" s="4" t="n">
        <v>110</v>
      </c>
      <c r="B111" s="4" t="inlineStr">
        <is>
          <t>01154</t>
        </is>
      </c>
      <c r="C111" s="4" t="inlineStr">
        <is>
          <t>01154</t>
        </is>
      </c>
      <c r="D111" s="29" t="inlineStr">
        <is>
          <t>AKİF TÜRKÇÜ</t>
        </is>
      </c>
      <c r="E111" s="4" t="inlineStr">
        <is>
          <t>Cumartesi</t>
        </is>
      </c>
      <c r="F111" s="4" t="inlineStr">
        <is>
          <t>17.10.2026</t>
        </is>
      </c>
      <c r="G111" s="4" t="inlineStr">
        <is>
          <t>18:01</t>
        </is>
      </c>
      <c r="H111" s="4" t="inlineStr">
        <is>
          <t>17.10.2026</t>
        </is>
      </c>
      <c r="I111" s="4" t="inlineStr">
        <is>
          <t>01:00</t>
        </is>
      </c>
      <c r="J111" s="8" t="n">
        <v>6.5</v>
      </c>
      <c r="K111" s="8" t="n">
        <v>5.5</v>
      </c>
      <c r="L111" s="8" t="n">
        <v>1</v>
      </c>
      <c r="M111" s="29" t="inlineStr">
        <is>
          <t>MKP</t>
        </is>
      </c>
    </row>
    <row r="112">
      <c r="A112" s="4" t="n">
        <v>111</v>
      </c>
      <c r="B112" s="4" t="inlineStr">
        <is>
          <t>01154</t>
        </is>
      </c>
      <c r="C112" s="4" t="inlineStr">
        <is>
          <t>01154</t>
        </is>
      </c>
      <c r="D112" s="29" t="inlineStr">
        <is>
          <t>AKİF TÜRKÇÜ</t>
        </is>
      </c>
      <c r="E112" s="4" t="inlineStr">
        <is>
          <t>Pazartesi</t>
        </is>
      </c>
      <c r="F112" s="4" t="inlineStr">
        <is>
          <t>19.10.2026</t>
        </is>
      </c>
      <c r="G112" s="4" t="inlineStr">
        <is>
          <t>18:07</t>
        </is>
      </c>
      <c r="H112" s="4" t="inlineStr">
        <is>
          <t>19.10.2026</t>
        </is>
      </c>
      <c r="I112" s="4" t="inlineStr">
        <is>
          <t>01:06</t>
        </is>
      </c>
      <c r="J112" s="8" t="n">
        <v>6.5</v>
      </c>
      <c r="K112" s="8" t="n">
        <v>5.5</v>
      </c>
      <c r="L112" s="8" t="n">
        <v>1</v>
      </c>
      <c r="M112" s="29" t="inlineStr">
        <is>
          <t>MKP</t>
        </is>
      </c>
    </row>
    <row r="113">
      <c r="A113" s="4" t="n">
        <v>112</v>
      </c>
      <c r="B113" s="4" t="inlineStr">
        <is>
          <t>01154</t>
        </is>
      </c>
      <c r="C113" s="4" t="inlineStr">
        <is>
          <t>01154</t>
        </is>
      </c>
      <c r="D113" s="29" t="inlineStr">
        <is>
          <t>AKİF TÜRKÇÜ</t>
        </is>
      </c>
      <c r="E113" s="4" t="inlineStr">
        <is>
          <t>Salı</t>
        </is>
      </c>
      <c r="F113" s="4" t="inlineStr">
        <is>
          <t>20.10.2026</t>
        </is>
      </c>
      <c r="G113" s="4" t="inlineStr">
        <is>
          <t>18:09</t>
        </is>
      </c>
      <c r="H113" s="4" t="inlineStr">
        <is>
          <t>20.10.2026</t>
        </is>
      </c>
      <c r="I113" s="4" t="inlineStr">
        <is>
          <t>00:36</t>
        </is>
      </c>
      <c r="J113" s="8" t="n">
        <v>6</v>
      </c>
      <c r="K113" s="8" t="n">
        <v>5.5</v>
      </c>
      <c r="L113" s="8" t="n">
        <v>0.5</v>
      </c>
      <c r="M113" s="29" t="inlineStr">
        <is>
          <t>MKP</t>
        </is>
      </c>
    </row>
    <row r="114">
      <c r="A114" s="4" t="n">
        <v>113</v>
      </c>
      <c r="B114" s="4" t="inlineStr">
        <is>
          <t>01154</t>
        </is>
      </c>
      <c r="C114" s="4" t="inlineStr">
        <is>
          <t>01154</t>
        </is>
      </c>
      <c r="D114" s="29" t="inlineStr">
        <is>
          <t>AKİF TÜRKÇÜ</t>
        </is>
      </c>
      <c r="E114" s="4" t="inlineStr">
        <is>
          <t>Çarşamba</t>
        </is>
      </c>
      <c r="F114" s="4" t="inlineStr">
        <is>
          <t>21.10.2026</t>
        </is>
      </c>
      <c r="G114" s="4" t="inlineStr">
        <is>
          <t>17:54</t>
        </is>
      </c>
      <c r="H114" s="4" t="inlineStr">
        <is>
          <t>21.10.2026</t>
        </is>
      </c>
      <c r="I114" s="4" t="inlineStr">
        <is>
          <t>-</t>
        </is>
      </c>
      <c r="J114" s="8" t="n">
        <v>7.5</v>
      </c>
      <c r="K114" s="8" t="n">
        <v>7.5</v>
      </c>
      <c r="L114" s="8" t="n">
        <v>0</v>
      </c>
      <c r="M114" s="29" t="inlineStr">
        <is>
          <t>MKP</t>
        </is>
      </c>
    </row>
    <row r="115">
      <c r="A115" s="4" t="n">
        <v>114</v>
      </c>
      <c r="B115" s="4" t="inlineStr">
        <is>
          <t>01382</t>
        </is>
      </c>
      <c r="C115" s="4" t="inlineStr">
        <is>
          <t>01382</t>
        </is>
      </c>
      <c r="D115" s="29" t="inlineStr">
        <is>
          <t>ALİ BALTA</t>
        </is>
      </c>
      <c r="E115" s="4" t="inlineStr">
        <is>
          <t>Salı</t>
        </is>
      </c>
      <c r="F115" s="4" t="inlineStr">
        <is>
          <t>6.10.2026</t>
        </is>
      </c>
      <c r="G115" s="4" t="inlineStr">
        <is>
          <t>07:33</t>
        </is>
      </c>
      <c r="H115" s="4" t="inlineStr">
        <is>
          <t>6.10.2026</t>
        </is>
      </c>
      <c r="I115" s="4" t="inlineStr">
        <is>
          <t>20:02</t>
        </is>
      </c>
      <c r="J115" s="8" t="n">
        <v>10.5</v>
      </c>
      <c r="K115" s="8" t="n">
        <v>7.5</v>
      </c>
      <c r="L115" s="8" t="n">
        <v>3</v>
      </c>
      <c r="M115" s="29" t="inlineStr">
        <is>
          <t>HALİL DİĞRENCİ</t>
        </is>
      </c>
    </row>
    <row r="116">
      <c r="A116" s="4" t="n">
        <v>115</v>
      </c>
      <c r="B116" s="4" t="inlineStr">
        <is>
          <t>01382</t>
        </is>
      </c>
      <c r="C116" s="4" t="inlineStr">
        <is>
          <t>01382</t>
        </is>
      </c>
      <c r="D116" s="29" t="inlineStr">
        <is>
          <t>ALİ BALTA</t>
        </is>
      </c>
      <c r="E116" s="4" t="inlineStr">
        <is>
          <t>Çarşamba</t>
        </is>
      </c>
      <c r="F116" s="4" t="inlineStr">
        <is>
          <t>7.10.2026</t>
        </is>
      </c>
      <c r="G116" s="4" t="inlineStr">
        <is>
          <t>07:36</t>
        </is>
      </c>
      <c r="H116" s="4" t="inlineStr">
        <is>
          <t>7.10.2026</t>
        </is>
      </c>
      <c r="I116" s="4" t="inlineStr">
        <is>
          <t>17:08</t>
        </is>
      </c>
      <c r="J116" s="8" t="n">
        <v>7.5</v>
      </c>
      <c r="K116" s="8" t="n">
        <v>7.5</v>
      </c>
      <c r="L116" s="8" t="n">
        <v>0</v>
      </c>
      <c r="M116" s="29" t="inlineStr">
        <is>
          <t>HALİL DİĞRENCİ</t>
        </is>
      </c>
    </row>
    <row r="117">
      <c r="A117" s="4" t="n">
        <v>116</v>
      </c>
      <c r="B117" s="4" t="inlineStr">
        <is>
          <t>01382</t>
        </is>
      </c>
      <c r="C117" s="4" t="inlineStr">
        <is>
          <t>01382</t>
        </is>
      </c>
      <c r="D117" s="29" t="inlineStr">
        <is>
          <t>ALİ BALTA</t>
        </is>
      </c>
      <c r="E117" s="4" t="inlineStr">
        <is>
          <t>Perşembe</t>
        </is>
      </c>
      <c r="F117" s="4" t="inlineStr">
        <is>
          <t>8.10.2026</t>
        </is>
      </c>
      <c r="G117" s="4" t="inlineStr">
        <is>
          <t>07:33</t>
        </is>
      </c>
      <c r="H117" s="4" t="inlineStr">
        <is>
          <t>8.10.2026</t>
        </is>
      </c>
      <c r="I117" s="4" t="inlineStr">
        <is>
          <t>17:00</t>
        </is>
      </c>
      <c r="J117" s="8" t="n">
        <v>7.5</v>
      </c>
      <c r="K117" s="8" t="n">
        <v>7.5</v>
      </c>
      <c r="L117" s="8" t="n">
        <v>0</v>
      </c>
      <c r="M117" s="29" t="inlineStr">
        <is>
          <t>HALİL DİĞRENCİ</t>
        </is>
      </c>
    </row>
    <row r="118">
      <c r="A118" s="4" t="n">
        <v>117</v>
      </c>
      <c r="B118" s="4" t="inlineStr">
        <is>
          <t>01382</t>
        </is>
      </c>
      <c r="C118" s="4" t="inlineStr">
        <is>
          <t>01382</t>
        </is>
      </c>
      <c r="D118" s="29" t="inlineStr">
        <is>
          <t>ALİ BALTA</t>
        </is>
      </c>
      <c r="E118" s="4" t="inlineStr">
        <is>
          <t>Cuma</t>
        </is>
      </c>
      <c r="F118" s="4" t="inlineStr">
        <is>
          <t>9.10.2026</t>
        </is>
      </c>
      <c r="G118" s="4" t="inlineStr">
        <is>
          <t>07:31</t>
        </is>
      </c>
      <c r="H118" s="4" t="inlineStr">
        <is>
          <t>9.10.2026</t>
        </is>
      </c>
      <c r="I118" s="4" t="inlineStr">
        <is>
          <t>17:00</t>
        </is>
      </c>
      <c r="J118" s="8" t="n">
        <v>7.5</v>
      </c>
      <c r="K118" s="8" t="n">
        <v>7.5</v>
      </c>
      <c r="L118" s="8" t="n">
        <v>0</v>
      </c>
      <c r="M118" s="29" t="inlineStr">
        <is>
          <t>HALİL DİĞRENCİ</t>
        </is>
      </c>
    </row>
    <row r="119">
      <c r="A119" s="4" t="n">
        <v>118</v>
      </c>
      <c r="B119" s="4" t="inlineStr">
        <is>
          <t>01382</t>
        </is>
      </c>
      <c r="C119" s="4" t="inlineStr">
        <is>
          <t>01382</t>
        </is>
      </c>
      <c r="D119" s="29" t="inlineStr">
        <is>
          <t>ALİ BALTA</t>
        </is>
      </c>
      <c r="E119" s="4" t="inlineStr">
        <is>
          <t>Cumartesi</t>
        </is>
      </c>
      <c r="F119" s="4" t="inlineStr">
        <is>
          <t>10.10.2026</t>
        </is>
      </c>
      <c r="G119" s="4" t="inlineStr">
        <is>
          <t>08:01</t>
        </is>
      </c>
      <c r="H119" s="4" t="inlineStr">
        <is>
          <t>10.10.2026</t>
        </is>
      </c>
      <c r="I119" s="4" t="inlineStr">
        <is>
          <t>17:07</t>
        </is>
      </c>
      <c r="J119" s="8" t="n">
        <v>7.5</v>
      </c>
      <c r="K119" s="8" t="n">
        <v>7.5</v>
      </c>
      <c r="L119" s="8" t="n">
        <v>0</v>
      </c>
      <c r="M119" s="29" t="inlineStr">
        <is>
          <t>HALİL DİĞRENCİ</t>
        </is>
      </c>
    </row>
    <row r="120">
      <c r="A120" s="4" t="n">
        <v>119</v>
      </c>
      <c r="B120" s="4" t="inlineStr">
        <is>
          <t>01382</t>
        </is>
      </c>
      <c r="C120" s="4" t="inlineStr">
        <is>
          <t>01382</t>
        </is>
      </c>
      <c r="D120" s="29" t="inlineStr">
        <is>
          <t>ALİ BALTA</t>
        </is>
      </c>
      <c r="E120" s="4" t="inlineStr">
        <is>
          <t>Pazar</t>
        </is>
      </c>
      <c r="F120" s="4" t="inlineStr">
        <is>
          <t>11.10.2026</t>
        </is>
      </c>
      <c r="G120" s="4" t="inlineStr">
        <is>
          <t>07:52</t>
        </is>
      </c>
      <c r="H120" s="4" t="inlineStr">
        <is>
          <t>11.10.2026</t>
        </is>
      </c>
      <c r="I120" s="4" t="inlineStr">
        <is>
          <t>20:02</t>
        </is>
      </c>
      <c r="J120" s="8" t="n">
        <v>10.5</v>
      </c>
      <c r="K120" s="8" t="n">
        <v>7.5</v>
      </c>
      <c r="L120" s="8" t="n">
        <v>3</v>
      </c>
      <c r="M120" s="29" t="inlineStr">
        <is>
          <t>HALİL DİĞRENCİ</t>
        </is>
      </c>
    </row>
    <row r="121">
      <c r="A121" s="4" t="n">
        <v>120</v>
      </c>
      <c r="B121" s="4" t="inlineStr">
        <is>
          <t>01382</t>
        </is>
      </c>
      <c r="C121" s="4" t="inlineStr">
        <is>
          <t>01382</t>
        </is>
      </c>
      <c r="D121" s="29" t="inlineStr">
        <is>
          <t>ALİ BALTA</t>
        </is>
      </c>
      <c r="E121" s="4" t="inlineStr">
        <is>
          <t>Pazartesi</t>
        </is>
      </c>
      <c r="F121" s="4" t="inlineStr">
        <is>
          <t>12.10.2026</t>
        </is>
      </c>
      <c r="G121" s="4" t="inlineStr">
        <is>
          <t>07:41</t>
        </is>
      </c>
      <c r="H121" s="4" t="inlineStr">
        <is>
          <t>12.10.2026</t>
        </is>
      </c>
      <c r="I121" s="4" t="inlineStr">
        <is>
          <t>17:01</t>
        </is>
      </c>
      <c r="J121" s="8" t="n">
        <v>7.5</v>
      </c>
      <c r="K121" s="8" t="n">
        <v>7.5</v>
      </c>
      <c r="L121" s="8" t="n">
        <v>0</v>
      </c>
      <c r="M121" s="29" t="inlineStr">
        <is>
          <t>HALİL DİĞRENCİ</t>
        </is>
      </c>
    </row>
    <row r="122">
      <c r="A122" s="4" t="n">
        <v>121</v>
      </c>
      <c r="B122" s="4" t="inlineStr">
        <is>
          <t>01474</t>
        </is>
      </c>
      <c r="C122" s="4" t="inlineStr">
        <is>
          <t>01474</t>
        </is>
      </c>
      <c r="D122" s="29" t="inlineStr">
        <is>
          <t>ALİ DURMAN</t>
        </is>
      </c>
      <c r="E122" s="4" t="inlineStr">
        <is>
          <t>Cuma</t>
        </is>
      </c>
      <c r="F122" s="4" t="inlineStr">
        <is>
          <t>2.10.2026</t>
        </is>
      </c>
      <c r="G122" s="4" t="inlineStr">
        <is>
          <t>19:45</t>
        </is>
      </c>
      <c r="H122" s="4" t="inlineStr">
        <is>
          <t>2.10.2026</t>
        </is>
      </c>
      <c r="I122" s="4" t="inlineStr">
        <is>
          <t>07:55</t>
        </is>
      </c>
      <c r="J122" s="8" t="n">
        <v>10.5</v>
      </c>
      <c r="K122" s="8" t="n">
        <v>7.5</v>
      </c>
      <c r="L122" s="8" t="n">
        <v>3</v>
      </c>
      <c r="M122" s="29" t="inlineStr">
        <is>
          <t>HALİL DİĞRENCİ</t>
        </is>
      </c>
    </row>
    <row r="123">
      <c r="A123" s="4" t="n">
        <v>122</v>
      </c>
      <c r="B123" s="4" t="inlineStr">
        <is>
          <t>01474</t>
        </is>
      </c>
      <c r="C123" s="4" t="inlineStr">
        <is>
          <t>01474</t>
        </is>
      </c>
      <c r="D123" s="29" t="inlineStr">
        <is>
          <t>ALİ DURMAN</t>
        </is>
      </c>
      <c r="E123" s="4" t="inlineStr">
        <is>
          <t>Cumartesi</t>
        </is>
      </c>
      <c r="F123" s="4" t="inlineStr">
        <is>
          <t>3.10.2026</t>
        </is>
      </c>
      <c r="G123" s="4" t="inlineStr">
        <is>
          <t>19:53</t>
        </is>
      </c>
      <c r="H123" s="4" t="inlineStr">
        <is>
          <t>3.10.2026</t>
        </is>
      </c>
      <c r="I123" s="4" t="inlineStr">
        <is>
          <t>07:56</t>
        </is>
      </c>
      <c r="J123" s="8" t="n">
        <v>10.5</v>
      </c>
      <c r="K123" s="8" t="n">
        <v>7.5</v>
      </c>
      <c r="L123" s="8" t="n">
        <v>3</v>
      </c>
      <c r="M123" s="29" t="inlineStr">
        <is>
          <t>HALİL DİĞRENCİ</t>
        </is>
      </c>
    </row>
    <row r="124">
      <c r="A124" s="4" t="n">
        <v>123</v>
      </c>
      <c r="B124" s="4" t="inlineStr">
        <is>
          <t>01474</t>
        </is>
      </c>
      <c r="C124" s="4" t="inlineStr">
        <is>
          <t>01474</t>
        </is>
      </c>
      <c r="D124" s="29" t="inlineStr">
        <is>
          <t>ALİ DURMAN</t>
        </is>
      </c>
      <c r="E124" s="4" t="inlineStr">
        <is>
          <t>Pazar</t>
        </is>
      </c>
      <c r="F124" s="4" t="inlineStr">
        <is>
          <t>4.10.2026</t>
        </is>
      </c>
      <c r="G124" s="4" t="inlineStr">
        <is>
          <t>20:00</t>
        </is>
      </c>
      <c r="H124" s="4" t="inlineStr">
        <is>
          <t>4.10.2026</t>
        </is>
      </c>
      <c r="I124" s="4" t="inlineStr">
        <is>
          <t>08:00</t>
        </is>
      </c>
      <c r="J124" s="8" t="n">
        <v>10.5</v>
      </c>
      <c r="K124" s="8" t="n">
        <v>7.5</v>
      </c>
      <c r="L124" s="8" t="n">
        <v>3</v>
      </c>
      <c r="M124" s="29" t="inlineStr">
        <is>
          <t>HALİL DİĞRENCİ</t>
        </is>
      </c>
    </row>
    <row r="125">
      <c r="A125" s="4" t="n">
        <v>124</v>
      </c>
      <c r="B125" s="4" t="inlineStr">
        <is>
          <t>01474</t>
        </is>
      </c>
      <c r="C125" s="4" t="inlineStr">
        <is>
          <t>01474</t>
        </is>
      </c>
      <c r="D125" s="29" t="inlineStr">
        <is>
          <t>ALİ DURMAN</t>
        </is>
      </c>
      <c r="E125" s="4" t="inlineStr">
        <is>
          <t>Perşembe</t>
        </is>
      </c>
      <c r="F125" s="4" t="inlineStr">
        <is>
          <t>8.10.2026</t>
        </is>
      </c>
      <c r="G125" s="4" t="inlineStr">
        <is>
          <t>19:59</t>
        </is>
      </c>
      <c r="H125" s="4" t="inlineStr">
        <is>
          <t>8.10.2026</t>
        </is>
      </c>
      <c r="I125" s="4" t="inlineStr">
        <is>
          <t>08:08</t>
        </is>
      </c>
      <c r="J125" s="8" t="n">
        <v>10.5</v>
      </c>
      <c r="K125" s="8" t="n">
        <v>7.5</v>
      </c>
      <c r="L125" s="8" t="n">
        <v>3</v>
      </c>
      <c r="M125" s="29" t="inlineStr">
        <is>
          <t>HALİL DİĞRENCİ</t>
        </is>
      </c>
    </row>
    <row r="126">
      <c r="A126" s="4" t="n">
        <v>125</v>
      </c>
      <c r="B126" s="4" t="inlineStr">
        <is>
          <t>01474</t>
        </is>
      </c>
      <c r="C126" s="4" t="inlineStr">
        <is>
          <t>01474</t>
        </is>
      </c>
      <c r="D126" s="29" t="inlineStr">
        <is>
          <t>ALİ DURMAN</t>
        </is>
      </c>
      <c r="E126" s="4" t="inlineStr">
        <is>
          <t>Cumartesi</t>
        </is>
      </c>
      <c r="F126" s="4" t="inlineStr">
        <is>
          <t>10.10.2026</t>
        </is>
      </c>
      <c r="G126" s="4" t="inlineStr">
        <is>
          <t>20:12</t>
        </is>
      </c>
      <c r="H126" s="4" t="inlineStr">
        <is>
          <t>10.10.2026</t>
        </is>
      </c>
      <c r="I126" s="4" t="inlineStr">
        <is>
          <t>08:08</t>
        </is>
      </c>
      <c r="J126" s="8" t="n">
        <v>10.5</v>
      </c>
      <c r="K126" s="8" t="n">
        <v>7.5</v>
      </c>
      <c r="L126" s="8" t="n">
        <v>3</v>
      </c>
      <c r="M126" s="29" t="inlineStr">
        <is>
          <t>HALİL DİĞRENCİ</t>
        </is>
      </c>
    </row>
    <row r="127">
      <c r="A127" s="4" t="n">
        <v>126</v>
      </c>
      <c r="B127" s="4" t="inlineStr">
        <is>
          <t>01474</t>
        </is>
      </c>
      <c r="C127" s="4" t="inlineStr">
        <is>
          <t>01474</t>
        </is>
      </c>
      <c r="D127" s="29" t="inlineStr">
        <is>
          <t>ALİ DURMAN</t>
        </is>
      </c>
      <c r="E127" s="4" t="inlineStr">
        <is>
          <t>Pazartesi</t>
        </is>
      </c>
      <c r="F127" s="4" t="inlineStr">
        <is>
          <t>12.10.2026</t>
        </is>
      </c>
      <c r="G127" s="4" t="inlineStr">
        <is>
          <t>20:00</t>
        </is>
      </c>
      <c r="H127" s="4" t="inlineStr">
        <is>
          <t>12.10.2026</t>
        </is>
      </c>
      <c r="I127" s="4" t="inlineStr">
        <is>
          <t>08:04</t>
        </is>
      </c>
      <c r="J127" s="8" t="n">
        <v>10.5</v>
      </c>
      <c r="K127" s="8" t="n">
        <v>7.5</v>
      </c>
      <c r="L127" s="8" t="n">
        <v>3</v>
      </c>
      <c r="M127" s="29" t="inlineStr">
        <is>
          <t>HALİL DİĞRENCİ</t>
        </is>
      </c>
    </row>
    <row r="128">
      <c r="A128" s="4" t="n">
        <v>127</v>
      </c>
      <c r="B128" s="4" t="inlineStr">
        <is>
          <t>01474</t>
        </is>
      </c>
      <c r="C128" s="4" t="inlineStr">
        <is>
          <t>01474</t>
        </is>
      </c>
      <c r="D128" s="29" t="inlineStr">
        <is>
          <t>ALİ DURMAN</t>
        </is>
      </c>
      <c r="E128" s="4" t="inlineStr">
        <is>
          <t>Perşembe</t>
        </is>
      </c>
      <c r="F128" s="4" t="inlineStr">
        <is>
          <t>15.10.2026</t>
        </is>
      </c>
      <c r="G128" s="4" t="inlineStr">
        <is>
          <t>20:12</t>
        </is>
      </c>
      <c r="H128" s="4" t="inlineStr">
        <is>
          <t>15.10.2026</t>
        </is>
      </c>
      <c r="I128" s="4" t="inlineStr">
        <is>
          <t>08:06</t>
        </is>
      </c>
      <c r="J128" s="8" t="n">
        <v>10.5</v>
      </c>
      <c r="K128" s="8" t="n">
        <v>7.5</v>
      </c>
      <c r="L128" s="8" t="n">
        <v>3</v>
      </c>
      <c r="M128" s="29" t="inlineStr">
        <is>
          <t>HALİL DİĞRENCİ</t>
        </is>
      </c>
    </row>
    <row r="129">
      <c r="A129" s="4" t="n">
        <v>128</v>
      </c>
      <c r="B129" s="4" t="inlineStr">
        <is>
          <t>01102</t>
        </is>
      </c>
      <c r="C129" s="4" t="inlineStr">
        <is>
          <t>01102</t>
        </is>
      </c>
      <c r="D129" s="29" t="inlineStr">
        <is>
          <t>ALİ EŞREF AKIN</t>
        </is>
      </c>
      <c r="E129" s="4" t="inlineStr">
        <is>
          <t>Perşembe</t>
        </is>
      </c>
      <c r="F129" s="4" t="inlineStr">
        <is>
          <t>1.10.2026</t>
        </is>
      </c>
      <c r="G129" s="4" t="inlineStr">
        <is>
          <t>07:55</t>
        </is>
      </c>
      <c r="H129" s="4" t="inlineStr">
        <is>
          <t>1.10.2026</t>
        </is>
      </c>
      <c r="I129" s="4" t="inlineStr">
        <is>
          <t>20:07</t>
        </is>
      </c>
      <c r="J129" s="8" t="n">
        <v>10.5</v>
      </c>
      <c r="K129" s="8" t="n">
        <v>7.5</v>
      </c>
      <c r="L129" s="8" t="n">
        <v>3</v>
      </c>
      <c r="M129" s="29" t="inlineStr">
        <is>
          <t>HALİL DİĞRENCİ</t>
        </is>
      </c>
    </row>
    <row r="130">
      <c r="A130" s="4" t="n">
        <v>129</v>
      </c>
      <c r="B130" s="4" t="inlineStr">
        <is>
          <t>01102</t>
        </is>
      </c>
      <c r="C130" s="4" t="inlineStr">
        <is>
          <t>01102</t>
        </is>
      </c>
      <c r="D130" s="29" t="inlineStr">
        <is>
          <t>ALİ EŞREF AKIN</t>
        </is>
      </c>
      <c r="E130" s="4" t="inlineStr">
        <is>
          <t>Cumartesi</t>
        </is>
      </c>
      <c r="F130" s="4" t="inlineStr">
        <is>
          <t>3.10.2026</t>
        </is>
      </c>
      <c r="G130" s="4" t="inlineStr">
        <is>
          <t>08:06</t>
        </is>
      </c>
      <c r="H130" s="4" t="inlineStr">
        <is>
          <t>3.10.2026</t>
        </is>
      </c>
      <c r="I130" s="4" t="inlineStr">
        <is>
          <t>17:07</t>
        </is>
      </c>
      <c r="J130" s="8" t="n">
        <v>7.5</v>
      </c>
      <c r="K130" s="8" t="n">
        <v>7.5</v>
      </c>
      <c r="L130" s="8" t="n">
        <v>0</v>
      </c>
      <c r="M130" s="29" t="inlineStr">
        <is>
          <t>HALİL DİĞRENCİ</t>
        </is>
      </c>
    </row>
    <row r="131">
      <c r="A131" s="4" t="n">
        <v>130</v>
      </c>
      <c r="B131" s="4" t="inlineStr">
        <is>
          <t>01102</t>
        </is>
      </c>
      <c r="C131" s="4" t="inlineStr">
        <is>
          <t>01102</t>
        </is>
      </c>
      <c r="D131" s="29" t="inlineStr">
        <is>
          <t>ALİ EŞREF AKIN</t>
        </is>
      </c>
      <c r="E131" s="4" t="inlineStr">
        <is>
          <t>Pazartesi</t>
        </is>
      </c>
      <c r="F131" s="4" t="inlineStr">
        <is>
          <t>5.10.2026</t>
        </is>
      </c>
      <c r="G131" s="4" t="inlineStr">
        <is>
          <t>08:01</t>
        </is>
      </c>
      <c r="H131" s="4" t="inlineStr">
        <is>
          <t>5.10.2026</t>
        </is>
      </c>
      <c r="I131" s="4" t="inlineStr">
        <is>
          <t>20:03</t>
        </is>
      </c>
      <c r="J131" s="8" t="n">
        <v>10.5</v>
      </c>
      <c r="K131" s="8" t="n">
        <v>7.5</v>
      </c>
      <c r="L131" s="8" t="n">
        <v>3</v>
      </c>
      <c r="M131" s="29" t="inlineStr">
        <is>
          <t>HALİL DİĞRENCİ</t>
        </is>
      </c>
    </row>
    <row r="132">
      <c r="A132" s="4" t="n">
        <v>131</v>
      </c>
      <c r="B132" s="4" t="inlineStr">
        <is>
          <t>01102</t>
        </is>
      </c>
      <c r="C132" s="4" t="inlineStr">
        <is>
          <t>01102</t>
        </is>
      </c>
      <c r="D132" s="29" t="inlineStr">
        <is>
          <t>ALİ EŞREF AKIN</t>
        </is>
      </c>
      <c r="E132" s="4" t="inlineStr">
        <is>
          <t>Salı</t>
        </is>
      </c>
      <c r="F132" s="4" t="inlineStr">
        <is>
          <t>6.10.2026</t>
        </is>
      </c>
      <c r="G132" s="4" t="inlineStr">
        <is>
          <t>08:00</t>
        </is>
      </c>
      <c r="H132" s="4" t="inlineStr">
        <is>
          <t>6.10.2026</t>
        </is>
      </c>
      <c r="I132" s="4" t="inlineStr">
        <is>
          <t>20:01</t>
        </is>
      </c>
      <c r="J132" s="8" t="n">
        <v>10.5</v>
      </c>
      <c r="K132" s="8" t="n">
        <v>7.5</v>
      </c>
      <c r="L132" s="8" t="n">
        <v>3</v>
      </c>
      <c r="M132" s="29" t="inlineStr">
        <is>
          <t>HALİL DİĞRENCİ</t>
        </is>
      </c>
    </row>
    <row r="133">
      <c r="A133" s="4" t="n">
        <v>132</v>
      </c>
      <c r="B133" s="4" t="inlineStr">
        <is>
          <t>01102</t>
        </is>
      </c>
      <c r="C133" s="4" t="inlineStr">
        <is>
          <t>01102</t>
        </is>
      </c>
      <c r="D133" s="29" t="inlineStr">
        <is>
          <t>ALİ EŞREF AKIN</t>
        </is>
      </c>
      <c r="E133" s="4" t="inlineStr">
        <is>
          <t>Cuma</t>
        </is>
      </c>
      <c r="F133" s="4" t="inlineStr">
        <is>
          <t>9.10.2026</t>
        </is>
      </c>
      <c r="G133" s="4" t="inlineStr">
        <is>
          <t>08:01</t>
        </is>
      </c>
      <c r="H133" s="4" t="inlineStr">
        <is>
          <t>9.10.2026</t>
        </is>
      </c>
      <c r="I133" s="4" t="inlineStr">
        <is>
          <t>20:01</t>
        </is>
      </c>
      <c r="J133" s="8" t="n">
        <v>10.5</v>
      </c>
      <c r="K133" s="8" t="n">
        <v>7.5</v>
      </c>
      <c r="L133" s="8" t="n">
        <v>3</v>
      </c>
      <c r="M133" s="29" t="inlineStr">
        <is>
          <t>HALİL DİĞRENCİ</t>
        </is>
      </c>
    </row>
    <row r="134">
      <c r="A134" s="4" t="n">
        <v>133</v>
      </c>
      <c r="B134" s="4" t="inlineStr">
        <is>
          <t>01102</t>
        </is>
      </c>
      <c r="C134" s="4" t="inlineStr">
        <is>
          <t>01102</t>
        </is>
      </c>
      <c r="D134" s="29" t="inlineStr">
        <is>
          <t>ALİ EŞREF AKIN</t>
        </is>
      </c>
      <c r="E134" s="4" t="inlineStr">
        <is>
          <t>Cumartesi</t>
        </is>
      </c>
      <c r="F134" s="4" t="inlineStr">
        <is>
          <t>10.10.2026</t>
        </is>
      </c>
      <c r="G134" s="4" t="inlineStr">
        <is>
          <t>08:00</t>
        </is>
      </c>
      <c r="H134" s="4" t="inlineStr">
        <is>
          <t>10.10.2026</t>
        </is>
      </c>
      <c r="I134" s="4" t="inlineStr">
        <is>
          <t>20:03</t>
        </is>
      </c>
      <c r="J134" s="8" t="n">
        <v>10.5</v>
      </c>
      <c r="K134" s="8" t="n">
        <v>7.5</v>
      </c>
      <c r="L134" s="8" t="n">
        <v>3</v>
      </c>
      <c r="M134" s="29" t="inlineStr">
        <is>
          <t>HALİL DİĞRENCİ</t>
        </is>
      </c>
    </row>
    <row r="135">
      <c r="A135" s="4" t="n">
        <v>134</v>
      </c>
      <c r="B135" s="4" t="inlineStr">
        <is>
          <t>01102</t>
        </is>
      </c>
      <c r="C135" s="4" t="inlineStr">
        <is>
          <t>01102</t>
        </is>
      </c>
      <c r="D135" s="29" t="inlineStr">
        <is>
          <t>ALİ EŞREF AKIN</t>
        </is>
      </c>
      <c r="E135" s="4" t="inlineStr">
        <is>
          <t>Pazartesi</t>
        </is>
      </c>
      <c r="F135" s="4" t="inlineStr">
        <is>
          <t>12.10.2026</t>
        </is>
      </c>
      <c r="G135" s="4" t="inlineStr">
        <is>
          <t>08:02</t>
        </is>
      </c>
      <c r="H135" s="4" t="inlineStr">
        <is>
          <t>12.10.2026</t>
        </is>
      </c>
      <c r="I135" s="4" t="inlineStr">
        <is>
          <t>20:01</t>
        </is>
      </c>
      <c r="J135" s="8" t="n">
        <v>10.5</v>
      </c>
      <c r="K135" s="8" t="n">
        <v>7.5</v>
      </c>
      <c r="L135" s="8" t="n">
        <v>3</v>
      </c>
      <c r="M135" s="29" t="inlineStr">
        <is>
          <t>HALİL DİĞRENCİ</t>
        </is>
      </c>
    </row>
    <row r="136">
      <c r="A136" s="4" t="n">
        <v>135</v>
      </c>
      <c r="B136" s="4" t="inlineStr">
        <is>
          <t>01102</t>
        </is>
      </c>
      <c r="C136" s="4" t="inlineStr">
        <is>
          <t>01102</t>
        </is>
      </c>
      <c r="D136" s="29" t="inlineStr">
        <is>
          <t>ALİ EŞREF AKIN</t>
        </is>
      </c>
      <c r="E136" s="4" t="inlineStr">
        <is>
          <t>Çarşamba</t>
        </is>
      </c>
      <c r="F136" s="4" t="inlineStr">
        <is>
          <t>14.10.2026</t>
        </is>
      </c>
      <c r="G136" s="4" t="inlineStr">
        <is>
          <t>07:59</t>
        </is>
      </c>
      <c r="H136" s="4" t="inlineStr">
        <is>
          <t>14.10.2026</t>
        </is>
      </c>
      <c r="I136" s="4" t="inlineStr">
        <is>
          <t>20:02</t>
        </is>
      </c>
      <c r="J136" s="8" t="n">
        <v>10.5</v>
      </c>
      <c r="K136" s="8" t="n">
        <v>7.5</v>
      </c>
      <c r="L136" s="8" t="n">
        <v>3</v>
      </c>
      <c r="M136" s="29" t="inlineStr">
        <is>
          <t>HALİL DİĞRENCİ</t>
        </is>
      </c>
    </row>
    <row r="137">
      <c r="A137" s="4" t="n">
        <v>136</v>
      </c>
      <c r="B137" s="4" t="inlineStr">
        <is>
          <t>01102</t>
        </is>
      </c>
      <c r="C137" s="4" t="inlineStr">
        <is>
          <t>01102</t>
        </is>
      </c>
      <c r="D137" s="29" t="inlineStr">
        <is>
          <t>ALİ EŞREF AKIN</t>
        </is>
      </c>
      <c r="E137" s="4" t="inlineStr">
        <is>
          <t>Perşembe</t>
        </is>
      </c>
      <c r="F137" s="4" t="inlineStr">
        <is>
          <t>15.10.2026</t>
        </is>
      </c>
      <c r="G137" s="4" t="inlineStr">
        <is>
          <t>08:02</t>
        </is>
      </c>
      <c r="H137" s="4" t="inlineStr">
        <is>
          <t>15.10.2026</t>
        </is>
      </c>
      <c r="I137" s="4" t="inlineStr">
        <is>
          <t>20:03</t>
        </is>
      </c>
      <c r="J137" s="8" t="n">
        <v>10.5</v>
      </c>
      <c r="K137" s="8" t="n">
        <v>7.5</v>
      </c>
      <c r="L137" s="8" t="n">
        <v>3</v>
      </c>
      <c r="M137" s="29" t="inlineStr">
        <is>
          <t>HALİL DİĞRENCİ</t>
        </is>
      </c>
    </row>
    <row r="138">
      <c r="A138" s="4" t="n">
        <v>137</v>
      </c>
      <c r="B138" s="4" t="inlineStr">
        <is>
          <t>01102</t>
        </is>
      </c>
      <c r="C138" s="4" t="inlineStr">
        <is>
          <t>01102</t>
        </is>
      </c>
      <c r="D138" s="29" t="inlineStr">
        <is>
          <t>ALİ EŞREF AKIN</t>
        </is>
      </c>
      <c r="E138" s="4" t="inlineStr">
        <is>
          <t>Cumartesi</t>
        </is>
      </c>
      <c r="F138" s="4" t="inlineStr">
        <is>
          <t>17.10.2026</t>
        </is>
      </c>
      <c r="G138" s="4" t="inlineStr">
        <is>
          <t>07:59</t>
        </is>
      </c>
      <c r="H138" s="4" t="inlineStr">
        <is>
          <t>17.10.2026</t>
        </is>
      </c>
      <c r="I138" s="4" t="inlineStr">
        <is>
          <t>20:04</t>
        </is>
      </c>
      <c r="J138" s="8" t="n">
        <v>10.5</v>
      </c>
      <c r="K138" s="8" t="n">
        <v>7.5</v>
      </c>
      <c r="L138" s="8" t="n">
        <v>3</v>
      </c>
      <c r="M138" s="29" t="inlineStr">
        <is>
          <t>HALİL DİĞRENCİ</t>
        </is>
      </c>
    </row>
    <row r="139">
      <c r="A139" s="4" t="n">
        <v>138</v>
      </c>
      <c r="B139" s="4" t="inlineStr">
        <is>
          <t>01102</t>
        </is>
      </c>
      <c r="C139" s="4" t="inlineStr">
        <is>
          <t>01102</t>
        </is>
      </c>
      <c r="D139" s="29" t="inlineStr">
        <is>
          <t>ALİ EŞREF AKIN</t>
        </is>
      </c>
      <c r="E139" s="4" t="inlineStr">
        <is>
          <t>Pazartesi</t>
        </is>
      </c>
      <c r="F139" s="4" t="inlineStr">
        <is>
          <t>19.10.2026</t>
        </is>
      </c>
      <c r="G139" s="4" t="inlineStr">
        <is>
          <t>08:02</t>
        </is>
      </c>
      <c r="H139" s="4" t="inlineStr">
        <is>
          <t>19.10.2026</t>
        </is>
      </c>
      <c r="I139" s="4" t="inlineStr">
        <is>
          <t>20:00</t>
        </is>
      </c>
      <c r="J139" s="8" t="n">
        <v>10.5</v>
      </c>
      <c r="K139" s="8" t="n">
        <v>7.5</v>
      </c>
      <c r="L139" s="8" t="n">
        <v>3</v>
      </c>
      <c r="M139" s="29" t="inlineStr">
        <is>
          <t>HALİL DİĞRENCİ</t>
        </is>
      </c>
    </row>
    <row r="140">
      <c r="A140" s="4" t="n">
        <v>139</v>
      </c>
      <c r="B140" s="4" t="inlineStr">
        <is>
          <t>01102</t>
        </is>
      </c>
      <c r="C140" s="4" t="inlineStr">
        <is>
          <t>01102</t>
        </is>
      </c>
      <c r="D140" s="29" t="inlineStr">
        <is>
          <t>ALİ EŞREF AKIN</t>
        </is>
      </c>
      <c r="E140" s="4" t="inlineStr">
        <is>
          <t>Çarşamba</t>
        </is>
      </c>
      <c r="F140" s="4" t="inlineStr">
        <is>
          <t>21.10.2026</t>
        </is>
      </c>
      <c r="G140" s="4" t="inlineStr">
        <is>
          <t>08:00</t>
        </is>
      </c>
      <c r="H140" s="4" t="inlineStr">
        <is>
          <t>21.10.2026</t>
        </is>
      </c>
      <c r="I140" s="4" t="inlineStr">
        <is>
          <t>16:58</t>
        </is>
      </c>
      <c r="J140" s="8" t="n">
        <v>7.5</v>
      </c>
      <c r="K140" s="8" t="n">
        <v>7.5</v>
      </c>
      <c r="L140" s="8" t="n">
        <v>0</v>
      </c>
      <c r="M140" s="29" t="inlineStr">
        <is>
          <t>HALİL DİĞRENCİ</t>
        </is>
      </c>
    </row>
    <row r="141">
      <c r="A141" s="4" t="n">
        <v>140</v>
      </c>
      <c r="B141" s="4" t="inlineStr">
        <is>
          <t>01390</t>
        </is>
      </c>
      <c r="C141" s="4" t="inlineStr">
        <is>
          <t>01390</t>
        </is>
      </c>
      <c r="D141" s="29" t="inlineStr">
        <is>
          <t>ALİ OSMAN İMRE</t>
        </is>
      </c>
      <c r="E141" s="4" t="inlineStr">
        <is>
          <t>Cuma</t>
        </is>
      </c>
      <c r="F141" s="4" t="inlineStr">
        <is>
          <t>2.10.2026</t>
        </is>
      </c>
      <c r="G141" s="4" t="inlineStr">
        <is>
          <t>20:10</t>
        </is>
      </c>
      <c r="H141" s="4" t="inlineStr">
        <is>
          <t>2.10.2026</t>
        </is>
      </c>
      <c r="I141" s="4" t="inlineStr">
        <is>
          <t>07:54</t>
        </is>
      </c>
      <c r="J141" s="8" t="n">
        <v>10.5</v>
      </c>
      <c r="K141" s="8" t="n">
        <v>7.5</v>
      </c>
      <c r="L141" s="8" t="n">
        <v>3</v>
      </c>
      <c r="M141" s="29" t="inlineStr">
        <is>
          <t>HALİL DİĞRENCİ</t>
        </is>
      </c>
    </row>
    <row r="142">
      <c r="A142" s="4" t="n">
        <v>141</v>
      </c>
      <c r="B142" s="4" t="inlineStr">
        <is>
          <t>01390</t>
        </is>
      </c>
      <c r="C142" s="4" t="inlineStr">
        <is>
          <t>01390</t>
        </is>
      </c>
      <c r="D142" s="29" t="inlineStr">
        <is>
          <t>ALİ OSMAN İMRE</t>
        </is>
      </c>
      <c r="E142" s="4" t="inlineStr">
        <is>
          <t>Cumartesi</t>
        </is>
      </c>
      <c r="F142" s="4" t="inlineStr">
        <is>
          <t>3.10.2026</t>
        </is>
      </c>
      <c r="G142" s="4" t="inlineStr">
        <is>
          <t>19:52</t>
        </is>
      </c>
      <c r="H142" s="4" t="inlineStr">
        <is>
          <t>3.10.2026</t>
        </is>
      </c>
      <c r="I142" s="4" t="inlineStr">
        <is>
          <t>07:57</t>
        </is>
      </c>
      <c r="J142" s="8" t="n">
        <v>10.5</v>
      </c>
      <c r="K142" s="8" t="n">
        <v>7.5</v>
      </c>
      <c r="L142" s="8" t="n">
        <v>3</v>
      </c>
      <c r="M142" s="29" t="inlineStr">
        <is>
          <t>HALİL DİĞRENCİ</t>
        </is>
      </c>
    </row>
    <row r="143">
      <c r="A143" s="4" t="n">
        <v>142</v>
      </c>
      <c r="B143" s="4" t="inlineStr">
        <is>
          <t>01390</t>
        </is>
      </c>
      <c r="C143" s="4" t="inlineStr">
        <is>
          <t>01390</t>
        </is>
      </c>
      <c r="D143" s="29" t="inlineStr">
        <is>
          <t>ALİ OSMAN İMRE</t>
        </is>
      </c>
      <c r="E143" s="4" t="inlineStr">
        <is>
          <t>Pazar</t>
        </is>
      </c>
      <c r="F143" s="4" t="inlineStr">
        <is>
          <t>4.10.2026</t>
        </is>
      </c>
      <c r="G143" s="4" t="inlineStr">
        <is>
          <t>20:00</t>
        </is>
      </c>
      <c r="H143" s="4" t="inlineStr">
        <is>
          <t>4.10.2026</t>
        </is>
      </c>
      <c r="I143" s="4" t="inlineStr">
        <is>
          <t>08:00</t>
        </is>
      </c>
      <c r="J143" s="8" t="n">
        <v>10.5</v>
      </c>
      <c r="K143" s="8" t="n">
        <v>7.5</v>
      </c>
      <c r="L143" s="8" t="n">
        <v>3</v>
      </c>
      <c r="M143" s="29" t="inlineStr">
        <is>
          <t>HALİL DİĞRENCİ</t>
        </is>
      </c>
    </row>
    <row r="144">
      <c r="A144" s="4" t="n">
        <v>143</v>
      </c>
      <c r="B144" s="4" t="inlineStr">
        <is>
          <t>01390</t>
        </is>
      </c>
      <c r="C144" s="4" t="inlineStr">
        <is>
          <t>01390</t>
        </is>
      </c>
      <c r="D144" s="29" t="inlineStr">
        <is>
          <t>ALİ OSMAN İMRE</t>
        </is>
      </c>
      <c r="E144" s="4" t="inlineStr">
        <is>
          <t>Salı</t>
        </is>
      </c>
      <c r="F144" s="4" t="inlineStr">
        <is>
          <t>6.10.2026</t>
        </is>
      </c>
      <c r="G144" s="4" t="inlineStr">
        <is>
          <t>19:46</t>
        </is>
      </c>
      <c r="H144" s="4" t="inlineStr">
        <is>
          <t>6.10.2026</t>
        </is>
      </c>
      <c r="I144" s="4" t="inlineStr">
        <is>
          <t>08:01</t>
        </is>
      </c>
      <c r="J144" s="8" t="n">
        <v>10.5</v>
      </c>
      <c r="K144" s="8" t="n">
        <v>7.5</v>
      </c>
      <c r="L144" s="8" t="n">
        <v>3</v>
      </c>
      <c r="M144" s="29" t="inlineStr">
        <is>
          <t>HALİL DİĞRENCİ</t>
        </is>
      </c>
    </row>
    <row r="145">
      <c r="A145" s="4" t="n">
        <v>144</v>
      </c>
      <c r="B145" s="4" t="inlineStr">
        <is>
          <t>01390</t>
        </is>
      </c>
      <c r="C145" s="4" t="inlineStr">
        <is>
          <t>01390</t>
        </is>
      </c>
      <c r="D145" s="29" t="inlineStr">
        <is>
          <t>ALİ OSMAN İMRE</t>
        </is>
      </c>
      <c r="E145" s="4" t="inlineStr">
        <is>
          <t>Çarşamba</t>
        </is>
      </c>
      <c r="F145" s="4" t="inlineStr">
        <is>
          <t>7.10.2026</t>
        </is>
      </c>
      <c r="G145" s="4" t="inlineStr">
        <is>
          <t>19:56</t>
        </is>
      </c>
      <c r="H145" s="4" t="inlineStr">
        <is>
          <t>7.10.2026</t>
        </is>
      </c>
      <c r="I145" s="4" t="inlineStr">
        <is>
          <t>07:58</t>
        </is>
      </c>
      <c r="J145" s="8" t="n">
        <v>10.5</v>
      </c>
      <c r="K145" s="8" t="n">
        <v>7.5</v>
      </c>
      <c r="L145" s="8" t="n">
        <v>3</v>
      </c>
      <c r="M145" s="29" t="inlineStr">
        <is>
          <t>HALİL DİĞRENCİ</t>
        </is>
      </c>
    </row>
    <row r="146">
      <c r="A146" s="4" t="n">
        <v>145</v>
      </c>
      <c r="B146" s="4" t="inlineStr">
        <is>
          <t>01390</t>
        </is>
      </c>
      <c r="C146" s="4" t="inlineStr">
        <is>
          <t>01390</t>
        </is>
      </c>
      <c r="D146" s="29" t="inlineStr">
        <is>
          <t>ALİ OSMAN İMRE</t>
        </is>
      </c>
      <c r="E146" s="4" t="inlineStr">
        <is>
          <t>Perşembe</t>
        </is>
      </c>
      <c r="F146" s="4" t="inlineStr">
        <is>
          <t>8.10.2026</t>
        </is>
      </c>
      <c r="G146" s="4" t="inlineStr">
        <is>
          <t>19:58</t>
        </is>
      </c>
      <c r="H146" s="4" t="inlineStr">
        <is>
          <t>8.10.2026</t>
        </is>
      </c>
      <c r="I146" s="4" t="inlineStr">
        <is>
          <t>07:38</t>
        </is>
      </c>
      <c r="J146" s="8" t="n">
        <v>10</v>
      </c>
      <c r="K146" s="8" t="n">
        <v>7.5</v>
      </c>
      <c r="L146" s="8" t="n">
        <v>2.5</v>
      </c>
      <c r="M146" s="29" t="inlineStr">
        <is>
          <t>HALİL DİĞRENCİ</t>
        </is>
      </c>
    </row>
    <row r="147">
      <c r="A147" s="4" t="n">
        <v>146</v>
      </c>
      <c r="B147" s="4" t="inlineStr">
        <is>
          <t>01390</t>
        </is>
      </c>
      <c r="C147" s="4" t="inlineStr">
        <is>
          <t>01390</t>
        </is>
      </c>
      <c r="D147" s="29" t="inlineStr">
        <is>
          <t>ALİ OSMAN İMRE</t>
        </is>
      </c>
      <c r="E147" s="4" t="inlineStr">
        <is>
          <t>Cuma</t>
        </is>
      </c>
      <c r="F147" s="4" t="inlineStr">
        <is>
          <t>9.10.2026</t>
        </is>
      </c>
      <c r="G147" s="4" t="inlineStr">
        <is>
          <t>20:00</t>
        </is>
      </c>
      <c r="H147" s="4" t="inlineStr">
        <is>
          <t>9.10.2026</t>
        </is>
      </c>
      <c r="I147" s="4" t="inlineStr">
        <is>
          <t>08:06</t>
        </is>
      </c>
      <c r="J147" s="8" t="n">
        <v>10.5</v>
      </c>
      <c r="K147" s="8" t="n">
        <v>7.5</v>
      </c>
      <c r="L147" s="8" t="n">
        <v>3</v>
      </c>
      <c r="M147" s="29" t="inlineStr">
        <is>
          <t>HALİL DİĞRENCİ</t>
        </is>
      </c>
    </row>
    <row r="148">
      <c r="A148" s="4" t="n">
        <v>147</v>
      </c>
      <c r="B148" s="4" t="inlineStr">
        <is>
          <t>01390</t>
        </is>
      </c>
      <c r="C148" s="4" t="inlineStr">
        <is>
          <t>01390</t>
        </is>
      </c>
      <c r="D148" s="29" t="inlineStr">
        <is>
          <t>ALİ OSMAN İMRE</t>
        </is>
      </c>
      <c r="E148" s="4" t="inlineStr">
        <is>
          <t>Pazar</t>
        </is>
      </c>
      <c r="F148" s="4" t="inlineStr">
        <is>
          <t>11.10.2026</t>
        </is>
      </c>
      <c r="G148" s="4" t="inlineStr">
        <is>
          <t>20:16</t>
        </is>
      </c>
      <c r="H148" s="4" t="inlineStr">
        <is>
          <t>11.10.2026</t>
        </is>
      </c>
      <c r="I148" s="4" t="inlineStr">
        <is>
          <t>07:59</t>
        </is>
      </c>
      <c r="J148" s="8" t="n">
        <v>10.5</v>
      </c>
      <c r="K148" s="8" t="n">
        <v>7.5</v>
      </c>
      <c r="L148" s="8" t="n">
        <v>3</v>
      </c>
      <c r="M148" s="29" t="inlineStr">
        <is>
          <t>HALİL DİĞRENCİ</t>
        </is>
      </c>
    </row>
    <row r="149">
      <c r="A149" s="4" t="n">
        <v>148</v>
      </c>
      <c r="B149" s="4" t="inlineStr">
        <is>
          <t>01390</t>
        </is>
      </c>
      <c r="C149" s="4" t="inlineStr">
        <is>
          <t>01390</t>
        </is>
      </c>
      <c r="D149" s="29" t="inlineStr">
        <is>
          <t>ALİ OSMAN İMRE</t>
        </is>
      </c>
      <c r="E149" s="4" t="inlineStr">
        <is>
          <t>Pazartesi</t>
        </is>
      </c>
      <c r="F149" s="4" t="inlineStr">
        <is>
          <t>12.10.2026</t>
        </is>
      </c>
      <c r="G149" s="4" t="inlineStr">
        <is>
          <t>20:00</t>
        </is>
      </c>
      <c r="H149" s="4" t="inlineStr">
        <is>
          <t>12.10.2026</t>
        </is>
      </c>
      <c r="I149" s="4" t="inlineStr">
        <is>
          <t>07:54</t>
        </is>
      </c>
      <c r="J149" s="8" t="n">
        <v>10.5</v>
      </c>
      <c r="K149" s="8" t="n">
        <v>7.5</v>
      </c>
      <c r="L149" s="8" t="n">
        <v>3</v>
      </c>
      <c r="M149" s="29" t="inlineStr">
        <is>
          <t>HALİL DİĞRENCİ</t>
        </is>
      </c>
    </row>
    <row r="150">
      <c r="A150" s="4" t="n">
        <v>149</v>
      </c>
      <c r="B150" s="4" t="inlineStr">
        <is>
          <t>01390</t>
        </is>
      </c>
      <c r="C150" s="4" t="inlineStr">
        <is>
          <t>01390</t>
        </is>
      </c>
      <c r="D150" s="29" t="inlineStr">
        <is>
          <t>ALİ OSMAN İMRE</t>
        </is>
      </c>
      <c r="E150" s="4" t="inlineStr">
        <is>
          <t>Çarşamba</t>
        </is>
      </c>
      <c r="F150" s="4" t="inlineStr">
        <is>
          <t>14.10.2026</t>
        </is>
      </c>
      <c r="G150" s="4" t="inlineStr">
        <is>
          <t>20:14</t>
        </is>
      </c>
      <c r="H150" s="4" t="inlineStr">
        <is>
          <t>14.10.2026</t>
        </is>
      </c>
      <c r="I150" s="4" t="inlineStr">
        <is>
          <t>08:03</t>
        </is>
      </c>
      <c r="J150" s="8" t="n">
        <v>10.5</v>
      </c>
      <c r="K150" s="8" t="n">
        <v>7.5</v>
      </c>
      <c r="L150" s="8" t="n">
        <v>3</v>
      </c>
      <c r="M150" s="29" t="inlineStr">
        <is>
          <t>HALİL DİĞRENCİ</t>
        </is>
      </c>
    </row>
    <row r="151">
      <c r="A151" s="4" t="n">
        <v>150</v>
      </c>
      <c r="B151" s="4" t="inlineStr">
        <is>
          <t>01390</t>
        </is>
      </c>
      <c r="C151" s="4" t="inlineStr">
        <is>
          <t>01390</t>
        </is>
      </c>
      <c r="D151" s="29" t="inlineStr">
        <is>
          <t>ALİ OSMAN İMRE</t>
        </is>
      </c>
      <c r="E151" s="4" t="inlineStr">
        <is>
          <t>Perşembe</t>
        </is>
      </c>
      <c r="F151" s="4" t="inlineStr">
        <is>
          <t>15.10.2026</t>
        </is>
      </c>
      <c r="G151" s="4" t="inlineStr">
        <is>
          <t>20:10</t>
        </is>
      </c>
      <c r="H151" s="4" t="inlineStr">
        <is>
          <t>15.10.2026</t>
        </is>
      </c>
      <c r="I151" s="4" t="inlineStr">
        <is>
          <t>08:01</t>
        </is>
      </c>
      <c r="J151" s="8" t="n">
        <v>10.5</v>
      </c>
      <c r="K151" s="8" t="n">
        <v>7.5</v>
      </c>
      <c r="L151" s="8" t="n">
        <v>3</v>
      </c>
      <c r="M151" s="29" t="inlineStr">
        <is>
          <t>HALİL DİĞRENCİ</t>
        </is>
      </c>
    </row>
    <row r="152">
      <c r="A152" s="4" t="n">
        <v>151</v>
      </c>
      <c r="B152" s="4" t="inlineStr">
        <is>
          <t>01390</t>
        </is>
      </c>
      <c r="C152" s="4" t="inlineStr">
        <is>
          <t>01390</t>
        </is>
      </c>
      <c r="D152" s="29" t="inlineStr">
        <is>
          <t>ALİ OSMAN İMRE</t>
        </is>
      </c>
      <c r="E152" s="4" t="inlineStr">
        <is>
          <t>Pazar</t>
        </is>
      </c>
      <c r="F152" s="4" t="inlineStr">
        <is>
          <t>18.10.2026</t>
        </is>
      </c>
      <c r="G152" s="4" t="inlineStr">
        <is>
          <t>08:17</t>
        </is>
      </c>
      <c r="H152" s="4" t="inlineStr">
        <is>
          <t>18.10.2026</t>
        </is>
      </c>
      <c r="I152" s="4" t="inlineStr">
        <is>
          <t>20:01</t>
        </is>
      </c>
      <c r="J152" s="8" t="n">
        <v>10.5</v>
      </c>
      <c r="K152" s="8" t="n">
        <v>7.5</v>
      </c>
      <c r="L152" s="8" t="n">
        <v>3</v>
      </c>
      <c r="M152" s="29" t="inlineStr">
        <is>
          <t>HALİL DİĞRENCİ</t>
        </is>
      </c>
    </row>
    <row r="153">
      <c r="A153" s="4" t="n">
        <v>152</v>
      </c>
      <c r="B153" s="4" t="inlineStr">
        <is>
          <t>01390</t>
        </is>
      </c>
      <c r="C153" s="4" t="inlineStr">
        <is>
          <t>01390</t>
        </is>
      </c>
      <c r="D153" s="29" t="inlineStr">
        <is>
          <t>ALİ OSMAN İMRE</t>
        </is>
      </c>
      <c r="E153" s="4" t="inlineStr">
        <is>
          <t>Pazartesi</t>
        </is>
      </c>
      <c r="F153" s="4" t="inlineStr">
        <is>
          <t>19.10.2026</t>
        </is>
      </c>
      <c r="G153" s="4" t="inlineStr">
        <is>
          <t>19:43</t>
        </is>
      </c>
      <c r="H153" s="4" t="inlineStr">
        <is>
          <t>19.10.2026</t>
        </is>
      </c>
      <c r="I153" s="4" t="inlineStr">
        <is>
          <t>07:52</t>
        </is>
      </c>
      <c r="J153" s="8" t="n">
        <v>10.5</v>
      </c>
      <c r="K153" s="8" t="n">
        <v>7.5</v>
      </c>
      <c r="L153" s="8" t="n">
        <v>3</v>
      </c>
      <c r="M153" s="29" t="inlineStr">
        <is>
          <t>HALİL DİĞRENCİ</t>
        </is>
      </c>
    </row>
    <row r="154">
      <c r="A154" s="4" t="n">
        <v>153</v>
      </c>
      <c r="B154" s="4" t="inlineStr">
        <is>
          <t>00208</t>
        </is>
      </c>
      <c r="C154" s="4" t="inlineStr">
        <is>
          <t>00208</t>
        </is>
      </c>
      <c r="D154" s="29" t="inlineStr">
        <is>
          <t>ANIL DEMİRTAŞ</t>
        </is>
      </c>
      <c r="E154" s="4" t="inlineStr">
        <is>
          <t>Perşembe</t>
        </is>
      </c>
      <c r="F154" s="4" t="inlineStr">
        <is>
          <t>1.10.2026</t>
        </is>
      </c>
      <c r="G154" s="4" t="inlineStr">
        <is>
          <t>16:11</t>
        </is>
      </c>
      <c r="H154" s="4" t="inlineStr">
        <is>
          <t>1.10.2026</t>
        </is>
      </c>
      <c r="I154" s="4" t="inlineStr">
        <is>
          <t>00:02</t>
        </is>
      </c>
      <c r="J154" s="8" t="n">
        <v>7.5</v>
      </c>
      <c r="K154" s="8" t="n">
        <v>7.5</v>
      </c>
      <c r="L154" s="8" t="n">
        <v>0</v>
      </c>
      <c r="M154" s="29" t="inlineStr">
        <is>
          <t>GÖBEL</t>
        </is>
      </c>
    </row>
    <row r="155">
      <c r="A155" s="4" t="n">
        <v>154</v>
      </c>
      <c r="B155" s="4" t="inlineStr">
        <is>
          <t>00208</t>
        </is>
      </c>
      <c r="C155" s="4" t="inlineStr">
        <is>
          <t>00208</t>
        </is>
      </c>
      <c r="D155" s="29" t="inlineStr">
        <is>
          <t>ANIL DEMİRTAŞ</t>
        </is>
      </c>
      <c r="E155" s="4" t="inlineStr">
        <is>
          <t>Cuma</t>
        </is>
      </c>
      <c r="F155" s="4" t="inlineStr">
        <is>
          <t>2.10.2026</t>
        </is>
      </c>
      <c r="G155" s="4" t="inlineStr">
        <is>
          <t>15:47</t>
        </is>
      </c>
      <c r="H155" s="4" t="inlineStr">
        <is>
          <t>2.10.2026</t>
        </is>
      </c>
      <c r="I155" s="4" t="inlineStr">
        <is>
          <t>02:57</t>
        </is>
      </c>
      <c r="J155" s="8" t="n">
        <v>10.5</v>
      </c>
      <c r="K155" s="8" t="n">
        <v>7.5</v>
      </c>
      <c r="L155" s="8" t="n">
        <v>3</v>
      </c>
      <c r="M155" s="29" t="inlineStr">
        <is>
          <t>GÖBEL</t>
        </is>
      </c>
    </row>
    <row r="156">
      <c r="A156" s="4" t="n">
        <v>155</v>
      </c>
      <c r="B156" s="4" t="inlineStr">
        <is>
          <t>00208</t>
        </is>
      </c>
      <c r="C156" s="4" t="inlineStr">
        <is>
          <t>00208</t>
        </is>
      </c>
      <c r="D156" s="29" t="inlineStr">
        <is>
          <t>ANIL DEMİRTAŞ</t>
        </is>
      </c>
      <c r="E156" s="4" t="inlineStr">
        <is>
          <t>Cumartesi</t>
        </is>
      </c>
      <c r="F156" s="4" t="inlineStr">
        <is>
          <t>3.10.2026</t>
        </is>
      </c>
      <c r="G156" s="4" t="inlineStr">
        <is>
          <t>17:10</t>
        </is>
      </c>
      <c r="H156" s="4" t="inlineStr">
        <is>
          <t>3.10.2026</t>
        </is>
      </c>
      <c r="I156" s="4" t="inlineStr">
        <is>
          <t>20:23</t>
        </is>
      </c>
      <c r="J156" s="8" t="n">
        <v>3.5</v>
      </c>
      <c r="K156" s="8" t="n">
        <v>3.5</v>
      </c>
      <c r="L156" s="8" t="n">
        <v>0</v>
      </c>
      <c r="M156" s="29" t="inlineStr">
        <is>
          <t>GÖBEL</t>
        </is>
      </c>
    </row>
    <row r="157">
      <c r="A157" s="4" t="n">
        <v>156</v>
      </c>
      <c r="B157" s="4" t="inlineStr">
        <is>
          <t>00208</t>
        </is>
      </c>
      <c r="C157" s="4" t="inlineStr">
        <is>
          <t>00208</t>
        </is>
      </c>
      <c r="D157" s="29" t="inlineStr">
        <is>
          <t>ANIL DEMİRTAŞ</t>
        </is>
      </c>
      <c r="E157" s="4" t="inlineStr">
        <is>
          <t>Pazar</t>
        </is>
      </c>
      <c r="F157" s="4" t="inlineStr">
        <is>
          <t>4.10.2026</t>
        </is>
      </c>
      <c r="G157" s="4" t="inlineStr">
        <is>
          <t>15:55</t>
        </is>
      </c>
      <c r="H157" s="4" t="inlineStr">
        <is>
          <t>4.10.2026</t>
        </is>
      </c>
      <c r="I157" s="4" t="inlineStr">
        <is>
          <t>00:00</t>
        </is>
      </c>
      <c r="J157" s="8" t="n">
        <v>7.5</v>
      </c>
      <c r="K157" s="8" t="n">
        <v>7.5</v>
      </c>
      <c r="L157" s="8" t="n">
        <v>0</v>
      </c>
      <c r="M157" s="29" t="inlineStr">
        <is>
          <t>GÖBEL</t>
        </is>
      </c>
    </row>
    <row r="158">
      <c r="A158" s="4" t="n">
        <v>157</v>
      </c>
      <c r="B158" s="4" t="inlineStr">
        <is>
          <t>00208</t>
        </is>
      </c>
      <c r="C158" s="4" t="inlineStr">
        <is>
          <t>00208</t>
        </is>
      </c>
      <c r="D158" s="29" t="inlineStr">
        <is>
          <t>ANIL DEMİRTAŞ</t>
        </is>
      </c>
      <c r="E158" s="4" t="inlineStr">
        <is>
          <t>Pazartesi</t>
        </is>
      </c>
      <c r="F158" s="4" t="inlineStr">
        <is>
          <t>5.10.2026</t>
        </is>
      </c>
      <c r="G158" s="4" t="inlineStr">
        <is>
          <t>16:16</t>
        </is>
      </c>
      <c r="H158" s="4" t="inlineStr">
        <is>
          <t>5.10.2026</t>
        </is>
      </c>
      <c r="I158" s="4" t="inlineStr">
        <is>
          <t>23:59</t>
        </is>
      </c>
      <c r="J158" s="8" t="n">
        <v>7.5</v>
      </c>
      <c r="K158" s="8" t="n">
        <v>7.5</v>
      </c>
      <c r="L158" s="8" t="n">
        <v>0</v>
      </c>
      <c r="M158" s="29" t="inlineStr">
        <is>
          <t>GÖBEL</t>
        </is>
      </c>
    </row>
    <row r="159">
      <c r="A159" s="4" t="n">
        <v>158</v>
      </c>
      <c r="B159" s="4" t="inlineStr">
        <is>
          <t>00208</t>
        </is>
      </c>
      <c r="C159" s="4" t="inlineStr">
        <is>
          <t>00208</t>
        </is>
      </c>
      <c r="D159" s="29" t="inlineStr">
        <is>
          <t>ANIL DEMİRTAŞ</t>
        </is>
      </c>
      <c r="E159" s="4" t="inlineStr">
        <is>
          <t>Salı</t>
        </is>
      </c>
      <c r="F159" s="4" t="inlineStr">
        <is>
          <t>6.10.2026</t>
        </is>
      </c>
      <c r="G159" s="4" t="inlineStr">
        <is>
          <t>15:59</t>
        </is>
      </c>
      <c r="H159" s="4" t="inlineStr">
        <is>
          <t>6.10.2026</t>
        </is>
      </c>
      <c r="I159" s="4" t="inlineStr">
        <is>
          <t>23:56</t>
        </is>
      </c>
      <c r="J159" s="8" t="n">
        <v>7.5</v>
      </c>
      <c r="K159" s="8" t="n">
        <v>7.5</v>
      </c>
      <c r="L159" s="8" t="n">
        <v>0</v>
      </c>
      <c r="M159" s="29" t="inlineStr">
        <is>
          <t>GÖBEL</t>
        </is>
      </c>
    </row>
    <row r="160">
      <c r="A160" s="4" t="n">
        <v>159</v>
      </c>
      <c r="B160" s="4" t="inlineStr">
        <is>
          <t>00208</t>
        </is>
      </c>
      <c r="C160" s="4" t="inlineStr">
        <is>
          <t>00208</t>
        </is>
      </c>
      <c r="D160" s="29" t="inlineStr">
        <is>
          <t>ANIL DEMİRTAŞ</t>
        </is>
      </c>
      <c r="E160" s="4" t="inlineStr">
        <is>
          <t>Çarşamba</t>
        </is>
      </c>
      <c r="F160" s="4" t="inlineStr">
        <is>
          <t>7.10.2026</t>
        </is>
      </c>
      <c r="G160" s="4" t="inlineStr">
        <is>
          <t>15:49</t>
        </is>
      </c>
      <c r="H160" s="4" t="inlineStr">
        <is>
          <t>7.10.2026</t>
        </is>
      </c>
      <c r="I160" s="4" t="inlineStr">
        <is>
          <t>23:55</t>
        </is>
      </c>
      <c r="J160" s="8" t="n">
        <v>7.5</v>
      </c>
      <c r="K160" s="8" t="n">
        <v>7.5</v>
      </c>
      <c r="L160" s="8" t="n">
        <v>0</v>
      </c>
      <c r="M160" s="29" t="inlineStr">
        <is>
          <t>GÖBEL</t>
        </is>
      </c>
    </row>
    <row r="161">
      <c r="A161" s="4" t="n">
        <v>160</v>
      </c>
      <c r="B161" s="4" t="inlineStr">
        <is>
          <t>00208</t>
        </is>
      </c>
      <c r="C161" s="4" t="inlineStr">
        <is>
          <t>00208</t>
        </is>
      </c>
      <c r="D161" s="29" t="inlineStr">
        <is>
          <t>ANIL DEMİRTAŞ</t>
        </is>
      </c>
      <c r="E161" s="4" t="inlineStr">
        <is>
          <t>Perşembe</t>
        </is>
      </c>
      <c r="F161" s="4" t="inlineStr">
        <is>
          <t>8.10.2026</t>
        </is>
      </c>
      <c r="G161" s="4" t="inlineStr">
        <is>
          <t>16:02</t>
        </is>
      </c>
      <c r="H161" s="4" t="inlineStr">
        <is>
          <t>8.10.2026</t>
        </is>
      </c>
      <c r="I161" s="4" t="inlineStr">
        <is>
          <t>23:59</t>
        </is>
      </c>
      <c r="J161" s="8" t="n">
        <v>7.5</v>
      </c>
      <c r="K161" s="8" t="n">
        <v>7.5</v>
      </c>
      <c r="L161" s="8" t="n">
        <v>0</v>
      </c>
      <c r="M161" s="29" t="inlineStr">
        <is>
          <t>GÖBEL</t>
        </is>
      </c>
    </row>
    <row r="162">
      <c r="A162" s="4" t="n">
        <v>161</v>
      </c>
      <c r="B162" s="4" t="inlineStr">
        <is>
          <t>00208</t>
        </is>
      </c>
      <c r="C162" s="4" t="inlineStr">
        <is>
          <t>00208</t>
        </is>
      </c>
      <c r="D162" s="29" t="inlineStr">
        <is>
          <t>ANIL DEMİRTAŞ</t>
        </is>
      </c>
      <c r="E162" s="4" t="inlineStr">
        <is>
          <t>Cuma</t>
        </is>
      </c>
      <c r="F162" s="4" t="inlineStr">
        <is>
          <t>9.10.2026</t>
        </is>
      </c>
      <c r="G162" s="4" t="inlineStr">
        <is>
          <t>15:52</t>
        </is>
      </c>
      <c r="H162" s="4" t="inlineStr">
        <is>
          <t>9.10.2026</t>
        </is>
      </c>
      <c r="I162" s="4" t="inlineStr">
        <is>
          <t>23:51</t>
        </is>
      </c>
      <c r="J162" s="8" t="n">
        <v>7.5</v>
      </c>
      <c r="K162" s="8" t="n">
        <v>7.5</v>
      </c>
      <c r="L162" s="8" t="n">
        <v>0</v>
      </c>
      <c r="M162" s="29" t="inlineStr">
        <is>
          <t>GÖBEL</t>
        </is>
      </c>
    </row>
    <row r="163">
      <c r="A163" s="4" t="n">
        <v>162</v>
      </c>
      <c r="B163" s="4" t="inlineStr">
        <is>
          <t>00208</t>
        </is>
      </c>
      <c r="C163" s="4" t="inlineStr">
        <is>
          <t>00208</t>
        </is>
      </c>
      <c r="D163" s="29" t="inlineStr">
        <is>
          <t>ANIL DEMİRTAŞ</t>
        </is>
      </c>
      <c r="E163" s="4" t="inlineStr">
        <is>
          <t>Pazar</t>
        </is>
      </c>
      <c r="F163" s="4" t="inlineStr">
        <is>
          <t>11.10.2026</t>
        </is>
      </c>
      <c r="G163" s="4" t="inlineStr">
        <is>
          <t>10:11</t>
        </is>
      </c>
      <c r="H163" s="4" t="inlineStr">
        <is>
          <t>11.10.2026</t>
        </is>
      </c>
      <c r="I163" s="4" t="inlineStr">
        <is>
          <t>23:59</t>
        </is>
      </c>
      <c r="J163" s="8" t="n">
        <v>12.5</v>
      </c>
      <c r="K163" s="8" t="n">
        <v>5.5</v>
      </c>
      <c r="L163" s="8" t="n">
        <v>7</v>
      </c>
      <c r="M163" s="29" t="inlineStr">
        <is>
          <t>GÖBEL</t>
        </is>
      </c>
    </row>
    <row r="164">
      <c r="A164" s="4" t="n">
        <v>163</v>
      </c>
      <c r="B164" s="4" t="inlineStr">
        <is>
          <t>00208</t>
        </is>
      </c>
      <c r="C164" s="4" t="inlineStr">
        <is>
          <t>00208</t>
        </is>
      </c>
      <c r="D164" s="29" t="inlineStr">
        <is>
          <t>ANIL DEMİRTAŞ</t>
        </is>
      </c>
      <c r="E164" s="4" t="inlineStr">
        <is>
          <t>Pazartesi</t>
        </is>
      </c>
      <c r="F164" s="4" t="inlineStr">
        <is>
          <t>12.10.2026</t>
        </is>
      </c>
      <c r="G164" s="4" t="inlineStr">
        <is>
          <t>16:14</t>
        </is>
      </c>
      <c r="H164" s="4" t="inlineStr">
        <is>
          <t>12.10.2026</t>
        </is>
      </c>
      <c r="I164" s="4" t="inlineStr">
        <is>
          <t>23:53</t>
        </is>
      </c>
      <c r="J164" s="8" t="n">
        <v>7.5</v>
      </c>
      <c r="K164" s="8" t="n">
        <v>7.5</v>
      </c>
      <c r="L164" s="8" t="n">
        <v>0</v>
      </c>
      <c r="M164" s="29" t="inlineStr">
        <is>
          <t>GÖBEL</t>
        </is>
      </c>
    </row>
    <row r="165">
      <c r="A165" s="4" t="n">
        <v>164</v>
      </c>
      <c r="B165" s="4" t="inlineStr">
        <is>
          <t>00208</t>
        </is>
      </c>
      <c r="C165" s="4" t="inlineStr">
        <is>
          <t>00208</t>
        </is>
      </c>
      <c r="D165" s="29" t="inlineStr">
        <is>
          <t>ANIL DEMİRTAŞ</t>
        </is>
      </c>
      <c r="E165" s="4" t="inlineStr">
        <is>
          <t>Salı</t>
        </is>
      </c>
      <c r="F165" s="4" t="inlineStr">
        <is>
          <t>13.10.2026</t>
        </is>
      </c>
      <c r="G165" s="4" t="inlineStr">
        <is>
          <t>15:51</t>
        </is>
      </c>
      <c r="H165" s="4" t="inlineStr">
        <is>
          <t>13.10.2026</t>
        </is>
      </c>
      <c r="I165" s="4" t="inlineStr">
        <is>
          <t>23:56</t>
        </is>
      </c>
      <c r="J165" s="8" t="n">
        <v>7.5</v>
      </c>
      <c r="K165" s="8" t="n">
        <v>7.5</v>
      </c>
      <c r="L165" s="8" t="n">
        <v>0</v>
      </c>
      <c r="M165" s="29" t="inlineStr">
        <is>
          <t>GÖBEL</t>
        </is>
      </c>
    </row>
    <row r="166">
      <c r="A166" s="4" t="n">
        <v>165</v>
      </c>
      <c r="B166" s="4" t="inlineStr">
        <is>
          <t>00208</t>
        </is>
      </c>
      <c r="C166" s="4" t="inlineStr">
        <is>
          <t>00208</t>
        </is>
      </c>
      <c r="D166" s="29" t="inlineStr">
        <is>
          <t>ANIL DEMİRTAŞ</t>
        </is>
      </c>
      <c r="E166" s="4" t="inlineStr">
        <is>
          <t>Çarşamba</t>
        </is>
      </c>
      <c r="F166" s="4" t="inlineStr">
        <is>
          <t>14.10.2026</t>
        </is>
      </c>
      <c r="G166" s="4" t="inlineStr">
        <is>
          <t>15:53</t>
        </is>
      </c>
      <c r="H166" s="4" t="inlineStr">
        <is>
          <t>14.10.2026</t>
        </is>
      </c>
      <c r="I166" s="4" t="inlineStr">
        <is>
          <t>23:57</t>
        </is>
      </c>
      <c r="J166" s="8" t="n">
        <v>7.5</v>
      </c>
      <c r="K166" s="8" t="n">
        <v>7.5</v>
      </c>
      <c r="L166" s="8" t="n">
        <v>0</v>
      </c>
      <c r="M166" s="29" t="inlineStr">
        <is>
          <t>GÖBEL</t>
        </is>
      </c>
    </row>
    <row r="167">
      <c r="A167" s="4" t="n">
        <v>166</v>
      </c>
      <c r="B167" s="4" t="inlineStr">
        <is>
          <t>00208</t>
        </is>
      </c>
      <c r="C167" s="4" t="inlineStr">
        <is>
          <t>00208</t>
        </is>
      </c>
      <c r="D167" s="29" t="inlineStr">
        <is>
          <t>ANIL DEMİRTAŞ</t>
        </is>
      </c>
      <c r="E167" s="4" t="inlineStr">
        <is>
          <t>Perşembe</t>
        </is>
      </c>
      <c r="F167" s="4" t="inlineStr">
        <is>
          <t>15.10.2026</t>
        </is>
      </c>
      <c r="G167" s="4" t="inlineStr">
        <is>
          <t>15:55</t>
        </is>
      </c>
      <c r="H167" s="4" t="inlineStr">
        <is>
          <t>15.10.2026</t>
        </is>
      </c>
      <c r="I167" s="4" t="inlineStr">
        <is>
          <t>-</t>
        </is>
      </c>
      <c r="J167" s="8" t="n">
        <v>7.5</v>
      </c>
      <c r="K167" s="8" t="n">
        <v>7.5</v>
      </c>
      <c r="L167" s="8" t="n">
        <v>0</v>
      </c>
      <c r="M167" s="29" t="inlineStr">
        <is>
          <t>GÖBEL</t>
        </is>
      </c>
    </row>
    <row r="168">
      <c r="A168" s="4" t="n">
        <v>167</v>
      </c>
      <c r="B168" s="4" t="inlineStr">
        <is>
          <t>00208</t>
        </is>
      </c>
      <c r="C168" s="4" t="inlineStr">
        <is>
          <t>00208</t>
        </is>
      </c>
      <c r="D168" s="29" t="inlineStr">
        <is>
          <t>ANIL DEMİRTAŞ</t>
        </is>
      </c>
      <c r="E168" s="4" t="inlineStr">
        <is>
          <t>Cuma</t>
        </is>
      </c>
      <c r="F168" s="4" t="inlineStr">
        <is>
          <t>16.10.2026</t>
        </is>
      </c>
      <c r="G168" s="4" t="inlineStr">
        <is>
          <t>16:42</t>
        </is>
      </c>
      <c r="H168" s="4" t="inlineStr">
        <is>
          <t>16.10.2026</t>
        </is>
      </c>
      <c r="I168" s="4" t="inlineStr">
        <is>
          <t>23:50</t>
        </is>
      </c>
      <c r="J168" s="8" t="n">
        <v>7</v>
      </c>
      <c r="K168" s="8" t="n">
        <v>7</v>
      </c>
      <c r="L168" s="8" t="n">
        <v>0</v>
      </c>
      <c r="M168" s="29" t="inlineStr">
        <is>
          <t>GÖBEL</t>
        </is>
      </c>
    </row>
    <row r="169">
      <c r="A169" s="4" t="n">
        <v>168</v>
      </c>
      <c r="B169" s="4" t="inlineStr">
        <is>
          <t>00208</t>
        </is>
      </c>
      <c r="C169" s="4" t="inlineStr">
        <is>
          <t>00208</t>
        </is>
      </c>
      <c r="D169" s="29" t="inlineStr">
        <is>
          <t>ANIL DEMİRTAŞ</t>
        </is>
      </c>
      <c r="E169" s="4" t="inlineStr">
        <is>
          <t>Pazar</t>
        </is>
      </c>
      <c r="F169" s="4" t="inlineStr">
        <is>
          <t>18.10.2026</t>
        </is>
      </c>
      <c r="G169" s="4" t="inlineStr">
        <is>
          <t>15:34</t>
        </is>
      </c>
      <c r="H169" s="4" t="inlineStr">
        <is>
          <t>18.10.2026</t>
        </is>
      </c>
      <c r="I169" s="4" t="inlineStr">
        <is>
          <t>01:34</t>
        </is>
      </c>
      <c r="J169" s="8" t="n">
        <v>9</v>
      </c>
      <c r="K169" s="8" t="n">
        <v>7.5</v>
      </c>
      <c r="L169" s="8" t="n">
        <v>1.5</v>
      </c>
      <c r="M169" s="29" t="inlineStr">
        <is>
          <t>GÖBEL</t>
        </is>
      </c>
    </row>
    <row r="170">
      <c r="A170" s="4" t="n">
        <v>169</v>
      </c>
      <c r="B170" s="4" t="inlineStr">
        <is>
          <t>00208</t>
        </is>
      </c>
      <c r="C170" s="4" t="inlineStr">
        <is>
          <t>00208</t>
        </is>
      </c>
      <c r="D170" s="29" t="inlineStr">
        <is>
          <t>ANIL DEMİRTAŞ</t>
        </is>
      </c>
      <c r="E170" s="4" t="inlineStr">
        <is>
          <t>Pazartesi</t>
        </is>
      </c>
      <c r="F170" s="4" t="inlineStr">
        <is>
          <t>19.10.2026</t>
        </is>
      </c>
      <c r="G170" s="4" t="inlineStr">
        <is>
          <t>15:48</t>
        </is>
      </c>
      <c r="H170" s="4" t="inlineStr">
        <is>
          <t>19.10.2026</t>
        </is>
      </c>
      <c r="I170" s="4" t="inlineStr">
        <is>
          <t>23:58</t>
        </is>
      </c>
      <c r="J170" s="8" t="n">
        <v>7.5</v>
      </c>
      <c r="K170" s="8" t="n">
        <v>7.5</v>
      </c>
      <c r="L170" s="8" t="n">
        <v>0</v>
      </c>
      <c r="M170" s="29" t="inlineStr">
        <is>
          <t>GÖBEL</t>
        </is>
      </c>
    </row>
    <row r="171">
      <c r="A171" s="4" t="n">
        <v>170</v>
      </c>
      <c r="B171" s="4" t="inlineStr">
        <is>
          <t>00208</t>
        </is>
      </c>
      <c r="C171" s="4" t="inlineStr">
        <is>
          <t>00208</t>
        </is>
      </c>
      <c r="D171" s="29" t="inlineStr">
        <is>
          <t>ANIL DEMİRTAŞ</t>
        </is>
      </c>
      <c r="E171" s="4" t="inlineStr">
        <is>
          <t>Salı</t>
        </is>
      </c>
      <c r="F171" s="4" t="inlineStr">
        <is>
          <t>20.10.2026</t>
        </is>
      </c>
      <c r="G171" s="4" t="inlineStr">
        <is>
          <t>15:56</t>
        </is>
      </c>
      <c r="H171" s="4" t="inlineStr">
        <is>
          <t>20.10.2026</t>
        </is>
      </c>
      <c r="I171" s="4" t="inlineStr">
        <is>
          <t>00:13</t>
        </is>
      </c>
      <c r="J171" s="8" t="n">
        <v>7.5</v>
      </c>
      <c r="K171" s="8" t="n">
        <v>7.5</v>
      </c>
      <c r="L171" s="8" t="n">
        <v>0</v>
      </c>
      <c r="M171" s="29" t="inlineStr">
        <is>
          <t>GÖBEL</t>
        </is>
      </c>
    </row>
    <row r="172">
      <c r="A172" s="4" t="n">
        <v>171</v>
      </c>
      <c r="B172" s="4" t="inlineStr">
        <is>
          <t>00208</t>
        </is>
      </c>
      <c r="C172" s="4" t="inlineStr">
        <is>
          <t>00208</t>
        </is>
      </c>
      <c r="D172" s="29" t="inlineStr">
        <is>
          <t>ANIL DEMİRTAŞ</t>
        </is>
      </c>
      <c r="E172" s="4" t="inlineStr">
        <is>
          <t>Çarşamba</t>
        </is>
      </c>
      <c r="F172" s="4" t="inlineStr">
        <is>
          <t>21.10.2026</t>
        </is>
      </c>
      <c r="G172" s="4" t="inlineStr">
        <is>
          <t>15:46</t>
        </is>
      </c>
      <c r="H172" s="4" t="inlineStr">
        <is>
          <t>21.10.2026</t>
        </is>
      </c>
      <c r="I172" s="4" t="inlineStr">
        <is>
          <t>-</t>
        </is>
      </c>
      <c r="J172" s="8" t="n">
        <v>7.5</v>
      </c>
      <c r="K172" s="8" t="n">
        <v>7.5</v>
      </c>
      <c r="L172" s="8" t="n">
        <v>0</v>
      </c>
      <c r="M172" s="29" t="inlineStr">
        <is>
          <t>GÖBEL</t>
        </is>
      </c>
    </row>
    <row r="173">
      <c r="A173" s="4" t="n">
        <v>172</v>
      </c>
      <c r="B173" s="4" t="inlineStr">
        <is>
          <t>00247</t>
        </is>
      </c>
      <c r="C173" s="4" t="inlineStr">
        <is>
          <t>00247</t>
        </is>
      </c>
      <c r="D173" s="29" t="inlineStr">
        <is>
          <t>ANUD ELMEAŞİ</t>
        </is>
      </c>
      <c r="E173" s="4" t="inlineStr">
        <is>
          <t>Perşembe</t>
        </is>
      </c>
      <c r="F173" s="4" t="inlineStr">
        <is>
          <t>1.10.2026</t>
        </is>
      </c>
      <c r="G173" s="4" t="inlineStr">
        <is>
          <t>07:36</t>
        </is>
      </c>
      <c r="H173" s="4" t="inlineStr">
        <is>
          <t>1.10.2026</t>
        </is>
      </c>
      <c r="I173" s="4" t="inlineStr">
        <is>
          <t>17:32</t>
        </is>
      </c>
      <c r="J173" s="8" t="n">
        <v>8</v>
      </c>
      <c r="K173" s="8" t="n">
        <v>7.5</v>
      </c>
      <c r="L173" s="8" t="n">
        <v>0.5</v>
      </c>
      <c r="M173" s="29" t="inlineStr">
        <is>
          <t>GÜVEN TURİZM</t>
        </is>
      </c>
    </row>
    <row r="174">
      <c r="A174" s="4" t="n">
        <v>173</v>
      </c>
      <c r="B174" s="4" t="inlineStr">
        <is>
          <t>00247</t>
        </is>
      </c>
      <c r="C174" s="4" t="inlineStr">
        <is>
          <t>00247</t>
        </is>
      </c>
      <c r="D174" s="29" t="inlineStr">
        <is>
          <t>ANUD ELMEAŞİ</t>
        </is>
      </c>
      <c r="E174" s="4" t="inlineStr">
        <is>
          <t>Cumartesi</t>
        </is>
      </c>
      <c r="F174" s="4" t="inlineStr">
        <is>
          <t>3.10.2026</t>
        </is>
      </c>
      <c r="G174" s="4" t="inlineStr">
        <is>
          <t>07:36</t>
        </is>
      </c>
      <c r="H174" s="4" t="inlineStr">
        <is>
          <t>3.10.2026</t>
        </is>
      </c>
      <c r="I174" s="4" t="inlineStr">
        <is>
          <t>17:40</t>
        </is>
      </c>
      <c r="J174" s="8" t="n">
        <v>8</v>
      </c>
      <c r="K174" s="8" t="n">
        <v>7.5</v>
      </c>
      <c r="L174" s="8" t="n">
        <v>0.5</v>
      </c>
      <c r="M174" s="29" t="inlineStr">
        <is>
          <t>GÜVEN TURİZM</t>
        </is>
      </c>
    </row>
    <row r="175">
      <c r="A175" s="4" t="n">
        <v>174</v>
      </c>
      <c r="B175" s="4" t="inlineStr">
        <is>
          <t>00247</t>
        </is>
      </c>
      <c r="C175" s="4" t="inlineStr">
        <is>
          <t>00247</t>
        </is>
      </c>
      <c r="D175" s="29" t="inlineStr">
        <is>
          <t>ANUD ELMEAŞİ</t>
        </is>
      </c>
      <c r="E175" s="4" t="inlineStr">
        <is>
          <t>Pazartesi</t>
        </is>
      </c>
      <c r="F175" s="4" t="inlineStr">
        <is>
          <t>5.10.2026</t>
        </is>
      </c>
      <c r="G175" s="4" t="inlineStr">
        <is>
          <t>07:39</t>
        </is>
      </c>
      <c r="H175" s="4" t="inlineStr">
        <is>
          <t>5.10.2026</t>
        </is>
      </c>
      <c r="I175" s="4" t="inlineStr">
        <is>
          <t>17:07</t>
        </is>
      </c>
      <c r="J175" s="8" t="n">
        <v>7.5</v>
      </c>
      <c r="K175" s="8" t="n">
        <v>7.5</v>
      </c>
      <c r="L175" s="8" t="n">
        <v>0</v>
      </c>
      <c r="M175" s="29" t="inlineStr">
        <is>
          <t>GÜVEN TURİZM</t>
        </is>
      </c>
    </row>
    <row r="176">
      <c r="A176" s="4" t="n">
        <v>175</v>
      </c>
      <c r="B176" s="4" t="inlineStr">
        <is>
          <t>00247</t>
        </is>
      </c>
      <c r="C176" s="4" t="inlineStr">
        <is>
          <t>00247</t>
        </is>
      </c>
      <c r="D176" s="29" t="inlineStr">
        <is>
          <t>ANUD ELMEAŞİ</t>
        </is>
      </c>
      <c r="E176" s="4" t="inlineStr">
        <is>
          <t>Salı</t>
        </is>
      </c>
      <c r="F176" s="4" t="inlineStr">
        <is>
          <t>6.10.2026</t>
        </is>
      </c>
      <c r="G176" s="4" t="inlineStr">
        <is>
          <t>07:42</t>
        </is>
      </c>
      <c r="H176" s="4" t="inlineStr">
        <is>
          <t>6.10.2026</t>
        </is>
      </c>
      <c r="I176" s="4" t="inlineStr">
        <is>
          <t>17:44</t>
        </is>
      </c>
      <c r="J176" s="8" t="n">
        <v>8</v>
      </c>
      <c r="K176" s="8" t="n">
        <v>7.5</v>
      </c>
      <c r="L176" s="8" t="n">
        <v>0.5</v>
      </c>
      <c r="M176" s="29" t="inlineStr">
        <is>
          <t>GÜVEN TURİZM</t>
        </is>
      </c>
    </row>
    <row r="177">
      <c r="A177" s="4" t="n">
        <v>176</v>
      </c>
      <c r="B177" s="4" t="inlineStr">
        <is>
          <t>00247</t>
        </is>
      </c>
      <c r="C177" s="4" t="inlineStr">
        <is>
          <t>00247</t>
        </is>
      </c>
      <c r="D177" s="29" t="inlineStr">
        <is>
          <t>ANUD ELMEAŞİ</t>
        </is>
      </c>
      <c r="E177" s="4" t="inlineStr">
        <is>
          <t>Perşembe</t>
        </is>
      </c>
      <c r="F177" s="4" t="inlineStr">
        <is>
          <t>8.10.2026</t>
        </is>
      </c>
      <c r="G177" s="4" t="inlineStr">
        <is>
          <t>07:36</t>
        </is>
      </c>
      <c r="H177" s="4" t="inlineStr">
        <is>
          <t>8.10.2026</t>
        </is>
      </c>
      <c r="I177" s="4" t="inlineStr">
        <is>
          <t>17:38</t>
        </is>
      </c>
      <c r="J177" s="8" t="n">
        <v>8</v>
      </c>
      <c r="K177" s="8" t="n">
        <v>7.5</v>
      </c>
      <c r="L177" s="8" t="n">
        <v>0.5</v>
      </c>
      <c r="M177" s="29" t="inlineStr">
        <is>
          <t>GÜVEN TURİZM</t>
        </is>
      </c>
    </row>
    <row r="178">
      <c r="A178" s="4" t="n">
        <v>177</v>
      </c>
      <c r="B178" s="4" t="inlineStr">
        <is>
          <t>00247</t>
        </is>
      </c>
      <c r="C178" s="4" t="inlineStr">
        <is>
          <t>00247</t>
        </is>
      </c>
      <c r="D178" s="29" t="inlineStr">
        <is>
          <t>ANUD ELMEAŞİ</t>
        </is>
      </c>
      <c r="E178" s="4" t="inlineStr">
        <is>
          <t>Cuma</t>
        </is>
      </c>
      <c r="F178" s="4" t="inlineStr">
        <is>
          <t>9.10.2026</t>
        </is>
      </c>
      <c r="G178" s="4" t="inlineStr">
        <is>
          <t>07:38</t>
        </is>
      </c>
      <c r="H178" s="4" t="inlineStr">
        <is>
          <t>9.10.2026</t>
        </is>
      </c>
      <c r="I178" s="4" t="inlineStr">
        <is>
          <t>17:47</t>
        </is>
      </c>
      <c r="J178" s="8" t="n">
        <v>8.5</v>
      </c>
      <c r="K178" s="8" t="n">
        <v>7.5</v>
      </c>
      <c r="L178" s="8" t="n">
        <v>1</v>
      </c>
      <c r="M178" s="29" t="inlineStr">
        <is>
          <t>GÜVEN TURİZM</t>
        </is>
      </c>
    </row>
    <row r="179">
      <c r="A179" s="4" t="n">
        <v>178</v>
      </c>
      <c r="B179" s="4" t="inlineStr">
        <is>
          <t>00247</t>
        </is>
      </c>
      <c r="C179" s="4" t="inlineStr">
        <is>
          <t>00247</t>
        </is>
      </c>
      <c r="D179" s="29" t="inlineStr">
        <is>
          <t>ANUD ELMEAŞİ</t>
        </is>
      </c>
      <c r="E179" s="4" t="inlineStr">
        <is>
          <t>Pazartesi</t>
        </is>
      </c>
      <c r="F179" s="4" t="inlineStr">
        <is>
          <t>12.10.2026</t>
        </is>
      </c>
      <c r="G179" s="4" t="inlineStr">
        <is>
          <t>07:45</t>
        </is>
      </c>
      <c r="H179" s="4" t="inlineStr">
        <is>
          <t>12.10.2026</t>
        </is>
      </c>
      <c r="I179" s="4" t="inlineStr">
        <is>
          <t>17:05</t>
        </is>
      </c>
      <c r="J179" s="8" t="n">
        <v>7.5</v>
      </c>
      <c r="K179" s="8" t="n">
        <v>7.5</v>
      </c>
      <c r="L179" s="8" t="n">
        <v>0</v>
      </c>
      <c r="M179" s="29" t="inlineStr">
        <is>
          <t>GÜVEN TURİZM</t>
        </is>
      </c>
    </row>
    <row r="180">
      <c r="A180" s="4" t="n">
        <v>179</v>
      </c>
      <c r="B180" s="4" t="inlineStr">
        <is>
          <t>00247</t>
        </is>
      </c>
      <c r="C180" s="4" t="inlineStr">
        <is>
          <t>00247</t>
        </is>
      </c>
      <c r="D180" s="29" t="inlineStr">
        <is>
          <t>ANUD ELMEAŞİ</t>
        </is>
      </c>
      <c r="E180" s="4" t="inlineStr">
        <is>
          <t>Salı</t>
        </is>
      </c>
      <c r="F180" s="4" t="inlineStr">
        <is>
          <t>13.10.2026</t>
        </is>
      </c>
      <c r="G180" s="4" t="inlineStr">
        <is>
          <t>07:41</t>
        </is>
      </c>
      <c r="H180" s="4" t="inlineStr">
        <is>
          <t>13.10.2026</t>
        </is>
      </c>
      <c r="I180" s="4" t="inlineStr">
        <is>
          <t>17:03</t>
        </is>
      </c>
      <c r="J180" s="8" t="n">
        <v>7.5</v>
      </c>
      <c r="K180" s="8" t="n">
        <v>7.5</v>
      </c>
      <c r="L180" s="8" t="n">
        <v>0</v>
      </c>
      <c r="M180" s="29" t="inlineStr">
        <is>
          <t>GÜVEN TURİZM</t>
        </is>
      </c>
    </row>
    <row r="181">
      <c r="A181" s="4" t="n">
        <v>180</v>
      </c>
      <c r="B181" s="4" t="inlineStr">
        <is>
          <t>00247</t>
        </is>
      </c>
      <c r="C181" s="4" t="inlineStr">
        <is>
          <t>00247</t>
        </is>
      </c>
      <c r="D181" s="29" t="inlineStr">
        <is>
          <t>ANUD ELMEAŞİ</t>
        </is>
      </c>
      <c r="E181" s="4" t="inlineStr">
        <is>
          <t>Cumartesi</t>
        </is>
      </c>
      <c r="F181" s="4" t="inlineStr">
        <is>
          <t>17.10.2026</t>
        </is>
      </c>
      <c r="G181" s="4" t="inlineStr">
        <is>
          <t>07:38</t>
        </is>
      </c>
      <c r="H181" s="4" t="inlineStr">
        <is>
          <t>17.10.2026</t>
        </is>
      </c>
      <c r="I181" s="4" t="inlineStr">
        <is>
          <t>17:53</t>
        </is>
      </c>
      <c r="J181" s="8" t="n">
        <v>8.5</v>
      </c>
      <c r="K181" s="8" t="n">
        <v>7.5</v>
      </c>
      <c r="L181" s="8" t="n">
        <v>1</v>
      </c>
      <c r="M181" s="29" t="inlineStr">
        <is>
          <t>GÜVEN TURİZM</t>
        </is>
      </c>
    </row>
    <row r="182">
      <c r="A182" s="4" t="n">
        <v>181</v>
      </c>
      <c r="B182" s="4" t="inlineStr">
        <is>
          <t>00247</t>
        </is>
      </c>
      <c r="C182" s="4" t="inlineStr">
        <is>
          <t>00247</t>
        </is>
      </c>
      <c r="D182" s="29" t="inlineStr">
        <is>
          <t>ANUD ELMEAŞİ</t>
        </is>
      </c>
      <c r="E182" s="4" t="inlineStr">
        <is>
          <t>Pazartesi</t>
        </is>
      </c>
      <c r="F182" s="4" t="inlineStr">
        <is>
          <t>19.10.2026</t>
        </is>
      </c>
      <c r="G182" s="4" t="inlineStr">
        <is>
          <t>07:39</t>
        </is>
      </c>
      <c r="H182" s="4" t="inlineStr">
        <is>
          <t>19.10.2026</t>
        </is>
      </c>
      <c r="I182" s="4" t="inlineStr">
        <is>
          <t>17:46</t>
        </is>
      </c>
      <c r="J182" s="8" t="n">
        <v>8.5</v>
      </c>
      <c r="K182" s="8" t="n">
        <v>7.5</v>
      </c>
      <c r="L182" s="8" t="n">
        <v>1</v>
      </c>
      <c r="M182" s="29" t="inlineStr">
        <is>
          <t>GÜVEN TURİZM</t>
        </is>
      </c>
    </row>
    <row r="183">
      <c r="A183" s="4" t="n">
        <v>182</v>
      </c>
      <c r="B183" s="4" t="inlineStr">
        <is>
          <t>00247</t>
        </is>
      </c>
      <c r="C183" s="4" t="inlineStr">
        <is>
          <t>00247</t>
        </is>
      </c>
      <c r="D183" s="29" t="inlineStr">
        <is>
          <t>ANUD ELMEAŞİ</t>
        </is>
      </c>
      <c r="E183" s="4" t="inlineStr">
        <is>
          <t>Salı</t>
        </is>
      </c>
      <c r="F183" s="4" t="inlineStr">
        <is>
          <t>20.10.2026</t>
        </is>
      </c>
      <c r="G183" s="4" t="inlineStr">
        <is>
          <t>07:39</t>
        </is>
      </c>
      <c r="H183" s="4" t="inlineStr">
        <is>
          <t>20.10.2026</t>
        </is>
      </c>
      <c r="I183" s="4" t="inlineStr">
        <is>
          <t>17:02</t>
        </is>
      </c>
      <c r="J183" s="8" t="n">
        <v>7.5</v>
      </c>
      <c r="K183" s="8" t="n">
        <v>7.5</v>
      </c>
      <c r="L183" s="8" t="n">
        <v>0</v>
      </c>
      <c r="M183" s="29" t="inlineStr">
        <is>
          <t>GÜVEN TURİZM</t>
        </is>
      </c>
    </row>
    <row r="184">
      <c r="A184" s="4" t="n">
        <v>183</v>
      </c>
      <c r="B184" s="4" t="inlineStr">
        <is>
          <t>00308</t>
        </is>
      </c>
      <c r="C184" s="4" t="inlineStr">
        <is>
          <t>00308</t>
        </is>
      </c>
      <c r="D184" s="29" t="inlineStr">
        <is>
          <t>ARZU KILA</t>
        </is>
      </c>
      <c r="E184" s="4" t="inlineStr">
        <is>
          <t>Perşembe</t>
        </is>
      </c>
      <c r="F184" s="4" t="inlineStr">
        <is>
          <t>1.10.2026</t>
        </is>
      </c>
      <c r="G184" s="4" t="inlineStr">
        <is>
          <t>07:55</t>
        </is>
      </c>
      <c r="H184" s="4" t="inlineStr">
        <is>
          <t>1.10.2026</t>
        </is>
      </c>
      <c r="I184" s="4" t="inlineStr">
        <is>
          <t>17:08</t>
        </is>
      </c>
      <c r="J184" s="8" t="n">
        <v>7.5</v>
      </c>
      <c r="K184" s="8" t="n">
        <v>7.5</v>
      </c>
      <c r="L184" s="8" t="n">
        <v>0</v>
      </c>
      <c r="M184" s="29" t="inlineStr">
        <is>
          <t>BİGADİÇ</t>
        </is>
      </c>
    </row>
    <row r="185">
      <c r="A185" s="4" t="n">
        <v>184</v>
      </c>
      <c r="B185" s="4" t="inlineStr">
        <is>
          <t>00308</t>
        </is>
      </c>
      <c r="C185" s="4" t="inlineStr">
        <is>
          <t>00308</t>
        </is>
      </c>
      <c r="D185" s="29" t="inlineStr">
        <is>
          <t>ARZU KILA</t>
        </is>
      </c>
      <c r="E185" s="4" t="inlineStr">
        <is>
          <t>Cuma</t>
        </is>
      </c>
      <c r="F185" s="4" t="inlineStr">
        <is>
          <t>2.10.2026</t>
        </is>
      </c>
      <c r="G185" s="4" t="inlineStr">
        <is>
          <t>07:55</t>
        </is>
      </c>
      <c r="H185" s="4" t="inlineStr">
        <is>
          <t>2.10.2026</t>
        </is>
      </c>
      <c r="I185" s="4" t="inlineStr">
        <is>
          <t>17:05</t>
        </is>
      </c>
      <c r="J185" s="8" t="n">
        <v>7.5</v>
      </c>
      <c r="K185" s="8" t="n">
        <v>7.5</v>
      </c>
      <c r="L185" s="8" t="n">
        <v>0</v>
      </c>
      <c r="M185" s="29" t="inlineStr">
        <is>
          <t>BİGADİÇ</t>
        </is>
      </c>
    </row>
    <row r="186">
      <c r="A186" s="4" t="n">
        <v>185</v>
      </c>
      <c r="B186" s="4" t="inlineStr">
        <is>
          <t>00308</t>
        </is>
      </c>
      <c r="C186" s="4" t="inlineStr">
        <is>
          <t>00308</t>
        </is>
      </c>
      <c r="D186" s="29" t="inlineStr">
        <is>
          <t>ARZU KILA</t>
        </is>
      </c>
      <c r="E186" s="4" t="inlineStr">
        <is>
          <t>Cumartesi</t>
        </is>
      </c>
      <c r="F186" s="4" t="inlineStr">
        <is>
          <t>3.10.2026</t>
        </is>
      </c>
      <c r="G186" s="4" t="inlineStr">
        <is>
          <t>07:35</t>
        </is>
      </c>
      <c r="H186" s="4" t="inlineStr">
        <is>
          <t>3.10.2026</t>
        </is>
      </c>
      <c r="I186" s="4" t="inlineStr">
        <is>
          <t>17:06</t>
        </is>
      </c>
      <c r="J186" s="8" t="n">
        <v>7.5</v>
      </c>
      <c r="K186" s="8" t="n">
        <v>7.5</v>
      </c>
      <c r="L186" s="8" t="n">
        <v>0</v>
      </c>
      <c r="M186" s="29" t="inlineStr">
        <is>
          <t>BİGADİÇ</t>
        </is>
      </c>
    </row>
    <row r="187">
      <c r="A187" s="4" t="n">
        <v>186</v>
      </c>
      <c r="B187" s="4" t="inlineStr">
        <is>
          <t>00308</t>
        </is>
      </c>
      <c r="C187" s="4" t="inlineStr">
        <is>
          <t>00308</t>
        </is>
      </c>
      <c r="D187" s="29" t="inlineStr">
        <is>
          <t>ARZU KILA</t>
        </is>
      </c>
      <c r="E187" s="4" t="inlineStr">
        <is>
          <t>Pazartesi</t>
        </is>
      </c>
      <c r="F187" s="4" t="inlineStr">
        <is>
          <t>5.10.2026</t>
        </is>
      </c>
      <c r="G187" s="4" t="inlineStr">
        <is>
          <t>07:55</t>
        </is>
      </c>
      <c r="H187" s="4" t="inlineStr">
        <is>
          <t>5.10.2026</t>
        </is>
      </c>
      <c r="I187" s="4" t="inlineStr">
        <is>
          <t>17:08</t>
        </is>
      </c>
      <c r="J187" s="8" t="n">
        <v>7.5</v>
      </c>
      <c r="K187" s="8" t="n">
        <v>7.5</v>
      </c>
      <c r="L187" s="8" t="n">
        <v>0</v>
      </c>
      <c r="M187" s="29" t="inlineStr">
        <is>
          <t>BİGADİÇ</t>
        </is>
      </c>
    </row>
    <row r="188">
      <c r="A188" s="4" t="n">
        <v>187</v>
      </c>
      <c r="B188" s="4" t="inlineStr">
        <is>
          <t>00308</t>
        </is>
      </c>
      <c r="C188" s="4" t="inlineStr">
        <is>
          <t>00308</t>
        </is>
      </c>
      <c r="D188" s="29" t="inlineStr">
        <is>
          <t>ARZU KILA</t>
        </is>
      </c>
      <c r="E188" s="4" t="inlineStr">
        <is>
          <t>Salı</t>
        </is>
      </c>
      <c r="F188" s="4" t="inlineStr">
        <is>
          <t>6.10.2026</t>
        </is>
      </c>
      <c r="G188" s="4" t="inlineStr">
        <is>
          <t>07:54</t>
        </is>
      </c>
      <c r="H188" s="4" t="inlineStr">
        <is>
          <t>6.10.2026</t>
        </is>
      </c>
      <c r="I188" s="4" t="inlineStr">
        <is>
          <t>17:08</t>
        </is>
      </c>
      <c r="J188" s="8" t="n">
        <v>7.5</v>
      </c>
      <c r="K188" s="8" t="n">
        <v>7.5</v>
      </c>
      <c r="L188" s="8" t="n">
        <v>0</v>
      </c>
      <c r="M188" s="29" t="inlineStr">
        <is>
          <t>BİGADİÇ</t>
        </is>
      </c>
    </row>
    <row r="189">
      <c r="A189" s="4" t="n">
        <v>188</v>
      </c>
      <c r="B189" s="4" t="inlineStr">
        <is>
          <t>00308</t>
        </is>
      </c>
      <c r="C189" s="4" t="inlineStr">
        <is>
          <t>00308</t>
        </is>
      </c>
      <c r="D189" s="29" t="inlineStr">
        <is>
          <t>ARZU KILA</t>
        </is>
      </c>
      <c r="E189" s="4" t="inlineStr">
        <is>
          <t>Çarşamba</t>
        </is>
      </c>
      <c r="F189" s="4" t="inlineStr">
        <is>
          <t>7.10.2026</t>
        </is>
      </c>
      <c r="G189" s="4" t="inlineStr">
        <is>
          <t>07:58</t>
        </is>
      </c>
      <c r="H189" s="4" t="inlineStr">
        <is>
          <t>7.10.2026</t>
        </is>
      </c>
      <c r="I189" s="4" t="inlineStr">
        <is>
          <t>17:10</t>
        </is>
      </c>
      <c r="J189" s="8" t="n">
        <v>7.5</v>
      </c>
      <c r="K189" s="8" t="n">
        <v>7.5</v>
      </c>
      <c r="L189" s="8" t="n">
        <v>0</v>
      </c>
      <c r="M189" s="29" t="inlineStr">
        <is>
          <t>BİGADİÇ</t>
        </is>
      </c>
    </row>
    <row r="190">
      <c r="A190" s="4" t="n">
        <v>189</v>
      </c>
      <c r="B190" s="4" t="inlineStr">
        <is>
          <t>00308</t>
        </is>
      </c>
      <c r="C190" s="4" t="inlineStr">
        <is>
          <t>00308</t>
        </is>
      </c>
      <c r="D190" s="29" t="inlineStr">
        <is>
          <t>ARZU KILA</t>
        </is>
      </c>
      <c r="E190" s="4" t="inlineStr">
        <is>
          <t>Perşembe</t>
        </is>
      </c>
      <c r="F190" s="4" t="inlineStr">
        <is>
          <t>8.10.2026</t>
        </is>
      </c>
      <c r="G190" s="4" t="inlineStr">
        <is>
          <t>07:59</t>
        </is>
      </c>
      <c r="H190" s="4" t="inlineStr">
        <is>
          <t>8.10.2026</t>
        </is>
      </c>
      <c r="I190" s="4" t="inlineStr">
        <is>
          <t>17:10</t>
        </is>
      </c>
      <c r="J190" s="8" t="n">
        <v>7.5</v>
      </c>
      <c r="K190" s="8" t="n">
        <v>7.5</v>
      </c>
      <c r="L190" s="8" t="n">
        <v>0</v>
      </c>
      <c r="M190" s="29" t="inlineStr">
        <is>
          <t>BİGADİÇ</t>
        </is>
      </c>
    </row>
    <row r="191">
      <c r="A191" s="4" t="n">
        <v>190</v>
      </c>
      <c r="B191" s="4" t="inlineStr">
        <is>
          <t>00308</t>
        </is>
      </c>
      <c r="C191" s="4" t="inlineStr">
        <is>
          <t>00308</t>
        </is>
      </c>
      <c r="D191" s="29" t="inlineStr">
        <is>
          <t>ARZU KILA</t>
        </is>
      </c>
      <c r="E191" s="4" t="inlineStr">
        <is>
          <t>Cumartesi</t>
        </is>
      </c>
      <c r="F191" s="4" t="inlineStr">
        <is>
          <t>10.10.2026</t>
        </is>
      </c>
      <c r="G191" s="4" t="inlineStr">
        <is>
          <t>07:54</t>
        </is>
      </c>
      <c r="H191" s="4" t="inlineStr">
        <is>
          <t>10.10.2026</t>
        </is>
      </c>
      <c r="I191" s="4" t="inlineStr">
        <is>
          <t>17:10</t>
        </is>
      </c>
      <c r="J191" s="8" t="n">
        <v>7.5</v>
      </c>
      <c r="K191" s="8" t="n">
        <v>7.5</v>
      </c>
      <c r="L191" s="8" t="n">
        <v>0</v>
      </c>
      <c r="M191" s="29" t="inlineStr">
        <is>
          <t>BİGADİÇ</t>
        </is>
      </c>
    </row>
    <row r="192">
      <c r="A192" s="4" t="n">
        <v>191</v>
      </c>
      <c r="B192" s="4" t="inlineStr">
        <is>
          <t>00308</t>
        </is>
      </c>
      <c r="C192" s="4" t="inlineStr">
        <is>
          <t>00308</t>
        </is>
      </c>
      <c r="D192" s="29" t="inlineStr">
        <is>
          <t>ARZU KILA</t>
        </is>
      </c>
      <c r="E192" s="4" t="inlineStr">
        <is>
          <t>Pazartesi</t>
        </is>
      </c>
      <c r="F192" s="4" t="inlineStr">
        <is>
          <t>12.10.2026</t>
        </is>
      </c>
      <c r="G192" s="4" t="inlineStr">
        <is>
          <t>07:57</t>
        </is>
      </c>
      <c r="H192" s="4" t="inlineStr">
        <is>
          <t>12.10.2026</t>
        </is>
      </c>
      <c r="I192" s="4" t="inlineStr">
        <is>
          <t>18:10</t>
        </is>
      </c>
      <c r="J192" s="8" t="n">
        <v>8.5</v>
      </c>
      <c r="K192" s="8" t="n">
        <v>7.5</v>
      </c>
      <c r="L192" s="8" t="n">
        <v>1</v>
      </c>
      <c r="M192" s="29" t="inlineStr">
        <is>
          <t>BİGADİÇ</t>
        </is>
      </c>
    </row>
    <row r="193">
      <c r="A193" s="4" t="n">
        <v>192</v>
      </c>
      <c r="B193" s="4" t="inlineStr">
        <is>
          <t>00308</t>
        </is>
      </c>
      <c r="C193" s="4" t="inlineStr">
        <is>
          <t>00308</t>
        </is>
      </c>
      <c r="D193" s="29" t="inlineStr">
        <is>
          <t>ARZU KILA</t>
        </is>
      </c>
      <c r="E193" s="4" t="inlineStr">
        <is>
          <t>Salı</t>
        </is>
      </c>
      <c r="F193" s="4" t="inlineStr">
        <is>
          <t>13.10.2026</t>
        </is>
      </c>
      <c r="G193" s="4" t="inlineStr">
        <is>
          <t>07:54</t>
        </is>
      </c>
      <c r="H193" s="4" t="inlineStr">
        <is>
          <t>13.10.2026</t>
        </is>
      </c>
      <c r="I193" s="4" t="inlineStr">
        <is>
          <t>17:08</t>
        </is>
      </c>
      <c r="J193" s="8" t="n">
        <v>7.5</v>
      </c>
      <c r="K193" s="8" t="n">
        <v>7.5</v>
      </c>
      <c r="L193" s="8" t="n">
        <v>0</v>
      </c>
      <c r="M193" s="29" t="inlineStr">
        <is>
          <t>BİGADİÇ</t>
        </is>
      </c>
    </row>
    <row r="194">
      <c r="A194" s="4" t="n">
        <v>193</v>
      </c>
      <c r="B194" s="4" t="inlineStr">
        <is>
          <t>00308</t>
        </is>
      </c>
      <c r="C194" s="4" t="inlineStr">
        <is>
          <t>00308</t>
        </is>
      </c>
      <c r="D194" s="29" t="inlineStr">
        <is>
          <t>ARZU KILA</t>
        </is>
      </c>
      <c r="E194" s="4" t="inlineStr">
        <is>
          <t>Çarşamba</t>
        </is>
      </c>
      <c r="F194" s="4" t="inlineStr">
        <is>
          <t>14.10.2026</t>
        </is>
      </c>
      <c r="G194" s="4" t="inlineStr">
        <is>
          <t>07:59</t>
        </is>
      </c>
      <c r="H194" s="4" t="inlineStr">
        <is>
          <t>14.10.2026</t>
        </is>
      </c>
      <c r="I194" s="4" t="inlineStr">
        <is>
          <t>17:10</t>
        </is>
      </c>
      <c r="J194" s="8" t="n">
        <v>7.5</v>
      </c>
      <c r="K194" s="8" t="n">
        <v>7.5</v>
      </c>
      <c r="L194" s="8" t="n">
        <v>0</v>
      </c>
      <c r="M194" s="29" t="inlineStr">
        <is>
          <t>BİGADİÇ</t>
        </is>
      </c>
    </row>
    <row r="195">
      <c r="A195" s="4" t="n">
        <v>194</v>
      </c>
      <c r="B195" s="4" t="inlineStr">
        <is>
          <t>00308</t>
        </is>
      </c>
      <c r="C195" s="4" t="inlineStr">
        <is>
          <t>00308</t>
        </is>
      </c>
      <c r="D195" s="29" t="inlineStr">
        <is>
          <t>ARZU KILA</t>
        </is>
      </c>
      <c r="E195" s="4" t="inlineStr">
        <is>
          <t>Perşembe</t>
        </is>
      </c>
      <c r="F195" s="4" t="inlineStr">
        <is>
          <t>15.10.2026</t>
        </is>
      </c>
      <c r="G195" s="4" t="inlineStr">
        <is>
          <t>08:01</t>
        </is>
      </c>
      <c r="H195" s="4" t="inlineStr">
        <is>
          <t>15.10.2026</t>
        </is>
      </c>
      <c r="I195" s="4" t="inlineStr">
        <is>
          <t>17:20</t>
        </is>
      </c>
      <c r="J195" s="8" t="n">
        <v>7.5</v>
      </c>
      <c r="K195" s="8" t="n">
        <v>7.5</v>
      </c>
      <c r="L195" s="8" t="n">
        <v>0</v>
      </c>
      <c r="M195" s="29" t="inlineStr">
        <is>
          <t>BİGADİÇ</t>
        </is>
      </c>
    </row>
    <row r="196">
      <c r="A196" s="4" t="n">
        <v>195</v>
      </c>
      <c r="B196" s="4" t="inlineStr">
        <is>
          <t>00308</t>
        </is>
      </c>
      <c r="C196" s="4" t="inlineStr">
        <is>
          <t>00308</t>
        </is>
      </c>
      <c r="D196" s="29" t="inlineStr">
        <is>
          <t>ARZU KILA</t>
        </is>
      </c>
      <c r="E196" s="4" t="inlineStr">
        <is>
          <t>Cuma</t>
        </is>
      </c>
      <c r="F196" s="4" t="inlineStr">
        <is>
          <t>16.10.2026</t>
        </is>
      </c>
      <c r="G196" s="4" t="inlineStr">
        <is>
          <t>07:54</t>
        </is>
      </c>
      <c r="H196" s="4" t="inlineStr">
        <is>
          <t>16.10.2026</t>
        </is>
      </c>
      <c r="I196" s="4" t="inlineStr">
        <is>
          <t>17:12</t>
        </is>
      </c>
      <c r="J196" s="8" t="n">
        <v>7.5</v>
      </c>
      <c r="K196" s="8" t="n">
        <v>7.5</v>
      </c>
      <c r="L196" s="8" t="n">
        <v>0</v>
      </c>
      <c r="M196" s="29" t="inlineStr">
        <is>
          <t>BİGADİÇ</t>
        </is>
      </c>
    </row>
    <row r="197">
      <c r="A197" s="4" t="n">
        <v>196</v>
      </c>
      <c r="B197" s="4" t="inlineStr">
        <is>
          <t>00308</t>
        </is>
      </c>
      <c r="C197" s="4" t="inlineStr">
        <is>
          <t>00308</t>
        </is>
      </c>
      <c r="D197" s="29" t="inlineStr">
        <is>
          <t>ARZU KILA</t>
        </is>
      </c>
      <c r="E197" s="4" t="inlineStr">
        <is>
          <t>Pazar</t>
        </is>
      </c>
      <c r="F197" s="4" t="inlineStr">
        <is>
          <t>18.10.2026</t>
        </is>
      </c>
      <c r="G197" s="4" t="inlineStr">
        <is>
          <t>08:10</t>
        </is>
      </c>
      <c r="H197" s="4" t="inlineStr">
        <is>
          <t>18.10.2026</t>
        </is>
      </c>
      <c r="I197" s="4" t="inlineStr">
        <is>
          <t>17:08</t>
        </is>
      </c>
      <c r="J197" s="8" t="n">
        <v>7.5</v>
      </c>
      <c r="K197" s="8" t="n">
        <v>7.5</v>
      </c>
      <c r="L197" s="8" t="n">
        <v>0</v>
      </c>
      <c r="M197" s="29" t="inlineStr">
        <is>
          <t>BİGADİÇ</t>
        </is>
      </c>
    </row>
    <row r="198">
      <c r="A198" s="4" t="n">
        <v>197</v>
      </c>
      <c r="B198" s="4" t="inlineStr">
        <is>
          <t>00308</t>
        </is>
      </c>
      <c r="C198" s="4" t="inlineStr">
        <is>
          <t>00308</t>
        </is>
      </c>
      <c r="D198" s="29" t="inlineStr">
        <is>
          <t>ARZU KILA</t>
        </is>
      </c>
      <c r="E198" s="4" t="inlineStr">
        <is>
          <t>Pazartesi</t>
        </is>
      </c>
      <c r="F198" s="4" t="inlineStr">
        <is>
          <t>19.10.2026</t>
        </is>
      </c>
      <c r="G198" s="4" t="inlineStr">
        <is>
          <t>07:54</t>
        </is>
      </c>
      <c r="H198" s="4" t="inlineStr">
        <is>
          <t>19.10.2026</t>
        </is>
      </c>
      <c r="I198" s="4" t="inlineStr">
        <is>
          <t>17:11</t>
        </is>
      </c>
      <c r="J198" s="8" t="n">
        <v>7.5</v>
      </c>
      <c r="K198" s="8" t="n">
        <v>7.5</v>
      </c>
      <c r="L198" s="8" t="n">
        <v>0</v>
      </c>
      <c r="M198" s="29" t="inlineStr">
        <is>
          <t>BİGADİÇ</t>
        </is>
      </c>
    </row>
    <row r="199">
      <c r="A199" s="4" t="n">
        <v>198</v>
      </c>
      <c r="B199" s="4" t="inlineStr">
        <is>
          <t>00308</t>
        </is>
      </c>
      <c r="C199" s="4" t="inlineStr">
        <is>
          <t>00308</t>
        </is>
      </c>
      <c r="D199" s="29" t="inlineStr">
        <is>
          <t>ARZU KILA</t>
        </is>
      </c>
      <c r="E199" s="4" t="inlineStr">
        <is>
          <t>Salı</t>
        </is>
      </c>
      <c r="F199" s="4" t="inlineStr">
        <is>
          <t>20.10.2026</t>
        </is>
      </c>
      <c r="G199" s="4" t="inlineStr">
        <is>
          <t>08:18</t>
        </is>
      </c>
      <c r="H199" s="4" t="inlineStr">
        <is>
          <t>20.10.2026</t>
        </is>
      </c>
      <c r="I199" s="4" t="inlineStr">
        <is>
          <t>17:18</t>
        </is>
      </c>
      <c r="J199" s="8" t="n">
        <v>7.5</v>
      </c>
      <c r="K199" s="8" t="n">
        <v>7.5</v>
      </c>
      <c r="L199" s="8" t="n">
        <v>0</v>
      </c>
      <c r="M199" s="29" t="inlineStr">
        <is>
          <t>BİGADİÇ</t>
        </is>
      </c>
    </row>
    <row r="200">
      <c r="A200" s="4" t="n">
        <v>199</v>
      </c>
      <c r="B200" s="4" t="inlineStr">
        <is>
          <t>00308</t>
        </is>
      </c>
      <c r="C200" s="4" t="inlineStr">
        <is>
          <t>00308</t>
        </is>
      </c>
      <c r="D200" s="29" t="inlineStr">
        <is>
          <t>ARZU KILA</t>
        </is>
      </c>
      <c r="E200" s="4" t="inlineStr">
        <is>
          <t>Çarşamba</t>
        </is>
      </c>
      <c r="F200" s="4" t="inlineStr">
        <is>
          <t>21.10.2026</t>
        </is>
      </c>
      <c r="G200" s="4" t="inlineStr">
        <is>
          <t>08:00</t>
        </is>
      </c>
      <c r="H200" s="4" t="inlineStr">
        <is>
          <t>21.10.2026</t>
        </is>
      </c>
      <c r="I200" s="4" t="inlineStr">
        <is>
          <t>17:07</t>
        </is>
      </c>
      <c r="J200" s="8" t="n">
        <v>7.5</v>
      </c>
      <c r="K200" s="8" t="n">
        <v>7.5</v>
      </c>
      <c r="L200" s="8" t="n">
        <v>0</v>
      </c>
      <c r="M200" s="29" t="inlineStr">
        <is>
          <t>BİGADİÇ</t>
        </is>
      </c>
    </row>
    <row r="201">
      <c r="A201" s="4" t="n">
        <v>200</v>
      </c>
      <c r="B201" s="4" t="inlineStr">
        <is>
          <t>01357</t>
        </is>
      </c>
      <c r="C201" s="4" t="inlineStr">
        <is>
          <t>01357</t>
        </is>
      </c>
      <c r="D201" s="29" t="inlineStr">
        <is>
          <t>ARZU ÖZTÜRK</t>
        </is>
      </c>
      <c r="E201" s="4" t="inlineStr">
        <is>
          <t>Cuma</t>
        </is>
      </c>
      <c r="F201" s="4" t="inlineStr">
        <is>
          <t>2.10.2026</t>
        </is>
      </c>
      <c r="G201" s="4" t="inlineStr">
        <is>
          <t>07:55</t>
        </is>
      </c>
      <c r="H201" s="4" t="inlineStr">
        <is>
          <t>2.10.2026</t>
        </is>
      </c>
      <c r="I201" s="4" t="inlineStr">
        <is>
          <t>17:53</t>
        </is>
      </c>
      <c r="J201" s="8" t="n">
        <v>8.5</v>
      </c>
      <c r="K201" s="8" t="n">
        <v>7.5</v>
      </c>
      <c r="L201" s="8" t="n">
        <v>1</v>
      </c>
      <c r="M201" s="29" t="inlineStr">
        <is>
          <t>GÜVEN MUSTAFAKEMALPAŞA</t>
        </is>
      </c>
    </row>
    <row r="202">
      <c r="A202" s="4" t="n">
        <v>201</v>
      </c>
      <c r="B202" s="4" t="inlineStr">
        <is>
          <t>01357</t>
        </is>
      </c>
      <c r="C202" s="4" t="inlineStr">
        <is>
          <t>01357</t>
        </is>
      </c>
      <c r="D202" s="29" t="inlineStr">
        <is>
          <t>ARZU ÖZTÜRK</t>
        </is>
      </c>
      <c r="E202" s="4" t="inlineStr">
        <is>
          <t>Cumartesi</t>
        </is>
      </c>
      <c r="F202" s="4" t="inlineStr">
        <is>
          <t>3.10.2026</t>
        </is>
      </c>
      <c r="G202" s="4" t="inlineStr">
        <is>
          <t>07:50</t>
        </is>
      </c>
      <c r="H202" s="4" t="inlineStr">
        <is>
          <t>3.10.2026</t>
        </is>
      </c>
      <c r="I202" s="4" t="inlineStr">
        <is>
          <t>17:43</t>
        </is>
      </c>
      <c r="J202" s="8" t="n">
        <v>8</v>
      </c>
      <c r="K202" s="8" t="n">
        <v>7.5</v>
      </c>
      <c r="L202" s="8" t="n">
        <v>0.5</v>
      </c>
      <c r="M202" s="29" t="inlineStr">
        <is>
          <t>GÜVEN MUSTAFAKEMALPAŞA</t>
        </is>
      </c>
    </row>
    <row r="203">
      <c r="A203" s="4" t="n">
        <v>202</v>
      </c>
      <c r="B203" s="4" t="inlineStr">
        <is>
          <t>01357</t>
        </is>
      </c>
      <c r="C203" s="4" t="inlineStr">
        <is>
          <t>01357</t>
        </is>
      </c>
      <c r="D203" s="29" t="inlineStr">
        <is>
          <t>ARZU ÖZTÜRK</t>
        </is>
      </c>
      <c r="E203" s="4" t="inlineStr">
        <is>
          <t>Pazartesi</t>
        </is>
      </c>
      <c r="F203" s="4" t="inlineStr">
        <is>
          <t>5.10.2026</t>
        </is>
      </c>
      <c r="G203" s="4" t="inlineStr">
        <is>
          <t>07:50</t>
        </is>
      </c>
      <c r="H203" s="4" t="inlineStr">
        <is>
          <t>5.10.2026</t>
        </is>
      </c>
      <c r="I203" s="4" t="inlineStr">
        <is>
          <t>17:08</t>
        </is>
      </c>
      <c r="J203" s="8" t="n">
        <v>7.5</v>
      </c>
      <c r="K203" s="8" t="n">
        <v>7.5</v>
      </c>
      <c r="L203" s="8" t="n">
        <v>0</v>
      </c>
      <c r="M203" s="29" t="inlineStr">
        <is>
          <t>GÜVEN MUSTAFAKEMALPAŞA</t>
        </is>
      </c>
    </row>
    <row r="204">
      <c r="A204" s="4" t="n">
        <v>203</v>
      </c>
      <c r="B204" s="4" t="inlineStr">
        <is>
          <t>01357</t>
        </is>
      </c>
      <c r="C204" s="4" t="inlineStr">
        <is>
          <t>01357</t>
        </is>
      </c>
      <c r="D204" s="29" t="inlineStr">
        <is>
          <t>ARZU ÖZTÜRK</t>
        </is>
      </c>
      <c r="E204" s="4" t="inlineStr">
        <is>
          <t>Salı</t>
        </is>
      </c>
      <c r="F204" s="4" t="inlineStr">
        <is>
          <t>6.10.2026</t>
        </is>
      </c>
      <c r="G204" s="4" t="inlineStr">
        <is>
          <t>07:59</t>
        </is>
      </c>
      <c r="H204" s="4" t="inlineStr">
        <is>
          <t>6.10.2026</t>
        </is>
      </c>
      <c r="I204" s="4" t="inlineStr">
        <is>
          <t>17:45</t>
        </is>
      </c>
      <c r="J204" s="8" t="n">
        <v>8.5</v>
      </c>
      <c r="K204" s="8" t="n">
        <v>7.5</v>
      </c>
      <c r="L204" s="8" t="n">
        <v>1</v>
      </c>
      <c r="M204" s="29" t="inlineStr">
        <is>
          <t>GÜVEN MUSTAFAKEMALPAŞA</t>
        </is>
      </c>
    </row>
    <row r="205">
      <c r="A205" s="4" t="n">
        <v>204</v>
      </c>
      <c r="B205" s="4" t="inlineStr">
        <is>
          <t>01357</t>
        </is>
      </c>
      <c r="C205" s="4" t="inlineStr">
        <is>
          <t>01357</t>
        </is>
      </c>
      <c r="D205" s="29" t="inlineStr">
        <is>
          <t>ARZU ÖZTÜRK</t>
        </is>
      </c>
      <c r="E205" s="4" t="inlineStr">
        <is>
          <t>Çarşamba</t>
        </is>
      </c>
      <c r="F205" s="4" t="inlineStr">
        <is>
          <t>7.10.2026</t>
        </is>
      </c>
      <c r="G205" s="4" t="inlineStr">
        <is>
          <t>07:54</t>
        </is>
      </c>
      <c r="H205" s="4" t="inlineStr">
        <is>
          <t>7.10.2026</t>
        </is>
      </c>
      <c r="I205" s="4" t="inlineStr">
        <is>
          <t>17:28</t>
        </is>
      </c>
      <c r="J205" s="8" t="n">
        <v>8</v>
      </c>
      <c r="K205" s="8" t="n">
        <v>7.5</v>
      </c>
      <c r="L205" s="8" t="n">
        <v>0.5</v>
      </c>
      <c r="M205" s="29" t="inlineStr">
        <is>
          <t>GÜVEN MUSTAFAKEMALPAŞA</t>
        </is>
      </c>
    </row>
    <row r="206">
      <c r="A206" s="4" t="n">
        <v>205</v>
      </c>
      <c r="B206" s="4" t="inlineStr">
        <is>
          <t>01357</t>
        </is>
      </c>
      <c r="C206" s="4" t="inlineStr">
        <is>
          <t>01357</t>
        </is>
      </c>
      <c r="D206" s="29" t="inlineStr">
        <is>
          <t>ARZU ÖZTÜRK</t>
        </is>
      </c>
      <c r="E206" s="4" t="inlineStr">
        <is>
          <t>Perşembe</t>
        </is>
      </c>
      <c r="F206" s="4" t="inlineStr">
        <is>
          <t>8.10.2026</t>
        </is>
      </c>
      <c r="G206" s="4" t="inlineStr">
        <is>
          <t>07:55</t>
        </is>
      </c>
      <c r="H206" s="4" t="inlineStr">
        <is>
          <t>8.10.2026</t>
        </is>
      </c>
      <c r="I206" s="4" t="inlineStr">
        <is>
          <t>17:38</t>
        </is>
      </c>
      <c r="J206" s="8" t="n">
        <v>8</v>
      </c>
      <c r="K206" s="8" t="n">
        <v>7.5</v>
      </c>
      <c r="L206" s="8" t="n">
        <v>0.5</v>
      </c>
      <c r="M206" s="29" t="inlineStr">
        <is>
          <t>GÜVEN MUSTAFAKEMALPAŞA</t>
        </is>
      </c>
    </row>
    <row r="207">
      <c r="A207" s="4" t="n">
        <v>206</v>
      </c>
      <c r="B207" s="4" t="inlineStr">
        <is>
          <t>01357</t>
        </is>
      </c>
      <c r="C207" s="4" t="inlineStr">
        <is>
          <t>01357</t>
        </is>
      </c>
      <c r="D207" s="29" t="inlineStr">
        <is>
          <t>ARZU ÖZTÜRK</t>
        </is>
      </c>
      <c r="E207" s="4" t="inlineStr">
        <is>
          <t>Cuma</t>
        </is>
      </c>
      <c r="F207" s="4" t="inlineStr">
        <is>
          <t>9.10.2026</t>
        </is>
      </c>
      <c r="G207" s="4" t="inlineStr">
        <is>
          <t>07:52</t>
        </is>
      </c>
      <c r="H207" s="4" t="inlineStr">
        <is>
          <t>9.10.2026</t>
        </is>
      </c>
      <c r="I207" s="4" t="inlineStr">
        <is>
          <t>17:48</t>
        </is>
      </c>
      <c r="J207" s="8" t="n">
        <v>8.5</v>
      </c>
      <c r="K207" s="8" t="n">
        <v>7.5</v>
      </c>
      <c r="L207" s="8" t="n">
        <v>1</v>
      </c>
      <c r="M207" s="29" t="inlineStr">
        <is>
          <t>GÜVEN MUSTAFAKEMALPAŞA</t>
        </is>
      </c>
    </row>
    <row r="208">
      <c r="A208" s="4" t="n">
        <v>207</v>
      </c>
      <c r="B208" s="4" t="inlineStr">
        <is>
          <t>01357</t>
        </is>
      </c>
      <c r="C208" s="4" t="inlineStr">
        <is>
          <t>01357</t>
        </is>
      </c>
      <c r="D208" s="29" t="inlineStr">
        <is>
          <t>ARZU ÖZTÜRK</t>
        </is>
      </c>
      <c r="E208" s="4" t="inlineStr">
        <is>
          <t>Cumartesi</t>
        </is>
      </c>
      <c r="F208" s="4" t="inlineStr">
        <is>
          <t>10.10.2026</t>
        </is>
      </c>
      <c r="G208" s="4" t="inlineStr">
        <is>
          <t>07:49</t>
        </is>
      </c>
      <c r="H208" s="4" t="inlineStr">
        <is>
          <t>10.10.2026</t>
        </is>
      </c>
      <c r="I208" s="4" t="inlineStr">
        <is>
          <t>19:58</t>
        </is>
      </c>
      <c r="J208" s="8" t="n">
        <v>10.5</v>
      </c>
      <c r="K208" s="8" t="n">
        <v>7.5</v>
      </c>
      <c r="L208" s="8" t="n">
        <v>3</v>
      </c>
      <c r="M208" s="29" t="inlineStr">
        <is>
          <t>GÜVEN MUSTAFAKEMALPAŞA</t>
        </is>
      </c>
    </row>
    <row r="209">
      <c r="A209" s="4" t="n">
        <v>208</v>
      </c>
      <c r="B209" s="4" t="inlineStr">
        <is>
          <t>01357</t>
        </is>
      </c>
      <c r="C209" s="4" t="inlineStr">
        <is>
          <t>01357</t>
        </is>
      </c>
      <c r="D209" s="29" t="inlineStr">
        <is>
          <t>ARZU ÖZTÜRK</t>
        </is>
      </c>
      <c r="E209" s="4" t="inlineStr">
        <is>
          <t>Pazartesi</t>
        </is>
      </c>
      <c r="F209" s="4" t="inlineStr">
        <is>
          <t>12.10.2026</t>
        </is>
      </c>
      <c r="G209" s="4" t="inlineStr">
        <is>
          <t>07:55</t>
        </is>
      </c>
      <c r="H209" s="4" t="inlineStr">
        <is>
          <t>12.10.2026</t>
        </is>
      </c>
      <c r="I209" s="4" t="inlineStr">
        <is>
          <t>17:05</t>
        </is>
      </c>
      <c r="J209" s="8" t="n">
        <v>7.5</v>
      </c>
      <c r="K209" s="8" t="n">
        <v>7.5</v>
      </c>
      <c r="L209" s="8" t="n">
        <v>0</v>
      </c>
      <c r="M209" s="29" t="inlineStr">
        <is>
          <t>GÜVEN MUSTAFAKEMALPAŞA</t>
        </is>
      </c>
    </row>
    <row r="210">
      <c r="A210" s="4" t="n">
        <v>209</v>
      </c>
      <c r="B210" s="4" t="inlineStr">
        <is>
          <t>01357</t>
        </is>
      </c>
      <c r="C210" s="4" t="inlineStr">
        <is>
          <t>01357</t>
        </is>
      </c>
      <c r="D210" s="29" t="inlineStr">
        <is>
          <t>ARZU ÖZTÜRK</t>
        </is>
      </c>
      <c r="E210" s="4" t="inlineStr">
        <is>
          <t>Salı</t>
        </is>
      </c>
      <c r="F210" s="4" t="inlineStr">
        <is>
          <t>13.10.2026</t>
        </is>
      </c>
      <c r="G210" s="4" t="inlineStr">
        <is>
          <t>07:51</t>
        </is>
      </c>
      <c r="H210" s="4" t="inlineStr">
        <is>
          <t>13.10.2026</t>
        </is>
      </c>
      <c r="I210" s="4" t="inlineStr">
        <is>
          <t>17:03</t>
        </is>
      </c>
      <c r="J210" s="8" t="n">
        <v>7.5</v>
      </c>
      <c r="K210" s="8" t="n">
        <v>7.5</v>
      </c>
      <c r="L210" s="8" t="n">
        <v>0</v>
      </c>
      <c r="M210" s="29" t="inlineStr">
        <is>
          <t>GÜVEN MUSTAFAKEMALPAŞA</t>
        </is>
      </c>
    </row>
    <row r="211">
      <c r="A211" s="4" t="n">
        <v>210</v>
      </c>
      <c r="B211" s="4" t="inlineStr">
        <is>
          <t>01357</t>
        </is>
      </c>
      <c r="C211" s="4" t="inlineStr">
        <is>
          <t>01357</t>
        </is>
      </c>
      <c r="D211" s="29" t="inlineStr">
        <is>
          <t>ARZU ÖZTÜRK</t>
        </is>
      </c>
      <c r="E211" s="4" t="inlineStr">
        <is>
          <t>Çarşamba</t>
        </is>
      </c>
      <c r="F211" s="4" t="inlineStr">
        <is>
          <t>14.10.2026</t>
        </is>
      </c>
      <c r="G211" s="4" t="inlineStr">
        <is>
          <t>07:53</t>
        </is>
      </c>
      <c r="H211" s="4" t="inlineStr">
        <is>
          <t>14.10.2026</t>
        </is>
      </c>
      <c r="I211" s="4" t="inlineStr">
        <is>
          <t>18:09</t>
        </is>
      </c>
      <c r="J211" s="8" t="n">
        <v>8.5</v>
      </c>
      <c r="K211" s="8" t="n">
        <v>7.5</v>
      </c>
      <c r="L211" s="8" t="n">
        <v>1</v>
      </c>
      <c r="M211" s="29" t="inlineStr">
        <is>
          <t>GÜVEN MUSTAFAKEMALPAŞA</t>
        </is>
      </c>
    </row>
    <row r="212">
      <c r="A212" s="4" t="n">
        <v>211</v>
      </c>
      <c r="B212" s="4" t="inlineStr">
        <is>
          <t>01357</t>
        </is>
      </c>
      <c r="C212" s="4" t="inlineStr">
        <is>
          <t>01357</t>
        </is>
      </c>
      <c r="D212" s="29" t="inlineStr">
        <is>
          <t>ARZU ÖZTÜRK</t>
        </is>
      </c>
      <c r="E212" s="4" t="inlineStr">
        <is>
          <t>Perşembe</t>
        </is>
      </c>
      <c r="F212" s="4" t="inlineStr">
        <is>
          <t>15.10.2026</t>
        </is>
      </c>
      <c r="G212" s="4" t="inlineStr">
        <is>
          <t>07:55</t>
        </is>
      </c>
      <c r="H212" s="4" t="inlineStr">
        <is>
          <t>15.10.2026</t>
        </is>
      </c>
      <c r="I212" s="4" t="inlineStr">
        <is>
          <t>17:06</t>
        </is>
      </c>
      <c r="J212" s="8" t="n">
        <v>7.5</v>
      </c>
      <c r="K212" s="8" t="n">
        <v>7.5</v>
      </c>
      <c r="L212" s="8" t="n">
        <v>0</v>
      </c>
      <c r="M212" s="29" t="inlineStr">
        <is>
          <t>GÜVEN MUSTAFAKEMALPAŞA</t>
        </is>
      </c>
    </row>
    <row r="213">
      <c r="A213" s="4" t="n">
        <v>212</v>
      </c>
      <c r="B213" s="4" t="inlineStr">
        <is>
          <t>01357</t>
        </is>
      </c>
      <c r="C213" s="4" t="inlineStr">
        <is>
          <t>01357</t>
        </is>
      </c>
      <c r="D213" s="29" t="inlineStr">
        <is>
          <t>ARZU ÖZTÜRK</t>
        </is>
      </c>
      <c r="E213" s="4" t="inlineStr">
        <is>
          <t>Cuma</t>
        </is>
      </c>
      <c r="F213" s="4" t="inlineStr">
        <is>
          <t>16.10.2026</t>
        </is>
      </c>
      <c r="G213" s="4" t="inlineStr">
        <is>
          <t>07:53</t>
        </is>
      </c>
      <c r="H213" s="4" t="inlineStr">
        <is>
          <t>16.10.2026</t>
        </is>
      </c>
      <c r="I213" s="4" t="inlineStr">
        <is>
          <t>17:25</t>
        </is>
      </c>
      <c r="J213" s="8" t="n">
        <v>8</v>
      </c>
      <c r="K213" s="8" t="n">
        <v>7.5</v>
      </c>
      <c r="L213" s="8" t="n">
        <v>0.5</v>
      </c>
      <c r="M213" s="29" t="inlineStr">
        <is>
          <t>GÜVEN MUSTAFAKEMALPAŞA</t>
        </is>
      </c>
    </row>
    <row r="214">
      <c r="A214" s="4" t="n">
        <v>213</v>
      </c>
      <c r="B214" s="4" t="inlineStr">
        <is>
          <t>01357</t>
        </is>
      </c>
      <c r="C214" s="4" t="inlineStr">
        <is>
          <t>01357</t>
        </is>
      </c>
      <c r="D214" s="29" t="inlineStr">
        <is>
          <t>ARZU ÖZTÜRK</t>
        </is>
      </c>
      <c r="E214" s="4" t="inlineStr">
        <is>
          <t>Cumartesi</t>
        </is>
      </c>
      <c r="F214" s="4" t="inlineStr">
        <is>
          <t>17.10.2026</t>
        </is>
      </c>
      <c r="G214" s="4" t="inlineStr">
        <is>
          <t>07:54</t>
        </is>
      </c>
      <c r="H214" s="4" t="inlineStr">
        <is>
          <t>17.10.2026</t>
        </is>
      </c>
      <c r="I214" s="4" t="inlineStr">
        <is>
          <t>17:56</t>
        </is>
      </c>
      <c r="J214" s="8" t="n">
        <v>8.5</v>
      </c>
      <c r="K214" s="8" t="n">
        <v>7.5</v>
      </c>
      <c r="L214" s="8" t="n">
        <v>1</v>
      </c>
      <c r="M214" s="29" t="inlineStr">
        <is>
          <t>GÜVEN MUSTAFAKEMALPAŞA</t>
        </is>
      </c>
    </row>
    <row r="215">
      <c r="A215" s="4" t="n">
        <v>214</v>
      </c>
      <c r="B215" s="4" t="inlineStr">
        <is>
          <t>01357</t>
        </is>
      </c>
      <c r="C215" s="4" t="inlineStr">
        <is>
          <t>01357</t>
        </is>
      </c>
      <c r="D215" s="29" t="inlineStr">
        <is>
          <t>ARZU ÖZTÜRK</t>
        </is>
      </c>
      <c r="E215" s="4" t="inlineStr">
        <is>
          <t>Pazartesi</t>
        </is>
      </c>
      <c r="F215" s="4" t="inlineStr">
        <is>
          <t>19.10.2026</t>
        </is>
      </c>
      <c r="G215" s="4" t="inlineStr">
        <is>
          <t>07:50</t>
        </is>
      </c>
      <c r="H215" s="4" t="inlineStr">
        <is>
          <t>19.10.2026</t>
        </is>
      </c>
      <c r="I215" s="4" t="inlineStr">
        <is>
          <t>17:49</t>
        </is>
      </c>
      <c r="J215" s="8" t="n">
        <v>8.5</v>
      </c>
      <c r="K215" s="8" t="n">
        <v>7.5</v>
      </c>
      <c r="L215" s="8" t="n">
        <v>1</v>
      </c>
      <c r="M215" s="29" t="inlineStr">
        <is>
          <t>GÜVEN MUSTAFAKEMALPAŞA</t>
        </is>
      </c>
    </row>
    <row r="216">
      <c r="A216" s="4" t="n">
        <v>215</v>
      </c>
      <c r="B216" s="4" t="inlineStr">
        <is>
          <t>01357</t>
        </is>
      </c>
      <c r="C216" s="4" t="inlineStr">
        <is>
          <t>01357</t>
        </is>
      </c>
      <c r="D216" s="29" t="inlineStr">
        <is>
          <t>ARZU ÖZTÜRK</t>
        </is>
      </c>
      <c r="E216" s="4" t="inlineStr">
        <is>
          <t>Salı</t>
        </is>
      </c>
      <c r="F216" s="4" t="inlineStr">
        <is>
          <t>20.10.2026</t>
        </is>
      </c>
      <c r="G216" s="4" t="inlineStr">
        <is>
          <t>07:52</t>
        </is>
      </c>
      <c r="H216" s="4" t="inlineStr">
        <is>
          <t>20.10.2026</t>
        </is>
      </c>
      <c r="I216" s="4" t="inlineStr">
        <is>
          <t>17:04</t>
        </is>
      </c>
      <c r="J216" s="8" t="n">
        <v>7.5</v>
      </c>
      <c r="K216" s="8" t="n">
        <v>7.5</v>
      </c>
      <c r="L216" s="8" t="n">
        <v>0</v>
      </c>
      <c r="M216" s="29" t="inlineStr">
        <is>
          <t>GÜVEN MUSTAFAKEMALPAŞA</t>
        </is>
      </c>
    </row>
    <row r="217">
      <c r="A217" s="4" t="n">
        <v>216</v>
      </c>
      <c r="B217" s="4" t="inlineStr">
        <is>
          <t>01357</t>
        </is>
      </c>
      <c r="C217" s="4" t="inlineStr">
        <is>
          <t>01357</t>
        </is>
      </c>
      <c r="D217" s="29" t="inlineStr">
        <is>
          <t>ARZU ÖZTÜRK</t>
        </is>
      </c>
      <c r="E217" s="4" t="inlineStr">
        <is>
          <t>Çarşamba</t>
        </is>
      </c>
      <c r="F217" s="4" t="inlineStr">
        <is>
          <t>21.10.2026</t>
        </is>
      </c>
      <c r="G217" s="4" t="inlineStr">
        <is>
          <t>07:50</t>
        </is>
      </c>
      <c r="H217" s="4" t="inlineStr">
        <is>
          <t>21.10.2026</t>
        </is>
      </c>
      <c r="I217" s="4" t="inlineStr">
        <is>
          <t>17:05</t>
        </is>
      </c>
      <c r="J217" s="8" t="n">
        <v>7.5</v>
      </c>
      <c r="K217" s="8" t="n">
        <v>7.5</v>
      </c>
      <c r="L217" s="8" t="n">
        <v>0</v>
      </c>
      <c r="M217" s="29" t="inlineStr">
        <is>
          <t>GÜVEN MUSTAFAKEMALPAŞA</t>
        </is>
      </c>
    </row>
    <row r="218">
      <c r="A218" s="4" t="n">
        <v>217</v>
      </c>
      <c r="B218" s="4" t="inlineStr">
        <is>
          <t>01525</t>
        </is>
      </c>
      <c r="C218" s="4" t="inlineStr">
        <is>
          <t>01525</t>
        </is>
      </c>
      <c r="D218" s="29" t="inlineStr">
        <is>
          <t>ARZU BAYRAM</t>
        </is>
      </c>
      <c r="E218" s="4" t="inlineStr">
        <is>
          <t>Perşembe</t>
        </is>
      </c>
      <c r="F218" s="4" t="inlineStr">
        <is>
          <t>8.10.2026</t>
        </is>
      </c>
      <c r="G218" s="4" t="inlineStr">
        <is>
          <t>-</t>
        </is>
      </c>
      <c r="H218" s="4" t="inlineStr">
        <is>
          <t>8.10.2026</t>
        </is>
      </c>
      <c r="I218" s="4" t="inlineStr">
        <is>
          <t>03:37</t>
        </is>
      </c>
      <c r="J218" s="8" t="n">
        <v>18</v>
      </c>
      <c r="K218" s="8" t="n">
        <v>7.5</v>
      </c>
      <c r="L218" s="8" t="n">
        <v>10.5</v>
      </c>
      <c r="M218" s="29" t="inlineStr">
        <is>
          <t>HALİL DİĞRENCİ</t>
        </is>
      </c>
    </row>
    <row r="219">
      <c r="A219" s="4" t="n">
        <v>218</v>
      </c>
      <c r="B219" s="4" t="inlineStr">
        <is>
          <t>00894</t>
        </is>
      </c>
      <c r="C219" s="4" t="inlineStr">
        <is>
          <t>00894</t>
        </is>
      </c>
      <c r="D219" s="29" t="inlineStr">
        <is>
          <t>ASLI BAYRAKTAR</t>
        </is>
      </c>
      <c r="E219" s="4" t="inlineStr">
        <is>
          <t>Perşembe</t>
        </is>
      </c>
      <c r="F219" s="4" t="inlineStr">
        <is>
          <t>1.10.2026</t>
        </is>
      </c>
      <c r="G219" s="4" t="inlineStr">
        <is>
          <t>07:37</t>
        </is>
      </c>
      <c r="H219" s="4" t="inlineStr">
        <is>
          <t>1.10.2026</t>
        </is>
      </c>
      <c r="I219" s="4" t="inlineStr">
        <is>
          <t>17:33</t>
        </is>
      </c>
      <c r="J219" s="8" t="n">
        <v>8</v>
      </c>
      <c r="K219" s="8" t="n">
        <v>7.5</v>
      </c>
      <c r="L219" s="8" t="n">
        <v>0.5</v>
      </c>
      <c r="M219" s="29" t="inlineStr">
        <is>
          <t>GÜVEN TURİZM</t>
        </is>
      </c>
    </row>
    <row r="220">
      <c r="A220" s="4" t="n">
        <v>219</v>
      </c>
      <c r="B220" s="4" t="inlineStr">
        <is>
          <t>00894</t>
        </is>
      </c>
      <c r="C220" s="4" t="inlineStr">
        <is>
          <t>00894</t>
        </is>
      </c>
      <c r="D220" s="29" t="inlineStr">
        <is>
          <t>ASLI BAYRAKTAR</t>
        </is>
      </c>
      <c r="E220" s="4" t="inlineStr">
        <is>
          <t>Cuma</t>
        </is>
      </c>
      <c r="F220" s="4" t="inlineStr">
        <is>
          <t>2.10.2026</t>
        </is>
      </c>
      <c r="G220" s="4" t="inlineStr">
        <is>
          <t>07:41</t>
        </is>
      </c>
      <c r="H220" s="4" t="inlineStr">
        <is>
          <t>2.10.2026</t>
        </is>
      </c>
      <c r="I220" s="4" t="inlineStr">
        <is>
          <t>17:52</t>
        </is>
      </c>
      <c r="J220" s="8" t="n">
        <v>8.5</v>
      </c>
      <c r="K220" s="8" t="n">
        <v>7.5</v>
      </c>
      <c r="L220" s="8" t="n">
        <v>1</v>
      </c>
      <c r="M220" s="29" t="inlineStr">
        <is>
          <t>GÜVEN TURİZM</t>
        </is>
      </c>
    </row>
    <row r="221">
      <c r="A221" s="4" t="n">
        <v>220</v>
      </c>
      <c r="B221" s="4" t="inlineStr">
        <is>
          <t>00894</t>
        </is>
      </c>
      <c r="C221" s="4" t="inlineStr">
        <is>
          <t>00894</t>
        </is>
      </c>
      <c r="D221" s="29" t="inlineStr">
        <is>
          <t>ASLI BAYRAKTAR</t>
        </is>
      </c>
      <c r="E221" s="4" t="inlineStr">
        <is>
          <t>Cumartesi</t>
        </is>
      </c>
      <c r="F221" s="4" t="inlineStr">
        <is>
          <t>3.10.2026</t>
        </is>
      </c>
      <c r="G221" s="4" t="inlineStr">
        <is>
          <t>07:37</t>
        </is>
      </c>
      <c r="H221" s="4" t="inlineStr">
        <is>
          <t>3.10.2026</t>
        </is>
      </c>
      <c r="I221" s="4" t="inlineStr">
        <is>
          <t>17:43</t>
        </is>
      </c>
      <c r="J221" s="8" t="n">
        <v>8</v>
      </c>
      <c r="K221" s="8" t="n">
        <v>7.5</v>
      </c>
      <c r="L221" s="8" t="n">
        <v>0.5</v>
      </c>
      <c r="M221" s="29" t="inlineStr">
        <is>
          <t>GÜVEN TURİZM</t>
        </is>
      </c>
    </row>
    <row r="222">
      <c r="A222" s="4" t="n">
        <v>221</v>
      </c>
      <c r="B222" s="4" t="inlineStr">
        <is>
          <t>00894</t>
        </is>
      </c>
      <c r="C222" s="4" t="inlineStr">
        <is>
          <t>00894</t>
        </is>
      </c>
      <c r="D222" s="29" t="inlineStr">
        <is>
          <t>ASLI BAYRAKTAR</t>
        </is>
      </c>
      <c r="E222" s="4" t="inlineStr">
        <is>
          <t>Pazartesi</t>
        </is>
      </c>
      <c r="F222" s="4" t="inlineStr">
        <is>
          <t>5.10.2026</t>
        </is>
      </c>
      <c r="G222" s="4" t="inlineStr">
        <is>
          <t>07:39</t>
        </is>
      </c>
      <c r="H222" s="4" t="inlineStr">
        <is>
          <t>5.10.2026</t>
        </is>
      </c>
      <c r="I222" s="4" t="inlineStr">
        <is>
          <t>17:08</t>
        </is>
      </c>
      <c r="J222" s="8" t="n">
        <v>7.5</v>
      </c>
      <c r="K222" s="8" t="n">
        <v>7.5</v>
      </c>
      <c r="L222" s="8" t="n">
        <v>0</v>
      </c>
      <c r="M222" s="29" t="inlineStr">
        <is>
          <t>GÜVEN TURİZM</t>
        </is>
      </c>
    </row>
    <row r="223">
      <c r="A223" s="4" t="n">
        <v>222</v>
      </c>
      <c r="B223" s="4" t="inlineStr">
        <is>
          <t>00894</t>
        </is>
      </c>
      <c r="C223" s="4" t="inlineStr">
        <is>
          <t>00894</t>
        </is>
      </c>
      <c r="D223" s="29" t="inlineStr">
        <is>
          <t>ASLI BAYRAKTAR</t>
        </is>
      </c>
      <c r="E223" s="4" t="inlineStr">
        <is>
          <t>Salı</t>
        </is>
      </c>
      <c r="F223" s="4" t="inlineStr">
        <is>
          <t>6.10.2026</t>
        </is>
      </c>
      <c r="G223" s="4" t="inlineStr">
        <is>
          <t>07:41</t>
        </is>
      </c>
      <c r="H223" s="4" t="inlineStr">
        <is>
          <t>6.10.2026</t>
        </is>
      </c>
      <c r="I223" s="4" t="inlineStr">
        <is>
          <t>17:45</t>
        </is>
      </c>
      <c r="J223" s="8" t="n">
        <v>8.5</v>
      </c>
      <c r="K223" s="8" t="n">
        <v>7.5</v>
      </c>
      <c r="L223" s="8" t="n">
        <v>1</v>
      </c>
      <c r="M223" s="29" t="inlineStr">
        <is>
          <t>GÜVEN TURİZM</t>
        </is>
      </c>
    </row>
    <row r="224">
      <c r="A224" s="4" t="n">
        <v>223</v>
      </c>
      <c r="B224" s="4" t="inlineStr">
        <is>
          <t>00894</t>
        </is>
      </c>
      <c r="C224" s="4" t="inlineStr">
        <is>
          <t>00894</t>
        </is>
      </c>
      <c r="D224" s="29" t="inlineStr">
        <is>
          <t>ASLI BAYRAKTAR</t>
        </is>
      </c>
      <c r="E224" s="4" t="inlineStr">
        <is>
          <t>Çarşamba</t>
        </is>
      </c>
      <c r="F224" s="4" t="inlineStr">
        <is>
          <t>7.10.2026</t>
        </is>
      </c>
      <c r="G224" s="4" t="inlineStr">
        <is>
          <t>07:36</t>
        </is>
      </c>
      <c r="H224" s="4" t="inlineStr">
        <is>
          <t>7.10.2026</t>
        </is>
      </c>
      <c r="I224" s="4" t="inlineStr">
        <is>
          <t>17:29</t>
        </is>
      </c>
      <c r="J224" s="8" t="n">
        <v>8</v>
      </c>
      <c r="K224" s="8" t="n">
        <v>7.5</v>
      </c>
      <c r="L224" s="8" t="n">
        <v>0.5</v>
      </c>
      <c r="M224" s="29" t="inlineStr">
        <is>
          <t>GÜVEN TURİZM</t>
        </is>
      </c>
    </row>
    <row r="225">
      <c r="A225" s="4" t="n">
        <v>224</v>
      </c>
      <c r="B225" s="4" t="inlineStr">
        <is>
          <t>00894</t>
        </is>
      </c>
      <c r="C225" s="4" t="inlineStr">
        <is>
          <t>00894</t>
        </is>
      </c>
      <c r="D225" s="29" t="inlineStr">
        <is>
          <t>ASLI BAYRAKTAR</t>
        </is>
      </c>
      <c r="E225" s="4" t="inlineStr">
        <is>
          <t>Perşembe</t>
        </is>
      </c>
      <c r="F225" s="4" t="inlineStr">
        <is>
          <t>8.10.2026</t>
        </is>
      </c>
      <c r="G225" s="4" t="inlineStr">
        <is>
          <t>07:36</t>
        </is>
      </c>
      <c r="H225" s="4" t="inlineStr">
        <is>
          <t>8.10.2026</t>
        </is>
      </c>
      <c r="I225" s="4" t="inlineStr">
        <is>
          <t>17:39</t>
        </is>
      </c>
      <c r="J225" s="8" t="n">
        <v>8</v>
      </c>
      <c r="K225" s="8" t="n">
        <v>7.5</v>
      </c>
      <c r="L225" s="8" t="n">
        <v>0.5</v>
      </c>
      <c r="M225" s="29" t="inlineStr">
        <is>
          <t>GÜVEN TURİZM</t>
        </is>
      </c>
    </row>
    <row r="226">
      <c r="A226" s="4" t="n">
        <v>225</v>
      </c>
      <c r="B226" s="4" t="inlineStr">
        <is>
          <t>00894</t>
        </is>
      </c>
      <c r="C226" s="4" t="inlineStr">
        <is>
          <t>00894</t>
        </is>
      </c>
      <c r="D226" s="29" t="inlineStr">
        <is>
          <t>ASLI BAYRAKTAR</t>
        </is>
      </c>
      <c r="E226" s="4" t="inlineStr">
        <is>
          <t>Cumartesi</t>
        </is>
      </c>
      <c r="F226" s="4" t="inlineStr">
        <is>
          <t>10.10.2026</t>
        </is>
      </c>
      <c r="G226" s="4" t="inlineStr">
        <is>
          <t>07:40</t>
        </is>
      </c>
      <c r="H226" s="4" t="inlineStr">
        <is>
          <t>10.10.2026</t>
        </is>
      </c>
      <c r="I226" s="4" t="inlineStr">
        <is>
          <t>00:46</t>
        </is>
      </c>
      <c r="J226" s="8" t="n">
        <v>15.5</v>
      </c>
      <c r="K226" s="8" t="n">
        <v>7.5</v>
      </c>
      <c r="L226" s="8" t="n">
        <v>8</v>
      </c>
      <c r="M226" s="29" t="inlineStr">
        <is>
          <t>GÜVEN TURİZM</t>
        </is>
      </c>
    </row>
    <row r="227">
      <c r="A227" s="4" t="n">
        <v>226</v>
      </c>
      <c r="B227" s="4" t="inlineStr">
        <is>
          <t>00894</t>
        </is>
      </c>
      <c r="C227" s="4" t="inlineStr">
        <is>
          <t>00894</t>
        </is>
      </c>
      <c r="D227" s="29" t="inlineStr">
        <is>
          <t>ASLI BAYRAKTAR</t>
        </is>
      </c>
      <c r="E227" s="4" t="inlineStr">
        <is>
          <t>Pazartesi</t>
        </is>
      </c>
      <c r="F227" s="4" t="inlineStr">
        <is>
          <t>12.10.2026</t>
        </is>
      </c>
      <c r="G227" s="4" t="inlineStr">
        <is>
          <t>07:46</t>
        </is>
      </c>
      <c r="H227" s="4" t="inlineStr">
        <is>
          <t>12.10.2026</t>
        </is>
      </c>
      <c r="I227" s="4" t="inlineStr">
        <is>
          <t>17:04</t>
        </is>
      </c>
      <c r="J227" s="8" t="n">
        <v>7.5</v>
      </c>
      <c r="K227" s="8" t="n">
        <v>7.5</v>
      </c>
      <c r="L227" s="8" t="n">
        <v>0</v>
      </c>
      <c r="M227" s="29" t="inlineStr">
        <is>
          <t>GÜVEN TURİZM</t>
        </is>
      </c>
    </row>
    <row r="228">
      <c r="A228" s="4" t="n">
        <v>227</v>
      </c>
      <c r="B228" s="4" t="inlineStr">
        <is>
          <t>00894</t>
        </is>
      </c>
      <c r="C228" s="4" t="inlineStr">
        <is>
          <t>00894</t>
        </is>
      </c>
      <c r="D228" s="29" t="inlineStr">
        <is>
          <t>ASLI BAYRAKTAR</t>
        </is>
      </c>
      <c r="E228" s="4" t="inlineStr">
        <is>
          <t>Salı</t>
        </is>
      </c>
      <c r="F228" s="4" t="inlineStr">
        <is>
          <t>13.10.2026</t>
        </is>
      </c>
      <c r="G228" s="4" t="inlineStr">
        <is>
          <t>07:42</t>
        </is>
      </c>
      <c r="H228" s="4" t="inlineStr">
        <is>
          <t>13.10.2026</t>
        </is>
      </c>
      <c r="I228" s="4" t="inlineStr">
        <is>
          <t>17:05</t>
        </is>
      </c>
      <c r="J228" s="8" t="n">
        <v>7.5</v>
      </c>
      <c r="K228" s="8" t="n">
        <v>7.5</v>
      </c>
      <c r="L228" s="8" t="n">
        <v>0</v>
      </c>
      <c r="M228" s="29" t="inlineStr">
        <is>
          <t>GÜVEN TURİZM</t>
        </is>
      </c>
    </row>
    <row r="229">
      <c r="A229" s="4" t="n">
        <v>228</v>
      </c>
      <c r="B229" s="4" t="inlineStr">
        <is>
          <t>00894</t>
        </is>
      </c>
      <c r="C229" s="4" t="inlineStr">
        <is>
          <t>00894</t>
        </is>
      </c>
      <c r="D229" s="29" t="inlineStr">
        <is>
          <t>ASLI BAYRAKTAR</t>
        </is>
      </c>
      <c r="E229" s="4" t="inlineStr">
        <is>
          <t>Perşembe</t>
        </is>
      </c>
      <c r="F229" s="4" t="inlineStr">
        <is>
          <t>15.10.2026</t>
        </is>
      </c>
      <c r="G229" s="4" t="inlineStr">
        <is>
          <t>07:43</t>
        </is>
      </c>
      <c r="H229" s="4" t="inlineStr">
        <is>
          <t>15.10.2026</t>
        </is>
      </c>
      <c r="I229" s="4" t="inlineStr">
        <is>
          <t>17:06</t>
        </is>
      </c>
      <c r="J229" s="8" t="n">
        <v>7.5</v>
      </c>
      <c r="K229" s="8" t="n">
        <v>7.5</v>
      </c>
      <c r="L229" s="8" t="n">
        <v>0</v>
      </c>
      <c r="M229" s="29" t="inlineStr">
        <is>
          <t>GÜVEN TURİZM</t>
        </is>
      </c>
    </row>
    <row r="230">
      <c r="A230" s="4" t="n">
        <v>229</v>
      </c>
      <c r="B230" s="4" t="inlineStr">
        <is>
          <t>00894</t>
        </is>
      </c>
      <c r="C230" s="4" t="inlineStr">
        <is>
          <t>00894</t>
        </is>
      </c>
      <c r="D230" s="29" t="inlineStr">
        <is>
          <t>ASLI BAYRAKTAR</t>
        </is>
      </c>
      <c r="E230" s="4" t="inlineStr">
        <is>
          <t>Cuma</t>
        </is>
      </c>
      <c r="F230" s="4" t="inlineStr">
        <is>
          <t>16.10.2026</t>
        </is>
      </c>
      <c r="G230" s="4" t="inlineStr">
        <is>
          <t>07:39</t>
        </is>
      </c>
      <c r="H230" s="4" t="inlineStr">
        <is>
          <t>16.10.2026</t>
        </is>
      </c>
      <c r="I230" s="4" t="inlineStr">
        <is>
          <t>17:20</t>
        </is>
      </c>
      <c r="J230" s="8" t="n">
        <v>7.5</v>
      </c>
      <c r="K230" s="8" t="n">
        <v>7.5</v>
      </c>
      <c r="L230" s="8" t="n">
        <v>0</v>
      </c>
      <c r="M230" s="29" t="inlineStr">
        <is>
          <t>GÜVEN TURİZM</t>
        </is>
      </c>
    </row>
    <row r="231">
      <c r="A231" s="4" t="n">
        <v>230</v>
      </c>
      <c r="B231" s="4" t="inlineStr">
        <is>
          <t>00894</t>
        </is>
      </c>
      <c r="C231" s="4" t="inlineStr">
        <is>
          <t>00894</t>
        </is>
      </c>
      <c r="D231" s="29" t="inlineStr">
        <is>
          <t>ASLI BAYRAKTAR</t>
        </is>
      </c>
      <c r="E231" s="4" t="inlineStr">
        <is>
          <t>Cumartesi</t>
        </is>
      </c>
      <c r="F231" s="4" t="inlineStr">
        <is>
          <t>17.10.2026</t>
        </is>
      </c>
      <c r="G231" s="4" t="inlineStr">
        <is>
          <t>07:38</t>
        </is>
      </c>
      <c r="H231" s="4" t="inlineStr">
        <is>
          <t>17.10.2026</t>
        </is>
      </c>
      <c r="I231" s="4" t="inlineStr">
        <is>
          <t>17:54</t>
        </is>
      </c>
      <c r="J231" s="8" t="n">
        <v>8.5</v>
      </c>
      <c r="K231" s="8" t="n">
        <v>7.5</v>
      </c>
      <c r="L231" s="8" t="n">
        <v>1</v>
      </c>
      <c r="M231" s="29" t="inlineStr">
        <is>
          <t>GÜVEN TURİZM</t>
        </is>
      </c>
    </row>
    <row r="232">
      <c r="A232" s="4" t="n">
        <v>231</v>
      </c>
      <c r="B232" s="4" t="inlineStr">
        <is>
          <t>00894</t>
        </is>
      </c>
      <c r="C232" s="4" t="inlineStr">
        <is>
          <t>00894</t>
        </is>
      </c>
      <c r="D232" s="29" t="inlineStr">
        <is>
          <t>ASLI BAYRAKTAR</t>
        </is>
      </c>
      <c r="E232" s="4" t="inlineStr">
        <is>
          <t>Pazartesi</t>
        </is>
      </c>
      <c r="F232" s="4" t="inlineStr">
        <is>
          <t>19.10.2026</t>
        </is>
      </c>
      <c r="G232" s="4" t="inlineStr">
        <is>
          <t>07:39</t>
        </is>
      </c>
      <c r="H232" s="4" t="inlineStr">
        <is>
          <t>19.10.2026</t>
        </is>
      </c>
      <c r="I232" s="4" t="inlineStr">
        <is>
          <t>17:48</t>
        </is>
      </c>
      <c r="J232" s="8" t="n">
        <v>8.5</v>
      </c>
      <c r="K232" s="8" t="n">
        <v>7.5</v>
      </c>
      <c r="L232" s="8" t="n">
        <v>1</v>
      </c>
      <c r="M232" s="29" t="inlineStr">
        <is>
          <t>GÜVEN TURİZM</t>
        </is>
      </c>
    </row>
    <row r="233">
      <c r="A233" s="4" t="n">
        <v>232</v>
      </c>
      <c r="B233" s="4" t="inlineStr">
        <is>
          <t>00894</t>
        </is>
      </c>
      <c r="C233" s="4" t="inlineStr">
        <is>
          <t>00894</t>
        </is>
      </c>
      <c r="D233" s="29" t="inlineStr">
        <is>
          <t>ASLI BAYRAKTAR</t>
        </is>
      </c>
      <c r="E233" s="4" t="inlineStr">
        <is>
          <t>Salı</t>
        </is>
      </c>
      <c r="F233" s="4" t="inlineStr">
        <is>
          <t>20.10.2026</t>
        </is>
      </c>
      <c r="G233" s="4" t="inlineStr">
        <is>
          <t>07:40</t>
        </is>
      </c>
      <c r="H233" s="4" t="inlineStr">
        <is>
          <t>20.10.2026</t>
        </is>
      </c>
      <c r="I233" s="4" t="inlineStr">
        <is>
          <t>17:02</t>
        </is>
      </c>
      <c r="J233" s="8" t="n">
        <v>7.5</v>
      </c>
      <c r="K233" s="8" t="n">
        <v>7.5</v>
      </c>
      <c r="L233" s="8" t="n">
        <v>0</v>
      </c>
      <c r="M233" s="29" t="inlineStr">
        <is>
          <t>GÜVEN TURİZM</t>
        </is>
      </c>
    </row>
    <row r="234">
      <c r="A234" s="4" t="n">
        <v>233</v>
      </c>
      <c r="B234" s="4" t="inlineStr">
        <is>
          <t>00894</t>
        </is>
      </c>
      <c r="C234" s="4" t="inlineStr">
        <is>
          <t>00894</t>
        </is>
      </c>
      <c r="D234" s="29" t="inlineStr">
        <is>
          <t>ASLI BAYRAKTAR</t>
        </is>
      </c>
      <c r="E234" s="4" t="inlineStr">
        <is>
          <t>Çarşamba</t>
        </is>
      </c>
      <c r="F234" s="4" t="inlineStr">
        <is>
          <t>21.10.2026</t>
        </is>
      </c>
      <c r="G234" s="4" t="inlineStr">
        <is>
          <t>07:49</t>
        </is>
      </c>
      <c r="H234" s="4" t="inlineStr">
        <is>
          <t>21.10.2026</t>
        </is>
      </c>
      <c r="I234" s="4" t="inlineStr">
        <is>
          <t>17:04</t>
        </is>
      </c>
      <c r="J234" s="8" t="n">
        <v>7.5</v>
      </c>
      <c r="K234" s="8" t="n">
        <v>7.5</v>
      </c>
      <c r="L234" s="8" t="n">
        <v>0</v>
      </c>
      <c r="M234" s="29" t="inlineStr">
        <is>
          <t>GÜVEN TURİZM</t>
        </is>
      </c>
    </row>
    <row r="235">
      <c r="A235" s="4" t="n">
        <v>234</v>
      </c>
      <c r="B235" s="4" t="inlineStr">
        <is>
          <t>00209</t>
        </is>
      </c>
      <c r="C235" s="4" t="inlineStr">
        <is>
          <t>00209</t>
        </is>
      </c>
      <c r="D235" s="29" t="inlineStr">
        <is>
          <t>ASYA TİLKİ</t>
        </is>
      </c>
      <c r="E235" s="4" t="inlineStr">
        <is>
          <t>Perşembe</t>
        </is>
      </c>
      <c r="F235" s="4" t="inlineStr">
        <is>
          <t>1.10.2026</t>
        </is>
      </c>
      <c r="G235" s="4" t="inlineStr">
        <is>
          <t>07:43</t>
        </is>
      </c>
      <c r="H235" s="4" t="inlineStr">
        <is>
          <t>1.10.2026</t>
        </is>
      </c>
      <c r="I235" s="4" t="inlineStr">
        <is>
          <t>17:30</t>
        </is>
      </c>
      <c r="J235" s="8" t="n">
        <v>8</v>
      </c>
      <c r="K235" s="8" t="n">
        <v>7.5</v>
      </c>
      <c r="L235" s="8" t="n">
        <v>0.5</v>
      </c>
      <c r="M235" s="29" t="inlineStr">
        <is>
          <t>KARACABEY</t>
        </is>
      </c>
    </row>
    <row r="236">
      <c r="A236" s="4" t="n">
        <v>235</v>
      </c>
      <c r="B236" s="4" t="inlineStr">
        <is>
          <t>00209</t>
        </is>
      </c>
      <c r="C236" s="4" t="inlineStr">
        <is>
          <t>00209</t>
        </is>
      </c>
      <c r="D236" s="29" t="inlineStr">
        <is>
          <t>ASYA TİLKİ</t>
        </is>
      </c>
      <c r="E236" s="4" t="inlineStr">
        <is>
          <t>Cuma</t>
        </is>
      </c>
      <c r="F236" s="4" t="inlineStr">
        <is>
          <t>2.10.2026</t>
        </is>
      </c>
      <c r="G236" s="4" t="inlineStr">
        <is>
          <t>07:42</t>
        </is>
      </c>
      <c r="H236" s="4" t="inlineStr">
        <is>
          <t>2.10.2026</t>
        </is>
      </c>
      <c r="I236" s="4" t="inlineStr">
        <is>
          <t>17:52</t>
        </is>
      </c>
      <c r="J236" s="8" t="n">
        <v>8.5</v>
      </c>
      <c r="K236" s="8" t="n">
        <v>7.5</v>
      </c>
      <c r="L236" s="8" t="n">
        <v>1</v>
      </c>
      <c r="M236" s="29" t="inlineStr">
        <is>
          <t>KARACABEY</t>
        </is>
      </c>
    </row>
    <row r="237">
      <c r="A237" s="4" t="n">
        <v>236</v>
      </c>
      <c r="B237" s="4" t="inlineStr">
        <is>
          <t>00209</t>
        </is>
      </c>
      <c r="C237" s="4" t="inlineStr">
        <is>
          <t>00209</t>
        </is>
      </c>
      <c r="D237" s="29" t="inlineStr">
        <is>
          <t>ASYA TİLKİ</t>
        </is>
      </c>
      <c r="E237" s="4" t="inlineStr">
        <is>
          <t>Cumartesi</t>
        </is>
      </c>
      <c r="F237" s="4" t="inlineStr">
        <is>
          <t>3.10.2026</t>
        </is>
      </c>
      <c r="G237" s="4" t="inlineStr">
        <is>
          <t>07:43</t>
        </is>
      </c>
      <c r="H237" s="4" t="inlineStr">
        <is>
          <t>3.10.2026</t>
        </is>
      </c>
      <c r="I237" s="4" t="inlineStr">
        <is>
          <t>17:40</t>
        </is>
      </c>
      <c r="J237" s="8" t="n">
        <v>8</v>
      </c>
      <c r="K237" s="8" t="n">
        <v>7.5</v>
      </c>
      <c r="L237" s="8" t="n">
        <v>0.5</v>
      </c>
      <c r="M237" s="29" t="inlineStr">
        <is>
          <t>KARACABEY</t>
        </is>
      </c>
    </row>
    <row r="238">
      <c r="A238" s="4" t="n">
        <v>237</v>
      </c>
      <c r="B238" s="4" t="inlineStr">
        <is>
          <t>00209</t>
        </is>
      </c>
      <c r="C238" s="4" t="inlineStr">
        <is>
          <t>00209</t>
        </is>
      </c>
      <c r="D238" s="29" t="inlineStr">
        <is>
          <t>ASYA TİLKİ</t>
        </is>
      </c>
      <c r="E238" s="4" t="inlineStr">
        <is>
          <t>Pazartesi</t>
        </is>
      </c>
      <c r="F238" s="4" t="inlineStr">
        <is>
          <t>5.10.2026</t>
        </is>
      </c>
      <c r="G238" s="4" t="inlineStr">
        <is>
          <t>07:45</t>
        </is>
      </c>
      <c r="H238" s="4" t="inlineStr">
        <is>
          <t>5.10.2026</t>
        </is>
      </c>
      <c r="I238" s="4" t="inlineStr">
        <is>
          <t>17:07</t>
        </is>
      </c>
      <c r="J238" s="8" t="n">
        <v>7.5</v>
      </c>
      <c r="K238" s="8" t="n">
        <v>7.5</v>
      </c>
      <c r="L238" s="8" t="n">
        <v>0</v>
      </c>
      <c r="M238" s="29" t="inlineStr">
        <is>
          <t>KARACABEY</t>
        </is>
      </c>
    </row>
    <row r="239">
      <c r="A239" s="4" t="n">
        <v>238</v>
      </c>
      <c r="B239" s="4" t="inlineStr">
        <is>
          <t>00209</t>
        </is>
      </c>
      <c r="C239" s="4" t="inlineStr">
        <is>
          <t>00209</t>
        </is>
      </c>
      <c r="D239" s="29" t="inlineStr">
        <is>
          <t>ASYA TİLKİ</t>
        </is>
      </c>
      <c r="E239" s="4" t="inlineStr">
        <is>
          <t>Salı</t>
        </is>
      </c>
      <c r="F239" s="4" t="inlineStr">
        <is>
          <t>6.10.2026</t>
        </is>
      </c>
      <c r="G239" s="4" t="inlineStr">
        <is>
          <t>07:45</t>
        </is>
      </c>
      <c r="H239" s="4" t="inlineStr">
        <is>
          <t>6.10.2026</t>
        </is>
      </c>
      <c r="I239" s="4" t="inlineStr">
        <is>
          <t>17:44</t>
        </is>
      </c>
      <c r="J239" s="8" t="n">
        <v>8</v>
      </c>
      <c r="K239" s="8" t="n">
        <v>7.5</v>
      </c>
      <c r="L239" s="8" t="n">
        <v>0.5</v>
      </c>
      <c r="M239" s="29" t="inlineStr">
        <is>
          <t>KARACABEY</t>
        </is>
      </c>
    </row>
    <row r="240">
      <c r="A240" s="4" t="n">
        <v>239</v>
      </c>
      <c r="B240" s="4" t="inlineStr">
        <is>
          <t>00209</t>
        </is>
      </c>
      <c r="C240" s="4" t="inlineStr">
        <is>
          <t>00209</t>
        </is>
      </c>
      <c r="D240" s="29" t="inlineStr">
        <is>
          <t>ASYA TİLKİ</t>
        </is>
      </c>
      <c r="E240" s="4" t="inlineStr">
        <is>
          <t>Çarşamba</t>
        </is>
      </c>
      <c r="F240" s="4" t="inlineStr">
        <is>
          <t>7.10.2026</t>
        </is>
      </c>
      <c r="G240" s="4" t="inlineStr">
        <is>
          <t>07:40</t>
        </is>
      </c>
      <c r="H240" s="4" t="inlineStr">
        <is>
          <t>7.10.2026</t>
        </is>
      </c>
      <c r="I240" s="4" t="inlineStr">
        <is>
          <t>17:28</t>
        </is>
      </c>
      <c r="J240" s="8" t="n">
        <v>8</v>
      </c>
      <c r="K240" s="8" t="n">
        <v>7.5</v>
      </c>
      <c r="L240" s="8" t="n">
        <v>0.5</v>
      </c>
      <c r="M240" s="29" t="inlineStr">
        <is>
          <t>KARACABEY</t>
        </is>
      </c>
    </row>
    <row r="241">
      <c r="A241" s="4" t="n">
        <v>240</v>
      </c>
      <c r="B241" s="4" t="inlineStr">
        <is>
          <t>00209</t>
        </is>
      </c>
      <c r="C241" s="4" t="inlineStr">
        <is>
          <t>00209</t>
        </is>
      </c>
      <c r="D241" s="29" t="inlineStr">
        <is>
          <t>ASYA TİLKİ</t>
        </is>
      </c>
      <c r="E241" s="4" t="inlineStr">
        <is>
          <t>Perşembe</t>
        </is>
      </c>
      <c r="F241" s="4" t="inlineStr">
        <is>
          <t>8.10.2026</t>
        </is>
      </c>
      <c r="G241" s="4" t="inlineStr">
        <is>
          <t>07:43</t>
        </is>
      </c>
      <c r="H241" s="4" t="inlineStr">
        <is>
          <t>8.10.2026</t>
        </is>
      </c>
      <c r="I241" s="4" t="inlineStr">
        <is>
          <t>17:39</t>
        </is>
      </c>
      <c r="J241" s="8" t="n">
        <v>8</v>
      </c>
      <c r="K241" s="8" t="n">
        <v>7.5</v>
      </c>
      <c r="L241" s="8" t="n">
        <v>0.5</v>
      </c>
      <c r="M241" s="29" t="inlineStr">
        <is>
          <t>KARACABEY</t>
        </is>
      </c>
    </row>
    <row r="242">
      <c r="A242" s="4" t="n">
        <v>241</v>
      </c>
      <c r="B242" s="4" t="inlineStr">
        <is>
          <t>00209</t>
        </is>
      </c>
      <c r="C242" s="4" t="inlineStr">
        <is>
          <t>00209</t>
        </is>
      </c>
      <c r="D242" s="29" t="inlineStr">
        <is>
          <t>ASYA TİLKİ</t>
        </is>
      </c>
      <c r="E242" s="4" t="inlineStr">
        <is>
          <t>Cuma</t>
        </is>
      </c>
      <c r="F242" s="4" t="inlineStr">
        <is>
          <t>9.10.2026</t>
        </is>
      </c>
      <c r="G242" s="4" t="inlineStr">
        <is>
          <t>07:39</t>
        </is>
      </c>
      <c r="H242" s="4" t="inlineStr">
        <is>
          <t>9.10.2026</t>
        </is>
      </c>
      <c r="I242" s="4" t="inlineStr">
        <is>
          <t>17:45</t>
        </is>
      </c>
      <c r="J242" s="8" t="n">
        <v>8.5</v>
      </c>
      <c r="K242" s="8" t="n">
        <v>7.5</v>
      </c>
      <c r="L242" s="8" t="n">
        <v>1</v>
      </c>
      <c r="M242" s="29" t="inlineStr">
        <is>
          <t>KARACABEY</t>
        </is>
      </c>
    </row>
    <row r="243">
      <c r="A243" s="4" t="n">
        <v>242</v>
      </c>
      <c r="B243" s="4" t="inlineStr">
        <is>
          <t>00209</t>
        </is>
      </c>
      <c r="C243" s="4" t="inlineStr">
        <is>
          <t>00209</t>
        </is>
      </c>
      <c r="D243" s="29" t="inlineStr">
        <is>
          <t>ASYA TİLKİ</t>
        </is>
      </c>
      <c r="E243" s="4" t="inlineStr">
        <is>
          <t>Cumartesi</t>
        </is>
      </c>
      <c r="F243" s="4" t="inlineStr">
        <is>
          <t>10.10.2026</t>
        </is>
      </c>
      <c r="G243" s="4" t="inlineStr">
        <is>
          <t>07:42</t>
        </is>
      </c>
      <c r="H243" s="4" t="inlineStr">
        <is>
          <t>10.10.2026</t>
        </is>
      </c>
      <c r="I243" s="4" t="inlineStr">
        <is>
          <t>18:14</t>
        </is>
      </c>
      <c r="J243" s="8" t="n">
        <v>8.5</v>
      </c>
      <c r="K243" s="8" t="n">
        <v>7.5</v>
      </c>
      <c r="L243" s="8" t="n">
        <v>1</v>
      </c>
      <c r="M243" s="29" t="inlineStr">
        <is>
          <t>KARACABEY</t>
        </is>
      </c>
    </row>
    <row r="244">
      <c r="A244" s="4" t="n">
        <v>243</v>
      </c>
      <c r="B244" s="4" t="inlineStr">
        <is>
          <t>00209</t>
        </is>
      </c>
      <c r="C244" s="4" t="inlineStr">
        <is>
          <t>00209</t>
        </is>
      </c>
      <c r="D244" s="29" t="inlineStr">
        <is>
          <t>ASYA TİLKİ</t>
        </is>
      </c>
      <c r="E244" s="4" t="inlineStr">
        <is>
          <t>Pazartesi</t>
        </is>
      </c>
      <c r="F244" s="4" t="inlineStr">
        <is>
          <t>12.10.2026</t>
        </is>
      </c>
      <c r="G244" s="4" t="inlineStr">
        <is>
          <t>07:47</t>
        </is>
      </c>
      <c r="H244" s="4" t="inlineStr">
        <is>
          <t>12.10.2026</t>
        </is>
      </c>
      <c r="I244" s="4" t="inlineStr">
        <is>
          <t>17:03</t>
        </is>
      </c>
      <c r="J244" s="8" t="n">
        <v>7.5</v>
      </c>
      <c r="K244" s="8" t="n">
        <v>7.5</v>
      </c>
      <c r="L244" s="8" t="n">
        <v>0</v>
      </c>
      <c r="M244" s="29" t="inlineStr">
        <is>
          <t>KARACABEY</t>
        </is>
      </c>
    </row>
    <row r="245">
      <c r="A245" s="4" t="n">
        <v>244</v>
      </c>
      <c r="B245" s="4" t="inlineStr">
        <is>
          <t>00209</t>
        </is>
      </c>
      <c r="C245" s="4" t="inlineStr">
        <is>
          <t>00209</t>
        </is>
      </c>
      <c r="D245" s="29" t="inlineStr">
        <is>
          <t>ASYA TİLKİ</t>
        </is>
      </c>
      <c r="E245" s="4" t="inlineStr">
        <is>
          <t>Salı</t>
        </is>
      </c>
      <c r="F245" s="4" t="inlineStr">
        <is>
          <t>13.10.2026</t>
        </is>
      </c>
      <c r="G245" s="4" t="inlineStr">
        <is>
          <t>07:44</t>
        </is>
      </c>
      <c r="H245" s="4" t="inlineStr">
        <is>
          <t>13.10.2026</t>
        </is>
      </c>
      <c r="I245" s="4" t="inlineStr">
        <is>
          <t>17:02</t>
        </is>
      </c>
      <c r="J245" s="8" t="n">
        <v>7.5</v>
      </c>
      <c r="K245" s="8" t="n">
        <v>7.5</v>
      </c>
      <c r="L245" s="8" t="n">
        <v>0</v>
      </c>
      <c r="M245" s="29" t="inlineStr">
        <is>
          <t>KARACABEY</t>
        </is>
      </c>
    </row>
    <row r="246">
      <c r="A246" s="4" t="n">
        <v>245</v>
      </c>
      <c r="B246" s="4" t="inlineStr">
        <is>
          <t>00209</t>
        </is>
      </c>
      <c r="C246" s="4" t="inlineStr">
        <is>
          <t>00209</t>
        </is>
      </c>
      <c r="D246" s="29" t="inlineStr">
        <is>
          <t>ASYA TİLKİ</t>
        </is>
      </c>
      <c r="E246" s="4" t="inlineStr">
        <is>
          <t>Çarşamba</t>
        </is>
      </c>
      <c r="F246" s="4" t="inlineStr">
        <is>
          <t>14.10.2026</t>
        </is>
      </c>
      <c r="G246" s="4" t="inlineStr">
        <is>
          <t>07:47</t>
        </is>
      </c>
      <c r="H246" s="4" t="inlineStr">
        <is>
          <t>14.10.2026</t>
        </is>
      </c>
      <c r="I246" s="4" t="inlineStr">
        <is>
          <t>18:08</t>
        </is>
      </c>
      <c r="J246" s="8" t="n">
        <v>8.5</v>
      </c>
      <c r="K246" s="8" t="n">
        <v>7.5</v>
      </c>
      <c r="L246" s="8" t="n">
        <v>1</v>
      </c>
      <c r="M246" s="29" t="inlineStr">
        <is>
          <t>KARACABEY</t>
        </is>
      </c>
    </row>
    <row r="247">
      <c r="A247" s="4" t="n">
        <v>246</v>
      </c>
      <c r="B247" s="4" t="inlineStr">
        <is>
          <t>00209</t>
        </is>
      </c>
      <c r="C247" s="4" t="inlineStr">
        <is>
          <t>00209</t>
        </is>
      </c>
      <c r="D247" s="29" t="inlineStr">
        <is>
          <t>ASYA TİLKİ</t>
        </is>
      </c>
      <c r="E247" s="4" t="inlineStr">
        <is>
          <t>Perşembe</t>
        </is>
      </c>
      <c r="F247" s="4" t="inlineStr">
        <is>
          <t>15.10.2026</t>
        </is>
      </c>
      <c r="G247" s="4" t="inlineStr">
        <is>
          <t>07:45</t>
        </is>
      </c>
      <c r="H247" s="4" t="inlineStr">
        <is>
          <t>15.10.2026</t>
        </is>
      </c>
      <c r="I247" s="4" t="inlineStr">
        <is>
          <t>17:05</t>
        </is>
      </c>
      <c r="J247" s="8" t="n">
        <v>7.5</v>
      </c>
      <c r="K247" s="8" t="n">
        <v>7.5</v>
      </c>
      <c r="L247" s="8" t="n">
        <v>0</v>
      </c>
      <c r="M247" s="29" t="inlineStr">
        <is>
          <t>KARACABEY</t>
        </is>
      </c>
    </row>
    <row r="248">
      <c r="A248" s="4" t="n">
        <v>247</v>
      </c>
      <c r="B248" s="4" t="inlineStr">
        <is>
          <t>00209</t>
        </is>
      </c>
      <c r="C248" s="4" t="inlineStr">
        <is>
          <t>00209</t>
        </is>
      </c>
      <c r="D248" s="29" t="inlineStr">
        <is>
          <t>ASYA TİLKİ</t>
        </is>
      </c>
      <c r="E248" s="4" t="inlineStr">
        <is>
          <t>Cuma</t>
        </is>
      </c>
      <c r="F248" s="4" t="inlineStr">
        <is>
          <t>16.10.2026</t>
        </is>
      </c>
      <c r="G248" s="4" t="inlineStr">
        <is>
          <t>07:41</t>
        </is>
      </c>
      <c r="H248" s="4" t="inlineStr">
        <is>
          <t>16.10.2026</t>
        </is>
      </c>
      <c r="I248" s="4" t="inlineStr">
        <is>
          <t>17:19</t>
        </is>
      </c>
      <c r="J248" s="8" t="n">
        <v>7.5</v>
      </c>
      <c r="K248" s="8" t="n">
        <v>7.5</v>
      </c>
      <c r="L248" s="8" t="n">
        <v>0</v>
      </c>
      <c r="M248" s="29" t="inlineStr">
        <is>
          <t>KARACABEY</t>
        </is>
      </c>
    </row>
    <row r="249">
      <c r="A249" s="4" t="n">
        <v>248</v>
      </c>
      <c r="B249" s="4" t="inlineStr">
        <is>
          <t>00209</t>
        </is>
      </c>
      <c r="C249" s="4" t="inlineStr">
        <is>
          <t>00209</t>
        </is>
      </c>
      <c r="D249" s="29" t="inlineStr">
        <is>
          <t>ASYA TİLKİ</t>
        </is>
      </c>
      <c r="E249" s="4" t="inlineStr">
        <is>
          <t>Cumartesi</t>
        </is>
      </c>
      <c r="F249" s="4" t="inlineStr">
        <is>
          <t>17.10.2026</t>
        </is>
      </c>
      <c r="G249" s="4" t="inlineStr">
        <is>
          <t>07:43</t>
        </is>
      </c>
      <c r="H249" s="4" t="inlineStr">
        <is>
          <t>17.10.2026</t>
        </is>
      </c>
      <c r="I249" s="4" t="inlineStr">
        <is>
          <t>17:52</t>
        </is>
      </c>
      <c r="J249" s="8" t="n">
        <v>8.5</v>
      </c>
      <c r="K249" s="8" t="n">
        <v>7.5</v>
      </c>
      <c r="L249" s="8" t="n">
        <v>1</v>
      </c>
      <c r="M249" s="29" t="inlineStr">
        <is>
          <t>KARACABEY</t>
        </is>
      </c>
    </row>
    <row r="250">
      <c r="A250" s="4" t="n">
        <v>249</v>
      </c>
      <c r="B250" s="4" t="inlineStr">
        <is>
          <t>00209</t>
        </is>
      </c>
      <c r="C250" s="4" t="inlineStr">
        <is>
          <t>00209</t>
        </is>
      </c>
      <c r="D250" s="29" t="inlineStr">
        <is>
          <t>ASYA TİLKİ</t>
        </is>
      </c>
      <c r="E250" s="4" t="inlineStr">
        <is>
          <t>Pazartesi</t>
        </is>
      </c>
      <c r="F250" s="4" t="inlineStr">
        <is>
          <t>19.10.2026</t>
        </is>
      </c>
      <c r="G250" s="4" t="inlineStr">
        <is>
          <t>07:47</t>
        </is>
      </c>
      <c r="H250" s="4" t="inlineStr">
        <is>
          <t>19.10.2026</t>
        </is>
      </c>
      <c r="I250" s="4" t="inlineStr">
        <is>
          <t>17:48</t>
        </is>
      </c>
      <c r="J250" s="8" t="n">
        <v>8.5</v>
      </c>
      <c r="K250" s="8" t="n">
        <v>7.5</v>
      </c>
      <c r="L250" s="8" t="n">
        <v>1</v>
      </c>
      <c r="M250" s="29" t="inlineStr">
        <is>
          <t>KARACABEY</t>
        </is>
      </c>
    </row>
    <row r="251">
      <c r="A251" s="4" t="n">
        <v>250</v>
      </c>
      <c r="B251" s="4" t="inlineStr">
        <is>
          <t>00209</t>
        </is>
      </c>
      <c r="C251" s="4" t="inlineStr">
        <is>
          <t>00209</t>
        </is>
      </c>
      <c r="D251" s="29" t="inlineStr">
        <is>
          <t>ASYA TİLKİ</t>
        </is>
      </c>
      <c r="E251" s="4" t="inlineStr">
        <is>
          <t>Salı</t>
        </is>
      </c>
      <c r="F251" s="4" t="inlineStr">
        <is>
          <t>20.10.2026</t>
        </is>
      </c>
      <c r="G251" s="4" t="inlineStr">
        <is>
          <t>07:50</t>
        </is>
      </c>
      <c r="H251" s="4" t="inlineStr">
        <is>
          <t>20.10.2026</t>
        </is>
      </c>
      <c r="I251" s="4" t="inlineStr">
        <is>
          <t>17:04</t>
        </is>
      </c>
      <c r="J251" s="8" t="n">
        <v>7.5</v>
      </c>
      <c r="K251" s="8" t="n">
        <v>7.5</v>
      </c>
      <c r="L251" s="8" t="n">
        <v>0</v>
      </c>
      <c r="M251" s="29" t="inlineStr">
        <is>
          <t>KARACABEY</t>
        </is>
      </c>
    </row>
    <row r="252">
      <c r="A252" s="4" t="n">
        <v>251</v>
      </c>
      <c r="B252" s="4" t="inlineStr">
        <is>
          <t>00209</t>
        </is>
      </c>
      <c r="C252" s="4" t="inlineStr">
        <is>
          <t>00209</t>
        </is>
      </c>
      <c r="D252" s="29" t="inlineStr">
        <is>
          <t>ASYA TİLKİ</t>
        </is>
      </c>
      <c r="E252" s="4" t="inlineStr">
        <is>
          <t>Çarşamba</t>
        </is>
      </c>
      <c r="F252" s="4" t="inlineStr">
        <is>
          <t>21.10.2026</t>
        </is>
      </c>
      <c r="G252" s="4" t="inlineStr">
        <is>
          <t>07:44</t>
        </is>
      </c>
      <c r="H252" s="4" t="inlineStr">
        <is>
          <t>21.10.2026</t>
        </is>
      </c>
      <c r="I252" s="4" t="inlineStr">
        <is>
          <t>17:05</t>
        </is>
      </c>
      <c r="J252" s="8" t="n">
        <v>7.5</v>
      </c>
      <c r="K252" s="8" t="n">
        <v>7.5</v>
      </c>
      <c r="L252" s="8" t="n">
        <v>0</v>
      </c>
      <c r="M252" s="29" t="inlineStr">
        <is>
          <t>KARACABEY</t>
        </is>
      </c>
    </row>
    <row r="253">
      <c r="A253" s="4" t="n">
        <v>252</v>
      </c>
      <c r="B253" s="4" t="inlineStr">
        <is>
          <t>01391</t>
        </is>
      </c>
      <c r="C253" s="4" t="inlineStr">
        <is>
          <t>01391</t>
        </is>
      </c>
      <c r="D253" s="29" t="inlineStr">
        <is>
          <t>ATAKAN TORUN</t>
        </is>
      </c>
      <c r="E253" s="4" t="inlineStr">
        <is>
          <t>Cumartesi</t>
        </is>
      </c>
      <c r="F253" s="4" t="inlineStr">
        <is>
          <t>3.10.2026</t>
        </is>
      </c>
      <c r="G253" s="4" t="inlineStr">
        <is>
          <t>19:52</t>
        </is>
      </c>
      <c r="H253" s="4" t="inlineStr">
        <is>
          <t>3.10.2026</t>
        </is>
      </c>
      <c r="I253" s="4" t="inlineStr">
        <is>
          <t>08:02</t>
        </is>
      </c>
      <c r="J253" s="8" t="n">
        <v>10.5</v>
      </c>
      <c r="K253" s="8" t="n">
        <v>7.5</v>
      </c>
      <c r="L253" s="8" t="n">
        <v>3</v>
      </c>
      <c r="M253" s="29" t="inlineStr">
        <is>
          <t>HALİL DİĞRENCİ</t>
        </is>
      </c>
    </row>
    <row r="254">
      <c r="A254" s="4" t="n">
        <v>253</v>
      </c>
      <c r="B254" s="4" t="inlineStr">
        <is>
          <t>01391</t>
        </is>
      </c>
      <c r="C254" s="4" t="inlineStr">
        <is>
          <t>01391</t>
        </is>
      </c>
      <c r="D254" s="29" t="inlineStr">
        <is>
          <t>ATAKAN TORUN</t>
        </is>
      </c>
      <c r="E254" s="4" t="inlineStr">
        <is>
          <t>Salı</t>
        </is>
      </c>
      <c r="F254" s="4" t="inlineStr">
        <is>
          <t>6.10.2026</t>
        </is>
      </c>
      <c r="G254" s="4" t="inlineStr">
        <is>
          <t>19:53</t>
        </is>
      </c>
      <c r="H254" s="4" t="inlineStr">
        <is>
          <t>6.10.2026</t>
        </is>
      </c>
      <c r="I254" s="4" t="inlineStr">
        <is>
          <t>08:02</t>
        </is>
      </c>
      <c r="J254" s="8" t="n">
        <v>10.5</v>
      </c>
      <c r="K254" s="8" t="n">
        <v>7.5</v>
      </c>
      <c r="L254" s="8" t="n">
        <v>3</v>
      </c>
      <c r="M254" s="29" t="inlineStr">
        <is>
          <t>HALİL DİĞRENCİ</t>
        </is>
      </c>
    </row>
    <row r="255">
      <c r="A255" s="4" t="n">
        <v>254</v>
      </c>
      <c r="B255" s="4" t="inlineStr">
        <is>
          <t>01391</t>
        </is>
      </c>
      <c r="C255" s="4" t="inlineStr">
        <is>
          <t>01391</t>
        </is>
      </c>
      <c r="D255" s="29" t="inlineStr">
        <is>
          <t>ATAKAN TORUN</t>
        </is>
      </c>
      <c r="E255" s="4" t="inlineStr">
        <is>
          <t>Çarşamba</t>
        </is>
      </c>
      <c r="F255" s="4" t="inlineStr">
        <is>
          <t>7.10.2026</t>
        </is>
      </c>
      <c r="G255" s="4" t="inlineStr">
        <is>
          <t>19:51</t>
        </is>
      </c>
      <c r="H255" s="4" t="inlineStr">
        <is>
          <t>7.10.2026</t>
        </is>
      </c>
      <c r="I255" s="4" t="inlineStr">
        <is>
          <t>07:58</t>
        </is>
      </c>
      <c r="J255" s="8" t="n">
        <v>10.5</v>
      </c>
      <c r="K255" s="8" t="n">
        <v>7.5</v>
      </c>
      <c r="L255" s="8" t="n">
        <v>3</v>
      </c>
      <c r="M255" s="29" t="inlineStr">
        <is>
          <t>HALİL DİĞRENCİ</t>
        </is>
      </c>
    </row>
    <row r="256">
      <c r="A256" s="4" t="n">
        <v>255</v>
      </c>
      <c r="B256" s="4" t="inlineStr">
        <is>
          <t>01391</t>
        </is>
      </c>
      <c r="C256" s="4" t="inlineStr">
        <is>
          <t>01391</t>
        </is>
      </c>
      <c r="D256" s="29" t="inlineStr">
        <is>
          <t>ATAKAN TORUN</t>
        </is>
      </c>
      <c r="E256" s="4" t="inlineStr">
        <is>
          <t>Perşembe</t>
        </is>
      </c>
      <c r="F256" s="4" t="inlineStr">
        <is>
          <t>8.10.2026</t>
        </is>
      </c>
      <c r="G256" s="4" t="inlineStr">
        <is>
          <t>20:02</t>
        </is>
      </c>
      <c r="H256" s="4" t="inlineStr">
        <is>
          <t>8.10.2026</t>
        </is>
      </c>
      <c r="I256" s="4" t="inlineStr">
        <is>
          <t>08:01</t>
        </is>
      </c>
      <c r="J256" s="8" t="n">
        <v>10.5</v>
      </c>
      <c r="K256" s="8" t="n">
        <v>7.5</v>
      </c>
      <c r="L256" s="8" t="n">
        <v>3</v>
      </c>
      <c r="M256" s="29" t="inlineStr">
        <is>
          <t>HALİL DİĞRENCİ</t>
        </is>
      </c>
    </row>
    <row r="257">
      <c r="A257" s="4" t="n">
        <v>256</v>
      </c>
      <c r="B257" s="4" t="inlineStr">
        <is>
          <t>01391</t>
        </is>
      </c>
      <c r="C257" s="4" t="inlineStr">
        <is>
          <t>01391</t>
        </is>
      </c>
      <c r="D257" s="29" t="inlineStr">
        <is>
          <t>ATAKAN TORUN</t>
        </is>
      </c>
      <c r="E257" s="4" t="inlineStr">
        <is>
          <t>Cuma</t>
        </is>
      </c>
      <c r="F257" s="4" t="inlineStr">
        <is>
          <t>9.10.2026</t>
        </is>
      </c>
      <c r="G257" s="4" t="inlineStr">
        <is>
          <t>19:59</t>
        </is>
      </c>
      <c r="H257" s="4" t="inlineStr">
        <is>
          <t>9.10.2026</t>
        </is>
      </c>
      <c r="I257" s="4" t="inlineStr">
        <is>
          <t>08:01</t>
        </is>
      </c>
      <c r="J257" s="8" t="n">
        <v>10.5</v>
      </c>
      <c r="K257" s="8" t="n">
        <v>7.5</v>
      </c>
      <c r="L257" s="8" t="n">
        <v>3</v>
      </c>
      <c r="M257" s="29" t="inlineStr">
        <is>
          <t>HALİL DİĞRENCİ</t>
        </is>
      </c>
    </row>
    <row r="258">
      <c r="A258" s="4" t="n">
        <v>257</v>
      </c>
      <c r="B258" s="4" t="inlineStr">
        <is>
          <t>01391</t>
        </is>
      </c>
      <c r="C258" s="4" t="inlineStr">
        <is>
          <t>01391</t>
        </is>
      </c>
      <c r="D258" s="29" t="inlineStr">
        <is>
          <t>ATAKAN TORUN</t>
        </is>
      </c>
      <c r="E258" s="4" t="inlineStr">
        <is>
          <t>Pazartesi</t>
        </is>
      </c>
      <c r="F258" s="4" t="inlineStr">
        <is>
          <t>12.10.2026</t>
        </is>
      </c>
      <c r="G258" s="4" t="inlineStr">
        <is>
          <t>19:59</t>
        </is>
      </c>
      <c r="H258" s="4" t="inlineStr">
        <is>
          <t>12.10.2026</t>
        </is>
      </c>
      <c r="I258" s="4" t="inlineStr">
        <is>
          <t>07:58</t>
        </is>
      </c>
      <c r="J258" s="8" t="n">
        <v>10.5</v>
      </c>
      <c r="K258" s="8" t="n">
        <v>7.5</v>
      </c>
      <c r="L258" s="8" t="n">
        <v>3</v>
      </c>
      <c r="M258" s="29" t="inlineStr">
        <is>
          <t>HALİL DİĞRENCİ</t>
        </is>
      </c>
    </row>
    <row r="259">
      <c r="A259" s="4" t="n">
        <v>258</v>
      </c>
      <c r="B259" s="4" t="inlineStr">
        <is>
          <t>01391</t>
        </is>
      </c>
      <c r="C259" s="4" t="inlineStr">
        <is>
          <t>01391</t>
        </is>
      </c>
      <c r="D259" s="29" t="inlineStr">
        <is>
          <t>ATAKAN TORUN</t>
        </is>
      </c>
      <c r="E259" s="4" t="inlineStr">
        <is>
          <t>Salı</t>
        </is>
      </c>
      <c r="F259" s="4" t="inlineStr">
        <is>
          <t>13.10.2026</t>
        </is>
      </c>
      <c r="G259" s="4" t="inlineStr">
        <is>
          <t>19:53</t>
        </is>
      </c>
      <c r="H259" s="4" t="inlineStr">
        <is>
          <t>13.10.2026</t>
        </is>
      </c>
      <c r="I259" s="4" t="inlineStr">
        <is>
          <t>08:03</t>
        </is>
      </c>
      <c r="J259" s="8" t="n">
        <v>10.5</v>
      </c>
      <c r="K259" s="8" t="n">
        <v>7.5</v>
      </c>
      <c r="L259" s="8" t="n">
        <v>3</v>
      </c>
      <c r="M259" s="29" t="inlineStr">
        <is>
          <t>HALİL DİĞRENCİ</t>
        </is>
      </c>
    </row>
    <row r="260">
      <c r="A260" s="4" t="n">
        <v>259</v>
      </c>
      <c r="B260" s="4" t="inlineStr">
        <is>
          <t>01391</t>
        </is>
      </c>
      <c r="C260" s="4" t="inlineStr">
        <is>
          <t>01391</t>
        </is>
      </c>
      <c r="D260" s="29" t="inlineStr">
        <is>
          <t>ATAKAN TORUN</t>
        </is>
      </c>
      <c r="E260" s="4" t="inlineStr">
        <is>
          <t>Çarşamba</t>
        </is>
      </c>
      <c r="F260" s="4" t="inlineStr">
        <is>
          <t>14.10.2026</t>
        </is>
      </c>
      <c r="G260" s="4" t="inlineStr">
        <is>
          <t>20:04</t>
        </is>
      </c>
      <c r="H260" s="4" t="inlineStr">
        <is>
          <t>14.10.2026</t>
        </is>
      </c>
      <c r="I260" s="4" t="inlineStr">
        <is>
          <t>08:00</t>
        </is>
      </c>
      <c r="J260" s="8" t="n">
        <v>10.5</v>
      </c>
      <c r="K260" s="8" t="n">
        <v>7.5</v>
      </c>
      <c r="L260" s="8" t="n">
        <v>3</v>
      </c>
      <c r="M260" s="29" t="inlineStr">
        <is>
          <t>HALİL DİĞRENCİ</t>
        </is>
      </c>
    </row>
    <row r="261">
      <c r="A261" s="4" t="n">
        <v>260</v>
      </c>
      <c r="B261" s="4" t="inlineStr">
        <is>
          <t>01391</t>
        </is>
      </c>
      <c r="C261" s="4" t="inlineStr">
        <is>
          <t>01391</t>
        </is>
      </c>
      <c r="D261" s="29" t="inlineStr">
        <is>
          <t>ATAKAN TORUN</t>
        </is>
      </c>
      <c r="E261" s="4" t="inlineStr">
        <is>
          <t>Perşembe</t>
        </is>
      </c>
      <c r="F261" s="4" t="inlineStr">
        <is>
          <t>15.10.2026</t>
        </is>
      </c>
      <c r="G261" s="4" t="inlineStr">
        <is>
          <t>19:51</t>
        </is>
      </c>
      <c r="H261" s="4" t="inlineStr">
        <is>
          <t>15.10.2026</t>
        </is>
      </c>
      <c r="I261" s="4" t="inlineStr">
        <is>
          <t>21:34</t>
        </is>
      </c>
      <c r="J261" s="8" t="n">
        <v>1.5</v>
      </c>
      <c r="K261" s="8" t="n">
        <v>1.5</v>
      </c>
      <c r="L261" s="8" t="n">
        <v>0</v>
      </c>
      <c r="M261" s="29" t="inlineStr">
        <is>
          <t>HALİL DİĞRENCİ</t>
        </is>
      </c>
    </row>
    <row r="262">
      <c r="A262" s="4" t="n">
        <v>261</v>
      </c>
      <c r="B262" s="4" t="inlineStr">
        <is>
          <t>01391</t>
        </is>
      </c>
      <c r="C262" s="4" t="inlineStr">
        <is>
          <t>01391</t>
        </is>
      </c>
      <c r="D262" s="29" t="inlineStr">
        <is>
          <t>ATAKAN TORUN</t>
        </is>
      </c>
      <c r="E262" s="4" t="inlineStr">
        <is>
          <t>Pazartesi</t>
        </is>
      </c>
      <c r="F262" s="4" t="inlineStr">
        <is>
          <t>19.10.2026</t>
        </is>
      </c>
      <c r="G262" s="4" t="inlineStr">
        <is>
          <t>20:13</t>
        </is>
      </c>
      <c r="H262" s="4" t="inlineStr">
        <is>
          <t>19.10.2026</t>
        </is>
      </c>
      <c r="I262" s="4" t="inlineStr">
        <is>
          <t>08:04</t>
        </is>
      </c>
      <c r="J262" s="8" t="n">
        <v>10.5</v>
      </c>
      <c r="K262" s="8" t="n">
        <v>7.5</v>
      </c>
      <c r="L262" s="8" t="n">
        <v>3</v>
      </c>
      <c r="M262" s="29" t="inlineStr">
        <is>
          <t>HALİL DİĞRENCİ</t>
        </is>
      </c>
    </row>
    <row r="263">
      <c r="A263" s="4" t="n">
        <v>262</v>
      </c>
      <c r="B263" s="4" t="inlineStr">
        <is>
          <t>00211</t>
        </is>
      </c>
      <c r="C263" s="4" t="inlineStr">
        <is>
          <t>00211</t>
        </is>
      </c>
      <c r="D263" s="29" t="inlineStr">
        <is>
          <t>AYÇA SEZER</t>
        </is>
      </c>
      <c r="E263" s="4" t="inlineStr">
        <is>
          <t>Perşembe</t>
        </is>
      </c>
      <c r="F263" s="4" t="inlineStr">
        <is>
          <t>1.10.2026</t>
        </is>
      </c>
      <c r="G263" s="4" t="inlineStr">
        <is>
          <t>07:43</t>
        </is>
      </c>
      <c r="H263" s="4" t="inlineStr">
        <is>
          <t>1.10.2026</t>
        </is>
      </c>
      <c r="I263" s="4" t="inlineStr">
        <is>
          <t>19:34</t>
        </is>
      </c>
      <c r="J263" s="8" t="n">
        <v>10</v>
      </c>
      <c r="K263" s="8" t="n">
        <v>7.5</v>
      </c>
      <c r="L263" s="8" t="n">
        <v>2.5</v>
      </c>
      <c r="M263" s="29" t="inlineStr">
        <is>
          <t>BANDIRMA</t>
        </is>
      </c>
    </row>
    <row r="264">
      <c r="A264" s="4" t="n">
        <v>263</v>
      </c>
      <c r="B264" s="4" t="inlineStr">
        <is>
          <t>00211</t>
        </is>
      </c>
      <c r="C264" s="4" t="inlineStr">
        <is>
          <t>00211</t>
        </is>
      </c>
      <c r="D264" s="29" t="inlineStr">
        <is>
          <t>AYÇA SEZER</t>
        </is>
      </c>
      <c r="E264" s="4" t="inlineStr">
        <is>
          <t>Cuma</t>
        </is>
      </c>
      <c r="F264" s="4" t="inlineStr">
        <is>
          <t>2.10.2026</t>
        </is>
      </c>
      <c r="G264" s="4" t="inlineStr">
        <is>
          <t>07:43</t>
        </is>
      </c>
      <c r="H264" s="4" t="inlineStr">
        <is>
          <t>2.10.2026</t>
        </is>
      </c>
      <c r="I264" s="4" t="inlineStr">
        <is>
          <t>08:11</t>
        </is>
      </c>
      <c r="J264" s="8" t="n">
        <v>15</v>
      </c>
      <c r="K264" s="8" t="n">
        <v>7.5</v>
      </c>
      <c r="L264" s="8" t="n">
        <v>7.5</v>
      </c>
      <c r="M264" s="29" t="inlineStr">
        <is>
          <t>BANDIRMA</t>
        </is>
      </c>
    </row>
    <row r="265">
      <c r="A265" s="4" t="n">
        <v>264</v>
      </c>
      <c r="B265" s="4" t="inlineStr">
        <is>
          <t>00211</t>
        </is>
      </c>
      <c r="C265" s="4" t="inlineStr">
        <is>
          <t>00211</t>
        </is>
      </c>
      <c r="D265" s="29" t="inlineStr">
        <is>
          <t>AYÇA SEZER</t>
        </is>
      </c>
      <c r="E265" s="4" t="inlineStr">
        <is>
          <t>Cumartesi</t>
        </is>
      </c>
      <c r="F265" s="4" t="inlineStr">
        <is>
          <t>3.10.2026</t>
        </is>
      </c>
      <c r="G265" s="4" t="inlineStr">
        <is>
          <t>19:42</t>
        </is>
      </c>
      <c r="H265" s="4" t="inlineStr">
        <is>
          <t>3.10.2026</t>
        </is>
      </c>
      <c r="I265" s="4" t="inlineStr">
        <is>
          <t>05:00</t>
        </is>
      </c>
      <c r="J265" s="8" t="n">
        <v>8.5</v>
      </c>
      <c r="K265" s="8" t="n">
        <v>7.5</v>
      </c>
      <c r="L265" s="8" t="n">
        <v>1</v>
      </c>
      <c r="M265" s="29" t="inlineStr">
        <is>
          <t>BANDIRMA</t>
        </is>
      </c>
    </row>
    <row r="266">
      <c r="A266" s="4" t="n">
        <v>265</v>
      </c>
      <c r="B266" s="4" t="inlineStr">
        <is>
          <t>00211</t>
        </is>
      </c>
      <c r="C266" s="4" t="inlineStr">
        <is>
          <t>00211</t>
        </is>
      </c>
      <c r="D266" s="29" t="inlineStr">
        <is>
          <t>AYÇA SEZER</t>
        </is>
      </c>
      <c r="E266" s="4" t="inlineStr">
        <is>
          <t>Perşembe</t>
        </is>
      </c>
      <c r="F266" s="4" t="inlineStr">
        <is>
          <t>8.10.2026</t>
        </is>
      </c>
      <c r="G266" s="4" t="inlineStr">
        <is>
          <t>07:50</t>
        </is>
      </c>
      <c r="H266" s="4" t="inlineStr">
        <is>
          <t>8.10.2026</t>
        </is>
      </c>
      <c r="I266" s="4" t="inlineStr">
        <is>
          <t>22:00</t>
        </is>
      </c>
      <c r="J266" s="8" t="n">
        <v>12.5</v>
      </c>
      <c r="K266" s="8" t="n">
        <v>7.5</v>
      </c>
      <c r="L266" s="8" t="n">
        <v>5</v>
      </c>
      <c r="M266" s="29" t="inlineStr">
        <is>
          <t>BANDIRMA</t>
        </is>
      </c>
    </row>
    <row r="267">
      <c r="A267" s="4" t="n">
        <v>266</v>
      </c>
      <c r="B267" s="4" t="inlineStr">
        <is>
          <t>00211</t>
        </is>
      </c>
      <c r="C267" s="4" t="inlineStr">
        <is>
          <t>00211</t>
        </is>
      </c>
      <c r="D267" s="29" t="inlineStr">
        <is>
          <t>AYÇA SEZER</t>
        </is>
      </c>
      <c r="E267" s="4" t="inlineStr">
        <is>
          <t>Cuma</t>
        </is>
      </c>
      <c r="F267" s="4" t="inlineStr">
        <is>
          <t>9.10.2026</t>
        </is>
      </c>
      <c r="G267" s="4" t="inlineStr">
        <is>
          <t>07:41</t>
        </is>
      </c>
      <c r="H267" s="4" t="inlineStr">
        <is>
          <t>9.10.2026</t>
        </is>
      </c>
      <c r="I267" s="4" t="inlineStr">
        <is>
          <t>17:46</t>
        </is>
      </c>
      <c r="J267" s="8" t="n">
        <v>8.5</v>
      </c>
      <c r="K267" s="8" t="n">
        <v>7.5</v>
      </c>
      <c r="L267" s="8" t="n">
        <v>1</v>
      </c>
      <c r="M267" s="29" t="inlineStr">
        <is>
          <t>BANDIRMA</t>
        </is>
      </c>
    </row>
    <row r="268">
      <c r="A268" s="4" t="n">
        <v>267</v>
      </c>
      <c r="B268" s="4" t="inlineStr">
        <is>
          <t>00211</t>
        </is>
      </c>
      <c r="C268" s="4" t="inlineStr">
        <is>
          <t>00211</t>
        </is>
      </c>
      <c r="D268" s="29" t="inlineStr">
        <is>
          <t>AYÇA SEZER</t>
        </is>
      </c>
      <c r="E268" s="4" t="inlineStr">
        <is>
          <t>Cumartesi</t>
        </is>
      </c>
      <c r="F268" s="4" t="inlineStr">
        <is>
          <t>10.10.2026</t>
        </is>
      </c>
      <c r="G268" s="4" t="inlineStr">
        <is>
          <t>07:41</t>
        </is>
      </c>
      <c r="H268" s="4" t="inlineStr">
        <is>
          <t>10.10.2026</t>
        </is>
      </c>
      <c r="I268" s="4" t="inlineStr">
        <is>
          <t>00:45</t>
        </is>
      </c>
      <c r="J268" s="8" t="n">
        <v>15.5</v>
      </c>
      <c r="K268" s="8" t="n">
        <v>7.5</v>
      </c>
      <c r="L268" s="8" t="n">
        <v>8</v>
      </c>
      <c r="M268" s="29" t="inlineStr">
        <is>
          <t>BANDIRMA</t>
        </is>
      </c>
    </row>
    <row r="269">
      <c r="A269" s="4" t="n">
        <v>268</v>
      </c>
      <c r="B269" s="4" t="inlineStr">
        <is>
          <t>00211</t>
        </is>
      </c>
      <c r="C269" s="4" t="inlineStr">
        <is>
          <t>00211</t>
        </is>
      </c>
      <c r="D269" s="29" t="inlineStr">
        <is>
          <t>AYÇA SEZER</t>
        </is>
      </c>
      <c r="E269" s="4" t="inlineStr">
        <is>
          <t>Pazartesi</t>
        </is>
      </c>
      <c r="F269" s="4" t="inlineStr">
        <is>
          <t>12.10.2026</t>
        </is>
      </c>
      <c r="G269" s="4" t="inlineStr">
        <is>
          <t>07:54</t>
        </is>
      </c>
      <c r="H269" s="4" t="inlineStr">
        <is>
          <t>12.10.2026</t>
        </is>
      </c>
      <c r="I269" s="4" t="inlineStr">
        <is>
          <t>21:01</t>
        </is>
      </c>
      <c r="J269" s="8" t="n">
        <v>11.5</v>
      </c>
      <c r="K269" s="8" t="n">
        <v>7.5</v>
      </c>
      <c r="L269" s="8" t="n">
        <v>4</v>
      </c>
      <c r="M269" s="29" t="inlineStr">
        <is>
          <t>BANDIRMA</t>
        </is>
      </c>
    </row>
    <row r="270">
      <c r="A270" s="4" t="n">
        <v>269</v>
      </c>
      <c r="B270" s="4" t="inlineStr">
        <is>
          <t>00211</t>
        </is>
      </c>
      <c r="C270" s="4" t="inlineStr">
        <is>
          <t>00211</t>
        </is>
      </c>
      <c r="D270" s="29" t="inlineStr">
        <is>
          <t>AYÇA SEZER</t>
        </is>
      </c>
      <c r="E270" s="4" t="inlineStr">
        <is>
          <t>Salı</t>
        </is>
      </c>
      <c r="F270" s="4" t="inlineStr">
        <is>
          <t>13.10.2026</t>
        </is>
      </c>
      <c r="G270" s="4" t="inlineStr">
        <is>
          <t>07:45</t>
        </is>
      </c>
      <c r="H270" s="4" t="inlineStr">
        <is>
          <t>13.10.2026</t>
        </is>
      </c>
      <c r="I270" s="4" t="inlineStr">
        <is>
          <t>17:08</t>
        </is>
      </c>
      <c r="J270" s="8" t="n">
        <v>7.5</v>
      </c>
      <c r="K270" s="8" t="n">
        <v>7.5</v>
      </c>
      <c r="L270" s="8" t="n">
        <v>0</v>
      </c>
      <c r="M270" s="29" t="inlineStr">
        <is>
          <t>BANDIRMA</t>
        </is>
      </c>
    </row>
    <row r="271">
      <c r="A271" s="4" t="n">
        <v>270</v>
      </c>
      <c r="B271" s="4" t="inlineStr">
        <is>
          <t>00211</t>
        </is>
      </c>
      <c r="C271" s="4" t="inlineStr">
        <is>
          <t>00211</t>
        </is>
      </c>
      <c r="D271" s="29" t="inlineStr">
        <is>
          <t>AYÇA SEZER</t>
        </is>
      </c>
      <c r="E271" s="4" t="inlineStr">
        <is>
          <t>Perşembe</t>
        </is>
      </c>
      <c r="F271" s="4" t="inlineStr">
        <is>
          <t>15.10.2026</t>
        </is>
      </c>
      <c r="G271" s="4" t="inlineStr">
        <is>
          <t>07:43</t>
        </is>
      </c>
      <c r="H271" s="4" t="inlineStr">
        <is>
          <t>15.10.2026</t>
        </is>
      </c>
      <c r="I271" s="4" t="inlineStr">
        <is>
          <t>17:01</t>
        </is>
      </c>
      <c r="J271" s="8" t="n">
        <v>7.5</v>
      </c>
      <c r="K271" s="8" t="n">
        <v>7.5</v>
      </c>
      <c r="L271" s="8" t="n">
        <v>0</v>
      </c>
      <c r="M271" s="29" t="inlineStr">
        <is>
          <t>BANDIRMA</t>
        </is>
      </c>
    </row>
    <row r="272">
      <c r="A272" s="4" t="n">
        <v>271</v>
      </c>
      <c r="B272" s="4" t="inlineStr">
        <is>
          <t>00211</t>
        </is>
      </c>
      <c r="C272" s="4" t="inlineStr">
        <is>
          <t>00211</t>
        </is>
      </c>
      <c r="D272" s="29" t="inlineStr">
        <is>
          <t>AYÇA SEZER</t>
        </is>
      </c>
      <c r="E272" s="4" t="inlineStr">
        <is>
          <t>Cuma</t>
        </is>
      </c>
      <c r="F272" s="4" t="inlineStr">
        <is>
          <t>16.10.2026</t>
        </is>
      </c>
      <c r="G272" s="4" t="inlineStr">
        <is>
          <t>07:56</t>
        </is>
      </c>
      <c r="H272" s="4" t="inlineStr">
        <is>
          <t>16.10.2026</t>
        </is>
      </c>
      <c r="I272" s="4" t="inlineStr">
        <is>
          <t>19:50</t>
        </is>
      </c>
      <c r="J272" s="8" t="n">
        <v>10.5</v>
      </c>
      <c r="K272" s="8" t="n">
        <v>7.5</v>
      </c>
      <c r="L272" s="8" t="n">
        <v>3</v>
      </c>
      <c r="M272" s="29" t="inlineStr">
        <is>
          <t>BANDIRMA</t>
        </is>
      </c>
    </row>
    <row r="273">
      <c r="A273" s="4" t="n">
        <v>272</v>
      </c>
      <c r="B273" s="4" t="inlineStr">
        <is>
          <t>00211</t>
        </is>
      </c>
      <c r="C273" s="4" t="inlineStr">
        <is>
          <t>00211</t>
        </is>
      </c>
      <c r="D273" s="29" t="inlineStr">
        <is>
          <t>AYÇA SEZER</t>
        </is>
      </c>
      <c r="E273" s="4" t="inlineStr">
        <is>
          <t>Cumartesi</t>
        </is>
      </c>
      <c r="F273" s="4" t="inlineStr">
        <is>
          <t>17.10.2026</t>
        </is>
      </c>
      <c r="G273" s="4" t="inlineStr">
        <is>
          <t>07:38</t>
        </is>
      </c>
      <c r="H273" s="4" t="inlineStr">
        <is>
          <t>17.10.2026</t>
        </is>
      </c>
      <c r="I273" s="4" t="inlineStr">
        <is>
          <t>20:08</t>
        </is>
      </c>
      <c r="J273" s="8" t="n">
        <v>10.5</v>
      </c>
      <c r="K273" s="8" t="n">
        <v>7.5</v>
      </c>
      <c r="L273" s="8" t="n">
        <v>3</v>
      </c>
      <c r="M273" s="29" t="inlineStr">
        <is>
          <t>BANDIRMA</t>
        </is>
      </c>
    </row>
    <row r="274">
      <c r="A274" s="4" t="n">
        <v>273</v>
      </c>
      <c r="B274" s="4" t="inlineStr">
        <is>
          <t>00211</t>
        </is>
      </c>
      <c r="C274" s="4" t="inlineStr">
        <is>
          <t>00211</t>
        </is>
      </c>
      <c r="D274" s="29" t="inlineStr">
        <is>
          <t>AYÇA SEZER</t>
        </is>
      </c>
      <c r="E274" s="4" t="inlineStr">
        <is>
          <t>Pazartesi</t>
        </is>
      </c>
      <c r="F274" s="4" t="inlineStr">
        <is>
          <t>19.10.2026</t>
        </is>
      </c>
      <c r="G274" s="4" t="inlineStr">
        <is>
          <t>07:42</t>
        </is>
      </c>
      <c r="H274" s="4" t="inlineStr">
        <is>
          <t>19.10.2026</t>
        </is>
      </c>
      <c r="I274" s="4" t="inlineStr">
        <is>
          <t>17:48</t>
        </is>
      </c>
      <c r="J274" s="8" t="n">
        <v>8.5</v>
      </c>
      <c r="K274" s="8" t="n">
        <v>7.5</v>
      </c>
      <c r="L274" s="8" t="n">
        <v>1</v>
      </c>
      <c r="M274" s="29" t="inlineStr">
        <is>
          <t>BANDIRMA</t>
        </is>
      </c>
    </row>
    <row r="275">
      <c r="A275" s="4" t="n">
        <v>274</v>
      </c>
      <c r="B275" s="4" t="inlineStr">
        <is>
          <t>00211</t>
        </is>
      </c>
      <c r="C275" s="4" t="inlineStr">
        <is>
          <t>00211</t>
        </is>
      </c>
      <c r="D275" s="29" t="inlineStr">
        <is>
          <t>AYÇA SEZER</t>
        </is>
      </c>
      <c r="E275" s="4" t="inlineStr">
        <is>
          <t>Salı</t>
        </is>
      </c>
      <c r="F275" s="4" t="inlineStr">
        <is>
          <t>20.10.2026</t>
        </is>
      </c>
      <c r="G275" s="4" t="inlineStr">
        <is>
          <t>07:42</t>
        </is>
      </c>
      <c r="H275" s="4" t="inlineStr">
        <is>
          <t>20.10.2026</t>
        </is>
      </c>
      <c r="I275" s="4" t="inlineStr">
        <is>
          <t>16:58</t>
        </is>
      </c>
      <c r="J275" s="8" t="n">
        <v>7.5</v>
      </c>
      <c r="K275" s="8" t="n">
        <v>7.5</v>
      </c>
      <c r="L275" s="8" t="n">
        <v>0</v>
      </c>
      <c r="M275" s="29" t="inlineStr">
        <is>
          <t>BANDIRMA</t>
        </is>
      </c>
    </row>
    <row r="276">
      <c r="A276" s="4" t="n">
        <v>275</v>
      </c>
      <c r="B276" s="4" t="inlineStr">
        <is>
          <t>00211</t>
        </is>
      </c>
      <c r="C276" s="4" t="inlineStr">
        <is>
          <t>00211</t>
        </is>
      </c>
      <c r="D276" s="29" t="inlineStr">
        <is>
          <t>AYÇA SEZER</t>
        </is>
      </c>
      <c r="E276" s="4" t="inlineStr">
        <is>
          <t>Çarşamba</t>
        </is>
      </c>
      <c r="F276" s="4" t="inlineStr">
        <is>
          <t>21.10.2026</t>
        </is>
      </c>
      <c r="G276" s="4" t="inlineStr">
        <is>
          <t>07:50</t>
        </is>
      </c>
      <c r="H276" s="4" t="inlineStr">
        <is>
          <t>21.10.2026</t>
        </is>
      </c>
      <c r="I276" s="4" t="inlineStr">
        <is>
          <t>17:02</t>
        </is>
      </c>
      <c r="J276" s="8" t="n">
        <v>7.5</v>
      </c>
      <c r="K276" s="8" t="n">
        <v>7.5</v>
      </c>
      <c r="L276" s="8" t="n">
        <v>0</v>
      </c>
      <c r="M276" s="29" t="inlineStr">
        <is>
          <t>BANDIRMA</t>
        </is>
      </c>
    </row>
    <row r="277">
      <c r="A277" s="4" t="n">
        <v>276</v>
      </c>
      <c r="B277" s="4" t="inlineStr">
        <is>
          <t>01385</t>
        </is>
      </c>
      <c r="C277" s="4" t="inlineStr">
        <is>
          <t>01385</t>
        </is>
      </c>
      <c r="D277" s="29" t="inlineStr">
        <is>
          <t>AYÇA KARAMAN</t>
        </is>
      </c>
      <c r="E277" s="4" t="inlineStr">
        <is>
          <t>Perşembe</t>
        </is>
      </c>
      <c r="F277" s="4" t="inlineStr">
        <is>
          <t>1.10.2026</t>
        </is>
      </c>
      <c r="G277" s="4" t="inlineStr">
        <is>
          <t>08:01</t>
        </is>
      </c>
      <c r="H277" s="4" t="inlineStr">
        <is>
          <t>1.10.2026</t>
        </is>
      </c>
      <c r="I277" s="4" t="inlineStr">
        <is>
          <t>20:11</t>
        </is>
      </c>
      <c r="J277" s="8" t="n">
        <v>10.5</v>
      </c>
      <c r="K277" s="8" t="n">
        <v>7.5</v>
      </c>
      <c r="L277" s="8" t="n">
        <v>3</v>
      </c>
      <c r="M277" s="29" t="inlineStr">
        <is>
          <t>HALİL DİĞRENCİ</t>
        </is>
      </c>
    </row>
    <row r="278">
      <c r="A278" s="4" t="n">
        <v>277</v>
      </c>
      <c r="B278" s="4" t="inlineStr">
        <is>
          <t>01385</t>
        </is>
      </c>
      <c r="C278" s="4" t="inlineStr">
        <is>
          <t>01385</t>
        </is>
      </c>
      <c r="D278" s="29" t="inlineStr">
        <is>
          <t>AYÇA KARAMAN</t>
        </is>
      </c>
      <c r="E278" s="4" t="inlineStr">
        <is>
          <t>Cuma</t>
        </is>
      </c>
      <c r="F278" s="4" t="inlineStr">
        <is>
          <t>2.10.2026</t>
        </is>
      </c>
      <c r="G278" s="4" t="inlineStr">
        <is>
          <t>07:50</t>
        </is>
      </c>
      <c r="H278" s="4" t="inlineStr">
        <is>
          <t>2.10.2026</t>
        </is>
      </c>
      <c r="I278" s="4" t="inlineStr">
        <is>
          <t>-</t>
        </is>
      </c>
      <c r="J278" s="8" t="n">
        <v>7.5</v>
      </c>
      <c r="K278" s="8" t="n">
        <v>7.5</v>
      </c>
      <c r="L278" s="8" t="n">
        <v>0</v>
      </c>
      <c r="M278" s="29" t="inlineStr">
        <is>
          <t>HALİL DİĞRENCİ</t>
        </is>
      </c>
    </row>
    <row r="279">
      <c r="A279" s="4" t="n">
        <v>278</v>
      </c>
      <c r="B279" s="4" t="inlineStr">
        <is>
          <t>01385</t>
        </is>
      </c>
      <c r="C279" s="4" t="inlineStr">
        <is>
          <t>01385</t>
        </is>
      </c>
      <c r="D279" s="29" t="inlineStr">
        <is>
          <t>AYÇA KARAMAN</t>
        </is>
      </c>
      <c r="E279" s="4" t="inlineStr">
        <is>
          <t>Cumartesi</t>
        </is>
      </c>
      <c r="F279" s="4" t="inlineStr">
        <is>
          <t>3.10.2026</t>
        </is>
      </c>
      <c r="G279" s="4" t="inlineStr">
        <is>
          <t>08:00</t>
        </is>
      </c>
      <c r="H279" s="4" t="inlineStr">
        <is>
          <t>3.10.2026</t>
        </is>
      </c>
      <c r="I279" s="4" t="inlineStr">
        <is>
          <t>20:05</t>
        </is>
      </c>
      <c r="J279" s="8" t="n">
        <v>10.5</v>
      </c>
      <c r="K279" s="8" t="n">
        <v>7.5</v>
      </c>
      <c r="L279" s="8" t="n">
        <v>3</v>
      </c>
      <c r="M279" s="29" t="inlineStr">
        <is>
          <t>HALİL DİĞRENCİ</t>
        </is>
      </c>
    </row>
    <row r="280">
      <c r="A280" s="4" t="n">
        <v>279</v>
      </c>
      <c r="B280" s="4" t="inlineStr">
        <is>
          <t>01385</t>
        </is>
      </c>
      <c r="C280" s="4" t="inlineStr">
        <is>
          <t>01385</t>
        </is>
      </c>
      <c r="D280" s="29" t="inlineStr">
        <is>
          <t>AYÇA KARAMAN</t>
        </is>
      </c>
      <c r="E280" s="4" t="inlineStr">
        <is>
          <t>Pazar</t>
        </is>
      </c>
      <c r="F280" s="4" t="inlineStr">
        <is>
          <t>4.10.2026</t>
        </is>
      </c>
      <c r="G280" s="4" t="inlineStr">
        <is>
          <t>07:35</t>
        </is>
      </c>
      <c r="H280" s="4" t="inlineStr">
        <is>
          <t>4.10.2026</t>
        </is>
      </c>
      <c r="I280" s="4" t="inlineStr">
        <is>
          <t>17:16</t>
        </is>
      </c>
      <c r="J280" s="8" t="n">
        <v>7.5</v>
      </c>
      <c r="K280" s="8" t="n">
        <v>7.5</v>
      </c>
      <c r="L280" s="8" t="n">
        <v>0</v>
      </c>
      <c r="M280" s="29" t="inlineStr">
        <is>
          <t>HALİL DİĞRENCİ</t>
        </is>
      </c>
    </row>
    <row r="281">
      <c r="A281" s="4" t="n">
        <v>280</v>
      </c>
      <c r="B281" s="4" t="inlineStr">
        <is>
          <t>01385</t>
        </is>
      </c>
      <c r="C281" s="4" t="inlineStr">
        <is>
          <t>01385</t>
        </is>
      </c>
      <c r="D281" s="29" t="inlineStr">
        <is>
          <t>AYÇA KARAMAN</t>
        </is>
      </c>
      <c r="E281" s="4" t="inlineStr">
        <is>
          <t>Pazartesi</t>
        </is>
      </c>
      <c r="F281" s="4" t="inlineStr">
        <is>
          <t>5.10.2026</t>
        </is>
      </c>
      <c r="G281" s="4" t="inlineStr">
        <is>
          <t>08:16</t>
        </is>
      </c>
      <c r="H281" s="4" t="inlineStr">
        <is>
          <t>5.10.2026</t>
        </is>
      </c>
      <c r="I281" s="4" t="inlineStr">
        <is>
          <t>20:09</t>
        </is>
      </c>
      <c r="J281" s="8" t="n">
        <v>10.5</v>
      </c>
      <c r="K281" s="8" t="n">
        <v>7.5</v>
      </c>
      <c r="L281" s="8" t="n">
        <v>3</v>
      </c>
      <c r="M281" s="29" t="inlineStr">
        <is>
          <t>HALİL DİĞRENCİ</t>
        </is>
      </c>
    </row>
    <row r="282">
      <c r="A282" s="4" t="n">
        <v>281</v>
      </c>
      <c r="B282" s="4" t="inlineStr">
        <is>
          <t>01385</t>
        </is>
      </c>
      <c r="C282" s="4" t="inlineStr">
        <is>
          <t>01385</t>
        </is>
      </c>
      <c r="D282" s="29" t="inlineStr">
        <is>
          <t>AYÇA KARAMAN</t>
        </is>
      </c>
      <c r="E282" s="4" t="inlineStr">
        <is>
          <t>Salı</t>
        </is>
      </c>
      <c r="F282" s="4" t="inlineStr">
        <is>
          <t>6.10.2026</t>
        </is>
      </c>
      <c r="G282" s="4" t="inlineStr">
        <is>
          <t>08:03</t>
        </is>
      </c>
      <c r="H282" s="4" t="inlineStr">
        <is>
          <t>6.10.2026</t>
        </is>
      </c>
      <c r="I282" s="4" t="inlineStr">
        <is>
          <t>17:19</t>
        </is>
      </c>
      <c r="J282" s="8" t="n">
        <v>7.5</v>
      </c>
      <c r="K282" s="8" t="n">
        <v>7.5</v>
      </c>
      <c r="L282" s="8" t="n">
        <v>0</v>
      </c>
      <c r="M282" s="29" t="inlineStr">
        <is>
          <t>HALİL DİĞRENCİ</t>
        </is>
      </c>
    </row>
    <row r="283">
      <c r="A283" s="4" t="n">
        <v>282</v>
      </c>
      <c r="B283" s="4" t="inlineStr">
        <is>
          <t>01385</t>
        </is>
      </c>
      <c r="C283" s="4" t="inlineStr">
        <is>
          <t>01385</t>
        </is>
      </c>
      <c r="D283" s="29" t="inlineStr">
        <is>
          <t>AYÇA KARAMAN</t>
        </is>
      </c>
      <c r="E283" s="4" t="inlineStr">
        <is>
          <t>Perşembe</t>
        </is>
      </c>
      <c r="F283" s="4" t="inlineStr">
        <is>
          <t>8.10.2026</t>
        </is>
      </c>
      <c r="G283" s="4" t="inlineStr">
        <is>
          <t>07:52</t>
        </is>
      </c>
      <c r="H283" s="4" t="inlineStr">
        <is>
          <t>8.10.2026</t>
        </is>
      </c>
      <c r="I283" s="4" t="inlineStr">
        <is>
          <t>20:05</t>
        </is>
      </c>
      <c r="J283" s="8" t="n">
        <v>10.5</v>
      </c>
      <c r="K283" s="8" t="n">
        <v>7.5</v>
      </c>
      <c r="L283" s="8" t="n">
        <v>3</v>
      </c>
      <c r="M283" s="29" t="inlineStr">
        <is>
          <t>HALİL DİĞRENCİ</t>
        </is>
      </c>
    </row>
    <row r="284">
      <c r="A284" s="4" t="n">
        <v>283</v>
      </c>
      <c r="B284" s="4" t="inlineStr">
        <is>
          <t>01385</t>
        </is>
      </c>
      <c r="C284" s="4" t="inlineStr">
        <is>
          <t>01385</t>
        </is>
      </c>
      <c r="D284" s="29" t="inlineStr">
        <is>
          <t>AYÇA KARAMAN</t>
        </is>
      </c>
      <c r="E284" s="4" t="inlineStr">
        <is>
          <t>Cuma</t>
        </is>
      </c>
      <c r="F284" s="4" t="inlineStr">
        <is>
          <t>9.10.2026</t>
        </is>
      </c>
      <c r="G284" s="4" t="inlineStr">
        <is>
          <t>07:52</t>
        </is>
      </c>
      <c r="H284" s="4" t="inlineStr">
        <is>
          <t>9.10.2026</t>
        </is>
      </c>
      <c r="I284" s="4" t="inlineStr">
        <is>
          <t>17:12</t>
        </is>
      </c>
      <c r="J284" s="8" t="n">
        <v>7.5</v>
      </c>
      <c r="K284" s="8" t="n">
        <v>7.5</v>
      </c>
      <c r="L284" s="8" t="n">
        <v>0</v>
      </c>
      <c r="M284" s="29" t="inlineStr">
        <is>
          <t>HALİL DİĞRENCİ</t>
        </is>
      </c>
    </row>
    <row r="285">
      <c r="A285" s="4" t="n">
        <v>284</v>
      </c>
      <c r="B285" s="4" t="inlineStr">
        <is>
          <t>01385</t>
        </is>
      </c>
      <c r="C285" s="4" t="inlineStr">
        <is>
          <t>01385</t>
        </is>
      </c>
      <c r="D285" s="29" t="inlineStr">
        <is>
          <t>AYÇA KARAMAN</t>
        </is>
      </c>
      <c r="E285" s="4" t="inlineStr">
        <is>
          <t>Cumartesi</t>
        </is>
      </c>
      <c r="F285" s="4" t="inlineStr">
        <is>
          <t>10.10.2026</t>
        </is>
      </c>
      <c r="G285" s="4" t="inlineStr">
        <is>
          <t>08:00</t>
        </is>
      </c>
      <c r="H285" s="4" t="inlineStr">
        <is>
          <t>10.10.2026</t>
        </is>
      </c>
      <c r="I285" s="4" t="inlineStr">
        <is>
          <t>20:08</t>
        </is>
      </c>
      <c r="J285" s="8" t="n">
        <v>10.5</v>
      </c>
      <c r="K285" s="8" t="n">
        <v>7.5</v>
      </c>
      <c r="L285" s="8" t="n">
        <v>3</v>
      </c>
      <c r="M285" s="29" t="inlineStr">
        <is>
          <t>HALİL DİĞRENCİ</t>
        </is>
      </c>
    </row>
    <row r="286">
      <c r="A286" s="4" t="n">
        <v>285</v>
      </c>
      <c r="B286" s="4" t="inlineStr">
        <is>
          <t>01385</t>
        </is>
      </c>
      <c r="C286" s="4" t="inlineStr">
        <is>
          <t>01385</t>
        </is>
      </c>
      <c r="D286" s="29" t="inlineStr">
        <is>
          <t>AYÇA KARAMAN</t>
        </is>
      </c>
      <c r="E286" s="4" t="inlineStr">
        <is>
          <t>Pazartesi</t>
        </is>
      </c>
      <c r="F286" s="4" t="inlineStr">
        <is>
          <t>12.10.2026</t>
        </is>
      </c>
      <c r="G286" s="4" t="inlineStr">
        <is>
          <t>07:59</t>
        </is>
      </c>
      <c r="H286" s="4" t="inlineStr">
        <is>
          <t>12.10.2026</t>
        </is>
      </c>
      <c r="I286" s="4" t="inlineStr">
        <is>
          <t>20:05</t>
        </is>
      </c>
      <c r="J286" s="8" t="n">
        <v>10.5</v>
      </c>
      <c r="K286" s="8" t="n">
        <v>7.5</v>
      </c>
      <c r="L286" s="8" t="n">
        <v>3</v>
      </c>
      <c r="M286" s="29" t="inlineStr">
        <is>
          <t>HALİL DİĞRENCİ</t>
        </is>
      </c>
    </row>
    <row r="287">
      <c r="A287" s="4" t="n">
        <v>286</v>
      </c>
      <c r="B287" s="4" t="inlineStr">
        <is>
          <t>01385</t>
        </is>
      </c>
      <c r="C287" s="4" t="inlineStr">
        <is>
          <t>01385</t>
        </is>
      </c>
      <c r="D287" s="29" t="inlineStr">
        <is>
          <t>AYÇA KARAMAN</t>
        </is>
      </c>
      <c r="E287" s="4" t="inlineStr">
        <is>
          <t>Salı</t>
        </is>
      </c>
      <c r="F287" s="4" t="inlineStr">
        <is>
          <t>13.10.2026</t>
        </is>
      </c>
      <c r="G287" s="4" t="inlineStr">
        <is>
          <t>07:55</t>
        </is>
      </c>
      <c r="H287" s="4" t="inlineStr">
        <is>
          <t>13.10.2026</t>
        </is>
      </c>
      <c r="I287" s="4" t="inlineStr">
        <is>
          <t>20:05</t>
        </is>
      </c>
      <c r="J287" s="8" t="n">
        <v>10.5</v>
      </c>
      <c r="K287" s="8" t="n">
        <v>7.5</v>
      </c>
      <c r="L287" s="8" t="n">
        <v>3</v>
      </c>
      <c r="M287" s="29" t="inlineStr">
        <is>
          <t>HALİL DİĞRENCİ</t>
        </is>
      </c>
    </row>
    <row r="288">
      <c r="A288" s="4" t="n">
        <v>287</v>
      </c>
      <c r="B288" s="4" t="inlineStr">
        <is>
          <t>01385</t>
        </is>
      </c>
      <c r="C288" s="4" t="inlineStr">
        <is>
          <t>01385</t>
        </is>
      </c>
      <c r="D288" s="29" t="inlineStr">
        <is>
          <t>AYÇA KARAMAN</t>
        </is>
      </c>
      <c r="E288" s="4" t="inlineStr">
        <is>
          <t>Çarşamba</t>
        </is>
      </c>
      <c r="F288" s="4" t="inlineStr">
        <is>
          <t>14.10.2026</t>
        </is>
      </c>
      <c r="G288" s="4" t="inlineStr">
        <is>
          <t>08:00</t>
        </is>
      </c>
      <c r="H288" s="4" t="inlineStr">
        <is>
          <t>14.10.2026</t>
        </is>
      </c>
      <c r="I288" s="4" t="inlineStr">
        <is>
          <t>20:04</t>
        </is>
      </c>
      <c r="J288" s="8" t="n">
        <v>10.5</v>
      </c>
      <c r="K288" s="8" t="n">
        <v>7.5</v>
      </c>
      <c r="L288" s="8" t="n">
        <v>3</v>
      </c>
      <c r="M288" s="29" t="inlineStr">
        <is>
          <t>HALİL DİĞRENCİ</t>
        </is>
      </c>
    </row>
    <row r="289">
      <c r="A289" s="4" t="n">
        <v>288</v>
      </c>
      <c r="B289" s="4" t="inlineStr">
        <is>
          <t>01385</t>
        </is>
      </c>
      <c r="C289" s="4" t="inlineStr">
        <is>
          <t>01385</t>
        </is>
      </c>
      <c r="D289" s="29" t="inlineStr">
        <is>
          <t>AYÇA KARAMAN</t>
        </is>
      </c>
      <c r="E289" s="4" t="inlineStr">
        <is>
          <t>Cuma</t>
        </is>
      </c>
      <c r="F289" s="4" t="inlineStr">
        <is>
          <t>16.10.2026</t>
        </is>
      </c>
      <c r="G289" s="4" t="inlineStr">
        <is>
          <t>07:57</t>
        </is>
      </c>
      <c r="H289" s="4" t="inlineStr">
        <is>
          <t>16.10.2026</t>
        </is>
      </c>
      <c r="I289" s="4" t="inlineStr">
        <is>
          <t>20:05</t>
        </is>
      </c>
      <c r="J289" s="8" t="n">
        <v>10.5</v>
      </c>
      <c r="K289" s="8" t="n">
        <v>7.5</v>
      </c>
      <c r="L289" s="8" t="n">
        <v>3</v>
      </c>
      <c r="M289" s="29" t="inlineStr">
        <is>
          <t>HALİL DİĞRENCİ</t>
        </is>
      </c>
    </row>
    <row r="290">
      <c r="A290" s="4" t="n">
        <v>289</v>
      </c>
      <c r="B290" s="4" t="inlineStr">
        <is>
          <t>01385</t>
        </is>
      </c>
      <c r="C290" s="4" t="inlineStr">
        <is>
          <t>01385</t>
        </is>
      </c>
      <c r="D290" s="29" t="inlineStr">
        <is>
          <t>AYÇA KARAMAN</t>
        </is>
      </c>
      <c r="E290" s="4" t="inlineStr">
        <is>
          <t>Cumartesi</t>
        </is>
      </c>
      <c r="F290" s="4" t="inlineStr">
        <is>
          <t>17.10.2026</t>
        </is>
      </c>
      <c r="G290" s="4" t="inlineStr">
        <is>
          <t>07:35</t>
        </is>
      </c>
      <c r="H290" s="4" t="inlineStr">
        <is>
          <t>17.10.2026</t>
        </is>
      </c>
      <c r="I290" s="4" t="inlineStr">
        <is>
          <t>20:14</t>
        </is>
      </c>
      <c r="J290" s="8" t="n">
        <v>10.5</v>
      </c>
      <c r="K290" s="8" t="n">
        <v>7.5</v>
      </c>
      <c r="L290" s="8" t="n">
        <v>3</v>
      </c>
      <c r="M290" s="29" t="inlineStr">
        <is>
          <t>HALİL DİĞRENCİ</t>
        </is>
      </c>
    </row>
    <row r="291">
      <c r="A291" s="4" t="n">
        <v>290</v>
      </c>
      <c r="B291" s="4" t="inlineStr">
        <is>
          <t>01385</t>
        </is>
      </c>
      <c r="C291" s="4" t="inlineStr">
        <is>
          <t>01385</t>
        </is>
      </c>
      <c r="D291" s="29" t="inlineStr">
        <is>
          <t>AYÇA KARAMAN</t>
        </is>
      </c>
      <c r="E291" s="4" t="inlineStr">
        <is>
          <t>Pazartesi</t>
        </is>
      </c>
      <c r="F291" s="4" t="inlineStr">
        <is>
          <t>19.10.2026</t>
        </is>
      </c>
      <c r="G291" s="4" t="inlineStr">
        <is>
          <t>08:05</t>
        </is>
      </c>
      <c r="H291" s="4" t="inlineStr">
        <is>
          <t>19.10.2026</t>
        </is>
      </c>
      <c r="I291" s="4" t="inlineStr">
        <is>
          <t>20:06</t>
        </is>
      </c>
      <c r="J291" s="8" t="n">
        <v>10.5</v>
      </c>
      <c r="K291" s="8" t="n">
        <v>7.5</v>
      </c>
      <c r="L291" s="8" t="n">
        <v>3</v>
      </c>
      <c r="M291" s="29" t="inlineStr">
        <is>
          <t>HALİL DİĞRENCİ</t>
        </is>
      </c>
    </row>
    <row r="292">
      <c r="A292" s="4" t="n">
        <v>291</v>
      </c>
      <c r="B292" s="4" t="inlineStr">
        <is>
          <t>01385</t>
        </is>
      </c>
      <c r="C292" s="4" t="inlineStr">
        <is>
          <t>01385</t>
        </is>
      </c>
      <c r="D292" s="29" t="inlineStr">
        <is>
          <t>AYÇA KARAMAN</t>
        </is>
      </c>
      <c r="E292" s="4" t="inlineStr">
        <is>
          <t>Salı</t>
        </is>
      </c>
      <c r="F292" s="4" t="inlineStr">
        <is>
          <t>20.10.2026</t>
        </is>
      </c>
      <c r="G292" s="4" t="inlineStr">
        <is>
          <t>07:58</t>
        </is>
      </c>
      <c r="H292" s="4" t="inlineStr">
        <is>
          <t>20.10.2026</t>
        </is>
      </c>
      <c r="I292" s="4" t="inlineStr">
        <is>
          <t>17:12</t>
        </is>
      </c>
      <c r="J292" s="8" t="n">
        <v>7.5</v>
      </c>
      <c r="K292" s="8" t="n">
        <v>7.5</v>
      </c>
      <c r="L292" s="8" t="n">
        <v>0</v>
      </c>
      <c r="M292" s="29" t="inlineStr">
        <is>
          <t>HALİL DİĞRENCİ</t>
        </is>
      </c>
    </row>
    <row r="293">
      <c r="A293" s="4" t="n">
        <v>292</v>
      </c>
      <c r="B293" s="4" t="inlineStr">
        <is>
          <t>01392</t>
        </is>
      </c>
      <c r="C293" s="4" t="inlineStr">
        <is>
          <t>01392</t>
        </is>
      </c>
      <c r="D293" s="29" t="inlineStr">
        <is>
          <t>AYLA BÇAKIR</t>
        </is>
      </c>
      <c r="E293" s="4" t="inlineStr">
        <is>
          <t>Cuma</t>
        </is>
      </c>
      <c r="F293" s="4" t="inlineStr">
        <is>
          <t>2.10.2026</t>
        </is>
      </c>
      <c r="G293" s="4" t="inlineStr">
        <is>
          <t>19:48</t>
        </is>
      </c>
      <c r="H293" s="4" t="inlineStr">
        <is>
          <t>2.10.2026</t>
        </is>
      </c>
      <c r="I293" s="4" t="inlineStr">
        <is>
          <t>07:58</t>
        </is>
      </c>
      <c r="J293" s="8" t="n">
        <v>10.5</v>
      </c>
      <c r="K293" s="8" t="n">
        <v>7.5</v>
      </c>
      <c r="L293" s="8" t="n">
        <v>3</v>
      </c>
      <c r="M293" s="29" t="inlineStr">
        <is>
          <t>HALİL DİĞRENCİ</t>
        </is>
      </c>
    </row>
    <row r="294">
      <c r="A294" s="4" t="n">
        <v>293</v>
      </c>
      <c r="B294" s="4" t="inlineStr">
        <is>
          <t>01392</t>
        </is>
      </c>
      <c r="C294" s="4" t="inlineStr">
        <is>
          <t>01392</t>
        </is>
      </c>
      <c r="D294" s="29" t="inlineStr">
        <is>
          <t>AYLA BÇAKIR</t>
        </is>
      </c>
      <c r="E294" s="4" t="inlineStr">
        <is>
          <t>Pazar</t>
        </is>
      </c>
      <c r="F294" s="4" t="inlineStr">
        <is>
          <t>4.10.2026</t>
        </is>
      </c>
      <c r="G294" s="4" t="inlineStr">
        <is>
          <t>20:00</t>
        </is>
      </c>
      <c r="H294" s="4" t="inlineStr">
        <is>
          <t>4.10.2026</t>
        </is>
      </c>
      <c r="I294" s="4" t="inlineStr">
        <is>
          <t>08:01</t>
        </is>
      </c>
      <c r="J294" s="8" t="n">
        <v>10.5</v>
      </c>
      <c r="K294" s="8" t="n">
        <v>7.5</v>
      </c>
      <c r="L294" s="8" t="n">
        <v>3</v>
      </c>
      <c r="M294" s="29" t="inlineStr">
        <is>
          <t>HALİL DİĞRENCİ</t>
        </is>
      </c>
    </row>
    <row r="295">
      <c r="A295" s="4" t="n">
        <v>294</v>
      </c>
      <c r="B295" s="4" t="inlineStr">
        <is>
          <t>01392</t>
        </is>
      </c>
      <c r="C295" s="4" t="inlineStr">
        <is>
          <t>01392</t>
        </is>
      </c>
      <c r="D295" s="29" t="inlineStr">
        <is>
          <t>AYLA BÇAKIR</t>
        </is>
      </c>
      <c r="E295" s="4" t="inlineStr">
        <is>
          <t>Pazartesi</t>
        </is>
      </c>
      <c r="F295" s="4" t="inlineStr">
        <is>
          <t>5.10.2026</t>
        </is>
      </c>
      <c r="G295" s="4" t="inlineStr">
        <is>
          <t>19:57</t>
        </is>
      </c>
      <c r="H295" s="4" t="inlineStr">
        <is>
          <t>5.10.2026</t>
        </is>
      </c>
      <c r="I295" s="4" t="inlineStr">
        <is>
          <t>07:54</t>
        </is>
      </c>
      <c r="J295" s="8" t="n">
        <v>10.5</v>
      </c>
      <c r="K295" s="8" t="n">
        <v>7.5</v>
      </c>
      <c r="L295" s="8" t="n">
        <v>3</v>
      </c>
      <c r="M295" s="29" t="inlineStr">
        <is>
          <t>HALİL DİĞRENCİ</t>
        </is>
      </c>
    </row>
    <row r="296">
      <c r="A296" s="4" t="n">
        <v>295</v>
      </c>
      <c r="B296" s="4" t="inlineStr">
        <is>
          <t>01392</t>
        </is>
      </c>
      <c r="C296" s="4" t="inlineStr">
        <is>
          <t>01392</t>
        </is>
      </c>
      <c r="D296" s="29" t="inlineStr">
        <is>
          <t>AYLA BÇAKIR</t>
        </is>
      </c>
      <c r="E296" s="4" t="inlineStr">
        <is>
          <t>Salı</t>
        </is>
      </c>
      <c r="F296" s="4" t="inlineStr">
        <is>
          <t>6.10.2026</t>
        </is>
      </c>
      <c r="G296" s="4" t="inlineStr">
        <is>
          <t>19:48</t>
        </is>
      </c>
      <c r="H296" s="4" t="inlineStr">
        <is>
          <t>6.10.2026</t>
        </is>
      </c>
      <c r="I296" s="4" t="inlineStr">
        <is>
          <t>08:02</t>
        </is>
      </c>
      <c r="J296" s="8" t="n">
        <v>10.5</v>
      </c>
      <c r="K296" s="8" t="n">
        <v>7.5</v>
      </c>
      <c r="L296" s="8" t="n">
        <v>3</v>
      </c>
      <c r="M296" s="29" t="inlineStr">
        <is>
          <t>HALİL DİĞRENCİ</t>
        </is>
      </c>
    </row>
    <row r="297">
      <c r="A297" s="4" t="n">
        <v>296</v>
      </c>
      <c r="B297" s="4" t="inlineStr">
        <is>
          <t>01392</t>
        </is>
      </c>
      <c r="C297" s="4" t="inlineStr">
        <is>
          <t>01392</t>
        </is>
      </c>
      <c r="D297" s="29" t="inlineStr">
        <is>
          <t>AYLA BÇAKIR</t>
        </is>
      </c>
      <c r="E297" s="4" t="inlineStr">
        <is>
          <t>Perşembe</t>
        </is>
      </c>
      <c r="F297" s="4" t="inlineStr">
        <is>
          <t>8.10.2026</t>
        </is>
      </c>
      <c r="G297" s="4" t="inlineStr">
        <is>
          <t>19:58</t>
        </is>
      </c>
      <c r="H297" s="4" t="inlineStr">
        <is>
          <t>8.10.2026</t>
        </is>
      </c>
      <c r="I297" s="4" t="inlineStr">
        <is>
          <t>07:59</t>
        </is>
      </c>
      <c r="J297" s="8" t="n">
        <v>10.5</v>
      </c>
      <c r="K297" s="8" t="n">
        <v>7.5</v>
      </c>
      <c r="L297" s="8" t="n">
        <v>3</v>
      </c>
      <c r="M297" s="29" t="inlineStr">
        <is>
          <t>HALİL DİĞRENCİ</t>
        </is>
      </c>
    </row>
    <row r="298">
      <c r="A298" s="4" t="n">
        <v>297</v>
      </c>
      <c r="B298" s="4" t="inlineStr">
        <is>
          <t>01392</t>
        </is>
      </c>
      <c r="C298" s="4" t="inlineStr">
        <is>
          <t>01392</t>
        </is>
      </c>
      <c r="D298" s="29" t="inlineStr">
        <is>
          <t>AYLA BÇAKIR</t>
        </is>
      </c>
      <c r="E298" s="4" t="inlineStr">
        <is>
          <t>Cuma</t>
        </is>
      </c>
      <c r="F298" s="4" t="inlineStr">
        <is>
          <t>9.10.2026</t>
        </is>
      </c>
      <c r="G298" s="4" t="inlineStr">
        <is>
          <t>20:05</t>
        </is>
      </c>
      <c r="H298" s="4" t="inlineStr">
        <is>
          <t>9.10.2026</t>
        </is>
      </c>
      <c r="I298" s="4" t="inlineStr">
        <is>
          <t>08:05</t>
        </is>
      </c>
      <c r="J298" s="8" t="n">
        <v>10.5</v>
      </c>
      <c r="K298" s="8" t="n">
        <v>7.5</v>
      </c>
      <c r="L298" s="8" t="n">
        <v>3</v>
      </c>
      <c r="M298" s="29" t="inlineStr">
        <is>
          <t>HALİL DİĞRENCİ</t>
        </is>
      </c>
    </row>
    <row r="299">
      <c r="A299" s="4" t="n">
        <v>298</v>
      </c>
      <c r="B299" s="4" t="inlineStr">
        <is>
          <t>01392</t>
        </is>
      </c>
      <c r="C299" s="4" t="inlineStr">
        <is>
          <t>01392</t>
        </is>
      </c>
      <c r="D299" s="29" t="inlineStr">
        <is>
          <t>AYLA BÇAKIR</t>
        </is>
      </c>
      <c r="E299" s="4" t="inlineStr">
        <is>
          <t>Cumartesi</t>
        </is>
      </c>
      <c r="F299" s="4" t="inlineStr">
        <is>
          <t>10.10.2026</t>
        </is>
      </c>
      <c r="G299" s="4" t="inlineStr">
        <is>
          <t>20:12</t>
        </is>
      </c>
      <c r="H299" s="4" t="inlineStr">
        <is>
          <t>10.10.2026</t>
        </is>
      </c>
      <c r="I299" s="4" t="inlineStr">
        <is>
          <t>08:05</t>
        </is>
      </c>
      <c r="J299" s="8" t="n">
        <v>10.5</v>
      </c>
      <c r="K299" s="8" t="n">
        <v>7.5</v>
      </c>
      <c r="L299" s="8" t="n">
        <v>3</v>
      </c>
      <c r="M299" s="29" t="inlineStr">
        <is>
          <t>HALİL DİĞRENCİ</t>
        </is>
      </c>
    </row>
    <row r="300">
      <c r="A300" s="4" t="n">
        <v>299</v>
      </c>
      <c r="B300" s="4" t="inlineStr">
        <is>
          <t>01392</t>
        </is>
      </c>
      <c r="C300" s="4" t="inlineStr">
        <is>
          <t>01392</t>
        </is>
      </c>
      <c r="D300" s="29" t="inlineStr">
        <is>
          <t>AYLA BÇAKIR</t>
        </is>
      </c>
      <c r="E300" s="4" t="inlineStr">
        <is>
          <t>Pazartesi</t>
        </is>
      </c>
      <c r="F300" s="4" t="inlineStr">
        <is>
          <t>12.10.2026</t>
        </is>
      </c>
      <c r="G300" s="4" t="inlineStr">
        <is>
          <t>20:02</t>
        </is>
      </c>
      <c r="H300" s="4" t="inlineStr">
        <is>
          <t>12.10.2026</t>
        </is>
      </c>
      <c r="I300" s="4" t="inlineStr">
        <is>
          <t>07:55</t>
        </is>
      </c>
      <c r="J300" s="8" t="n">
        <v>10.5</v>
      </c>
      <c r="K300" s="8" t="n">
        <v>7.5</v>
      </c>
      <c r="L300" s="8" t="n">
        <v>3</v>
      </c>
      <c r="M300" s="29" t="inlineStr">
        <is>
          <t>HALİL DİĞRENCİ</t>
        </is>
      </c>
    </row>
    <row r="301">
      <c r="A301" s="4" t="n">
        <v>300</v>
      </c>
      <c r="B301" s="4" t="inlineStr">
        <is>
          <t>01392</t>
        </is>
      </c>
      <c r="C301" s="4" t="inlineStr">
        <is>
          <t>01392</t>
        </is>
      </c>
      <c r="D301" s="29" t="inlineStr">
        <is>
          <t>AYLA BÇAKIR</t>
        </is>
      </c>
      <c r="E301" s="4" t="inlineStr">
        <is>
          <t>Salı</t>
        </is>
      </c>
      <c r="F301" s="4" t="inlineStr">
        <is>
          <t>13.10.2026</t>
        </is>
      </c>
      <c r="G301" s="4" t="inlineStr">
        <is>
          <t>20:00</t>
        </is>
      </c>
      <c r="H301" s="4" t="inlineStr">
        <is>
          <t>13.10.2026</t>
        </is>
      </c>
      <c r="I301" s="4" t="inlineStr">
        <is>
          <t>07:57</t>
        </is>
      </c>
      <c r="J301" s="8" t="n">
        <v>10.5</v>
      </c>
      <c r="K301" s="8" t="n">
        <v>7.5</v>
      </c>
      <c r="L301" s="8" t="n">
        <v>3</v>
      </c>
      <c r="M301" s="29" t="inlineStr">
        <is>
          <t>HALİL DİĞRENCİ</t>
        </is>
      </c>
    </row>
    <row r="302">
      <c r="A302" s="4" t="n">
        <v>301</v>
      </c>
      <c r="B302" s="4" t="inlineStr">
        <is>
          <t>01392</t>
        </is>
      </c>
      <c r="C302" s="4" t="inlineStr">
        <is>
          <t>01392</t>
        </is>
      </c>
      <c r="D302" s="29" t="inlineStr">
        <is>
          <t>AYLA BÇAKIR</t>
        </is>
      </c>
      <c r="E302" s="4" t="inlineStr">
        <is>
          <t>Çarşamba</t>
        </is>
      </c>
      <c r="F302" s="4" t="inlineStr">
        <is>
          <t>14.10.2026</t>
        </is>
      </c>
      <c r="G302" s="4" t="inlineStr">
        <is>
          <t>20:15</t>
        </is>
      </c>
      <c r="H302" s="4" t="inlineStr">
        <is>
          <t>14.10.2026</t>
        </is>
      </c>
      <c r="I302" s="4" t="inlineStr">
        <is>
          <t>08:03</t>
        </is>
      </c>
      <c r="J302" s="8" t="n">
        <v>10.5</v>
      </c>
      <c r="K302" s="8" t="n">
        <v>7.5</v>
      </c>
      <c r="L302" s="8" t="n">
        <v>3</v>
      </c>
      <c r="M302" s="29" t="inlineStr">
        <is>
          <t>HALİL DİĞRENCİ</t>
        </is>
      </c>
    </row>
    <row r="303">
      <c r="A303" s="4" t="n">
        <v>302</v>
      </c>
      <c r="B303" s="4" t="inlineStr">
        <is>
          <t>01392</t>
        </is>
      </c>
      <c r="C303" s="4" t="inlineStr">
        <is>
          <t>01392</t>
        </is>
      </c>
      <c r="D303" s="29" t="inlineStr">
        <is>
          <t>AYLA BÇAKIR</t>
        </is>
      </c>
      <c r="E303" s="4" t="inlineStr">
        <is>
          <t>Perşembe</t>
        </is>
      </c>
      <c r="F303" s="4" t="inlineStr">
        <is>
          <t>15.10.2026</t>
        </is>
      </c>
      <c r="G303" s="4" t="inlineStr">
        <is>
          <t>20:12</t>
        </is>
      </c>
      <c r="H303" s="4" t="inlineStr">
        <is>
          <t>15.10.2026</t>
        </is>
      </c>
      <c r="I303" s="4" t="inlineStr">
        <is>
          <t>07:59</t>
        </is>
      </c>
      <c r="J303" s="8" t="n">
        <v>10.5</v>
      </c>
      <c r="K303" s="8" t="n">
        <v>7.5</v>
      </c>
      <c r="L303" s="8" t="n">
        <v>3</v>
      </c>
      <c r="M303" s="29" t="inlineStr">
        <is>
          <t>HALİL DİĞRENCİ</t>
        </is>
      </c>
    </row>
    <row r="304">
      <c r="A304" s="4" t="n">
        <v>303</v>
      </c>
      <c r="B304" s="4" t="inlineStr">
        <is>
          <t>01392</t>
        </is>
      </c>
      <c r="C304" s="4" t="inlineStr">
        <is>
          <t>01392</t>
        </is>
      </c>
      <c r="D304" s="29" t="inlineStr">
        <is>
          <t>AYLA BÇAKIR</t>
        </is>
      </c>
      <c r="E304" s="4" t="inlineStr">
        <is>
          <t>Pazar</t>
        </is>
      </c>
      <c r="F304" s="4" t="inlineStr">
        <is>
          <t>18.10.2026</t>
        </is>
      </c>
      <c r="G304" s="4" t="inlineStr">
        <is>
          <t>08:17</t>
        </is>
      </c>
      <c r="H304" s="4" t="inlineStr">
        <is>
          <t>18.10.2026</t>
        </is>
      </c>
      <c r="I304" s="4" t="inlineStr">
        <is>
          <t>20:00</t>
        </is>
      </c>
      <c r="J304" s="8" t="n">
        <v>10.5</v>
      </c>
      <c r="K304" s="8" t="n">
        <v>7.5</v>
      </c>
      <c r="L304" s="8" t="n">
        <v>3</v>
      </c>
      <c r="M304" s="29" t="inlineStr">
        <is>
          <t>HALİL DİĞRENCİ</t>
        </is>
      </c>
    </row>
    <row r="305">
      <c r="A305" s="4" t="n">
        <v>304</v>
      </c>
      <c r="B305" s="4" t="inlineStr">
        <is>
          <t>01392</t>
        </is>
      </c>
      <c r="C305" s="4" t="inlineStr">
        <is>
          <t>01392</t>
        </is>
      </c>
      <c r="D305" s="29" t="inlineStr">
        <is>
          <t>AYLA BÇAKIR</t>
        </is>
      </c>
      <c r="E305" s="4" t="inlineStr">
        <is>
          <t>Pazartesi</t>
        </is>
      </c>
      <c r="F305" s="4" t="inlineStr">
        <is>
          <t>19.10.2026</t>
        </is>
      </c>
      <c r="G305" s="4" t="inlineStr">
        <is>
          <t>19:43</t>
        </is>
      </c>
      <c r="H305" s="4" t="inlineStr">
        <is>
          <t>19.10.2026</t>
        </is>
      </c>
      <c r="I305" s="4" t="inlineStr">
        <is>
          <t>07:57</t>
        </is>
      </c>
      <c r="J305" s="8" t="n">
        <v>10.5</v>
      </c>
      <c r="K305" s="8" t="n">
        <v>7.5</v>
      </c>
      <c r="L305" s="8" t="n">
        <v>3</v>
      </c>
      <c r="M305" s="29" t="inlineStr">
        <is>
          <t>HALİL DİĞRENCİ</t>
        </is>
      </c>
    </row>
    <row r="306">
      <c r="A306" s="4" t="n">
        <v>305</v>
      </c>
      <c r="B306" s="4" t="inlineStr">
        <is>
          <t>00754</t>
        </is>
      </c>
      <c r="C306" s="4" t="inlineStr">
        <is>
          <t>00754</t>
        </is>
      </c>
      <c r="D306" s="29" t="inlineStr">
        <is>
          <t>AYNUR DEMİRCAN</t>
        </is>
      </c>
      <c r="E306" s="4" t="inlineStr">
        <is>
          <t>Perşembe</t>
        </is>
      </c>
      <c r="F306" s="4" t="inlineStr">
        <is>
          <t>1.10.2026</t>
        </is>
      </c>
      <c r="G306" s="4" t="inlineStr">
        <is>
          <t>07:49</t>
        </is>
      </c>
      <c r="H306" s="4" t="inlineStr">
        <is>
          <t>1.10.2026</t>
        </is>
      </c>
      <c r="I306" s="4" t="inlineStr">
        <is>
          <t>17:30</t>
        </is>
      </c>
      <c r="J306" s="8" t="n">
        <v>8</v>
      </c>
      <c r="K306" s="8" t="n">
        <v>7.5</v>
      </c>
      <c r="L306" s="8" t="n">
        <v>0.5</v>
      </c>
      <c r="M306" s="29" t="inlineStr">
        <is>
          <t>HALİL DİĞRENCİ</t>
        </is>
      </c>
    </row>
    <row r="307">
      <c r="A307" s="4" t="n">
        <v>306</v>
      </c>
      <c r="B307" s="4" t="inlineStr">
        <is>
          <t>00754</t>
        </is>
      </c>
      <c r="C307" s="4" t="inlineStr">
        <is>
          <t>00754</t>
        </is>
      </c>
      <c r="D307" s="29" t="inlineStr">
        <is>
          <t>AYNUR DEMİRCAN</t>
        </is>
      </c>
      <c r="E307" s="4" t="inlineStr">
        <is>
          <t>Cuma</t>
        </is>
      </c>
      <c r="F307" s="4" t="inlineStr">
        <is>
          <t>2.10.2026</t>
        </is>
      </c>
      <c r="G307" s="4" t="inlineStr">
        <is>
          <t>07:58</t>
        </is>
      </c>
      <c r="H307" s="4" t="inlineStr">
        <is>
          <t>2.10.2026</t>
        </is>
      </c>
      <c r="I307" s="4" t="inlineStr">
        <is>
          <t>17:49</t>
        </is>
      </c>
      <c r="J307" s="8" t="n">
        <v>8.5</v>
      </c>
      <c r="K307" s="8" t="n">
        <v>7.5</v>
      </c>
      <c r="L307" s="8" t="n">
        <v>1</v>
      </c>
      <c r="M307" s="29" t="inlineStr">
        <is>
          <t>HALİL DİĞRENCİ</t>
        </is>
      </c>
    </row>
    <row r="308">
      <c r="A308" s="4" t="n">
        <v>307</v>
      </c>
      <c r="B308" s="4" t="inlineStr">
        <is>
          <t>00754</t>
        </is>
      </c>
      <c r="C308" s="4" t="inlineStr">
        <is>
          <t>00754</t>
        </is>
      </c>
      <c r="D308" s="29" t="inlineStr">
        <is>
          <t>AYNUR DEMİRCAN</t>
        </is>
      </c>
      <c r="E308" s="4" t="inlineStr">
        <is>
          <t>Cumartesi</t>
        </is>
      </c>
      <c r="F308" s="4" t="inlineStr">
        <is>
          <t>3.10.2026</t>
        </is>
      </c>
      <c r="G308" s="4" t="inlineStr">
        <is>
          <t>08:00</t>
        </is>
      </c>
      <c r="H308" s="4" t="inlineStr">
        <is>
          <t>3.10.2026</t>
        </is>
      </c>
      <c r="I308" s="4" t="inlineStr">
        <is>
          <t>17:40</t>
        </is>
      </c>
      <c r="J308" s="8" t="n">
        <v>8</v>
      </c>
      <c r="K308" s="8" t="n">
        <v>7.5</v>
      </c>
      <c r="L308" s="8" t="n">
        <v>0.5</v>
      </c>
      <c r="M308" s="29" t="inlineStr">
        <is>
          <t>HALİL DİĞRENCİ</t>
        </is>
      </c>
    </row>
    <row r="309">
      <c r="A309" s="4" t="n">
        <v>308</v>
      </c>
      <c r="B309" s="4" t="inlineStr">
        <is>
          <t>00754</t>
        </is>
      </c>
      <c r="C309" s="4" t="inlineStr">
        <is>
          <t>00754</t>
        </is>
      </c>
      <c r="D309" s="29" t="inlineStr">
        <is>
          <t>AYNUR DEMİRCAN</t>
        </is>
      </c>
      <c r="E309" s="4" t="inlineStr">
        <is>
          <t>Pazartesi</t>
        </is>
      </c>
      <c r="F309" s="4" t="inlineStr">
        <is>
          <t>5.10.2026</t>
        </is>
      </c>
      <c r="G309" s="4" t="inlineStr">
        <is>
          <t>08:02</t>
        </is>
      </c>
      <c r="H309" s="4" t="inlineStr">
        <is>
          <t>5.10.2026</t>
        </is>
      </c>
      <c r="I309" s="4" t="inlineStr">
        <is>
          <t>17:06</t>
        </is>
      </c>
      <c r="J309" s="8" t="n">
        <v>7.5</v>
      </c>
      <c r="K309" s="8" t="n">
        <v>7.5</v>
      </c>
      <c r="L309" s="8" t="n">
        <v>0</v>
      </c>
      <c r="M309" s="29" t="inlineStr">
        <is>
          <t>HALİL DİĞRENCİ</t>
        </is>
      </c>
    </row>
    <row r="310">
      <c r="A310" s="4" t="n">
        <v>309</v>
      </c>
      <c r="B310" s="4" t="inlineStr">
        <is>
          <t>00754</t>
        </is>
      </c>
      <c r="C310" s="4" t="inlineStr">
        <is>
          <t>00754</t>
        </is>
      </c>
      <c r="D310" s="29" t="inlineStr">
        <is>
          <t>AYNUR DEMİRCAN</t>
        </is>
      </c>
      <c r="E310" s="4" t="inlineStr">
        <is>
          <t>Salı</t>
        </is>
      </c>
      <c r="F310" s="4" t="inlineStr">
        <is>
          <t>6.10.2026</t>
        </is>
      </c>
      <c r="G310" s="4" t="inlineStr">
        <is>
          <t>07:58</t>
        </is>
      </c>
      <c r="H310" s="4" t="inlineStr">
        <is>
          <t>6.10.2026</t>
        </is>
      </c>
      <c r="I310" s="4" t="inlineStr">
        <is>
          <t>17:44</t>
        </is>
      </c>
      <c r="J310" s="8" t="n">
        <v>8</v>
      </c>
      <c r="K310" s="8" t="n">
        <v>7.5</v>
      </c>
      <c r="L310" s="8" t="n">
        <v>0.5</v>
      </c>
      <c r="M310" s="29" t="inlineStr">
        <is>
          <t>HALİL DİĞRENCİ</t>
        </is>
      </c>
    </row>
    <row r="311">
      <c r="A311" s="4" t="n">
        <v>310</v>
      </c>
      <c r="B311" s="4" t="inlineStr">
        <is>
          <t>00754</t>
        </is>
      </c>
      <c r="C311" s="4" t="inlineStr">
        <is>
          <t>00754</t>
        </is>
      </c>
      <c r="D311" s="29" t="inlineStr">
        <is>
          <t>AYNUR DEMİRCAN</t>
        </is>
      </c>
      <c r="E311" s="4" t="inlineStr">
        <is>
          <t>Çarşamba</t>
        </is>
      </c>
      <c r="F311" s="4" t="inlineStr">
        <is>
          <t>7.10.2026</t>
        </is>
      </c>
      <c r="G311" s="4" t="inlineStr">
        <is>
          <t>07:48</t>
        </is>
      </c>
      <c r="H311" s="4" t="inlineStr">
        <is>
          <t>7.10.2026</t>
        </is>
      </c>
      <c r="I311" s="4" t="inlineStr">
        <is>
          <t>17:25</t>
        </is>
      </c>
      <c r="J311" s="8" t="n">
        <v>8</v>
      </c>
      <c r="K311" s="8" t="n">
        <v>7.5</v>
      </c>
      <c r="L311" s="8" t="n">
        <v>0.5</v>
      </c>
      <c r="M311" s="29" t="inlineStr">
        <is>
          <t>HALİL DİĞRENCİ</t>
        </is>
      </c>
    </row>
    <row r="312">
      <c r="A312" s="4" t="n">
        <v>311</v>
      </c>
      <c r="B312" s="4" t="inlineStr">
        <is>
          <t>00754</t>
        </is>
      </c>
      <c r="C312" s="4" t="inlineStr">
        <is>
          <t>00754</t>
        </is>
      </c>
      <c r="D312" s="29" t="inlineStr">
        <is>
          <t>AYNUR DEMİRCAN</t>
        </is>
      </c>
      <c r="E312" s="4" t="inlineStr">
        <is>
          <t>Perşembe</t>
        </is>
      </c>
      <c r="F312" s="4" t="inlineStr">
        <is>
          <t>8.10.2026</t>
        </is>
      </c>
      <c r="G312" s="4" t="inlineStr">
        <is>
          <t>07:54</t>
        </is>
      </c>
      <c r="H312" s="4" t="inlineStr">
        <is>
          <t>8.10.2026</t>
        </is>
      </c>
      <c r="I312" s="4" t="inlineStr">
        <is>
          <t>17:37</t>
        </is>
      </c>
      <c r="J312" s="8" t="n">
        <v>8</v>
      </c>
      <c r="K312" s="8" t="n">
        <v>7.5</v>
      </c>
      <c r="L312" s="8" t="n">
        <v>0.5</v>
      </c>
      <c r="M312" s="29" t="inlineStr">
        <is>
          <t>HALİL DİĞRENCİ</t>
        </is>
      </c>
    </row>
    <row r="313">
      <c r="A313" s="4" t="n">
        <v>312</v>
      </c>
      <c r="B313" s="4" t="inlineStr">
        <is>
          <t>00754</t>
        </is>
      </c>
      <c r="C313" s="4" t="inlineStr">
        <is>
          <t>00754</t>
        </is>
      </c>
      <c r="D313" s="29" t="inlineStr">
        <is>
          <t>AYNUR DEMİRCAN</t>
        </is>
      </c>
      <c r="E313" s="4" t="inlineStr">
        <is>
          <t>Cuma</t>
        </is>
      </c>
      <c r="F313" s="4" t="inlineStr">
        <is>
          <t>9.10.2026</t>
        </is>
      </c>
      <c r="G313" s="4" t="inlineStr">
        <is>
          <t>07:55</t>
        </is>
      </c>
      <c r="H313" s="4" t="inlineStr">
        <is>
          <t>9.10.2026</t>
        </is>
      </c>
      <c r="I313" s="4" t="inlineStr">
        <is>
          <t>17:47</t>
        </is>
      </c>
      <c r="J313" s="8" t="n">
        <v>8.5</v>
      </c>
      <c r="K313" s="8" t="n">
        <v>7.5</v>
      </c>
      <c r="L313" s="8" t="n">
        <v>1</v>
      </c>
      <c r="M313" s="29" t="inlineStr">
        <is>
          <t>HALİL DİĞRENCİ</t>
        </is>
      </c>
    </row>
    <row r="314">
      <c r="A314" s="4" t="n">
        <v>313</v>
      </c>
      <c r="B314" s="4" t="inlineStr">
        <is>
          <t>00754</t>
        </is>
      </c>
      <c r="C314" s="4" t="inlineStr">
        <is>
          <t>00754</t>
        </is>
      </c>
      <c r="D314" s="29" t="inlineStr">
        <is>
          <t>AYNUR DEMİRCAN</t>
        </is>
      </c>
      <c r="E314" s="4" t="inlineStr">
        <is>
          <t>Cumartesi</t>
        </is>
      </c>
      <c r="F314" s="4" t="inlineStr">
        <is>
          <t>10.10.2026</t>
        </is>
      </c>
      <c r="G314" s="4" t="inlineStr">
        <is>
          <t>08:00</t>
        </is>
      </c>
      <c r="H314" s="4" t="inlineStr">
        <is>
          <t>10.10.2026</t>
        </is>
      </c>
      <c r="I314" s="4" t="inlineStr">
        <is>
          <t>18:12</t>
        </is>
      </c>
      <c r="J314" s="8" t="n">
        <v>8.5</v>
      </c>
      <c r="K314" s="8" t="n">
        <v>7.5</v>
      </c>
      <c r="L314" s="8" t="n">
        <v>1</v>
      </c>
      <c r="M314" s="29" t="inlineStr">
        <is>
          <t>HALİL DİĞRENCİ</t>
        </is>
      </c>
    </row>
    <row r="315">
      <c r="A315" s="4" t="n">
        <v>314</v>
      </c>
      <c r="B315" s="4" t="inlineStr">
        <is>
          <t>00754</t>
        </is>
      </c>
      <c r="C315" s="4" t="inlineStr">
        <is>
          <t>00754</t>
        </is>
      </c>
      <c r="D315" s="29" t="inlineStr">
        <is>
          <t>AYNUR DEMİRCAN</t>
        </is>
      </c>
      <c r="E315" s="4" t="inlineStr">
        <is>
          <t>Pazartesi</t>
        </is>
      </c>
      <c r="F315" s="4" t="inlineStr">
        <is>
          <t>12.10.2026</t>
        </is>
      </c>
      <c r="G315" s="4" t="inlineStr">
        <is>
          <t>08:01</t>
        </is>
      </c>
      <c r="H315" s="4" t="inlineStr">
        <is>
          <t>12.10.2026</t>
        </is>
      </c>
      <c r="I315" s="4" t="inlineStr">
        <is>
          <t>17:05</t>
        </is>
      </c>
      <c r="J315" s="8" t="n">
        <v>7.5</v>
      </c>
      <c r="K315" s="8" t="n">
        <v>7.5</v>
      </c>
      <c r="L315" s="8" t="n">
        <v>0</v>
      </c>
      <c r="M315" s="29" t="inlineStr">
        <is>
          <t>HALİL DİĞRENCİ</t>
        </is>
      </c>
    </row>
    <row r="316">
      <c r="A316" s="4" t="n">
        <v>315</v>
      </c>
      <c r="B316" s="4" t="inlineStr">
        <is>
          <t>00754</t>
        </is>
      </c>
      <c r="C316" s="4" t="inlineStr">
        <is>
          <t>00754</t>
        </is>
      </c>
      <c r="D316" s="29" t="inlineStr">
        <is>
          <t>AYNUR DEMİRCAN</t>
        </is>
      </c>
      <c r="E316" s="4" t="inlineStr">
        <is>
          <t>Salı</t>
        </is>
      </c>
      <c r="F316" s="4" t="inlineStr">
        <is>
          <t>13.10.2026</t>
        </is>
      </c>
      <c r="G316" s="4" t="inlineStr">
        <is>
          <t>08:02</t>
        </is>
      </c>
      <c r="H316" s="4" t="inlineStr">
        <is>
          <t>13.10.2026</t>
        </is>
      </c>
      <c r="I316" s="4" t="inlineStr">
        <is>
          <t>17:01</t>
        </is>
      </c>
      <c r="J316" s="8" t="n">
        <v>7.5</v>
      </c>
      <c r="K316" s="8" t="n">
        <v>7.5</v>
      </c>
      <c r="L316" s="8" t="n">
        <v>0</v>
      </c>
      <c r="M316" s="29" t="inlineStr">
        <is>
          <t>HALİL DİĞRENCİ</t>
        </is>
      </c>
    </row>
    <row r="317">
      <c r="A317" s="4" t="n">
        <v>316</v>
      </c>
      <c r="B317" s="4" t="inlineStr">
        <is>
          <t>00754</t>
        </is>
      </c>
      <c r="C317" s="4" t="inlineStr">
        <is>
          <t>00754</t>
        </is>
      </c>
      <c r="D317" s="29" t="inlineStr">
        <is>
          <t>AYNUR DEMİRCAN</t>
        </is>
      </c>
      <c r="E317" s="4" t="inlineStr">
        <is>
          <t>Çarşamba</t>
        </is>
      </c>
      <c r="F317" s="4" t="inlineStr">
        <is>
          <t>14.10.2026</t>
        </is>
      </c>
      <c r="G317" s="4" t="inlineStr">
        <is>
          <t>07:55</t>
        </is>
      </c>
      <c r="H317" s="4" t="inlineStr">
        <is>
          <t>14.10.2026</t>
        </is>
      </c>
      <c r="I317" s="4" t="inlineStr">
        <is>
          <t>18:08</t>
        </is>
      </c>
      <c r="J317" s="8" t="n">
        <v>8.5</v>
      </c>
      <c r="K317" s="8" t="n">
        <v>7.5</v>
      </c>
      <c r="L317" s="8" t="n">
        <v>1</v>
      </c>
      <c r="M317" s="29" t="inlineStr">
        <is>
          <t>HALİL DİĞRENCİ</t>
        </is>
      </c>
    </row>
    <row r="318">
      <c r="A318" s="4" t="n">
        <v>317</v>
      </c>
      <c r="B318" s="4" t="inlineStr">
        <is>
          <t>00754</t>
        </is>
      </c>
      <c r="C318" s="4" t="inlineStr">
        <is>
          <t>00754</t>
        </is>
      </c>
      <c r="D318" s="29" t="inlineStr">
        <is>
          <t>AYNUR DEMİRCAN</t>
        </is>
      </c>
      <c r="E318" s="4" t="inlineStr">
        <is>
          <t>Perşembe</t>
        </is>
      </c>
      <c r="F318" s="4" t="inlineStr">
        <is>
          <t>15.10.2026</t>
        </is>
      </c>
      <c r="G318" s="4" t="inlineStr">
        <is>
          <t>08:02</t>
        </is>
      </c>
      <c r="H318" s="4" t="inlineStr">
        <is>
          <t>15.10.2026</t>
        </is>
      </c>
      <c r="I318" s="4" t="inlineStr">
        <is>
          <t>17:03</t>
        </is>
      </c>
      <c r="J318" s="8" t="n">
        <v>7.5</v>
      </c>
      <c r="K318" s="8" t="n">
        <v>7.5</v>
      </c>
      <c r="L318" s="8" t="n">
        <v>0</v>
      </c>
      <c r="M318" s="29" t="inlineStr">
        <is>
          <t>HALİL DİĞRENCİ</t>
        </is>
      </c>
    </row>
    <row r="319">
      <c r="A319" s="4" t="n">
        <v>318</v>
      </c>
      <c r="B319" s="4" t="inlineStr">
        <is>
          <t>00754</t>
        </is>
      </c>
      <c r="C319" s="4" t="inlineStr">
        <is>
          <t>00754</t>
        </is>
      </c>
      <c r="D319" s="29" t="inlineStr">
        <is>
          <t>AYNUR DEMİRCAN</t>
        </is>
      </c>
      <c r="E319" s="4" t="inlineStr">
        <is>
          <t>Cuma</t>
        </is>
      </c>
      <c r="F319" s="4" t="inlineStr">
        <is>
          <t>16.10.2026</t>
        </is>
      </c>
      <c r="G319" s="4" t="inlineStr">
        <is>
          <t>07:51</t>
        </is>
      </c>
      <c r="H319" s="4" t="inlineStr">
        <is>
          <t>16.10.2026</t>
        </is>
      </c>
      <c r="I319" s="4" t="inlineStr">
        <is>
          <t>17:19</t>
        </is>
      </c>
      <c r="J319" s="8" t="n">
        <v>7.5</v>
      </c>
      <c r="K319" s="8" t="n">
        <v>7.5</v>
      </c>
      <c r="L319" s="8" t="n">
        <v>0</v>
      </c>
      <c r="M319" s="29" t="inlineStr">
        <is>
          <t>HALİL DİĞRENCİ</t>
        </is>
      </c>
    </row>
    <row r="320">
      <c r="A320" s="4" t="n">
        <v>319</v>
      </c>
      <c r="B320" s="4" t="inlineStr">
        <is>
          <t>00754</t>
        </is>
      </c>
      <c r="C320" s="4" t="inlineStr">
        <is>
          <t>00754</t>
        </is>
      </c>
      <c r="D320" s="29" t="inlineStr">
        <is>
          <t>AYNUR DEMİRCAN</t>
        </is>
      </c>
      <c r="E320" s="4" t="inlineStr">
        <is>
          <t>Cumartesi</t>
        </is>
      </c>
      <c r="F320" s="4" t="inlineStr">
        <is>
          <t>17.10.2026</t>
        </is>
      </c>
      <c r="G320" s="4" t="inlineStr">
        <is>
          <t>07:54</t>
        </is>
      </c>
      <c r="H320" s="4" t="inlineStr">
        <is>
          <t>17.10.2026</t>
        </is>
      </c>
      <c r="I320" s="4" t="inlineStr">
        <is>
          <t>17:53</t>
        </is>
      </c>
      <c r="J320" s="8" t="n">
        <v>8.5</v>
      </c>
      <c r="K320" s="8" t="n">
        <v>7.5</v>
      </c>
      <c r="L320" s="8" t="n">
        <v>1</v>
      </c>
      <c r="M320" s="29" t="inlineStr">
        <is>
          <t>HALİL DİĞRENCİ</t>
        </is>
      </c>
    </row>
    <row r="321">
      <c r="A321" s="4" t="n">
        <v>320</v>
      </c>
      <c r="B321" s="4" t="inlineStr">
        <is>
          <t>00754</t>
        </is>
      </c>
      <c r="C321" s="4" t="inlineStr">
        <is>
          <t>00754</t>
        </is>
      </c>
      <c r="D321" s="29" t="inlineStr">
        <is>
          <t>AYNUR DEMİRCAN</t>
        </is>
      </c>
      <c r="E321" s="4" t="inlineStr">
        <is>
          <t>Pazartesi</t>
        </is>
      </c>
      <c r="F321" s="4" t="inlineStr">
        <is>
          <t>19.10.2026</t>
        </is>
      </c>
      <c r="G321" s="4" t="inlineStr">
        <is>
          <t>08:00</t>
        </is>
      </c>
      <c r="H321" s="4" t="inlineStr">
        <is>
          <t>19.10.2026</t>
        </is>
      </c>
      <c r="I321" s="4" t="inlineStr">
        <is>
          <t>17:48</t>
        </is>
      </c>
      <c r="J321" s="8" t="n">
        <v>8.5</v>
      </c>
      <c r="K321" s="8" t="n">
        <v>7.5</v>
      </c>
      <c r="L321" s="8" t="n">
        <v>1</v>
      </c>
      <c r="M321" s="29" t="inlineStr">
        <is>
          <t>HALİL DİĞRENCİ</t>
        </is>
      </c>
    </row>
    <row r="322">
      <c r="A322" s="4" t="n">
        <v>321</v>
      </c>
      <c r="B322" s="4" t="inlineStr">
        <is>
          <t>00754</t>
        </is>
      </c>
      <c r="C322" s="4" t="inlineStr">
        <is>
          <t>00754</t>
        </is>
      </c>
      <c r="D322" s="29" t="inlineStr">
        <is>
          <t>AYNUR DEMİRCAN</t>
        </is>
      </c>
      <c r="E322" s="4" t="inlineStr">
        <is>
          <t>Salı</t>
        </is>
      </c>
      <c r="F322" s="4" t="inlineStr">
        <is>
          <t>20.10.2026</t>
        </is>
      </c>
      <c r="G322" s="4" t="inlineStr">
        <is>
          <t>07:54</t>
        </is>
      </c>
      <c r="H322" s="4" t="inlineStr">
        <is>
          <t>20.10.2026</t>
        </is>
      </c>
      <c r="I322" s="4" t="inlineStr">
        <is>
          <t>17:01</t>
        </is>
      </c>
      <c r="J322" s="8" t="n">
        <v>7.5</v>
      </c>
      <c r="K322" s="8" t="n">
        <v>7.5</v>
      </c>
      <c r="L322" s="8" t="n">
        <v>0</v>
      </c>
      <c r="M322" s="29" t="inlineStr">
        <is>
          <t>HALİL DİĞRENCİ</t>
        </is>
      </c>
    </row>
    <row r="323">
      <c r="A323" s="4" t="n">
        <v>322</v>
      </c>
      <c r="B323" s="4" t="inlineStr">
        <is>
          <t>00754</t>
        </is>
      </c>
      <c r="C323" s="4" t="inlineStr">
        <is>
          <t>00754</t>
        </is>
      </c>
      <c r="D323" s="29" t="inlineStr">
        <is>
          <t>AYNUR DEMİRCAN</t>
        </is>
      </c>
      <c r="E323" s="4" t="inlineStr">
        <is>
          <t>Çarşamba</t>
        </is>
      </c>
      <c r="F323" s="4" t="inlineStr">
        <is>
          <t>21.10.2026</t>
        </is>
      </c>
      <c r="G323" s="4" t="inlineStr">
        <is>
          <t>07:58</t>
        </is>
      </c>
      <c r="H323" s="4" t="inlineStr">
        <is>
          <t>21.10.2026</t>
        </is>
      </c>
      <c r="I323" s="4" t="inlineStr">
        <is>
          <t>17:04</t>
        </is>
      </c>
      <c r="J323" s="8" t="n">
        <v>7.5</v>
      </c>
      <c r="K323" s="8" t="n">
        <v>7.5</v>
      </c>
      <c r="L323" s="8" t="n">
        <v>0</v>
      </c>
      <c r="M323" s="29" t="inlineStr">
        <is>
          <t>HALİL DİĞRENCİ</t>
        </is>
      </c>
    </row>
    <row r="324">
      <c r="A324" s="4" t="n">
        <v>323</v>
      </c>
      <c r="B324" s="4" t="inlineStr">
        <is>
          <t>01145</t>
        </is>
      </c>
      <c r="C324" s="4" t="inlineStr">
        <is>
          <t>01145</t>
        </is>
      </c>
      <c r="D324" s="29" t="inlineStr">
        <is>
          <t>AYSEL ÇETİNTAŞ</t>
        </is>
      </c>
      <c r="E324" s="4" t="inlineStr">
        <is>
          <t>Cuma</t>
        </is>
      </c>
      <c r="F324" s="4" t="inlineStr">
        <is>
          <t>2.10.2026</t>
        </is>
      </c>
      <c r="G324" s="4" t="inlineStr">
        <is>
          <t>07:46</t>
        </is>
      </c>
      <c r="H324" s="4" t="inlineStr">
        <is>
          <t>2.10.2026</t>
        </is>
      </c>
      <c r="I324" s="4" t="inlineStr">
        <is>
          <t>20:03</t>
        </is>
      </c>
      <c r="J324" s="8" t="n">
        <v>10.5</v>
      </c>
      <c r="K324" s="8" t="n">
        <v>7.5</v>
      </c>
      <c r="L324" s="8" t="n">
        <v>3</v>
      </c>
      <c r="M324" s="29" t="inlineStr">
        <is>
          <t>HALİL DİĞRENCİ</t>
        </is>
      </c>
    </row>
    <row r="325">
      <c r="A325" s="4" t="n">
        <v>324</v>
      </c>
      <c r="B325" s="4" t="inlineStr">
        <is>
          <t>01145</t>
        </is>
      </c>
      <c r="C325" s="4" t="inlineStr">
        <is>
          <t>01145</t>
        </is>
      </c>
      <c r="D325" s="29" t="inlineStr">
        <is>
          <t>AYSEL ÇETİNTAŞ</t>
        </is>
      </c>
      <c r="E325" s="4" t="inlineStr">
        <is>
          <t>Cumartesi</t>
        </is>
      </c>
      <c r="F325" s="4" t="inlineStr">
        <is>
          <t>3.10.2026</t>
        </is>
      </c>
      <c r="G325" s="4" t="inlineStr">
        <is>
          <t>07:47</t>
        </is>
      </c>
      <c r="H325" s="4" t="inlineStr">
        <is>
          <t>3.10.2026</t>
        </is>
      </c>
      <c r="I325" s="4" t="inlineStr">
        <is>
          <t>20:00</t>
        </is>
      </c>
      <c r="J325" s="8" t="n">
        <v>10.5</v>
      </c>
      <c r="K325" s="8" t="n">
        <v>7.5</v>
      </c>
      <c r="L325" s="8" t="n">
        <v>3</v>
      </c>
      <c r="M325" s="29" t="inlineStr">
        <is>
          <t>HALİL DİĞRENCİ</t>
        </is>
      </c>
    </row>
    <row r="326">
      <c r="A326" s="4" t="n">
        <v>325</v>
      </c>
      <c r="B326" s="4" t="inlineStr">
        <is>
          <t>01145</t>
        </is>
      </c>
      <c r="C326" s="4" t="inlineStr">
        <is>
          <t>01145</t>
        </is>
      </c>
      <c r="D326" s="29" t="inlineStr">
        <is>
          <t>AYSEL ÇETİNTAŞ</t>
        </is>
      </c>
      <c r="E326" s="4" t="inlineStr">
        <is>
          <t>Pazartesi</t>
        </is>
      </c>
      <c r="F326" s="4" t="inlineStr">
        <is>
          <t>5.10.2026</t>
        </is>
      </c>
      <c r="G326" s="4" t="inlineStr">
        <is>
          <t>07:36</t>
        </is>
      </c>
      <c r="H326" s="4" t="inlineStr">
        <is>
          <t>5.10.2026</t>
        </is>
      </c>
      <c r="I326" s="4" t="inlineStr">
        <is>
          <t>19:59</t>
        </is>
      </c>
      <c r="J326" s="8" t="n">
        <v>10.5</v>
      </c>
      <c r="K326" s="8" t="n">
        <v>7.5</v>
      </c>
      <c r="L326" s="8" t="n">
        <v>3</v>
      </c>
      <c r="M326" s="29" t="inlineStr">
        <is>
          <t>HALİL DİĞRENCİ</t>
        </is>
      </c>
    </row>
    <row r="327">
      <c r="A327" s="4" t="n">
        <v>326</v>
      </c>
      <c r="B327" s="4" t="inlineStr">
        <is>
          <t>01145</t>
        </is>
      </c>
      <c r="C327" s="4" t="inlineStr">
        <is>
          <t>01145</t>
        </is>
      </c>
      <c r="D327" s="29" t="inlineStr">
        <is>
          <t>AYSEL ÇETİNTAŞ</t>
        </is>
      </c>
      <c r="E327" s="4" t="inlineStr">
        <is>
          <t>Salı</t>
        </is>
      </c>
      <c r="F327" s="4" t="inlineStr">
        <is>
          <t>6.10.2026</t>
        </is>
      </c>
      <c r="G327" s="4" t="inlineStr">
        <is>
          <t>07:33</t>
        </is>
      </c>
      <c r="H327" s="4" t="inlineStr">
        <is>
          <t>6.10.2026</t>
        </is>
      </c>
      <c r="I327" s="4" t="inlineStr">
        <is>
          <t>20:01</t>
        </is>
      </c>
      <c r="J327" s="8" t="n">
        <v>10.5</v>
      </c>
      <c r="K327" s="8" t="n">
        <v>7.5</v>
      </c>
      <c r="L327" s="8" t="n">
        <v>3</v>
      </c>
      <c r="M327" s="29" t="inlineStr">
        <is>
          <t>HALİL DİĞRENCİ</t>
        </is>
      </c>
    </row>
    <row r="328">
      <c r="A328" s="4" t="n">
        <v>327</v>
      </c>
      <c r="B328" s="4" t="inlineStr">
        <is>
          <t>01145</t>
        </is>
      </c>
      <c r="C328" s="4" t="inlineStr">
        <is>
          <t>01145</t>
        </is>
      </c>
      <c r="D328" s="29" t="inlineStr">
        <is>
          <t>AYSEL ÇETİNTAŞ</t>
        </is>
      </c>
      <c r="E328" s="4" t="inlineStr">
        <is>
          <t>Çarşamba</t>
        </is>
      </c>
      <c r="F328" s="4" t="inlineStr">
        <is>
          <t>7.10.2026</t>
        </is>
      </c>
      <c r="G328" s="4" t="inlineStr">
        <is>
          <t>07:32</t>
        </is>
      </c>
      <c r="H328" s="4" t="inlineStr">
        <is>
          <t>7.10.2026</t>
        </is>
      </c>
      <c r="I328" s="4" t="inlineStr">
        <is>
          <t>20:00</t>
        </is>
      </c>
      <c r="J328" s="8" t="n">
        <v>10.5</v>
      </c>
      <c r="K328" s="8" t="n">
        <v>7.5</v>
      </c>
      <c r="L328" s="8" t="n">
        <v>3</v>
      </c>
      <c r="M328" s="29" t="inlineStr">
        <is>
          <t>HALİL DİĞRENCİ</t>
        </is>
      </c>
    </row>
    <row r="329">
      <c r="A329" s="4" t="n">
        <v>328</v>
      </c>
      <c r="B329" s="4" t="inlineStr">
        <is>
          <t>01145</t>
        </is>
      </c>
      <c r="C329" s="4" t="inlineStr">
        <is>
          <t>01145</t>
        </is>
      </c>
      <c r="D329" s="29" t="inlineStr">
        <is>
          <t>AYSEL ÇETİNTAŞ</t>
        </is>
      </c>
      <c r="E329" s="4" t="inlineStr">
        <is>
          <t>Perşembe</t>
        </is>
      </c>
      <c r="F329" s="4" t="inlineStr">
        <is>
          <t>8.10.2026</t>
        </is>
      </c>
      <c r="G329" s="4" t="inlineStr">
        <is>
          <t>07:32</t>
        </is>
      </c>
      <c r="H329" s="4" t="inlineStr">
        <is>
          <t>8.10.2026</t>
        </is>
      </c>
      <c r="I329" s="4" t="inlineStr">
        <is>
          <t>17:30</t>
        </is>
      </c>
      <c r="J329" s="8" t="n">
        <v>8</v>
      </c>
      <c r="K329" s="8" t="n">
        <v>7.5</v>
      </c>
      <c r="L329" s="8" t="n">
        <v>0.5</v>
      </c>
      <c r="M329" s="29" t="inlineStr">
        <is>
          <t>HALİL DİĞRENCİ</t>
        </is>
      </c>
    </row>
    <row r="330">
      <c r="A330" s="4" t="n">
        <v>329</v>
      </c>
      <c r="B330" s="4" t="inlineStr">
        <is>
          <t>01145</t>
        </is>
      </c>
      <c r="C330" s="4" t="inlineStr">
        <is>
          <t>01145</t>
        </is>
      </c>
      <c r="D330" s="29" t="inlineStr">
        <is>
          <t>AYSEL ÇETİNTAŞ</t>
        </is>
      </c>
      <c r="E330" s="4" t="inlineStr">
        <is>
          <t>Cumartesi</t>
        </is>
      </c>
      <c r="F330" s="4" t="inlineStr">
        <is>
          <t>10.10.2026</t>
        </is>
      </c>
      <c r="G330" s="4" t="inlineStr">
        <is>
          <t>07:36</t>
        </is>
      </c>
      <c r="H330" s="4" t="inlineStr">
        <is>
          <t>10.10.2026</t>
        </is>
      </c>
      <c r="I330" s="4" t="inlineStr">
        <is>
          <t>19:59</t>
        </is>
      </c>
      <c r="J330" s="8" t="n">
        <v>10.5</v>
      </c>
      <c r="K330" s="8" t="n">
        <v>7.5</v>
      </c>
      <c r="L330" s="8" t="n">
        <v>3</v>
      </c>
      <c r="M330" s="29" t="inlineStr">
        <is>
          <t>HALİL DİĞRENCİ</t>
        </is>
      </c>
    </row>
    <row r="331">
      <c r="A331" s="4" t="n">
        <v>330</v>
      </c>
      <c r="B331" s="4" t="inlineStr">
        <is>
          <t>01145</t>
        </is>
      </c>
      <c r="C331" s="4" t="inlineStr">
        <is>
          <t>01145</t>
        </is>
      </c>
      <c r="D331" s="29" t="inlineStr">
        <is>
          <t>AYSEL ÇETİNTAŞ</t>
        </is>
      </c>
      <c r="E331" s="4" t="inlineStr">
        <is>
          <t>Pazartesi</t>
        </is>
      </c>
      <c r="F331" s="4" t="inlineStr">
        <is>
          <t>12.10.2026</t>
        </is>
      </c>
      <c r="G331" s="4" t="inlineStr">
        <is>
          <t>07:36</t>
        </is>
      </c>
      <c r="H331" s="4" t="inlineStr">
        <is>
          <t>12.10.2026</t>
        </is>
      </c>
      <c r="I331" s="4" t="inlineStr">
        <is>
          <t>20:06</t>
        </is>
      </c>
      <c r="J331" s="8" t="n">
        <v>10.5</v>
      </c>
      <c r="K331" s="8" t="n">
        <v>7.5</v>
      </c>
      <c r="L331" s="8" t="n">
        <v>3</v>
      </c>
      <c r="M331" s="29" t="inlineStr">
        <is>
          <t>HALİL DİĞRENCİ</t>
        </is>
      </c>
    </row>
    <row r="332">
      <c r="A332" s="4" t="n">
        <v>331</v>
      </c>
      <c r="B332" s="4" t="inlineStr">
        <is>
          <t>01145</t>
        </is>
      </c>
      <c r="C332" s="4" t="inlineStr">
        <is>
          <t>01145</t>
        </is>
      </c>
      <c r="D332" s="29" t="inlineStr">
        <is>
          <t>AYSEL ÇETİNTAŞ</t>
        </is>
      </c>
      <c r="E332" s="4" t="inlineStr">
        <is>
          <t>Salı</t>
        </is>
      </c>
      <c r="F332" s="4" t="inlineStr">
        <is>
          <t>13.10.2026</t>
        </is>
      </c>
      <c r="G332" s="4" t="inlineStr">
        <is>
          <t>07:33</t>
        </is>
      </c>
      <c r="H332" s="4" t="inlineStr">
        <is>
          <t>13.10.2026</t>
        </is>
      </c>
      <c r="I332" s="4" t="inlineStr">
        <is>
          <t>19:57</t>
        </is>
      </c>
      <c r="J332" s="8" t="n">
        <v>10.5</v>
      </c>
      <c r="K332" s="8" t="n">
        <v>7.5</v>
      </c>
      <c r="L332" s="8" t="n">
        <v>3</v>
      </c>
      <c r="M332" s="29" t="inlineStr">
        <is>
          <t>HALİL DİĞRENCİ</t>
        </is>
      </c>
    </row>
    <row r="333">
      <c r="A333" s="4" t="n">
        <v>332</v>
      </c>
      <c r="B333" s="4" t="inlineStr">
        <is>
          <t>01145</t>
        </is>
      </c>
      <c r="C333" s="4" t="inlineStr">
        <is>
          <t>01145</t>
        </is>
      </c>
      <c r="D333" s="29" t="inlineStr">
        <is>
          <t>AYSEL ÇETİNTAŞ</t>
        </is>
      </c>
      <c r="E333" s="4" t="inlineStr">
        <is>
          <t>Çarşamba</t>
        </is>
      </c>
      <c r="F333" s="4" t="inlineStr">
        <is>
          <t>14.10.2026</t>
        </is>
      </c>
      <c r="G333" s="4" t="inlineStr">
        <is>
          <t>07:37</t>
        </is>
      </c>
      <c r="H333" s="4" t="inlineStr">
        <is>
          <t>14.10.2026</t>
        </is>
      </c>
      <c r="I333" s="4" t="inlineStr">
        <is>
          <t>20:06</t>
        </is>
      </c>
      <c r="J333" s="8" t="n">
        <v>10.5</v>
      </c>
      <c r="K333" s="8" t="n">
        <v>7.5</v>
      </c>
      <c r="L333" s="8" t="n">
        <v>3</v>
      </c>
      <c r="M333" s="29" t="inlineStr">
        <is>
          <t>HALİL DİĞRENCİ</t>
        </is>
      </c>
    </row>
    <row r="334">
      <c r="A334" s="4" t="n">
        <v>333</v>
      </c>
      <c r="B334" s="4" t="inlineStr">
        <is>
          <t>01145</t>
        </is>
      </c>
      <c r="C334" s="4" t="inlineStr">
        <is>
          <t>01145</t>
        </is>
      </c>
      <c r="D334" s="29" t="inlineStr">
        <is>
          <t>AYSEL ÇETİNTAŞ</t>
        </is>
      </c>
      <c r="E334" s="4" t="inlineStr">
        <is>
          <t>Perşembe</t>
        </is>
      </c>
      <c r="F334" s="4" t="inlineStr">
        <is>
          <t>15.10.2026</t>
        </is>
      </c>
      <c r="G334" s="4" t="inlineStr">
        <is>
          <t>07:35</t>
        </is>
      </c>
      <c r="H334" s="4" t="inlineStr">
        <is>
          <t>15.10.2026</t>
        </is>
      </c>
      <c r="I334" s="4" t="inlineStr">
        <is>
          <t>19:58</t>
        </is>
      </c>
      <c r="J334" s="8" t="n">
        <v>10.5</v>
      </c>
      <c r="K334" s="8" t="n">
        <v>7.5</v>
      </c>
      <c r="L334" s="8" t="n">
        <v>3</v>
      </c>
      <c r="M334" s="29" t="inlineStr">
        <is>
          <t>HALİL DİĞRENCİ</t>
        </is>
      </c>
    </row>
    <row r="335">
      <c r="A335" s="4" t="n">
        <v>334</v>
      </c>
      <c r="B335" s="4" t="inlineStr">
        <is>
          <t>01145</t>
        </is>
      </c>
      <c r="C335" s="4" t="inlineStr">
        <is>
          <t>01145</t>
        </is>
      </c>
      <c r="D335" s="29" t="inlineStr">
        <is>
          <t>AYSEL ÇETİNTAŞ</t>
        </is>
      </c>
      <c r="E335" s="4" t="inlineStr">
        <is>
          <t>Cuma</t>
        </is>
      </c>
      <c r="F335" s="4" t="inlineStr">
        <is>
          <t>16.10.2026</t>
        </is>
      </c>
      <c r="G335" s="4" t="inlineStr">
        <is>
          <t>07:52</t>
        </is>
      </c>
      <c r="H335" s="4" t="inlineStr">
        <is>
          <t>16.10.2026</t>
        </is>
      </c>
      <c r="I335" s="4" t="inlineStr">
        <is>
          <t>20:02</t>
        </is>
      </c>
      <c r="J335" s="8" t="n">
        <v>10.5</v>
      </c>
      <c r="K335" s="8" t="n">
        <v>7.5</v>
      </c>
      <c r="L335" s="8" t="n">
        <v>3</v>
      </c>
      <c r="M335" s="29" t="inlineStr">
        <is>
          <t>HALİL DİĞRENCİ</t>
        </is>
      </c>
    </row>
    <row r="336">
      <c r="A336" s="4" t="n">
        <v>335</v>
      </c>
      <c r="B336" s="4" t="inlineStr">
        <is>
          <t>01145</t>
        </is>
      </c>
      <c r="C336" s="4" t="inlineStr">
        <is>
          <t>01145</t>
        </is>
      </c>
      <c r="D336" s="29" t="inlineStr">
        <is>
          <t>AYSEL ÇETİNTAŞ</t>
        </is>
      </c>
      <c r="E336" s="4" t="inlineStr">
        <is>
          <t>Pazartesi</t>
        </is>
      </c>
      <c r="F336" s="4" t="inlineStr">
        <is>
          <t>19.10.2026</t>
        </is>
      </c>
      <c r="G336" s="4" t="inlineStr">
        <is>
          <t>08:00</t>
        </is>
      </c>
      <c r="H336" s="4" t="inlineStr">
        <is>
          <t>19.10.2026</t>
        </is>
      </c>
      <c r="I336" s="4" t="inlineStr">
        <is>
          <t>20:00</t>
        </is>
      </c>
      <c r="J336" s="8" t="n">
        <v>10.5</v>
      </c>
      <c r="K336" s="8" t="n">
        <v>7.5</v>
      </c>
      <c r="L336" s="8" t="n">
        <v>3</v>
      </c>
      <c r="M336" s="29" t="inlineStr">
        <is>
          <t>HALİL DİĞRENCİ</t>
        </is>
      </c>
    </row>
    <row r="337">
      <c r="A337" s="4" t="n">
        <v>336</v>
      </c>
      <c r="B337" s="4" t="inlineStr">
        <is>
          <t>01145</t>
        </is>
      </c>
      <c r="C337" s="4" t="inlineStr">
        <is>
          <t>01145</t>
        </is>
      </c>
      <c r="D337" s="29" t="inlineStr">
        <is>
          <t>AYSEL ÇETİNTAŞ</t>
        </is>
      </c>
      <c r="E337" s="4" t="inlineStr">
        <is>
          <t>Salı</t>
        </is>
      </c>
      <c r="F337" s="4" t="inlineStr">
        <is>
          <t>20.10.2026</t>
        </is>
      </c>
      <c r="G337" s="4" t="inlineStr">
        <is>
          <t>07:56</t>
        </is>
      </c>
      <c r="H337" s="4" t="inlineStr">
        <is>
          <t>20.10.2026</t>
        </is>
      </c>
      <c r="I337" s="4" t="inlineStr">
        <is>
          <t>17:06</t>
        </is>
      </c>
      <c r="J337" s="8" t="n">
        <v>7.5</v>
      </c>
      <c r="K337" s="8" t="n">
        <v>7.5</v>
      </c>
      <c r="L337" s="8" t="n">
        <v>0</v>
      </c>
      <c r="M337" s="29" t="inlineStr">
        <is>
          <t>HALİL DİĞRENCİ</t>
        </is>
      </c>
    </row>
    <row r="338">
      <c r="A338" s="4" t="n">
        <v>337</v>
      </c>
      <c r="B338" s="4" t="inlineStr">
        <is>
          <t>01145</t>
        </is>
      </c>
      <c r="C338" s="4" t="inlineStr">
        <is>
          <t>01145</t>
        </is>
      </c>
      <c r="D338" s="29" t="inlineStr">
        <is>
          <t>AYSEL ÇETİNTAŞ</t>
        </is>
      </c>
      <c r="E338" s="4" t="inlineStr">
        <is>
          <t>Çarşamba</t>
        </is>
      </c>
      <c r="F338" s="4" t="inlineStr">
        <is>
          <t>21.10.2026</t>
        </is>
      </c>
      <c r="G338" s="4" t="inlineStr">
        <is>
          <t>07:54</t>
        </is>
      </c>
      <c r="H338" s="4" t="inlineStr">
        <is>
          <t>21.10.2026</t>
        </is>
      </c>
      <c r="I338" s="4" t="inlineStr">
        <is>
          <t>16:59</t>
        </is>
      </c>
      <c r="J338" s="8" t="n">
        <v>7.5</v>
      </c>
      <c r="K338" s="8" t="n">
        <v>7.5</v>
      </c>
      <c r="L338" s="8" t="n">
        <v>0</v>
      </c>
      <c r="M338" s="29" t="inlineStr">
        <is>
          <t>HALİL DİĞRENCİ</t>
        </is>
      </c>
    </row>
    <row r="339">
      <c r="A339" s="4" t="n">
        <v>338</v>
      </c>
      <c r="B339" s="4" t="inlineStr">
        <is>
          <t>00018</t>
        </is>
      </c>
      <c r="C339" s="4" t="inlineStr">
        <is>
          <t>00018</t>
        </is>
      </c>
      <c r="D339" s="29" t="inlineStr">
        <is>
          <t>AYŞE ÇENECİOĞLU</t>
        </is>
      </c>
      <c r="E339" s="4" t="inlineStr">
        <is>
          <t>Perşembe</t>
        </is>
      </c>
      <c r="F339" s="4" t="inlineStr">
        <is>
          <t>1.10.2026</t>
        </is>
      </c>
      <c r="G339" s="4" t="inlineStr">
        <is>
          <t>07:55</t>
        </is>
      </c>
      <c r="H339" s="4" t="inlineStr">
        <is>
          <t>1.10.2026</t>
        </is>
      </c>
      <c r="I339" s="4" t="inlineStr">
        <is>
          <t>17:08</t>
        </is>
      </c>
      <c r="J339" s="8" t="n">
        <v>7.5</v>
      </c>
      <c r="K339" s="8" t="n">
        <v>7.5</v>
      </c>
      <c r="L339" s="8" t="n">
        <v>0</v>
      </c>
      <c r="M339" s="29" t="inlineStr">
        <is>
          <t>BİGADİÇ</t>
        </is>
      </c>
    </row>
    <row r="340">
      <c r="A340" s="4" t="n">
        <v>339</v>
      </c>
      <c r="B340" s="4" t="inlineStr">
        <is>
          <t>00018</t>
        </is>
      </c>
      <c r="C340" s="4" t="inlineStr">
        <is>
          <t>00018</t>
        </is>
      </c>
      <c r="D340" s="29" t="inlineStr">
        <is>
          <t>AYŞE ÇENECİOĞLU</t>
        </is>
      </c>
      <c r="E340" s="4" t="inlineStr">
        <is>
          <t>Cuma</t>
        </is>
      </c>
      <c r="F340" s="4" t="inlineStr">
        <is>
          <t>2.10.2026</t>
        </is>
      </c>
      <c r="G340" s="4" t="inlineStr">
        <is>
          <t>07:55</t>
        </is>
      </c>
      <c r="H340" s="4" t="inlineStr">
        <is>
          <t>2.10.2026</t>
        </is>
      </c>
      <c r="I340" s="4" t="inlineStr">
        <is>
          <t>17:11</t>
        </is>
      </c>
      <c r="J340" s="8" t="n">
        <v>7.5</v>
      </c>
      <c r="K340" s="8" t="n">
        <v>7.5</v>
      </c>
      <c r="L340" s="8" t="n">
        <v>0</v>
      </c>
      <c r="M340" s="29" t="inlineStr">
        <is>
          <t>BİGADİÇ</t>
        </is>
      </c>
    </row>
    <row r="341">
      <c r="A341" s="4" t="n">
        <v>340</v>
      </c>
      <c r="B341" s="4" t="inlineStr">
        <is>
          <t>00018</t>
        </is>
      </c>
      <c r="C341" s="4" t="inlineStr">
        <is>
          <t>00018</t>
        </is>
      </c>
      <c r="D341" s="29" t="inlineStr">
        <is>
          <t>AYŞE ÇENECİOĞLU</t>
        </is>
      </c>
      <c r="E341" s="4" t="inlineStr">
        <is>
          <t>Cumartesi</t>
        </is>
      </c>
      <c r="F341" s="4" t="inlineStr">
        <is>
          <t>3.10.2026</t>
        </is>
      </c>
      <c r="G341" s="4" t="inlineStr">
        <is>
          <t>07:35</t>
        </is>
      </c>
      <c r="H341" s="4" t="inlineStr">
        <is>
          <t>3.10.2026</t>
        </is>
      </c>
      <c r="I341" s="4" t="inlineStr">
        <is>
          <t>17:09</t>
        </is>
      </c>
      <c r="J341" s="8" t="n">
        <v>7.5</v>
      </c>
      <c r="K341" s="8" t="n">
        <v>7.5</v>
      </c>
      <c r="L341" s="8" t="n">
        <v>0</v>
      </c>
      <c r="M341" s="29" t="inlineStr">
        <is>
          <t>BİGADİÇ</t>
        </is>
      </c>
    </row>
    <row r="342">
      <c r="A342" s="4" t="n">
        <v>341</v>
      </c>
      <c r="B342" s="4" t="inlineStr">
        <is>
          <t>00018</t>
        </is>
      </c>
      <c r="C342" s="4" t="inlineStr">
        <is>
          <t>00018</t>
        </is>
      </c>
      <c r="D342" s="29" t="inlineStr">
        <is>
          <t>AYŞE ÇENECİOĞLU</t>
        </is>
      </c>
      <c r="E342" s="4" t="inlineStr">
        <is>
          <t>Pazartesi</t>
        </is>
      </c>
      <c r="F342" s="4" t="inlineStr">
        <is>
          <t>5.10.2026</t>
        </is>
      </c>
      <c r="G342" s="4" t="inlineStr">
        <is>
          <t>07:55</t>
        </is>
      </c>
      <c r="H342" s="4" t="inlineStr">
        <is>
          <t>5.10.2026</t>
        </is>
      </c>
      <c r="I342" s="4" t="inlineStr">
        <is>
          <t>17:10</t>
        </is>
      </c>
      <c r="J342" s="8" t="n">
        <v>7.5</v>
      </c>
      <c r="K342" s="8" t="n">
        <v>7.5</v>
      </c>
      <c r="L342" s="8" t="n">
        <v>0</v>
      </c>
      <c r="M342" s="29" t="inlineStr">
        <is>
          <t>BİGADİÇ</t>
        </is>
      </c>
    </row>
    <row r="343">
      <c r="A343" s="4" t="n">
        <v>342</v>
      </c>
      <c r="B343" s="4" t="inlineStr">
        <is>
          <t>00018</t>
        </is>
      </c>
      <c r="C343" s="4" t="inlineStr">
        <is>
          <t>00018</t>
        </is>
      </c>
      <c r="D343" s="29" t="inlineStr">
        <is>
          <t>AYŞE ÇENECİOĞLU</t>
        </is>
      </c>
      <c r="E343" s="4" t="inlineStr">
        <is>
          <t>Salı</t>
        </is>
      </c>
      <c r="F343" s="4" t="inlineStr">
        <is>
          <t>6.10.2026</t>
        </is>
      </c>
      <c r="G343" s="4" t="inlineStr">
        <is>
          <t>07:53</t>
        </is>
      </c>
      <c r="H343" s="4" t="inlineStr">
        <is>
          <t>6.10.2026</t>
        </is>
      </c>
      <c r="I343" s="4" t="inlineStr">
        <is>
          <t>17:09</t>
        </is>
      </c>
      <c r="J343" s="8" t="n">
        <v>7.5</v>
      </c>
      <c r="K343" s="8" t="n">
        <v>7.5</v>
      </c>
      <c r="L343" s="8" t="n">
        <v>0</v>
      </c>
      <c r="M343" s="29" t="inlineStr">
        <is>
          <t>BİGADİÇ</t>
        </is>
      </c>
    </row>
    <row r="344">
      <c r="A344" s="4" t="n">
        <v>343</v>
      </c>
      <c r="B344" s="4" t="inlineStr">
        <is>
          <t>00018</t>
        </is>
      </c>
      <c r="C344" s="4" t="inlineStr">
        <is>
          <t>00018</t>
        </is>
      </c>
      <c r="D344" s="29" t="inlineStr">
        <is>
          <t>AYŞE ÇENECİOĞLU</t>
        </is>
      </c>
      <c r="E344" s="4" t="inlineStr">
        <is>
          <t>Çarşamba</t>
        </is>
      </c>
      <c r="F344" s="4" t="inlineStr">
        <is>
          <t>7.10.2026</t>
        </is>
      </c>
      <c r="G344" s="4" t="inlineStr">
        <is>
          <t>07:57</t>
        </is>
      </c>
      <c r="H344" s="4" t="inlineStr">
        <is>
          <t>7.10.2026</t>
        </is>
      </c>
      <c r="I344" s="4" t="inlineStr">
        <is>
          <t>17:10</t>
        </is>
      </c>
      <c r="J344" s="8" t="n">
        <v>7.5</v>
      </c>
      <c r="K344" s="8" t="n">
        <v>7.5</v>
      </c>
      <c r="L344" s="8" t="n">
        <v>0</v>
      </c>
      <c r="M344" s="29" t="inlineStr">
        <is>
          <t>BİGADİÇ</t>
        </is>
      </c>
    </row>
    <row r="345">
      <c r="A345" s="4" t="n">
        <v>344</v>
      </c>
      <c r="B345" s="4" t="inlineStr">
        <is>
          <t>00018</t>
        </is>
      </c>
      <c r="C345" s="4" t="inlineStr">
        <is>
          <t>00018</t>
        </is>
      </c>
      <c r="D345" s="29" t="inlineStr">
        <is>
          <t>AYŞE ÇENECİOĞLU</t>
        </is>
      </c>
      <c r="E345" s="4" t="inlineStr">
        <is>
          <t>Perşembe</t>
        </is>
      </c>
      <c r="F345" s="4" t="inlineStr">
        <is>
          <t>8.10.2026</t>
        </is>
      </c>
      <c r="G345" s="4" t="inlineStr">
        <is>
          <t>07:59</t>
        </is>
      </c>
      <c r="H345" s="4" t="inlineStr">
        <is>
          <t>8.10.2026</t>
        </is>
      </c>
      <c r="I345" s="4" t="inlineStr">
        <is>
          <t>17:15</t>
        </is>
      </c>
      <c r="J345" s="8" t="n">
        <v>7.5</v>
      </c>
      <c r="K345" s="8" t="n">
        <v>7.5</v>
      </c>
      <c r="L345" s="8" t="n">
        <v>0</v>
      </c>
      <c r="M345" s="29" t="inlineStr">
        <is>
          <t>BİGADİÇ</t>
        </is>
      </c>
    </row>
    <row r="346">
      <c r="A346" s="4" t="n">
        <v>345</v>
      </c>
      <c r="B346" s="4" t="inlineStr">
        <is>
          <t>00018</t>
        </is>
      </c>
      <c r="C346" s="4" t="inlineStr">
        <is>
          <t>00018</t>
        </is>
      </c>
      <c r="D346" s="29" t="inlineStr">
        <is>
          <t>AYŞE ÇENECİOĞLU</t>
        </is>
      </c>
      <c r="E346" s="4" t="inlineStr">
        <is>
          <t>Cuma</t>
        </is>
      </c>
      <c r="F346" s="4" t="inlineStr">
        <is>
          <t>9.10.2026</t>
        </is>
      </c>
      <c r="G346" s="4" t="inlineStr">
        <is>
          <t>07:54</t>
        </is>
      </c>
      <c r="H346" s="4" t="inlineStr">
        <is>
          <t>9.10.2026</t>
        </is>
      </c>
      <c r="I346" s="4" t="inlineStr">
        <is>
          <t>17:14</t>
        </is>
      </c>
      <c r="J346" s="8" t="n">
        <v>7.5</v>
      </c>
      <c r="K346" s="8" t="n">
        <v>7.5</v>
      </c>
      <c r="L346" s="8" t="n">
        <v>0</v>
      </c>
      <c r="M346" s="29" t="inlineStr">
        <is>
          <t>BİGADİÇ</t>
        </is>
      </c>
    </row>
    <row r="347">
      <c r="A347" s="4" t="n">
        <v>346</v>
      </c>
      <c r="B347" s="4" t="inlineStr">
        <is>
          <t>00018</t>
        </is>
      </c>
      <c r="C347" s="4" t="inlineStr">
        <is>
          <t>00018</t>
        </is>
      </c>
      <c r="D347" s="29" t="inlineStr">
        <is>
          <t>AYŞE ÇENECİOĞLU</t>
        </is>
      </c>
      <c r="E347" s="4" t="inlineStr">
        <is>
          <t>Cumartesi</t>
        </is>
      </c>
      <c r="F347" s="4" t="inlineStr">
        <is>
          <t>10.10.2026</t>
        </is>
      </c>
      <c r="G347" s="4" t="inlineStr">
        <is>
          <t>07:54</t>
        </is>
      </c>
      <c r="H347" s="4" t="inlineStr">
        <is>
          <t>10.10.2026</t>
        </is>
      </c>
      <c r="I347" s="4" t="inlineStr">
        <is>
          <t>17:09</t>
        </is>
      </c>
      <c r="J347" s="8" t="n">
        <v>7.5</v>
      </c>
      <c r="K347" s="8" t="n">
        <v>7.5</v>
      </c>
      <c r="L347" s="8" t="n">
        <v>0</v>
      </c>
      <c r="M347" s="29" t="inlineStr">
        <is>
          <t>BİGADİÇ</t>
        </is>
      </c>
    </row>
    <row r="348">
      <c r="A348" s="4" t="n">
        <v>347</v>
      </c>
      <c r="B348" s="4" t="inlineStr">
        <is>
          <t>00018</t>
        </is>
      </c>
      <c r="C348" s="4" t="inlineStr">
        <is>
          <t>00018</t>
        </is>
      </c>
      <c r="D348" s="29" t="inlineStr">
        <is>
          <t>AYŞE ÇENECİOĞLU</t>
        </is>
      </c>
      <c r="E348" s="4" t="inlineStr">
        <is>
          <t>Pazartesi</t>
        </is>
      </c>
      <c r="F348" s="4" t="inlineStr">
        <is>
          <t>12.10.2026</t>
        </is>
      </c>
      <c r="G348" s="4" t="inlineStr">
        <is>
          <t>07:57</t>
        </is>
      </c>
      <c r="H348" s="4" t="inlineStr">
        <is>
          <t>12.10.2026</t>
        </is>
      </c>
      <c r="I348" s="4" t="inlineStr">
        <is>
          <t>18:08</t>
        </is>
      </c>
      <c r="J348" s="8" t="n">
        <v>8.5</v>
      </c>
      <c r="K348" s="8" t="n">
        <v>7.5</v>
      </c>
      <c r="L348" s="8" t="n">
        <v>1</v>
      </c>
      <c r="M348" s="29" t="inlineStr">
        <is>
          <t>BİGADİÇ</t>
        </is>
      </c>
    </row>
    <row r="349">
      <c r="A349" s="4" t="n">
        <v>348</v>
      </c>
      <c r="B349" s="4" t="inlineStr">
        <is>
          <t>00018</t>
        </is>
      </c>
      <c r="C349" s="4" t="inlineStr">
        <is>
          <t>00018</t>
        </is>
      </c>
      <c r="D349" s="29" t="inlineStr">
        <is>
          <t>AYŞE ÇENECİOĞLU</t>
        </is>
      </c>
      <c r="E349" s="4" t="inlineStr">
        <is>
          <t>Salı</t>
        </is>
      </c>
      <c r="F349" s="4" t="inlineStr">
        <is>
          <t>13.10.2026</t>
        </is>
      </c>
      <c r="G349" s="4" t="inlineStr">
        <is>
          <t>07:55</t>
        </is>
      </c>
      <c r="H349" s="4" t="inlineStr">
        <is>
          <t>13.10.2026</t>
        </is>
      </c>
      <c r="I349" s="4" t="inlineStr">
        <is>
          <t>17:12</t>
        </is>
      </c>
      <c r="J349" s="8" t="n">
        <v>7.5</v>
      </c>
      <c r="K349" s="8" t="n">
        <v>7.5</v>
      </c>
      <c r="L349" s="8" t="n">
        <v>0</v>
      </c>
      <c r="M349" s="29" t="inlineStr">
        <is>
          <t>BİGADİÇ</t>
        </is>
      </c>
    </row>
    <row r="350">
      <c r="A350" s="4" t="n">
        <v>349</v>
      </c>
      <c r="B350" s="4" t="inlineStr">
        <is>
          <t>00018</t>
        </is>
      </c>
      <c r="C350" s="4" t="inlineStr">
        <is>
          <t>00018</t>
        </is>
      </c>
      <c r="D350" s="29" t="inlineStr">
        <is>
          <t>AYŞE ÇENECİOĞLU</t>
        </is>
      </c>
      <c r="E350" s="4" t="inlineStr">
        <is>
          <t>Çarşamba</t>
        </is>
      </c>
      <c r="F350" s="4" t="inlineStr">
        <is>
          <t>14.10.2026</t>
        </is>
      </c>
      <c r="G350" s="4" t="inlineStr">
        <is>
          <t>07:59</t>
        </is>
      </c>
      <c r="H350" s="4" t="inlineStr">
        <is>
          <t>14.10.2026</t>
        </is>
      </c>
      <c r="I350" s="4" t="inlineStr">
        <is>
          <t>17:10</t>
        </is>
      </c>
      <c r="J350" s="8" t="n">
        <v>7.5</v>
      </c>
      <c r="K350" s="8" t="n">
        <v>7.5</v>
      </c>
      <c r="L350" s="8" t="n">
        <v>0</v>
      </c>
      <c r="M350" s="29" t="inlineStr">
        <is>
          <t>BİGADİÇ</t>
        </is>
      </c>
    </row>
    <row r="351">
      <c r="A351" s="4" t="n">
        <v>350</v>
      </c>
      <c r="B351" s="4" t="inlineStr">
        <is>
          <t>00018</t>
        </is>
      </c>
      <c r="C351" s="4" t="inlineStr">
        <is>
          <t>00018</t>
        </is>
      </c>
      <c r="D351" s="29" t="inlineStr">
        <is>
          <t>AYŞE ÇENECİOĞLU</t>
        </is>
      </c>
      <c r="E351" s="4" t="inlineStr">
        <is>
          <t>Perşembe</t>
        </is>
      </c>
      <c r="F351" s="4" t="inlineStr">
        <is>
          <t>15.10.2026</t>
        </is>
      </c>
      <c r="G351" s="4" t="inlineStr">
        <is>
          <t>08:02</t>
        </is>
      </c>
      <c r="H351" s="4" t="inlineStr">
        <is>
          <t>15.10.2026</t>
        </is>
      </c>
      <c r="I351" s="4" t="inlineStr">
        <is>
          <t>17:21</t>
        </is>
      </c>
      <c r="J351" s="8" t="n">
        <v>8</v>
      </c>
      <c r="K351" s="8" t="n">
        <v>7.5</v>
      </c>
      <c r="L351" s="8" t="n">
        <v>0.5</v>
      </c>
      <c r="M351" s="29" t="inlineStr">
        <is>
          <t>BİGADİÇ</t>
        </is>
      </c>
    </row>
    <row r="352">
      <c r="A352" s="4" t="n">
        <v>351</v>
      </c>
      <c r="B352" s="4" t="inlineStr">
        <is>
          <t>00018</t>
        </is>
      </c>
      <c r="C352" s="4" t="inlineStr">
        <is>
          <t>00018</t>
        </is>
      </c>
      <c r="D352" s="29" t="inlineStr">
        <is>
          <t>AYŞE ÇENECİOĞLU</t>
        </is>
      </c>
      <c r="E352" s="4" t="inlineStr">
        <is>
          <t>Cuma</t>
        </is>
      </c>
      <c r="F352" s="4" t="inlineStr">
        <is>
          <t>16.10.2026</t>
        </is>
      </c>
      <c r="G352" s="4" t="inlineStr">
        <is>
          <t>07:54</t>
        </is>
      </c>
      <c r="H352" s="4" t="inlineStr">
        <is>
          <t>16.10.2026</t>
        </is>
      </c>
      <c r="I352" s="4" t="inlineStr">
        <is>
          <t>17:12</t>
        </is>
      </c>
      <c r="J352" s="8" t="n">
        <v>7.5</v>
      </c>
      <c r="K352" s="8" t="n">
        <v>7.5</v>
      </c>
      <c r="L352" s="8" t="n">
        <v>0</v>
      </c>
      <c r="M352" s="29" t="inlineStr">
        <is>
          <t>BİGADİÇ</t>
        </is>
      </c>
    </row>
    <row r="353">
      <c r="A353" s="4" t="n">
        <v>352</v>
      </c>
      <c r="B353" s="4" t="inlineStr">
        <is>
          <t>00018</t>
        </is>
      </c>
      <c r="C353" s="4" t="inlineStr">
        <is>
          <t>00018</t>
        </is>
      </c>
      <c r="D353" s="29" t="inlineStr">
        <is>
          <t>AYŞE ÇENECİOĞLU</t>
        </is>
      </c>
      <c r="E353" s="4" t="inlineStr">
        <is>
          <t>Cumartesi</t>
        </is>
      </c>
      <c r="F353" s="4" t="inlineStr">
        <is>
          <t>17.10.2026</t>
        </is>
      </c>
      <c r="G353" s="4" t="inlineStr">
        <is>
          <t>07:51</t>
        </is>
      </c>
      <c r="H353" s="4" t="inlineStr">
        <is>
          <t>17.10.2026</t>
        </is>
      </c>
      <c r="I353" s="4" t="inlineStr">
        <is>
          <t>17:12</t>
        </is>
      </c>
      <c r="J353" s="8" t="n">
        <v>7.5</v>
      </c>
      <c r="K353" s="8" t="n">
        <v>7.5</v>
      </c>
      <c r="L353" s="8" t="n">
        <v>0</v>
      </c>
      <c r="M353" s="29" t="inlineStr">
        <is>
          <t>BİGADİÇ</t>
        </is>
      </c>
    </row>
    <row r="354">
      <c r="A354" s="4" t="n">
        <v>353</v>
      </c>
      <c r="B354" s="4" t="inlineStr">
        <is>
          <t>00018</t>
        </is>
      </c>
      <c r="C354" s="4" t="inlineStr">
        <is>
          <t>00018</t>
        </is>
      </c>
      <c r="D354" s="29" t="inlineStr">
        <is>
          <t>AYŞE ÇENECİOĞLU</t>
        </is>
      </c>
      <c r="E354" s="4" t="inlineStr">
        <is>
          <t>Pazar</t>
        </is>
      </c>
      <c r="F354" s="4" t="inlineStr">
        <is>
          <t>18.10.2026</t>
        </is>
      </c>
      <c r="G354" s="4" t="inlineStr">
        <is>
          <t>08:09</t>
        </is>
      </c>
      <c r="H354" s="4" t="inlineStr">
        <is>
          <t>18.10.2026</t>
        </is>
      </c>
      <c r="I354" s="4" t="inlineStr">
        <is>
          <t>17:08</t>
        </is>
      </c>
      <c r="J354" s="8" t="n">
        <v>7.5</v>
      </c>
      <c r="K354" s="8" t="n">
        <v>7.5</v>
      </c>
      <c r="L354" s="8" t="n">
        <v>0</v>
      </c>
      <c r="M354" s="29" t="inlineStr">
        <is>
          <t>BİGADİÇ</t>
        </is>
      </c>
    </row>
    <row r="355">
      <c r="A355" s="4" t="n">
        <v>354</v>
      </c>
      <c r="B355" s="4" t="inlineStr">
        <is>
          <t>00018</t>
        </is>
      </c>
      <c r="C355" s="4" t="inlineStr">
        <is>
          <t>00018</t>
        </is>
      </c>
      <c r="D355" s="29" t="inlineStr">
        <is>
          <t>AYŞE ÇENECİOĞLU</t>
        </is>
      </c>
      <c r="E355" s="4" t="inlineStr">
        <is>
          <t>Pazartesi</t>
        </is>
      </c>
      <c r="F355" s="4" t="inlineStr">
        <is>
          <t>19.10.2026</t>
        </is>
      </c>
      <c r="G355" s="4" t="inlineStr">
        <is>
          <t>07:54</t>
        </is>
      </c>
      <c r="H355" s="4" t="inlineStr">
        <is>
          <t>19.10.2026</t>
        </is>
      </c>
      <c r="I355" s="4" t="inlineStr">
        <is>
          <t>17:13</t>
        </is>
      </c>
      <c r="J355" s="8" t="n">
        <v>7.5</v>
      </c>
      <c r="K355" s="8" t="n">
        <v>7.5</v>
      </c>
      <c r="L355" s="8" t="n">
        <v>0</v>
      </c>
      <c r="M355" s="29" t="inlineStr">
        <is>
          <t>BİGADİÇ</t>
        </is>
      </c>
    </row>
    <row r="356">
      <c r="A356" s="4" t="n">
        <v>355</v>
      </c>
      <c r="B356" s="4" t="inlineStr">
        <is>
          <t>00018</t>
        </is>
      </c>
      <c r="C356" s="4" t="inlineStr">
        <is>
          <t>00018</t>
        </is>
      </c>
      <c r="D356" s="29" t="inlineStr">
        <is>
          <t>AYŞE ÇENECİOĞLU</t>
        </is>
      </c>
      <c r="E356" s="4" t="inlineStr">
        <is>
          <t>Salı</t>
        </is>
      </c>
      <c r="F356" s="4" t="inlineStr">
        <is>
          <t>20.10.2026</t>
        </is>
      </c>
      <c r="G356" s="4" t="inlineStr">
        <is>
          <t>08:19</t>
        </is>
      </c>
      <c r="H356" s="4" t="inlineStr">
        <is>
          <t>20.10.2026</t>
        </is>
      </c>
      <c r="I356" s="4" t="inlineStr">
        <is>
          <t>17:12</t>
        </is>
      </c>
      <c r="J356" s="8" t="n">
        <v>7.5</v>
      </c>
      <c r="K356" s="8" t="n">
        <v>7.5</v>
      </c>
      <c r="L356" s="8" t="n">
        <v>0</v>
      </c>
      <c r="M356" s="29" t="inlineStr">
        <is>
          <t>BİGADİÇ</t>
        </is>
      </c>
    </row>
    <row r="357">
      <c r="A357" s="4" t="n">
        <v>356</v>
      </c>
      <c r="B357" s="4" t="inlineStr">
        <is>
          <t>00018</t>
        </is>
      </c>
      <c r="C357" s="4" t="inlineStr">
        <is>
          <t>00018</t>
        </is>
      </c>
      <c r="D357" s="29" t="inlineStr">
        <is>
          <t>AYŞE ÇENECİOĞLU</t>
        </is>
      </c>
      <c r="E357" s="4" t="inlineStr">
        <is>
          <t>Çarşamba</t>
        </is>
      </c>
      <c r="F357" s="4" t="inlineStr">
        <is>
          <t>21.10.2026</t>
        </is>
      </c>
      <c r="G357" s="4" t="inlineStr">
        <is>
          <t>08:00</t>
        </is>
      </c>
      <c r="H357" s="4" t="inlineStr">
        <is>
          <t>21.10.2026</t>
        </is>
      </c>
      <c r="I357" s="4" t="inlineStr">
        <is>
          <t>17:08</t>
        </is>
      </c>
      <c r="J357" s="8" t="n">
        <v>7.5</v>
      </c>
      <c r="K357" s="8" t="n">
        <v>7.5</v>
      </c>
      <c r="L357" s="8" t="n">
        <v>0</v>
      </c>
      <c r="M357" s="29" t="inlineStr">
        <is>
          <t>BİGADİÇ</t>
        </is>
      </c>
    </row>
    <row r="358">
      <c r="A358" s="4" t="n">
        <v>357</v>
      </c>
      <c r="B358" s="4" t="inlineStr">
        <is>
          <t>00021</t>
        </is>
      </c>
      <c r="C358" s="4" t="inlineStr">
        <is>
          <t>00021</t>
        </is>
      </c>
      <c r="D358" s="29" t="inlineStr">
        <is>
          <t>AYŞE KURT</t>
        </is>
      </c>
      <c r="E358" s="4" t="inlineStr">
        <is>
          <t>Perşembe</t>
        </is>
      </c>
      <c r="F358" s="4" t="inlineStr">
        <is>
          <t>1.10.2026</t>
        </is>
      </c>
      <c r="G358" s="4" t="inlineStr">
        <is>
          <t>15:52</t>
        </is>
      </c>
      <c r="H358" s="4" t="inlineStr">
        <is>
          <t>1.10.2026</t>
        </is>
      </c>
      <c r="I358" s="4" t="inlineStr">
        <is>
          <t>00:08</t>
        </is>
      </c>
      <c r="J358" s="8" t="n">
        <v>7.5</v>
      </c>
      <c r="K358" s="8" t="n">
        <v>7.5</v>
      </c>
      <c r="L358" s="8" t="n">
        <v>0</v>
      </c>
      <c r="M358" s="29" t="inlineStr">
        <is>
          <t>BİGADİÇ</t>
        </is>
      </c>
    </row>
    <row r="359">
      <c r="A359" s="4" t="n">
        <v>358</v>
      </c>
      <c r="B359" s="4" t="inlineStr">
        <is>
          <t>00021</t>
        </is>
      </c>
      <c r="C359" s="4" t="inlineStr">
        <is>
          <t>00021</t>
        </is>
      </c>
      <c r="D359" s="29" t="inlineStr">
        <is>
          <t>AYŞE KURT</t>
        </is>
      </c>
      <c r="E359" s="4" t="inlineStr">
        <is>
          <t>Cuma</t>
        </is>
      </c>
      <c r="F359" s="4" t="inlineStr">
        <is>
          <t>2.10.2026</t>
        </is>
      </c>
      <c r="G359" s="4" t="inlineStr">
        <is>
          <t>15:46</t>
        </is>
      </c>
      <c r="H359" s="4" t="inlineStr">
        <is>
          <t>2.10.2026</t>
        </is>
      </c>
      <c r="I359" s="4" t="inlineStr">
        <is>
          <t>00:01</t>
        </is>
      </c>
      <c r="J359" s="8" t="n">
        <v>7.5</v>
      </c>
      <c r="K359" s="8" t="n">
        <v>7.5</v>
      </c>
      <c r="L359" s="8" t="n">
        <v>0</v>
      </c>
      <c r="M359" s="29" t="inlineStr">
        <is>
          <t>BİGADİÇ</t>
        </is>
      </c>
    </row>
    <row r="360">
      <c r="A360" s="4" t="n">
        <v>359</v>
      </c>
      <c r="B360" s="4" t="inlineStr">
        <is>
          <t>00021</t>
        </is>
      </c>
      <c r="C360" s="4" t="inlineStr">
        <is>
          <t>00021</t>
        </is>
      </c>
      <c r="D360" s="29" t="inlineStr">
        <is>
          <t>AYŞE KURT</t>
        </is>
      </c>
      <c r="E360" s="4" t="inlineStr">
        <is>
          <t>Cumartesi</t>
        </is>
      </c>
      <c r="F360" s="4" t="inlineStr">
        <is>
          <t>3.10.2026</t>
        </is>
      </c>
      <c r="G360" s="4" t="inlineStr">
        <is>
          <t>16:06</t>
        </is>
      </c>
      <c r="H360" s="4" t="inlineStr">
        <is>
          <t>3.10.2026</t>
        </is>
      </c>
      <c r="I360" s="4" t="inlineStr">
        <is>
          <t>00:03</t>
        </is>
      </c>
      <c r="J360" s="8" t="n">
        <v>7.5</v>
      </c>
      <c r="K360" s="8" t="n">
        <v>7.5</v>
      </c>
      <c r="L360" s="8" t="n">
        <v>0</v>
      </c>
      <c r="M360" s="29" t="inlineStr">
        <is>
          <t>BİGADİÇ</t>
        </is>
      </c>
    </row>
    <row r="361">
      <c r="A361" s="4" t="n">
        <v>360</v>
      </c>
      <c r="B361" s="4" t="inlineStr">
        <is>
          <t>00021</t>
        </is>
      </c>
      <c r="C361" s="4" t="inlineStr">
        <is>
          <t>00021</t>
        </is>
      </c>
      <c r="D361" s="29" t="inlineStr">
        <is>
          <t>AYŞE KURT</t>
        </is>
      </c>
      <c r="E361" s="4" t="inlineStr">
        <is>
          <t>Pazartesi</t>
        </is>
      </c>
      <c r="F361" s="4" t="inlineStr">
        <is>
          <t>5.10.2026</t>
        </is>
      </c>
      <c r="G361" s="4" t="inlineStr">
        <is>
          <t>16:07</t>
        </is>
      </c>
      <c r="H361" s="4" t="inlineStr">
        <is>
          <t>5.10.2026</t>
        </is>
      </c>
      <c r="I361" s="4" t="inlineStr">
        <is>
          <t>00:07</t>
        </is>
      </c>
      <c r="J361" s="8" t="n">
        <v>7.5</v>
      </c>
      <c r="K361" s="8" t="n">
        <v>7.5</v>
      </c>
      <c r="L361" s="8" t="n">
        <v>0</v>
      </c>
      <c r="M361" s="29" t="inlineStr">
        <is>
          <t>BİGADİÇ</t>
        </is>
      </c>
    </row>
    <row r="362">
      <c r="A362" s="4" t="n">
        <v>361</v>
      </c>
      <c r="B362" s="4" t="inlineStr">
        <is>
          <t>00021</t>
        </is>
      </c>
      <c r="C362" s="4" t="inlineStr">
        <is>
          <t>00021</t>
        </is>
      </c>
      <c r="D362" s="29" t="inlineStr">
        <is>
          <t>AYŞE KURT</t>
        </is>
      </c>
      <c r="E362" s="4" t="inlineStr">
        <is>
          <t>Salı</t>
        </is>
      </c>
      <c r="F362" s="4" t="inlineStr">
        <is>
          <t>6.10.2026</t>
        </is>
      </c>
      <c r="G362" s="4" t="inlineStr">
        <is>
          <t>15:46</t>
        </is>
      </c>
      <c r="H362" s="4" t="inlineStr">
        <is>
          <t>6.10.2026</t>
        </is>
      </c>
      <c r="I362" s="4" t="inlineStr">
        <is>
          <t>00:05</t>
        </is>
      </c>
      <c r="J362" s="8" t="n">
        <v>7.5</v>
      </c>
      <c r="K362" s="8" t="n">
        <v>7.5</v>
      </c>
      <c r="L362" s="8" t="n">
        <v>0</v>
      </c>
      <c r="M362" s="29" t="inlineStr">
        <is>
          <t>BİGADİÇ</t>
        </is>
      </c>
    </row>
    <row r="363">
      <c r="A363" s="4" t="n">
        <v>362</v>
      </c>
      <c r="B363" s="4" t="inlineStr">
        <is>
          <t>00021</t>
        </is>
      </c>
      <c r="C363" s="4" t="inlineStr">
        <is>
          <t>00021</t>
        </is>
      </c>
      <c r="D363" s="29" t="inlineStr">
        <is>
          <t>AYŞE KURT</t>
        </is>
      </c>
      <c r="E363" s="4" t="inlineStr">
        <is>
          <t>Çarşamba</t>
        </is>
      </c>
      <c r="F363" s="4" t="inlineStr">
        <is>
          <t>7.10.2026</t>
        </is>
      </c>
      <c r="G363" s="4" t="inlineStr">
        <is>
          <t>15:55</t>
        </is>
      </c>
      <c r="H363" s="4" t="inlineStr">
        <is>
          <t>7.10.2026</t>
        </is>
      </c>
      <c r="I363" s="4" t="inlineStr">
        <is>
          <t>00:04</t>
        </is>
      </c>
      <c r="J363" s="8" t="n">
        <v>7.5</v>
      </c>
      <c r="K363" s="8" t="n">
        <v>7.5</v>
      </c>
      <c r="L363" s="8" t="n">
        <v>0</v>
      </c>
      <c r="M363" s="29" t="inlineStr">
        <is>
          <t>BİGADİÇ</t>
        </is>
      </c>
    </row>
    <row r="364">
      <c r="A364" s="4" t="n">
        <v>363</v>
      </c>
      <c r="B364" s="4" t="inlineStr">
        <is>
          <t>00021</t>
        </is>
      </c>
      <c r="C364" s="4" t="inlineStr">
        <is>
          <t>00021</t>
        </is>
      </c>
      <c r="D364" s="29" t="inlineStr">
        <is>
          <t>AYŞE KURT</t>
        </is>
      </c>
      <c r="E364" s="4" t="inlineStr">
        <is>
          <t>Perşembe</t>
        </is>
      </c>
      <c r="F364" s="4" t="inlineStr">
        <is>
          <t>8.10.2026</t>
        </is>
      </c>
      <c r="G364" s="4" t="inlineStr">
        <is>
          <t>15:54</t>
        </is>
      </c>
      <c r="H364" s="4" t="inlineStr">
        <is>
          <t>8.10.2026</t>
        </is>
      </c>
      <c r="I364" s="4" t="inlineStr">
        <is>
          <t>00:04</t>
        </is>
      </c>
      <c r="J364" s="8" t="n">
        <v>7.5</v>
      </c>
      <c r="K364" s="8" t="n">
        <v>7.5</v>
      </c>
      <c r="L364" s="8" t="n">
        <v>0</v>
      </c>
      <c r="M364" s="29" t="inlineStr">
        <is>
          <t>BİGADİÇ</t>
        </is>
      </c>
    </row>
    <row r="365">
      <c r="A365" s="4" t="n">
        <v>364</v>
      </c>
      <c r="B365" s="4" t="inlineStr">
        <is>
          <t>00021</t>
        </is>
      </c>
      <c r="C365" s="4" t="inlineStr">
        <is>
          <t>00021</t>
        </is>
      </c>
      <c r="D365" s="29" t="inlineStr">
        <is>
          <t>AYŞE KURT</t>
        </is>
      </c>
      <c r="E365" s="4" t="inlineStr">
        <is>
          <t>Cuma</t>
        </is>
      </c>
      <c r="F365" s="4" t="inlineStr">
        <is>
          <t>9.10.2026</t>
        </is>
      </c>
      <c r="G365" s="4" t="inlineStr">
        <is>
          <t>15:52</t>
        </is>
      </c>
      <c r="H365" s="4" t="inlineStr">
        <is>
          <t>9.10.2026</t>
        </is>
      </c>
      <c r="I365" s="4" t="inlineStr">
        <is>
          <t>00:06</t>
        </is>
      </c>
      <c r="J365" s="8" t="n">
        <v>7.5</v>
      </c>
      <c r="K365" s="8" t="n">
        <v>7.5</v>
      </c>
      <c r="L365" s="8" t="n">
        <v>0</v>
      </c>
      <c r="M365" s="29" t="inlineStr">
        <is>
          <t>BİGADİÇ</t>
        </is>
      </c>
    </row>
    <row r="366">
      <c r="A366" s="4" t="n">
        <v>365</v>
      </c>
      <c r="B366" s="4" t="inlineStr">
        <is>
          <t>00021</t>
        </is>
      </c>
      <c r="C366" s="4" t="inlineStr">
        <is>
          <t>00021</t>
        </is>
      </c>
      <c r="D366" s="29" t="inlineStr">
        <is>
          <t>AYŞE KURT</t>
        </is>
      </c>
      <c r="E366" s="4" t="inlineStr">
        <is>
          <t>Cumartesi</t>
        </is>
      </c>
      <c r="F366" s="4" t="inlineStr">
        <is>
          <t>10.10.2026</t>
        </is>
      </c>
      <c r="G366" s="4" t="inlineStr">
        <is>
          <t>15:54</t>
        </is>
      </c>
      <c r="H366" s="4" t="inlineStr">
        <is>
          <t>10.10.2026</t>
        </is>
      </c>
      <c r="I366" s="4" t="inlineStr">
        <is>
          <t>00:06</t>
        </is>
      </c>
      <c r="J366" s="8" t="n">
        <v>7.5</v>
      </c>
      <c r="K366" s="8" t="n">
        <v>7.5</v>
      </c>
      <c r="L366" s="8" t="n">
        <v>0</v>
      </c>
      <c r="M366" s="29" t="inlineStr">
        <is>
          <t>BİGADİÇ</t>
        </is>
      </c>
    </row>
    <row r="367">
      <c r="A367" s="4" t="n">
        <v>366</v>
      </c>
      <c r="B367" s="4" t="inlineStr">
        <is>
          <t>00021</t>
        </is>
      </c>
      <c r="C367" s="4" t="inlineStr">
        <is>
          <t>00021</t>
        </is>
      </c>
      <c r="D367" s="29" t="inlineStr">
        <is>
          <t>AYŞE KURT</t>
        </is>
      </c>
      <c r="E367" s="4" t="inlineStr">
        <is>
          <t>Pazartesi</t>
        </is>
      </c>
      <c r="F367" s="4" t="inlineStr">
        <is>
          <t>12.10.2026</t>
        </is>
      </c>
      <c r="G367" s="4" t="inlineStr">
        <is>
          <t>15:46</t>
        </is>
      </c>
      <c r="H367" s="4" t="inlineStr">
        <is>
          <t>12.10.2026</t>
        </is>
      </c>
      <c r="I367" s="4" t="inlineStr">
        <is>
          <t>00:08</t>
        </is>
      </c>
      <c r="J367" s="8" t="n">
        <v>7.5</v>
      </c>
      <c r="K367" s="8" t="n">
        <v>7.5</v>
      </c>
      <c r="L367" s="8" t="n">
        <v>0</v>
      </c>
      <c r="M367" s="29" t="inlineStr">
        <is>
          <t>BİGADİÇ</t>
        </is>
      </c>
    </row>
    <row r="368">
      <c r="A368" s="4" t="n">
        <v>367</v>
      </c>
      <c r="B368" s="4" t="inlineStr">
        <is>
          <t>00021</t>
        </is>
      </c>
      <c r="C368" s="4" t="inlineStr">
        <is>
          <t>00021</t>
        </is>
      </c>
      <c r="D368" s="29" t="inlineStr">
        <is>
          <t>AYŞE KURT</t>
        </is>
      </c>
      <c r="E368" s="4" t="inlineStr">
        <is>
          <t>Salı</t>
        </is>
      </c>
      <c r="F368" s="4" t="inlineStr">
        <is>
          <t>13.10.2026</t>
        </is>
      </c>
      <c r="G368" s="4" t="inlineStr">
        <is>
          <t>16:05</t>
        </is>
      </c>
      <c r="H368" s="4" t="inlineStr">
        <is>
          <t>13.10.2026</t>
        </is>
      </c>
      <c r="I368" s="4" t="inlineStr">
        <is>
          <t>00:06</t>
        </is>
      </c>
      <c r="J368" s="8" t="n">
        <v>7.5</v>
      </c>
      <c r="K368" s="8" t="n">
        <v>7.5</v>
      </c>
      <c r="L368" s="8" t="n">
        <v>0</v>
      </c>
      <c r="M368" s="29" t="inlineStr">
        <is>
          <t>BİGADİÇ</t>
        </is>
      </c>
    </row>
    <row r="369">
      <c r="A369" s="4" t="n">
        <v>368</v>
      </c>
      <c r="B369" s="4" t="inlineStr">
        <is>
          <t>00021</t>
        </is>
      </c>
      <c r="C369" s="4" t="inlineStr">
        <is>
          <t>00021</t>
        </is>
      </c>
      <c r="D369" s="29" t="inlineStr">
        <is>
          <t>AYŞE KURT</t>
        </is>
      </c>
      <c r="E369" s="4" t="inlineStr">
        <is>
          <t>Çarşamba</t>
        </is>
      </c>
      <c r="F369" s="4" t="inlineStr">
        <is>
          <t>14.10.2026</t>
        </is>
      </c>
      <c r="G369" s="4" t="inlineStr">
        <is>
          <t>15:57</t>
        </is>
      </c>
      <c r="H369" s="4" t="inlineStr">
        <is>
          <t>14.10.2026</t>
        </is>
      </c>
      <c r="I369" s="4" t="inlineStr">
        <is>
          <t>00:30</t>
        </is>
      </c>
      <c r="J369" s="8" t="n">
        <v>8</v>
      </c>
      <c r="K369" s="8" t="n">
        <v>7.5</v>
      </c>
      <c r="L369" s="8" t="n">
        <v>0.5</v>
      </c>
      <c r="M369" s="29" t="inlineStr">
        <is>
          <t>BİGADİÇ</t>
        </is>
      </c>
    </row>
    <row r="370">
      <c r="A370" s="4" t="n">
        <v>369</v>
      </c>
      <c r="B370" s="4" t="inlineStr">
        <is>
          <t>00021</t>
        </is>
      </c>
      <c r="C370" s="4" t="inlineStr">
        <is>
          <t>00021</t>
        </is>
      </c>
      <c r="D370" s="29" t="inlineStr">
        <is>
          <t>AYŞE KURT</t>
        </is>
      </c>
      <c r="E370" s="4" t="inlineStr">
        <is>
          <t>Perşembe</t>
        </is>
      </c>
      <c r="F370" s="4" t="inlineStr">
        <is>
          <t>15.10.2026</t>
        </is>
      </c>
      <c r="G370" s="4" t="inlineStr">
        <is>
          <t>16:00</t>
        </is>
      </c>
      <c r="H370" s="4" t="inlineStr">
        <is>
          <t>15.10.2026</t>
        </is>
      </c>
      <c r="I370" s="4" t="inlineStr">
        <is>
          <t>00:06</t>
        </is>
      </c>
      <c r="J370" s="8" t="n">
        <v>7.5</v>
      </c>
      <c r="K370" s="8" t="n">
        <v>7.5</v>
      </c>
      <c r="L370" s="8" t="n">
        <v>0</v>
      </c>
      <c r="M370" s="29" t="inlineStr">
        <is>
          <t>BİGADİÇ</t>
        </is>
      </c>
    </row>
    <row r="371">
      <c r="A371" s="4" t="n">
        <v>370</v>
      </c>
      <c r="B371" s="4" t="inlineStr">
        <is>
          <t>00021</t>
        </is>
      </c>
      <c r="C371" s="4" t="inlineStr">
        <is>
          <t>00021</t>
        </is>
      </c>
      <c r="D371" s="29" t="inlineStr">
        <is>
          <t>AYŞE KURT</t>
        </is>
      </c>
      <c r="E371" s="4" t="inlineStr">
        <is>
          <t>Cuma</t>
        </is>
      </c>
      <c r="F371" s="4" t="inlineStr">
        <is>
          <t>16.10.2026</t>
        </is>
      </c>
      <c r="G371" s="4" t="inlineStr">
        <is>
          <t>15:59</t>
        </is>
      </c>
      <c r="H371" s="4" t="inlineStr">
        <is>
          <t>16.10.2026</t>
        </is>
      </c>
      <c r="I371" s="4" t="inlineStr">
        <is>
          <t>23:59</t>
        </is>
      </c>
      <c r="J371" s="8" t="n">
        <v>7.5</v>
      </c>
      <c r="K371" s="8" t="n">
        <v>7.5</v>
      </c>
      <c r="L371" s="8" t="n">
        <v>0</v>
      </c>
      <c r="M371" s="29" t="inlineStr">
        <is>
          <t>BİGADİÇ</t>
        </is>
      </c>
    </row>
    <row r="372">
      <c r="A372" s="4" t="n">
        <v>371</v>
      </c>
      <c r="B372" s="4" t="inlineStr">
        <is>
          <t>00021</t>
        </is>
      </c>
      <c r="C372" s="4" t="inlineStr">
        <is>
          <t>00021</t>
        </is>
      </c>
      <c r="D372" s="29" t="inlineStr">
        <is>
          <t>AYŞE KURT</t>
        </is>
      </c>
      <c r="E372" s="4" t="inlineStr">
        <is>
          <t>Cumartesi</t>
        </is>
      </c>
      <c r="F372" s="4" t="inlineStr">
        <is>
          <t>17.10.2026</t>
        </is>
      </c>
      <c r="G372" s="4" t="inlineStr">
        <is>
          <t>15:53</t>
        </is>
      </c>
      <c r="H372" s="4" t="inlineStr">
        <is>
          <t>17.10.2026</t>
        </is>
      </c>
      <c r="I372" s="4" t="inlineStr">
        <is>
          <t>23:59</t>
        </is>
      </c>
      <c r="J372" s="8" t="n">
        <v>7.5</v>
      </c>
      <c r="K372" s="8" t="n">
        <v>7.5</v>
      </c>
      <c r="L372" s="8" t="n">
        <v>0</v>
      </c>
      <c r="M372" s="29" t="inlineStr">
        <is>
          <t>BİGADİÇ</t>
        </is>
      </c>
    </row>
    <row r="373">
      <c r="A373" s="4" t="n">
        <v>372</v>
      </c>
      <c r="B373" s="4" t="inlineStr">
        <is>
          <t>00021</t>
        </is>
      </c>
      <c r="C373" s="4" t="inlineStr">
        <is>
          <t>00021</t>
        </is>
      </c>
      <c r="D373" s="29" t="inlineStr">
        <is>
          <t>AYŞE KURT</t>
        </is>
      </c>
      <c r="E373" s="4" t="inlineStr">
        <is>
          <t>Pazartesi</t>
        </is>
      </c>
      <c r="F373" s="4" t="inlineStr">
        <is>
          <t>19.10.2026</t>
        </is>
      </c>
      <c r="G373" s="4" t="inlineStr">
        <is>
          <t>15:54</t>
        </is>
      </c>
      <c r="H373" s="4" t="inlineStr">
        <is>
          <t>19.10.2026</t>
        </is>
      </c>
      <c r="I373" s="4" t="inlineStr">
        <is>
          <t>00:05</t>
        </is>
      </c>
      <c r="J373" s="8" t="n">
        <v>7.5</v>
      </c>
      <c r="K373" s="8" t="n">
        <v>7.5</v>
      </c>
      <c r="L373" s="8" t="n">
        <v>0</v>
      </c>
      <c r="M373" s="29" t="inlineStr">
        <is>
          <t>BİGADİÇ</t>
        </is>
      </c>
    </row>
    <row r="374">
      <c r="A374" s="4" t="n">
        <v>373</v>
      </c>
      <c r="B374" s="4" t="inlineStr">
        <is>
          <t>00021</t>
        </is>
      </c>
      <c r="C374" s="4" t="inlineStr">
        <is>
          <t>00021</t>
        </is>
      </c>
      <c r="D374" s="29" t="inlineStr">
        <is>
          <t>AYŞE KURT</t>
        </is>
      </c>
      <c r="E374" s="4" t="inlineStr">
        <is>
          <t>Salı</t>
        </is>
      </c>
      <c r="F374" s="4" t="inlineStr">
        <is>
          <t>20.10.2026</t>
        </is>
      </c>
      <c r="G374" s="4" t="inlineStr">
        <is>
          <t>16:05</t>
        </is>
      </c>
      <c r="H374" s="4" t="inlineStr">
        <is>
          <t>20.10.2026</t>
        </is>
      </c>
      <c r="I374" s="4" t="inlineStr">
        <is>
          <t>00:03</t>
        </is>
      </c>
      <c r="J374" s="8" t="n">
        <v>7.5</v>
      </c>
      <c r="K374" s="8" t="n">
        <v>7.5</v>
      </c>
      <c r="L374" s="8" t="n">
        <v>0</v>
      </c>
      <c r="M374" s="29" t="inlineStr">
        <is>
          <t>BİGADİÇ</t>
        </is>
      </c>
    </row>
    <row r="375">
      <c r="A375" s="4" t="n">
        <v>374</v>
      </c>
      <c r="B375" s="4" t="inlineStr">
        <is>
          <t>00021</t>
        </is>
      </c>
      <c r="C375" s="4" t="inlineStr">
        <is>
          <t>00021</t>
        </is>
      </c>
      <c r="D375" s="29" t="inlineStr">
        <is>
          <t>AYŞE KURT</t>
        </is>
      </c>
      <c r="E375" s="4" t="inlineStr">
        <is>
          <t>Çarşamba</t>
        </is>
      </c>
      <c r="F375" s="4" t="inlineStr">
        <is>
          <t>21.10.2026</t>
        </is>
      </c>
      <c r="G375" s="4" t="inlineStr">
        <is>
          <t>15:53</t>
        </is>
      </c>
      <c r="H375" s="4" t="inlineStr">
        <is>
          <t>21.10.2026</t>
        </is>
      </c>
      <c r="I375" s="4" t="inlineStr">
        <is>
          <t>-</t>
        </is>
      </c>
      <c r="J375" s="8" t="n">
        <v>7.5</v>
      </c>
      <c r="K375" s="8" t="n">
        <v>7.5</v>
      </c>
      <c r="L375" s="8" t="n">
        <v>0</v>
      </c>
      <c r="M375" s="29" t="inlineStr">
        <is>
          <t>BİGADİÇ</t>
        </is>
      </c>
    </row>
    <row r="376">
      <c r="A376" s="4" t="n">
        <v>375</v>
      </c>
      <c r="B376" s="4" t="inlineStr">
        <is>
          <t>00214</t>
        </is>
      </c>
      <c r="C376" s="4" t="inlineStr">
        <is>
          <t>00214</t>
        </is>
      </c>
      <c r="D376" s="29" t="inlineStr">
        <is>
          <t>AYŞE KARAMAN</t>
        </is>
      </c>
      <c r="E376" s="4" t="inlineStr">
        <is>
          <t>Perşembe</t>
        </is>
      </c>
      <c r="F376" s="4" t="inlineStr">
        <is>
          <t>1.10.2026</t>
        </is>
      </c>
      <c r="G376" s="4" t="inlineStr">
        <is>
          <t>07:50</t>
        </is>
      </c>
      <c r="H376" s="4" t="inlineStr">
        <is>
          <t>1.10.2026</t>
        </is>
      </c>
      <c r="I376" s="4" t="inlineStr">
        <is>
          <t>17:24</t>
        </is>
      </c>
      <c r="J376" s="8" t="n">
        <v>8</v>
      </c>
      <c r="K376" s="8" t="n">
        <v>7.5</v>
      </c>
      <c r="L376" s="8" t="n">
        <v>0.5</v>
      </c>
      <c r="M376" s="29" t="inlineStr">
        <is>
          <t>BALIKESİR</t>
        </is>
      </c>
    </row>
    <row r="377">
      <c r="A377" s="4" t="n">
        <v>376</v>
      </c>
      <c r="B377" s="4" t="inlineStr">
        <is>
          <t>00214</t>
        </is>
      </c>
      <c r="C377" s="4" t="inlineStr">
        <is>
          <t>00214</t>
        </is>
      </c>
      <c r="D377" s="29" t="inlineStr">
        <is>
          <t>AYŞE KARAMAN</t>
        </is>
      </c>
      <c r="E377" s="4" t="inlineStr">
        <is>
          <t>Cuma</t>
        </is>
      </c>
      <c r="F377" s="4" t="inlineStr">
        <is>
          <t>2.10.2026</t>
        </is>
      </c>
      <c r="G377" s="4" t="inlineStr">
        <is>
          <t>07:55</t>
        </is>
      </c>
      <c r="H377" s="4" t="inlineStr">
        <is>
          <t>2.10.2026</t>
        </is>
      </c>
      <c r="I377" s="4" t="inlineStr">
        <is>
          <t>17:42</t>
        </is>
      </c>
      <c r="J377" s="8" t="n">
        <v>8</v>
      </c>
      <c r="K377" s="8" t="n">
        <v>7.5</v>
      </c>
      <c r="L377" s="8" t="n">
        <v>0.5</v>
      </c>
      <c r="M377" s="29" t="inlineStr">
        <is>
          <t>BALIKESİR</t>
        </is>
      </c>
    </row>
    <row r="378">
      <c r="A378" s="4" t="n">
        <v>377</v>
      </c>
      <c r="B378" s="4" t="inlineStr">
        <is>
          <t>00214</t>
        </is>
      </c>
      <c r="C378" s="4" t="inlineStr">
        <is>
          <t>00214</t>
        </is>
      </c>
      <c r="D378" s="29" t="inlineStr">
        <is>
          <t>AYŞE KARAMAN</t>
        </is>
      </c>
      <c r="E378" s="4" t="inlineStr">
        <is>
          <t>Cumartesi</t>
        </is>
      </c>
      <c r="F378" s="4" t="inlineStr">
        <is>
          <t>3.10.2026</t>
        </is>
      </c>
      <c r="G378" s="4" t="inlineStr">
        <is>
          <t>07:55</t>
        </is>
      </c>
      <c r="H378" s="4" t="inlineStr">
        <is>
          <t>3.10.2026</t>
        </is>
      </c>
      <c r="I378" s="4" t="inlineStr">
        <is>
          <t>17:33</t>
        </is>
      </c>
      <c r="J378" s="8" t="n">
        <v>8</v>
      </c>
      <c r="K378" s="8" t="n">
        <v>7.5</v>
      </c>
      <c r="L378" s="8" t="n">
        <v>0.5</v>
      </c>
      <c r="M378" s="29" t="inlineStr">
        <is>
          <t>BALIKESİR</t>
        </is>
      </c>
    </row>
    <row r="379">
      <c r="A379" s="4" t="n">
        <v>378</v>
      </c>
      <c r="B379" s="4" t="inlineStr">
        <is>
          <t>00214</t>
        </is>
      </c>
      <c r="C379" s="4" t="inlineStr">
        <is>
          <t>00214</t>
        </is>
      </c>
      <c r="D379" s="29" t="inlineStr">
        <is>
          <t>AYŞE KARAMAN</t>
        </is>
      </c>
      <c r="E379" s="4" t="inlineStr">
        <is>
          <t>Pazartesi</t>
        </is>
      </c>
      <c r="F379" s="4" t="inlineStr">
        <is>
          <t>5.10.2026</t>
        </is>
      </c>
      <c r="G379" s="4" t="inlineStr">
        <is>
          <t>07:53</t>
        </is>
      </c>
      <c r="H379" s="4" t="inlineStr">
        <is>
          <t>5.10.2026</t>
        </is>
      </c>
      <c r="I379" s="4" t="inlineStr">
        <is>
          <t>17:01</t>
        </is>
      </c>
      <c r="J379" s="8" t="n">
        <v>7.5</v>
      </c>
      <c r="K379" s="8" t="n">
        <v>7.5</v>
      </c>
      <c r="L379" s="8" t="n">
        <v>0</v>
      </c>
      <c r="M379" s="29" t="inlineStr">
        <is>
          <t>BALIKESİR</t>
        </is>
      </c>
    </row>
    <row r="380">
      <c r="A380" s="4" t="n">
        <v>379</v>
      </c>
      <c r="B380" s="4" t="inlineStr">
        <is>
          <t>00214</t>
        </is>
      </c>
      <c r="C380" s="4" t="inlineStr">
        <is>
          <t>00214</t>
        </is>
      </c>
      <c r="D380" s="29" t="inlineStr">
        <is>
          <t>AYŞE KARAMAN</t>
        </is>
      </c>
      <c r="E380" s="4" t="inlineStr">
        <is>
          <t>Salı</t>
        </is>
      </c>
      <c r="F380" s="4" t="inlineStr">
        <is>
          <t>6.10.2026</t>
        </is>
      </c>
      <c r="G380" s="4" t="inlineStr">
        <is>
          <t>07:50</t>
        </is>
      </c>
      <c r="H380" s="4" t="inlineStr">
        <is>
          <t>6.10.2026</t>
        </is>
      </c>
      <c r="I380" s="4" t="inlineStr">
        <is>
          <t>17:36</t>
        </is>
      </c>
      <c r="J380" s="8" t="n">
        <v>8</v>
      </c>
      <c r="K380" s="8" t="n">
        <v>7.5</v>
      </c>
      <c r="L380" s="8" t="n">
        <v>0.5</v>
      </c>
      <c r="M380" s="29" t="inlineStr">
        <is>
          <t>BALIKESİR</t>
        </is>
      </c>
    </row>
    <row r="381">
      <c r="A381" s="4" t="n">
        <v>380</v>
      </c>
      <c r="B381" s="4" t="inlineStr">
        <is>
          <t>00214</t>
        </is>
      </c>
      <c r="C381" s="4" t="inlineStr">
        <is>
          <t>00214</t>
        </is>
      </c>
      <c r="D381" s="29" t="inlineStr">
        <is>
          <t>AYŞE KARAMAN</t>
        </is>
      </c>
      <c r="E381" s="4" t="inlineStr">
        <is>
          <t>Çarşamba</t>
        </is>
      </c>
      <c r="F381" s="4" t="inlineStr">
        <is>
          <t>7.10.2026</t>
        </is>
      </c>
      <c r="G381" s="4" t="inlineStr">
        <is>
          <t>07:48</t>
        </is>
      </c>
      <c r="H381" s="4" t="inlineStr">
        <is>
          <t>7.10.2026</t>
        </is>
      </c>
      <c r="I381" s="4" t="inlineStr">
        <is>
          <t>17:20</t>
        </is>
      </c>
      <c r="J381" s="8" t="n">
        <v>7.5</v>
      </c>
      <c r="K381" s="8" t="n">
        <v>7.5</v>
      </c>
      <c r="L381" s="8" t="n">
        <v>0</v>
      </c>
      <c r="M381" s="29" t="inlineStr">
        <is>
          <t>BALIKESİR</t>
        </is>
      </c>
    </row>
    <row r="382">
      <c r="A382" s="4" t="n">
        <v>381</v>
      </c>
      <c r="B382" s="4" t="inlineStr">
        <is>
          <t>00214</t>
        </is>
      </c>
      <c r="C382" s="4" t="inlineStr">
        <is>
          <t>00214</t>
        </is>
      </c>
      <c r="D382" s="29" t="inlineStr">
        <is>
          <t>AYŞE KARAMAN</t>
        </is>
      </c>
      <c r="E382" s="4" t="inlineStr">
        <is>
          <t>Perşembe</t>
        </is>
      </c>
      <c r="F382" s="4" t="inlineStr">
        <is>
          <t>8.10.2026</t>
        </is>
      </c>
      <c r="G382" s="4" t="inlineStr">
        <is>
          <t>07:49</t>
        </is>
      </c>
      <c r="H382" s="4" t="inlineStr">
        <is>
          <t>8.10.2026</t>
        </is>
      </c>
      <c r="I382" s="4" t="inlineStr">
        <is>
          <t>17:30</t>
        </is>
      </c>
      <c r="J382" s="8" t="n">
        <v>8</v>
      </c>
      <c r="K382" s="8" t="n">
        <v>7.5</v>
      </c>
      <c r="L382" s="8" t="n">
        <v>0.5</v>
      </c>
      <c r="M382" s="29" t="inlineStr">
        <is>
          <t>BALIKESİR</t>
        </is>
      </c>
    </row>
    <row r="383">
      <c r="A383" s="4" t="n">
        <v>382</v>
      </c>
      <c r="B383" s="4" t="inlineStr">
        <is>
          <t>00214</t>
        </is>
      </c>
      <c r="C383" s="4" t="inlineStr">
        <is>
          <t>00214</t>
        </is>
      </c>
      <c r="D383" s="29" t="inlineStr">
        <is>
          <t>AYŞE KARAMAN</t>
        </is>
      </c>
      <c r="E383" s="4" t="inlineStr">
        <is>
          <t>Cuma</t>
        </is>
      </c>
      <c r="F383" s="4" t="inlineStr">
        <is>
          <t>9.10.2026</t>
        </is>
      </c>
      <c r="G383" s="4" t="inlineStr">
        <is>
          <t>07:50</t>
        </is>
      </c>
      <c r="H383" s="4" t="inlineStr">
        <is>
          <t>9.10.2026</t>
        </is>
      </c>
      <c r="I383" s="4" t="inlineStr">
        <is>
          <t>17:39</t>
        </is>
      </c>
      <c r="J383" s="8" t="n">
        <v>8</v>
      </c>
      <c r="K383" s="8" t="n">
        <v>7.5</v>
      </c>
      <c r="L383" s="8" t="n">
        <v>0.5</v>
      </c>
      <c r="M383" s="29" t="inlineStr">
        <is>
          <t>BALIKESİR</t>
        </is>
      </c>
    </row>
    <row r="384">
      <c r="A384" s="4" t="n">
        <v>383</v>
      </c>
      <c r="B384" s="4" t="inlineStr">
        <is>
          <t>00214</t>
        </is>
      </c>
      <c r="C384" s="4" t="inlineStr">
        <is>
          <t>00214</t>
        </is>
      </c>
      <c r="D384" s="29" t="inlineStr">
        <is>
          <t>AYŞE KARAMAN</t>
        </is>
      </c>
      <c r="E384" s="4" t="inlineStr">
        <is>
          <t>Cumartesi</t>
        </is>
      </c>
      <c r="F384" s="4" t="inlineStr">
        <is>
          <t>10.10.2026</t>
        </is>
      </c>
      <c r="G384" s="4" t="inlineStr">
        <is>
          <t>07:53</t>
        </is>
      </c>
      <c r="H384" s="4" t="inlineStr">
        <is>
          <t>10.10.2026</t>
        </is>
      </c>
      <c r="I384" s="4" t="inlineStr">
        <is>
          <t>18:07</t>
        </is>
      </c>
      <c r="J384" s="8" t="n">
        <v>8.5</v>
      </c>
      <c r="K384" s="8" t="n">
        <v>7.5</v>
      </c>
      <c r="L384" s="8" t="n">
        <v>1</v>
      </c>
      <c r="M384" s="29" t="inlineStr">
        <is>
          <t>BALIKESİR</t>
        </is>
      </c>
    </row>
    <row r="385">
      <c r="A385" s="4" t="n">
        <v>384</v>
      </c>
      <c r="B385" s="4" t="inlineStr">
        <is>
          <t>00214</t>
        </is>
      </c>
      <c r="C385" s="4" t="inlineStr">
        <is>
          <t>00214</t>
        </is>
      </c>
      <c r="D385" s="29" t="inlineStr">
        <is>
          <t>AYŞE KARAMAN</t>
        </is>
      </c>
      <c r="E385" s="4" t="inlineStr">
        <is>
          <t>Pazartesi</t>
        </is>
      </c>
      <c r="F385" s="4" t="inlineStr">
        <is>
          <t>12.10.2026</t>
        </is>
      </c>
      <c r="G385" s="4" t="inlineStr">
        <is>
          <t>07:50</t>
        </is>
      </c>
      <c r="H385" s="4" t="inlineStr">
        <is>
          <t>12.10.2026</t>
        </is>
      </c>
      <c r="I385" s="4" t="inlineStr">
        <is>
          <t>17:00</t>
        </is>
      </c>
      <c r="J385" s="8" t="n">
        <v>7.5</v>
      </c>
      <c r="K385" s="8" t="n">
        <v>7.5</v>
      </c>
      <c r="L385" s="8" t="n">
        <v>0</v>
      </c>
      <c r="M385" s="29" t="inlineStr">
        <is>
          <t>BALIKESİR</t>
        </is>
      </c>
    </row>
    <row r="386">
      <c r="A386" s="4" t="n">
        <v>385</v>
      </c>
      <c r="B386" s="4" t="inlineStr">
        <is>
          <t>00214</t>
        </is>
      </c>
      <c r="C386" s="4" t="inlineStr">
        <is>
          <t>00214</t>
        </is>
      </c>
      <c r="D386" s="29" t="inlineStr">
        <is>
          <t>AYŞE KARAMAN</t>
        </is>
      </c>
      <c r="E386" s="4" t="inlineStr">
        <is>
          <t>Salı</t>
        </is>
      </c>
      <c r="F386" s="4" t="inlineStr">
        <is>
          <t>13.10.2026</t>
        </is>
      </c>
      <c r="G386" s="4" t="inlineStr">
        <is>
          <t>07:48</t>
        </is>
      </c>
      <c r="H386" s="4" t="inlineStr">
        <is>
          <t>13.10.2026</t>
        </is>
      </c>
      <c r="I386" s="4" t="inlineStr">
        <is>
          <t>16:59</t>
        </is>
      </c>
      <c r="J386" s="8" t="n">
        <v>7.5</v>
      </c>
      <c r="K386" s="8" t="n">
        <v>7.5</v>
      </c>
      <c r="L386" s="8" t="n">
        <v>0</v>
      </c>
      <c r="M386" s="29" t="inlineStr">
        <is>
          <t>BALIKESİR</t>
        </is>
      </c>
    </row>
    <row r="387">
      <c r="A387" s="4" t="n">
        <v>386</v>
      </c>
      <c r="B387" s="4" t="inlineStr">
        <is>
          <t>00214</t>
        </is>
      </c>
      <c r="C387" s="4" t="inlineStr">
        <is>
          <t>00214</t>
        </is>
      </c>
      <c r="D387" s="29" t="inlineStr">
        <is>
          <t>AYŞE KARAMAN</t>
        </is>
      </c>
      <c r="E387" s="4" t="inlineStr">
        <is>
          <t>Çarşamba</t>
        </is>
      </c>
      <c r="F387" s="4" t="inlineStr">
        <is>
          <t>14.10.2026</t>
        </is>
      </c>
      <c r="G387" s="4" t="inlineStr">
        <is>
          <t>07:49</t>
        </is>
      </c>
      <c r="H387" s="4" t="inlineStr">
        <is>
          <t>14.10.2026</t>
        </is>
      </c>
      <c r="I387" s="4" t="inlineStr">
        <is>
          <t>18:02</t>
        </is>
      </c>
      <c r="J387" s="8" t="n">
        <v>8.5</v>
      </c>
      <c r="K387" s="8" t="n">
        <v>7.5</v>
      </c>
      <c r="L387" s="8" t="n">
        <v>1</v>
      </c>
      <c r="M387" s="29" t="inlineStr">
        <is>
          <t>BALIKESİR</t>
        </is>
      </c>
    </row>
    <row r="388">
      <c r="A388" s="4" t="n">
        <v>387</v>
      </c>
      <c r="B388" s="4" t="inlineStr">
        <is>
          <t>00214</t>
        </is>
      </c>
      <c r="C388" s="4" t="inlineStr">
        <is>
          <t>00214</t>
        </is>
      </c>
      <c r="D388" s="29" t="inlineStr">
        <is>
          <t>AYŞE KARAMAN</t>
        </is>
      </c>
      <c r="E388" s="4" t="inlineStr">
        <is>
          <t>Perşembe</t>
        </is>
      </c>
      <c r="F388" s="4" t="inlineStr">
        <is>
          <t>15.10.2026</t>
        </is>
      </c>
      <c r="G388" s="4" t="inlineStr">
        <is>
          <t>07:52</t>
        </is>
      </c>
      <c r="H388" s="4" t="inlineStr">
        <is>
          <t>15.10.2026</t>
        </is>
      </c>
      <c r="I388" s="4" t="inlineStr">
        <is>
          <t>17:02</t>
        </is>
      </c>
      <c r="J388" s="8" t="n">
        <v>7.5</v>
      </c>
      <c r="K388" s="8" t="n">
        <v>7.5</v>
      </c>
      <c r="L388" s="8" t="n">
        <v>0</v>
      </c>
      <c r="M388" s="29" t="inlineStr">
        <is>
          <t>BALIKESİR</t>
        </is>
      </c>
    </row>
    <row r="389">
      <c r="A389" s="4" t="n">
        <v>388</v>
      </c>
      <c r="B389" s="4" t="inlineStr">
        <is>
          <t>00214</t>
        </is>
      </c>
      <c r="C389" s="4" t="inlineStr">
        <is>
          <t>00214</t>
        </is>
      </c>
      <c r="D389" s="29" t="inlineStr">
        <is>
          <t>AYŞE KARAMAN</t>
        </is>
      </c>
      <c r="E389" s="4" t="inlineStr">
        <is>
          <t>Cuma</t>
        </is>
      </c>
      <c r="F389" s="4" t="inlineStr">
        <is>
          <t>16.10.2026</t>
        </is>
      </c>
      <c r="G389" s="4" t="inlineStr">
        <is>
          <t>07:48</t>
        </is>
      </c>
      <c r="H389" s="4" t="inlineStr">
        <is>
          <t>16.10.2026</t>
        </is>
      </c>
      <c r="I389" s="4" t="inlineStr">
        <is>
          <t>17:13</t>
        </is>
      </c>
      <c r="J389" s="8" t="n">
        <v>7.5</v>
      </c>
      <c r="K389" s="8" t="n">
        <v>7.5</v>
      </c>
      <c r="L389" s="8" t="n">
        <v>0</v>
      </c>
      <c r="M389" s="29" t="inlineStr">
        <is>
          <t>BALIKESİR</t>
        </is>
      </c>
    </row>
    <row r="390">
      <c r="A390" s="4" t="n">
        <v>389</v>
      </c>
      <c r="B390" s="4" t="inlineStr">
        <is>
          <t>00214</t>
        </is>
      </c>
      <c r="C390" s="4" t="inlineStr">
        <is>
          <t>00214</t>
        </is>
      </c>
      <c r="D390" s="29" t="inlineStr">
        <is>
          <t>AYŞE KARAMAN</t>
        </is>
      </c>
      <c r="E390" s="4" t="inlineStr">
        <is>
          <t>Cumartesi</t>
        </is>
      </c>
      <c r="F390" s="4" t="inlineStr">
        <is>
          <t>17.10.2026</t>
        </is>
      </c>
      <c r="G390" s="4" t="inlineStr">
        <is>
          <t>07:56</t>
        </is>
      </c>
      <c r="H390" s="4" t="inlineStr">
        <is>
          <t>17.10.2026</t>
        </is>
      </c>
      <c r="I390" s="4" t="inlineStr">
        <is>
          <t>17:47</t>
        </is>
      </c>
      <c r="J390" s="8" t="n">
        <v>8.5</v>
      </c>
      <c r="K390" s="8" t="n">
        <v>7.5</v>
      </c>
      <c r="L390" s="8" t="n">
        <v>1</v>
      </c>
      <c r="M390" s="29" t="inlineStr">
        <is>
          <t>BALIKESİR</t>
        </is>
      </c>
    </row>
    <row r="391">
      <c r="A391" s="4" t="n">
        <v>390</v>
      </c>
      <c r="B391" s="4" t="inlineStr">
        <is>
          <t>00214</t>
        </is>
      </c>
      <c r="C391" s="4" t="inlineStr">
        <is>
          <t>00214</t>
        </is>
      </c>
      <c r="D391" s="29" t="inlineStr">
        <is>
          <t>AYŞE KARAMAN</t>
        </is>
      </c>
      <c r="E391" s="4" t="inlineStr">
        <is>
          <t>Pazartesi</t>
        </is>
      </c>
      <c r="F391" s="4" t="inlineStr">
        <is>
          <t>19.10.2026</t>
        </is>
      </c>
      <c r="G391" s="4" t="inlineStr">
        <is>
          <t>07:50</t>
        </is>
      </c>
      <c r="H391" s="4" t="inlineStr">
        <is>
          <t>19.10.2026</t>
        </is>
      </c>
      <c r="I391" s="4" t="inlineStr">
        <is>
          <t>17:41</t>
        </is>
      </c>
      <c r="J391" s="8" t="n">
        <v>8</v>
      </c>
      <c r="K391" s="8" t="n">
        <v>7.5</v>
      </c>
      <c r="L391" s="8" t="n">
        <v>0.5</v>
      </c>
      <c r="M391" s="29" t="inlineStr">
        <is>
          <t>BALIKESİR</t>
        </is>
      </c>
    </row>
    <row r="392">
      <c r="A392" s="4" t="n">
        <v>391</v>
      </c>
      <c r="B392" s="4" t="inlineStr">
        <is>
          <t>00214</t>
        </is>
      </c>
      <c r="C392" s="4" t="inlineStr">
        <is>
          <t>00214</t>
        </is>
      </c>
      <c r="D392" s="29" t="inlineStr">
        <is>
          <t>AYŞE KARAMAN</t>
        </is>
      </c>
      <c r="E392" s="4" t="inlineStr">
        <is>
          <t>Salı</t>
        </is>
      </c>
      <c r="F392" s="4" t="inlineStr">
        <is>
          <t>20.10.2026</t>
        </is>
      </c>
      <c r="G392" s="4" t="inlineStr">
        <is>
          <t>07:48</t>
        </is>
      </c>
      <c r="H392" s="4" t="inlineStr">
        <is>
          <t>20.10.2026</t>
        </is>
      </c>
      <c r="I392" s="4" t="inlineStr">
        <is>
          <t>16:59</t>
        </is>
      </c>
      <c r="J392" s="8" t="n">
        <v>7.5</v>
      </c>
      <c r="K392" s="8" t="n">
        <v>7.5</v>
      </c>
      <c r="L392" s="8" t="n">
        <v>0</v>
      </c>
      <c r="M392" s="29" t="inlineStr">
        <is>
          <t>BALIKESİR</t>
        </is>
      </c>
    </row>
    <row r="393">
      <c r="A393" s="4" t="n">
        <v>392</v>
      </c>
      <c r="B393" s="4" t="inlineStr">
        <is>
          <t>00214</t>
        </is>
      </c>
      <c r="C393" s="4" t="inlineStr">
        <is>
          <t>00214</t>
        </is>
      </c>
      <c r="D393" s="29" t="inlineStr">
        <is>
          <t>AYŞE KARAMAN</t>
        </is>
      </c>
      <c r="E393" s="4" t="inlineStr">
        <is>
          <t>Çarşamba</t>
        </is>
      </c>
      <c r="F393" s="4" t="inlineStr">
        <is>
          <t>21.10.2026</t>
        </is>
      </c>
      <c r="G393" s="4" t="inlineStr">
        <is>
          <t>07:49</t>
        </is>
      </c>
      <c r="H393" s="4" t="inlineStr">
        <is>
          <t>21.10.2026</t>
        </is>
      </c>
      <c r="I393" s="4" t="inlineStr">
        <is>
          <t>17:00</t>
        </is>
      </c>
      <c r="J393" s="8" t="n">
        <v>7.5</v>
      </c>
      <c r="K393" s="8" t="n">
        <v>7.5</v>
      </c>
      <c r="L393" s="8" t="n">
        <v>0</v>
      </c>
      <c r="M393" s="29" t="inlineStr">
        <is>
          <t>BALIKESİR</t>
        </is>
      </c>
    </row>
    <row r="394">
      <c r="A394" s="4" t="n">
        <v>393</v>
      </c>
      <c r="B394" s="4" t="inlineStr">
        <is>
          <t>00215</t>
        </is>
      </c>
      <c r="C394" s="4" t="inlineStr">
        <is>
          <t>00215</t>
        </is>
      </c>
      <c r="D394" s="29" t="inlineStr">
        <is>
          <t>AYŞE YILMAZ</t>
        </is>
      </c>
      <c r="E394" s="4" t="inlineStr">
        <is>
          <t>Perşembe</t>
        </is>
      </c>
      <c r="F394" s="4" t="inlineStr">
        <is>
          <t>1.10.2026</t>
        </is>
      </c>
      <c r="G394" s="4" t="inlineStr">
        <is>
          <t>09:49</t>
        </is>
      </c>
      <c r="H394" s="4" t="inlineStr">
        <is>
          <t>1.10.2026</t>
        </is>
      </c>
      <c r="I394" s="4" t="inlineStr">
        <is>
          <t>19:26</t>
        </is>
      </c>
      <c r="J394" s="8" t="n">
        <v>8.5</v>
      </c>
      <c r="K394" s="8" t="n">
        <v>6</v>
      </c>
      <c r="L394" s="8" t="n">
        <v>2.5</v>
      </c>
      <c r="M394" s="29" t="inlineStr">
        <is>
          <t>MKP</t>
        </is>
      </c>
    </row>
    <row r="395">
      <c r="A395" s="4" t="n">
        <v>394</v>
      </c>
      <c r="B395" s="4" t="inlineStr">
        <is>
          <t>00215</t>
        </is>
      </c>
      <c r="C395" s="4" t="inlineStr">
        <is>
          <t>00215</t>
        </is>
      </c>
      <c r="D395" s="29" t="inlineStr">
        <is>
          <t>AYŞE YILMAZ</t>
        </is>
      </c>
      <c r="E395" s="4" t="inlineStr">
        <is>
          <t>Cuma</t>
        </is>
      </c>
      <c r="F395" s="4" t="inlineStr">
        <is>
          <t>2.10.2026</t>
        </is>
      </c>
      <c r="G395" s="4" t="inlineStr">
        <is>
          <t>09:46</t>
        </is>
      </c>
      <c r="H395" s="4" t="inlineStr">
        <is>
          <t>2.10.2026</t>
        </is>
      </c>
      <c r="I395" s="4" t="inlineStr">
        <is>
          <t>19:58</t>
        </is>
      </c>
      <c r="J395" s="8" t="n">
        <v>9</v>
      </c>
      <c r="K395" s="8" t="n">
        <v>6</v>
      </c>
      <c r="L395" s="8" t="n">
        <v>3</v>
      </c>
      <c r="M395" s="29" t="inlineStr">
        <is>
          <t>MKP</t>
        </is>
      </c>
    </row>
    <row r="396">
      <c r="A396" s="4" t="n">
        <v>395</v>
      </c>
      <c r="B396" s="4" t="inlineStr">
        <is>
          <t>00215</t>
        </is>
      </c>
      <c r="C396" s="4" t="inlineStr">
        <is>
          <t>00215</t>
        </is>
      </c>
      <c r="D396" s="29" t="inlineStr">
        <is>
          <t>AYŞE YILMAZ</t>
        </is>
      </c>
      <c r="E396" s="4" t="inlineStr">
        <is>
          <t>Cumartesi</t>
        </is>
      </c>
      <c r="F396" s="4" t="inlineStr">
        <is>
          <t>3.10.2026</t>
        </is>
      </c>
      <c r="G396" s="4" t="inlineStr">
        <is>
          <t>09:51</t>
        </is>
      </c>
      <c r="H396" s="4" t="inlineStr">
        <is>
          <t>3.10.2026</t>
        </is>
      </c>
      <c r="I396" s="4" t="inlineStr">
        <is>
          <t>19:53</t>
        </is>
      </c>
      <c r="J396" s="8" t="n">
        <v>8.5</v>
      </c>
      <c r="K396" s="8" t="n">
        <v>5.5</v>
      </c>
      <c r="L396" s="8" t="n">
        <v>3</v>
      </c>
      <c r="M396" s="29" t="inlineStr">
        <is>
          <t>MKP</t>
        </is>
      </c>
    </row>
    <row r="397">
      <c r="A397" s="4" t="n">
        <v>396</v>
      </c>
      <c r="B397" s="4" t="inlineStr">
        <is>
          <t>00215</t>
        </is>
      </c>
      <c r="C397" s="4" t="inlineStr">
        <is>
          <t>00215</t>
        </is>
      </c>
      <c r="D397" s="29" t="inlineStr">
        <is>
          <t>AYŞE YILMAZ</t>
        </is>
      </c>
      <c r="E397" s="4" t="inlineStr">
        <is>
          <t>Pazartesi</t>
        </is>
      </c>
      <c r="F397" s="4" t="inlineStr">
        <is>
          <t>5.10.2026</t>
        </is>
      </c>
      <c r="G397" s="4" t="inlineStr">
        <is>
          <t>09:44</t>
        </is>
      </c>
      <c r="H397" s="4" t="inlineStr">
        <is>
          <t>5.10.2026</t>
        </is>
      </c>
      <c r="I397" s="4" t="inlineStr">
        <is>
          <t>19:01</t>
        </is>
      </c>
      <c r="J397" s="8" t="n">
        <v>8</v>
      </c>
      <c r="K397" s="8" t="n">
        <v>6</v>
      </c>
      <c r="L397" s="8" t="n">
        <v>2</v>
      </c>
      <c r="M397" s="29" t="inlineStr">
        <is>
          <t>MKP</t>
        </is>
      </c>
    </row>
    <row r="398">
      <c r="A398" s="4" t="n">
        <v>397</v>
      </c>
      <c r="B398" s="4" t="inlineStr">
        <is>
          <t>00215</t>
        </is>
      </c>
      <c r="C398" s="4" t="inlineStr">
        <is>
          <t>00215</t>
        </is>
      </c>
      <c r="D398" s="29" t="inlineStr">
        <is>
          <t>AYŞE YILMAZ</t>
        </is>
      </c>
      <c r="E398" s="4" t="inlineStr">
        <is>
          <t>Salı</t>
        </is>
      </c>
      <c r="F398" s="4" t="inlineStr">
        <is>
          <t>6.10.2026</t>
        </is>
      </c>
      <c r="G398" s="4" t="inlineStr">
        <is>
          <t>09:43</t>
        </is>
      </c>
      <c r="H398" s="4" t="inlineStr">
        <is>
          <t>6.10.2026</t>
        </is>
      </c>
      <c r="I398" s="4" t="inlineStr">
        <is>
          <t>19:21</t>
        </is>
      </c>
      <c r="J398" s="8" t="n">
        <v>8.5</v>
      </c>
      <c r="K398" s="8" t="n">
        <v>6</v>
      </c>
      <c r="L398" s="8" t="n">
        <v>2.5</v>
      </c>
      <c r="M398" s="29" t="inlineStr">
        <is>
          <t>MKP</t>
        </is>
      </c>
    </row>
    <row r="399">
      <c r="A399" s="4" t="n">
        <v>398</v>
      </c>
      <c r="B399" s="4" t="inlineStr">
        <is>
          <t>00215</t>
        </is>
      </c>
      <c r="C399" s="4" t="inlineStr">
        <is>
          <t>00215</t>
        </is>
      </c>
      <c r="D399" s="29" t="inlineStr">
        <is>
          <t>AYŞE YILMAZ</t>
        </is>
      </c>
      <c r="E399" s="4" t="inlineStr">
        <is>
          <t>Çarşamba</t>
        </is>
      </c>
      <c r="F399" s="4" t="inlineStr">
        <is>
          <t>7.10.2026</t>
        </is>
      </c>
      <c r="G399" s="4" t="inlineStr">
        <is>
          <t>09:50</t>
        </is>
      </c>
      <c r="H399" s="4" t="inlineStr">
        <is>
          <t>7.10.2026</t>
        </is>
      </c>
      <c r="I399" s="4" t="inlineStr">
        <is>
          <t>17:31</t>
        </is>
      </c>
      <c r="J399" s="8" t="n">
        <v>6.5</v>
      </c>
      <c r="K399" s="8" t="n">
        <v>6</v>
      </c>
      <c r="L399" s="8" t="n">
        <v>0.5</v>
      </c>
      <c r="M399" s="29" t="inlineStr">
        <is>
          <t>MKP</t>
        </is>
      </c>
    </row>
    <row r="400">
      <c r="A400" s="4" t="n">
        <v>399</v>
      </c>
      <c r="B400" s="4" t="inlineStr">
        <is>
          <t>00215</t>
        </is>
      </c>
      <c r="C400" s="4" t="inlineStr">
        <is>
          <t>00215</t>
        </is>
      </c>
      <c r="D400" s="29" t="inlineStr">
        <is>
          <t>AYŞE YILMAZ</t>
        </is>
      </c>
      <c r="E400" s="4" t="inlineStr">
        <is>
          <t>Perşembe</t>
        </is>
      </c>
      <c r="F400" s="4" t="inlineStr">
        <is>
          <t>8.10.2026</t>
        </is>
      </c>
      <c r="G400" s="4" t="inlineStr">
        <is>
          <t>07:58</t>
        </is>
      </c>
      <c r="H400" s="4" t="inlineStr">
        <is>
          <t>8.10.2026</t>
        </is>
      </c>
      <c r="I400" s="4" t="inlineStr">
        <is>
          <t>19:26</t>
        </is>
      </c>
      <c r="J400" s="8" t="n">
        <v>10</v>
      </c>
      <c r="K400" s="8" t="n">
        <v>7.5</v>
      </c>
      <c r="L400" s="8" t="n">
        <v>2.5</v>
      </c>
      <c r="M400" s="29" t="inlineStr">
        <is>
          <t>MKP</t>
        </is>
      </c>
    </row>
    <row r="401">
      <c r="A401" s="4" t="n">
        <v>400</v>
      </c>
      <c r="B401" s="4" t="inlineStr">
        <is>
          <t>00215</t>
        </is>
      </c>
      <c r="C401" s="4" t="inlineStr">
        <is>
          <t>00215</t>
        </is>
      </c>
      <c r="D401" s="29" t="inlineStr">
        <is>
          <t>AYŞE YILMAZ</t>
        </is>
      </c>
      <c r="E401" s="4" t="inlineStr">
        <is>
          <t>Cuma</t>
        </is>
      </c>
      <c r="F401" s="4" t="inlineStr">
        <is>
          <t>9.10.2026</t>
        </is>
      </c>
      <c r="G401" s="4" t="inlineStr">
        <is>
          <t>07:55</t>
        </is>
      </c>
      <c r="H401" s="4" t="inlineStr">
        <is>
          <t>9.10.2026</t>
        </is>
      </c>
      <c r="I401" s="4" t="inlineStr">
        <is>
          <t>17:48</t>
        </is>
      </c>
      <c r="J401" s="8" t="n">
        <v>8.5</v>
      </c>
      <c r="K401" s="8" t="n">
        <v>7.5</v>
      </c>
      <c r="L401" s="8" t="n">
        <v>1</v>
      </c>
      <c r="M401" s="29" t="inlineStr">
        <is>
          <t>MKP</t>
        </is>
      </c>
    </row>
    <row r="402">
      <c r="A402" s="4" t="n">
        <v>401</v>
      </c>
      <c r="B402" s="4" t="inlineStr">
        <is>
          <t>00215</t>
        </is>
      </c>
      <c r="C402" s="4" t="inlineStr">
        <is>
          <t>00215</t>
        </is>
      </c>
      <c r="D402" s="29" t="inlineStr">
        <is>
          <t>AYŞE YILMAZ</t>
        </is>
      </c>
      <c r="E402" s="4" t="inlineStr">
        <is>
          <t>Cumartesi</t>
        </is>
      </c>
      <c r="F402" s="4" t="inlineStr">
        <is>
          <t>10.10.2026</t>
        </is>
      </c>
      <c r="G402" s="4" t="inlineStr">
        <is>
          <t>09:46</t>
        </is>
      </c>
      <c r="H402" s="4" t="inlineStr">
        <is>
          <t>10.10.2026</t>
        </is>
      </c>
      <c r="I402" s="4" t="inlineStr">
        <is>
          <t>00:39</t>
        </is>
      </c>
      <c r="J402" s="8" t="n">
        <v>13.5</v>
      </c>
      <c r="K402" s="8" t="n">
        <v>6</v>
      </c>
      <c r="L402" s="8" t="n">
        <v>7.5</v>
      </c>
      <c r="M402" s="29" t="inlineStr">
        <is>
          <t>MKP</t>
        </is>
      </c>
    </row>
    <row r="403">
      <c r="A403" s="4" t="n">
        <v>402</v>
      </c>
      <c r="B403" s="4" t="inlineStr">
        <is>
          <t>00215</t>
        </is>
      </c>
      <c r="C403" s="4" t="inlineStr">
        <is>
          <t>00215</t>
        </is>
      </c>
      <c r="D403" s="29" t="inlineStr">
        <is>
          <t>AYŞE YILMAZ</t>
        </is>
      </c>
      <c r="E403" s="4" t="inlineStr">
        <is>
          <t>Pazartesi</t>
        </is>
      </c>
      <c r="F403" s="4" t="inlineStr">
        <is>
          <t>12.10.2026</t>
        </is>
      </c>
      <c r="G403" s="4" t="inlineStr">
        <is>
          <t>09:52</t>
        </is>
      </c>
      <c r="H403" s="4" t="inlineStr">
        <is>
          <t>12.10.2026</t>
        </is>
      </c>
      <c r="I403" s="4" t="inlineStr">
        <is>
          <t>19:03</t>
        </is>
      </c>
      <c r="J403" s="8" t="n">
        <v>7.5</v>
      </c>
      <c r="K403" s="8" t="n">
        <v>5.5</v>
      </c>
      <c r="L403" s="8" t="n">
        <v>2</v>
      </c>
      <c r="M403" s="29" t="inlineStr">
        <is>
          <t>MKP</t>
        </is>
      </c>
    </row>
    <row r="404">
      <c r="A404" s="4" t="n">
        <v>403</v>
      </c>
      <c r="B404" s="4" t="inlineStr">
        <is>
          <t>00215</t>
        </is>
      </c>
      <c r="C404" s="4" t="inlineStr">
        <is>
          <t>00215</t>
        </is>
      </c>
      <c r="D404" s="29" t="inlineStr">
        <is>
          <t>AYŞE YILMAZ</t>
        </is>
      </c>
      <c r="E404" s="4" t="inlineStr">
        <is>
          <t>Salı</t>
        </is>
      </c>
      <c r="F404" s="4" t="inlineStr">
        <is>
          <t>13.10.2026</t>
        </is>
      </c>
      <c r="G404" s="4" t="inlineStr">
        <is>
          <t>09:54</t>
        </is>
      </c>
      <c r="H404" s="4" t="inlineStr">
        <is>
          <t>13.10.2026</t>
        </is>
      </c>
      <c r="I404" s="4" t="inlineStr">
        <is>
          <t>19:06</t>
        </is>
      </c>
      <c r="J404" s="8" t="n">
        <v>7.5</v>
      </c>
      <c r="K404" s="8" t="n">
        <v>5.5</v>
      </c>
      <c r="L404" s="8" t="n">
        <v>2</v>
      </c>
      <c r="M404" s="29" t="inlineStr">
        <is>
          <t>MKP</t>
        </is>
      </c>
    </row>
    <row r="405">
      <c r="A405" s="4" t="n">
        <v>404</v>
      </c>
      <c r="B405" s="4" t="inlineStr">
        <is>
          <t>00215</t>
        </is>
      </c>
      <c r="C405" s="4" t="inlineStr">
        <is>
          <t>00215</t>
        </is>
      </c>
      <c r="D405" s="29" t="inlineStr">
        <is>
          <t>AYŞE YILMAZ</t>
        </is>
      </c>
      <c r="E405" s="4" t="inlineStr">
        <is>
          <t>Çarşamba</t>
        </is>
      </c>
      <c r="F405" s="4" t="inlineStr">
        <is>
          <t>14.10.2026</t>
        </is>
      </c>
      <c r="G405" s="4" t="inlineStr">
        <is>
          <t>07:59</t>
        </is>
      </c>
      <c r="H405" s="4" t="inlineStr">
        <is>
          <t>14.10.2026</t>
        </is>
      </c>
      <c r="I405" s="4" t="inlineStr">
        <is>
          <t>18:21</t>
        </is>
      </c>
      <c r="J405" s="8" t="n">
        <v>9</v>
      </c>
      <c r="K405" s="8" t="n">
        <v>7.5</v>
      </c>
      <c r="L405" s="8" t="n">
        <v>1.5</v>
      </c>
      <c r="M405" s="29" t="inlineStr">
        <is>
          <t>MKP</t>
        </is>
      </c>
    </row>
    <row r="406">
      <c r="A406" s="4" t="n">
        <v>405</v>
      </c>
      <c r="B406" s="4" t="inlineStr">
        <is>
          <t>00215</t>
        </is>
      </c>
      <c r="C406" s="4" t="inlineStr">
        <is>
          <t>00215</t>
        </is>
      </c>
      <c r="D406" s="29" t="inlineStr">
        <is>
          <t>AYŞE YILMAZ</t>
        </is>
      </c>
      <c r="E406" s="4" t="inlineStr">
        <is>
          <t>Perşembe</t>
        </is>
      </c>
      <c r="F406" s="4" t="inlineStr">
        <is>
          <t>15.10.2026</t>
        </is>
      </c>
      <c r="G406" s="4" t="inlineStr">
        <is>
          <t>08:03</t>
        </is>
      </c>
      <c r="H406" s="4" t="inlineStr">
        <is>
          <t>15.10.2026</t>
        </is>
      </c>
      <c r="I406" s="4" t="inlineStr">
        <is>
          <t>17:07</t>
        </is>
      </c>
      <c r="J406" s="8" t="n">
        <v>7.5</v>
      </c>
      <c r="K406" s="8" t="n">
        <v>7.5</v>
      </c>
      <c r="L406" s="8" t="n">
        <v>0</v>
      </c>
      <c r="M406" s="29" t="inlineStr">
        <is>
          <t>MKP</t>
        </is>
      </c>
    </row>
    <row r="407">
      <c r="A407" s="4" t="n">
        <v>406</v>
      </c>
      <c r="B407" s="4" t="inlineStr">
        <is>
          <t>00215</t>
        </is>
      </c>
      <c r="C407" s="4" t="inlineStr">
        <is>
          <t>00215</t>
        </is>
      </c>
      <c r="D407" s="29" t="inlineStr">
        <is>
          <t>AYŞE YILMAZ</t>
        </is>
      </c>
      <c r="E407" s="4" t="inlineStr">
        <is>
          <t>Cuma</t>
        </is>
      </c>
      <c r="F407" s="4" t="inlineStr">
        <is>
          <t>16.10.2026</t>
        </is>
      </c>
      <c r="G407" s="4" t="inlineStr">
        <is>
          <t>09:46</t>
        </is>
      </c>
      <c r="H407" s="4" t="inlineStr">
        <is>
          <t>16.10.2026</t>
        </is>
      </c>
      <c r="I407" s="4" t="inlineStr">
        <is>
          <t>19:54</t>
        </is>
      </c>
      <c r="J407" s="8" t="n">
        <v>9</v>
      </c>
      <c r="K407" s="8" t="n">
        <v>6</v>
      </c>
      <c r="L407" s="8" t="n">
        <v>3</v>
      </c>
      <c r="M407" s="29" t="inlineStr">
        <is>
          <t>MKP</t>
        </is>
      </c>
    </row>
    <row r="408">
      <c r="A408" s="4" t="n">
        <v>407</v>
      </c>
      <c r="B408" s="4" t="inlineStr">
        <is>
          <t>00215</t>
        </is>
      </c>
      <c r="C408" s="4" t="inlineStr">
        <is>
          <t>00215</t>
        </is>
      </c>
      <c r="D408" s="29" t="inlineStr">
        <is>
          <t>AYŞE YILMAZ</t>
        </is>
      </c>
      <c r="E408" s="4" t="inlineStr">
        <is>
          <t>Cumartesi</t>
        </is>
      </c>
      <c r="F408" s="4" t="inlineStr">
        <is>
          <t>17.10.2026</t>
        </is>
      </c>
      <c r="G408" s="4" t="inlineStr">
        <is>
          <t>09:47</t>
        </is>
      </c>
      <c r="H408" s="4" t="inlineStr">
        <is>
          <t>17.10.2026</t>
        </is>
      </c>
      <c r="I408" s="4" t="inlineStr">
        <is>
          <t>19:53</t>
        </is>
      </c>
      <c r="J408" s="8" t="n">
        <v>9</v>
      </c>
      <c r="K408" s="8" t="n">
        <v>6</v>
      </c>
      <c r="L408" s="8" t="n">
        <v>3</v>
      </c>
      <c r="M408" s="29" t="inlineStr">
        <is>
          <t>MKP</t>
        </is>
      </c>
    </row>
    <row r="409">
      <c r="A409" s="4" t="n">
        <v>408</v>
      </c>
      <c r="B409" s="4" t="inlineStr">
        <is>
          <t>00215</t>
        </is>
      </c>
      <c r="C409" s="4" t="inlineStr">
        <is>
          <t>00215</t>
        </is>
      </c>
      <c r="D409" s="29" t="inlineStr">
        <is>
          <t>AYŞE YILMAZ</t>
        </is>
      </c>
      <c r="E409" s="4" t="inlineStr">
        <is>
          <t>Pazartesi</t>
        </is>
      </c>
      <c r="F409" s="4" t="inlineStr">
        <is>
          <t>19.10.2026</t>
        </is>
      </c>
      <c r="G409" s="4" t="inlineStr">
        <is>
          <t>09:44</t>
        </is>
      </c>
      <c r="H409" s="4" t="inlineStr">
        <is>
          <t>19.10.2026</t>
        </is>
      </c>
      <c r="I409" s="4" t="inlineStr">
        <is>
          <t>18:18</t>
        </is>
      </c>
      <c r="J409" s="8" t="n">
        <v>7</v>
      </c>
      <c r="K409" s="8" t="n">
        <v>6</v>
      </c>
      <c r="L409" s="8" t="n">
        <v>1</v>
      </c>
      <c r="M409" s="29" t="inlineStr">
        <is>
          <t>MKP</t>
        </is>
      </c>
    </row>
    <row r="410">
      <c r="A410" s="4" t="n">
        <v>409</v>
      </c>
      <c r="B410" s="4" t="inlineStr">
        <is>
          <t>00215</t>
        </is>
      </c>
      <c r="C410" s="4" t="inlineStr">
        <is>
          <t>00215</t>
        </is>
      </c>
      <c r="D410" s="29" t="inlineStr">
        <is>
          <t>AYŞE YILMAZ</t>
        </is>
      </c>
      <c r="E410" s="4" t="inlineStr">
        <is>
          <t>Salı</t>
        </is>
      </c>
      <c r="F410" s="4" t="inlineStr">
        <is>
          <t>20.10.2026</t>
        </is>
      </c>
      <c r="G410" s="4" t="inlineStr">
        <is>
          <t>09:49</t>
        </is>
      </c>
      <c r="H410" s="4" t="inlineStr">
        <is>
          <t>20.10.2026</t>
        </is>
      </c>
      <c r="I410" s="4" t="inlineStr">
        <is>
          <t>18:59</t>
        </is>
      </c>
      <c r="J410" s="8" t="n">
        <v>8</v>
      </c>
      <c r="K410" s="8" t="n">
        <v>6</v>
      </c>
      <c r="L410" s="8" t="n">
        <v>2</v>
      </c>
      <c r="M410" s="29" t="inlineStr">
        <is>
          <t>MKP</t>
        </is>
      </c>
    </row>
    <row r="411">
      <c r="A411" s="4" t="n">
        <v>410</v>
      </c>
      <c r="B411" s="4" t="inlineStr">
        <is>
          <t>00215</t>
        </is>
      </c>
      <c r="C411" s="4" t="inlineStr">
        <is>
          <t>00215</t>
        </is>
      </c>
      <c r="D411" s="29" t="inlineStr">
        <is>
          <t>AYŞE YILMAZ</t>
        </is>
      </c>
      <c r="E411" s="4" t="inlineStr">
        <is>
          <t>Çarşamba</t>
        </is>
      </c>
      <c r="F411" s="4" t="inlineStr">
        <is>
          <t>21.10.2026</t>
        </is>
      </c>
      <c r="G411" s="4" t="inlineStr">
        <is>
          <t>09:46</t>
        </is>
      </c>
      <c r="H411" s="4" t="inlineStr">
        <is>
          <t>21.10.2026</t>
        </is>
      </c>
      <c r="I411" s="4" t="inlineStr">
        <is>
          <t>19:01</t>
        </is>
      </c>
      <c r="J411" s="8" t="n">
        <v>8</v>
      </c>
      <c r="K411" s="8" t="n">
        <v>6</v>
      </c>
      <c r="L411" s="8" t="n">
        <v>2</v>
      </c>
      <c r="M411" s="29" t="inlineStr">
        <is>
          <t>MKP</t>
        </is>
      </c>
    </row>
    <row r="412">
      <c r="A412" s="4" t="n">
        <v>411</v>
      </c>
      <c r="B412" s="4" t="inlineStr">
        <is>
          <t>01522</t>
        </is>
      </c>
      <c r="C412" s="4" t="inlineStr">
        <is>
          <t>01522</t>
        </is>
      </c>
      <c r="D412" s="29" t="inlineStr">
        <is>
          <t>BAYRAM KARACA</t>
        </is>
      </c>
      <c r="E412" s="4" t="inlineStr">
        <is>
          <t>Çarşamba</t>
        </is>
      </c>
      <c r="F412" s="4" t="inlineStr">
        <is>
          <t>7.10.2026</t>
        </is>
      </c>
      <c r="G412" s="4" t="inlineStr">
        <is>
          <t>19:56</t>
        </is>
      </c>
      <c r="H412" s="4" t="inlineStr">
        <is>
          <t>7.10.2026</t>
        </is>
      </c>
      <c r="I412" s="4" t="inlineStr">
        <is>
          <t>07:55</t>
        </is>
      </c>
      <c r="J412" s="8" t="n">
        <v>10.5</v>
      </c>
      <c r="K412" s="8" t="n">
        <v>7.5</v>
      </c>
      <c r="L412" s="8" t="n">
        <v>3</v>
      </c>
      <c r="M412" s="29" t="inlineStr">
        <is>
          <t>HALİL DİĞRENCİ</t>
        </is>
      </c>
    </row>
    <row r="413">
      <c r="A413" s="4" t="n">
        <v>412</v>
      </c>
      <c r="B413" s="4" t="inlineStr">
        <is>
          <t>01522</t>
        </is>
      </c>
      <c r="C413" s="4" t="inlineStr">
        <is>
          <t>01522</t>
        </is>
      </c>
      <c r="D413" s="29" t="inlineStr">
        <is>
          <t>BAYRAM KARACA</t>
        </is>
      </c>
      <c r="E413" s="4" t="inlineStr">
        <is>
          <t>Perşembe</t>
        </is>
      </c>
      <c r="F413" s="4" t="inlineStr">
        <is>
          <t>8.10.2026</t>
        </is>
      </c>
      <c r="G413" s="4" t="inlineStr">
        <is>
          <t>19:58</t>
        </is>
      </c>
      <c r="H413" s="4" t="inlineStr">
        <is>
          <t>8.10.2026</t>
        </is>
      </c>
      <c r="I413" s="4" t="inlineStr">
        <is>
          <t>07:56</t>
        </is>
      </c>
      <c r="J413" s="8" t="n">
        <v>10.5</v>
      </c>
      <c r="K413" s="8" t="n">
        <v>7.5</v>
      </c>
      <c r="L413" s="8" t="n">
        <v>3</v>
      </c>
      <c r="M413" s="29" t="inlineStr">
        <is>
          <t>HALİL DİĞRENCİ</t>
        </is>
      </c>
    </row>
    <row r="414">
      <c r="A414" s="4" t="n">
        <v>413</v>
      </c>
      <c r="B414" s="4" t="inlineStr">
        <is>
          <t>01522</t>
        </is>
      </c>
      <c r="C414" s="4" t="inlineStr">
        <is>
          <t>01522</t>
        </is>
      </c>
      <c r="D414" s="29" t="inlineStr">
        <is>
          <t>BAYRAM KARACA</t>
        </is>
      </c>
      <c r="E414" s="4" t="inlineStr">
        <is>
          <t>Cuma</t>
        </is>
      </c>
      <c r="F414" s="4" t="inlineStr">
        <is>
          <t>9.10.2026</t>
        </is>
      </c>
      <c r="G414" s="4" t="inlineStr">
        <is>
          <t>20:05</t>
        </is>
      </c>
      <c r="H414" s="4" t="inlineStr">
        <is>
          <t>9.10.2026</t>
        </is>
      </c>
      <c r="I414" s="4" t="inlineStr">
        <is>
          <t>08:04</t>
        </is>
      </c>
      <c r="J414" s="8" t="n">
        <v>10.5</v>
      </c>
      <c r="K414" s="8" t="n">
        <v>7.5</v>
      </c>
      <c r="L414" s="8" t="n">
        <v>3</v>
      </c>
      <c r="M414" s="29" t="inlineStr">
        <is>
          <t>HALİL DİĞRENCİ</t>
        </is>
      </c>
    </row>
    <row r="415">
      <c r="A415" s="4" t="n">
        <v>414</v>
      </c>
      <c r="B415" s="4" t="inlineStr">
        <is>
          <t>01522</t>
        </is>
      </c>
      <c r="C415" s="4" t="inlineStr">
        <is>
          <t>01522</t>
        </is>
      </c>
      <c r="D415" s="29" t="inlineStr">
        <is>
          <t>BAYRAM KARACA</t>
        </is>
      </c>
      <c r="E415" s="4" t="inlineStr">
        <is>
          <t>Cumartesi</t>
        </is>
      </c>
      <c r="F415" s="4" t="inlineStr">
        <is>
          <t>10.10.2026</t>
        </is>
      </c>
      <c r="G415" s="4" t="inlineStr">
        <is>
          <t>20:10</t>
        </is>
      </c>
      <c r="H415" s="4" t="inlineStr">
        <is>
          <t>10.10.2026</t>
        </is>
      </c>
      <c r="I415" s="4" t="inlineStr">
        <is>
          <t>08:08</t>
        </is>
      </c>
      <c r="J415" s="8" t="n">
        <v>10.5</v>
      </c>
      <c r="K415" s="8" t="n">
        <v>7.5</v>
      </c>
      <c r="L415" s="8" t="n">
        <v>3</v>
      </c>
      <c r="M415" s="29" t="inlineStr">
        <is>
          <t>HALİL DİĞRENCİ</t>
        </is>
      </c>
    </row>
    <row r="416">
      <c r="A416" s="4" t="n">
        <v>415</v>
      </c>
      <c r="B416" s="4" t="inlineStr">
        <is>
          <t>01522</t>
        </is>
      </c>
      <c r="C416" s="4" t="inlineStr">
        <is>
          <t>01522</t>
        </is>
      </c>
      <c r="D416" s="29" t="inlineStr">
        <is>
          <t>BAYRAM KARACA</t>
        </is>
      </c>
      <c r="E416" s="4" t="inlineStr">
        <is>
          <t>Pazartesi</t>
        </is>
      </c>
      <c r="F416" s="4" t="inlineStr">
        <is>
          <t>12.10.2026</t>
        </is>
      </c>
      <c r="G416" s="4" t="inlineStr">
        <is>
          <t>20:00</t>
        </is>
      </c>
      <c r="H416" s="4" t="inlineStr">
        <is>
          <t>12.10.2026</t>
        </is>
      </c>
      <c r="I416" s="4" t="inlineStr">
        <is>
          <t>07:59</t>
        </is>
      </c>
      <c r="J416" s="8" t="n">
        <v>10.5</v>
      </c>
      <c r="K416" s="8" t="n">
        <v>7.5</v>
      </c>
      <c r="L416" s="8" t="n">
        <v>3</v>
      </c>
      <c r="M416" s="29" t="inlineStr">
        <is>
          <t>HALİL DİĞRENCİ</t>
        </is>
      </c>
    </row>
    <row r="417">
      <c r="A417" s="4" t="n">
        <v>416</v>
      </c>
      <c r="B417" s="4" t="inlineStr">
        <is>
          <t>01522</t>
        </is>
      </c>
      <c r="C417" s="4" t="inlineStr">
        <is>
          <t>01522</t>
        </is>
      </c>
      <c r="D417" s="29" t="inlineStr">
        <is>
          <t>BAYRAM KARACA</t>
        </is>
      </c>
      <c r="E417" s="4" t="inlineStr">
        <is>
          <t>Salı</t>
        </is>
      </c>
      <c r="F417" s="4" t="inlineStr">
        <is>
          <t>13.10.2026</t>
        </is>
      </c>
      <c r="G417" s="4" t="inlineStr">
        <is>
          <t>19:59</t>
        </is>
      </c>
      <c r="H417" s="4" t="inlineStr">
        <is>
          <t>13.10.2026</t>
        </is>
      </c>
      <c r="I417" s="4" t="inlineStr">
        <is>
          <t>07:55</t>
        </is>
      </c>
      <c r="J417" s="8" t="n">
        <v>10.5</v>
      </c>
      <c r="K417" s="8" t="n">
        <v>7.5</v>
      </c>
      <c r="L417" s="8" t="n">
        <v>3</v>
      </c>
      <c r="M417" s="29" t="inlineStr">
        <is>
          <t>HALİL DİĞRENCİ</t>
        </is>
      </c>
    </row>
    <row r="418">
      <c r="A418" s="4" t="n">
        <v>417</v>
      </c>
      <c r="B418" s="4" t="inlineStr">
        <is>
          <t>01522</t>
        </is>
      </c>
      <c r="C418" s="4" t="inlineStr">
        <is>
          <t>01522</t>
        </is>
      </c>
      <c r="D418" s="29" t="inlineStr">
        <is>
          <t>BAYRAM KARACA</t>
        </is>
      </c>
      <c r="E418" s="4" t="inlineStr">
        <is>
          <t>Çarşamba</t>
        </is>
      </c>
      <c r="F418" s="4" t="inlineStr">
        <is>
          <t>14.10.2026</t>
        </is>
      </c>
      <c r="G418" s="4" t="inlineStr">
        <is>
          <t>20:14</t>
        </is>
      </c>
      <c r="H418" s="4" t="inlineStr">
        <is>
          <t>14.10.2026</t>
        </is>
      </c>
      <c r="I418" s="4" t="inlineStr">
        <is>
          <t>07:58</t>
        </is>
      </c>
      <c r="J418" s="8" t="n">
        <v>10.5</v>
      </c>
      <c r="K418" s="8" t="n">
        <v>7.5</v>
      </c>
      <c r="L418" s="8" t="n">
        <v>3</v>
      </c>
      <c r="M418" s="29" t="inlineStr">
        <is>
          <t>HALİL DİĞRENCİ</t>
        </is>
      </c>
    </row>
    <row r="419">
      <c r="A419" s="4" t="n">
        <v>418</v>
      </c>
      <c r="B419" s="4" t="inlineStr">
        <is>
          <t>01522</t>
        </is>
      </c>
      <c r="C419" s="4" t="inlineStr">
        <is>
          <t>01522</t>
        </is>
      </c>
      <c r="D419" s="29" t="inlineStr">
        <is>
          <t>BAYRAM KARACA</t>
        </is>
      </c>
      <c r="E419" s="4" t="inlineStr">
        <is>
          <t>Perşembe</t>
        </is>
      </c>
      <c r="F419" s="4" t="inlineStr">
        <is>
          <t>15.10.2026</t>
        </is>
      </c>
      <c r="G419" s="4" t="inlineStr">
        <is>
          <t>20:10</t>
        </is>
      </c>
      <c r="H419" s="4" t="inlineStr">
        <is>
          <t>15.10.2026</t>
        </is>
      </c>
      <c r="I419" s="4" t="inlineStr">
        <is>
          <t>07:55</t>
        </is>
      </c>
      <c r="J419" s="8" t="n">
        <v>10.5</v>
      </c>
      <c r="K419" s="8" t="n">
        <v>7.5</v>
      </c>
      <c r="L419" s="8" t="n">
        <v>3</v>
      </c>
      <c r="M419" s="29" t="inlineStr">
        <is>
          <t>HALİL DİĞRENCİ</t>
        </is>
      </c>
    </row>
    <row r="420">
      <c r="A420" s="4" t="n">
        <v>419</v>
      </c>
      <c r="B420" s="4" t="inlineStr">
        <is>
          <t>01522</t>
        </is>
      </c>
      <c r="C420" s="4" t="inlineStr">
        <is>
          <t>01522</t>
        </is>
      </c>
      <c r="D420" s="29" t="inlineStr">
        <is>
          <t>BAYRAM KARACA</t>
        </is>
      </c>
      <c r="E420" s="4" t="inlineStr">
        <is>
          <t>Pazar</t>
        </is>
      </c>
      <c r="F420" s="4" t="inlineStr">
        <is>
          <t>18.10.2026</t>
        </is>
      </c>
      <c r="G420" s="4" t="inlineStr">
        <is>
          <t>08:15</t>
        </is>
      </c>
      <c r="H420" s="4" t="inlineStr">
        <is>
          <t>18.10.2026</t>
        </is>
      </c>
      <c r="I420" s="4" t="inlineStr">
        <is>
          <t>19:58</t>
        </is>
      </c>
      <c r="J420" s="8" t="n">
        <v>10.5</v>
      </c>
      <c r="K420" s="8" t="n">
        <v>7.5</v>
      </c>
      <c r="L420" s="8" t="n">
        <v>3</v>
      </c>
      <c r="M420" s="29" t="inlineStr">
        <is>
          <t>HALİL DİĞRENCİ</t>
        </is>
      </c>
    </row>
    <row r="421">
      <c r="A421" s="4" t="n">
        <v>420</v>
      </c>
      <c r="B421" s="4" t="inlineStr">
        <is>
          <t>01522</t>
        </is>
      </c>
      <c r="C421" s="4" t="inlineStr">
        <is>
          <t>01522</t>
        </is>
      </c>
      <c r="D421" s="29" t="inlineStr">
        <is>
          <t>BAYRAM KARACA</t>
        </is>
      </c>
      <c r="E421" s="4" t="inlineStr">
        <is>
          <t>Pazartesi</t>
        </is>
      </c>
      <c r="F421" s="4" t="inlineStr">
        <is>
          <t>19.10.2026</t>
        </is>
      </c>
      <c r="G421" s="4" t="inlineStr">
        <is>
          <t>19:45</t>
        </is>
      </c>
      <c r="H421" s="4" t="inlineStr">
        <is>
          <t>19.10.2026</t>
        </is>
      </c>
      <c r="I421" s="4" t="inlineStr">
        <is>
          <t>07:56</t>
        </is>
      </c>
      <c r="J421" s="8" t="n">
        <v>10.5</v>
      </c>
      <c r="K421" s="8" t="n">
        <v>7.5</v>
      </c>
      <c r="L421" s="8" t="n">
        <v>3</v>
      </c>
      <c r="M421" s="29" t="inlineStr">
        <is>
          <t>HALİL DİĞRENCİ</t>
        </is>
      </c>
    </row>
    <row r="422">
      <c r="A422" s="4" t="n">
        <v>421</v>
      </c>
      <c r="B422" s="4" t="inlineStr">
        <is>
          <t>01139</t>
        </is>
      </c>
      <c r="C422" s="4" t="inlineStr">
        <is>
          <t>01139</t>
        </is>
      </c>
      <c r="D422" s="29" t="inlineStr">
        <is>
          <t>BEDİA KAYMAZ</t>
        </is>
      </c>
      <c r="E422" s="4" t="inlineStr">
        <is>
          <t>Perşembe</t>
        </is>
      </c>
      <c r="F422" s="4" t="inlineStr">
        <is>
          <t>1.10.2026</t>
        </is>
      </c>
      <c r="G422" s="4" t="inlineStr">
        <is>
          <t>07:54</t>
        </is>
      </c>
      <c r="H422" s="4" t="inlineStr">
        <is>
          <t>1.10.2026</t>
        </is>
      </c>
      <c r="I422" s="4" t="inlineStr">
        <is>
          <t>17:10</t>
        </is>
      </c>
      <c r="J422" s="8" t="n">
        <v>7.5</v>
      </c>
      <c r="K422" s="8" t="n">
        <v>7.5</v>
      </c>
      <c r="L422" s="8" t="n">
        <v>0</v>
      </c>
      <c r="M422" s="29" t="inlineStr">
        <is>
          <t>BİGADİÇ</t>
        </is>
      </c>
    </row>
    <row r="423">
      <c r="A423" s="4" t="n">
        <v>422</v>
      </c>
      <c r="B423" s="4" t="inlineStr">
        <is>
          <t>01139</t>
        </is>
      </c>
      <c r="C423" s="4" t="inlineStr">
        <is>
          <t>01139</t>
        </is>
      </c>
      <c r="D423" s="29" t="inlineStr">
        <is>
          <t>BEDİA KAYMAZ</t>
        </is>
      </c>
      <c r="E423" s="4" t="inlineStr">
        <is>
          <t>Cuma</t>
        </is>
      </c>
      <c r="F423" s="4" t="inlineStr">
        <is>
          <t>2.10.2026</t>
        </is>
      </c>
      <c r="G423" s="4" t="inlineStr">
        <is>
          <t>07:52</t>
        </is>
      </c>
      <c r="H423" s="4" t="inlineStr">
        <is>
          <t>2.10.2026</t>
        </is>
      </c>
      <c r="I423" s="4" t="inlineStr">
        <is>
          <t>17:13</t>
        </is>
      </c>
      <c r="J423" s="8" t="n">
        <v>7.5</v>
      </c>
      <c r="K423" s="8" t="n">
        <v>7.5</v>
      </c>
      <c r="L423" s="8" t="n">
        <v>0</v>
      </c>
      <c r="M423" s="29" t="inlineStr">
        <is>
          <t>BİGADİÇ</t>
        </is>
      </c>
    </row>
    <row r="424">
      <c r="A424" s="4" t="n">
        <v>423</v>
      </c>
      <c r="B424" s="4" t="inlineStr">
        <is>
          <t>01139</t>
        </is>
      </c>
      <c r="C424" s="4" t="inlineStr">
        <is>
          <t>01139</t>
        </is>
      </c>
      <c r="D424" s="29" t="inlineStr">
        <is>
          <t>BEDİA KAYMAZ</t>
        </is>
      </c>
      <c r="E424" s="4" t="inlineStr">
        <is>
          <t>Cumartesi</t>
        </is>
      </c>
      <c r="F424" s="4" t="inlineStr">
        <is>
          <t>3.10.2026</t>
        </is>
      </c>
      <c r="G424" s="4" t="inlineStr">
        <is>
          <t>07:35</t>
        </is>
      </c>
      <c r="H424" s="4" t="inlineStr">
        <is>
          <t>3.10.2026</t>
        </is>
      </c>
      <c r="I424" s="4" t="inlineStr">
        <is>
          <t>17:10</t>
        </is>
      </c>
      <c r="J424" s="8" t="n">
        <v>7.5</v>
      </c>
      <c r="K424" s="8" t="n">
        <v>7.5</v>
      </c>
      <c r="L424" s="8" t="n">
        <v>0</v>
      </c>
      <c r="M424" s="29" t="inlineStr">
        <is>
          <t>BİGADİÇ</t>
        </is>
      </c>
    </row>
    <row r="425">
      <c r="A425" s="4" t="n">
        <v>424</v>
      </c>
      <c r="B425" s="4" t="inlineStr">
        <is>
          <t>01139</t>
        </is>
      </c>
      <c r="C425" s="4" t="inlineStr">
        <is>
          <t>01139</t>
        </is>
      </c>
      <c r="D425" s="29" t="inlineStr">
        <is>
          <t>BEDİA KAYMAZ</t>
        </is>
      </c>
      <c r="E425" s="4" t="inlineStr">
        <is>
          <t>Pazartesi</t>
        </is>
      </c>
      <c r="F425" s="4" t="inlineStr">
        <is>
          <t>5.10.2026</t>
        </is>
      </c>
      <c r="G425" s="4" t="inlineStr">
        <is>
          <t>07:54</t>
        </is>
      </c>
      <c r="H425" s="4" t="inlineStr">
        <is>
          <t>5.10.2026</t>
        </is>
      </c>
      <c r="I425" s="4" t="inlineStr">
        <is>
          <t>17:11</t>
        </is>
      </c>
      <c r="J425" s="8" t="n">
        <v>7.5</v>
      </c>
      <c r="K425" s="8" t="n">
        <v>7.5</v>
      </c>
      <c r="L425" s="8" t="n">
        <v>0</v>
      </c>
      <c r="M425" s="29" t="inlineStr">
        <is>
          <t>BİGADİÇ</t>
        </is>
      </c>
    </row>
    <row r="426">
      <c r="A426" s="4" t="n">
        <v>425</v>
      </c>
      <c r="B426" s="4" t="inlineStr">
        <is>
          <t>01139</t>
        </is>
      </c>
      <c r="C426" s="4" t="inlineStr">
        <is>
          <t>01139</t>
        </is>
      </c>
      <c r="D426" s="29" t="inlineStr">
        <is>
          <t>BEDİA KAYMAZ</t>
        </is>
      </c>
      <c r="E426" s="4" t="inlineStr">
        <is>
          <t>Salı</t>
        </is>
      </c>
      <c r="F426" s="4" t="inlineStr">
        <is>
          <t>6.10.2026</t>
        </is>
      </c>
      <c r="G426" s="4" t="inlineStr">
        <is>
          <t>07:53</t>
        </is>
      </c>
      <c r="H426" s="4" t="inlineStr">
        <is>
          <t>6.10.2026</t>
        </is>
      </c>
      <c r="I426" s="4" t="inlineStr">
        <is>
          <t>17:09</t>
        </is>
      </c>
      <c r="J426" s="8" t="n">
        <v>7.5</v>
      </c>
      <c r="K426" s="8" t="n">
        <v>7.5</v>
      </c>
      <c r="L426" s="8" t="n">
        <v>0</v>
      </c>
      <c r="M426" s="29" t="inlineStr">
        <is>
          <t>BİGADİÇ</t>
        </is>
      </c>
    </row>
    <row r="427">
      <c r="A427" s="4" t="n">
        <v>426</v>
      </c>
      <c r="B427" s="4" t="inlineStr">
        <is>
          <t>01139</t>
        </is>
      </c>
      <c r="C427" s="4" t="inlineStr">
        <is>
          <t>01139</t>
        </is>
      </c>
      <c r="D427" s="29" t="inlineStr">
        <is>
          <t>BEDİA KAYMAZ</t>
        </is>
      </c>
      <c r="E427" s="4" t="inlineStr">
        <is>
          <t>Çarşamba</t>
        </is>
      </c>
      <c r="F427" s="4" t="inlineStr">
        <is>
          <t>7.10.2026</t>
        </is>
      </c>
      <c r="G427" s="4" t="inlineStr">
        <is>
          <t>07:57</t>
        </is>
      </c>
      <c r="H427" s="4" t="inlineStr">
        <is>
          <t>7.10.2026</t>
        </is>
      </c>
      <c r="I427" s="4" t="inlineStr">
        <is>
          <t>17:12</t>
        </is>
      </c>
      <c r="J427" s="8" t="n">
        <v>7.5</v>
      </c>
      <c r="K427" s="8" t="n">
        <v>7.5</v>
      </c>
      <c r="L427" s="8" t="n">
        <v>0</v>
      </c>
      <c r="M427" s="29" t="inlineStr">
        <is>
          <t>BİGADİÇ</t>
        </is>
      </c>
    </row>
    <row r="428">
      <c r="A428" s="4" t="n">
        <v>427</v>
      </c>
      <c r="B428" s="4" t="inlineStr">
        <is>
          <t>01139</t>
        </is>
      </c>
      <c r="C428" s="4" t="inlineStr">
        <is>
          <t>01139</t>
        </is>
      </c>
      <c r="D428" s="29" t="inlineStr">
        <is>
          <t>BEDİA KAYMAZ</t>
        </is>
      </c>
      <c r="E428" s="4" t="inlineStr">
        <is>
          <t>Perşembe</t>
        </is>
      </c>
      <c r="F428" s="4" t="inlineStr">
        <is>
          <t>8.10.2026</t>
        </is>
      </c>
      <c r="G428" s="4" t="inlineStr">
        <is>
          <t>07:58</t>
        </is>
      </c>
      <c r="H428" s="4" t="inlineStr">
        <is>
          <t>8.10.2026</t>
        </is>
      </c>
      <c r="I428" s="4" t="inlineStr">
        <is>
          <t>17:13</t>
        </is>
      </c>
      <c r="J428" s="8" t="n">
        <v>7.5</v>
      </c>
      <c r="K428" s="8" t="n">
        <v>7.5</v>
      </c>
      <c r="L428" s="8" t="n">
        <v>0</v>
      </c>
      <c r="M428" s="29" t="inlineStr">
        <is>
          <t>BİGADİÇ</t>
        </is>
      </c>
    </row>
    <row r="429">
      <c r="A429" s="4" t="n">
        <v>428</v>
      </c>
      <c r="B429" s="4" t="inlineStr">
        <is>
          <t>01139</t>
        </is>
      </c>
      <c r="C429" s="4" t="inlineStr">
        <is>
          <t>01139</t>
        </is>
      </c>
      <c r="D429" s="29" t="inlineStr">
        <is>
          <t>BEDİA KAYMAZ</t>
        </is>
      </c>
      <c r="E429" s="4" t="inlineStr">
        <is>
          <t>Cuma</t>
        </is>
      </c>
      <c r="F429" s="4" t="inlineStr">
        <is>
          <t>9.10.2026</t>
        </is>
      </c>
      <c r="G429" s="4" t="inlineStr">
        <is>
          <t>07:53</t>
        </is>
      </c>
      <c r="H429" s="4" t="inlineStr">
        <is>
          <t>9.10.2026</t>
        </is>
      </c>
      <c r="I429" s="4" t="inlineStr">
        <is>
          <t>17:10</t>
        </is>
      </c>
      <c r="J429" s="8" t="n">
        <v>7.5</v>
      </c>
      <c r="K429" s="8" t="n">
        <v>7.5</v>
      </c>
      <c r="L429" s="8" t="n">
        <v>0</v>
      </c>
      <c r="M429" s="29" t="inlineStr">
        <is>
          <t>BİGADİÇ</t>
        </is>
      </c>
    </row>
    <row r="430">
      <c r="A430" s="4" t="n">
        <v>429</v>
      </c>
      <c r="B430" s="4" t="inlineStr">
        <is>
          <t>01139</t>
        </is>
      </c>
      <c r="C430" s="4" t="inlineStr">
        <is>
          <t>01139</t>
        </is>
      </c>
      <c r="D430" s="29" t="inlineStr">
        <is>
          <t>BEDİA KAYMAZ</t>
        </is>
      </c>
      <c r="E430" s="4" t="inlineStr">
        <is>
          <t>Cumartesi</t>
        </is>
      </c>
      <c r="F430" s="4" t="inlineStr">
        <is>
          <t>10.10.2026</t>
        </is>
      </c>
      <c r="G430" s="4" t="inlineStr">
        <is>
          <t>07:53</t>
        </is>
      </c>
      <c r="H430" s="4" t="inlineStr">
        <is>
          <t>10.10.2026</t>
        </is>
      </c>
      <c r="I430" s="4" t="inlineStr">
        <is>
          <t>17:11</t>
        </is>
      </c>
      <c r="J430" s="8" t="n">
        <v>7.5</v>
      </c>
      <c r="K430" s="8" t="n">
        <v>7.5</v>
      </c>
      <c r="L430" s="8" t="n">
        <v>0</v>
      </c>
      <c r="M430" s="29" t="inlineStr">
        <is>
          <t>BİGADİÇ</t>
        </is>
      </c>
    </row>
    <row r="431">
      <c r="A431" s="4" t="n">
        <v>430</v>
      </c>
      <c r="B431" s="4" t="inlineStr">
        <is>
          <t>01139</t>
        </is>
      </c>
      <c r="C431" s="4" t="inlineStr">
        <is>
          <t>01139</t>
        </is>
      </c>
      <c r="D431" s="29" t="inlineStr">
        <is>
          <t>BEDİA KAYMAZ</t>
        </is>
      </c>
      <c r="E431" s="4" t="inlineStr">
        <is>
          <t>Pazartesi</t>
        </is>
      </c>
      <c r="F431" s="4" t="inlineStr">
        <is>
          <t>12.10.2026</t>
        </is>
      </c>
      <c r="G431" s="4" t="inlineStr">
        <is>
          <t>07:57</t>
        </is>
      </c>
      <c r="H431" s="4" t="inlineStr">
        <is>
          <t>12.10.2026</t>
        </is>
      </c>
      <c r="I431" s="4" t="inlineStr">
        <is>
          <t>18:10</t>
        </is>
      </c>
      <c r="J431" s="8" t="n">
        <v>8.5</v>
      </c>
      <c r="K431" s="8" t="n">
        <v>7.5</v>
      </c>
      <c r="L431" s="8" t="n">
        <v>1</v>
      </c>
      <c r="M431" s="29" t="inlineStr">
        <is>
          <t>BİGADİÇ</t>
        </is>
      </c>
    </row>
    <row r="432">
      <c r="A432" s="4" t="n">
        <v>431</v>
      </c>
      <c r="B432" s="4" t="inlineStr">
        <is>
          <t>01139</t>
        </is>
      </c>
      <c r="C432" s="4" t="inlineStr">
        <is>
          <t>01139</t>
        </is>
      </c>
      <c r="D432" s="29" t="inlineStr">
        <is>
          <t>BEDİA KAYMAZ</t>
        </is>
      </c>
      <c r="E432" s="4" t="inlineStr">
        <is>
          <t>Salı</t>
        </is>
      </c>
      <c r="F432" s="4" t="inlineStr">
        <is>
          <t>13.10.2026</t>
        </is>
      </c>
      <c r="G432" s="4" t="inlineStr">
        <is>
          <t>07:55</t>
        </is>
      </c>
      <c r="H432" s="4" t="inlineStr">
        <is>
          <t>13.10.2026</t>
        </is>
      </c>
      <c r="I432" s="4" t="inlineStr">
        <is>
          <t>17:13</t>
        </is>
      </c>
      <c r="J432" s="8" t="n">
        <v>7.5</v>
      </c>
      <c r="K432" s="8" t="n">
        <v>7.5</v>
      </c>
      <c r="L432" s="8" t="n">
        <v>0</v>
      </c>
      <c r="M432" s="29" t="inlineStr">
        <is>
          <t>BİGADİÇ</t>
        </is>
      </c>
    </row>
    <row r="433">
      <c r="A433" s="4" t="n">
        <v>432</v>
      </c>
      <c r="B433" s="4" t="inlineStr">
        <is>
          <t>01139</t>
        </is>
      </c>
      <c r="C433" s="4" t="inlineStr">
        <is>
          <t>01139</t>
        </is>
      </c>
      <c r="D433" s="29" t="inlineStr">
        <is>
          <t>BEDİA KAYMAZ</t>
        </is>
      </c>
      <c r="E433" s="4" t="inlineStr">
        <is>
          <t>Çarşamba</t>
        </is>
      </c>
      <c r="F433" s="4" t="inlineStr">
        <is>
          <t>14.10.2026</t>
        </is>
      </c>
      <c r="G433" s="4" t="inlineStr">
        <is>
          <t>07:58</t>
        </is>
      </c>
      <c r="H433" s="4" t="inlineStr">
        <is>
          <t>14.10.2026</t>
        </is>
      </c>
      <c r="I433" s="4" t="inlineStr">
        <is>
          <t>17:12</t>
        </is>
      </c>
      <c r="J433" s="8" t="n">
        <v>7.5</v>
      </c>
      <c r="K433" s="8" t="n">
        <v>7.5</v>
      </c>
      <c r="L433" s="8" t="n">
        <v>0</v>
      </c>
      <c r="M433" s="29" t="inlineStr">
        <is>
          <t>BİGADİÇ</t>
        </is>
      </c>
    </row>
    <row r="434">
      <c r="A434" s="4" t="n">
        <v>433</v>
      </c>
      <c r="B434" s="4" t="inlineStr">
        <is>
          <t>01139</t>
        </is>
      </c>
      <c r="C434" s="4" t="inlineStr">
        <is>
          <t>01139</t>
        </is>
      </c>
      <c r="D434" s="29" t="inlineStr">
        <is>
          <t>BEDİA KAYMAZ</t>
        </is>
      </c>
      <c r="E434" s="4" t="inlineStr">
        <is>
          <t>Perşembe</t>
        </is>
      </c>
      <c r="F434" s="4" t="inlineStr">
        <is>
          <t>15.10.2026</t>
        </is>
      </c>
      <c r="G434" s="4" t="inlineStr">
        <is>
          <t>08:01</t>
        </is>
      </c>
      <c r="H434" s="4" t="inlineStr">
        <is>
          <t>15.10.2026</t>
        </is>
      </c>
      <c r="I434" s="4" t="inlineStr">
        <is>
          <t>17:25</t>
        </is>
      </c>
      <c r="J434" s="8" t="n">
        <v>8</v>
      </c>
      <c r="K434" s="8" t="n">
        <v>7.5</v>
      </c>
      <c r="L434" s="8" t="n">
        <v>0.5</v>
      </c>
      <c r="M434" s="29" t="inlineStr">
        <is>
          <t>BİGADİÇ</t>
        </is>
      </c>
    </row>
    <row r="435">
      <c r="A435" s="4" t="n">
        <v>434</v>
      </c>
      <c r="B435" s="4" t="inlineStr">
        <is>
          <t>01139</t>
        </is>
      </c>
      <c r="C435" s="4" t="inlineStr">
        <is>
          <t>01139</t>
        </is>
      </c>
      <c r="D435" s="29" t="inlineStr">
        <is>
          <t>BEDİA KAYMAZ</t>
        </is>
      </c>
      <c r="E435" s="4" t="inlineStr">
        <is>
          <t>Cuma</t>
        </is>
      </c>
      <c r="F435" s="4" t="inlineStr">
        <is>
          <t>16.10.2026</t>
        </is>
      </c>
      <c r="G435" s="4" t="inlineStr">
        <is>
          <t>07:53</t>
        </is>
      </c>
      <c r="H435" s="4" t="inlineStr">
        <is>
          <t>16.10.2026</t>
        </is>
      </c>
      <c r="I435" s="4" t="inlineStr">
        <is>
          <t>17:11</t>
        </is>
      </c>
      <c r="J435" s="8" t="n">
        <v>7.5</v>
      </c>
      <c r="K435" s="8" t="n">
        <v>7.5</v>
      </c>
      <c r="L435" s="8" t="n">
        <v>0</v>
      </c>
      <c r="M435" s="29" t="inlineStr">
        <is>
          <t>BİGADİÇ</t>
        </is>
      </c>
    </row>
    <row r="436">
      <c r="A436" s="4" t="n">
        <v>435</v>
      </c>
      <c r="B436" s="4" t="inlineStr">
        <is>
          <t>01139</t>
        </is>
      </c>
      <c r="C436" s="4" t="inlineStr">
        <is>
          <t>01139</t>
        </is>
      </c>
      <c r="D436" s="29" t="inlineStr">
        <is>
          <t>BEDİA KAYMAZ</t>
        </is>
      </c>
      <c r="E436" s="4" t="inlineStr">
        <is>
          <t>Cumartesi</t>
        </is>
      </c>
      <c r="F436" s="4" t="inlineStr">
        <is>
          <t>17.10.2026</t>
        </is>
      </c>
      <c r="G436" s="4" t="inlineStr">
        <is>
          <t>07:51</t>
        </is>
      </c>
      <c r="H436" s="4" t="inlineStr">
        <is>
          <t>17.10.2026</t>
        </is>
      </c>
      <c r="I436" s="4" t="inlineStr">
        <is>
          <t>17:16</t>
        </is>
      </c>
      <c r="J436" s="8" t="n">
        <v>7.5</v>
      </c>
      <c r="K436" s="8" t="n">
        <v>7.5</v>
      </c>
      <c r="L436" s="8" t="n">
        <v>0</v>
      </c>
      <c r="M436" s="29" t="inlineStr">
        <is>
          <t>BİGADİÇ</t>
        </is>
      </c>
    </row>
    <row r="437">
      <c r="A437" s="4" t="n">
        <v>436</v>
      </c>
      <c r="B437" s="4" t="inlineStr">
        <is>
          <t>01139</t>
        </is>
      </c>
      <c r="C437" s="4" t="inlineStr">
        <is>
          <t>01139</t>
        </is>
      </c>
      <c r="D437" s="29" t="inlineStr">
        <is>
          <t>BEDİA KAYMAZ</t>
        </is>
      </c>
      <c r="E437" s="4" t="inlineStr">
        <is>
          <t>Pazar</t>
        </is>
      </c>
      <c r="F437" s="4" t="inlineStr">
        <is>
          <t>18.10.2026</t>
        </is>
      </c>
      <c r="G437" s="4" t="inlineStr">
        <is>
          <t>08:09</t>
        </is>
      </c>
      <c r="H437" s="4" t="inlineStr">
        <is>
          <t>18.10.2026</t>
        </is>
      </c>
      <c r="I437" s="4" t="inlineStr">
        <is>
          <t>17:12</t>
        </is>
      </c>
      <c r="J437" s="8" t="n">
        <v>7.5</v>
      </c>
      <c r="K437" s="8" t="n">
        <v>7.5</v>
      </c>
      <c r="L437" s="8" t="n">
        <v>0</v>
      </c>
      <c r="M437" s="29" t="inlineStr">
        <is>
          <t>BİGADİÇ</t>
        </is>
      </c>
    </row>
    <row r="438">
      <c r="A438" s="4" t="n">
        <v>437</v>
      </c>
      <c r="B438" s="4" t="inlineStr">
        <is>
          <t>01139</t>
        </is>
      </c>
      <c r="C438" s="4" t="inlineStr">
        <is>
          <t>01139</t>
        </is>
      </c>
      <c r="D438" s="29" t="inlineStr">
        <is>
          <t>BEDİA KAYMAZ</t>
        </is>
      </c>
      <c r="E438" s="4" t="inlineStr">
        <is>
          <t>Pazartesi</t>
        </is>
      </c>
      <c r="F438" s="4" t="inlineStr">
        <is>
          <t>19.10.2026</t>
        </is>
      </c>
      <c r="G438" s="4" t="inlineStr">
        <is>
          <t>07:53</t>
        </is>
      </c>
      <c r="H438" s="4" t="inlineStr">
        <is>
          <t>19.10.2026</t>
        </is>
      </c>
      <c r="I438" s="4" t="inlineStr">
        <is>
          <t>17:12</t>
        </is>
      </c>
      <c r="J438" s="8" t="n">
        <v>7.5</v>
      </c>
      <c r="K438" s="8" t="n">
        <v>7.5</v>
      </c>
      <c r="L438" s="8" t="n">
        <v>0</v>
      </c>
      <c r="M438" s="29" t="inlineStr">
        <is>
          <t>BİGADİÇ</t>
        </is>
      </c>
    </row>
    <row r="439">
      <c r="A439" s="4" t="n">
        <v>438</v>
      </c>
      <c r="B439" s="4" t="inlineStr">
        <is>
          <t>01139</t>
        </is>
      </c>
      <c r="C439" s="4" t="inlineStr">
        <is>
          <t>01139</t>
        </is>
      </c>
      <c r="D439" s="29" t="inlineStr">
        <is>
          <t>BEDİA KAYMAZ</t>
        </is>
      </c>
      <c r="E439" s="4" t="inlineStr">
        <is>
          <t>Salı</t>
        </is>
      </c>
      <c r="F439" s="4" t="inlineStr">
        <is>
          <t>20.10.2026</t>
        </is>
      </c>
      <c r="G439" s="4" t="inlineStr">
        <is>
          <t>08:18</t>
        </is>
      </c>
      <c r="H439" s="4" t="inlineStr">
        <is>
          <t>20.10.2026</t>
        </is>
      </c>
      <c r="I439" s="4" t="inlineStr">
        <is>
          <t>17:18</t>
        </is>
      </c>
      <c r="J439" s="8" t="n">
        <v>7.5</v>
      </c>
      <c r="K439" s="8" t="n">
        <v>7.5</v>
      </c>
      <c r="L439" s="8" t="n">
        <v>0</v>
      </c>
      <c r="M439" s="29" t="inlineStr">
        <is>
          <t>BİGADİÇ</t>
        </is>
      </c>
    </row>
    <row r="440">
      <c r="A440" s="4" t="n">
        <v>439</v>
      </c>
      <c r="B440" s="4" t="inlineStr">
        <is>
          <t>01139</t>
        </is>
      </c>
      <c r="C440" s="4" t="inlineStr">
        <is>
          <t>01139</t>
        </is>
      </c>
      <c r="D440" s="29" t="inlineStr">
        <is>
          <t>BEDİA KAYMAZ</t>
        </is>
      </c>
      <c r="E440" s="4" t="inlineStr">
        <is>
          <t>Çarşamba</t>
        </is>
      </c>
      <c r="F440" s="4" t="inlineStr">
        <is>
          <t>21.10.2026</t>
        </is>
      </c>
      <c r="G440" s="4" t="inlineStr">
        <is>
          <t>08:00</t>
        </is>
      </c>
      <c r="H440" s="4" t="inlineStr">
        <is>
          <t>21.10.2026</t>
        </is>
      </c>
      <c r="I440" s="4" t="inlineStr">
        <is>
          <t>17:10</t>
        </is>
      </c>
      <c r="J440" s="8" t="n">
        <v>7.5</v>
      </c>
      <c r="K440" s="8" t="n">
        <v>7.5</v>
      </c>
      <c r="L440" s="8" t="n">
        <v>0</v>
      </c>
      <c r="M440" s="29" t="inlineStr">
        <is>
          <t>BİGADİÇ</t>
        </is>
      </c>
    </row>
    <row r="441">
      <c r="A441" s="4" t="n">
        <v>440</v>
      </c>
      <c r="B441" s="4" t="inlineStr">
        <is>
          <t>00025</t>
        </is>
      </c>
      <c r="C441" s="4" t="inlineStr">
        <is>
          <t>00025</t>
        </is>
      </c>
      <c r="D441" s="29" t="inlineStr">
        <is>
          <t>BEHİCE YALMAN</t>
        </is>
      </c>
      <c r="E441" s="4" t="inlineStr">
        <is>
          <t>Cumartesi</t>
        </is>
      </c>
      <c r="F441" s="4" t="inlineStr">
        <is>
          <t>3.10.2026</t>
        </is>
      </c>
      <c r="G441" s="4" t="inlineStr">
        <is>
          <t>09:51</t>
        </is>
      </c>
      <c r="H441" s="4" t="inlineStr">
        <is>
          <t>3.10.2026</t>
        </is>
      </c>
      <c r="I441" s="4" t="inlineStr">
        <is>
          <t>19:53</t>
        </is>
      </c>
      <c r="J441" s="8" t="n">
        <v>8.5</v>
      </c>
      <c r="K441" s="8" t="n">
        <v>5.5</v>
      </c>
      <c r="L441" s="8" t="n">
        <v>3</v>
      </c>
      <c r="M441" s="29" t="inlineStr">
        <is>
          <t>GÖBEL</t>
        </is>
      </c>
    </row>
    <row r="442">
      <c r="A442" s="4" t="n">
        <v>441</v>
      </c>
      <c r="B442" s="4" t="inlineStr">
        <is>
          <t>00025</t>
        </is>
      </c>
      <c r="C442" s="4" t="inlineStr">
        <is>
          <t>00025</t>
        </is>
      </c>
      <c r="D442" s="29" t="inlineStr">
        <is>
          <t>BEHİCE YALMAN</t>
        </is>
      </c>
      <c r="E442" s="4" t="inlineStr">
        <is>
          <t>Pazartesi</t>
        </is>
      </c>
      <c r="F442" s="4" t="inlineStr">
        <is>
          <t>5.10.2026</t>
        </is>
      </c>
      <c r="G442" s="4" t="inlineStr">
        <is>
          <t>09:45</t>
        </is>
      </c>
      <c r="H442" s="4" t="inlineStr">
        <is>
          <t>5.10.2026</t>
        </is>
      </c>
      <c r="I442" s="4" t="inlineStr">
        <is>
          <t>19:01</t>
        </is>
      </c>
      <c r="J442" s="8" t="n">
        <v>8</v>
      </c>
      <c r="K442" s="8" t="n">
        <v>6</v>
      </c>
      <c r="L442" s="8" t="n">
        <v>2</v>
      </c>
      <c r="M442" s="29" t="inlineStr">
        <is>
          <t>GÖBEL</t>
        </is>
      </c>
    </row>
    <row r="443">
      <c r="A443" s="4" t="n">
        <v>442</v>
      </c>
      <c r="B443" s="4" t="inlineStr">
        <is>
          <t>00025</t>
        </is>
      </c>
      <c r="C443" s="4" t="inlineStr">
        <is>
          <t>00025</t>
        </is>
      </c>
      <c r="D443" s="29" t="inlineStr">
        <is>
          <t>BEHİCE YALMAN</t>
        </is>
      </c>
      <c r="E443" s="4" t="inlineStr">
        <is>
          <t>Salı</t>
        </is>
      </c>
      <c r="F443" s="4" t="inlineStr">
        <is>
          <t>6.10.2026</t>
        </is>
      </c>
      <c r="G443" s="4" t="inlineStr">
        <is>
          <t>09:43</t>
        </is>
      </c>
      <c r="H443" s="4" t="inlineStr">
        <is>
          <t>6.10.2026</t>
        </is>
      </c>
      <c r="I443" s="4" t="inlineStr">
        <is>
          <t>19:23</t>
        </is>
      </c>
      <c r="J443" s="8" t="n">
        <v>8.5</v>
      </c>
      <c r="K443" s="8" t="n">
        <v>6</v>
      </c>
      <c r="L443" s="8" t="n">
        <v>2.5</v>
      </c>
      <c r="M443" s="29" t="inlineStr">
        <is>
          <t>GÖBEL</t>
        </is>
      </c>
    </row>
    <row r="444">
      <c r="A444" s="4" t="n">
        <v>443</v>
      </c>
      <c r="B444" s="4" t="inlineStr">
        <is>
          <t>00025</t>
        </is>
      </c>
      <c r="C444" s="4" t="inlineStr">
        <is>
          <t>00025</t>
        </is>
      </c>
      <c r="D444" s="29" t="inlineStr">
        <is>
          <t>BEHİCE YALMAN</t>
        </is>
      </c>
      <c r="E444" s="4" t="inlineStr">
        <is>
          <t>Çarşamba</t>
        </is>
      </c>
      <c r="F444" s="4" t="inlineStr">
        <is>
          <t>7.10.2026</t>
        </is>
      </c>
      <c r="G444" s="4" t="inlineStr">
        <is>
          <t>09:51</t>
        </is>
      </c>
      <c r="H444" s="4" t="inlineStr">
        <is>
          <t>7.10.2026</t>
        </is>
      </c>
      <c r="I444" s="4" t="inlineStr">
        <is>
          <t>17:33</t>
        </is>
      </c>
      <c r="J444" s="8" t="n">
        <v>6</v>
      </c>
      <c r="K444" s="8" t="n">
        <v>5.5</v>
      </c>
      <c r="L444" s="8" t="n">
        <v>0.5</v>
      </c>
      <c r="M444" s="29" t="inlineStr">
        <is>
          <t>GÖBEL</t>
        </is>
      </c>
    </row>
    <row r="445">
      <c r="A445" s="4" t="n">
        <v>444</v>
      </c>
      <c r="B445" s="4" t="inlineStr">
        <is>
          <t>00025</t>
        </is>
      </c>
      <c r="C445" s="4" t="inlineStr">
        <is>
          <t>00025</t>
        </is>
      </c>
      <c r="D445" s="29" t="inlineStr">
        <is>
          <t>BEHİCE YALMAN</t>
        </is>
      </c>
      <c r="E445" s="4" t="inlineStr">
        <is>
          <t>Pazartesi</t>
        </is>
      </c>
      <c r="F445" s="4" t="inlineStr">
        <is>
          <t>12.10.2026</t>
        </is>
      </c>
      <c r="G445" s="4" t="inlineStr">
        <is>
          <t>09:52</t>
        </is>
      </c>
      <c r="H445" s="4" t="inlineStr">
        <is>
          <t>12.10.2026</t>
        </is>
      </c>
      <c r="I445" s="4" t="inlineStr">
        <is>
          <t>18:57</t>
        </is>
      </c>
      <c r="J445" s="8" t="n">
        <v>7.5</v>
      </c>
      <c r="K445" s="8" t="n">
        <v>5.5</v>
      </c>
      <c r="L445" s="8" t="n">
        <v>2</v>
      </c>
      <c r="M445" s="29" t="inlineStr">
        <is>
          <t>GÖBEL</t>
        </is>
      </c>
    </row>
    <row r="446">
      <c r="A446" s="4" t="n">
        <v>445</v>
      </c>
      <c r="B446" s="4" t="inlineStr">
        <is>
          <t>00025</t>
        </is>
      </c>
      <c r="C446" s="4" t="inlineStr">
        <is>
          <t>00025</t>
        </is>
      </c>
      <c r="D446" s="29" t="inlineStr">
        <is>
          <t>BEHİCE YALMAN</t>
        </is>
      </c>
      <c r="E446" s="4" t="inlineStr">
        <is>
          <t>Salı</t>
        </is>
      </c>
      <c r="F446" s="4" t="inlineStr">
        <is>
          <t>13.10.2026</t>
        </is>
      </c>
      <c r="G446" s="4" t="inlineStr">
        <is>
          <t>09:54</t>
        </is>
      </c>
      <c r="H446" s="4" t="inlineStr">
        <is>
          <t>13.10.2026</t>
        </is>
      </c>
      <c r="I446" s="4" t="inlineStr">
        <is>
          <t>19:01</t>
        </is>
      </c>
      <c r="J446" s="8" t="n">
        <v>7.5</v>
      </c>
      <c r="K446" s="8" t="n">
        <v>5.5</v>
      </c>
      <c r="L446" s="8" t="n">
        <v>2</v>
      </c>
      <c r="M446" s="29" t="inlineStr">
        <is>
          <t>GÖBEL</t>
        </is>
      </c>
    </row>
    <row r="447">
      <c r="A447" s="4" t="n">
        <v>446</v>
      </c>
      <c r="B447" s="4" t="inlineStr">
        <is>
          <t>00025</t>
        </is>
      </c>
      <c r="C447" s="4" t="inlineStr">
        <is>
          <t>00025</t>
        </is>
      </c>
      <c r="D447" s="29" t="inlineStr">
        <is>
          <t>BEHİCE YALMAN</t>
        </is>
      </c>
      <c r="E447" s="4" t="inlineStr">
        <is>
          <t>Çarşamba</t>
        </is>
      </c>
      <c r="F447" s="4" t="inlineStr">
        <is>
          <t>14.10.2026</t>
        </is>
      </c>
      <c r="G447" s="4" t="inlineStr">
        <is>
          <t>07:44</t>
        </is>
      </c>
      <c r="H447" s="4" t="inlineStr">
        <is>
          <t>14.10.2026</t>
        </is>
      </c>
      <c r="I447" s="4" t="inlineStr">
        <is>
          <t>18:31</t>
        </is>
      </c>
      <c r="J447" s="8" t="n">
        <v>9</v>
      </c>
      <c r="K447" s="8" t="n">
        <v>7.5</v>
      </c>
      <c r="L447" s="8" t="n">
        <v>1.5</v>
      </c>
      <c r="M447" s="29" t="inlineStr">
        <is>
          <t>GÖBEL</t>
        </is>
      </c>
    </row>
    <row r="448">
      <c r="A448" s="4" t="n">
        <v>447</v>
      </c>
      <c r="B448" s="4" t="inlineStr">
        <is>
          <t>00025</t>
        </is>
      </c>
      <c r="C448" s="4" t="inlineStr">
        <is>
          <t>00025</t>
        </is>
      </c>
      <c r="D448" s="29" t="inlineStr">
        <is>
          <t>BEHİCE YALMAN</t>
        </is>
      </c>
      <c r="E448" s="4" t="inlineStr">
        <is>
          <t>Perşembe</t>
        </is>
      </c>
      <c r="F448" s="4" t="inlineStr">
        <is>
          <t>15.10.2026</t>
        </is>
      </c>
      <c r="G448" s="4" t="inlineStr">
        <is>
          <t>07:40</t>
        </is>
      </c>
      <c r="H448" s="4" t="inlineStr">
        <is>
          <t>15.10.2026</t>
        </is>
      </c>
      <c r="I448" s="4" t="inlineStr">
        <is>
          <t>17:07</t>
        </is>
      </c>
      <c r="J448" s="8" t="n">
        <v>7.5</v>
      </c>
      <c r="K448" s="8" t="n">
        <v>7.5</v>
      </c>
      <c r="L448" s="8" t="n">
        <v>0</v>
      </c>
      <c r="M448" s="29" t="inlineStr">
        <is>
          <t>GÖBEL</t>
        </is>
      </c>
    </row>
    <row r="449">
      <c r="A449" s="4" t="n">
        <v>448</v>
      </c>
      <c r="B449" s="4" t="inlineStr">
        <is>
          <t>00025</t>
        </is>
      </c>
      <c r="C449" s="4" t="inlineStr">
        <is>
          <t>00025</t>
        </is>
      </c>
      <c r="D449" s="29" t="inlineStr">
        <is>
          <t>BEHİCE YALMAN</t>
        </is>
      </c>
      <c r="E449" s="4" t="inlineStr">
        <is>
          <t>Cuma</t>
        </is>
      </c>
      <c r="F449" s="4" t="inlineStr">
        <is>
          <t>16.10.2026</t>
        </is>
      </c>
      <c r="G449" s="4" t="inlineStr">
        <is>
          <t>09:46</t>
        </is>
      </c>
      <c r="H449" s="4" t="inlineStr">
        <is>
          <t>16.10.2026</t>
        </is>
      </c>
      <c r="I449" s="4" t="inlineStr">
        <is>
          <t>19:50</t>
        </is>
      </c>
      <c r="J449" s="8" t="n">
        <v>9</v>
      </c>
      <c r="K449" s="8" t="n">
        <v>6</v>
      </c>
      <c r="L449" s="8" t="n">
        <v>3</v>
      </c>
      <c r="M449" s="29" t="inlineStr">
        <is>
          <t>GÖBEL</t>
        </is>
      </c>
    </row>
    <row r="450">
      <c r="A450" s="4" t="n">
        <v>449</v>
      </c>
      <c r="B450" s="4" t="inlineStr">
        <is>
          <t>00025</t>
        </is>
      </c>
      <c r="C450" s="4" t="inlineStr">
        <is>
          <t>00025</t>
        </is>
      </c>
      <c r="D450" s="29" t="inlineStr">
        <is>
          <t>BEHİCE YALMAN</t>
        </is>
      </c>
      <c r="E450" s="4" t="inlineStr">
        <is>
          <t>Cumartesi</t>
        </is>
      </c>
      <c r="F450" s="4" t="inlineStr">
        <is>
          <t>17.10.2026</t>
        </is>
      </c>
      <c r="G450" s="4" t="inlineStr">
        <is>
          <t>09:47</t>
        </is>
      </c>
      <c r="H450" s="4" t="inlineStr">
        <is>
          <t>17.10.2026</t>
        </is>
      </c>
      <c r="I450" s="4" t="inlineStr">
        <is>
          <t>19:53</t>
        </is>
      </c>
      <c r="J450" s="8" t="n">
        <v>9</v>
      </c>
      <c r="K450" s="8" t="n">
        <v>6</v>
      </c>
      <c r="L450" s="8" t="n">
        <v>3</v>
      </c>
      <c r="M450" s="29" t="inlineStr">
        <is>
          <t>GÖBEL</t>
        </is>
      </c>
    </row>
    <row r="451">
      <c r="A451" s="4" t="n">
        <v>450</v>
      </c>
      <c r="B451" s="4" t="inlineStr">
        <is>
          <t>00025</t>
        </is>
      </c>
      <c r="C451" s="4" t="inlineStr">
        <is>
          <t>00025</t>
        </is>
      </c>
      <c r="D451" s="29" t="inlineStr">
        <is>
          <t>BEHİCE YALMAN</t>
        </is>
      </c>
      <c r="E451" s="4" t="inlineStr">
        <is>
          <t>Pazartesi</t>
        </is>
      </c>
      <c r="F451" s="4" t="inlineStr">
        <is>
          <t>19.10.2026</t>
        </is>
      </c>
      <c r="G451" s="4" t="inlineStr">
        <is>
          <t>11:18</t>
        </is>
      </c>
      <c r="H451" s="4" t="inlineStr">
        <is>
          <t>19.10.2026</t>
        </is>
      </c>
      <c r="I451" s="4" t="inlineStr">
        <is>
          <t>18:16</t>
        </is>
      </c>
      <c r="J451" s="8" t="n">
        <v>5.5</v>
      </c>
      <c r="K451" s="8" t="n">
        <v>4.5</v>
      </c>
      <c r="L451" s="8" t="n">
        <v>1</v>
      </c>
      <c r="M451" s="29" t="inlineStr">
        <is>
          <t>GÖBEL</t>
        </is>
      </c>
    </row>
    <row r="452">
      <c r="A452" s="4" t="n">
        <v>451</v>
      </c>
      <c r="B452" s="4" t="inlineStr">
        <is>
          <t>00025</t>
        </is>
      </c>
      <c r="C452" s="4" t="inlineStr">
        <is>
          <t>00025</t>
        </is>
      </c>
      <c r="D452" s="29" t="inlineStr">
        <is>
          <t>BEHİCE YALMAN</t>
        </is>
      </c>
      <c r="E452" s="4" t="inlineStr">
        <is>
          <t>Salı</t>
        </is>
      </c>
      <c r="F452" s="4" t="inlineStr">
        <is>
          <t>20.10.2026</t>
        </is>
      </c>
      <c r="G452" s="4" t="inlineStr">
        <is>
          <t>09:49</t>
        </is>
      </c>
      <c r="H452" s="4" t="inlineStr">
        <is>
          <t>20.10.2026</t>
        </is>
      </c>
      <c r="I452" s="4" t="inlineStr">
        <is>
          <t>18:59</t>
        </is>
      </c>
      <c r="J452" s="8" t="n">
        <v>8</v>
      </c>
      <c r="K452" s="8" t="n">
        <v>6</v>
      </c>
      <c r="L452" s="8" t="n">
        <v>2</v>
      </c>
      <c r="M452" s="29" t="inlineStr">
        <is>
          <t>GÖBEL</t>
        </is>
      </c>
    </row>
    <row r="453">
      <c r="A453" s="4" t="n">
        <v>452</v>
      </c>
      <c r="B453" s="4" t="inlineStr">
        <is>
          <t>00025</t>
        </is>
      </c>
      <c r="C453" s="4" t="inlineStr">
        <is>
          <t>00025</t>
        </is>
      </c>
      <c r="D453" s="29" t="inlineStr">
        <is>
          <t>BEHİCE YALMAN</t>
        </is>
      </c>
      <c r="E453" s="4" t="inlineStr">
        <is>
          <t>Çarşamba</t>
        </is>
      </c>
      <c r="F453" s="4" t="inlineStr">
        <is>
          <t>21.10.2026</t>
        </is>
      </c>
      <c r="G453" s="4" t="inlineStr">
        <is>
          <t>09:46</t>
        </is>
      </c>
      <c r="H453" s="4" t="inlineStr">
        <is>
          <t>21.10.2026</t>
        </is>
      </c>
      <c r="I453" s="4" t="inlineStr">
        <is>
          <t>18:54</t>
        </is>
      </c>
      <c r="J453" s="8" t="n">
        <v>8</v>
      </c>
      <c r="K453" s="8" t="n">
        <v>6</v>
      </c>
      <c r="L453" s="8" t="n">
        <v>2</v>
      </c>
      <c r="M453" s="29" t="inlineStr">
        <is>
          <t>GÖBEL</t>
        </is>
      </c>
    </row>
    <row r="454">
      <c r="A454" s="4" t="n">
        <v>453</v>
      </c>
      <c r="B454" s="4" t="inlineStr">
        <is>
          <t>00902</t>
        </is>
      </c>
      <c r="C454" s="4" t="inlineStr">
        <is>
          <t>00902</t>
        </is>
      </c>
      <c r="D454" s="29" t="inlineStr">
        <is>
          <t>BERK BERBER</t>
        </is>
      </c>
      <c r="E454" s="4" t="inlineStr">
        <is>
          <t>Cuma</t>
        </is>
      </c>
      <c r="F454" s="4" t="inlineStr">
        <is>
          <t>2.10.2026</t>
        </is>
      </c>
      <c r="G454" s="4" t="inlineStr">
        <is>
          <t>08:05</t>
        </is>
      </c>
      <c r="H454" s="4" t="inlineStr">
        <is>
          <t>2.10.2026</t>
        </is>
      </c>
      <c r="I454" s="4" t="inlineStr">
        <is>
          <t>17:40</t>
        </is>
      </c>
      <c r="J454" s="8" t="n">
        <v>8</v>
      </c>
      <c r="K454" s="8" t="n">
        <v>7.5</v>
      </c>
      <c r="L454" s="8" t="n">
        <v>0.5</v>
      </c>
      <c r="M454" s="29" t="inlineStr">
        <is>
          <t>BANDIRMA</t>
        </is>
      </c>
    </row>
    <row r="455">
      <c r="A455" s="4" t="n">
        <v>454</v>
      </c>
      <c r="B455" s="4" t="inlineStr">
        <is>
          <t>00902</t>
        </is>
      </c>
      <c r="C455" s="4" t="inlineStr">
        <is>
          <t>00902</t>
        </is>
      </c>
      <c r="D455" s="29" t="inlineStr">
        <is>
          <t>BERK BERBER</t>
        </is>
      </c>
      <c r="E455" s="4" t="inlineStr">
        <is>
          <t>Cumartesi</t>
        </is>
      </c>
      <c r="F455" s="4" t="inlineStr">
        <is>
          <t>3.10.2026</t>
        </is>
      </c>
      <c r="G455" s="4" t="inlineStr">
        <is>
          <t>13:55</t>
        </is>
      </c>
      <c r="H455" s="4" t="inlineStr">
        <is>
          <t>3.10.2026</t>
        </is>
      </c>
      <c r="I455" s="4" t="inlineStr">
        <is>
          <t>17:33</t>
        </is>
      </c>
      <c r="J455" s="8" t="n">
        <v>3</v>
      </c>
      <c r="K455" s="8" t="n">
        <v>3</v>
      </c>
      <c r="L455" s="8" t="n">
        <v>0</v>
      </c>
      <c r="M455" s="29" t="inlineStr">
        <is>
          <t>BANDIRMA</t>
        </is>
      </c>
    </row>
    <row r="456">
      <c r="A456" s="4" t="n">
        <v>455</v>
      </c>
      <c r="B456" s="4" t="inlineStr">
        <is>
          <t>00902</t>
        </is>
      </c>
      <c r="C456" s="4" t="inlineStr">
        <is>
          <t>00902</t>
        </is>
      </c>
      <c r="D456" s="29" t="inlineStr">
        <is>
          <t>BERK BERBER</t>
        </is>
      </c>
      <c r="E456" s="4" t="inlineStr">
        <is>
          <t>Pazartesi</t>
        </is>
      </c>
      <c r="F456" s="4" t="inlineStr">
        <is>
          <t>5.10.2026</t>
        </is>
      </c>
      <c r="G456" s="4" t="inlineStr">
        <is>
          <t>07:46</t>
        </is>
      </c>
      <c r="H456" s="4" t="inlineStr">
        <is>
          <t>5.10.2026</t>
        </is>
      </c>
      <c r="I456" s="4" t="inlineStr">
        <is>
          <t>17:11</t>
        </is>
      </c>
      <c r="J456" s="8" t="n">
        <v>7.5</v>
      </c>
      <c r="K456" s="8" t="n">
        <v>7.5</v>
      </c>
      <c r="L456" s="8" t="n">
        <v>0</v>
      </c>
      <c r="M456" s="29" t="inlineStr">
        <is>
          <t>BANDIRMA</t>
        </is>
      </c>
    </row>
    <row r="457">
      <c r="A457" s="4" t="n">
        <v>456</v>
      </c>
      <c r="B457" s="4" t="inlineStr">
        <is>
          <t>00902</t>
        </is>
      </c>
      <c r="C457" s="4" t="inlineStr">
        <is>
          <t>00902</t>
        </is>
      </c>
      <c r="D457" s="29" t="inlineStr">
        <is>
          <t>BERK BERBER</t>
        </is>
      </c>
      <c r="E457" s="4" t="inlineStr">
        <is>
          <t>Salı</t>
        </is>
      </c>
      <c r="F457" s="4" t="inlineStr">
        <is>
          <t>6.10.2026</t>
        </is>
      </c>
      <c r="G457" s="4" t="inlineStr">
        <is>
          <t>08:26</t>
        </is>
      </c>
      <c r="H457" s="4" t="inlineStr">
        <is>
          <t>6.10.2026</t>
        </is>
      </c>
      <c r="I457" s="4" t="inlineStr">
        <is>
          <t>17:37</t>
        </is>
      </c>
      <c r="J457" s="8" t="n">
        <v>7.5</v>
      </c>
      <c r="K457" s="8" t="n">
        <v>7</v>
      </c>
      <c r="L457" s="8" t="n">
        <v>0.5</v>
      </c>
      <c r="M457" s="29" t="inlineStr">
        <is>
          <t>BANDIRMA</t>
        </is>
      </c>
    </row>
    <row r="458">
      <c r="A458" s="4" t="n">
        <v>457</v>
      </c>
      <c r="B458" s="4" t="inlineStr">
        <is>
          <t>00902</t>
        </is>
      </c>
      <c r="C458" s="4" t="inlineStr">
        <is>
          <t>00902</t>
        </is>
      </c>
      <c r="D458" s="29" t="inlineStr">
        <is>
          <t>BERK BERBER</t>
        </is>
      </c>
      <c r="E458" s="4" t="inlineStr">
        <is>
          <t>Çarşamba</t>
        </is>
      </c>
      <c r="F458" s="4" t="inlineStr">
        <is>
          <t>7.10.2026</t>
        </is>
      </c>
      <c r="G458" s="4" t="inlineStr">
        <is>
          <t>07:44</t>
        </is>
      </c>
      <c r="H458" s="4" t="inlineStr">
        <is>
          <t>7.10.2026</t>
        </is>
      </c>
      <c r="I458" s="4" t="inlineStr">
        <is>
          <t>-</t>
        </is>
      </c>
      <c r="J458" s="8" t="n">
        <v>7.5</v>
      </c>
      <c r="K458" s="8" t="n">
        <v>7.5</v>
      </c>
      <c r="L458" s="8" t="n">
        <v>0</v>
      </c>
      <c r="M458" s="29" t="inlineStr">
        <is>
          <t>BANDIRMA</t>
        </is>
      </c>
    </row>
    <row r="459">
      <c r="A459" s="4" t="n">
        <v>458</v>
      </c>
      <c r="B459" s="4" t="inlineStr">
        <is>
          <t>00902</t>
        </is>
      </c>
      <c r="C459" s="4" t="inlineStr">
        <is>
          <t>00902</t>
        </is>
      </c>
      <c r="D459" s="29" t="inlineStr">
        <is>
          <t>BERK BERBER</t>
        </is>
      </c>
      <c r="E459" s="4" t="inlineStr">
        <is>
          <t>Perşembe</t>
        </is>
      </c>
      <c r="F459" s="4" t="inlineStr">
        <is>
          <t>8.10.2026</t>
        </is>
      </c>
      <c r="G459" s="4" t="inlineStr">
        <is>
          <t>09:51</t>
        </is>
      </c>
      <c r="H459" s="4" t="inlineStr">
        <is>
          <t>8.10.2026</t>
        </is>
      </c>
      <c r="I459" s="4" t="inlineStr">
        <is>
          <t>17:10</t>
        </is>
      </c>
      <c r="J459" s="8" t="n">
        <v>0</v>
      </c>
      <c r="K459" s="8" t="n">
        <v>0</v>
      </c>
      <c r="L459" s="8" t="n">
        <v>0</v>
      </c>
      <c r="M459" s="29" t="inlineStr">
        <is>
          <t>BANDIRMA</t>
        </is>
      </c>
    </row>
    <row r="460">
      <c r="A460" s="4" t="n">
        <v>459</v>
      </c>
      <c r="B460" s="4" t="inlineStr">
        <is>
          <t>00902</t>
        </is>
      </c>
      <c r="C460" s="4" t="inlineStr">
        <is>
          <t>00902</t>
        </is>
      </c>
      <c r="D460" s="29" t="inlineStr">
        <is>
          <t>BERK BERBER</t>
        </is>
      </c>
      <c r="E460" s="4" t="inlineStr">
        <is>
          <t>Cuma</t>
        </is>
      </c>
      <c r="F460" s="4" t="inlineStr">
        <is>
          <t>9.10.2026</t>
        </is>
      </c>
      <c r="G460" s="4" t="inlineStr">
        <is>
          <t>-</t>
        </is>
      </c>
      <c r="H460" s="4" t="inlineStr">
        <is>
          <t>9.10.2026</t>
        </is>
      </c>
      <c r="I460" s="4" t="inlineStr">
        <is>
          <t>17:07</t>
        </is>
      </c>
      <c r="J460" s="8" t="n">
        <v>7.5</v>
      </c>
      <c r="K460" s="8" t="n">
        <v>7.5</v>
      </c>
      <c r="L460" s="8" t="n">
        <v>0</v>
      </c>
      <c r="M460" s="29" t="inlineStr">
        <is>
          <t>BANDIRMA</t>
        </is>
      </c>
    </row>
    <row r="461">
      <c r="A461" s="4" t="n">
        <v>460</v>
      </c>
      <c r="B461" s="4" t="inlineStr">
        <is>
          <t>00902</t>
        </is>
      </c>
      <c r="C461" s="4" t="inlineStr">
        <is>
          <t>00902</t>
        </is>
      </c>
      <c r="D461" s="29" t="inlineStr">
        <is>
          <t>BERK BERBER</t>
        </is>
      </c>
      <c r="E461" s="4" t="inlineStr">
        <is>
          <t>Cumartesi</t>
        </is>
      </c>
      <c r="F461" s="4" t="inlineStr">
        <is>
          <t>10.10.2026</t>
        </is>
      </c>
      <c r="G461" s="4" t="inlineStr">
        <is>
          <t>-</t>
        </is>
      </c>
      <c r="H461" s="4" t="inlineStr">
        <is>
          <t>10.10.2026</t>
        </is>
      </c>
      <c r="I461" s="4" t="inlineStr">
        <is>
          <t>18:08</t>
        </is>
      </c>
      <c r="J461" s="8" t="n">
        <v>8.5</v>
      </c>
      <c r="K461" s="8" t="n">
        <v>7.5</v>
      </c>
      <c r="L461" s="8" t="n">
        <v>1</v>
      </c>
      <c r="M461" s="29" t="inlineStr">
        <is>
          <t>BANDIRMA</t>
        </is>
      </c>
    </row>
    <row r="462">
      <c r="A462" s="4" t="n">
        <v>461</v>
      </c>
      <c r="B462" s="4" t="inlineStr">
        <is>
          <t>00902</t>
        </is>
      </c>
      <c r="C462" s="4" t="inlineStr">
        <is>
          <t>00902</t>
        </is>
      </c>
      <c r="D462" s="29" t="inlineStr">
        <is>
          <t>BERK BERBER</t>
        </is>
      </c>
      <c r="E462" s="4" t="inlineStr">
        <is>
          <t>Pazartesi</t>
        </is>
      </c>
      <c r="F462" s="4" t="inlineStr">
        <is>
          <t>12.10.2026</t>
        </is>
      </c>
      <c r="G462" s="4" t="inlineStr">
        <is>
          <t>07:45</t>
        </is>
      </c>
      <c r="H462" s="4" t="inlineStr">
        <is>
          <t>12.10.2026</t>
        </is>
      </c>
      <c r="I462" s="4" t="inlineStr">
        <is>
          <t>17:07</t>
        </is>
      </c>
      <c r="J462" s="8" t="n">
        <v>7.5</v>
      </c>
      <c r="K462" s="8" t="n">
        <v>7.5</v>
      </c>
      <c r="L462" s="8" t="n">
        <v>0</v>
      </c>
      <c r="M462" s="29" t="inlineStr">
        <is>
          <t>BANDIRMA</t>
        </is>
      </c>
    </row>
    <row r="463">
      <c r="A463" s="4" t="n">
        <v>462</v>
      </c>
      <c r="B463" s="4" t="inlineStr">
        <is>
          <t>00902</t>
        </is>
      </c>
      <c r="C463" s="4" t="inlineStr">
        <is>
          <t>00902</t>
        </is>
      </c>
      <c r="D463" s="29" t="inlineStr">
        <is>
          <t>BERK BERBER</t>
        </is>
      </c>
      <c r="E463" s="4" t="inlineStr">
        <is>
          <t>Salı</t>
        </is>
      </c>
      <c r="F463" s="4" t="inlineStr">
        <is>
          <t>13.10.2026</t>
        </is>
      </c>
      <c r="G463" s="4" t="inlineStr">
        <is>
          <t>07:45</t>
        </is>
      </c>
      <c r="H463" s="4" t="inlineStr">
        <is>
          <t>13.10.2026</t>
        </is>
      </c>
      <c r="I463" s="4" t="inlineStr">
        <is>
          <t>17:07</t>
        </is>
      </c>
      <c r="J463" s="8" t="n">
        <v>7.5</v>
      </c>
      <c r="K463" s="8" t="n">
        <v>7.5</v>
      </c>
      <c r="L463" s="8" t="n">
        <v>0</v>
      </c>
      <c r="M463" s="29" t="inlineStr">
        <is>
          <t>BANDIRMA</t>
        </is>
      </c>
    </row>
    <row r="464">
      <c r="A464" s="4" t="n">
        <v>463</v>
      </c>
      <c r="B464" s="4" t="inlineStr">
        <is>
          <t>00902</t>
        </is>
      </c>
      <c r="C464" s="4" t="inlineStr">
        <is>
          <t>00902</t>
        </is>
      </c>
      <c r="D464" s="29" t="inlineStr">
        <is>
          <t>BERK BERBER</t>
        </is>
      </c>
      <c r="E464" s="4" t="inlineStr">
        <is>
          <t>Çarşamba</t>
        </is>
      </c>
      <c r="F464" s="4" t="inlineStr">
        <is>
          <t>14.10.2026</t>
        </is>
      </c>
      <c r="G464" s="4" t="inlineStr">
        <is>
          <t>07:46</t>
        </is>
      </c>
      <c r="H464" s="4" t="inlineStr">
        <is>
          <t>14.10.2026</t>
        </is>
      </c>
      <c r="I464" s="4" t="inlineStr">
        <is>
          <t>18:05</t>
        </is>
      </c>
      <c r="J464" s="8" t="n">
        <v>8.5</v>
      </c>
      <c r="K464" s="8" t="n">
        <v>7.5</v>
      </c>
      <c r="L464" s="8" t="n">
        <v>1</v>
      </c>
      <c r="M464" s="29" t="inlineStr">
        <is>
          <t>BANDIRMA</t>
        </is>
      </c>
    </row>
    <row r="465">
      <c r="A465" s="4" t="n">
        <v>464</v>
      </c>
      <c r="B465" s="4" t="inlineStr">
        <is>
          <t>00902</t>
        </is>
      </c>
      <c r="C465" s="4" t="inlineStr">
        <is>
          <t>00902</t>
        </is>
      </c>
      <c r="D465" s="29" t="inlineStr">
        <is>
          <t>BERK BERBER</t>
        </is>
      </c>
      <c r="E465" s="4" t="inlineStr">
        <is>
          <t>Perşembe</t>
        </is>
      </c>
      <c r="F465" s="4" t="inlineStr">
        <is>
          <t>15.10.2026</t>
        </is>
      </c>
      <c r="G465" s="4" t="inlineStr">
        <is>
          <t>-</t>
        </is>
      </c>
      <c r="H465" s="4" t="inlineStr">
        <is>
          <t>15.10.2026</t>
        </is>
      </c>
      <c r="I465" s="4" t="inlineStr">
        <is>
          <t>17:04</t>
        </is>
      </c>
      <c r="J465" s="8" t="n">
        <v>7.5</v>
      </c>
      <c r="K465" s="8" t="n">
        <v>7.5</v>
      </c>
      <c r="L465" s="8" t="n">
        <v>0</v>
      </c>
      <c r="M465" s="29" t="inlineStr">
        <is>
          <t>BANDIRMA</t>
        </is>
      </c>
    </row>
    <row r="466">
      <c r="A466" s="4" t="n">
        <v>465</v>
      </c>
      <c r="B466" s="4" t="inlineStr">
        <is>
          <t>00902</t>
        </is>
      </c>
      <c r="C466" s="4" t="inlineStr">
        <is>
          <t>00902</t>
        </is>
      </c>
      <c r="D466" s="29" t="inlineStr">
        <is>
          <t>BERK BERBER</t>
        </is>
      </c>
      <c r="E466" s="4" t="inlineStr">
        <is>
          <t>Cumartesi</t>
        </is>
      </c>
      <c r="F466" s="4" t="inlineStr">
        <is>
          <t>17.10.2026</t>
        </is>
      </c>
      <c r="G466" s="4" t="inlineStr">
        <is>
          <t>01:09</t>
        </is>
      </c>
      <c r="H466" s="4" t="inlineStr">
        <is>
          <t>17.10.2026</t>
        </is>
      </c>
      <c r="I466" s="4" t="inlineStr">
        <is>
          <t>17:49</t>
        </is>
      </c>
      <c r="J466" s="8" t="n">
        <v>14.5</v>
      </c>
      <c r="K466" s="8" t="n">
        <v>6.5</v>
      </c>
      <c r="L466" s="8" t="n">
        <v>8</v>
      </c>
      <c r="M466" s="29" t="inlineStr">
        <is>
          <t>BANDIRMA</t>
        </is>
      </c>
    </row>
    <row r="467">
      <c r="A467" s="4" t="n">
        <v>466</v>
      </c>
      <c r="B467" s="4" t="inlineStr">
        <is>
          <t>00902</t>
        </is>
      </c>
      <c r="C467" s="4" t="inlineStr">
        <is>
          <t>00902</t>
        </is>
      </c>
      <c r="D467" s="29" t="inlineStr">
        <is>
          <t>BERK BERBER</t>
        </is>
      </c>
      <c r="E467" s="4" t="inlineStr">
        <is>
          <t>Pazartesi</t>
        </is>
      </c>
      <c r="F467" s="4" t="inlineStr">
        <is>
          <t>19.10.2026</t>
        </is>
      </c>
      <c r="G467" s="4" t="inlineStr">
        <is>
          <t>08:16</t>
        </is>
      </c>
      <c r="H467" s="4" t="inlineStr">
        <is>
          <t>19.10.2026</t>
        </is>
      </c>
      <c r="I467" s="4" t="inlineStr">
        <is>
          <t>18:57</t>
        </is>
      </c>
      <c r="J467" s="8" t="n">
        <v>9.5</v>
      </c>
      <c r="K467" s="8" t="n">
        <v>7.5</v>
      </c>
      <c r="L467" s="8" t="n">
        <v>2</v>
      </c>
      <c r="M467" s="29" t="inlineStr">
        <is>
          <t>BANDIRMA</t>
        </is>
      </c>
    </row>
    <row r="468">
      <c r="A468" s="4" t="n">
        <v>467</v>
      </c>
      <c r="B468" s="4" t="inlineStr">
        <is>
          <t>00902</t>
        </is>
      </c>
      <c r="C468" s="4" t="inlineStr">
        <is>
          <t>00902</t>
        </is>
      </c>
      <c r="D468" s="29" t="inlineStr">
        <is>
          <t>BERK BERBER</t>
        </is>
      </c>
      <c r="E468" s="4" t="inlineStr">
        <is>
          <t>Salı</t>
        </is>
      </c>
      <c r="F468" s="4" t="inlineStr">
        <is>
          <t>20.10.2026</t>
        </is>
      </c>
      <c r="G468" s="4" t="inlineStr">
        <is>
          <t>10:06</t>
        </is>
      </c>
      <c r="H468" s="4" t="inlineStr">
        <is>
          <t>20.10.2026</t>
        </is>
      </c>
      <c r="I468" s="4" t="inlineStr">
        <is>
          <t>17:09</t>
        </is>
      </c>
      <c r="J468" s="8" t="n">
        <v>5.5</v>
      </c>
      <c r="K468" s="8" t="n">
        <v>5.5</v>
      </c>
      <c r="L468" s="8" t="n">
        <v>0</v>
      </c>
      <c r="M468" s="29" t="inlineStr">
        <is>
          <t>BANDIRMA</t>
        </is>
      </c>
    </row>
    <row r="469">
      <c r="A469" s="4" t="n">
        <v>468</v>
      </c>
      <c r="B469" s="4" t="inlineStr">
        <is>
          <t>00902</t>
        </is>
      </c>
      <c r="C469" s="4" t="inlineStr">
        <is>
          <t>00902</t>
        </is>
      </c>
      <c r="D469" s="29" t="inlineStr">
        <is>
          <t>BERK BERBER</t>
        </is>
      </c>
      <c r="E469" s="4" t="inlineStr">
        <is>
          <t>Çarşamba</t>
        </is>
      </c>
      <c r="F469" s="4" t="inlineStr">
        <is>
          <t>21.10.2026</t>
        </is>
      </c>
      <c r="G469" s="4" t="inlineStr">
        <is>
          <t>09:23</t>
        </is>
      </c>
      <c r="H469" s="4" t="inlineStr">
        <is>
          <t>21.10.2026</t>
        </is>
      </c>
      <c r="I469" s="4" t="inlineStr">
        <is>
          <t>17:37</t>
        </is>
      </c>
      <c r="J469" s="8" t="n">
        <v>6.5</v>
      </c>
      <c r="K469" s="8" t="n">
        <v>6</v>
      </c>
      <c r="L469" s="8" t="n">
        <v>0.5</v>
      </c>
      <c r="M469" s="29" t="inlineStr">
        <is>
          <t>BANDIRMA</t>
        </is>
      </c>
    </row>
    <row r="470">
      <c r="A470" s="4" t="n">
        <v>469</v>
      </c>
      <c r="B470" s="4" t="inlineStr">
        <is>
          <t>00216</t>
        </is>
      </c>
      <c r="C470" s="4" t="inlineStr">
        <is>
          <t>00216</t>
        </is>
      </c>
      <c r="D470" s="29" t="inlineStr">
        <is>
          <t>BETÜL TUNÇ</t>
        </is>
      </c>
      <c r="E470" s="4" t="inlineStr">
        <is>
          <t>Perşembe</t>
        </is>
      </c>
      <c r="F470" s="4" t="inlineStr">
        <is>
          <t>1.10.2026</t>
        </is>
      </c>
      <c r="G470" s="4" t="inlineStr">
        <is>
          <t>07:44</t>
        </is>
      </c>
      <c r="H470" s="4" t="inlineStr">
        <is>
          <t>1.10.2026</t>
        </is>
      </c>
      <c r="I470" s="4" t="inlineStr">
        <is>
          <t>17:28</t>
        </is>
      </c>
      <c r="J470" s="8" t="n">
        <v>8</v>
      </c>
      <c r="K470" s="8" t="n">
        <v>7.5</v>
      </c>
      <c r="L470" s="8" t="n">
        <v>0.5</v>
      </c>
      <c r="M470" s="29" t="inlineStr">
        <is>
          <t>BANDIRMA</t>
        </is>
      </c>
    </row>
    <row r="471">
      <c r="A471" s="4" t="n">
        <v>470</v>
      </c>
      <c r="B471" s="4" t="inlineStr">
        <is>
          <t>00216</t>
        </is>
      </c>
      <c r="C471" s="4" t="inlineStr">
        <is>
          <t>00216</t>
        </is>
      </c>
      <c r="D471" s="29" t="inlineStr">
        <is>
          <t>BETÜL TUNÇ</t>
        </is>
      </c>
      <c r="E471" s="4" t="inlineStr">
        <is>
          <t>Cuma</t>
        </is>
      </c>
      <c r="F471" s="4" t="inlineStr">
        <is>
          <t>2.10.2026</t>
        </is>
      </c>
      <c r="G471" s="4" t="inlineStr">
        <is>
          <t>07:43</t>
        </is>
      </c>
      <c r="H471" s="4" t="inlineStr">
        <is>
          <t>2.10.2026</t>
        </is>
      </c>
      <c r="I471" s="4" t="inlineStr">
        <is>
          <t>17:47</t>
        </is>
      </c>
      <c r="J471" s="8" t="n">
        <v>8.5</v>
      </c>
      <c r="K471" s="8" t="n">
        <v>7.5</v>
      </c>
      <c r="L471" s="8" t="n">
        <v>1</v>
      </c>
      <c r="M471" s="29" t="inlineStr">
        <is>
          <t>BANDIRMA</t>
        </is>
      </c>
    </row>
    <row r="472">
      <c r="A472" s="4" t="n">
        <v>471</v>
      </c>
      <c r="B472" s="4" t="inlineStr">
        <is>
          <t>00216</t>
        </is>
      </c>
      <c r="C472" s="4" t="inlineStr">
        <is>
          <t>00216</t>
        </is>
      </c>
      <c r="D472" s="29" t="inlineStr">
        <is>
          <t>BETÜL TUNÇ</t>
        </is>
      </c>
      <c r="E472" s="4" t="inlineStr">
        <is>
          <t>Cumartesi</t>
        </is>
      </c>
      <c r="F472" s="4" t="inlineStr">
        <is>
          <t>3.10.2026</t>
        </is>
      </c>
      <c r="G472" s="4" t="inlineStr">
        <is>
          <t>07:40</t>
        </is>
      </c>
      <c r="H472" s="4" t="inlineStr">
        <is>
          <t>3.10.2026</t>
        </is>
      </c>
      <c r="I472" s="4" t="inlineStr">
        <is>
          <t>17:37</t>
        </is>
      </c>
      <c r="J472" s="8" t="n">
        <v>8</v>
      </c>
      <c r="K472" s="8" t="n">
        <v>7.5</v>
      </c>
      <c r="L472" s="8" t="n">
        <v>0.5</v>
      </c>
      <c r="M472" s="29" t="inlineStr">
        <is>
          <t>BANDIRMA</t>
        </is>
      </c>
    </row>
    <row r="473">
      <c r="A473" s="4" t="n">
        <v>472</v>
      </c>
      <c r="B473" s="4" t="inlineStr">
        <is>
          <t>00216</t>
        </is>
      </c>
      <c r="C473" s="4" t="inlineStr">
        <is>
          <t>00216</t>
        </is>
      </c>
      <c r="D473" s="29" t="inlineStr">
        <is>
          <t>BETÜL TUNÇ</t>
        </is>
      </c>
      <c r="E473" s="4" t="inlineStr">
        <is>
          <t>Pazartesi</t>
        </is>
      </c>
      <c r="F473" s="4" t="inlineStr">
        <is>
          <t>5.10.2026</t>
        </is>
      </c>
      <c r="G473" s="4" t="inlineStr">
        <is>
          <t>07:44</t>
        </is>
      </c>
      <c r="H473" s="4" t="inlineStr">
        <is>
          <t>5.10.2026</t>
        </is>
      </c>
      <c r="I473" s="4" t="inlineStr">
        <is>
          <t>17:09</t>
        </is>
      </c>
      <c r="J473" s="8" t="n">
        <v>7.5</v>
      </c>
      <c r="K473" s="8" t="n">
        <v>7.5</v>
      </c>
      <c r="L473" s="8" t="n">
        <v>0</v>
      </c>
      <c r="M473" s="29" t="inlineStr">
        <is>
          <t>BANDIRMA</t>
        </is>
      </c>
    </row>
    <row r="474">
      <c r="A474" s="4" t="n">
        <v>473</v>
      </c>
      <c r="B474" s="4" t="inlineStr">
        <is>
          <t>00216</t>
        </is>
      </c>
      <c r="C474" s="4" t="inlineStr">
        <is>
          <t>00216</t>
        </is>
      </c>
      <c r="D474" s="29" t="inlineStr">
        <is>
          <t>BETÜL TUNÇ</t>
        </is>
      </c>
      <c r="E474" s="4" t="inlineStr">
        <is>
          <t>Salı</t>
        </is>
      </c>
      <c r="F474" s="4" t="inlineStr">
        <is>
          <t>6.10.2026</t>
        </is>
      </c>
      <c r="G474" s="4" t="inlineStr">
        <is>
          <t>07:43</t>
        </is>
      </c>
      <c r="H474" s="4" t="inlineStr">
        <is>
          <t>6.10.2026</t>
        </is>
      </c>
      <c r="I474" s="4" t="inlineStr">
        <is>
          <t>17:44</t>
        </is>
      </c>
      <c r="J474" s="8" t="n">
        <v>8</v>
      </c>
      <c r="K474" s="8" t="n">
        <v>7.5</v>
      </c>
      <c r="L474" s="8" t="n">
        <v>0.5</v>
      </c>
      <c r="M474" s="29" t="inlineStr">
        <is>
          <t>BANDIRMA</t>
        </is>
      </c>
    </row>
    <row r="475">
      <c r="A475" s="4" t="n">
        <v>474</v>
      </c>
      <c r="B475" s="4" t="inlineStr">
        <is>
          <t>00216</t>
        </is>
      </c>
      <c r="C475" s="4" t="inlineStr">
        <is>
          <t>00216</t>
        </is>
      </c>
      <c r="D475" s="29" t="inlineStr">
        <is>
          <t>BETÜL TUNÇ</t>
        </is>
      </c>
      <c r="E475" s="4" t="inlineStr">
        <is>
          <t>Çarşamba</t>
        </is>
      </c>
      <c r="F475" s="4" t="inlineStr">
        <is>
          <t>7.10.2026</t>
        </is>
      </c>
      <c r="G475" s="4" t="inlineStr">
        <is>
          <t>07:44</t>
        </is>
      </c>
      <c r="H475" s="4" t="inlineStr">
        <is>
          <t>7.10.2026</t>
        </is>
      </c>
      <c r="I475" s="4" t="inlineStr">
        <is>
          <t>17:24</t>
        </is>
      </c>
      <c r="J475" s="8" t="n">
        <v>8</v>
      </c>
      <c r="K475" s="8" t="n">
        <v>7.5</v>
      </c>
      <c r="L475" s="8" t="n">
        <v>0.5</v>
      </c>
      <c r="M475" s="29" t="inlineStr">
        <is>
          <t>BANDIRMA</t>
        </is>
      </c>
    </row>
    <row r="476">
      <c r="A476" s="4" t="n">
        <v>475</v>
      </c>
      <c r="B476" s="4" t="inlineStr">
        <is>
          <t>00216</t>
        </is>
      </c>
      <c r="C476" s="4" t="inlineStr">
        <is>
          <t>00216</t>
        </is>
      </c>
      <c r="D476" s="29" t="inlineStr">
        <is>
          <t>BETÜL TUNÇ</t>
        </is>
      </c>
      <c r="E476" s="4" t="inlineStr">
        <is>
          <t>Perşembe</t>
        </is>
      </c>
      <c r="F476" s="4" t="inlineStr">
        <is>
          <t>8.10.2026</t>
        </is>
      </c>
      <c r="G476" s="4" t="inlineStr">
        <is>
          <t>07:44</t>
        </is>
      </c>
      <c r="H476" s="4" t="inlineStr">
        <is>
          <t>8.10.2026</t>
        </is>
      </c>
      <c r="I476" s="4" t="inlineStr">
        <is>
          <t>17:38</t>
        </is>
      </c>
      <c r="J476" s="8" t="n">
        <v>8</v>
      </c>
      <c r="K476" s="8" t="n">
        <v>7.5</v>
      </c>
      <c r="L476" s="8" t="n">
        <v>0.5</v>
      </c>
      <c r="M476" s="29" t="inlineStr">
        <is>
          <t>BANDIRMA</t>
        </is>
      </c>
    </row>
    <row r="477">
      <c r="A477" s="4" t="n">
        <v>476</v>
      </c>
      <c r="B477" s="4" t="inlineStr">
        <is>
          <t>00216</t>
        </is>
      </c>
      <c r="C477" s="4" t="inlineStr">
        <is>
          <t>00216</t>
        </is>
      </c>
      <c r="D477" s="29" t="inlineStr">
        <is>
          <t>BETÜL TUNÇ</t>
        </is>
      </c>
      <c r="E477" s="4" t="inlineStr">
        <is>
          <t>Cuma</t>
        </is>
      </c>
      <c r="F477" s="4" t="inlineStr">
        <is>
          <t>9.10.2026</t>
        </is>
      </c>
      <c r="G477" s="4" t="inlineStr">
        <is>
          <t>07:41</t>
        </is>
      </c>
      <c r="H477" s="4" t="inlineStr">
        <is>
          <t>9.10.2026</t>
        </is>
      </c>
      <c r="I477" s="4" t="inlineStr">
        <is>
          <t>17:47</t>
        </is>
      </c>
      <c r="J477" s="8" t="n">
        <v>8.5</v>
      </c>
      <c r="K477" s="8" t="n">
        <v>7.5</v>
      </c>
      <c r="L477" s="8" t="n">
        <v>1</v>
      </c>
      <c r="M477" s="29" t="inlineStr">
        <is>
          <t>BANDIRMA</t>
        </is>
      </c>
    </row>
    <row r="478">
      <c r="A478" s="4" t="n">
        <v>477</v>
      </c>
      <c r="B478" s="4" t="inlineStr">
        <is>
          <t>00216</t>
        </is>
      </c>
      <c r="C478" s="4" t="inlineStr">
        <is>
          <t>00216</t>
        </is>
      </c>
      <c r="D478" s="29" t="inlineStr">
        <is>
          <t>BETÜL TUNÇ</t>
        </is>
      </c>
      <c r="E478" s="4" t="inlineStr">
        <is>
          <t>Cumartesi</t>
        </is>
      </c>
      <c r="F478" s="4" t="inlineStr">
        <is>
          <t>10.10.2026</t>
        </is>
      </c>
      <c r="G478" s="4" t="inlineStr">
        <is>
          <t>07:41</t>
        </is>
      </c>
      <c r="H478" s="4" t="inlineStr">
        <is>
          <t>10.10.2026</t>
        </is>
      </c>
      <c r="I478" s="4" t="inlineStr">
        <is>
          <t>18:12</t>
        </is>
      </c>
      <c r="J478" s="8" t="n">
        <v>8.5</v>
      </c>
      <c r="K478" s="8" t="n">
        <v>7.5</v>
      </c>
      <c r="L478" s="8" t="n">
        <v>1</v>
      </c>
      <c r="M478" s="29" t="inlineStr">
        <is>
          <t>BANDIRMA</t>
        </is>
      </c>
    </row>
    <row r="479">
      <c r="A479" s="4" t="n">
        <v>478</v>
      </c>
      <c r="B479" s="4" t="inlineStr">
        <is>
          <t>00216</t>
        </is>
      </c>
      <c r="C479" s="4" t="inlineStr">
        <is>
          <t>00216</t>
        </is>
      </c>
      <c r="D479" s="29" t="inlineStr">
        <is>
          <t>BETÜL TUNÇ</t>
        </is>
      </c>
      <c r="E479" s="4" t="inlineStr">
        <is>
          <t>Cuma</t>
        </is>
      </c>
      <c r="F479" s="4" t="inlineStr">
        <is>
          <t>16.10.2026</t>
        </is>
      </c>
      <c r="G479" s="4" t="inlineStr">
        <is>
          <t>07:42</t>
        </is>
      </c>
      <c r="H479" s="4" t="inlineStr">
        <is>
          <t>16.10.2026</t>
        </is>
      </c>
      <c r="I479" s="4" t="inlineStr">
        <is>
          <t>17:21</t>
        </is>
      </c>
      <c r="J479" s="8" t="n">
        <v>8</v>
      </c>
      <c r="K479" s="8" t="n">
        <v>7.5</v>
      </c>
      <c r="L479" s="8" t="n">
        <v>0.5</v>
      </c>
      <c r="M479" s="29" t="inlineStr">
        <is>
          <t>BANDIRMA</t>
        </is>
      </c>
    </row>
    <row r="480">
      <c r="A480" s="4" t="n">
        <v>479</v>
      </c>
      <c r="B480" s="4" t="inlineStr">
        <is>
          <t>00216</t>
        </is>
      </c>
      <c r="C480" s="4" t="inlineStr">
        <is>
          <t>00216</t>
        </is>
      </c>
      <c r="D480" s="29" t="inlineStr">
        <is>
          <t>BETÜL TUNÇ</t>
        </is>
      </c>
      <c r="E480" s="4" t="inlineStr">
        <is>
          <t>Pazartesi</t>
        </is>
      </c>
      <c r="F480" s="4" t="inlineStr">
        <is>
          <t>19.10.2026</t>
        </is>
      </c>
      <c r="G480" s="4" t="inlineStr">
        <is>
          <t>07:56</t>
        </is>
      </c>
      <c r="H480" s="4" t="inlineStr">
        <is>
          <t>19.10.2026</t>
        </is>
      </c>
      <c r="I480" s="4" t="inlineStr">
        <is>
          <t>17:47</t>
        </is>
      </c>
      <c r="J480" s="8" t="n">
        <v>8.5</v>
      </c>
      <c r="K480" s="8" t="n">
        <v>7.5</v>
      </c>
      <c r="L480" s="8" t="n">
        <v>1</v>
      </c>
      <c r="M480" s="29" t="inlineStr">
        <is>
          <t>BANDIRMA</t>
        </is>
      </c>
    </row>
    <row r="481">
      <c r="A481" s="4" t="n">
        <v>480</v>
      </c>
      <c r="B481" s="4" t="inlineStr">
        <is>
          <t>00216</t>
        </is>
      </c>
      <c r="C481" s="4" t="inlineStr">
        <is>
          <t>00216</t>
        </is>
      </c>
      <c r="D481" s="29" t="inlineStr">
        <is>
          <t>BETÜL TUNÇ</t>
        </is>
      </c>
      <c r="E481" s="4" t="inlineStr">
        <is>
          <t>Salı</t>
        </is>
      </c>
      <c r="F481" s="4" t="inlineStr">
        <is>
          <t>20.10.2026</t>
        </is>
      </c>
      <c r="G481" s="4" t="inlineStr">
        <is>
          <t>07:41</t>
        </is>
      </c>
      <c r="H481" s="4" t="inlineStr">
        <is>
          <t>20.10.2026</t>
        </is>
      </c>
      <c r="I481" s="4" t="inlineStr">
        <is>
          <t>17:04</t>
        </is>
      </c>
      <c r="J481" s="8" t="n">
        <v>7.5</v>
      </c>
      <c r="K481" s="8" t="n">
        <v>7.5</v>
      </c>
      <c r="L481" s="8" t="n">
        <v>0</v>
      </c>
      <c r="M481" s="29" t="inlineStr">
        <is>
          <t>BANDIRMA</t>
        </is>
      </c>
    </row>
    <row r="482">
      <c r="A482" s="4" t="n">
        <v>481</v>
      </c>
      <c r="B482" s="4" t="inlineStr">
        <is>
          <t>00216</t>
        </is>
      </c>
      <c r="C482" s="4" t="inlineStr">
        <is>
          <t>00216</t>
        </is>
      </c>
      <c r="D482" s="29" t="inlineStr">
        <is>
          <t>BETÜL TUNÇ</t>
        </is>
      </c>
      <c r="E482" s="4" t="inlineStr">
        <is>
          <t>Çarşamba</t>
        </is>
      </c>
      <c r="F482" s="4" t="inlineStr">
        <is>
          <t>21.10.2026</t>
        </is>
      </c>
      <c r="G482" s="4" t="inlineStr">
        <is>
          <t>07:46</t>
        </is>
      </c>
      <c r="H482" s="4" t="inlineStr">
        <is>
          <t>21.10.2026</t>
        </is>
      </c>
      <c r="I482" s="4" t="inlineStr">
        <is>
          <t>17:02</t>
        </is>
      </c>
      <c r="J482" s="8" t="n">
        <v>7.5</v>
      </c>
      <c r="K482" s="8" t="n">
        <v>7.5</v>
      </c>
      <c r="L482" s="8" t="n">
        <v>0</v>
      </c>
      <c r="M482" s="29" t="inlineStr">
        <is>
          <t>BANDIRMA</t>
        </is>
      </c>
    </row>
    <row r="483">
      <c r="A483" s="4" t="n">
        <v>482</v>
      </c>
      <c r="B483" s="4" t="inlineStr">
        <is>
          <t>01228</t>
        </is>
      </c>
      <c r="C483" s="4" t="inlineStr">
        <is>
          <t>01228</t>
        </is>
      </c>
      <c r="D483" s="29" t="inlineStr">
        <is>
          <t>BEYZA YAĞMUR HAN</t>
        </is>
      </c>
      <c r="E483" s="4" t="inlineStr">
        <is>
          <t>Perşembe</t>
        </is>
      </c>
      <c r="F483" s="4" t="inlineStr">
        <is>
          <t>1.10.2026</t>
        </is>
      </c>
      <c r="G483" s="4" t="inlineStr">
        <is>
          <t>19:55</t>
        </is>
      </c>
      <c r="H483" s="4" t="inlineStr">
        <is>
          <t>1.10.2026</t>
        </is>
      </c>
      <c r="I483" s="4" t="inlineStr">
        <is>
          <t>07:56</t>
        </is>
      </c>
      <c r="J483" s="8" t="n">
        <v>10.5</v>
      </c>
      <c r="K483" s="8" t="n">
        <v>7.5</v>
      </c>
      <c r="L483" s="8" t="n">
        <v>3</v>
      </c>
      <c r="M483" s="29" t="inlineStr">
        <is>
          <t>HALİL DİĞRENCİ</t>
        </is>
      </c>
    </row>
    <row r="484">
      <c r="A484" s="4" t="n">
        <v>483</v>
      </c>
      <c r="B484" s="4" t="inlineStr">
        <is>
          <t>01228</t>
        </is>
      </c>
      <c r="C484" s="4" t="inlineStr">
        <is>
          <t>01228</t>
        </is>
      </c>
      <c r="D484" s="29" t="inlineStr">
        <is>
          <t>BEYZA YAĞMUR HAN</t>
        </is>
      </c>
      <c r="E484" s="4" t="inlineStr">
        <is>
          <t>Cuma</t>
        </is>
      </c>
      <c r="F484" s="4" t="inlineStr">
        <is>
          <t>2.10.2026</t>
        </is>
      </c>
      <c r="G484" s="4" t="inlineStr">
        <is>
          <t>19:47</t>
        </is>
      </c>
      <c r="H484" s="4" t="inlineStr">
        <is>
          <t>2.10.2026</t>
        </is>
      </c>
      <c r="I484" s="4" t="inlineStr">
        <is>
          <t>07:54</t>
        </is>
      </c>
      <c r="J484" s="8" t="n">
        <v>10.5</v>
      </c>
      <c r="K484" s="8" t="n">
        <v>7.5</v>
      </c>
      <c r="L484" s="8" t="n">
        <v>3</v>
      </c>
      <c r="M484" s="29" t="inlineStr">
        <is>
          <t>HALİL DİĞRENCİ</t>
        </is>
      </c>
    </row>
    <row r="485">
      <c r="A485" s="4" t="n">
        <v>484</v>
      </c>
      <c r="B485" s="4" t="inlineStr">
        <is>
          <t>01228</t>
        </is>
      </c>
      <c r="C485" s="4" t="inlineStr">
        <is>
          <t>01228</t>
        </is>
      </c>
      <c r="D485" s="29" t="inlineStr">
        <is>
          <t>BEYZA YAĞMUR HAN</t>
        </is>
      </c>
      <c r="E485" s="4" t="inlineStr">
        <is>
          <t>Cumartesi</t>
        </is>
      </c>
      <c r="F485" s="4" t="inlineStr">
        <is>
          <t>3.10.2026</t>
        </is>
      </c>
      <c r="G485" s="4" t="inlineStr">
        <is>
          <t>19:53</t>
        </is>
      </c>
      <c r="H485" s="4" t="inlineStr">
        <is>
          <t>3.10.2026</t>
        </is>
      </c>
      <c r="I485" s="4" t="inlineStr">
        <is>
          <t>07:56</t>
        </is>
      </c>
      <c r="J485" s="8" t="n">
        <v>10.5</v>
      </c>
      <c r="K485" s="8" t="n">
        <v>7.5</v>
      </c>
      <c r="L485" s="8" t="n">
        <v>3</v>
      </c>
      <c r="M485" s="29" t="inlineStr">
        <is>
          <t>HALİL DİĞRENCİ</t>
        </is>
      </c>
    </row>
    <row r="486">
      <c r="A486" s="4" t="n">
        <v>485</v>
      </c>
      <c r="B486" s="4" t="inlineStr">
        <is>
          <t>01228</t>
        </is>
      </c>
      <c r="C486" s="4" t="inlineStr">
        <is>
          <t>01228</t>
        </is>
      </c>
      <c r="D486" s="29" t="inlineStr">
        <is>
          <t>BEYZA YAĞMUR HAN</t>
        </is>
      </c>
      <c r="E486" s="4" t="inlineStr">
        <is>
          <t>Pazartesi</t>
        </is>
      </c>
      <c r="F486" s="4" t="inlineStr">
        <is>
          <t>5.10.2026</t>
        </is>
      </c>
      <c r="G486" s="4" t="inlineStr">
        <is>
          <t>19:48</t>
        </is>
      </c>
      <c r="H486" s="4" t="inlineStr">
        <is>
          <t>5.10.2026</t>
        </is>
      </c>
      <c r="I486" s="4" t="inlineStr">
        <is>
          <t>07:50</t>
        </is>
      </c>
      <c r="J486" s="8" t="n">
        <v>10.5</v>
      </c>
      <c r="K486" s="8" t="n">
        <v>7.5</v>
      </c>
      <c r="L486" s="8" t="n">
        <v>3</v>
      </c>
      <c r="M486" s="29" t="inlineStr">
        <is>
          <t>HALİL DİĞRENCİ</t>
        </is>
      </c>
    </row>
    <row r="487">
      <c r="A487" s="4" t="n">
        <v>486</v>
      </c>
      <c r="B487" s="4" t="inlineStr">
        <is>
          <t>01228</t>
        </is>
      </c>
      <c r="C487" s="4" t="inlineStr">
        <is>
          <t>01228</t>
        </is>
      </c>
      <c r="D487" s="29" t="inlineStr">
        <is>
          <t>BEYZA YAĞMUR HAN</t>
        </is>
      </c>
      <c r="E487" s="4" t="inlineStr">
        <is>
          <t>Salı</t>
        </is>
      </c>
      <c r="F487" s="4" t="inlineStr">
        <is>
          <t>6.10.2026</t>
        </is>
      </c>
      <c r="G487" s="4" t="inlineStr">
        <is>
          <t>19:53</t>
        </is>
      </c>
      <c r="H487" s="4" t="inlineStr">
        <is>
          <t>6.10.2026</t>
        </is>
      </c>
      <c r="I487" s="4" t="inlineStr">
        <is>
          <t>07:59</t>
        </is>
      </c>
      <c r="J487" s="8" t="n">
        <v>10.5</v>
      </c>
      <c r="K487" s="8" t="n">
        <v>7.5</v>
      </c>
      <c r="L487" s="8" t="n">
        <v>3</v>
      </c>
      <c r="M487" s="29" t="inlineStr">
        <is>
          <t>HALİL DİĞRENCİ</t>
        </is>
      </c>
    </row>
    <row r="488">
      <c r="A488" s="4" t="n">
        <v>487</v>
      </c>
      <c r="B488" s="4" t="inlineStr">
        <is>
          <t>01228</t>
        </is>
      </c>
      <c r="C488" s="4" t="inlineStr">
        <is>
          <t>01228</t>
        </is>
      </c>
      <c r="D488" s="29" t="inlineStr">
        <is>
          <t>BEYZA YAĞMUR HAN</t>
        </is>
      </c>
      <c r="E488" s="4" t="inlineStr">
        <is>
          <t>Perşembe</t>
        </is>
      </c>
      <c r="F488" s="4" t="inlineStr">
        <is>
          <t>8.10.2026</t>
        </is>
      </c>
      <c r="G488" s="4" t="inlineStr">
        <is>
          <t>20:02</t>
        </is>
      </c>
      <c r="H488" s="4" t="inlineStr">
        <is>
          <t>8.10.2026</t>
        </is>
      </c>
      <c r="I488" s="4" t="inlineStr">
        <is>
          <t>07:56</t>
        </is>
      </c>
      <c r="J488" s="8" t="n">
        <v>10.5</v>
      </c>
      <c r="K488" s="8" t="n">
        <v>7.5</v>
      </c>
      <c r="L488" s="8" t="n">
        <v>3</v>
      </c>
      <c r="M488" s="29" t="inlineStr">
        <is>
          <t>HALİL DİĞRENCİ</t>
        </is>
      </c>
    </row>
    <row r="489">
      <c r="A489" s="4" t="n">
        <v>488</v>
      </c>
      <c r="B489" s="4" t="inlineStr">
        <is>
          <t>01228</t>
        </is>
      </c>
      <c r="C489" s="4" t="inlineStr">
        <is>
          <t>01228</t>
        </is>
      </c>
      <c r="D489" s="29" t="inlineStr">
        <is>
          <t>BEYZA YAĞMUR HAN</t>
        </is>
      </c>
      <c r="E489" s="4" t="inlineStr">
        <is>
          <t>Cuma</t>
        </is>
      </c>
      <c r="F489" s="4" t="inlineStr">
        <is>
          <t>9.10.2026</t>
        </is>
      </c>
      <c r="G489" s="4" t="inlineStr">
        <is>
          <t>20:01</t>
        </is>
      </c>
      <c r="H489" s="4" t="inlineStr">
        <is>
          <t>9.10.2026</t>
        </is>
      </c>
      <c r="I489" s="4" t="inlineStr">
        <is>
          <t>07:50</t>
        </is>
      </c>
      <c r="J489" s="8" t="n">
        <v>10.5</v>
      </c>
      <c r="K489" s="8" t="n">
        <v>7.5</v>
      </c>
      <c r="L489" s="8" t="n">
        <v>3</v>
      </c>
      <c r="M489" s="29" t="inlineStr">
        <is>
          <t>HALİL DİĞRENCİ</t>
        </is>
      </c>
    </row>
    <row r="490">
      <c r="A490" s="4" t="n">
        <v>489</v>
      </c>
      <c r="B490" s="4" t="inlineStr">
        <is>
          <t>01228</t>
        </is>
      </c>
      <c r="C490" s="4" t="inlineStr">
        <is>
          <t>01228</t>
        </is>
      </c>
      <c r="D490" s="29" t="inlineStr">
        <is>
          <t>BEYZA YAĞMUR HAN</t>
        </is>
      </c>
      <c r="E490" s="4" t="inlineStr">
        <is>
          <t>Cumartesi</t>
        </is>
      </c>
      <c r="F490" s="4" t="inlineStr">
        <is>
          <t>10.10.2026</t>
        </is>
      </c>
      <c r="G490" s="4" t="inlineStr">
        <is>
          <t>19:53</t>
        </is>
      </c>
      <c r="H490" s="4" t="inlineStr">
        <is>
          <t>10.10.2026</t>
        </is>
      </c>
      <c r="I490" s="4" t="inlineStr">
        <is>
          <t>07:53</t>
        </is>
      </c>
      <c r="J490" s="8" t="n">
        <v>10.5</v>
      </c>
      <c r="K490" s="8" t="n">
        <v>7.5</v>
      </c>
      <c r="L490" s="8" t="n">
        <v>3</v>
      </c>
      <c r="M490" s="29" t="inlineStr">
        <is>
          <t>HALİL DİĞRENCİ</t>
        </is>
      </c>
    </row>
    <row r="491">
      <c r="A491" s="4" t="n">
        <v>490</v>
      </c>
      <c r="B491" s="4" t="inlineStr">
        <is>
          <t>01228</t>
        </is>
      </c>
      <c r="C491" s="4" t="inlineStr">
        <is>
          <t>01228</t>
        </is>
      </c>
      <c r="D491" s="29" t="inlineStr">
        <is>
          <t>BEYZA YAĞMUR HAN</t>
        </is>
      </c>
      <c r="E491" s="4" t="inlineStr">
        <is>
          <t>Pazartesi</t>
        </is>
      </c>
      <c r="F491" s="4" t="inlineStr">
        <is>
          <t>12.10.2026</t>
        </is>
      </c>
      <c r="G491" s="4" t="inlineStr">
        <is>
          <t>20:00</t>
        </is>
      </c>
      <c r="H491" s="4" t="inlineStr">
        <is>
          <t>12.10.2026</t>
        </is>
      </c>
      <c r="I491" s="4" t="inlineStr">
        <is>
          <t>07:53</t>
        </is>
      </c>
      <c r="J491" s="8" t="n">
        <v>10.5</v>
      </c>
      <c r="K491" s="8" t="n">
        <v>7.5</v>
      </c>
      <c r="L491" s="8" t="n">
        <v>3</v>
      </c>
      <c r="M491" s="29" t="inlineStr">
        <is>
          <t>HALİL DİĞRENCİ</t>
        </is>
      </c>
    </row>
    <row r="492">
      <c r="A492" s="4" t="n">
        <v>491</v>
      </c>
      <c r="B492" s="4" t="inlineStr">
        <is>
          <t>01228</t>
        </is>
      </c>
      <c r="C492" s="4" t="inlineStr">
        <is>
          <t>01228</t>
        </is>
      </c>
      <c r="D492" s="29" t="inlineStr">
        <is>
          <t>BEYZA YAĞMUR HAN</t>
        </is>
      </c>
      <c r="E492" s="4" t="inlineStr">
        <is>
          <t>Çarşamba</t>
        </is>
      </c>
      <c r="F492" s="4" t="inlineStr">
        <is>
          <t>14.10.2026</t>
        </is>
      </c>
      <c r="G492" s="4" t="inlineStr">
        <is>
          <t>20:07</t>
        </is>
      </c>
      <c r="H492" s="4" t="inlineStr">
        <is>
          <t>14.10.2026</t>
        </is>
      </c>
      <c r="I492" s="4" t="inlineStr">
        <is>
          <t>07:57</t>
        </is>
      </c>
      <c r="J492" s="8" t="n">
        <v>10.5</v>
      </c>
      <c r="K492" s="8" t="n">
        <v>7.5</v>
      </c>
      <c r="L492" s="8" t="n">
        <v>3</v>
      </c>
      <c r="M492" s="29" t="inlineStr">
        <is>
          <t>HALİL DİĞRENCİ</t>
        </is>
      </c>
    </row>
    <row r="493">
      <c r="A493" s="4" t="n">
        <v>492</v>
      </c>
      <c r="B493" s="4" t="inlineStr">
        <is>
          <t>01228</t>
        </is>
      </c>
      <c r="C493" s="4" t="inlineStr">
        <is>
          <t>01228</t>
        </is>
      </c>
      <c r="D493" s="29" t="inlineStr">
        <is>
          <t>BEYZA YAĞMUR HAN</t>
        </is>
      </c>
      <c r="E493" s="4" t="inlineStr">
        <is>
          <t>Perşembe</t>
        </is>
      </c>
      <c r="F493" s="4" t="inlineStr">
        <is>
          <t>15.10.2026</t>
        </is>
      </c>
      <c r="G493" s="4" t="inlineStr">
        <is>
          <t>19:52</t>
        </is>
      </c>
      <c r="H493" s="4" t="inlineStr">
        <is>
          <t>15.10.2026</t>
        </is>
      </c>
      <c r="I493" s="4" t="inlineStr">
        <is>
          <t>07:55</t>
        </is>
      </c>
      <c r="J493" s="8" t="n">
        <v>10.5</v>
      </c>
      <c r="K493" s="8" t="n">
        <v>7.5</v>
      </c>
      <c r="L493" s="8" t="n">
        <v>3</v>
      </c>
      <c r="M493" s="29" t="inlineStr">
        <is>
          <t>HALİL DİĞRENCİ</t>
        </is>
      </c>
    </row>
    <row r="494">
      <c r="A494" s="4" t="n">
        <v>493</v>
      </c>
      <c r="B494" s="4" t="inlineStr">
        <is>
          <t>01228</t>
        </is>
      </c>
      <c r="C494" s="4" t="inlineStr">
        <is>
          <t>01228</t>
        </is>
      </c>
      <c r="D494" s="29" t="inlineStr">
        <is>
          <t>BEYZA YAĞMUR HAN</t>
        </is>
      </c>
      <c r="E494" s="4" t="inlineStr">
        <is>
          <t>Pazartesi</t>
        </is>
      </c>
      <c r="F494" s="4" t="inlineStr">
        <is>
          <t>19.10.2026</t>
        </is>
      </c>
      <c r="G494" s="4" t="inlineStr">
        <is>
          <t>20:13</t>
        </is>
      </c>
      <c r="H494" s="4" t="inlineStr">
        <is>
          <t>19.10.2026</t>
        </is>
      </c>
      <c r="I494" s="4" t="inlineStr">
        <is>
          <t>07:56</t>
        </is>
      </c>
      <c r="J494" s="8" t="n">
        <v>10.5</v>
      </c>
      <c r="K494" s="8" t="n">
        <v>7.5</v>
      </c>
      <c r="L494" s="8" t="n">
        <v>3</v>
      </c>
      <c r="M494" s="29" t="inlineStr">
        <is>
          <t>HALİL DİĞRENCİ</t>
        </is>
      </c>
    </row>
    <row r="495">
      <c r="A495" s="4" t="n">
        <v>494</v>
      </c>
      <c r="B495" s="4" t="inlineStr">
        <is>
          <t>01339</t>
        </is>
      </c>
      <c r="C495" s="4" t="inlineStr">
        <is>
          <t>01339</t>
        </is>
      </c>
      <c r="D495" s="29" t="inlineStr">
        <is>
          <t>BİLGİNUR SÜMER</t>
        </is>
      </c>
      <c r="E495" s="4" t="inlineStr">
        <is>
          <t>Perşembe</t>
        </is>
      </c>
      <c r="F495" s="4" t="inlineStr">
        <is>
          <t>1.10.2026</t>
        </is>
      </c>
      <c r="G495" s="4" t="inlineStr">
        <is>
          <t>07:52</t>
        </is>
      </c>
      <c r="H495" s="4" t="inlineStr">
        <is>
          <t>1.10.2026</t>
        </is>
      </c>
      <c r="I495" s="4" t="inlineStr">
        <is>
          <t>17:32</t>
        </is>
      </c>
      <c r="J495" s="8" t="n">
        <v>8</v>
      </c>
      <c r="K495" s="8" t="n">
        <v>7.5</v>
      </c>
      <c r="L495" s="8" t="n">
        <v>0.5</v>
      </c>
      <c r="M495" s="29" t="inlineStr">
        <is>
          <t>BALIKESİR</t>
        </is>
      </c>
    </row>
    <row r="496">
      <c r="A496" s="4" t="n">
        <v>495</v>
      </c>
      <c r="B496" s="4" t="inlineStr">
        <is>
          <t>01339</t>
        </is>
      </c>
      <c r="C496" s="4" t="inlineStr">
        <is>
          <t>01339</t>
        </is>
      </c>
      <c r="D496" s="29" t="inlineStr">
        <is>
          <t>BİLGİNUR SÜMER</t>
        </is>
      </c>
      <c r="E496" s="4" t="inlineStr">
        <is>
          <t>Cumartesi</t>
        </is>
      </c>
      <c r="F496" s="4" t="inlineStr">
        <is>
          <t>3.10.2026</t>
        </is>
      </c>
      <c r="G496" s="4" t="inlineStr">
        <is>
          <t>07:57</t>
        </is>
      </c>
      <c r="H496" s="4" t="inlineStr">
        <is>
          <t>3.10.2026</t>
        </is>
      </c>
      <c r="I496" s="4" t="inlineStr">
        <is>
          <t>17:40</t>
        </is>
      </c>
      <c r="J496" s="8" t="n">
        <v>8</v>
      </c>
      <c r="K496" s="8" t="n">
        <v>7.5</v>
      </c>
      <c r="L496" s="8" t="n">
        <v>0.5</v>
      </c>
      <c r="M496" s="29" t="inlineStr">
        <is>
          <t>BALIKESİR</t>
        </is>
      </c>
    </row>
    <row r="497">
      <c r="A497" s="4" t="n">
        <v>496</v>
      </c>
      <c r="B497" s="4" t="inlineStr">
        <is>
          <t>01339</t>
        </is>
      </c>
      <c r="C497" s="4" t="inlineStr">
        <is>
          <t>01339</t>
        </is>
      </c>
      <c r="D497" s="29" t="inlineStr">
        <is>
          <t>BİLGİNUR SÜMER</t>
        </is>
      </c>
      <c r="E497" s="4" t="inlineStr">
        <is>
          <t>Pazartesi</t>
        </is>
      </c>
      <c r="F497" s="4" t="inlineStr">
        <is>
          <t>5.10.2026</t>
        </is>
      </c>
      <c r="G497" s="4" t="inlineStr">
        <is>
          <t>07:54</t>
        </is>
      </c>
      <c r="H497" s="4" t="inlineStr">
        <is>
          <t>5.10.2026</t>
        </is>
      </c>
      <c r="I497" s="4" t="inlineStr">
        <is>
          <t>17:10</t>
        </is>
      </c>
      <c r="J497" s="8" t="n">
        <v>7.5</v>
      </c>
      <c r="K497" s="8" t="n">
        <v>7.5</v>
      </c>
      <c r="L497" s="8" t="n">
        <v>0</v>
      </c>
      <c r="M497" s="29" t="inlineStr">
        <is>
          <t>BALIKESİR</t>
        </is>
      </c>
    </row>
    <row r="498">
      <c r="A498" s="4" t="n">
        <v>497</v>
      </c>
      <c r="B498" s="4" t="inlineStr">
        <is>
          <t>01339</t>
        </is>
      </c>
      <c r="C498" s="4" t="inlineStr">
        <is>
          <t>01339</t>
        </is>
      </c>
      <c r="D498" s="29" t="inlineStr">
        <is>
          <t>BİLGİNUR SÜMER</t>
        </is>
      </c>
      <c r="E498" s="4" t="inlineStr">
        <is>
          <t>Salı</t>
        </is>
      </c>
      <c r="F498" s="4" t="inlineStr">
        <is>
          <t>6.10.2026</t>
        </is>
      </c>
      <c r="G498" s="4" t="inlineStr">
        <is>
          <t>07:52</t>
        </is>
      </c>
      <c r="H498" s="4" t="inlineStr">
        <is>
          <t>6.10.2026</t>
        </is>
      </c>
      <c r="I498" s="4" t="inlineStr">
        <is>
          <t>17:44</t>
        </is>
      </c>
      <c r="J498" s="8" t="n">
        <v>8</v>
      </c>
      <c r="K498" s="8" t="n">
        <v>7.5</v>
      </c>
      <c r="L498" s="8" t="n">
        <v>0.5</v>
      </c>
      <c r="M498" s="29" t="inlineStr">
        <is>
          <t>BALIKESİR</t>
        </is>
      </c>
    </row>
    <row r="499">
      <c r="A499" s="4" t="n">
        <v>498</v>
      </c>
      <c r="B499" s="4" t="inlineStr">
        <is>
          <t>01339</t>
        </is>
      </c>
      <c r="C499" s="4" t="inlineStr">
        <is>
          <t>01339</t>
        </is>
      </c>
      <c r="D499" s="29" t="inlineStr">
        <is>
          <t>BİLGİNUR SÜMER</t>
        </is>
      </c>
      <c r="E499" s="4" t="inlineStr">
        <is>
          <t>Cumartesi</t>
        </is>
      </c>
      <c r="F499" s="4" t="inlineStr">
        <is>
          <t>10.10.2026</t>
        </is>
      </c>
      <c r="G499" s="4" t="inlineStr">
        <is>
          <t>07:54</t>
        </is>
      </c>
      <c r="H499" s="4" t="inlineStr">
        <is>
          <t>10.10.2026</t>
        </is>
      </c>
      <c r="I499" s="4" t="inlineStr">
        <is>
          <t>18:09</t>
        </is>
      </c>
      <c r="J499" s="8" t="n">
        <v>8.5</v>
      </c>
      <c r="K499" s="8" t="n">
        <v>7.5</v>
      </c>
      <c r="L499" s="8" t="n">
        <v>1</v>
      </c>
      <c r="M499" s="29" t="inlineStr">
        <is>
          <t>BALIKESİR</t>
        </is>
      </c>
    </row>
    <row r="500">
      <c r="A500" s="4" t="n">
        <v>499</v>
      </c>
      <c r="B500" s="4" t="inlineStr">
        <is>
          <t>01339</t>
        </is>
      </c>
      <c r="C500" s="4" t="inlineStr">
        <is>
          <t>01339</t>
        </is>
      </c>
      <c r="D500" s="29" t="inlineStr">
        <is>
          <t>BİLGİNUR SÜMER</t>
        </is>
      </c>
      <c r="E500" s="4" t="inlineStr">
        <is>
          <t>Pazartesi</t>
        </is>
      </c>
      <c r="F500" s="4" t="inlineStr">
        <is>
          <t>12.10.2026</t>
        </is>
      </c>
      <c r="G500" s="4" t="inlineStr">
        <is>
          <t>07:51</t>
        </is>
      </c>
      <c r="H500" s="4" t="inlineStr">
        <is>
          <t>12.10.2026</t>
        </is>
      </c>
      <c r="I500" s="4" t="inlineStr">
        <is>
          <t>17:02</t>
        </is>
      </c>
      <c r="J500" s="8" t="n">
        <v>7.5</v>
      </c>
      <c r="K500" s="8" t="n">
        <v>7.5</v>
      </c>
      <c r="L500" s="8" t="n">
        <v>0</v>
      </c>
      <c r="M500" s="29" t="inlineStr">
        <is>
          <t>BALIKESİR</t>
        </is>
      </c>
    </row>
    <row r="501">
      <c r="A501" s="4" t="n">
        <v>500</v>
      </c>
      <c r="B501" s="4" t="inlineStr">
        <is>
          <t>01339</t>
        </is>
      </c>
      <c r="C501" s="4" t="inlineStr">
        <is>
          <t>01339</t>
        </is>
      </c>
      <c r="D501" s="29" t="inlineStr">
        <is>
          <t>BİLGİNUR SÜMER</t>
        </is>
      </c>
      <c r="E501" s="4" t="inlineStr">
        <is>
          <t>Salı</t>
        </is>
      </c>
      <c r="F501" s="4" t="inlineStr">
        <is>
          <t>13.10.2026</t>
        </is>
      </c>
      <c r="G501" s="4" t="inlineStr">
        <is>
          <t>07:50</t>
        </is>
      </c>
      <c r="H501" s="4" t="inlineStr">
        <is>
          <t>13.10.2026</t>
        </is>
      </c>
      <c r="I501" s="4" t="inlineStr">
        <is>
          <t>17:01</t>
        </is>
      </c>
      <c r="J501" s="8" t="n">
        <v>7.5</v>
      </c>
      <c r="K501" s="8" t="n">
        <v>7.5</v>
      </c>
      <c r="L501" s="8" t="n">
        <v>0</v>
      </c>
      <c r="M501" s="29" t="inlineStr">
        <is>
          <t>BALIKESİR</t>
        </is>
      </c>
    </row>
    <row r="502">
      <c r="A502" s="4" t="n">
        <v>501</v>
      </c>
      <c r="B502" s="4" t="inlineStr">
        <is>
          <t>01339</t>
        </is>
      </c>
      <c r="C502" s="4" t="inlineStr">
        <is>
          <t>01339</t>
        </is>
      </c>
      <c r="D502" s="29" t="inlineStr">
        <is>
          <t>BİLGİNUR SÜMER</t>
        </is>
      </c>
      <c r="E502" s="4" t="inlineStr">
        <is>
          <t>Çarşamba</t>
        </is>
      </c>
      <c r="F502" s="4" t="inlineStr">
        <is>
          <t>14.10.2026</t>
        </is>
      </c>
      <c r="G502" s="4" t="inlineStr">
        <is>
          <t>07:51</t>
        </is>
      </c>
      <c r="H502" s="4" t="inlineStr">
        <is>
          <t>14.10.2026</t>
        </is>
      </c>
      <c r="I502" s="4" t="inlineStr">
        <is>
          <t>18:07</t>
        </is>
      </c>
      <c r="J502" s="8" t="n">
        <v>8.5</v>
      </c>
      <c r="K502" s="8" t="n">
        <v>7.5</v>
      </c>
      <c r="L502" s="8" t="n">
        <v>1</v>
      </c>
      <c r="M502" s="29" t="inlineStr">
        <is>
          <t>BALIKESİR</t>
        </is>
      </c>
    </row>
    <row r="503">
      <c r="A503" s="4" t="n">
        <v>502</v>
      </c>
      <c r="B503" s="4" t="inlineStr">
        <is>
          <t>01339</t>
        </is>
      </c>
      <c r="C503" s="4" t="inlineStr">
        <is>
          <t>01339</t>
        </is>
      </c>
      <c r="D503" s="29" t="inlineStr">
        <is>
          <t>BİLGİNUR SÜMER</t>
        </is>
      </c>
      <c r="E503" s="4" t="inlineStr">
        <is>
          <t>Perşembe</t>
        </is>
      </c>
      <c r="F503" s="4" t="inlineStr">
        <is>
          <t>15.10.2026</t>
        </is>
      </c>
      <c r="G503" s="4" t="inlineStr">
        <is>
          <t>07:54</t>
        </is>
      </c>
      <c r="H503" s="4" t="inlineStr">
        <is>
          <t>15.10.2026</t>
        </is>
      </c>
      <c r="I503" s="4" t="inlineStr">
        <is>
          <t>17:03</t>
        </is>
      </c>
      <c r="J503" s="8" t="n">
        <v>7.5</v>
      </c>
      <c r="K503" s="8" t="n">
        <v>7.5</v>
      </c>
      <c r="L503" s="8" t="n">
        <v>0</v>
      </c>
      <c r="M503" s="29" t="inlineStr">
        <is>
          <t>BALIKESİR</t>
        </is>
      </c>
    </row>
    <row r="504">
      <c r="A504" s="4" t="n">
        <v>503</v>
      </c>
      <c r="B504" s="4" t="inlineStr">
        <is>
          <t>01339</t>
        </is>
      </c>
      <c r="C504" s="4" t="inlineStr">
        <is>
          <t>01339</t>
        </is>
      </c>
      <c r="D504" s="29" t="inlineStr">
        <is>
          <t>BİLGİNUR SÜMER</t>
        </is>
      </c>
      <c r="E504" s="4" t="inlineStr">
        <is>
          <t>Cuma</t>
        </is>
      </c>
      <c r="F504" s="4" t="inlineStr">
        <is>
          <t>16.10.2026</t>
        </is>
      </c>
      <c r="G504" s="4" t="inlineStr">
        <is>
          <t>07:49</t>
        </is>
      </c>
      <c r="H504" s="4" t="inlineStr">
        <is>
          <t>16.10.2026</t>
        </is>
      </c>
      <c r="I504" s="4" t="inlineStr">
        <is>
          <t>17:23</t>
        </is>
      </c>
      <c r="J504" s="8" t="n">
        <v>8</v>
      </c>
      <c r="K504" s="8" t="n">
        <v>7.5</v>
      </c>
      <c r="L504" s="8" t="n">
        <v>0.5</v>
      </c>
      <c r="M504" s="29" t="inlineStr">
        <is>
          <t>BALIKESİR</t>
        </is>
      </c>
    </row>
    <row r="505">
      <c r="A505" s="4" t="n">
        <v>504</v>
      </c>
      <c r="B505" s="4" t="inlineStr">
        <is>
          <t>01339</t>
        </is>
      </c>
      <c r="C505" s="4" t="inlineStr">
        <is>
          <t>01339</t>
        </is>
      </c>
      <c r="D505" s="29" t="inlineStr">
        <is>
          <t>BİLGİNUR SÜMER</t>
        </is>
      </c>
      <c r="E505" s="4" t="inlineStr">
        <is>
          <t>Cumartesi</t>
        </is>
      </c>
      <c r="F505" s="4" t="inlineStr">
        <is>
          <t>17.10.2026</t>
        </is>
      </c>
      <c r="G505" s="4" t="inlineStr">
        <is>
          <t>07:58</t>
        </is>
      </c>
      <c r="H505" s="4" t="inlineStr">
        <is>
          <t>17.10.2026</t>
        </is>
      </c>
      <c r="I505" s="4" t="inlineStr">
        <is>
          <t>17:53</t>
        </is>
      </c>
      <c r="J505" s="8" t="n">
        <v>8.5</v>
      </c>
      <c r="K505" s="8" t="n">
        <v>7.5</v>
      </c>
      <c r="L505" s="8" t="n">
        <v>1</v>
      </c>
      <c r="M505" s="29" t="inlineStr">
        <is>
          <t>BALIKESİR</t>
        </is>
      </c>
    </row>
    <row r="506">
      <c r="A506" s="4" t="n">
        <v>505</v>
      </c>
      <c r="B506" s="4" t="inlineStr">
        <is>
          <t>01348</t>
        </is>
      </c>
      <c r="C506" s="4" t="inlineStr">
        <is>
          <t>01348</t>
        </is>
      </c>
      <c r="D506" s="29" t="inlineStr">
        <is>
          <t>BİLGİYE TOPAL</t>
        </is>
      </c>
      <c r="E506" s="4" t="inlineStr">
        <is>
          <t>Perşembe</t>
        </is>
      </c>
      <c r="F506" s="4" t="inlineStr">
        <is>
          <t>1.10.2026</t>
        </is>
      </c>
      <c r="G506" s="4" t="inlineStr">
        <is>
          <t>07:59</t>
        </is>
      </c>
      <c r="H506" s="4" t="inlineStr">
        <is>
          <t>1.10.2026</t>
        </is>
      </c>
      <c r="I506" s="4" t="inlineStr">
        <is>
          <t>17:28</t>
        </is>
      </c>
      <c r="J506" s="8" t="n">
        <v>8</v>
      </c>
      <c r="K506" s="8" t="n">
        <v>7.5</v>
      </c>
      <c r="L506" s="8" t="n">
        <v>0.5</v>
      </c>
      <c r="M506" s="29" t="inlineStr">
        <is>
          <t>GÜVEN MUSTAFAKEMALPAŞA</t>
        </is>
      </c>
    </row>
    <row r="507">
      <c r="A507" s="4" t="n">
        <v>506</v>
      </c>
      <c r="B507" s="4" t="inlineStr">
        <is>
          <t>01348</t>
        </is>
      </c>
      <c r="C507" s="4" t="inlineStr">
        <is>
          <t>01348</t>
        </is>
      </c>
      <c r="D507" s="29" t="inlineStr">
        <is>
          <t>BİLGİYE TOPAL</t>
        </is>
      </c>
      <c r="E507" s="4" t="inlineStr">
        <is>
          <t>Cuma</t>
        </is>
      </c>
      <c r="F507" s="4" t="inlineStr">
        <is>
          <t>2.10.2026</t>
        </is>
      </c>
      <c r="G507" s="4" t="inlineStr">
        <is>
          <t>07:57</t>
        </is>
      </c>
      <c r="H507" s="4" t="inlineStr">
        <is>
          <t>2.10.2026</t>
        </is>
      </c>
      <c r="I507" s="4" t="inlineStr">
        <is>
          <t>17:42</t>
        </is>
      </c>
      <c r="J507" s="8" t="n">
        <v>8</v>
      </c>
      <c r="K507" s="8" t="n">
        <v>7.5</v>
      </c>
      <c r="L507" s="8" t="n">
        <v>0.5</v>
      </c>
      <c r="M507" s="29" t="inlineStr">
        <is>
          <t>GÜVEN MUSTAFAKEMALPAŞA</t>
        </is>
      </c>
    </row>
    <row r="508">
      <c r="A508" s="4" t="n">
        <v>507</v>
      </c>
      <c r="B508" s="4" t="inlineStr">
        <is>
          <t>01348</t>
        </is>
      </c>
      <c r="C508" s="4" t="inlineStr">
        <is>
          <t>01348</t>
        </is>
      </c>
      <c r="D508" s="29" t="inlineStr">
        <is>
          <t>BİLGİYE TOPAL</t>
        </is>
      </c>
      <c r="E508" s="4" t="inlineStr">
        <is>
          <t>Cumartesi</t>
        </is>
      </c>
      <c r="F508" s="4" t="inlineStr">
        <is>
          <t>3.10.2026</t>
        </is>
      </c>
      <c r="G508" s="4" t="inlineStr">
        <is>
          <t>07:49</t>
        </is>
      </c>
      <c r="H508" s="4" t="inlineStr">
        <is>
          <t>3.10.2026</t>
        </is>
      </c>
      <c r="I508" s="4" t="inlineStr">
        <is>
          <t>17:32</t>
        </is>
      </c>
      <c r="J508" s="8" t="n">
        <v>8</v>
      </c>
      <c r="K508" s="8" t="n">
        <v>7.5</v>
      </c>
      <c r="L508" s="8" t="n">
        <v>0.5</v>
      </c>
      <c r="M508" s="29" t="inlineStr">
        <is>
          <t>GÜVEN MUSTAFAKEMALPAŞA</t>
        </is>
      </c>
    </row>
    <row r="509">
      <c r="A509" s="4" t="n">
        <v>508</v>
      </c>
      <c r="B509" s="4" t="inlineStr">
        <is>
          <t>01348</t>
        </is>
      </c>
      <c r="C509" s="4" t="inlineStr">
        <is>
          <t>01348</t>
        </is>
      </c>
      <c r="D509" s="29" t="inlineStr">
        <is>
          <t>BİLGİYE TOPAL</t>
        </is>
      </c>
      <c r="E509" s="4" t="inlineStr">
        <is>
          <t>Salı</t>
        </is>
      </c>
      <c r="F509" s="4" t="inlineStr">
        <is>
          <t>6.10.2026</t>
        </is>
      </c>
      <c r="G509" s="4" t="inlineStr">
        <is>
          <t>08:01</t>
        </is>
      </c>
      <c r="H509" s="4" t="inlineStr">
        <is>
          <t>6.10.2026</t>
        </is>
      </c>
      <c r="I509" s="4" t="inlineStr">
        <is>
          <t>17:38</t>
        </is>
      </c>
      <c r="J509" s="8" t="n">
        <v>8</v>
      </c>
      <c r="K509" s="8" t="n">
        <v>7.5</v>
      </c>
      <c r="L509" s="8" t="n">
        <v>0.5</v>
      </c>
      <c r="M509" s="29" t="inlineStr">
        <is>
          <t>GÜVEN MUSTAFAKEMALPAŞA</t>
        </is>
      </c>
    </row>
    <row r="510">
      <c r="A510" s="4" t="n">
        <v>509</v>
      </c>
      <c r="B510" s="4" t="inlineStr">
        <is>
          <t>01348</t>
        </is>
      </c>
      <c r="C510" s="4" t="inlineStr">
        <is>
          <t>01348</t>
        </is>
      </c>
      <c r="D510" s="29" t="inlineStr">
        <is>
          <t>BİLGİYE TOPAL</t>
        </is>
      </c>
      <c r="E510" s="4" t="inlineStr">
        <is>
          <t>Çarşamba</t>
        </is>
      </c>
      <c r="F510" s="4" t="inlineStr">
        <is>
          <t>7.10.2026</t>
        </is>
      </c>
      <c r="G510" s="4" t="inlineStr">
        <is>
          <t>07:53</t>
        </is>
      </c>
      <c r="H510" s="4" t="inlineStr">
        <is>
          <t>7.10.2026</t>
        </is>
      </c>
      <c r="I510" s="4" t="inlineStr">
        <is>
          <t>17:19</t>
        </is>
      </c>
      <c r="J510" s="8" t="n">
        <v>7.5</v>
      </c>
      <c r="K510" s="8" t="n">
        <v>7.5</v>
      </c>
      <c r="L510" s="8" t="n">
        <v>0</v>
      </c>
      <c r="M510" s="29" t="inlineStr">
        <is>
          <t>GÜVEN MUSTAFAKEMALPAŞA</t>
        </is>
      </c>
    </row>
    <row r="511">
      <c r="A511" s="4" t="n">
        <v>510</v>
      </c>
      <c r="B511" s="4" t="inlineStr">
        <is>
          <t>01348</t>
        </is>
      </c>
      <c r="C511" s="4" t="inlineStr">
        <is>
          <t>01348</t>
        </is>
      </c>
      <c r="D511" s="29" t="inlineStr">
        <is>
          <t>BİLGİYE TOPAL</t>
        </is>
      </c>
      <c r="E511" s="4" t="inlineStr">
        <is>
          <t>Perşembe</t>
        </is>
      </c>
      <c r="F511" s="4" t="inlineStr">
        <is>
          <t>8.10.2026</t>
        </is>
      </c>
      <c r="G511" s="4" t="inlineStr">
        <is>
          <t>07:55</t>
        </is>
      </c>
      <c r="H511" s="4" t="inlineStr">
        <is>
          <t>8.10.2026</t>
        </is>
      </c>
      <c r="I511" s="4" t="inlineStr">
        <is>
          <t>17:32</t>
        </is>
      </c>
      <c r="J511" s="8" t="n">
        <v>8</v>
      </c>
      <c r="K511" s="8" t="n">
        <v>7.5</v>
      </c>
      <c r="L511" s="8" t="n">
        <v>0.5</v>
      </c>
      <c r="M511" s="29" t="inlineStr">
        <is>
          <t>GÜVEN MUSTAFAKEMALPAŞA</t>
        </is>
      </c>
    </row>
    <row r="512">
      <c r="A512" s="4" t="n">
        <v>511</v>
      </c>
      <c r="B512" s="4" t="inlineStr">
        <is>
          <t>01348</t>
        </is>
      </c>
      <c r="C512" s="4" t="inlineStr">
        <is>
          <t>01348</t>
        </is>
      </c>
      <c r="D512" s="29" t="inlineStr">
        <is>
          <t>BİLGİYE TOPAL</t>
        </is>
      </c>
      <c r="E512" s="4" t="inlineStr">
        <is>
          <t>Cuma</t>
        </is>
      </c>
      <c r="F512" s="4" t="inlineStr">
        <is>
          <t>9.10.2026</t>
        </is>
      </c>
      <c r="G512" s="4" t="inlineStr">
        <is>
          <t>07:52</t>
        </is>
      </c>
      <c r="H512" s="4" t="inlineStr">
        <is>
          <t>9.10.2026</t>
        </is>
      </c>
      <c r="I512" s="4" t="inlineStr">
        <is>
          <t>17:39</t>
        </is>
      </c>
      <c r="J512" s="8" t="n">
        <v>8</v>
      </c>
      <c r="K512" s="8" t="n">
        <v>7.5</v>
      </c>
      <c r="L512" s="8" t="n">
        <v>0.5</v>
      </c>
      <c r="M512" s="29" t="inlineStr">
        <is>
          <t>GÜVEN MUSTAFAKEMALPAŞA</t>
        </is>
      </c>
    </row>
    <row r="513">
      <c r="A513" s="4" t="n">
        <v>512</v>
      </c>
      <c r="B513" s="4" t="inlineStr">
        <is>
          <t>01348</t>
        </is>
      </c>
      <c r="C513" s="4" t="inlineStr">
        <is>
          <t>01348</t>
        </is>
      </c>
      <c r="D513" s="29" t="inlineStr">
        <is>
          <t>BİLGİYE TOPAL</t>
        </is>
      </c>
      <c r="E513" s="4" t="inlineStr">
        <is>
          <t>Cumartesi</t>
        </is>
      </c>
      <c r="F513" s="4" t="inlineStr">
        <is>
          <t>10.10.2026</t>
        </is>
      </c>
      <c r="G513" s="4" t="inlineStr">
        <is>
          <t>07:49</t>
        </is>
      </c>
      <c r="H513" s="4" t="inlineStr">
        <is>
          <t>10.10.2026</t>
        </is>
      </c>
      <c r="I513" s="4" t="inlineStr">
        <is>
          <t>18:07</t>
        </is>
      </c>
      <c r="J513" s="8" t="n">
        <v>8.5</v>
      </c>
      <c r="K513" s="8" t="n">
        <v>7.5</v>
      </c>
      <c r="L513" s="8" t="n">
        <v>1</v>
      </c>
      <c r="M513" s="29" t="inlineStr">
        <is>
          <t>GÜVEN MUSTAFAKEMALPAŞA</t>
        </is>
      </c>
    </row>
    <row r="514">
      <c r="A514" s="4" t="n">
        <v>513</v>
      </c>
      <c r="B514" s="4" t="inlineStr">
        <is>
          <t>01348</t>
        </is>
      </c>
      <c r="C514" s="4" t="inlineStr">
        <is>
          <t>01348</t>
        </is>
      </c>
      <c r="D514" s="29" t="inlineStr">
        <is>
          <t>BİLGİYE TOPAL</t>
        </is>
      </c>
      <c r="E514" s="4" t="inlineStr">
        <is>
          <t>Pazartesi</t>
        </is>
      </c>
      <c r="F514" s="4" t="inlineStr">
        <is>
          <t>12.10.2026</t>
        </is>
      </c>
      <c r="G514" s="4" t="inlineStr">
        <is>
          <t>07:53</t>
        </is>
      </c>
      <c r="H514" s="4" t="inlineStr">
        <is>
          <t>12.10.2026</t>
        </is>
      </c>
      <c r="I514" s="4" t="inlineStr">
        <is>
          <t>17:03</t>
        </is>
      </c>
      <c r="J514" s="8" t="n">
        <v>7.5</v>
      </c>
      <c r="K514" s="8" t="n">
        <v>7.5</v>
      </c>
      <c r="L514" s="8" t="n">
        <v>0</v>
      </c>
      <c r="M514" s="29" t="inlineStr">
        <is>
          <t>GÜVEN MUSTAFAKEMALPAŞA</t>
        </is>
      </c>
    </row>
    <row r="515">
      <c r="A515" s="4" t="n">
        <v>514</v>
      </c>
      <c r="B515" s="4" t="inlineStr">
        <is>
          <t>01348</t>
        </is>
      </c>
      <c r="C515" s="4" t="inlineStr">
        <is>
          <t>01348</t>
        </is>
      </c>
      <c r="D515" s="29" t="inlineStr">
        <is>
          <t>BİLGİYE TOPAL</t>
        </is>
      </c>
      <c r="E515" s="4" t="inlineStr">
        <is>
          <t>Salı</t>
        </is>
      </c>
      <c r="F515" s="4" t="inlineStr">
        <is>
          <t>13.10.2026</t>
        </is>
      </c>
      <c r="G515" s="4" t="inlineStr">
        <is>
          <t>07:51</t>
        </is>
      </c>
      <c r="H515" s="4" t="inlineStr">
        <is>
          <t>13.10.2026</t>
        </is>
      </c>
      <c r="I515" s="4" t="inlineStr">
        <is>
          <t>17:06</t>
        </is>
      </c>
      <c r="J515" s="8" t="n">
        <v>7.5</v>
      </c>
      <c r="K515" s="8" t="n">
        <v>7.5</v>
      </c>
      <c r="L515" s="8" t="n">
        <v>0</v>
      </c>
      <c r="M515" s="29" t="inlineStr">
        <is>
          <t>GÜVEN MUSTAFAKEMALPAŞA</t>
        </is>
      </c>
    </row>
    <row r="516">
      <c r="A516" s="4" t="n">
        <v>515</v>
      </c>
      <c r="B516" s="4" t="inlineStr">
        <is>
          <t>01348</t>
        </is>
      </c>
      <c r="C516" s="4" t="inlineStr">
        <is>
          <t>01348</t>
        </is>
      </c>
      <c r="D516" s="29" t="inlineStr">
        <is>
          <t>BİLGİYE TOPAL</t>
        </is>
      </c>
      <c r="E516" s="4" t="inlineStr">
        <is>
          <t>Çarşamba</t>
        </is>
      </c>
      <c r="F516" s="4" t="inlineStr">
        <is>
          <t>14.10.2026</t>
        </is>
      </c>
      <c r="G516" s="4" t="inlineStr">
        <is>
          <t>07:52</t>
        </is>
      </c>
      <c r="H516" s="4" t="inlineStr">
        <is>
          <t>14.10.2026</t>
        </is>
      </c>
      <c r="I516" s="4" t="inlineStr">
        <is>
          <t>18:01</t>
        </is>
      </c>
      <c r="J516" s="8" t="n">
        <v>8.5</v>
      </c>
      <c r="K516" s="8" t="n">
        <v>7.5</v>
      </c>
      <c r="L516" s="8" t="n">
        <v>1</v>
      </c>
      <c r="M516" s="29" t="inlineStr">
        <is>
          <t>GÜVEN MUSTAFAKEMALPAŞA</t>
        </is>
      </c>
    </row>
    <row r="517">
      <c r="A517" s="4" t="n">
        <v>516</v>
      </c>
      <c r="B517" s="4" t="inlineStr">
        <is>
          <t>01348</t>
        </is>
      </c>
      <c r="C517" s="4" t="inlineStr">
        <is>
          <t>01348</t>
        </is>
      </c>
      <c r="D517" s="29" t="inlineStr">
        <is>
          <t>BİLGİYE TOPAL</t>
        </is>
      </c>
      <c r="E517" s="4" t="inlineStr">
        <is>
          <t>Perşembe</t>
        </is>
      </c>
      <c r="F517" s="4" t="inlineStr">
        <is>
          <t>15.10.2026</t>
        </is>
      </c>
      <c r="G517" s="4" t="inlineStr">
        <is>
          <t>07:54</t>
        </is>
      </c>
      <c r="H517" s="4" t="inlineStr">
        <is>
          <t>15.10.2026</t>
        </is>
      </c>
      <c r="I517" s="4" t="inlineStr">
        <is>
          <t>17:10</t>
        </is>
      </c>
      <c r="J517" s="8" t="n">
        <v>7.5</v>
      </c>
      <c r="K517" s="8" t="n">
        <v>7.5</v>
      </c>
      <c r="L517" s="8" t="n">
        <v>0</v>
      </c>
      <c r="M517" s="29" t="inlineStr">
        <is>
          <t>GÜVEN MUSTAFAKEMALPAŞA</t>
        </is>
      </c>
    </row>
    <row r="518">
      <c r="A518" s="4" t="n">
        <v>517</v>
      </c>
      <c r="B518" s="4" t="inlineStr">
        <is>
          <t>01348</t>
        </is>
      </c>
      <c r="C518" s="4" t="inlineStr">
        <is>
          <t>01348</t>
        </is>
      </c>
      <c r="D518" s="29" t="inlineStr">
        <is>
          <t>BİLGİYE TOPAL</t>
        </is>
      </c>
      <c r="E518" s="4" t="inlineStr">
        <is>
          <t>Cuma</t>
        </is>
      </c>
      <c r="F518" s="4" t="inlineStr">
        <is>
          <t>16.10.2026</t>
        </is>
      </c>
      <c r="G518" s="4" t="inlineStr">
        <is>
          <t>07:52</t>
        </is>
      </c>
      <c r="H518" s="4" t="inlineStr">
        <is>
          <t>16.10.2026</t>
        </is>
      </c>
      <c r="I518" s="4" t="inlineStr">
        <is>
          <t>17:14</t>
        </is>
      </c>
      <c r="J518" s="8" t="n">
        <v>7.5</v>
      </c>
      <c r="K518" s="8" t="n">
        <v>7.5</v>
      </c>
      <c r="L518" s="8" t="n">
        <v>0</v>
      </c>
      <c r="M518" s="29" t="inlineStr">
        <is>
          <t>GÜVEN MUSTAFAKEMALPAŞA</t>
        </is>
      </c>
    </row>
    <row r="519">
      <c r="A519" s="4" t="n">
        <v>518</v>
      </c>
      <c r="B519" s="4" t="inlineStr">
        <is>
          <t>01348</t>
        </is>
      </c>
      <c r="C519" s="4" t="inlineStr">
        <is>
          <t>01348</t>
        </is>
      </c>
      <c r="D519" s="29" t="inlineStr">
        <is>
          <t>BİLGİYE TOPAL</t>
        </is>
      </c>
      <c r="E519" s="4" t="inlineStr">
        <is>
          <t>Cumartesi</t>
        </is>
      </c>
      <c r="F519" s="4" t="inlineStr">
        <is>
          <t>17.10.2026</t>
        </is>
      </c>
      <c r="G519" s="4" t="inlineStr">
        <is>
          <t>07:53</t>
        </is>
      </c>
      <c r="H519" s="4" t="inlineStr">
        <is>
          <t>17.10.2026</t>
        </is>
      </c>
      <c r="I519" s="4" t="inlineStr">
        <is>
          <t>17:49</t>
        </is>
      </c>
      <c r="J519" s="8" t="n">
        <v>8.5</v>
      </c>
      <c r="K519" s="8" t="n">
        <v>7.5</v>
      </c>
      <c r="L519" s="8" t="n">
        <v>1</v>
      </c>
      <c r="M519" s="29" t="inlineStr">
        <is>
          <t>GÜVEN MUSTAFAKEMALPAŞA</t>
        </is>
      </c>
    </row>
    <row r="520">
      <c r="A520" s="4" t="n">
        <v>519</v>
      </c>
      <c r="B520" s="4" t="inlineStr">
        <is>
          <t>01348</t>
        </is>
      </c>
      <c r="C520" s="4" t="inlineStr">
        <is>
          <t>01348</t>
        </is>
      </c>
      <c r="D520" s="29" t="inlineStr">
        <is>
          <t>BİLGİYE TOPAL</t>
        </is>
      </c>
      <c r="E520" s="4" t="inlineStr">
        <is>
          <t>Pazartesi</t>
        </is>
      </c>
      <c r="F520" s="4" t="inlineStr">
        <is>
          <t>19.10.2026</t>
        </is>
      </c>
      <c r="G520" s="4" t="inlineStr">
        <is>
          <t>07:50</t>
        </is>
      </c>
      <c r="H520" s="4" t="inlineStr">
        <is>
          <t>19.10.2026</t>
        </is>
      </c>
      <c r="I520" s="4" t="inlineStr">
        <is>
          <t>17:40</t>
        </is>
      </c>
      <c r="J520" s="8" t="n">
        <v>8</v>
      </c>
      <c r="K520" s="8" t="n">
        <v>7.5</v>
      </c>
      <c r="L520" s="8" t="n">
        <v>0.5</v>
      </c>
      <c r="M520" s="29" t="inlineStr">
        <is>
          <t>GÜVEN MUSTAFAKEMALPAŞA</t>
        </is>
      </c>
    </row>
    <row r="521">
      <c r="A521" s="4" t="n">
        <v>520</v>
      </c>
      <c r="B521" s="4" t="inlineStr">
        <is>
          <t>01348</t>
        </is>
      </c>
      <c r="C521" s="4" t="inlineStr">
        <is>
          <t>01348</t>
        </is>
      </c>
      <c r="D521" s="29" t="inlineStr">
        <is>
          <t>BİLGİYE TOPAL</t>
        </is>
      </c>
      <c r="E521" s="4" t="inlineStr">
        <is>
          <t>Salı</t>
        </is>
      </c>
      <c r="F521" s="4" t="inlineStr">
        <is>
          <t>20.10.2026</t>
        </is>
      </c>
      <c r="G521" s="4" t="inlineStr">
        <is>
          <t>07:52</t>
        </is>
      </c>
      <c r="H521" s="4" t="inlineStr">
        <is>
          <t>20.10.2026</t>
        </is>
      </c>
      <c r="I521" s="4" t="inlineStr">
        <is>
          <t>17:10</t>
        </is>
      </c>
      <c r="J521" s="8" t="n">
        <v>7.5</v>
      </c>
      <c r="K521" s="8" t="n">
        <v>7.5</v>
      </c>
      <c r="L521" s="8" t="n">
        <v>0</v>
      </c>
      <c r="M521" s="29" t="inlineStr">
        <is>
          <t>GÜVEN MUSTAFAKEMALPAŞA</t>
        </is>
      </c>
    </row>
    <row r="522">
      <c r="A522" s="4" t="n">
        <v>521</v>
      </c>
      <c r="B522" s="4" t="inlineStr">
        <is>
          <t>01170</t>
        </is>
      </c>
      <c r="C522" s="4" t="inlineStr">
        <is>
          <t>01170</t>
        </is>
      </c>
      <c r="D522" s="29" t="inlineStr">
        <is>
          <t>BUKET DÖNMEZ</t>
        </is>
      </c>
      <c r="E522" s="4" t="inlineStr">
        <is>
          <t>Perşembe</t>
        </is>
      </c>
      <c r="F522" s="4" t="inlineStr">
        <is>
          <t>1.10.2026</t>
        </is>
      </c>
      <c r="G522" s="4" t="inlineStr">
        <is>
          <t>07:58</t>
        </is>
      </c>
      <c r="H522" s="4" t="inlineStr">
        <is>
          <t>1.10.2026</t>
        </is>
      </c>
      <c r="I522" s="4" t="inlineStr">
        <is>
          <t>17:08</t>
        </is>
      </c>
      <c r="J522" s="8" t="n">
        <v>7.5</v>
      </c>
      <c r="K522" s="8" t="n">
        <v>7.5</v>
      </c>
      <c r="L522" s="8" t="n">
        <v>0</v>
      </c>
      <c r="M522" s="29" t="inlineStr">
        <is>
          <t>HALİL DİĞRENCİ</t>
        </is>
      </c>
    </row>
    <row r="523">
      <c r="A523" s="4" t="n">
        <v>522</v>
      </c>
      <c r="B523" s="4" t="inlineStr">
        <is>
          <t>01170</t>
        </is>
      </c>
      <c r="C523" s="4" t="inlineStr">
        <is>
          <t>01170</t>
        </is>
      </c>
      <c r="D523" s="29" t="inlineStr">
        <is>
          <t>BUKET DÖNMEZ</t>
        </is>
      </c>
      <c r="E523" s="4" t="inlineStr">
        <is>
          <t>Cuma</t>
        </is>
      </c>
      <c r="F523" s="4" t="inlineStr">
        <is>
          <t>2.10.2026</t>
        </is>
      </c>
      <c r="G523" s="4" t="inlineStr">
        <is>
          <t>08:00</t>
        </is>
      </c>
      <c r="H523" s="4" t="inlineStr">
        <is>
          <t>2.10.2026</t>
        </is>
      </c>
      <c r="I523" s="4" t="inlineStr">
        <is>
          <t>20:04</t>
        </is>
      </c>
      <c r="J523" s="8" t="n">
        <v>10.5</v>
      </c>
      <c r="K523" s="8" t="n">
        <v>7.5</v>
      </c>
      <c r="L523" s="8" t="n">
        <v>3</v>
      </c>
      <c r="M523" s="29" t="inlineStr">
        <is>
          <t>HALİL DİĞRENCİ</t>
        </is>
      </c>
    </row>
    <row r="524">
      <c r="A524" s="4" t="n">
        <v>523</v>
      </c>
      <c r="B524" s="4" t="inlineStr">
        <is>
          <t>01170</t>
        </is>
      </c>
      <c r="C524" s="4" t="inlineStr">
        <is>
          <t>01170</t>
        </is>
      </c>
      <c r="D524" s="29" t="inlineStr">
        <is>
          <t>BUKET DÖNMEZ</t>
        </is>
      </c>
      <c r="E524" s="4" t="inlineStr">
        <is>
          <t>Cumartesi</t>
        </is>
      </c>
      <c r="F524" s="4" t="inlineStr">
        <is>
          <t>3.10.2026</t>
        </is>
      </c>
      <c r="G524" s="4" t="inlineStr">
        <is>
          <t>08:03</t>
        </is>
      </c>
      <c r="H524" s="4" t="inlineStr">
        <is>
          <t>3.10.2026</t>
        </is>
      </c>
      <c r="I524" s="4" t="inlineStr">
        <is>
          <t>17:12</t>
        </is>
      </c>
      <c r="J524" s="8" t="n">
        <v>7.5</v>
      </c>
      <c r="K524" s="8" t="n">
        <v>7.5</v>
      </c>
      <c r="L524" s="8" t="n">
        <v>0</v>
      </c>
      <c r="M524" s="29" t="inlineStr">
        <is>
          <t>HALİL DİĞRENCİ</t>
        </is>
      </c>
    </row>
    <row r="525">
      <c r="A525" s="4" t="n">
        <v>524</v>
      </c>
      <c r="B525" s="4" t="inlineStr">
        <is>
          <t>01170</t>
        </is>
      </c>
      <c r="C525" s="4" t="inlineStr">
        <is>
          <t>01170</t>
        </is>
      </c>
      <c r="D525" s="29" t="inlineStr">
        <is>
          <t>BUKET DÖNMEZ</t>
        </is>
      </c>
      <c r="E525" s="4" t="inlineStr">
        <is>
          <t>Pazartesi</t>
        </is>
      </c>
      <c r="F525" s="4" t="inlineStr">
        <is>
          <t>5.10.2026</t>
        </is>
      </c>
      <c r="G525" s="4" t="inlineStr">
        <is>
          <t>08:00</t>
        </is>
      </c>
      <c r="H525" s="4" t="inlineStr">
        <is>
          <t>5.10.2026</t>
        </is>
      </c>
      <c r="I525" s="4" t="inlineStr">
        <is>
          <t>17:07</t>
        </is>
      </c>
      <c r="J525" s="8" t="n">
        <v>7.5</v>
      </c>
      <c r="K525" s="8" t="n">
        <v>7.5</v>
      </c>
      <c r="L525" s="8" t="n">
        <v>0</v>
      </c>
      <c r="M525" s="29" t="inlineStr">
        <is>
          <t>HALİL DİĞRENCİ</t>
        </is>
      </c>
    </row>
    <row r="526">
      <c r="A526" s="4" t="n">
        <v>525</v>
      </c>
      <c r="B526" s="4" t="inlineStr">
        <is>
          <t>01170</t>
        </is>
      </c>
      <c r="C526" s="4" t="inlineStr">
        <is>
          <t>01170</t>
        </is>
      </c>
      <c r="D526" s="29" t="inlineStr">
        <is>
          <t>BUKET DÖNMEZ</t>
        </is>
      </c>
      <c r="E526" s="4" t="inlineStr">
        <is>
          <t>Salı</t>
        </is>
      </c>
      <c r="F526" s="4" t="inlineStr">
        <is>
          <t>6.10.2026</t>
        </is>
      </c>
      <c r="G526" s="4" t="inlineStr">
        <is>
          <t>07:34</t>
        </is>
      </c>
      <c r="H526" s="4" t="inlineStr">
        <is>
          <t>6.10.2026</t>
        </is>
      </c>
      <c r="I526" s="4" t="inlineStr">
        <is>
          <t>17:09</t>
        </is>
      </c>
      <c r="J526" s="8" t="n">
        <v>7.5</v>
      </c>
      <c r="K526" s="8" t="n">
        <v>7.5</v>
      </c>
      <c r="L526" s="8" t="n">
        <v>0</v>
      </c>
      <c r="M526" s="29" t="inlineStr">
        <is>
          <t>HALİL DİĞRENCİ</t>
        </is>
      </c>
    </row>
    <row r="527">
      <c r="A527" s="4" t="n">
        <v>526</v>
      </c>
      <c r="B527" s="4" t="inlineStr">
        <is>
          <t>01170</t>
        </is>
      </c>
      <c r="C527" s="4" t="inlineStr">
        <is>
          <t>01170</t>
        </is>
      </c>
      <c r="D527" s="29" t="inlineStr">
        <is>
          <t>BUKET DÖNMEZ</t>
        </is>
      </c>
      <c r="E527" s="4" t="inlineStr">
        <is>
          <t>Çarşamba</t>
        </is>
      </c>
      <c r="F527" s="4" t="inlineStr">
        <is>
          <t>7.10.2026</t>
        </is>
      </c>
      <c r="G527" s="4" t="inlineStr">
        <is>
          <t>07:50</t>
        </is>
      </c>
      <c r="H527" s="4" t="inlineStr">
        <is>
          <t>7.10.2026</t>
        </is>
      </c>
      <c r="I527" s="4" t="inlineStr">
        <is>
          <t>17:26</t>
        </is>
      </c>
      <c r="J527" s="8" t="n">
        <v>8</v>
      </c>
      <c r="K527" s="8" t="n">
        <v>7.5</v>
      </c>
      <c r="L527" s="8" t="n">
        <v>0.5</v>
      </c>
      <c r="M527" s="29" t="inlineStr">
        <is>
          <t>HALİL DİĞRENCİ</t>
        </is>
      </c>
    </row>
    <row r="528">
      <c r="A528" s="4" t="n">
        <v>527</v>
      </c>
      <c r="B528" s="4" t="inlineStr">
        <is>
          <t>01170</t>
        </is>
      </c>
      <c r="C528" s="4" t="inlineStr">
        <is>
          <t>01170</t>
        </is>
      </c>
      <c r="D528" s="29" t="inlineStr">
        <is>
          <t>BUKET DÖNMEZ</t>
        </is>
      </c>
      <c r="E528" s="4" t="inlineStr">
        <is>
          <t>Perşembe</t>
        </is>
      </c>
      <c r="F528" s="4" t="inlineStr">
        <is>
          <t>8.10.2026</t>
        </is>
      </c>
      <c r="G528" s="4" t="inlineStr">
        <is>
          <t>07:58</t>
        </is>
      </c>
      <c r="H528" s="4" t="inlineStr">
        <is>
          <t>8.10.2026</t>
        </is>
      </c>
      <c r="I528" s="4" t="inlineStr">
        <is>
          <t>17:22</t>
        </is>
      </c>
      <c r="J528" s="8" t="n">
        <v>8</v>
      </c>
      <c r="K528" s="8" t="n">
        <v>7.5</v>
      </c>
      <c r="L528" s="8" t="n">
        <v>0.5</v>
      </c>
      <c r="M528" s="29" t="inlineStr">
        <is>
          <t>HALİL DİĞRENCİ</t>
        </is>
      </c>
    </row>
    <row r="529">
      <c r="A529" s="4" t="n">
        <v>528</v>
      </c>
      <c r="B529" s="4" t="inlineStr">
        <is>
          <t>01170</t>
        </is>
      </c>
      <c r="C529" s="4" t="inlineStr">
        <is>
          <t>01170</t>
        </is>
      </c>
      <c r="D529" s="29" t="inlineStr">
        <is>
          <t>BUKET DÖNMEZ</t>
        </is>
      </c>
      <c r="E529" s="4" t="inlineStr">
        <is>
          <t>Cuma</t>
        </is>
      </c>
      <c r="F529" s="4" t="inlineStr">
        <is>
          <t>9.10.2026</t>
        </is>
      </c>
      <c r="G529" s="4" t="inlineStr">
        <is>
          <t>07:57</t>
        </is>
      </c>
      <c r="H529" s="4" t="inlineStr">
        <is>
          <t>9.10.2026</t>
        </is>
      </c>
      <c r="I529" s="4" t="inlineStr">
        <is>
          <t>17:06</t>
        </is>
      </c>
      <c r="J529" s="8" t="n">
        <v>7.5</v>
      </c>
      <c r="K529" s="8" t="n">
        <v>7.5</v>
      </c>
      <c r="L529" s="8" t="n">
        <v>0</v>
      </c>
      <c r="M529" s="29" t="inlineStr">
        <is>
          <t>HALİL DİĞRENCİ</t>
        </is>
      </c>
    </row>
    <row r="530">
      <c r="A530" s="4" t="n">
        <v>529</v>
      </c>
      <c r="B530" s="4" t="inlineStr">
        <is>
          <t>01170</t>
        </is>
      </c>
      <c r="C530" s="4" t="inlineStr">
        <is>
          <t>01170</t>
        </is>
      </c>
      <c r="D530" s="29" t="inlineStr">
        <is>
          <t>BUKET DÖNMEZ</t>
        </is>
      </c>
      <c r="E530" s="4" t="inlineStr">
        <is>
          <t>Pazar</t>
        </is>
      </c>
      <c r="F530" s="4" t="inlineStr">
        <is>
          <t>11.10.2026</t>
        </is>
      </c>
      <c r="G530" s="4" t="inlineStr">
        <is>
          <t>07:55</t>
        </is>
      </c>
      <c r="H530" s="4" t="inlineStr">
        <is>
          <t>11.10.2026</t>
        </is>
      </c>
      <c r="I530" s="4" t="inlineStr">
        <is>
          <t>20:13</t>
        </is>
      </c>
      <c r="J530" s="8" t="n">
        <v>10.5</v>
      </c>
      <c r="K530" s="8" t="n">
        <v>7.5</v>
      </c>
      <c r="L530" s="8" t="n">
        <v>3</v>
      </c>
      <c r="M530" s="29" t="inlineStr">
        <is>
          <t>HALİL DİĞRENCİ</t>
        </is>
      </c>
    </row>
    <row r="531">
      <c r="A531" s="4" t="n">
        <v>530</v>
      </c>
      <c r="B531" s="4" t="inlineStr">
        <is>
          <t>01170</t>
        </is>
      </c>
      <c r="C531" s="4" t="inlineStr">
        <is>
          <t>01170</t>
        </is>
      </c>
      <c r="D531" s="29" t="inlineStr">
        <is>
          <t>BUKET DÖNMEZ</t>
        </is>
      </c>
      <c r="E531" s="4" t="inlineStr">
        <is>
          <t>Pazartesi</t>
        </is>
      </c>
      <c r="F531" s="4" t="inlineStr">
        <is>
          <t>12.10.2026</t>
        </is>
      </c>
      <c r="G531" s="4" t="inlineStr">
        <is>
          <t>08:02</t>
        </is>
      </c>
      <c r="H531" s="4" t="inlineStr">
        <is>
          <t>12.10.2026</t>
        </is>
      </c>
      <c r="I531" s="4" t="inlineStr">
        <is>
          <t>17:06</t>
        </is>
      </c>
      <c r="J531" s="8" t="n">
        <v>7.5</v>
      </c>
      <c r="K531" s="8" t="n">
        <v>7.5</v>
      </c>
      <c r="L531" s="8" t="n">
        <v>0</v>
      </c>
      <c r="M531" s="29" t="inlineStr">
        <is>
          <t>HALİL DİĞRENCİ</t>
        </is>
      </c>
    </row>
    <row r="532">
      <c r="A532" s="4" t="n">
        <v>531</v>
      </c>
      <c r="B532" s="4" t="inlineStr">
        <is>
          <t>01170</t>
        </is>
      </c>
      <c r="C532" s="4" t="inlineStr">
        <is>
          <t>01170</t>
        </is>
      </c>
      <c r="D532" s="29" t="inlineStr">
        <is>
          <t>BUKET DÖNMEZ</t>
        </is>
      </c>
      <c r="E532" s="4" t="inlineStr">
        <is>
          <t>Salı</t>
        </is>
      </c>
      <c r="F532" s="4" t="inlineStr">
        <is>
          <t>13.10.2026</t>
        </is>
      </c>
      <c r="G532" s="4" t="inlineStr">
        <is>
          <t>08:04</t>
        </is>
      </c>
      <c r="H532" s="4" t="inlineStr">
        <is>
          <t>13.10.2026</t>
        </is>
      </c>
      <c r="I532" s="4" t="inlineStr">
        <is>
          <t>-</t>
        </is>
      </c>
      <c r="J532" s="8" t="n">
        <v>7.5</v>
      </c>
      <c r="K532" s="8" t="n">
        <v>7.5</v>
      </c>
      <c r="L532" s="8" t="n">
        <v>0</v>
      </c>
      <c r="M532" s="29" t="inlineStr">
        <is>
          <t>HALİL DİĞRENCİ</t>
        </is>
      </c>
    </row>
    <row r="533">
      <c r="A533" s="4" t="n">
        <v>532</v>
      </c>
      <c r="B533" s="4" t="inlineStr">
        <is>
          <t>01170</t>
        </is>
      </c>
      <c r="C533" s="4" t="inlineStr">
        <is>
          <t>01170</t>
        </is>
      </c>
      <c r="D533" s="29" t="inlineStr">
        <is>
          <t>BUKET DÖNMEZ</t>
        </is>
      </c>
      <c r="E533" s="4" t="inlineStr">
        <is>
          <t>Çarşamba</t>
        </is>
      </c>
      <c r="F533" s="4" t="inlineStr">
        <is>
          <t>14.10.2026</t>
        </is>
      </c>
      <c r="G533" s="4" t="inlineStr">
        <is>
          <t>07:46</t>
        </is>
      </c>
      <c r="H533" s="4" t="inlineStr">
        <is>
          <t>14.10.2026</t>
        </is>
      </c>
      <c r="I533" s="4" t="inlineStr">
        <is>
          <t>17:09</t>
        </is>
      </c>
      <c r="J533" s="8" t="n">
        <v>7.5</v>
      </c>
      <c r="K533" s="8" t="n">
        <v>7.5</v>
      </c>
      <c r="L533" s="8" t="n">
        <v>0</v>
      </c>
      <c r="M533" s="29" t="inlineStr">
        <is>
          <t>HALİL DİĞRENCİ</t>
        </is>
      </c>
    </row>
    <row r="534">
      <c r="A534" s="4" t="n">
        <v>533</v>
      </c>
      <c r="B534" s="4" t="inlineStr">
        <is>
          <t>01170</t>
        </is>
      </c>
      <c r="C534" s="4" t="inlineStr">
        <is>
          <t>01170</t>
        </is>
      </c>
      <c r="D534" s="29" t="inlineStr">
        <is>
          <t>BUKET DÖNMEZ</t>
        </is>
      </c>
      <c r="E534" s="4" t="inlineStr">
        <is>
          <t>Perşembe</t>
        </is>
      </c>
      <c r="F534" s="4" t="inlineStr">
        <is>
          <t>15.10.2026</t>
        </is>
      </c>
      <c r="G534" s="4" t="inlineStr">
        <is>
          <t>07:46</t>
        </is>
      </c>
      <c r="H534" s="4" t="inlineStr">
        <is>
          <t>15.10.2026</t>
        </is>
      </c>
      <c r="I534" s="4" t="inlineStr">
        <is>
          <t>17:20</t>
        </is>
      </c>
      <c r="J534" s="8" t="n">
        <v>7.5</v>
      </c>
      <c r="K534" s="8" t="n">
        <v>7.5</v>
      </c>
      <c r="L534" s="8" t="n">
        <v>0</v>
      </c>
      <c r="M534" s="29" t="inlineStr">
        <is>
          <t>HALİL DİĞRENCİ</t>
        </is>
      </c>
    </row>
    <row r="535">
      <c r="A535" s="4" t="n">
        <v>534</v>
      </c>
      <c r="B535" s="4" t="inlineStr">
        <is>
          <t>01170</t>
        </is>
      </c>
      <c r="C535" s="4" t="inlineStr">
        <is>
          <t>01170</t>
        </is>
      </c>
      <c r="D535" s="29" t="inlineStr">
        <is>
          <t>BUKET DÖNMEZ</t>
        </is>
      </c>
      <c r="E535" s="4" t="inlineStr">
        <is>
          <t>Cumartesi</t>
        </is>
      </c>
      <c r="F535" s="4" t="inlineStr">
        <is>
          <t>17.10.2026</t>
        </is>
      </c>
      <c r="G535" s="4" t="inlineStr">
        <is>
          <t>07:56</t>
        </is>
      </c>
      <c r="H535" s="4" t="inlineStr">
        <is>
          <t>17.10.2026</t>
        </is>
      </c>
      <c r="I535" s="4" t="inlineStr">
        <is>
          <t>17:11</t>
        </is>
      </c>
      <c r="J535" s="8" t="n">
        <v>7.5</v>
      </c>
      <c r="K535" s="8" t="n">
        <v>7.5</v>
      </c>
      <c r="L535" s="8" t="n">
        <v>0</v>
      </c>
      <c r="M535" s="29" t="inlineStr">
        <is>
          <t>HALİL DİĞRENCİ</t>
        </is>
      </c>
    </row>
    <row r="536">
      <c r="A536" s="4" t="n">
        <v>535</v>
      </c>
      <c r="B536" s="4" t="inlineStr">
        <is>
          <t>01170</t>
        </is>
      </c>
      <c r="C536" s="4" t="inlineStr">
        <is>
          <t>01170</t>
        </is>
      </c>
      <c r="D536" s="29" t="inlineStr">
        <is>
          <t>BUKET DÖNMEZ</t>
        </is>
      </c>
      <c r="E536" s="4" t="inlineStr">
        <is>
          <t>Pazar</t>
        </is>
      </c>
      <c r="F536" s="4" t="inlineStr">
        <is>
          <t>18.10.2026</t>
        </is>
      </c>
      <c r="G536" s="4" t="inlineStr">
        <is>
          <t>07:40</t>
        </is>
      </c>
      <c r="H536" s="4" t="inlineStr">
        <is>
          <t>18.10.2026</t>
        </is>
      </c>
      <c r="I536" s="4" t="inlineStr">
        <is>
          <t>17:28</t>
        </is>
      </c>
      <c r="J536" s="8" t="n">
        <v>8</v>
      </c>
      <c r="K536" s="8" t="n">
        <v>7.5</v>
      </c>
      <c r="L536" s="8" t="n">
        <v>0.5</v>
      </c>
      <c r="M536" s="29" t="inlineStr">
        <is>
          <t>HALİL DİĞRENCİ</t>
        </is>
      </c>
    </row>
    <row r="537">
      <c r="A537" s="4" t="n">
        <v>536</v>
      </c>
      <c r="B537" s="4" t="inlineStr">
        <is>
          <t>01273</t>
        </is>
      </c>
      <c r="C537" s="4" t="inlineStr">
        <is>
          <t>01273</t>
        </is>
      </c>
      <c r="D537" s="29" t="inlineStr">
        <is>
          <t>BÜŞRA POLAT</t>
        </is>
      </c>
      <c r="E537" s="4" t="inlineStr">
        <is>
          <t>Cuma</t>
        </is>
      </c>
      <c r="F537" s="4" t="inlineStr">
        <is>
          <t>2.10.2026</t>
        </is>
      </c>
      <c r="G537" s="4" t="inlineStr">
        <is>
          <t>20:12</t>
        </is>
      </c>
      <c r="H537" s="4" t="inlineStr">
        <is>
          <t>2.10.2026</t>
        </is>
      </c>
      <c r="I537" s="4" t="inlineStr">
        <is>
          <t>08:02</t>
        </is>
      </c>
      <c r="J537" s="8" t="n">
        <v>10.5</v>
      </c>
      <c r="K537" s="8" t="n">
        <v>7.5</v>
      </c>
      <c r="L537" s="8" t="n">
        <v>3</v>
      </c>
      <c r="M537" s="29" t="inlineStr">
        <is>
          <t>GÜVEN TURİZM</t>
        </is>
      </c>
    </row>
    <row r="538">
      <c r="A538" s="4" t="n">
        <v>537</v>
      </c>
      <c r="B538" s="4" t="inlineStr">
        <is>
          <t>01273</t>
        </is>
      </c>
      <c r="C538" s="4" t="inlineStr">
        <is>
          <t>01273</t>
        </is>
      </c>
      <c r="D538" s="29" t="inlineStr">
        <is>
          <t>BÜŞRA POLAT</t>
        </is>
      </c>
      <c r="E538" s="4" t="inlineStr">
        <is>
          <t>Cumartesi</t>
        </is>
      </c>
      <c r="F538" s="4" t="inlineStr">
        <is>
          <t>3.10.2026</t>
        </is>
      </c>
      <c r="G538" s="4" t="inlineStr">
        <is>
          <t>19:55</t>
        </is>
      </c>
      <c r="H538" s="4" t="inlineStr">
        <is>
          <t>3.10.2026</t>
        </is>
      </c>
      <c r="I538" s="4" t="inlineStr">
        <is>
          <t>08:00</t>
        </is>
      </c>
      <c r="J538" s="8" t="n">
        <v>10.5</v>
      </c>
      <c r="K538" s="8" t="n">
        <v>7.5</v>
      </c>
      <c r="L538" s="8" t="n">
        <v>3</v>
      </c>
      <c r="M538" s="29" t="inlineStr">
        <is>
          <t>GÜVEN TURİZM</t>
        </is>
      </c>
    </row>
    <row r="539">
      <c r="A539" s="4" t="n">
        <v>538</v>
      </c>
      <c r="B539" s="4" t="inlineStr">
        <is>
          <t>01273</t>
        </is>
      </c>
      <c r="C539" s="4" t="inlineStr">
        <is>
          <t>01273</t>
        </is>
      </c>
      <c r="D539" s="29" t="inlineStr">
        <is>
          <t>BÜŞRA POLAT</t>
        </is>
      </c>
      <c r="E539" s="4" t="inlineStr">
        <is>
          <t>Pazartesi</t>
        </is>
      </c>
      <c r="F539" s="4" t="inlineStr">
        <is>
          <t>5.10.2026</t>
        </is>
      </c>
      <c r="G539" s="4" t="inlineStr">
        <is>
          <t>19:48</t>
        </is>
      </c>
      <c r="H539" s="4" t="inlineStr">
        <is>
          <t>5.10.2026</t>
        </is>
      </c>
      <c r="I539" s="4" t="inlineStr">
        <is>
          <t>08:01</t>
        </is>
      </c>
      <c r="J539" s="8" t="n">
        <v>10.5</v>
      </c>
      <c r="K539" s="8" t="n">
        <v>7.5</v>
      </c>
      <c r="L539" s="8" t="n">
        <v>3</v>
      </c>
      <c r="M539" s="29" t="inlineStr">
        <is>
          <t>GÜVEN TURİZM</t>
        </is>
      </c>
    </row>
    <row r="540">
      <c r="A540" s="4" t="n">
        <v>539</v>
      </c>
      <c r="B540" s="4" t="inlineStr">
        <is>
          <t>01273</t>
        </is>
      </c>
      <c r="C540" s="4" t="inlineStr">
        <is>
          <t>01273</t>
        </is>
      </c>
      <c r="D540" s="29" t="inlineStr">
        <is>
          <t>BÜŞRA POLAT</t>
        </is>
      </c>
      <c r="E540" s="4" t="inlineStr">
        <is>
          <t>Salı</t>
        </is>
      </c>
      <c r="F540" s="4" t="inlineStr">
        <is>
          <t>6.10.2026</t>
        </is>
      </c>
      <c r="G540" s="4" t="inlineStr">
        <is>
          <t>19:54</t>
        </is>
      </c>
      <c r="H540" s="4" t="inlineStr">
        <is>
          <t>6.10.2026</t>
        </is>
      </c>
      <c r="I540" s="4" t="inlineStr">
        <is>
          <t>08:03</t>
        </is>
      </c>
      <c r="J540" s="8" t="n">
        <v>10.5</v>
      </c>
      <c r="K540" s="8" t="n">
        <v>7.5</v>
      </c>
      <c r="L540" s="8" t="n">
        <v>3</v>
      </c>
      <c r="M540" s="29" t="inlineStr">
        <is>
          <t>GÜVEN TURİZM</t>
        </is>
      </c>
    </row>
    <row r="541">
      <c r="A541" s="4" t="n">
        <v>540</v>
      </c>
      <c r="B541" s="4" t="inlineStr">
        <is>
          <t>01273</t>
        </is>
      </c>
      <c r="C541" s="4" t="inlineStr">
        <is>
          <t>01273</t>
        </is>
      </c>
      <c r="D541" s="29" t="inlineStr">
        <is>
          <t>BÜŞRA POLAT</t>
        </is>
      </c>
      <c r="E541" s="4" t="inlineStr">
        <is>
          <t>Çarşamba</t>
        </is>
      </c>
      <c r="F541" s="4" t="inlineStr">
        <is>
          <t>7.10.2026</t>
        </is>
      </c>
      <c r="G541" s="4" t="inlineStr">
        <is>
          <t>19:52</t>
        </is>
      </c>
      <c r="H541" s="4" t="inlineStr">
        <is>
          <t>7.10.2026</t>
        </is>
      </c>
      <c r="I541" s="4" t="inlineStr">
        <is>
          <t>08:00</t>
        </is>
      </c>
      <c r="J541" s="8" t="n">
        <v>10.5</v>
      </c>
      <c r="K541" s="8" t="n">
        <v>7.5</v>
      </c>
      <c r="L541" s="8" t="n">
        <v>3</v>
      </c>
      <c r="M541" s="29" t="inlineStr">
        <is>
          <t>GÜVEN TURİZM</t>
        </is>
      </c>
    </row>
    <row r="542">
      <c r="A542" s="4" t="n">
        <v>541</v>
      </c>
      <c r="B542" s="4" t="inlineStr">
        <is>
          <t>01273</t>
        </is>
      </c>
      <c r="C542" s="4" t="inlineStr">
        <is>
          <t>01273</t>
        </is>
      </c>
      <c r="D542" s="29" t="inlineStr">
        <is>
          <t>BÜŞRA POLAT</t>
        </is>
      </c>
      <c r="E542" s="4" t="inlineStr">
        <is>
          <t>Perşembe</t>
        </is>
      </c>
      <c r="F542" s="4" t="inlineStr">
        <is>
          <t>8.10.2026</t>
        </is>
      </c>
      <c r="G542" s="4" t="inlineStr">
        <is>
          <t>20:03</t>
        </is>
      </c>
      <c r="H542" s="4" t="inlineStr">
        <is>
          <t>8.10.2026</t>
        </is>
      </c>
      <c r="I542" s="4" t="inlineStr">
        <is>
          <t>08:02</t>
        </is>
      </c>
      <c r="J542" s="8" t="n">
        <v>10.5</v>
      </c>
      <c r="K542" s="8" t="n">
        <v>7.5</v>
      </c>
      <c r="L542" s="8" t="n">
        <v>3</v>
      </c>
      <c r="M542" s="29" t="inlineStr">
        <is>
          <t>GÜVEN TURİZM</t>
        </is>
      </c>
    </row>
    <row r="543">
      <c r="A543" s="4" t="n">
        <v>542</v>
      </c>
      <c r="B543" s="4" t="inlineStr">
        <is>
          <t>01273</t>
        </is>
      </c>
      <c r="C543" s="4" t="inlineStr">
        <is>
          <t>01273</t>
        </is>
      </c>
      <c r="D543" s="29" t="inlineStr">
        <is>
          <t>BÜŞRA POLAT</t>
        </is>
      </c>
      <c r="E543" s="4" t="inlineStr">
        <is>
          <t>Pazartesi</t>
        </is>
      </c>
      <c r="F543" s="4" t="inlineStr">
        <is>
          <t>12.10.2026</t>
        </is>
      </c>
      <c r="G543" s="4" t="inlineStr">
        <is>
          <t>20:04</t>
        </is>
      </c>
      <c r="H543" s="4" t="inlineStr">
        <is>
          <t>12.10.2026</t>
        </is>
      </c>
      <c r="I543" s="4" t="inlineStr">
        <is>
          <t>08:07</t>
        </is>
      </c>
      <c r="J543" s="8" t="n">
        <v>10.5</v>
      </c>
      <c r="K543" s="8" t="n">
        <v>7.5</v>
      </c>
      <c r="L543" s="8" t="n">
        <v>3</v>
      </c>
      <c r="M543" s="29" t="inlineStr">
        <is>
          <t>GÜVEN TURİZM</t>
        </is>
      </c>
    </row>
    <row r="544">
      <c r="A544" s="4" t="n">
        <v>543</v>
      </c>
      <c r="B544" s="4" t="inlineStr">
        <is>
          <t>01273</t>
        </is>
      </c>
      <c r="C544" s="4" t="inlineStr">
        <is>
          <t>01273</t>
        </is>
      </c>
      <c r="D544" s="29" t="inlineStr">
        <is>
          <t>BÜŞRA POLAT</t>
        </is>
      </c>
      <c r="E544" s="4" t="inlineStr">
        <is>
          <t>Salı</t>
        </is>
      </c>
      <c r="F544" s="4" t="inlineStr">
        <is>
          <t>13.10.2026</t>
        </is>
      </c>
      <c r="G544" s="4" t="inlineStr">
        <is>
          <t>19:54</t>
        </is>
      </c>
      <c r="H544" s="4" t="inlineStr">
        <is>
          <t>13.10.2026</t>
        </is>
      </c>
      <c r="I544" s="4" t="inlineStr">
        <is>
          <t>08:03</t>
        </is>
      </c>
      <c r="J544" s="8" t="n">
        <v>10.5</v>
      </c>
      <c r="K544" s="8" t="n">
        <v>7.5</v>
      </c>
      <c r="L544" s="8" t="n">
        <v>3</v>
      </c>
      <c r="M544" s="29" t="inlineStr">
        <is>
          <t>GÜVEN TURİZM</t>
        </is>
      </c>
    </row>
    <row r="545">
      <c r="A545" s="4" t="n">
        <v>544</v>
      </c>
      <c r="B545" s="4" t="inlineStr">
        <is>
          <t>01273</t>
        </is>
      </c>
      <c r="C545" s="4" t="inlineStr">
        <is>
          <t>01273</t>
        </is>
      </c>
      <c r="D545" s="29" t="inlineStr">
        <is>
          <t>BÜŞRA POLAT</t>
        </is>
      </c>
      <c r="E545" s="4" t="inlineStr">
        <is>
          <t>Çarşamba</t>
        </is>
      </c>
      <c r="F545" s="4" t="inlineStr">
        <is>
          <t>14.10.2026</t>
        </is>
      </c>
      <c r="G545" s="4" t="inlineStr">
        <is>
          <t>20:04</t>
        </is>
      </c>
      <c r="H545" s="4" t="inlineStr">
        <is>
          <t>14.10.2026</t>
        </is>
      </c>
      <c r="I545" s="4" t="inlineStr">
        <is>
          <t>08:05</t>
        </is>
      </c>
      <c r="J545" s="8" t="n">
        <v>10.5</v>
      </c>
      <c r="K545" s="8" t="n">
        <v>7.5</v>
      </c>
      <c r="L545" s="8" t="n">
        <v>3</v>
      </c>
      <c r="M545" s="29" t="inlineStr">
        <is>
          <t>GÜVEN TURİZM</t>
        </is>
      </c>
    </row>
    <row r="546">
      <c r="A546" s="4" t="n">
        <v>545</v>
      </c>
      <c r="B546" s="4" t="inlineStr">
        <is>
          <t>01273</t>
        </is>
      </c>
      <c r="C546" s="4" t="inlineStr">
        <is>
          <t>01273</t>
        </is>
      </c>
      <c r="D546" s="29" t="inlineStr">
        <is>
          <t>BÜŞRA POLAT</t>
        </is>
      </c>
      <c r="E546" s="4" t="inlineStr">
        <is>
          <t>Perşembe</t>
        </is>
      </c>
      <c r="F546" s="4" t="inlineStr">
        <is>
          <t>15.10.2026</t>
        </is>
      </c>
      <c r="G546" s="4" t="inlineStr">
        <is>
          <t>19:52</t>
        </is>
      </c>
      <c r="H546" s="4" t="inlineStr">
        <is>
          <t>15.10.2026</t>
        </is>
      </c>
      <c r="I546" s="4" t="inlineStr">
        <is>
          <t>08:06</t>
        </is>
      </c>
      <c r="J546" s="8" t="n">
        <v>10.5</v>
      </c>
      <c r="K546" s="8" t="n">
        <v>7.5</v>
      </c>
      <c r="L546" s="8" t="n">
        <v>3</v>
      </c>
      <c r="M546" s="29" t="inlineStr">
        <is>
          <t>GÜVEN TURİZM</t>
        </is>
      </c>
    </row>
    <row r="547">
      <c r="A547" s="4" t="n">
        <v>546</v>
      </c>
      <c r="B547" s="4" t="inlineStr">
        <is>
          <t>01273</t>
        </is>
      </c>
      <c r="C547" s="4" t="inlineStr">
        <is>
          <t>01273</t>
        </is>
      </c>
      <c r="D547" s="29" t="inlineStr">
        <is>
          <t>BÜŞRA POLAT</t>
        </is>
      </c>
      <c r="E547" s="4" t="inlineStr">
        <is>
          <t>Pazartesi</t>
        </is>
      </c>
      <c r="F547" s="4" t="inlineStr">
        <is>
          <t>19.10.2026</t>
        </is>
      </c>
      <c r="G547" s="4" t="inlineStr">
        <is>
          <t>20:13</t>
        </is>
      </c>
      <c r="H547" s="4" t="inlineStr">
        <is>
          <t>19.10.2026</t>
        </is>
      </c>
      <c r="I547" s="4" t="inlineStr">
        <is>
          <t>08:04</t>
        </is>
      </c>
      <c r="J547" s="8" t="n">
        <v>10.5</v>
      </c>
      <c r="K547" s="8" t="n">
        <v>7.5</v>
      </c>
      <c r="L547" s="8" t="n">
        <v>3</v>
      </c>
      <c r="M547" s="29" t="inlineStr">
        <is>
          <t>GÜVEN TURİZM</t>
        </is>
      </c>
    </row>
    <row r="548">
      <c r="A548" s="4" t="n">
        <v>547</v>
      </c>
      <c r="B548" s="4" t="inlineStr">
        <is>
          <t>00922</t>
        </is>
      </c>
      <c r="C548" s="4" t="inlineStr">
        <is>
          <t>00922</t>
        </is>
      </c>
      <c r="D548" s="29" t="inlineStr">
        <is>
          <t>CANSEL AKCAN</t>
        </is>
      </c>
      <c r="E548" s="4" t="inlineStr">
        <is>
          <t>Perşembe</t>
        </is>
      </c>
      <c r="F548" s="4" t="inlineStr">
        <is>
          <t>1.10.2026</t>
        </is>
      </c>
      <c r="G548" s="4" t="inlineStr">
        <is>
          <t>07:57</t>
        </is>
      </c>
      <c r="H548" s="4" t="inlineStr">
        <is>
          <t>1.10.2026</t>
        </is>
      </c>
      <c r="I548" s="4" t="inlineStr">
        <is>
          <t>17:32</t>
        </is>
      </c>
      <c r="J548" s="8" t="n">
        <v>8</v>
      </c>
      <c r="K548" s="8" t="n">
        <v>7.5</v>
      </c>
      <c r="L548" s="8" t="n">
        <v>0.5</v>
      </c>
      <c r="M548" s="29" t="inlineStr">
        <is>
          <t>GÜVEN MUSTAFAKEMALPAŞA</t>
        </is>
      </c>
    </row>
    <row r="549">
      <c r="A549" s="4" t="n">
        <v>548</v>
      </c>
      <c r="B549" s="4" t="inlineStr">
        <is>
          <t>00922</t>
        </is>
      </c>
      <c r="C549" s="4" t="inlineStr">
        <is>
          <t>00922</t>
        </is>
      </c>
      <c r="D549" s="29" t="inlineStr">
        <is>
          <t>CANSEL AKCAN</t>
        </is>
      </c>
      <c r="E549" s="4" t="inlineStr">
        <is>
          <t>Cuma</t>
        </is>
      </c>
      <c r="F549" s="4" t="inlineStr">
        <is>
          <t>2.10.2026</t>
        </is>
      </c>
      <c r="G549" s="4" t="inlineStr">
        <is>
          <t>07:57</t>
        </is>
      </c>
      <c r="H549" s="4" t="inlineStr">
        <is>
          <t>2.10.2026</t>
        </is>
      </c>
      <c r="I549" s="4" t="inlineStr">
        <is>
          <t>17:47</t>
        </is>
      </c>
      <c r="J549" s="8" t="n">
        <v>8.5</v>
      </c>
      <c r="K549" s="8" t="n">
        <v>7.5</v>
      </c>
      <c r="L549" s="8" t="n">
        <v>1</v>
      </c>
      <c r="M549" s="29" t="inlineStr">
        <is>
          <t>GÜVEN MUSTAFAKEMALPAŞA</t>
        </is>
      </c>
    </row>
    <row r="550">
      <c r="A550" s="4" t="n">
        <v>549</v>
      </c>
      <c r="B550" s="4" t="inlineStr">
        <is>
          <t>00922</t>
        </is>
      </c>
      <c r="C550" s="4" t="inlineStr">
        <is>
          <t>00922</t>
        </is>
      </c>
      <c r="D550" s="29" t="inlineStr">
        <is>
          <t>CANSEL AKCAN</t>
        </is>
      </c>
      <c r="E550" s="4" t="inlineStr">
        <is>
          <t>Cumartesi</t>
        </is>
      </c>
      <c r="F550" s="4" t="inlineStr">
        <is>
          <t>3.10.2026</t>
        </is>
      </c>
      <c r="G550" s="4" t="inlineStr">
        <is>
          <t>07:49</t>
        </is>
      </c>
      <c r="H550" s="4" t="inlineStr">
        <is>
          <t>3.10.2026</t>
        </is>
      </c>
      <c r="I550" s="4" t="inlineStr">
        <is>
          <t>17:40</t>
        </is>
      </c>
      <c r="J550" s="8" t="n">
        <v>8</v>
      </c>
      <c r="K550" s="8" t="n">
        <v>7.5</v>
      </c>
      <c r="L550" s="8" t="n">
        <v>0.5</v>
      </c>
      <c r="M550" s="29" t="inlineStr">
        <is>
          <t>GÜVEN MUSTAFAKEMALPAŞA</t>
        </is>
      </c>
    </row>
    <row r="551">
      <c r="A551" s="4" t="n">
        <v>550</v>
      </c>
      <c r="B551" s="4" t="inlineStr">
        <is>
          <t>00922</t>
        </is>
      </c>
      <c r="C551" s="4" t="inlineStr">
        <is>
          <t>00922</t>
        </is>
      </c>
      <c r="D551" s="29" t="inlineStr">
        <is>
          <t>CANSEL AKCAN</t>
        </is>
      </c>
      <c r="E551" s="4" t="inlineStr">
        <is>
          <t>Pazartesi</t>
        </is>
      </c>
      <c r="F551" s="4" t="inlineStr">
        <is>
          <t>5.10.2026</t>
        </is>
      </c>
      <c r="G551" s="4" t="inlineStr">
        <is>
          <t>07:49</t>
        </is>
      </c>
      <c r="H551" s="4" t="inlineStr">
        <is>
          <t>5.10.2026</t>
        </is>
      </c>
      <c r="I551" s="4" t="inlineStr">
        <is>
          <t>17:04</t>
        </is>
      </c>
      <c r="J551" s="8" t="n">
        <v>7.5</v>
      </c>
      <c r="K551" s="8" t="n">
        <v>7.5</v>
      </c>
      <c r="L551" s="8" t="n">
        <v>0</v>
      </c>
      <c r="M551" s="29" t="inlineStr">
        <is>
          <t>GÜVEN MUSTAFAKEMALPAŞA</t>
        </is>
      </c>
    </row>
    <row r="552">
      <c r="A552" s="4" t="n">
        <v>551</v>
      </c>
      <c r="B552" s="4" t="inlineStr">
        <is>
          <t>00922</t>
        </is>
      </c>
      <c r="C552" s="4" t="inlineStr">
        <is>
          <t>00922</t>
        </is>
      </c>
      <c r="D552" s="29" t="inlineStr">
        <is>
          <t>CANSEL AKCAN</t>
        </is>
      </c>
      <c r="E552" s="4" t="inlineStr">
        <is>
          <t>Salı</t>
        </is>
      </c>
      <c r="F552" s="4" t="inlineStr">
        <is>
          <t>6.10.2026</t>
        </is>
      </c>
      <c r="G552" s="4" t="inlineStr">
        <is>
          <t>07:59</t>
        </is>
      </c>
      <c r="H552" s="4" t="inlineStr">
        <is>
          <t>6.10.2026</t>
        </is>
      </c>
      <c r="I552" s="4" t="inlineStr">
        <is>
          <t>17:43</t>
        </is>
      </c>
      <c r="J552" s="8" t="n">
        <v>8</v>
      </c>
      <c r="K552" s="8" t="n">
        <v>7.5</v>
      </c>
      <c r="L552" s="8" t="n">
        <v>0.5</v>
      </c>
      <c r="M552" s="29" t="inlineStr">
        <is>
          <t>GÜVEN MUSTAFAKEMALPAŞA</t>
        </is>
      </c>
    </row>
    <row r="553">
      <c r="A553" s="4" t="n">
        <v>552</v>
      </c>
      <c r="B553" s="4" t="inlineStr">
        <is>
          <t>00922</t>
        </is>
      </c>
      <c r="C553" s="4" t="inlineStr">
        <is>
          <t>00922</t>
        </is>
      </c>
      <c r="D553" s="29" t="inlineStr">
        <is>
          <t>CANSEL AKCAN</t>
        </is>
      </c>
      <c r="E553" s="4" t="inlineStr">
        <is>
          <t>Çarşamba</t>
        </is>
      </c>
      <c r="F553" s="4" t="inlineStr">
        <is>
          <t>7.10.2026</t>
        </is>
      </c>
      <c r="G553" s="4" t="inlineStr">
        <is>
          <t>07:52</t>
        </is>
      </c>
      <c r="H553" s="4" t="inlineStr">
        <is>
          <t>7.10.2026</t>
        </is>
      </c>
      <c r="I553" s="4" t="inlineStr">
        <is>
          <t>17:26</t>
        </is>
      </c>
      <c r="J553" s="8" t="n">
        <v>8</v>
      </c>
      <c r="K553" s="8" t="n">
        <v>7.5</v>
      </c>
      <c r="L553" s="8" t="n">
        <v>0.5</v>
      </c>
      <c r="M553" s="29" t="inlineStr">
        <is>
          <t>GÜVEN MUSTAFAKEMALPAŞA</t>
        </is>
      </c>
    </row>
    <row r="554">
      <c r="A554" s="4" t="n">
        <v>553</v>
      </c>
      <c r="B554" s="4" t="inlineStr">
        <is>
          <t>00922</t>
        </is>
      </c>
      <c r="C554" s="4" t="inlineStr">
        <is>
          <t>00922</t>
        </is>
      </c>
      <c r="D554" s="29" t="inlineStr">
        <is>
          <t>CANSEL AKCAN</t>
        </is>
      </c>
      <c r="E554" s="4" t="inlineStr">
        <is>
          <t>Perşembe</t>
        </is>
      </c>
      <c r="F554" s="4" t="inlineStr">
        <is>
          <t>8.10.2026</t>
        </is>
      </c>
      <c r="G554" s="4" t="inlineStr">
        <is>
          <t>07:50</t>
        </is>
      </c>
      <c r="H554" s="4" t="inlineStr">
        <is>
          <t>8.10.2026</t>
        </is>
      </c>
      <c r="I554" s="4" t="inlineStr">
        <is>
          <t>17:38</t>
        </is>
      </c>
      <c r="J554" s="8" t="n">
        <v>8</v>
      </c>
      <c r="K554" s="8" t="n">
        <v>7.5</v>
      </c>
      <c r="L554" s="8" t="n">
        <v>0.5</v>
      </c>
      <c r="M554" s="29" t="inlineStr">
        <is>
          <t>GÜVEN MUSTAFAKEMALPAŞA</t>
        </is>
      </c>
    </row>
    <row r="555">
      <c r="A555" s="4" t="n">
        <v>554</v>
      </c>
      <c r="B555" s="4" t="inlineStr">
        <is>
          <t>00922</t>
        </is>
      </c>
      <c r="C555" s="4" t="inlineStr">
        <is>
          <t>00922</t>
        </is>
      </c>
      <c r="D555" s="29" t="inlineStr">
        <is>
          <t>CANSEL AKCAN</t>
        </is>
      </c>
      <c r="E555" s="4" t="inlineStr">
        <is>
          <t>Cuma</t>
        </is>
      </c>
      <c r="F555" s="4" t="inlineStr">
        <is>
          <t>9.10.2026</t>
        </is>
      </c>
      <c r="G555" s="4" t="inlineStr">
        <is>
          <t>07:50</t>
        </is>
      </c>
      <c r="H555" s="4" t="inlineStr">
        <is>
          <t>9.10.2026</t>
        </is>
      </c>
      <c r="I555" s="4" t="inlineStr">
        <is>
          <t>17:46</t>
        </is>
      </c>
      <c r="J555" s="8" t="n">
        <v>8.5</v>
      </c>
      <c r="K555" s="8" t="n">
        <v>7.5</v>
      </c>
      <c r="L555" s="8" t="n">
        <v>1</v>
      </c>
      <c r="M555" s="29" t="inlineStr">
        <is>
          <t>GÜVEN MUSTAFAKEMALPAŞA</t>
        </is>
      </c>
    </row>
    <row r="556">
      <c r="A556" s="4" t="n">
        <v>555</v>
      </c>
      <c r="B556" s="4" t="inlineStr">
        <is>
          <t>00922</t>
        </is>
      </c>
      <c r="C556" s="4" t="inlineStr">
        <is>
          <t>00922</t>
        </is>
      </c>
      <c r="D556" s="29" t="inlineStr">
        <is>
          <t>CANSEL AKCAN</t>
        </is>
      </c>
      <c r="E556" s="4" t="inlineStr">
        <is>
          <t>Cumartesi</t>
        </is>
      </c>
      <c r="F556" s="4" t="inlineStr">
        <is>
          <t>10.10.2026</t>
        </is>
      </c>
      <c r="G556" s="4" t="inlineStr">
        <is>
          <t>07:48</t>
        </is>
      </c>
      <c r="H556" s="4" t="inlineStr">
        <is>
          <t>10.10.2026</t>
        </is>
      </c>
      <c r="I556" s="4" t="inlineStr">
        <is>
          <t>18:14</t>
        </is>
      </c>
      <c r="J556" s="8" t="n">
        <v>8.5</v>
      </c>
      <c r="K556" s="8" t="n">
        <v>7.5</v>
      </c>
      <c r="L556" s="8" t="n">
        <v>1</v>
      </c>
      <c r="M556" s="29" t="inlineStr">
        <is>
          <t>GÜVEN MUSTAFAKEMALPAŞA</t>
        </is>
      </c>
    </row>
    <row r="557">
      <c r="A557" s="4" t="n">
        <v>556</v>
      </c>
      <c r="B557" s="4" t="inlineStr">
        <is>
          <t>00922</t>
        </is>
      </c>
      <c r="C557" s="4" t="inlineStr">
        <is>
          <t>00922</t>
        </is>
      </c>
      <c r="D557" s="29" t="inlineStr">
        <is>
          <t>CANSEL AKCAN</t>
        </is>
      </c>
      <c r="E557" s="4" t="inlineStr">
        <is>
          <t>Pazartesi</t>
        </is>
      </c>
      <c r="F557" s="4" t="inlineStr">
        <is>
          <t>12.10.2026</t>
        </is>
      </c>
      <c r="G557" s="4" t="inlineStr">
        <is>
          <t>07:53</t>
        </is>
      </c>
      <c r="H557" s="4" t="inlineStr">
        <is>
          <t>12.10.2026</t>
        </is>
      </c>
      <c r="I557" s="4" t="inlineStr">
        <is>
          <t>17:03</t>
        </is>
      </c>
      <c r="J557" s="8" t="n">
        <v>7.5</v>
      </c>
      <c r="K557" s="8" t="n">
        <v>7.5</v>
      </c>
      <c r="L557" s="8" t="n">
        <v>0</v>
      </c>
      <c r="M557" s="29" t="inlineStr">
        <is>
          <t>GÜVEN MUSTAFAKEMALPAŞA</t>
        </is>
      </c>
    </row>
    <row r="558">
      <c r="A558" s="4" t="n">
        <v>557</v>
      </c>
      <c r="B558" s="4" t="inlineStr">
        <is>
          <t>00922</t>
        </is>
      </c>
      <c r="C558" s="4" t="inlineStr">
        <is>
          <t>00922</t>
        </is>
      </c>
      <c r="D558" s="29" t="inlineStr">
        <is>
          <t>CANSEL AKCAN</t>
        </is>
      </c>
      <c r="E558" s="4" t="inlineStr">
        <is>
          <t>Salı</t>
        </is>
      </c>
      <c r="F558" s="4" t="inlineStr">
        <is>
          <t>13.10.2026</t>
        </is>
      </c>
      <c r="G558" s="4" t="inlineStr">
        <is>
          <t>07:51</t>
        </is>
      </c>
      <c r="H558" s="4" t="inlineStr">
        <is>
          <t>13.10.2026</t>
        </is>
      </c>
      <c r="I558" s="4" t="inlineStr">
        <is>
          <t>17:00</t>
        </is>
      </c>
      <c r="J558" s="8" t="n">
        <v>7.5</v>
      </c>
      <c r="K558" s="8" t="n">
        <v>7.5</v>
      </c>
      <c r="L558" s="8" t="n">
        <v>0</v>
      </c>
      <c r="M558" s="29" t="inlineStr">
        <is>
          <t>GÜVEN MUSTAFAKEMALPAŞA</t>
        </is>
      </c>
    </row>
    <row r="559">
      <c r="A559" s="4" t="n">
        <v>558</v>
      </c>
      <c r="B559" s="4" t="inlineStr">
        <is>
          <t>00922</t>
        </is>
      </c>
      <c r="C559" s="4" t="inlineStr">
        <is>
          <t>00922</t>
        </is>
      </c>
      <c r="D559" s="29" t="inlineStr">
        <is>
          <t>CANSEL AKCAN</t>
        </is>
      </c>
      <c r="E559" s="4" t="inlineStr">
        <is>
          <t>Çarşamba</t>
        </is>
      </c>
      <c r="F559" s="4" t="inlineStr">
        <is>
          <t>14.10.2026</t>
        </is>
      </c>
      <c r="G559" s="4" t="inlineStr">
        <is>
          <t>07:50</t>
        </is>
      </c>
      <c r="H559" s="4" t="inlineStr">
        <is>
          <t>14.10.2026</t>
        </is>
      </c>
      <c r="I559" s="4" t="inlineStr">
        <is>
          <t>18:07</t>
        </is>
      </c>
      <c r="J559" s="8" t="n">
        <v>8.5</v>
      </c>
      <c r="K559" s="8" t="n">
        <v>7.5</v>
      </c>
      <c r="L559" s="8" t="n">
        <v>1</v>
      </c>
      <c r="M559" s="29" t="inlineStr">
        <is>
          <t>GÜVEN MUSTAFAKEMALPAŞA</t>
        </is>
      </c>
    </row>
    <row r="560">
      <c r="A560" s="4" t="n">
        <v>559</v>
      </c>
      <c r="B560" s="4" t="inlineStr">
        <is>
          <t>00922</t>
        </is>
      </c>
      <c r="C560" s="4" t="inlineStr">
        <is>
          <t>00922</t>
        </is>
      </c>
      <c r="D560" s="29" t="inlineStr">
        <is>
          <t>CANSEL AKCAN</t>
        </is>
      </c>
      <c r="E560" s="4" t="inlineStr">
        <is>
          <t>Cuma</t>
        </is>
      </c>
      <c r="F560" s="4" t="inlineStr">
        <is>
          <t>16.10.2026</t>
        </is>
      </c>
      <c r="G560" s="4" t="inlineStr">
        <is>
          <t>07:50</t>
        </is>
      </c>
      <c r="H560" s="4" t="inlineStr">
        <is>
          <t>16.10.2026</t>
        </is>
      </c>
      <c r="I560" s="4" t="inlineStr">
        <is>
          <t>17:18</t>
        </is>
      </c>
      <c r="J560" s="8" t="n">
        <v>7.5</v>
      </c>
      <c r="K560" s="8" t="n">
        <v>7.5</v>
      </c>
      <c r="L560" s="8" t="n">
        <v>0</v>
      </c>
      <c r="M560" s="29" t="inlineStr">
        <is>
          <t>GÜVEN MUSTAFAKEMALPAŞA</t>
        </is>
      </c>
    </row>
    <row r="561">
      <c r="A561" s="4" t="n">
        <v>560</v>
      </c>
      <c r="B561" s="4" t="inlineStr">
        <is>
          <t>00922</t>
        </is>
      </c>
      <c r="C561" s="4" t="inlineStr">
        <is>
          <t>00922</t>
        </is>
      </c>
      <c r="D561" s="29" t="inlineStr">
        <is>
          <t>CANSEL AKCAN</t>
        </is>
      </c>
      <c r="E561" s="4" t="inlineStr">
        <is>
          <t>Cumartesi</t>
        </is>
      </c>
      <c r="F561" s="4" t="inlineStr">
        <is>
          <t>17.10.2026</t>
        </is>
      </c>
      <c r="G561" s="4" t="inlineStr">
        <is>
          <t>07:53</t>
        </is>
      </c>
      <c r="H561" s="4" t="inlineStr">
        <is>
          <t>17.10.2026</t>
        </is>
      </c>
      <c r="I561" s="4" t="inlineStr">
        <is>
          <t>17:52</t>
        </is>
      </c>
      <c r="J561" s="8" t="n">
        <v>8.5</v>
      </c>
      <c r="K561" s="8" t="n">
        <v>7.5</v>
      </c>
      <c r="L561" s="8" t="n">
        <v>1</v>
      </c>
      <c r="M561" s="29" t="inlineStr">
        <is>
          <t>GÜVEN MUSTAFAKEMALPAŞA</t>
        </is>
      </c>
    </row>
    <row r="562">
      <c r="A562" s="4" t="n">
        <v>561</v>
      </c>
      <c r="B562" s="4" t="inlineStr">
        <is>
          <t>00922</t>
        </is>
      </c>
      <c r="C562" s="4" t="inlineStr">
        <is>
          <t>00922</t>
        </is>
      </c>
      <c r="D562" s="29" t="inlineStr">
        <is>
          <t>CANSEL AKCAN</t>
        </is>
      </c>
      <c r="E562" s="4" t="inlineStr">
        <is>
          <t>Pazartesi</t>
        </is>
      </c>
      <c r="F562" s="4" t="inlineStr">
        <is>
          <t>19.10.2026</t>
        </is>
      </c>
      <c r="G562" s="4" t="inlineStr">
        <is>
          <t>07:49</t>
        </is>
      </c>
      <c r="H562" s="4" t="inlineStr">
        <is>
          <t>19.10.2026</t>
        </is>
      </c>
      <c r="I562" s="4" t="inlineStr">
        <is>
          <t>17:46</t>
        </is>
      </c>
      <c r="J562" s="8" t="n">
        <v>8.5</v>
      </c>
      <c r="K562" s="8" t="n">
        <v>7.5</v>
      </c>
      <c r="L562" s="8" t="n">
        <v>1</v>
      </c>
      <c r="M562" s="29" t="inlineStr">
        <is>
          <t>GÜVEN MUSTAFAKEMALPAŞA</t>
        </is>
      </c>
    </row>
    <row r="563">
      <c r="A563" s="4" t="n">
        <v>562</v>
      </c>
      <c r="B563" s="4" t="inlineStr">
        <is>
          <t>00922</t>
        </is>
      </c>
      <c r="C563" s="4" t="inlineStr">
        <is>
          <t>00922</t>
        </is>
      </c>
      <c r="D563" s="29" t="inlineStr">
        <is>
          <t>CANSEL AKCAN</t>
        </is>
      </c>
      <c r="E563" s="4" t="inlineStr">
        <is>
          <t>Salı</t>
        </is>
      </c>
      <c r="F563" s="4" t="inlineStr">
        <is>
          <t>20.10.2026</t>
        </is>
      </c>
      <c r="G563" s="4" t="inlineStr">
        <is>
          <t>07:52</t>
        </is>
      </c>
      <c r="H563" s="4" t="inlineStr">
        <is>
          <t>20.10.2026</t>
        </is>
      </c>
      <c r="I563" s="4" t="inlineStr">
        <is>
          <t>17:01</t>
        </is>
      </c>
      <c r="J563" s="8" t="n">
        <v>7.5</v>
      </c>
      <c r="K563" s="8" t="n">
        <v>7.5</v>
      </c>
      <c r="L563" s="8" t="n">
        <v>0</v>
      </c>
      <c r="M563" s="29" t="inlineStr">
        <is>
          <t>GÜVEN MUSTAFAKEMALPAŞA</t>
        </is>
      </c>
    </row>
    <row r="564">
      <c r="A564" s="4" t="n">
        <v>563</v>
      </c>
      <c r="B564" s="4" t="inlineStr">
        <is>
          <t>00922</t>
        </is>
      </c>
      <c r="C564" s="4" t="inlineStr">
        <is>
          <t>00922</t>
        </is>
      </c>
      <c r="D564" s="29" t="inlineStr">
        <is>
          <t>CANSEL AKCAN</t>
        </is>
      </c>
      <c r="E564" s="4" t="inlineStr">
        <is>
          <t>Çarşamba</t>
        </is>
      </c>
      <c r="F564" s="4" t="inlineStr">
        <is>
          <t>21.10.2026</t>
        </is>
      </c>
      <c r="G564" s="4" t="inlineStr">
        <is>
          <t>07:48</t>
        </is>
      </c>
      <c r="H564" s="4" t="inlineStr">
        <is>
          <t>21.10.2026</t>
        </is>
      </c>
      <c r="I564" s="4" t="inlineStr">
        <is>
          <t>17:03</t>
        </is>
      </c>
      <c r="J564" s="8" t="n">
        <v>7.5</v>
      </c>
      <c r="K564" s="8" t="n">
        <v>7.5</v>
      </c>
      <c r="L564" s="8" t="n">
        <v>0</v>
      </c>
      <c r="M564" s="29" t="inlineStr">
        <is>
          <t>GÜVEN MUSTAFAKEMALPAŞA</t>
        </is>
      </c>
    </row>
    <row r="565">
      <c r="A565" s="4" t="n">
        <v>564</v>
      </c>
      <c r="B565" s="4" t="inlineStr">
        <is>
          <t>00030</t>
        </is>
      </c>
      <c r="C565" s="4" t="inlineStr">
        <is>
          <t>00030</t>
        </is>
      </c>
      <c r="D565" s="29" t="inlineStr">
        <is>
          <t>CANSEVER ÇÇAKMAK</t>
        </is>
      </c>
      <c r="E565" s="4" t="inlineStr">
        <is>
          <t>Perşembe</t>
        </is>
      </c>
      <c r="F565" s="4" t="inlineStr">
        <is>
          <t>1.10.2026</t>
        </is>
      </c>
      <c r="G565" s="4" t="inlineStr">
        <is>
          <t>07:55</t>
        </is>
      </c>
      <c r="H565" s="4" t="inlineStr">
        <is>
          <t>1.10.2026</t>
        </is>
      </c>
      <c r="I565" s="4" t="inlineStr">
        <is>
          <t>17:09</t>
        </is>
      </c>
      <c r="J565" s="8" t="n">
        <v>7.5</v>
      </c>
      <c r="K565" s="8" t="n">
        <v>7.5</v>
      </c>
      <c r="L565" s="8" t="n">
        <v>0</v>
      </c>
      <c r="M565" s="29" t="inlineStr">
        <is>
          <t>BİGADİÇ</t>
        </is>
      </c>
    </row>
    <row r="566">
      <c r="A566" s="4" t="n">
        <v>565</v>
      </c>
      <c r="B566" s="4" t="inlineStr">
        <is>
          <t>00030</t>
        </is>
      </c>
      <c r="C566" s="4" t="inlineStr">
        <is>
          <t>00030</t>
        </is>
      </c>
      <c r="D566" s="29" t="inlineStr">
        <is>
          <t>CANSEVER ÇÇAKMAK</t>
        </is>
      </c>
      <c r="E566" s="4" t="inlineStr">
        <is>
          <t>Cuma</t>
        </is>
      </c>
      <c r="F566" s="4" t="inlineStr">
        <is>
          <t>2.10.2026</t>
        </is>
      </c>
      <c r="G566" s="4" t="inlineStr">
        <is>
          <t>07:54</t>
        </is>
      </c>
      <c r="H566" s="4" t="inlineStr">
        <is>
          <t>2.10.2026</t>
        </is>
      </c>
      <c r="I566" s="4" t="inlineStr">
        <is>
          <t>17:13</t>
        </is>
      </c>
      <c r="J566" s="8" t="n">
        <v>7.5</v>
      </c>
      <c r="K566" s="8" t="n">
        <v>7.5</v>
      </c>
      <c r="L566" s="8" t="n">
        <v>0</v>
      </c>
      <c r="M566" s="29" t="inlineStr">
        <is>
          <t>BİGADİÇ</t>
        </is>
      </c>
    </row>
    <row r="567">
      <c r="A567" s="4" t="n">
        <v>566</v>
      </c>
      <c r="B567" s="4" t="inlineStr">
        <is>
          <t>00030</t>
        </is>
      </c>
      <c r="C567" s="4" t="inlineStr">
        <is>
          <t>00030</t>
        </is>
      </c>
      <c r="D567" s="29" t="inlineStr">
        <is>
          <t>CANSEVER ÇÇAKMAK</t>
        </is>
      </c>
      <c r="E567" s="4" t="inlineStr">
        <is>
          <t>Cumartesi</t>
        </is>
      </c>
      <c r="F567" s="4" t="inlineStr">
        <is>
          <t>3.10.2026</t>
        </is>
      </c>
      <c r="G567" s="4" t="inlineStr">
        <is>
          <t>07:35</t>
        </is>
      </c>
      <c r="H567" s="4" t="inlineStr">
        <is>
          <t>3.10.2026</t>
        </is>
      </c>
      <c r="I567" s="4" t="inlineStr">
        <is>
          <t>17:10</t>
        </is>
      </c>
      <c r="J567" s="8" t="n">
        <v>7.5</v>
      </c>
      <c r="K567" s="8" t="n">
        <v>7.5</v>
      </c>
      <c r="L567" s="8" t="n">
        <v>0</v>
      </c>
      <c r="M567" s="29" t="inlineStr">
        <is>
          <t>BİGADİÇ</t>
        </is>
      </c>
    </row>
    <row r="568">
      <c r="A568" s="4" t="n">
        <v>567</v>
      </c>
      <c r="B568" s="4" t="inlineStr">
        <is>
          <t>00030</t>
        </is>
      </c>
      <c r="C568" s="4" t="inlineStr">
        <is>
          <t>00030</t>
        </is>
      </c>
      <c r="D568" s="29" t="inlineStr">
        <is>
          <t>CANSEVER ÇÇAKMAK</t>
        </is>
      </c>
      <c r="E568" s="4" t="inlineStr">
        <is>
          <t>Pazartesi</t>
        </is>
      </c>
      <c r="F568" s="4" t="inlineStr">
        <is>
          <t>5.10.2026</t>
        </is>
      </c>
      <c r="G568" s="4" t="inlineStr">
        <is>
          <t>07:54</t>
        </is>
      </c>
      <c r="H568" s="4" t="inlineStr">
        <is>
          <t>5.10.2026</t>
        </is>
      </c>
      <c r="I568" s="4" t="inlineStr">
        <is>
          <t>17:10</t>
        </is>
      </c>
      <c r="J568" s="8" t="n">
        <v>7.5</v>
      </c>
      <c r="K568" s="8" t="n">
        <v>7.5</v>
      </c>
      <c r="L568" s="8" t="n">
        <v>0</v>
      </c>
      <c r="M568" s="29" t="inlineStr">
        <is>
          <t>BİGADİÇ</t>
        </is>
      </c>
    </row>
    <row r="569">
      <c r="A569" s="4" t="n">
        <v>568</v>
      </c>
      <c r="B569" s="4" t="inlineStr">
        <is>
          <t>00030</t>
        </is>
      </c>
      <c r="C569" s="4" t="inlineStr">
        <is>
          <t>00030</t>
        </is>
      </c>
      <c r="D569" s="29" t="inlineStr">
        <is>
          <t>CANSEVER ÇÇAKMAK</t>
        </is>
      </c>
      <c r="E569" s="4" t="inlineStr">
        <is>
          <t>Salı</t>
        </is>
      </c>
      <c r="F569" s="4" t="inlineStr">
        <is>
          <t>6.10.2026</t>
        </is>
      </c>
      <c r="G569" s="4" t="inlineStr">
        <is>
          <t>07:55</t>
        </is>
      </c>
      <c r="H569" s="4" t="inlineStr">
        <is>
          <t>6.10.2026</t>
        </is>
      </c>
      <c r="I569" s="4" t="inlineStr">
        <is>
          <t>17:09</t>
        </is>
      </c>
      <c r="J569" s="8" t="n">
        <v>7.5</v>
      </c>
      <c r="K569" s="8" t="n">
        <v>7.5</v>
      </c>
      <c r="L569" s="8" t="n">
        <v>0</v>
      </c>
      <c r="M569" s="29" t="inlineStr">
        <is>
          <t>BİGADİÇ</t>
        </is>
      </c>
    </row>
    <row r="570">
      <c r="A570" s="4" t="n">
        <v>569</v>
      </c>
      <c r="B570" s="4" t="inlineStr">
        <is>
          <t>00030</t>
        </is>
      </c>
      <c r="C570" s="4" t="inlineStr">
        <is>
          <t>00030</t>
        </is>
      </c>
      <c r="D570" s="29" t="inlineStr">
        <is>
          <t>CANSEVER ÇÇAKMAK</t>
        </is>
      </c>
      <c r="E570" s="4" t="inlineStr">
        <is>
          <t>Çarşamba</t>
        </is>
      </c>
      <c r="F570" s="4" t="inlineStr">
        <is>
          <t>7.10.2026</t>
        </is>
      </c>
      <c r="G570" s="4" t="inlineStr">
        <is>
          <t>07:57</t>
        </is>
      </c>
      <c r="H570" s="4" t="inlineStr">
        <is>
          <t>7.10.2026</t>
        </is>
      </c>
      <c r="I570" s="4" t="inlineStr">
        <is>
          <t>17:11</t>
        </is>
      </c>
      <c r="J570" s="8" t="n">
        <v>7.5</v>
      </c>
      <c r="K570" s="8" t="n">
        <v>7.5</v>
      </c>
      <c r="L570" s="8" t="n">
        <v>0</v>
      </c>
      <c r="M570" s="29" t="inlineStr">
        <is>
          <t>BİGADİÇ</t>
        </is>
      </c>
    </row>
    <row r="571">
      <c r="A571" s="4" t="n">
        <v>570</v>
      </c>
      <c r="B571" s="4" t="inlineStr">
        <is>
          <t>00030</t>
        </is>
      </c>
      <c r="C571" s="4" t="inlineStr">
        <is>
          <t>00030</t>
        </is>
      </c>
      <c r="D571" s="29" t="inlineStr">
        <is>
          <t>CANSEVER ÇÇAKMAK</t>
        </is>
      </c>
      <c r="E571" s="4" t="inlineStr">
        <is>
          <t>Perşembe</t>
        </is>
      </c>
      <c r="F571" s="4" t="inlineStr">
        <is>
          <t>8.10.2026</t>
        </is>
      </c>
      <c r="G571" s="4" t="inlineStr">
        <is>
          <t>07:58</t>
        </is>
      </c>
      <c r="H571" s="4" t="inlineStr">
        <is>
          <t>8.10.2026</t>
        </is>
      </c>
      <c r="I571" s="4" t="inlineStr">
        <is>
          <t>17:15</t>
        </is>
      </c>
      <c r="J571" s="8" t="n">
        <v>7.5</v>
      </c>
      <c r="K571" s="8" t="n">
        <v>7.5</v>
      </c>
      <c r="L571" s="8" t="n">
        <v>0</v>
      </c>
      <c r="M571" s="29" t="inlineStr">
        <is>
          <t>BİGADİÇ</t>
        </is>
      </c>
    </row>
    <row r="572">
      <c r="A572" s="4" t="n">
        <v>571</v>
      </c>
      <c r="B572" s="4" t="inlineStr">
        <is>
          <t>00030</t>
        </is>
      </c>
      <c r="C572" s="4" t="inlineStr">
        <is>
          <t>00030</t>
        </is>
      </c>
      <c r="D572" s="29" t="inlineStr">
        <is>
          <t>CANSEVER ÇÇAKMAK</t>
        </is>
      </c>
      <c r="E572" s="4" t="inlineStr">
        <is>
          <t>Cuma</t>
        </is>
      </c>
      <c r="F572" s="4" t="inlineStr">
        <is>
          <t>9.10.2026</t>
        </is>
      </c>
      <c r="G572" s="4" t="inlineStr">
        <is>
          <t>07:53</t>
        </is>
      </c>
      <c r="H572" s="4" t="inlineStr">
        <is>
          <t>9.10.2026</t>
        </is>
      </c>
      <c r="I572" s="4" t="inlineStr">
        <is>
          <t>17:14</t>
        </is>
      </c>
      <c r="J572" s="8" t="n">
        <v>7.5</v>
      </c>
      <c r="K572" s="8" t="n">
        <v>7.5</v>
      </c>
      <c r="L572" s="8" t="n">
        <v>0</v>
      </c>
      <c r="M572" s="29" t="inlineStr">
        <is>
          <t>BİGADİÇ</t>
        </is>
      </c>
    </row>
    <row r="573">
      <c r="A573" s="4" t="n">
        <v>572</v>
      </c>
      <c r="B573" s="4" t="inlineStr">
        <is>
          <t>00030</t>
        </is>
      </c>
      <c r="C573" s="4" t="inlineStr">
        <is>
          <t>00030</t>
        </is>
      </c>
      <c r="D573" s="29" t="inlineStr">
        <is>
          <t>CANSEVER ÇÇAKMAK</t>
        </is>
      </c>
      <c r="E573" s="4" t="inlineStr">
        <is>
          <t>Cumartesi</t>
        </is>
      </c>
      <c r="F573" s="4" t="inlineStr">
        <is>
          <t>10.10.2026</t>
        </is>
      </c>
      <c r="G573" s="4" t="inlineStr">
        <is>
          <t>07:54</t>
        </is>
      </c>
      <c r="H573" s="4" t="inlineStr">
        <is>
          <t>10.10.2026</t>
        </is>
      </c>
      <c r="I573" s="4" t="inlineStr">
        <is>
          <t>17:09</t>
        </is>
      </c>
      <c r="J573" s="8" t="n">
        <v>7.5</v>
      </c>
      <c r="K573" s="8" t="n">
        <v>7.5</v>
      </c>
      <c r="L573" s="8" t="n">
        <v>0</v>
      </c>
      <c r="M573" s="29" t="inlineStr">
        <is>
          <t>BİGADİÇ</t>
        </is>
      </c>
    </row>
    <row r="574">
      <c r="A574" s="4" t="n">
        <v>573</v>
      </c>
      <c r="B574" s="4" t="inlineStr">
        <is>
          <t>00030</t>
        </is>
      </c>
      <c r="C574" s="4" t="inlineStr">
        <is>
          <t>00030</t>
        </is>
      </c>
      <c r="D574" s="29" t="inlineStr">
        <is>
          <t>CANSEVER ÇÇAKMAK</t>
        </is>
      </c>
      <c r="E574" s="4" t="inlineStr">
        <is>
          <t>Salı</t>
        </is>
      </c>
      <c r="F574" s="4" t="inlineStr">
        <is>
          <t>13.10.2026</t>
        </is>
      </c>
      <c r="G574" s="4" t="inlineStr">
        <is>
          <t>07:55</t>
        </is>
      </c>
      <c r="H574" s="4" t="inlineStr">
        <is>
          <t>13.10.2026</t>
        </is>
      </c>
      <c r="I574" s="4" t="inlineStr">
        <is>
          <t>17:11</t>
        </is>
      </c>
      <c r="J574" s="8" t="n">
        <v>7.5</v>
      </c>
      <c r="K574" s="8" t="n">
        <v>7.5</v>
      </c>
      <c r="L574" s="8" t="n">
        <v>0</v>
      </c>
      <c r="M574" s="29" t="inlineStr">
        <is>
          <t>BİGADİÇ</t>
        </is>
      </c>
    </row>
    <row r="575">
      <c r="A575" s="4" t="n">
        <v>574</v>
      </c>
      <c r="B575" s="4" t="inlineStr">
        <is>
          <t>00030</t>
        </is>
      </c>
      <c r="C575" s="4" t="inlineStr">
        <is>
          <t>00030</t>
        </is>
      </c>
      <c r="D575" s="29" t="inlineStr">
        <is>
          <t>CANSEVER ÇÇAKMAK</t>
        </is>
      </c>
      <c r="E575" s="4" t="inlineStr">
        <is>
          <t>Çarşamba</t>
        </is>
      </c>
      <c r="F575" s="4" t="inlineStr">
        <is>
          <t>14.10.2026</t>
        </is>
      </c>
      <c r="G575" s="4" t="inlineStr">
        <is>
          <t>07:58</t>
        </is>
      </c>
      <c r="H575" s="4" t="inlineStr">
        <is>
          <t>14.10.2026</t>
        </is>
      </c>
      <c r="I575" s="4" t="inlineStr">
        <is>
          <t>17:10</t>
        </is>
      </c>
      <c r="J575" s="8" t="n">
        <v>7.5</v>
      </c>
      <c r="K575" s="8" t="n">
        <v>7.5</v>
      </c>
      <c r="L575" s="8" t="n">
        <v>0</v>
      </c>
      <c r="M575" s="29" t="inlineStr">
        <is>
          <t>BİGADİÇ</t>
        </is>
      </c>
    </row>
    <row r="576">
      <c r="A576" s="4" t="n">
        <v>575</v>
      </c>
      <c r="B576" s="4" t="inlineStr">
        <is>
          <t>00030</t>
        </is>
      </c>
      <c r="C576" s="4" t="inlineStr">
        <is>
          <t>00030</t>
        </is>
      </c>
      <c r="D576" s="29" t="inlineStr">
        <is>
          <t>CANSEVER ÇÇAKMAK</t>
        </is>
      </c>
      <c r="E576" s="4" t="inlineStr">
        <is>
          <t>Perşembe</t>
        </is>
      </c>
      <c r="F576" s="4" t="inlineStr">
        <is>
          <t>15.10.2026</t>
        </is>
      </c>
      <c r="G576" s="4" t="inlineStr">
        <is>
          <t>08:01</t>
        </is>
      </c>
      <c r="H576" s="4" t="inlineStr">
        <is>
          <t>15.10.2026</t>
        </is>
      </c>
      <c r="I576" s="4" t="inlineStr">
        <is>
          <t>17:17</t>
        </is>
      </c>
      <c r="J576" s="8" t="n">
        <v>7.5</v>
      </c>
      <c r="K576" s="8" t="n">
        <v>7.5</v>
      </c>
      <c r="L576" s="8" t="n">
        <v>0</v>
      </c>
      <c r="M576" s="29" t="inlineStr">
        <is>
          <t>BİGADİÇ</t>
        </is>
      </c>
    </row>
    <row r="577">
      <c r="A577" s="4" t="n">
        <v>576</v>
      </c>
      <c r="B577" s="4" t="inlineStr">
        <is>
          <t>00030</t>
        </is>
      </c>
      <c r="C577" s="4" t="inlineStr">
        <is>
          <t>00030</t>
        </is>
      </c>
      <c r="D577" s="29" t="inlineStr">
        <is>
          <t>CANSEVER ÇÇAKMAK</t>
        </is>
      </c>
      <c r="E577" s="4" t="inlineStr">
        <is>
          <t>Cuma</t>
        </is>
      </c>
      <c r="F577" s="4" t="inlineStr">
        <is>
          <t>16.10.2026</t>
        </is>
      </c>
      <c r="G577" s="4" t="inlineStr">
        <is>
          <t>07:53</t>
        </is>
      </c>
      <c r="H577" s="4" t="inlineStr">
        <is>
          <t>16.10.2026</t>
        </is>
      </c>
      <c r="I577" s="4" t="inlineStr">
        <is>
          <t>17:12</t>
        </is>
      </c>
      <c r="J577" s="8" t="n">
        <v>7.5</v>
      </c>
      <c r="K577" s="8" t="n">
        <v>7.5</v>
      </c>
      <c r="L577" s="8" t="n">
        <v>0</v>
      </c>
      <c r="M577" s="29" t="inlineStr">
        <is>
          <t>BİGADİÇ</t>
        </is>
      </c>
    </row>
    <row r="578">
      <c r="A578" s="4" t="n">
        <v>577</v>
      </c>
      <c r="B578" s="4" t="inlineStr">
        <is>
          <t>00030</t>
        </is>
      </c>
      <c r="C578" s="4" t="inlineStr">
        <is>
          <t>00030</t>
        </is>
      </c>
      <c r="D578" s="29" t="inlineStr">
        <is>
          <t>CANSEVER ÇÇAKMAK</t>
        </is>
      </c>
      <c r="E578" s="4" t="inlineStr">
        <is>
          <t>Cumartesi</t>
        </is>
      </c>
      <c r="F578" s="4" t="inlineStr">
        <is>
          <t>17.10.2026</t>
        </is>
      </c>
      <c r="G578" s="4" t="inlineStr">
        <is>
          <t>07:51</t>
        </is>
      </c>
      <c r="H578" s="4" t="inlineStr">
        <is>
          <t>17.10.2026</t>
        </is>
      </c>
      <c r="I578" s="4" t="inlineStr">
        <is>
          <t>17:16</t>
        </is>
      </c>
      <c r="J578" s="8" t="n">
        <v>7.5</v>
      </c>
      <c r="K578" s="8" t="n">
        <v>7.5</v>
      </c>
      <c r="L578" s="8" t="n">
        <v>0</v>
      </c>
      <c r="M578" s="29" t="inlineStr">
        <is>
          <t>BİGADİÇ</t>
        </is>
      </c>
    </row>
    <row r="579">
      <c r="A579" s="4" t="n">
        <v>578</v>
      </c>
      <c r="B579" s="4" t="inlineStr">
        <is>
          <t>00030</t>
        </is>
      </c>
      <c r="C579" s="4" t="inlineStr">
        <is>
          <t>00030</t>
        </is>
      </c>
      <c r="D579" s="29" t="inlineStr">
        <is>
          <t>CANSEVER ÇÇAKMAK</t>
        </is>
      </c>
      <c r="E579" s="4" t="inlineStr">
        <is>
          <t>Pazar</t>
        </is>
      </c>
      <c r="F579" s="4" t="inlineStr">
        <is>
          <t>18.10.2026</t>
        </is>
      </c>
      <c r="G579" s="4" t="inlineStr">
        <is>
          <t>08:09</t>
        </is>
      </c>
      <c r="H579" s="4" t="inlineStr">
        <is>
          <t>18.10.2026</t>
        </is>
      </c>
      <c r="I579" s="4" t="inlineStr">
        <is>
          <t>17:08</t>
        </is>
      </c>
      <c r="J579" s="8" t="n">
        <v>7.5</v>
      </c>
      <c r="K579" s="8" t="n">
        <v>7.5</v>
      </c>
      <c r="L579" s="8" t="n">
        <v>0</v>
      </c>
      <c r="M579" s="29" t="inlineStr">
        <is>
          <t>BİGADİÇ</t>
        </is>
      </c>
    </row>
    <row r="580">
      <c r="A580" s="4" t="n">
        <v>579</v>
      </c>
      <c r="B580" s="4" t="inlineStr">
        <is>
          <t>00030</t>
        </is>
      </c>
      <c r="C580" s="4" t="inlineStr">
        <is>
          <t>00030</t>
        </is>
      </c>
      <c r="D580" s="29" t="inlineStr">
        <is>
          <t>CANSEVER ÇÇAKMAK</t>
        </is>
      </c>
      <c r="E580" s="4" t="inlineStr">
        <is>
          <t>Pazartesi</t>
        </is>
      </c>
      <c r="F580" s="4" t="inlineStr">
        <is>
          <t>19.10.2026</t>
        </is>
      </c>
      <c r="G580" s="4" t="inlineStr">
        <is>
          <t>07:54</t>
        </is>
      </c>
      <c r="H580" s="4" t="inlineStr">
        <is>
          <t>19.10.2026</t>
        </is>
      </c>
      <c r="I580" s="4" t="inlineStr">
        <is>
          <t>17:15</t>
        </is>
      </c>
      <c r="J580" s="8" t="n">
        <v>7.5</v>
      </c>
      <c r="K580" s="8" t="n">
        <v>7.5</v>
      </c>
      <c r="L580" s="8" t="n">
        <v>0</v>
      </c>
      <c r="M580" s="29" t="inlineStr">
        <is>
          <t>BİGADİÇ</t>
        </is>
      </c>
    </row>
    <row r="581">
      <c r="A581" s="4" t="n">
        <v>580</v>
      </c>
      <c r="B581" s="4" t="inlineStr">
        <is>
          <t>00030</t>
        </is>
      </c>
      <c r="C581" s="4" t="inlineStr">
        <is>
          <t>00030</t>
        </is>
      </c>
      <c r="D581" s="29" t="inlineStr">
        <is>
          <t>CANSEVER ÇÇAKMAK</t>
        </is>
      </c>
      <c r="E581" s="4" t="inlineStr">
        <is>
          <t>Salı</t>
        </is>
      </c>
      <c r="F581" s="4" t="inlineStr">
        <is>
          <t>20.10.2026</t>
        </is>
      </c>
      <c r="G581" s="4" t="inlineStr">
        <is>
          <t>08:18</t>
        </is>
      </c>
      <c r="H581" s="4" t="inlineStr">
        <is>
          <t>20.10.2026</t>
        </is>
      </c>
      <c r="I581" s="4" t="inlineStr">
        <is>
          <t>17:18</t>
        </is>
      </c>
      <c r="J581" s="8" t="n">
        <v>7.5</v>
      </c>
      <c r="K581" s="8" t="n">
        <v>7.5</v>
      </c>
      <c r="L581" s="8" t="n">
        <v>0</v>
      </c>
      <c r="M581" s="29" t="inlineStr">
        <is>
          <t>BİGADİÇ</t>
        </is>
      </c>
    </row>
    <row r="582">
      <c r="A582" s="4" t="n">
        <v>581</v>
      </c>
      <c r="B582" s="4" t="inlineStr">
        <is>
          <t>00030</t>
        </is>
      </c>
      <c r="C582" s="4" t="inlineStr">
        <is>
          <t>00030</t>
        </is>
      </c>
      <c r="D582" s="29" t="inlineStr">
        <is>
          <t>CANSEVER ÇÇAKMAK</t>
        </is>
      </c>
      <c r="E582" s="4" t="inlineStr">
        <is>
          <t>Çarşamba</t>
        </is>
      </c>
      <c r="F582" s="4" t="inlineStr">
        <is>
          <t>21.10.2026</t>
        </is>
      </c>
      <c r="G582" s="4" t="inlineStr">
        <is>
          <t>08:00</t>
        </is>
      </c>
      <c r="H582" s="4" t="inlineStr">
        <is>
          <t>21.10.2026</t>
        </is>
      </c>
      <c r="I582" s="4" t="inlineStr">
        <is>
          <t>17:09</t>
        </is>
      </c>
      <c r="J582" s="8" t="n">
        <v>7.5</v>
      </c>
      <c r="K582" s="8" t="n">
        <v>7.5</v>
      </c>
      <c r="L582" s="8" t="n">
        <v>0</v>
      </c>
      <c r="M582" s="29" t="inlineStr">
        <is>
          <t>BİGADİÇ</t>
        </is>
      </c>
    </row>
    <row r="583">
      <c r="A583" s="4" t="n">
        <v>582</v>
      </c>
      <c r="B583" s="4" t="inlineStr">
        <is>
          <t>01396</t>
        </is>
      </c>
      <c r="C583" s="4" t="inlineStr">
        <is>
          <t>01396</t>
        </is>
      </c>
      <c r="D583" s="29" t="inlineStr">
        <is>
          <t>CEMAL BULUT</t>
        </is>
      </c>
      <c r="E583" s="4" t="inlineStr">
        <is>
          <t>Cumartesi</t>
        </is>
      </c>
      <c r="F583" s="4" t="inlineStr">
        <is>
          <t>3.10.2026</t>
        </is>
      </c>
      <c r="G583" s="4" t="inlineStr">
        <is>
          <t>19:51</t>
        </is>
      </c>
      <c r="H583" s="4" t="inlineStr">
        <is>
          <t>3.10.2026</t>
        </is>
      </c>
      <c r="I583" s="4" t="inlineStr">
        <is>
          <t>08:06</t>
        </is>
      </c>
      <c r="J583" s="8" t="n">
        <v>10.5</v>
      </c>
      <c r="K583" s="8" t="n">
        <v>7.5</v>
      </c>
      <c r="L583" s="8" t="n">
        <v>3</v>
      </c>
      <c r="M583" s="29" t="inlineStr">
        <is>
          <t>HALİL DİĞRENCİ</t>
        </is>
      </c>
    </row>
    <row r="584">
      <c r="A584" s="4" t="n">
        <v>583</v>
      </c>
      <c r="B584" s="4" t="inlineStr">
        <is>
          <t>01396</t>
        </is>
      </c>
      <c r="C584" s="4" t="inlineStr">
        <is>
          <t>01396</t>
        </is>
      </c>
      <c r="D584" s="29" t="inlineStr">
        <is>
          <t>CEMAL BULUT</t>
        </is>
      </c>
      <c r="E584" s="4" t="inlineStr">
        <is>
          <t>Pazartesi</t>
        </is>
      </c>
      <c r="F584" s="4" t="inlineStr">
        <is>
          <t>5.10.2026</t>
        </is>
      </c>
      <c r="G584" s="4" t="inlineStr">
        <is>
          <t>19:47</t>
        </is>
      </c>
      <c r="H584" s="4" t="inlineStr">
        <is>
          <t>5.10.2026</t>
        </is>
      </c>
      <c r="I584" s="4" t="inlineStr">
        <is>
          <t>07:56</t>
        </is>
      </c>
      <c r="J584" s="8" t="n">
        <v>10.5</v>
      </c>
      <c r="K584" s="8" t="n">
        <v>7.5</v>
      </c>
      <c r="L584" s="8" t="n">
        <v>3</v>
      </c>
      <c r="M584" s="29" t="inlineStr">
        <is>
          <t>HALİL DİĞRENCİ</t>
        </is>
      </c>
    </row>
    <row r="585">
      <c r="A585" s="4" t="n">
        <v>584</v>
      </c>
      <c r="B585" s="4" t="inlineStr">
        <is>
          <t>01396</t>
        </is>
      </c>
      <c r="C585" s="4" t="inlineStr">
        <is>
          <t>01396</t>
        </is>
      </c>
      <c r="D585" s="29" t="inlineStr">
        <is>
          <t>CEMAL BULUT</t>
        </is>
      </c>
      <c r="E585" s="4" t="inlineStr">
        <is>
          <t>Salı</t>
        </is>
      </c>
      <c r="F585" s="4" t="inlineStr">
        <is>
          <t>6.10.2026</t>
        </is>
      </c>
      <c r="G585" s="4" t="inlineStr">
        <is>
          <t>19:53</t>
        </is>
      </c>
      <c r="H585" s="4" t="inlineStr">
        <is>
          <t>6.10.2026</t>
        </is>
      </c>
      <c r="I585" s="4" t="inlineStr">
        <is>
          <t>08:01</t>
        </is>
      </c>
      <c r="J585" s="8" t="n">
        <v>10.5</v>
      </c>
      <c r="K585" s="8" t="n">
        <v>7.5</v>
      </c>
      <c r="L585" s="8" t="n">
        <v>3</v>
      </c>
      <c r="M585" s="29" t="inlineStr">
        <is>
          <t>HALİL DİĞRENCİ</t>
        </is>
      </c>
    </row>
    <row r="586">
      <c r="A586" s="4" t="n">
        <v>585</v>
      </c>
      <c r="B586" s="4" t="inlineStr">
        <is>
          <t>01396</t>
        </is>
      </c>
      <c r="C586" s="4" t="inlineStr">
        <is>
          <t>01396</t>
        </is>
      </c>
      <c r="D586" s="29" t="inlineStr">
        <is>
          <t>CEMAL BULUT</t>
        </is>
      </c>
      <c r="E586" s="4" t="inlineStr">
        <is>
          <t>Çarşamba</t>
        </is>
      </c>
      <c r="F586" s="4" t="inlineStr">
        <is>
          <t>7.10.2026</t>
        </is>
      </c>
      <c r="G586" s="4" t="inlineStr">
        <is>
          <t>19:51</t>
        </is>
      </c>
      <c r="H586" s="4" t="inlineStr">
        <is>
          <t>7.10.2026</t>
        </is>
      </c>
      <c r="I586" s="4" t="inlineStr">
        <is>
          <t>07:58</t>
        </is>
      </c>
      <c r="J586" s="8" t="n">
        <v>10.5</v>
      </c>
      <c r="K586" s="8" t="n">
        <v>7.5</v>
      </c>
      <c r="L586" s="8" t="n">
        <v>3</v>
      </c>
      <c r="M586" s="29" t="inlineStr">
        <is>
          <t>HALİL DİĞRENCİ</t>
        </is>
      </c>
    </row>
    <row r="587">
      <c r="A587" s="4" t="n">
        <v>586</v>
      </c>
      <c r="B587" s="4" t="inlineStr">
        <is>
          <t>01396</t>
        </is>
      </c>
      <c r="C587" s="4" t="inlineStr">
        <is>
          <t>01396</t>
        </is>
      </c>
      <c r="D587" s="29" t="inlineStr">
        <is>
          <t>CEMAL BULUT</t>
        </is>
      </c>
      <c r="E587" s="4" t="inlineStr">
        <is>
          <t>Perşembe</t>
        </is>
      </c>
      <c r="F587" s="4" t="inlineStr">
        <is>
          <t>8.10.2026</t>
        </is>
      </c>
      <c r="G587" s="4" t="inlineStr">
        <is>
          <t>20:02</t>
        </is>
      </c>
      <c r="H587" s="4" t="inlineStr">
        <is>
          <t>8.10.2026</t>
        </is>
      </c>
      <c r="I587" s="4" t="inlineStr">
        <is>
          <t>08:00</t>
        </is>
      </c>
      <c r="J587" s="8" t="n">
        <v>10.5</v>
      </c>
      <c r="K587" s="8" t="n">
        <v>7.5</v>
      </c>
      <c r="L587" s="8" t="n">
        <v>3</v>
      </c>
      <c r="M587" s="29" t="inlineStr">
        <is>
          <t>HALİL DİĞRENCİ</t>
        </is>
      </c>
    </row>
    <row r="588">
      <c r="A588" s="4" t="n">
        <v>587</v>
      </c>
      <c r="B588" s="4" t="inlineStr">
        <is>
          <t>01396</t>
        </is>
      </c>
      <c r="C588" s="4" t="inlineStr">
        <is>
          <t>01396</t>
        </is>
      </c>
      <c r="D588" s="29" t="inlineStr">
        <is>
          <t>CEMAL BULUT</t>
        </is>
      </c>
      <c r="E588" s="4" t="inlineStr">
        <is>
          <t>Cumartesi</t>
        </is>
      </c>
      <c r="F588" s="4" t="inlineStr">
        <is>
          <t>10.10.2026</t>
        </is>
      </c>
      <c r="G588" s="4" t="inlineStr">
        <is>
          <t>19:57</t>
        </is>
      </c>
      <c r="H588" s="4" t="inlineStr">
        <is>
          <t>10.10.2026</t>
        </is>
      </c>
      <c r="I588" s="4" t="inlineStr">
        <is>
          <t>08:09</t>
        </is>
      </c>
      <c r="J588" s="8" t="n">
        <v>10.5</v>
      </c>
      <c r="K588" s="8" t="n">
        <v>7.5</v>
      </c>
      <c r="L588" s="8" t="n">
        <v>3</v>
      </c>
      <c r="M588" s="29" t="inlineStr">
        <is>
          <t>HALİL DİĞRENCİ</t>
        </is>
      </c>
    </row>
    <row r="589">
      <c r="A589" s="4" t="n">
        <v>588</v>
      </c>
      <c r="B589" s="4" t="inlineStr">
        <is>
          <t>01396</t>
        </is>
      </c>
      <c r="C589" s="4" t="inlineStr">
        <is>
          <t>01396</t>
        </is>
      </c>
      <c r="D589" s="29" t="inlineStr">
        <is>
          <t>CEMAL BULUT</t>
        </is>
      </c>
      <c r="E589" s="4" t="inlineStr">
        <is>
          <t>Pazartesi</t>
        </is>
      </c>
      <c r="F589" s="4" t="inlineStr">
        <is>
          <t>12.10.2026</t>
        </is>
      </c>
      <c r="G589" s="4" t="inlineStr">
        <is>
          <t>19:44</t>
        </is>
      </c>
      <c r="H589" s="4" t="inlineStr">
        <is>
          <t>12.10.2026</t>
        </is>
      </c>
      <c r="I589" s="4" t="inlineStr">
        <is>
          <t>08:05</t>
        </is>
      </c>
      <c r="J589" s="8" t="n">
        <v>10.5</v>
      </c>
      <c r="K589" s="8" t="n">
        <v>7.5</v>
      </c>
      <c r="L589" s="8" t="n">
        <v>3</v>
      </c>
      <c r="M589" s="29" t="inlineStr">
        <is>
          <t>HALİL DİĞRENCİ</t>
        </is>
      </c>
    </row>
    <row r="590">
      <c r="A590" s="4" t="n">
        <v>589</v>
      </c>
      <c r="B590" s="4" t="inlineStr">
        <is>
          <t>01396</t>
        </is>
      </c>
      <c r="C590" s="4" t="inlineStr">
        <is>
          <t>01396</t>
        </is>
      </c>
      <c r="D590" s="29" t="inlineStr">
        <is>
          <t>CEMAL BULUT</t>
        </is>
      </c>
      <c r="E590" s="4" t="inlineStr">
        <is>
          <t>Çarşamba</t>
        </is>
      </c>
      <c r="F590" s="4" t="inlineStr">
        <is>
          <t>14.10.2026</t>
        </is>
      </c>
      <c r="G590" s="4" t="inlineStr">
        <is>
          <t>20:06</t>
        </is>
      </c>
      <c r="H590" s="4" t="inlineStr">
        <is>
          <t>14.10.2026</t>
        </is>
      </c>
      <c r="I590" s="4" t="inlineStr">
        <is>
          <t>08:01</t>
        </is>
      </c>
      <c r="J590" s="8" t="n">
        <v>10.5</v>
      </c>
      <c r="K590" s="8" t="n">
        <v>7.5</v>
      </c>
      <c r="L590" s="8" t="n">
        <v>3</v>
      </c>
      <c r="M590" s="29" t="inlineStr">
        <is>
          <t>HALİL DİĞRENCİ</t>
        </is>
      </c>
    </row>
    <row r="591">
      <c r="A591" s="4" t="n">
        <v>590</v>
      </c>
      <c r="B591" s="4" t="inlineStr">
        <is>
          <t>00031</t>
        </is>
      </c>
      <c r="C591" s="4" t="inlineStr">
        <is>
          <t>00031</t>
        </is>
      </c>
      <c r="D591" s="29" t="inlineStr">
        <is>
          <t>CEMALETTİN BEDİZCİ</t>
        </is>
      </c>
      <c r="E591" s="4" t="inlineStr">
        <is>
          <t>Perşembe</t>
        </is>
      </c>
      <c r="F591" s="4" t="inlineStr">
        <is>
          <t>1.10.2026</t>
        </is>
      </c>
      <c r="G591" s="4" t="inlineStr">
        <is>
          <t>07:39</t>
        </is>
      </c>
      <c r="H591" s="4" t="inlineStr">
        <is>
          <t>1.10.2026</t>
        </is>
      </c>
      <c r="I591" s="4" t="inlineStr">
        <is>
          <t>19:16</t>
        </is>
      </c>
      <c r="J591" s="8" t="n">
        <v>9.5</v>
      </c>
      <c r="K591" s="8" t="n">
        <v>7.5</v>
      </c>
      <c r="L591" s="8" t="n">
        <v>2</v>
      </c>
      <c r="M591" s="29" t="inlineStr">
        <is>
          <t>KARACABEY</t>
        </is>
      </c>
    </row>
    <row r="592">
      <c r="A592" s="4" t="n">
        <v>591</v>
      </c>
      <c r="B592" s="4" t="inlineStr">
        <is>
          <t>00031</t>
        </is>
      </c>
      <c r="C592" s="4" t="inlineStr">
        <is>
          <t>00031</t>
        </is>
      </c>
      <c r="D592" s="29" t="inlineStr">
        <is>
          <t>CEMALETTİN BEDİZCİ</t>
        </is>
      </c>
      <c r="E592" s="4" t="inlineStr">
        <is>
          <t>Cuma</t>
        </is>
      </c>
      <c r="F592" s="4" t="inlineStr">
        <is>
          <t>2.10.2026</t>
        </is>
      </c>
      <c r="G592" s="4" t="inlineStr">
        <is>
          <t>07:54</t>
        </is>
      </c>
      <c r="H592" s="4" t="inlineStr">
        <is>
          <t>2.10.2026</t>
        </is>
      </c>
      <c r="I592" s="4" t="inlineStr">
        <is>
          <t>19:51</t>
        </is>
      </c>
      <c r="J592" s="8" t="n">
        <v>10.5</v>
      </c>
      <c r="K592" s="8" t="n">
        <v>7.5</v>
      </c>
      <c r="L592" s="8" t="n">
        <v>3</v>
      </c>
      <c r="M592" s="29" t="inlineStr">
        <is>
          <t>KARACABEY</t>
        </is>
      </c>
    </row>
    <row r="593">
      <c r="A593" s="4" t="n">
        <v>592</v>
      </c>
      <c r="B593" s="4" t="inlineStr">
        <is>
          <t>00031</t>
        </is>
      </c>
      <c r="C593" s="4" t="inlineStr">
        <is>
          <t>00031</t>
        </is>
      </c>
      <c r="D593" s="29" t="inlineStr">
        <is>
          <t>CEMALETTİN BEDİZCİ</t>
        </is>
      </c>
      <c r="E593" s="4" t="inlineStr">
        <is>
          <t>Cumartesi</t>
        </is>
      </c>
      <c r="F593" s="4" t="inlineStr">
        <is>
          <t>3.10.2026</t>
        </is>
      </c>
      <c r="G593" s="4" t="inlineStr">
        <is>
          <t>07:50</t>
        </is>
      </c>
      <c r="H593" s="4" t="inlineStr">
        <is>
          <t>3.10.2026</t>
        </is>
      </c>
      <c r="I593" s="4" t="inlineStr">
        <is>
          <t>-</t>
        </is>
      </c>
      <c r="J593" s="8" t="n">
        <v>7.5</v>
      </c>
      <c r="K593" s="8" t="n">
        <v>7.5</v>
      </c>
      <c r="L593" s="8" t="n">
        <v>0</v>
      </c>
      <c r="M593" s="29" t="inlineStr">
        <is>
          <t>KARACABEY</t>
        </is>
      </c>
    </row>
    <row r="594">
      <c r="A594" s="4" t="n">
        <v>593</v>
      </c>
      <c r="B594" s="4" t="inlineStr">
        <is>
          <t>00031</t>
        </is>
      </c>
      <c r="C594" s="4" t="inlineStr">
        <is>
          <t>00031</t>
        </is>
      </c>
      <c r="D594" s="29" t="inlineStr">
        <is>
          <t>CEMALETTİN BEDİZCİ</t>
        </is>
      </c>
      <c r="E594" s="4" t="inlineStr">
        <is>
          <t>Pazartesi</t>
        </is>
      </c>
      <c r="F594" s="4" t="inlineStr">
        <is>
          <t>5.10.2026</t>
        </is>
      </c>
      <c r="G594" s="4" t="inlineStr">
        <is>
          <t>07:52</t>
        </is>
      </c>
      <c r="H594" s="4" t="inlineStr">
        <is>
          <t>5.10.2026</t>
        </is>
      </c>
      <c r="I594" s="4" t="inlineStr">
        <is>
          <t>18:55</t>
        </is>
      </c>
      <c r="J594" s="8" t="n">
        <v>9.5</v>
      </c>
      <c r="K594" s="8" t="n">
        <v>7.5</v>
      </c>
      <c r="L594" s="8" t="n">
        <v>2</v>
      </c>
      <c r="M594" s="29" t="inlineStr">
        <is>
          <t>KARACABEY</t>
        </is>
      </c>
    </row>
    <row r="595">
      <c r="A595" s="4" t="n">
        <v>594</v>
      </c>
      <c r="B595" s="4" t="inlineStr">
        <is>
          <t>00031</t>
        </is>
      </c>
      <c r="C595" s="4" t="inlineStr">
        <is>
          <t>00031</t>
        </is>
      </c>
      <c r="D595" s="29" t="inlineStr">
        <is>
          <t>CEMALETTİN BEDİZCİ</t>
        </is>
      </c>
      <c r="E595" s="4" t="inlineStr">
        <is>
          <t>Salı</t>
        </is>
      </c>
      <c r="F595" s="4" t="inlineStr">
        <is>
          <t>6.10.2026</t>
        </is>
      </c>
      <c r="G595" s="4" t="inlineStr">
        <is>
          <t>07:53</t>
        </is>
      </c>
      <c r="H595" s="4" t="inlineStr">
        <is>
          <t>6.10.2026</t>
        </is>
      </c>
      <c r="I595" s="4" t="inlineStr">
        <is>
          <t>20:17</t>
        </is>
      </c>
      <c r="J595" s="8" t="n">
        <v>10.5</v>
      </c>
      <c r="K595" s="8" t="n">
        <v>7.5</v>
      </c>
      <c r="L595" s="8" t="n">
        <v>3</v>
      </c>
      <c r="M595" s="29" t="inlineStr">
        <is>
          <t>KARACABEY</t>
        </is>
      </c>
    </row>
    <row r="596">
      <c r="A596" s="4" t="n">
        <v>595</v>
      </c>
      <c r="B596" s="4" t="inlineStr">
        <is>
          <t>00031</t>
        </is>
      </c>
      <c r="C596" s="4" t="inlineStr">
        <is>
          <t>00031</t>
        </is>
      </c>
      <c r="D596" s="29" t="inlineStr">
        <is>
          <t>CEMALETTİN BEDİZCİ</t>
        </is>
      </c>
      <c r="E596" s="4" t="inlineStr">
        <is>
          <t>Çarşamba</t>
        </is>
      </c>
      <c r="F596" s="4" t="inlineStr">
        <is>
          <t>7.10.2026</t>
        </is>
      </c>
      <c r="G596" s="4" t="inlineStr">
        <is>
          <t>07:46</t>
        </is>
      </c>
      <c r="H596" s="4" t="inlineStr">
        <is>
          <t>7.10.2026</t>
        </is>
      </c>
      <c r="I596" s="4" t="inlineStr">
        <is>
          <t>20:00</t>
        </is>
      </c>
      <c r="J596" s="8" t="n">
        <v>10.5</v>
      </c>
      <c r="K596" s="8" t="n">
        <v>7.5</v>
      </c>
      <c r="L596" s="8" t="n">
        <v>3</v>
      </c>
      <c r="M596" s="29" t="inlineStr">
        <is>
          <t>KARACABEY</t>
        </is>
      </c>
    </row>
    <row r="597">
      <c r="A597" s="4" t="n">
        <v>596</v>
      </c>
      <c r="B597" s="4" t="inlineStr">
        <is>
          <t>00031</t>
        </is>
      </c>
      <c r="C597" s="4" t="inlineStr">
        <is>
          <t>00031</t>
        </is>
      </c>
      <c r="D597" s="29" t="inlineStr">
        <is>
          <t>CEMALETTİN BEDİZCİ</t>
        </is>
      </c>
      <c r="E597" s="4" t="inlineStr">
        <is>
          <t>Perşembe</t>
        </is>
      </c>
      <c r="F597" s="4" t="inlineStr">
        <is>
          <t>8.10.2026</t>
        </is>
      </c>
      <c r="G597" s="4" t="inlineStr">
        <is>
          <t>07:48</t>
        </is>
      </c>
      <c r="H597" s="4" t="inlineStr">
        <is>
          <t>8.10.2026</t>
        </is>
      </c>
      <c r="I597" s="4" t="inlineStr">
        <is>
          <t>22:59</t>
        </is>
      </c>
      <c r="J597" s="8" t="n">
        <v>13.5</v>
      </c>
      <c r="K597" s="8" t="n">
        <v>7.5</v>
      </c>
      <c r="L597" s="8" t="n">
        <v>6</v>
      </c>
      <c r="M597" s="29" t="inlineStr">
        <is>
          <t>KARACABEY</t>
        </is>
      </c>
    </row>
    <row r="598">
      <c r="A598" s="4" t="n">
        <v>597</v>
      </c>
      <c r="B598" s="4" t="inlineStr">
        <is>
          <t>00031</t>
        </is>
      </c>
      <c r="C598" s="4" t="inlineStr">
        <is>
          <t>00031</t>
        </is>
      </c>
      <c r="D598" s="29" t="inlineStr">
        <is>
          <t>CEMALETTİN BEDİZCİ</t>
        </is>
      </c>
      <c r="E598" s="4" t="inlineStr">
        <is>
          <t>Cuma</t>
        </is>
      </c>
      <c r="F598" s="4" t="inlineStr">
        <is>
          <t>9.10.2026</t>
        </is>
      </c>
      <c r="G598" s="4" t="inlineStr">
        <is>
          <t>07:47</t>
        </is>
      </c>
      <c r="H598" s="4" t="inlineStr">
        <is>
          <t>9.10.2026</t>
        </is>
      </c>
      <c r="I598" s="4" t="inlineStr">
        <is>
          <t>19:33</t>
        </is>
      </c>
      <c r="J598" s="8" t="n">
        <v>10</v>
      </c>
      <c r="K598" s="8" t="n">
        <v>7.5</v>
      </c>
      <c r="L598" s="8" t="n">
        <v>2.5</v>
      </c>
      <c r="M598" s="29" t="inlineStr">
        <is>
          <t>KARACABEY</t>
        </is>
      </c>
    </row>
    <row r="599">
      <c r="A599" s="4" t="n">
        <v>598</v>
      </c>
      <c r="B599" s="4" t="inlineStr">
        <is>
          <t>00031</t>
        </is>
      </c>
      <c r="C599" s="4" t="inlineStr">
        <is>
          <t>00031</t>
        </is>
      </c>
      <c r="D599" s="29" t="inlineStr">
        <is>
          <t>CEMALETTİN BEDİZCİ</t>
        </is>
      </c>
      <c r="E599" s="4" t="inlineStr">
        <is>
          <t>Cumartesi</t>
        </is>
      </c>
      <c r="F599" s="4" t="inlineStr">
        <is>
          <t>10.10.2026</t>
        </is>
      </c>
      <c r="G599" s="4" t="inlineStr">
        <is>
          <t>07:48</t>
        </is>
      </c>
      <c r="H599" s="4" t="inlineStr">
        <is>
          <t>10.10.2026</t>
        </is>
      </c>
      <c r="I599" s="4" t="inlineStr">
        <is>
          <t>20:10</t>
        </is>
      </c>
      <c r="J599" s="8" t="n">
        <v>10.5</v>
      </c>
      <c r="K599" s="8" t="n">
        <v>7.5</v>
      </c>
      <c r="L599" s="8" t="n">
        <v>3</v>
      </c>
      <c r="M599" s="29" t="inlineStr">
        <is>
          <t>KARACABEY</t>
        </is>
      </c>
    </row>
    <row r="600">
      <c r="A600" s="4" t="n">
        <v>599</v>
      </c>
      <c r="B600" s="4" t="inlineStr">
        <is>
          <t>00031</t>
        </is>
      </c>
      <c r="C600" s="4" t="inlineStr">
        <is>
          <t>00031</t>
        </is>
      </c>
      <c r="D600" s="29" t="inlineStr">
        <is>
          <t>CEMALETTİN BEDİZCİ</t>
        </is>
      </c>
      <c r="E600" s="4" t="inlineStr">
        <is>
          <t>Pazar</t>
        </is>
      </c>
      <c r="F600" s="4" t="inlineStr">
        <is>
          <t>11.10.2026</t>
        </is>
      </c>
      <c r="G600" s="4" t="inlineStr">
        <is>
          <t>07:56</t>
        </is>
      </c>
      <c r="H600" s="4" t="inlineStr">
        <is>
          <t>11.10.2026</t>
        </is>
      </c>
      <c r="I600" s="4" t="inlineStr">
        <is>
          <t>16:30</t>
        </is>
      </c>
      <c r="J600" s="8" t="n">
        <v>7</v>
      </c>
      <c r="K600" s="8" t="n">
        <v>7</v>
      </c>
      <c r="L600" s="8" t="n">
        <v>0</v>
      </c>
      <c r="M600" s="29" t="inlineStr">
        <is>
          <t>KARACABEY</t>
        </is>
      </c>
    </row>
    <row r="601">
      <c r="A601" s="4" t="n">
        <v>600</v>
      </c>
      <c r="B601" s="4" t="inlineStr">
        <is>
          <t>00031</t>
        </is>
      </c>
      <c r="C601" s="4" t="inlineStr">
        <is>
          <t>00031</t>
        </is>
      </c>
      <c r="D601" s="29" t="inlineStr">
        <is>
          <t>CEMALETTİN BEDİZCİ</t>
        </is>
      </c>
      <c r="E601" s="4" t="inlineStr">
        <is>
          <t>Pazartesi</t>
        </is>
      </c>
      <c r="F601" s="4" t="inlineStr">
        <is>
          <t>12.10.2026</t>
        </is>
      </c>
      <c r="G601" s="4" t="inlineStr">
        <is>
          <t>07:47</t>
        </is>
      </c>
      <c r="H601" s="4" t="inlineStr">
        <is>
          <t>12.10.2026</t>
        </is>
      </c>
      <c r="I601" s="4" t="inlineStr">
        <is>
          <t>18:53</t>
        </is>
      </c>
      <c r="J601" s="8" t="n">
        <v>9.5</v>
      </c>
      <c r="K601" s="8" t="n">
        <v>7.5</v>
      </c>
      <c r="L601" s="8" t="n">
        <v>2</v>
      </c>
      <c r="M601" s="29" t="inlineStr">
        <is>
          <t>KARACABEY</t>
        </is>
      </c>
    </row>
    <row r="602">
      <c r="A602" s="4" t="n">
        <v>601</v>
      </c>
      <c r="B602" s="4" t="inlineStr">
        <is>
          <t>00031</t>
        </is>
      </c>
      <c r="C602" s="4" t="inlineStr">
        <is>
          <t>00031</t>
        </is>
      </c>
      <c r="D602" s="29" t="inlineStr">
        <is>
          <t>CEMALETTİN BEDİZCİ</t>
        </is>
      </c>
      <c r="E602" s="4" t="inlineStr">
        <is>
          <t>Salı</t>
        </is>
      </c>
      <c r="F602" s="4" t="inlineStr">
        <is>
          <t>13.10.2026</t>
        </is>
      </c>
      <c r="G602" s="4" t="inlineStr">
        <is>
          <t>07:46</t>
        </is>
      </c>
      <c r="H602" s="4" t="inlineStr">
        <is>
          <t>13.10.2026</t>
        </is>
      </c>
      <c r="I602" s="4" t="inlineStr">
        <is>
          <t>19:07</t>
        </is>
      </c>
      <c r="J602" s="8" t="n">
        <v>9.5</v>
      </c>
      <c r="K602" s="8" t="n">
        <v>7.5</v>
      </c>
      <c r="L602" s="8" t="n">
        <v>2</v>
      </c>
      <c r="M602" s="29" t="inlineStr">
        <is>
          <t>KARACABEY</t>
        </is>
      </c>
    </row>
    <row r="603">
      <c r="A603" s="4" t="n">
        <v>602</v>
      </c>
      <c r="B603" s="4" t="inlineStr">
        <is>
          <t>00031</t>
        </is>
      </c>
      <c r="C603" s="4" t="inlineStr">
        <is>
          <t>00031</t>
        </is>
      </c>
      <c r="D603" s="29" t="inlineStr">
        <is>
          <t>CEMALETTİN BEDİZCİ</t>
        </is>
      </c>
      <c r="E603" s="4" t="inlineStr">
        <is>
          <t>Çarşamba</t>
        </is>
      </c>
      <c r="F603" s="4" t="inlineStr">
        <is>
          <t>14.10.2026</t>
        </is>
      </c>
      <c r="G603" s="4" t="inlineStr">
        <is>
          <t>07:41</t>
        </is>
      </c>
      <c r="H603" s="4" t="inlineStr">
        <is>
          <t>14.10.2026</t>
        </is>
      </c>
      <c r="I603" s="4" t="inlineStr">
        <is>
          <t>17:39</t>
        </is>
      </c>
      <c r="J603" s="8" t="n">
        <v>8</v>
      </c>
      <c r="K603" s="8" t="n">
        <v>7.5</v>
      </c>
      <c r="L603" s="8" t="n">
        <v>0.5</v>
      </c>
      <c r="M603" s="29" t="inlineStr">
        <is>
          <t>KARACABEY</t>
        </is>
      </c>
    </row>
    <row r="604">
      <c r="A604" s="4" t="n">
        <v>603</v>
      </c>
      <c r="B604" s="4" t="inlineStr">
        <is>
          <t>00031</t>
        </is>
      </c>
      <c r="C604" s="4" t="inlineStr">
        <is>
          <t>00031</t>
        </is>
      </c>
      <c r="D604" s="29" t="inlineStr">
        <is>
          <t>CEMALETTİN BEDİZCİ</t>
        </is>
      </c>
      <c r="E604" s="4" t="inlineStr">
        <is>
          <t>Perşembe</t>
        </is>
      </c>
      <c r="F604" s="4" t="inlineStr">
        <is>
          <t>15.10.2026</t>
        </is>
      </c>
      <c r="G604" s="4" t="inlineStr">
        <is>
          <t>07:45</t>
        </is>
      </c>
      <c r="H604" s="4" t="inlineStr">
        <is>
          <t>15.10.2026</t>
        </is>
      </c>
      <c r="I604" s="4" t="inlineStr">
        <is>
          <t>17:04</t>
        </is>
      </c>
      <c r="J604" s="8" t="n">
        <v>7.5</v>
      </c>
      <c r="K604" s="8" t="n">
        <v>7.5</v>
      </c>
      <c r="L604" s="8" t="n">
        <v>0</v>
      </c>
      <c r="M604" s="29" t="inlineStr">
        <is>
          <t>KARACABEY</t>
        </is>
      </c>
    </row>
    <row r="605">
      <c r="A605" s="4" t="n">
        <v>604</v>
      </c>
      <c r="B605" s="4" t="inlineStr">
        <is>
          <t>00031</t>
        </is>
      </c>
      <c r="C605" s="4" t="inlineStr">
        <is>
          <t>00031</t>
        </is>
      </c>
      <c r="D605" s="29" t="inlineStr">
        <is>
          <t>CEMALETTİN BEDİZCİ</t>
        </is>
      </c>
      <c r="E605" s="4" t="inlineStr">
        <is>
          <t>Cuma</t>
        </is>
      </c>
      <c r="F605" s="4" t="inlineStr">
        <is>
          <t>16.10.2026</t>
        </is>
      </c>
      <c r="G605" s="4" t="inlineStr">
        <is>
          <t>07:46</t>
        </is>
      </c>
      <c r="H605" s="4" t="inlineStr">
        <is>
          <t>16.10.2026</t>
        </is>
      </c>
      <c r="I605" s="4" t="inlineStr">
        <is>
          <t>20:02</t>
        </is>
      </c>
      <c r="J605" s="8" t="n">
        <v>10.5</v>
      </c>
      <c r="K605" s="8" t="n">
        <v>7.5</v>
      </c>
      <c r="L605" s="8" t="n">
        <v>3</v>
      </c>
      <c r="M605" s="29" t="inlineStr">
        <is>
          <t>KARACABEY</t>
        </is>
      </c>
    </row>
    <row r="606">
      <c r="A606" s="4" t="n">
        <v>605</v>
      </c>
      <c r="B606" s="4" t="inlineStr">
        <is>
          <t>00031</t>
        </is>
      </c>
      <c r="C606" s="4" t="inlineStr">
        <is>
          <t>00031</t>
        </is>
      </c>
      <c r="D606" s="29" t="inlineStr">
        <is>
          <t>CEMALETTİN BEDİZCİ</t>
        </is>
      </c>
      <c r="E606" s="4" t="inlineStr">
        <is>
          <t>Cumartesi</t>
        </is>
      </c>
      <c r="F606" s="4" t="inlineStr">
        <is>
          <t>17.10.2026</t>
        </is>
      </c>
      <c r="G606" s="4" t="inlineStr">
        <is>
          <t>07:48</t>
        </is>
      </c>
      <c r="H606" s="4" t="inlineStr">
        <is>
          <t>17.10.2026</t>
        </is>
      </c>
      <c r="I606" s="4" t="inlineStr">
        <is>
          <t>19:54</t>
        </is>
      </c>
      <c r="J606" s="8" t="n">
        <v>10.5</v>
      </c>
      <c r="K606" s="8" t="n">
        <v>7.5</v>
      </c>
      <c r="L606" s="8" t="n">
        <v>3</v>
      </c>
      <c r="M606" s="29" t="inlineStr">
        <is>
          <t>KARACABEY</t>
        </is>
      </c>
    </row>
    <row r="607">
      <c r="A607" s="4" t="n">
        <v>606</v>
      </c>
      <c r="B607" s="4" t="inlineStr">
        <is>
          <t>00031</t>
        </is>
      </c>
      <c r="C607" s="4" t="inlineStr">
        <is>
          <t>00031</t>
        </is>
      </c>
      <c r="D607" s="29" t="inlineStr">
        <is>
          <t>CEMALETTİN BEDİZCİ</t>
        </is>
      </c>
      <c r="E607" s="4" t="inlineStr">
        <is>
          <t>Pazartesi</t>
        </is>
      </c>
      <c r="F607" s="4" t="inlineStr">
        <is>
          <t>19.10.2026</t>
        </is>
      </c>
      <c r="G607" s="4" t="inlineStr">
        <is>
          <t>07:44</t>
        </is>
      </c>
      <c r="H607" s="4" t="inlineStr">
        <is>
          <t>19.10.2026</t>
        </is>
      </c>
      <c r="I607" s="4" t="inlineStr">
        <is>
          <t>18:25</t>
        </is>
      </c>
      <c r="J607" s="8" t="n">
        <v>9</v>
      </c>
      <c r="K607" s="8" t="n">
        <v>7.5</v>
      </c>
      <c r="L607" s="8" t="n">
        <v>1.5</v>
      </c>
      <c r="M607" s="29" t="inlineStr">
        <is>
          <t>KARACABEY</t>
        </is>
      </c>
    </row>
    <row r="608">
      <c r="A608" s="4" t="n">
        <v>607</v>
      </c>
      <c r="B608" s="4" t="inlineStr">
        <is>
          <t>00031</t>
        </is>
      </c>
      <c r="C608" s="4" t="inlineStr">
        <is>
          <t>00031</t>
        </is>
      </c>
      <c r="D608" s="29" t="inlineStr">
        <is>
          <t>CEMALETTİN BEDİZCİ</t>
        </is>
      </c>
      <c r="E608" s="4" t="inlineStr">
        <is>
          <t>Salı</t>
        </is>
      </c>
      <c r="F608" s="4" t="inlineStr">
        <is>
          <t>20.10.2026</t>
        </is>
      </c>
      <c r="G608" s="4" t="inlineStr">
        <is>
          <t>07:44</t>
        </is>
      </c>
      <c r="H608" s="4" t="inlineStr">
        <is>
          <t>20.10.2026</t>
        </is>
      </c>
      <c r="I608" s="4" t="inlineStr">
        <is>
          <t>19:00</t>
        </is>
      </c>
      <c r="J608" s="8" t="n">
        <v>9.5</v>
      </c>
      <c r="K608" s="8" t="n">
        <v>7.5</v>
      </c>
      <c r="L608" s="8" t="n">
        <v>2</v>
      </c>
      <c r="M608" s="29" t="inlineStr">
        <is>
          <t>KARACABEY</t>
        </is>
      </c>
    </row>
    <row r="609">
      <c r="A609" s="4" t="n">
        <v>608</v>
      </c>
      <c r="B609" s="4" t="inlineStr">
        <is>
          <t>00031</t>
        </is>
      </c>
      <c r="C609" s="4" t="inlineStr">
        <is>
          <t>00031</t>
        </is>
      </c>
      <c r="D609" s="29" t="inlineStr">
        <is>
          <t>CEMALETTİN BEDİZCİ</t>
        </is>
      </c>
      <c r="E609" s="4" t="inlineStr">
        <is>
          <t>Çarşamba</t>
        </is>
      </c>
      <c r="F609" s="4" t="inlineStr">
        <is>
          <t>21.10.2026</t>
        </is>
      </c>
      <c r="G609" s="4" t="inlineStr">
        <is>
          <t>10:59</t>
        </is>
      </c>
      <c r="H609" s="4" t="inlineStr">
        <is>
          <t>21.10.2026</t>
        </is>
      </c>
      <c r="I609" s="4" t="inlineStr">
        <is>
          <t>16:47</t>
        </is>
      </c>
      <c r="J609" s="8" t="n">
        <v>4.5</v>
      </c>
      <c r="K609" s="8" t="n">
        <v>4.5</v>
      </c>
      <c r="L609" s="8" t="n">
        <v>0</v>
      </c>
      <c r="M609" s="29" t="inlineStr">
        <is>
          <t>KARACABEY</t>
        </is>
      </c>
    </row>
    <row r="610">
      <c r="A610" s="4" t="n">
        <v>609</v>
      </c>
      <c r="B610" s="4" t="inlineStr">
        <is>
          <t>00217</t>
        </is>
      </c>
      <c r="C610" s="4" t="inlineStr">
        <is>
          <t>00217</t>
        </is>
      </c>
      <c r="D610" s="29" t="inlineStr">
        <is>
          <t>CEMİLE KARAN</t>
        </is>
      </c>
      <c r="E610" s="4" t="inlineStr">
        <is>
          <t>Perşembe</t>
        </is>
      </c>
      <c r="F610" s="4" t="inlineStr">
        <is>
          <t>1.10.2026</t>
        </is>
      </c>
      <c r="G610" s="4" t="inlineStr">
        <is>
          <t>07:51</t>
        </is>
      </c>
      <c r="H610" s="4" t="inlineStr">
        <is>
          <t>1.10.2026</t>
        </is>
      </c>
      <c r="I610" s="4" t="inlineStr">
        <is>
          <t>17:23</t>
        </is>
      </c>
      <c r="J610" s="8" t="n">
        <v>8</v>
      </c>
      <c r="K610" s="8" t="n">
        <v>7.5</v>
      </c>
      <c r="L610" s="8" t="n">
        <v>0.5</v>
      </c>
      <c r="M610" s="29" t="inlineStr">
        <is>
          <t>BALIKESİR</t>
        </is>
      </c>
    </row>
    <row r="611">
      <c r="A611" s="4" t="n">
        <v>610</v>
      </c>
      <c r="B611" s="4" t="inlineStr">
        <is>
          <t>00217</t>
        </is>
      </c>
      <c r="C611" s="4" t="inlineStr">
        <is>
          <t>00217</t>
        </is>
      </c>
      <c r="D611" s="29" t="inlineStr">
        <is>
          <t>CEMİLE KARAN</t>
        </is>
      </c>
      <c r="E611" s="4" t="inlineStr">
        <is>
          <t>Cuma</t>
        </is>
      </c>
      <c r="F611" s="4" t="inlineStr">
        <is>
          <t>2.10.2026</t>
        </is>
      </c>
      <c r="G611" s="4" t="inlineStr">
        <is>
          <t>07:57</t>
        </is>
      </c>
      <c r="H611" s="4" t="inlineStr">
        <is>
          <t>2.10.2026</t>
        </is>
      </c>
      <c r="I611" s="4" t="inlineStr">
        <is>
          <t>17:41</t>
        </is>
      </c>
      <c r="J611" s="8" t="n">
        <v>8</v>
      </c>
      <c r="K611" s="8" t="n">
        <v>7.5</v>
      </c>
      <c r="L611" s="8" t="n">
        <v>0.5</v>
      </c>
      <c r="M611" s="29" t="inlineStr">
        <is>
          <t>BALIKESİR</t>
        </is>
      </c>
    </row>
    <row r="612">
      <c r="A612" s="4" t="n">
        <v>611</v>
      </c>
      <c r="B612" s="4" t="inlineStr">
        <is>
          <t>00217</t>
        </is>
      </c>
      <c r="C612" s="4" t="inlineStr">
        <is>
          <t>00217</t>
        </is>
      </c>
      <c r="D612" s="29" t="inlineStr">
        <is>
          <t>CEMİLE KARAN</t>
        </is>
      </c>
      <c r="E612" s="4" t="inlineStr">
        <is>
          <t>Cumartesi</t>
        </is>
      </c>
      <c r="F612" s="4" t="inlineStr">
        <is>
          <t>3.10.2026</t>
        </is>
      </c>
      <c r="G612" s="4" t="inlineStr">
        <is>
          <t>07:56</t>
        </is>
      </c>
      <c r="H612" s="4" t="inlineStr">
        <is>
          <t>3.10.2026</t>
        </is>
      </c>
      <c r="I612" s="4" t="inlineStr">
        <is>
          <t>17:31</t>
        </is>
      </c>
      <c r="J612" s="8" t="n">
        <v>8</v>
      </c>
      <c r="K612" s="8" t="n">
        <v>7.5</v>
      </c>
      <c r="L612" s="8" t="n">
        <v>0.5</v>
      </c>
      <c r="M612" s="29" t="inlineStr">
        <is>
          <t>BALIKESİR</t>
        </is>
      </c>
    </row>
    <row r="613">
      <c r="A613" s="4" t="n">
        <v>612</v>
      </c>
      <c r="B613" s="4" t="inlineStr">
        <is>
          <t>00217</t>
        </is>
      </c>
      <c r="C613" s="4" t="inlineStr">
        <is>
          <t>00217</t>
        </is>
      </c>
      <c r="D613" s="29" t="inlineStr">
        <is>
          <t>CEMİLE KARAN</t>
        </is>
      </c>
      <c r="E613" s="4" t="inlineStr">
        <is>
          <t>Pazartesi</t>
        </is>
      </c>
      <c r="F613" s="4" t="inlineStr">
        <is>
          <t>5.10.2026</t>
        </is>
      </c>
      <c r="G613" s="4" t="inlineStr">
        <is>
          <t>07:54</t>
        </is>
      </c>
      <c r="H613" s="4" t="inlineStr">
        <is>
          <t>5.10.2026</t>
        </is>
      </c>
      <c r="I613" s="4" t="inlineStr">
        <is>
          <t>16:59</t>
        </is>
      </c>
      <c r="J613" s="8" t="n">
        <v>7.5</v>
      </c>
      <c r="K613" s="8" t="n">
        <v>7.5</v>
      </c>
      <c r="L613" s="8" t="n">
        <v>0</v>
      </c>
      <c r="M613" s="29" t="inlineStr">
        <is>
          <t>BALIKESİR</t>
        </is>
      </c>
    </row>
    <row r="614">
      <c r="A614" s="4" t="n">
        <v>613</v>
      </c>
      <c r="B614" s="4" t="inlineStr">
        <is>
          <t>00217</t>
        </is>
      </c>
      <c r="C614" s="4" t="inlineStr">
        <is>
          <t>00217</t>
        </is>
      </c>
      <c r="D614" s="29" t="inlineStr">
        <is>
          <t>CEMİLE KARAN</t>
        </is>
      </c>
      <c r="E614" s="4" t="inlineStr">
        <is>
          <t>Salı</t>
        </is>
      </c>
      <c r="F614" s="4" t="inlineStr">
        <is>
          <t>6.10.2026</t>
        </is>
      </c>
      <c r="G614" s="4" t="inlineStr">
        <is>
          <t>07:51</t>
        </is>
      </c>
      <c r="H614" s="4" t="inlineStr">
        <is>
          <t>6.10.2026</t>
        </is>
      </c>
      <c r="I614" s="4" t="inlineStr">
        <is>
          <t>17:35</t>
        </is>
      </c>
      <c r="J614" s="8" t="n">
        <v>8</v>
      </c>
      <c r="K614" s="8" t="n">
        <v>7.5</v>
      </c>
      <c r="L614" s="8" t="n">
        <v>0.5</v>
      </c>
      <c r="M614" s="29" t="inlineStr">
        <is>
          <t>BALIKESİR</t>
        </is>
      </c>
    </row>
    <row r="615">
      <c r="A615" s="4" t="n">
        <v>614</v>
      </c>
      <c r="B615" s="4" t="inlineStr">
        <is>
          <t>00217</t>
        </is>
      </c>
      <c r="C615" s="4" t="inlineStr">
        <is>
          <t>00217</t>
        </is>
      </c>
      <c r="D615" s="29" t="inlineStr">
        <is>
          <t>CEMİLE KARAN</t>
        </is>
      </c>
      <c r="E615" s="4" t="inlineStr">
        <is>
          <t>Çarşamba</t>
        </is>
      </c>
      <c r="F615" s="4" t="inlineStr">
        <is>
          <t>7.10.2026</t>
        </is>
      </c>
      <c r="G615" s="4" t="inlineStr">
        <is>
          <t>07:50</t>
        </is>
      </c>
      <c r="H615" s="4" t="inlineStr">
        <is>
          <t>7.10.2026</t>
        </is>
      </c>
      <c r="I615" s="4" t="inlineStr">
        <is>
          <t>17:18</t>
        </is>
      </c>
      <c r="J615" s="8" t="n">
        <v>7.5</v>
      </c>
      <c r="K615" s="8" t="n">
        <v>7.5</v>
      </c>
      <c r="L615" s="8" t="n">
        <v>0</v>
      </c>
      <c r="M615" s="29" t="inlineStr">
        <is>
          <t>BALIKESİR</t>
        </is>
      </c>
    </row>
    <row r="616">
      <c r="A616" s="4" t="n">
        <v>615</v>
      </c>
      <c r="B616" s="4" t="inlineStr">
        <is>
          <t>00217</t>
        </is>
      </c>
      <c r="C616" s="4" t="inlineStr">
        <is>
          <t>00217</t>
        </is>
      </c>
      <c r="D616" s="29" t="inlineStr">
        <is>
          <t>CEMİLE KARAN</t>
        </is>
      </c>
      <c r="E616" s="4" t="inlineStr">
        <is>
          <t>Perşembe</t>
        </is>
      </c>
      <c r="F616" s="4" t="inlineStr">
        <is>
          <t>8.10.2026</t>
        </is>
      </c>
      <c r="G616" s="4" t="inlineStr">
        <is>
          <t>07:52</t>
        </is>
      </c>
      <c r="H616" s="4" t="inlineStr">
        <is>
          <t>8.10.2026</t>
        </is>
      </c>
      <c r="I616" s="4" t="inlineStr">
        <is>
          <t>17:30</t>
        </is>
      </c>
      <c r="J616" s="8" t="n">
        <v>8</v>
      </c>
      <c r="K616" s="8" t="n">
        <v>7.5</v>
      </c>
      <c r="L616" s="8" t="n">
        <v>0.5</v>
      </c>
      <c r="M616" s="29" t="inlineStr">
        <is>
          <t>BALIKESİR</t>
        </is>
      </c>
    </row>
    <row r="617">
      <c r="A617" s="4" t="n">
        <v>616</v>
      </c>
      <c r="B617" s="4" t="inlineStr">
        <is>
          <t>00217</t>
        </is>
      </c>
      <c r="C617" s="4" t="inlineStr">
        <is>
          <t>00217</t>
        </is>
      </c>
      <c r="D617" s="29" t="inlineStr">
        <is>
          <t>CEMİLE KARAN</t>
        </is>
      </c>
      <c r="E617" s="4" t="inlineStr">
        <is>
          <t>Cuma</t>
        </is>
      </c>
      <c r="F617" s="4" t="inlineStr">
        <is>
          <t>9.10.2026</t>
        </is>
      </c>
      <c r="G617" s="4" t="inlineStr">
        <is>
          <t>07:52</t>
        </is>
      </c>
      <c r="H617" s="4" t="inlineStr">
        <is>
          <t>9.10.2026</t>
        </is>
      </c>
      <c r="I617" s="4" t="inlineStr">
        <is>
          <t>17:38</t>
        </is>
      </c>
      <c r="J617" s="8" t="n">
        <v>8</v>
      </c>
      <c r="K617" s="8" t="n">
        <v>7.5</v>
      </c>
      <c r="L617" s="8" t="n">
        <v>0.5</v>
      </c>
      <c r="M617" s="29" t="inlineStr">
        <is>
          <t>BALIKESİR</t>
        </is>
      </c>
    </row>
    <row r="618">
      <c r="A618" s="4" t="n">
        <v>617</v>
      </c>
      <c r="B618" s="4" t="inlineStr">
        <is>
          <t>00217</t>
        </is>
      </c>
      <c r="C618" s="4" t="inlineStr">
        <is>
          <t>00217</t>
        </is>
      </c>
      <c r="D618" s="29" t="inlineStr">
        <is>
          <t>CEMİLE KARAN</t>
        </is>
      </c>
      <c r="E618" s="4" t="inlineStr">
        <is>
          <t>Cumartesi</t>
        </is>
      </c>
      <c r="F618" s="4" t="inlineStr">
        <is>
          <t>10.10.2026</t>
        </is>
      </c>
      <c r="G618" s="4" t="inlineStr">
        <is>
          <t>07:55</t>
        </is>
      </c>
      <c r="H618" s="4" t="inlineStr">
        <is>
          <t>10.10.2026</t>
        </is>
      </c>
      <c r="I618" s="4" t="inlineStr">
        <is>
          <t>18:05</t>
        </is>
      </c>
      <c r="J618" s="8" t="n">
        <v>8.5</v>
      </c>
      <c r="K618" s="8" t="n">
        <v>7.5</v>
      </c>
      <c r="L618" s="8" t="n">
        <v>1</v>
      </c>
      <c r="M618" s="29" t="inlineStr">
        <is>
          <t>BALIKESİR</t>
        </is>
      </c>
    </row>
    <row r="619">
      <c r="A619" s="4" t="n">
        <v>618</v>
      </c>
      <c r="B619" s="4" t="inlineStr">
        <is>
          <t>00217</t>
        </is>
      </c>
      <c r="C619" s="4" t="inlineStr">
        <is>
          <t>00217</t>
        </is>
      </c>
      <c r="D619" s="29" t="inlineStr">
        <is>
          <t>CEMİLE KARAN</t>
        </is>
      </c>
      <c r="E619" s="4" t="inlineStr">
        <is>
          <t>Pazartesi</t>
        </is>
      </c>
      <c r="F619" s="4" t="inlineStr">
        <is>
          <t>12.10.2026</t>
        </is>
      </c>
      <c r="G619" s="4" t="inlineStr">
        <is>
          <t>07:52</t>
        </is>
      </c>
      <c r="H619" s="4" t="inlineStr">
        <is>
          <t>12.10.2026</t>
        </is>
      </c>
      <c r="I619" s="4" t="inlineStr">
        <is>
          <t>16:57</t>
        </is>
      </c>
      <c r="J619" s="8" t="n">
        <v>7.5</v>
      </c>
      <c r="K619" s="8" t="n">
        <v>7.5</v>
      </c>
      <c r="L619" s="8" t="n">
        <v>0</v>
      </c>
      <c r="M619" s="29" t="inlineStr">
        <is>
          <t>BALIKESİR</t>
        </is>
      </c>
    </row>
    <row r="620">
      <c r="A620" s="4" t="n">
        <v>619</v>
      </c>
      <c r="B620" s="4" t="inlineStr">
        <is>
          <t>00217</t>
        </is>
      </c>
      <c r="C620" s="4" t="inlineStr">
        <is>
          <t>00217</t>
        </is>
      </c>
      <c r="D620" s="29" t="inlineStr">
        <is>
          <t>CEMİLE KARAN</t>
        </is>
      </c>
      <c r="E620" s="4" t="inlineStr">
        <is>
          <t>Salı</t>
        </is>
      </c>
      <c r="F620" s="4" t="inlineStr">
        <is>
          <t>13.10.2026</t>
        </is>
      </c>
      <c r="G620" s="4" t="inlineStr">
        <is>
          <t>07:50</t>
        </is>
      </c>
      <c r="H620" s="4" t="inlineStr">
        <is>
          <t>13.10.2026</t>
        </is>
      </c>
      <c r="I620" s="4" t="inlineStr">
        <is>
          <t>16:59</t>
        </is>
      </c>
      <c r="J620" s="8" t="n">
        <v>7.5</v>
      </c>
      <c r="K620" s="8" t="n">
        <v>7.5</v>
      </c>
      <c r="L620" s="8" t="n">
        <v>0</v>
      </c>
      <c r="M620" s="29" t="inlineStr">
        <is>
          <t>BALIKESİR</t>
        </is>
      </c>
    </row>
    <row r="621">
      <c r="A621" s="4" t="n">
        <v>620</v>
      </c>
      <c r="B621" s="4" t="inlineStr">
        <is>
          <t>00217</t>
        </is>
      </c>
      <c r="C621" s="4" t="inlineStr">
        <is>
          <t>00217</t>
        </is>
      </c>
      <c r="D621" s="29" t="inlineStr">
        <is>
          <t>CEMİLE KARAN</t>
        </is>
      </c>
      <c r="E621" s="4" t="inlineStr">
        <is>
          <t>Çarşamba</t>
        </is>
      </c>
      <c r="F621" s="4" t="inlineStr">
        <is>
          <t>14.10.2026</t>
        </is>
      </c>
      <c r="G621" s="4" t="inlineStr">
        <is>
          <t>07:51</t>
        </is>
      </c>
      <c r="H621" s="4" t="inlineStr">
        <is>
          <t>14.10.2026</t>
        </is>
      </c>
      <c r="I621" s="4" t="inlineStr">
        <is>
          <t>18:01</t>
        </is>
      </c>
      <c r="J621" s="8" t="n">
        <v>8.5</v>
      </c>
      <c r="K621" s="8" t="n">
        <v>7.5</v>
      </c>
      <c r="L621" s="8" t="n">
        <v>1</v>
      </c>
      <c r="M621" s="29" t="inlineStr">
        <is>
          <t>BALIKESİR</t>
        </is>
      </c>
    </row>
    <row r="622">
      <c r="A622" s="4" t="n">
        <v>621</v>
      </c>
      <c r="B622" s="4" t="inlineStr">
        <is>
          <t>00217</t>
        </is>
      </c>
      <c r="C622" s="4" t="inlineStr">
        <is>
          <t>00217</t>
        </is>
      </c>
      <c r="D622" s="29" t="inlineStr">
        <is>
          <t>CEMİLE KARAN</t>
        </is>
      </c>
      <c r="E622" s="4" t="inlineStr">
        <is>
          <t>Perşembe</t>
        </is>
      </c>
      <c r="F622" s="4" t="inlineStr">
        <is>
          <t>15.10.2026</t>
        </is>
      </c>
      <c r="G622" s="4" t="inlineStr">
        <is>
          <t>07:54</t>
        </is>
      </c>
      <c r="H622" s="4" t="inlineStr">
        <is>
          <t>15.10.2026</t>
        </is>
      </c>
      <c r="I622" s="4" t="inlineStr">
        <is>
          <t>17:01</t>
        </is>
      </c>
      <c r="J622" s="8" t="n">
        <v>7.5</v>
      </c>
      <c r="K622" s="8" t="n">
        <v>7.5</v>
      </c>
      <c r="L622" s="8" t="n">
        <v>0</v>
      </c>
      <c r="M622" s="29" t="inlineStr">
        <is>
          <t>BALIKESİR</t>
        </is>
      </c>
    </row>
    <row r="623">
      <c r="A623" s="4" t="n">
        <v>622</v>
      </c>
      <c r="B623" s="4" t="inlineStr">
        <is>
          <t>00217</t>
        </is>
      </c>
      <c r="C623" s="4" t="inlineStr">
        <is>
          <t>00217</t>
        </is>
      </c>
      <c r="D623" s="29" t="inlineStr">
        <is>
          <t>CEMİLE KARAN</t>
        </is>
      </c>
      <c r="E623" s="4" t="inlineStr">
        <is>
          <t>Cuma</t>
        </is>
      </c>
      <c r="F623" s="4" t="inlineStr">
        <is>
          <t>16.10.2026</t>
        </is>
      </c>
      <c r="G623" s="4" t="inlineStr">
        <is>
          <t>07:50</t>
        </is>
      </c>
      <c r="H623" s="4" t="inlineStr">
        <is>
          <t>16.10.2026</t>
        </is>
      </c>
      <c r="I623" s="4" t="inlineStr">
        <is>
          <t>17:13</t>
        </is>
      </c>
      <c r="J623" s="8" t="n">
        <v>7.5</v>
      </c>
      <c r="K623" s="8" t="n">
        <v>7.5</v>
      </c>
      <c r="L623" s="8" t="n">
        <v>0</v>
      </c>
      <c r="M623" s="29" t="inlineStr">
        <is>
          <t>BALIKESİR</t>
        </is>
      </c>
    </row>
    <row r="624">
      <c r="A624" s="4" t="n">
        <v>623</v>
      </c>
      <c r="B624" s="4" t="inlineStr">
        <is>
          <t>00217</t>
        </is>
      </c>
      <c r="C624" s="4" t="inlineStr">
        <is>
          <t>00217</t>
        </is>
      </c>
      <c r="D624" s="29" t="inlineStr">
        <is>
          <t>CEMİLE KARAN</t>
        </is>
      </c>
      <c r="E624" s="4" t="inlineStr">
        <is>
          <t>Cumartesi</t>
        </is>
      </c>
      <c r="F624" s="4" t="inlineStr">
        <is>
          <t>17.10.2026</t>
        </is>
      </c>
      <c r="G624" s="4" t="inlineStr">
        <is>
          <t>07:58</t>
        </is>
      </c>
      <c r="H624" s="4" t="inlineStr">
        <is>
          <t>17.10.2026</t>
        </is>
      </c>
      <c r="I624" s="4" t="inlineStr">
        <is>
          <t>17:46</t>
        </is>
      </c>
      <c r="J624" s="8" t="n">
        <v>8.5</v>
      </c>
      <c r="K624" s="8" t="n">
        <v>7.5</v>
      </c>
      <c r="L624" s="8" t="n">
        <v>1</v>
      </c>
      <c r="M624" s="29" t="inlineStr">
        <is>
          <t>BALIKESİR</t>
        </is>
      </c>
    </row>
    <row r="625">
      <c r="A625" s="4" t="n">
        <v>624</v>
      </c>
      <c r="B625" s="4" t="inlineStr">
        <is>
          <t>00217</t>
        </is>
      </c>
      <c r="C625" s="4" t="inlineStr">
        <is>
          <t>00217</t>
        </is>
      </c>
      <c r="D625" s="29" t="inlineStr">
        <is>
          <t>CEMİLE KARAN</t>
        </is>
      </c>
      <c r="E625" s="4" t="inlineStr">
        <is>
          <t>Pazartesi</t>
        </is>
      </c>
      <c r="F625" s="4" t="inlineStr">
        <is>
          <t>19.10.2026</t>
        </is>
      </c>
      <c r="G625" s="4" t="inlineStr">
        <is>
          <t>07:51</t>
        </is>
      </c>
      <c r="H625" s="4" t="inlineStr">
        <is>
          <t>19.10.2026</t>
        </is>
      </c>
      <c r="I625" s="4" t="inlineStr">
        <is>
          <t>17:39</t>
        </is>
      </c>
      <c r="J625" s="8" t="n">
        <v>8</v>
      </c>
      <c r="K625" s="8" t="n">
        <v>7.5</v>
      </c>
      <c r="L625" s="8" t="n">
        <v>0.5</v>
      </c>
      <c r="M625" s="29" t="inlineStr">
        <is>
          <t>BALIKESİR</t>
        </is>
      </c>
    </row>
    <row r="626">
      <c r="A626" s="4" t="n">
        <v>625</v>
      </c>
      <c r="B626" s="4" t="inlineStr">
        <is>
          <t>00217</t>
        </is>
      </c>
      <c r="C626" s="4" t="inlineStr">
        <is>
          <t>00217</t>
        </is>
      </c>
      <c r="D626" s="29" t="inlineStr">
        <is>
          <t>CEMİLE KARAN</t>
        </is>
      </c>
      <c r="E626" s="4" t="inlineStr">
        <is>
          <t>Salı</t>
        </is>
      </c>
      <c r="F626" s="4" t="inlineStr">
        <is>
          <t>20.10.2026</t>
        </is>
      </c>
      <c r="G626" s="4" t="inlineStr">
        <is>
          <t>07:49</t>
        </is>
      </c>
      <c r="H626" s="4" t="inlineStr">
        <is>
          <t>20.10.2026</t>
        </is>
      </c>
      <c r="I626" s="4" t="inlineStr">
        <is>
          <t>16:59</t>
        </is>
      </c>
      <c r="J626" s="8" t="n">
        <v>7.5</v>
      </c>
      <c r="K626" s="8" t="n">
        <v>7.5</v>
      </c>
      <c r="L626" s="8" t="n">
        <v>0</v>
      </c>
      <c r="M626" s="29" t="inlineStr">
        <is>
          <t>BALIKESİR</t>
        </is>
      </c>
    </row>
    <row r="627">
      <c r="A627" s="4" t="n">
        <v>626</v>
      </c>
      <c r="B627" s="4" t="inlineStr">
        <is>
          <t>00217</t>
        </is>
      </c>
      <c r="C627" s="4" t="inlineStr">
        <is>
          <t>00217</t>
        </is>
      </c>
      <c r="D627" s="29" t="inlineStr">
        <is>
          <t>CEMİLE KARAN</t>
        </is>
      </c>
      <c r="E627" s="4" t="inlineStr">
        <is>
          <t>Çarşamba</t>
        </is>
      </c>
      <c r="F627" s="4" t="inlineStr">
        <is>
          <t>21.10.2026</t>
        </is>
      </c>
      <c r="G627" s="4" t="inlineStr">
        <is>
          <t>07:51</t>
        </is>
      </c>
      <c r="H627" s="4" t="inlineStr">
        <is>
          <t>21.10.2026</t>
        </is>
      </c>
      <c r="I627" s="4" t="inlineStr">
        <is>
          <t>16:59</t>
        </is>
      </c>
      <c r="J627" s="8" t="n">
        <v>7.5</v>
      </c>
      <c r="K627" s="8" t="n">
        <v>7.5</v>
      </c>
      <c r="L627" s="8" t="n">
        <v>0</v>
      </c>
      <c r="M627" s="29" t="inlineStr">
        <is>
          <t>BALIKESİR</t>
        </is>
      </c>
    </row>
    <row r="628">
      <c r="A628" s="4" t="n">
        <v>627</v>
      </c>
      <c r="B628" s="4" t="inlineStr">
        <is>
          <t>01397</t>
        </is>
      </c>
      <c r="C628" s="4" t="inlineStr">
        <is>
          <t>01397</t>
        </is>
      </c>
      <c r="D628" s="29" t="inlineStr">
        <is>
          <t>CEMİLE TER</t>
        </is>
      </c>
      <c r="E628" s="4" t="inlineStr">
        <is>
          <t>Cumartesi</t>
        </is>
      </c>
      <c r="F628" s="4" t="inlineStr">
        <is>
          <t>3.10.2026</t>
        </is>
      </c>
      <c r="G628" s="4" t="inlineStr">
        <is>
          <t>08:12</t>
        </is>
      </c>
      <c r="H628" s="4" t="inlineStr">
        <is>
          <t>3.10.2026</t>
        </is>
      </c>
      <c r="I628" s="4" t="inlineStr">
        <is>
          <t>20:00</t>
        </is>
      </c>
      <c r="J628" s="8" t="n">
        <v>10.5</v>
      </c>
      <c r="K628" s="8" t="n">
        <v>7.5</v>
      </c>
      <c r="L628" s="8" t="n">
        <v>3</v>
      </c>
      <c r="M628" s="29" t="inlineStr">
        <is>
          <t>HALİL DİĞRENCİ</t>
        </is>
      </c>
    </row>
    <row r="629">
      <c r="A629" s="4" t="n">
        <v>628</v>
      </c>
      <c r="B629" s="4" t="inlineStr">
        <is>
          <t>01397</t>
        </is>
      </c>
      <c r="C629" s="4" t="inlineStr">
        <is>
          <t>01397</t>
        </is>
      </c>
      <c r="D629" s="29" t="inlineStr">
        <is>
          <t>CEMİLE TER</t>
        </is>
      </c>
      <c r="E629" s="4" t="inlineStr">
        <is>
          <t>Pazar</t>
        </is>
      </c>
      <c r="F629" s="4" t="inlineStr">
        <is>
          <t>4.10.2026</t>
        </is>
      </c>
      <c r="G629" s="4" t="inlineStr">
        <is>
          <t>07:49</t>
        </is>
      </c>
      <c r="H629" s="4" t="inlineStr">
        <is>
          <t>4.10.2026</t>
        </is>
      </c>
      <c r="I629" s="4" t="inlineStr">
        <is>
          <t>17:08</t>
        </is>
      </c>
      <c r="J629" s="8" t="n">
        <v>7.5</v>
      </c>
      <c r="K629" s="8" t="n">
        <v>7.5</v>
      </c>
      <c r="L629" s="8" t="n">
        <v>0</v>
      </c>
      <c r="M629" s="29" t="inlineStr">
        <is>
          <t>HALİL DİĞRENCİ</t>
        </is>
      </c>
    </row>
    <row r="630">
      <c r="A630" s="4" t="n">
        <v>629</v>
      </c>
      <c r="B630" s="4" t="inlineStr">
        <is>
          <t>01397</t>
        </is>
      </c>
      <c r="C630" s="4" t="inlineStr">
        <is>
          <t>01397</t>
        </is>
      </c>
      <c r="D630" s="29" t="inlineStr">
        <is>
          <t>CEMİLE TER</t>
        </is>
      </c>
      <c r="E630" s="4" t="inlineStr">
        <is>
          <t>Pazartesi</t>
        </is>
      </c>
      <c r="F630" s="4" t="inlineStr">
        <is>
          <t>5.10.2026</t>
        </is>
      </c>
      <c r="G630" s="4" t="inlineStr">
        <is>
          <t>08:01</t>
        </is>
      </c>
      <c r="H630" s="4" t="inlineStr">
        <is>
          <t>5.10.2026</t>
        </is>
      </c>
      <c r="I630" s="4" t="inlineStr">
        <is>
          <t>19:59</t>
        </is>
      </c>
      <c r="J630" s="8" t="n">
        <v>10.5</v>
      </c>
      <c r="K630" s="8" t="n">
        <v>7.5</v>
      </c>
      <c r="L630" s="8" t="n">
        <v>3</v>
      </c>
      <c r="M630" s="29" t="inlineStr">
        <is>
          <t>HALİL DİĞRENCİ</t>
        </is>
      </c>
    </row>
    <row r="631">
      <c r="A631" s="4" t="n">
        <v>630</v>
      </c>
      <c r="B631" s="4" t="inlineStr">
        <is>
          <t>01397</t>
        </is>
      </c>
      <c r="C631" s="4" t="inlineStr">
        <is>
          <t>01397</t>
        </is>
      </c>
      <c r="D631" s="29" t="inlineStr">
        <is>
          <t>CEMİLE TER</t>
        </is>
      </c>
      <c r="E631" s="4" t="inlineStr">
        <is>
          <t>Salı</t>
        </is>
      </c>
      <c r="F631" s="4" t="inlineStr">
        <is>
          <t>6.10.2026</t>
        </is>
      </c>
      <c r="G631" s="4" t="inlineStr">
        <is>
          <t>07:58</t>
        </is>
      </c>
      <c r="H631" s="4" t="inlineStr">
        <is>
          <t>6.10.2026</t>
        </is>
      </c>
      <c r="I631" s="4" t="inlineStr">
        <is>
          <t>20:00</t>
        </is>
      </c>
      <c r="J631" s="8" t="n">
        <v>0</v>
      </c>
      <c r="K631" s="8" t="n">
        <v>0</v>
      </c>
      <c r="L631" s="8" t="n">
        <v>0</v>
      </c>
      <c r="M631" s="29" t="inlineStr">
        <is>
          <t>HALİL DİĞRENCİ</t>
        </is>
      </c>
    </row>
    <row r="632">
      <c r="A632" s="4" t="n">
        <v>631</v>
      </c>
      <c r="B632" s="4" t="inlineStr">
        <is>
          <t>01397</t>
        </is>
      </c>
      <c r="C632" s="4" t="inlineStr">
        <is>
          <t>01397</t>
        </is>
      </c>
      <c r="D632" s="29" t="inlineStr">
        <is>
          <t>CEMİLE TER</t>
        </is>
      </c>
      <c r="E632" s="4" t="inlineStr">
        <is>
          <t>Çarşamba</t>
        </is>
      </c>
      <c r="F632" s="4" t="inlineStr">
        <is>
          <t>7.10.2026</t>
        </is>
      </c>
      <c r="G632" s="4" t="inlineStr">
        <is>
          <t>07:50</t>
        </is>
      </c>
      <c r="H632" s="4" t="inlineStr">
        <is>
          <t>7.10.2026</t>
        </is>
      </c>
      <c r="I632" s="4" t="inlineStr">
        <is>
          <t>20:02</t>
        </is>
      </c>
      <c r="J632" s="8" t="n">
        <v>10.5</v>
      </c>
      <c r="K632" s="8" t="n">
        <v>7.5</v>
      </c>
      <c r="L632" s="8" t="n">
        <v>3</v>
      </c>
      <c r="M632" s="29" t="inlineStr">
        <is>
          <t>HALİL DİĞRENCİ</t>
        </is>
      </c>
    </row>
    <row r="633">
      <c r="A633" s="4" t="n">
        <v>632</v>
      </c>
      <c r="B633" s="4" t="inlineStr">
        <is>
          <t>01397</t>
        </is>
      </c>
      <c r="C633" s="4" t="inlineStr">
        <is>
          <t>01397</t>
        </is>
      </c>
      <c r="D633" s="29" t="inlineStr">
        <is>
          <t>CEMİLE TER</t>
        </is>
      </c>
      <c r="E633" s="4" t="inlineStr">
        <is>
          <t>Cuma</t>
        </is>
      </c>
      <c r="F633" s="4" t="inlineStr">
        <is>
          <t>9.10.2026</t>
        </is>
      </c>
      <c r="G633" s="4" t="inlineStr">
        <is>
          <t>07:56</t>
        </is>
      </c>
      <c r="H633" s="4" t="inlineStr">
        <is>
          <t>9.10.2026</t>
        </is>
      </c>
      <c r="I633" s="4" t="inlineStr">
        <is>
          <t>20:00</t>
        </is>
      </c>
      <c r="J633" s="8" t="n">
        <v>10.5</v>
      </c>
      <c r="K633" s="8" t="n">
        <v>7.5</v>
      </c>
      <c r="L633" s="8" t="n">
        <v>3</v>
      </c>
      <c r="M633" s="29" t="inlineStr">
        <is>
          <t>HALİL DİĞRENCİ</t>
        </is>
      </c>
    </row>
    <row r="634">
      <c r="A634" s="4" t="n">
        <v>633</v>
      </c>
      <c r="B634" s="4" t="inlineStr">
        <is>
          <t>01397</t>
        </is>
      </c>
      <c r="C634" s="4" t="inlineStr">
        <is>
          <t>01397</t>
        </is>
      </c>
      <c r="D634" s="29" t="inlineStr">
        <is>
          <t>CEMİLE TER</t>
        </is>
      </c>
      <c r="E634" s="4" t="inlineStr">
        <is>
          <t>Cumartesi</t>
        </is>
      </c>
      <c r="F634" s="4" t="inlineStr">
        <is>
          <t>10.10.2026</t>
        </is>
      </c>
      <c r="G634" s="4" t="inlineStr">
        <is>
          <t>07:36</t>
        </is>
      </c>
      <c r="H634" s="4" t="inlineStr">
        <is>
          <t>10.10.2026</t>
        </is>
      </c>
      <c r="I634" s="4" t="inlineStr">
        <is>
          <t>19:57</t>
        </is>
      </c>
      <c r="J634" s="8" t="n">
        <v>10.5</v>
      </c>
      <c r="K634" s="8" t="n">
        <v>7.5</v>
      </c>
      <c r="L634" s="8" t="n">
        <v>3</v>
      </c>
      <c r="M634" s="29" t="inlineStr">
        <is>
          <t>HALİL DİĞRENCİ</t>
        </is>
      </c>
    </row>
    <row r="635">
      <c r="A635" s="4" t="n">
        <v>634</v>
      </c>
      <c r="B635" s="4" t="inlineStr">
        <is>
          <t>01397</t>
        </is>
      </c>
      <c r="C635" s="4" t="inlineStr">
        <is>
          <t>01397</t>
        </is>
      </c>
      <c r="D635" s="29" t="inlineStr">
        <is>
          <t>CEMİLE TER</t>
        </is>
      </c>
      <c r="E635" s="4" t="inlineStr">
        <is>
          <t>Pazartesi</t>
        </is>
      </c>
      <c r="F635" s="4" t="inlineStr">
        <is>
          <t>12.10.2026</t>
        </is>
      </c>
      <c r="G635" s="4" t="inlineStr">
        <is>
          <t>07:36</t>
        </is>
      </c>
      <c r="H635" s="4" t="inlineStr">
        <is>
          <t>12.10.2026</t>
        </is>
      </c>
      <c r="I635" s="4" t="inlineStr">
        <is>
          <t>17:00</t>
        </is>
      </c>
      <c r="J635" s="8" t="n">
        <v>7.5</v>
      </c>
      <c r="K635" s="8" t="n">
        <v>7.5</v>
      </c>
      <c r="L635" s="8" t="n">
        <v>0</v>
      </c>
      <c r="M635" s="29" t="inlineStr">
        <is>
          <t>HALİL DİĞRENCİ</t>
        </is>
      </c>
    </row>
    <row r="636">
      <c r="A636" s="4" t="n">
        <v>635</v>
      </c>
      <c r="B636" s="4" t="inlineStr">
        <is>
          <t>01397</t>
        </is>
      </c>
      <c r="C636" s="4" t="inlineStr">
        <is>
          <t>01397</t>
        </is>
      </c>
      <c r="D636" s="29" t="inlineStr">
        <is>
          <t>CEMİLE TER</t>
        </is>
      </c>
      <c r="E636" s="4" t="inlineStr">
        <is>
          <t>Salı</t>
        </is>
      </c>
      <c r="F636" s="4" t="inlineStr">
        <is>
          <t>13.10.2026</t>
        </is>
      </c>
      <c r="G636" s="4" t="inlineStr">
        <is>
          <t>07:33</t>
        </is>
      </c>
      <c r="H636" s="4" t="inlineStr">
        <is>
          <t>13.10.2026</t>
        </is>
      </c>
      <c r="I636" s="4" t="inlineStr">
        <is>
          <t>19:58</t>
        </is>
      </c>
      <c r="J636" s="8" t="n">
        <v>10.5</v>
      </c>
      <c r="K636" s="8" t="n">
        <v>7.5</v>
      </c>
      <c r="L636" s="8" t="n">
        <v>3</v>
      </c>
      <c r="M636" s="29" t="inlineStr">
        <is>
          <t>HALİL DİĞRENCİ</t>
        </is>
      </c>
    </row>
    <row r="637">
      <c r="A637" s="4" t="n">
        <v>636</v>
      </c>
      <c r="B637" s="4" t="inlineStr">
        <is>
          <t>01397</t>
        </is>
      </c>
      <c r="C637" s="4" t="inlineStr">
        <is>
          <t>01397</t>
        </is>
      </c>
      <c r="D637" s="29" t="inlineStr">
        <is>
          <t>CEMİLE TER</t>
        </is>
      </c>
      <c r="E637" s="4" t="inlineStr">
        <is>
          <t>Perşembe</t>
        </is>
      </c>
      <c r="F637" s="4" t="inlineStr">
        <is>
          <t>15.10.2026</t>
        </is>
      </c>
      <c r="G637" s="4" t="inlineStr">
        <is>
          <t>07:34</t>
        </is>
      </c>
      <c r="H637" s="4" t="inlineStr">
        <is>
          <t>15.10.2026</t>
        </is>
      </c>
      <c r="I637" s="4" t="inlineStr">
        <is>
          <t>19:59</t>
        </is>
      </c>
      <c r="J637" s="8" t="n">
        <v>10.5</v>
      </c>
      <c r="K637" s="8" t="n">
        <v>7.5</v>
      </c>
      <c r="L637" s="8" t="n">
        <v>3</v>
      </c>
      <c r="M637" s="29" t="inlineStr">
        <is>
          <t>HALİL DİĞRENCİ</t>
        </is>
      </c>
    </row>
    <row r="638">
      <c r="A638" s="4" t="n">
        <v>637</v>
      </c>
      <c r="B638" s="4" t="inlineStr">
        <is>
          <t>01397</t>
        </is>
      </c>
      <c r="C638" s="4" t="inlineStr">
        <is>
          <t>01397</t>
        </is>
      </c>
      <c r="D638" s="29" t="inlineStr">
        <is>
          <t>CEMİLE TER</t>
        </is>
      </c>
      <c r="E638" s="4" t="inlineStr">
        <is>
          <t>Cuma</t>
        </is>
      </c>
      <c r="F638" s="4" t="inlineStr">
        <is>
          <t>16.10.2026</t>
        </is>
      </c>
      <c r="G638" s="4" t="inlineStr">
        <is>
          <t>07:54</t>
        </is>
      </c>
      <c r="H638" s="4" t="inlineStr">
        <is>
          <t>16.10.2026</t>
        </is>
      </c>
      <c r="I638" s="4" t="inlineStr">
        <is>
          <t>20:02</t>
        </is>
      </c>
      <c r="J638" s="8" t="n">
        <v>10.5</v>
      </c>
      <c r="K638" s="8" t="n">
        <v>7.5</v>
      </c>
      <c r="L638" s="8" t="n">
        <v>3</v>
      </c>
      <c r="M638" s="29" t="inlineStr">
        <is>
          <t>HALİL DİĞRENCİ</t>
        </is>
      </c>
    </row>
    <row r="639">
      <c r="A639" s="4" t="n">
        <v>638</v>
      </c>
      <c r="B639" s="4" t="inlineStr">
        <is>
          <t>01397</t>
        </is>
      </c>
      <c r="C639" s="4" t="inlineStr">
        <is>
          <t>01397</t>
        </is>
      </c>
      <c r="D639" s="29" t="inlineStr">
        <is>
          <t>CEMİLE TER</t>
        </is>
      </c>
      <c r="E639" s="4" t="inlineStr">
        <is>
          <t>Pazartesi</t>
        </is>
      </c>
      <c r="F639" s="4" t="inlineStr">
        <is>
          <t>19.10.2026</t>
        </is>
      </c>
      <c r="G639" s="4" t="inlineStr">
        <is>
          <t>08:00</t>
        </is>
      </c>
      <c r="H639" s="4" t="inlineStr">
        <is>
          <t>19.10.2026</t>
        </is>
      </c>
      <c r="I639" s="4" t="inlineStr">
        <is>
          <t>19:58</t>
        </is>
      </c>
      <c r="J639" s="8" t="n">
        <v>10.5</v>
      </c>
      <c r="K639" s="8" t="n">
        <v>7.5</v>
      </c>
      <c r="L639" s="8" t="n">
        <v>3</v>
      </c>
      <c r="M639" s="29" t="inlineStr">
        <is>
          <t>HALİL DİĞRENCİ</t>
        </is>
      </c>
    </row>
    <row r="640">
      <c r="A640" s="4" t="n">
        <v>639</v>
      </c>
      <c r="B640" s="4" t="inlineStr">
        <is>
          <t>01397</t>
        </is>
      </c>
      <c r="C640" s="4" t="inlineStr">
        <is>
          <t>01397</t>
        </is>
      </c>
      <c r="D640" s="29" t="inlineStr">
        <is>
          <t>CEMİLE TER</t>
        </is>
      </c>
      <c r="E640" s="4" t="inlineStr">
        <is>
          <t>Salı</t>
        </is>
      </c>
      <c r="F640" s="4" t="inlineStr">
        <is>
          <t>20.10.2026</t>
        </is>
      </c>
      <c r="G640" s="4" t="inlineStr">
        <is>
          <t>-</t>
        </is>
      </c>
      <c r="H640" s="4" t="inlineStr">
        <is>
          <t>20.10.2026</t>
        </is>
      </c>
      <c r="I640" s="4" t="inlineStr">
        <is>
          <t>17:04</t>
        </is>
      </c>
      <c r="J640" s="8" t="n">
        <v>7.5</v>
      </c>
      <c r="K640" s="8" t="n">
        <v>7.5</v>
      </c>
      <c r="L640" s="8" t="n">
        <v>0</v>
      </c>
      <c r="M640" s="29" t="inlineStr">
        <is>
          <t>HALİL DİĞRENCİ</t>
        </is>
      </c>
    </row>
    <row r="641">
      <c r="A641" s="4" t="n">
        <v>640</v>
      </c>
      <c r="B641" s="4" t="inlineStr">
        <is>
          <t>01397</t>
        </is>
      </c>
      <c r="C641" s="4" t="inlineStr">
        <is>
          <t>01397</t>
        </is>
      </c>
      <c r="D641" s="29" t="inlineStr">
        <is>
          <t>CEMİLE TER</t>
        </is>
      </c>
      <c r="E641" s="4" t="inlineStr">
        <is>
          <t>Çarşamba</t>
        </is>
      </c>
      <c r="F641" s="4" t="inlineStr">
        <is>
          <t>21.10.2026</t>
        </is>
      </c>
      <c r="G641" s="4" t="inlineStr">
        <is>
          <t>07:39</t>
        </is>
      </c>
      <c r="H641" s="4" t="inlineStr">
        <is>
          <t>21.10.2026</t>
        </is>
      </c>
      <c r="I641" s="4" t="inlineStr">
        <is>
          <t>16:59</t>
        </is>
      </c>
      <c r="J641" s="8" t="n">
        <v>7.5</v>
      </c>
      <c r="K641" s="8" t="n">
        <v>7.5</v>
      </c>
      <c r="L641" s="8" t="n">
        <v>0</v>
      </c>
      <c r="M641" s="29" t="inlineStr">
        <is>
          <t>HALİL DİĞRENCİ</t>
        </is>
      </c>
    </row>
    <row r="642">
      <c r="A642" s="4" t="n">
        <v>641</v>
      </c>
      <c r="B642" s="4" t="inlineStr">
        <is>
          <t>00320</t>
        </is>
      </c>
      <c r="C642" s="4" t="inlineStr">
        <is>
          <t>00320</t>
        </is>
      </c>
      <c r="D642" s="29" t="inlineStr">
        <is>
          <t>CEYDA ÖZ</t>
        </is>
      </c>
      <c r="E642" s="4" t="inlineStr">
        <is>
          <t>Perşembe</t>
        </is>
      </c>
      <c r="F642" s="4" t="inlineStr">
        <is>
          <t>1.10.2026</t>
        </is>
      </c>
      <c r="G642" s="4" t="inlineStr">
        <is>
          <t>15:49</t>
        </is>
      </c>
      <c r="H642" s="4" t="inlineStr">
        <is>
          <t>1.10.2026</t>
        </is>
      </c>
      <c r="I642" s="4" t="inlineStr">
        <is>
          <t>00:05</t>
        </is>
      </c>
      <c r="J642" s="8" t="n">
        <v>7.5</v>
      </c>
      <c r="K642" s="8" t="n">
        <v>7.5</v>
      </c>
      <c r="L642" s="8" t="n">
        <v>0</v>
      </c>
      <c r="M642" s="29" t="inlineStr">
        <is>
          <t>BİGADİÇ</t>
        </is>
      </c>
    </row>
    <row r="643">
      <c r="A643" s="4" t="n">
        <v>642</v>
      </c>
      <c r="B643" s="4" t="inlineStr">
        <is>
          <t>00320</t>
        </is>
      </c>
      <c r="C643" s="4" t="inlineStr">
        <is>
          <t>00320</t>
        </is>
      </c>
      <c r="D643" s="29" t="inlineStr">
        <is>
          <t>CEYDA ÖZ</t>
        </is>
      </c>
      <c r="E643" s="4" t="inlineStr">
        <is>
          <t>Cuma</t>
        </is>
      </c>
      <c r="F643" s="4" t="inlineStr">
        <is>
          <t>2.10.2026</t>
        </is>
      </c>
      <c r="G643" s="4" t="inlineStr">
        <is>
          <t>15:45</t>
        </is>
      </c>
      <c r="H643" s="4" t="inlineStr">
        <is>
          <t>2.10.2026</t>
        </is>
      </c>
      <c r="I643" s="4" t="inlineStr">
        <is>
          <t>00:01</t>
        </is>
      </c>
      <c r="J643" s="8" t="n">
        <v>7.5</v>
      </c>
      <c r="K643" s="8" t="n">
        <v>7.5</v>
      </c>
      <c r="L643" s="8" t="n">
        <v>0</v>
      </c>
      <c r="M643" s="29" t="inlineStr">
        <is>
          <t>BİGADİÇ</t>
        </is>
      </c>
    </row>
    <row r="644">
      <c r="A644" s="4" t="n">
        <v>643</v>
      </c>
      <c r="B644" s="4" t="inlineStr">
        <is>
          <t>00320</t>
        </is>
      </c>
      <c r="C644" s="4" t="inlineStr">
        <is>
          <t>00320</t>
        </is>
      </c>
      <c r="D644" s="29" t="inlineStr">
        <is>
          <t>CEYDA ÖZ</t>
        </is>
      </c>
      <c r="E644" s="4" t="inlineStr">
        <is>
          <t>Cumartesi</t>
        </is>
      </c>
      <c r="F644" s="4" t="inlineStr">
        <is>
          <t>3.10.2026</t>
        </is>
      </c>
      <c r="G644" s="4" t="inlineStr">
        <is>
          <t>16:06</t>
        </is>
      </c>
      <c r="H644" s="4" t="inlineStr">
        <is>
          <t>3.10.2026</t>
        </is>
      </c>
      <c r="I644" s="4" t="inlineStr">
        <is>
          <t>00:06</t>
        </is>
      </c>
      <c r="J644" s="8" t="n">
        <v>7.5</v>
      </c>
      <c r="K644" s="8" t="n">
        <v>7.5</v>
      </c>
      <c r="L644" s="8" t="n">
        <v>0</v>
      </c>
      <c r="M644" s="29" t="inlineStr">
        <is>
          <t>BİGADİÇ</t>
        </is>
      </c>
    </row>
    <row r="645">
      <c r="A645" s="4" t="n">
        <v>644</v>
      </c>
      <c r="B645" s="4" t="inlineStr">
        <is>
          <t>00320</t>
        </is>
      </c>
      <c r="C645" s="4" t="inlineStr">
        <is>
          <t>00320</t>
        </is>
      </c>
      <c r="D645" s="29" t="inlineStr">
        <is>
          <t>CEYDA ÖZ</t>
        </is>
      </c>
      <c r="E645" s="4" t="inlineStr">
        <is>
          <t>Pazartesi</t>
        </is>
      </c>
      <c r="F645" s="4" t="inlineStr">
        <is>
          <t>5.10.2026</t>
        </is>
      </c>
      <c r="G645" s="4" t="inlineStr">
        <is>
          <t>16:05</t>
        </is>
      </c>
      <c r="H645" s="4" t="inlineStr">
        <is>
          <t>5.10.2026</t>
        </is>
      </c>
      <c r="I645" s="4" t="inlineStr">
        <is>
          <t>23:59</t>
        </is>
      </c>
      <c r="J645" s="8" t="n">
        <v>7.5</v>
      </c>
      <c r="K645" s="8" t="n">
        <v>7.5</v>
      </c>
      <c r="L645" s="8" t="n">
        <v>0</v>
      </c>
      <c r="M645" s="29" t="inlineStr">
        <is>
          <t>BİGADİÇ</t>
        </is>
      </c>
    </row>
    <row r="646">
      <c r="A646" s="4" t="n">
        <v>645</v>
      </c>
      <c r="B646" s="4" t="inlineStr">
        <is>
          <t>00320</t>
        </is>
      </c>
      <c r="C646" s="4" t="inlineStr">
        <is>
          <t>00320</t>
        </is>
      </c>
      <c r="D646" s="29" t="inlineStr">
        <is>
          <t>CEYDA ÖZ</t>
        </is>
      </c>
      <c r="E646" s="4" t="inlineStr">
        <is>
          <t>Salı</t>
        </is>
      </c>
      <c r="F646" s="4" t="inlineStr">
        <is>
          <t>6.10.2026</t>
        </is>
      </c>
      <c r="G646" s="4" t="inlineStr">
        <is>
          <t>15:45</t>
        </is>
      </c>
      <c r="H646" s="4" t="inlineStr">
        <is>
          <t>6.10.2026</t>
        </is>
      </c>
      <c r="I646" s="4" t="inlineStr">
        <is>
          <t>23:58</t>
        </is>
      </c>
      <c r="J646" s="8" t="n">
        <v>7.5</v>
      </c>
      <c r="K646" s="8" t="n">
        <v>7.5</v>
      </c>
      <c r="L646" s="8" t="n">
        <v>0</v>
      </c>
      <c r="M646" s="29" t="inlineStr">
        <is>
          <t>BİGADİÇ</t>
        </is>
      </c>
    </row>
    <row r="647">
      <c r="A647" s="4" t="n">
        <v>646</v>
      </c>
      <c r="B647" s="4" t="inlineStr">
        <is>
          <t>00320</t>
        </is>
      </c>
      <c r="C647" s="4" t="inlineStr">
        <is>
          <t>00320</t>
        </is>
      </c>
      <c r="D647" s="29" t="inlineStr">
        <is>
          <t>CEYDA ÖZ</t>
        </is>
      </c>
      <c r="E647" s="4" t="inlineStr">
        <is>
          <t>Çarşamba</t>
        </is>
      </c>
      <c r="F647" s="4" t="inlineStr">
        <is>
          <t>7.10.2026</t>
        </is>
      </c>
      <c r="G647" s="4" t="inlineStr">
        <is>
          <t>15:55</t>
        </is>
      </c>
      <c r="H647" s="4" t="inlineStr">
        <is>
          <t>7.10.2026</t>
        </is>
      </c>
      <c r="I647" s="4" t="inlineStr">
        <is>
          <t>23:59</t>
        </is>
      </c>
      <c r="J647" s="8" t="n">
        <v>7.5</v>
      </c>
      <c r="K647" s="8" t="n">
        <v>7.5</v>
      </c>
      <c r="L647" s="8" t="n">
        <v>0</v>
      </c>
      <c r="M647" s="29" t="inlineStr">
        <is>
          <t>BİGADİÇ</t>
        </is>
      </c>
    </row>
    <row r="648">
      <c r="A648" s="4" t="n">
        <v>647</v>
      </c>
      <c r="B648" s="4" t="inlineStr">
        <is>
          <t>00320</t>
        </is>
      </c>
      <c r="C648" s="4" t="inlineStr">
        <is>
          <t>00320</t>
        </is>
      </c>
      <c r="D648" s="29" t="inlineStr">
        <is>
          <t>CEYDA ÖZ</t>
        </is>
      </c>
      <c r="E648" s="4" t="inlineStr">
        <is>
          <t>Perşembe</t>
        </is>
      </c>
      <c r="F648" s="4" t="inlineStr">
        <is>
          <t>8.10.2026</t>
        </is>
      </c>
      <c r="G648" s="4" t="inlineStr">
        <is>
          <t>15:53</t>
        </is>
      </c>
      <c r="H648" s="4" t="inlineStr">
        <is>
          <t>8.10.2026</t>
        </is>
      </c>
      <c r="I648" s="4" t="inlineStr">
        <is>
          <t>23:58</t>
        </is>
      </c>
      <c r="J648" s="8" t="n">
        <v>7.5</v>
      </c>
      <c r="K648" s="8" t="n">
        <v>7.5</v>
      </c>
      <c r="L648" s="8" t="n">
        <v>0</v>
      </c>
      <c r="M648" s="29" t="inlineStr">
        <is>
          <t>BİGADİÇ</t>
        </is>
      </c>
    </row>
    <row r="649">
      <c r="A649" s="4" t="n">
        <v>648</v>
      </c>
      <c r="B649" s="4" t="inlineStr">
        <is>
          <t>00320</t>
        </is>
      </c>
      <c r="C649" s="4" t="inlineStr">
        <is>
          <t>00320</t>
        </is>
      </c>
      <c r="D649" s="29" t="inlineStr">
        <is>
          <t>CEYDA ÖZ</t>
        </is>
      </c>
      <c r="E649" s="4" t="inlineStr">
        <is>
          <t>Cuma</t>
        </is>
      </c>
      <c r="F649" s="4" t="inlineStr">
        <is>
          <t>9.10.2026</t>
        </is>
      </c>
      <c r="G649" s="4" t="inlineStr">
        <is>
          <t>15:51</t>
        </is>
      </c>
      <c r="H649" s="4" t="inlineStr">
        <is>
          <t>9.10.2026</t>
        </is>
      </c>
      <c r="I649" s="4" t="inlineStr">
        <is>
          <t>00:00</t>
        </is>
      </c>
      <c r="J649" s="8" t="n">
        <v>7.5</v>
      </c>
      <c r="K649" s="8" t="n">
        <v>7.5</v>
      </c>
      <c r="L649" s="8" t="n">
        <v>0</v>
      </c>
      <c r="M649" s="29" t="inlineStr">
        <is>
          <t>BİGADİÇ</t>
        </is>
      </c>
    </row>
    <row r="650">
      <c r="A650" s="4" t="n">
        <v>649</v>
      </c>
      <c r="B650" s="4" t="inlineStr">
        <is>
          <t>00320</t>
        </is>
      </c>
      <c r="C650" s="4" t="inlineStr">
        <is>
          <t>00320</t>
        </is>
      </c>
      <c r="D650" s="29" t="inlineStr">
        <is>
          <t>CEYDA ÖZ</t>
        </is>
      </c>
      <c r="E650" s="4" t="inlineStr">
        <is>
          <t>Cumartesi</t>
        </is>
      </c>
      <c r="F650" s="4" t="inlineStr">
        <is>
          <t>10.10.2026</t>
        </is>
      </c>
      <c r="G650" s="4" t="inlineStr">
        <is>
          <t>15:54</t>
        </is>
      </c>
      <c r="H650" s="4" t="inlineStr">
        <is>
          <t>10.10.2026</t>
        </is>
      </c>
      <c r="I650" s="4" t="inlineStr">
        <is>
          <t>00:00</t>
        </is>
      </c>
      <c r="J650" s="8" t="n">
        <v>7.5</v>
      </c>
      <c r="K650" s="8" t="n">
        <v>7.5</v>
      </c>
      <c r="L650" s="8" t="n">
        <v>0</v>
      </c>
      <c r="M650" s="29" t="inlineStr">
        <is>
          <t>BİGADİÇ</t>
        </is>
      </c>
    </row>
    <row r="651">
      <c r="A651" s="4" t="n">
        <v>650</v>
      </c>
      <c r="B651" s="4" t="inlineStr">
        <is>
          <t>00320</t>
        </is>
      </c>
      <c r="C651" s="4" t="inlineStr">
        <is>
          <t>00320</t>
        </is>
      </c>
      <c r="D651" s="29" t="inlineStr">
        <is>
          <t>CEYDA ÖZ</t>
        </is>
      </c>
      <c r="E651" s="4" t="inlineStr">
        <is>
          <t>Pazartesi</t>
        </is>
      </c>
      <c r="F651" s="4" t="inlineStr">
        <is>
          <t>12.10.2026</t>
        </is>
      </c>
      <c r="G651" s="4" t="inlineStr">
        <is>
          <t>15:44</t>
        </is>
      </c>
      <c r="H651" s="4" t="inlineStr">
        <is>
          <t>12.10.2026</t>
        </is>
      </c>
      <c r="I651" s="4" t="inlineStr">
        <is>
          <t>23:59</t>
        </is>
      </c>
      <c r="J651" s="8" t="n">
        <v>8</v>
      </c>
      <c r="K651" s="8" t="n">
        <v>8</v>
      </c>
      <c r="L651" s="8" t="n">
        <v>0</v>
      </c>
      <c r="M651" s="29" t="inlineStr">
        <is>
          <t>BİGADİÇ</t>
        </is>
      </c>
    </row>
    <row r="652">
      <c r="A652" s="4" t="n">
        <v>651</v>
      </c>
      <c r="B652" s="4" t="inlineStr">
        <is>
          <t>00320</t>
        </is>
      </c>
      <c r="C652" s="4" t="inlineStr">
        <is>
          <t>00320</t>
        </is>
      </c>
      <c r="D652" s="29" t="inlineStr">
        <is>
          <t>CEYDA ÖZ</t>
        </is>
      </c>
      <c r="E652" s="4" t="inlineStr">
        <is>
          <t>Salı</t>
        </is>
      </c>
      <c r="F652" s="4" t="inlineStr">
        <is>
          <t>13.10.2026</t>
        </is>
      </c>
      <c r="G652" s="4" t="inlineStr">
        <is>
          <t>15:53</t>
        </is>
      </c>
      <c r="H652" s="4" t="inlineStr">
        <is>
          <t>13.10.2026</t>
        </is>
      </c>
      <c r="I652" s="4" t="inlineStr">
        <is>
          <t>23:57</t>
        </is>
      </c>
      <c r="J652" s="8" t="n">
        <v>7.5</v>
      </c>
      <c r="K652" s="8" t="n">
        <v>7.5</v>
      </c>
      <c r="L652" s="8" t="n">
        <v>0</v>
      </c>
      <c r="M652" s="29" t="inlineStr">
        <is>
          <t>BİGADİÇ</t>
        </is>
      </c>
    </row>
    <row r="653">
      <c r="A653" s="4" t="n">
        <v>652</v>
      </c>
      <c r="B653" s="4" t="inlineStr">
        <is>
          <t>00320</t>
        </is>
      </c>
      <c r="C653" s="4" t="inlineStr">
        <is>
          <t>00320</t>
        </is>
      </c>
      <c r="D653" s="29" t="inlineStr">
        <is>
          <t>CEYDA ÖZ</t>
        </is>
      </c>
      <c r="E653" s="4" t="inlineStr">
        <is>
          <t>Çarşamba</t>
        </is>
      </c>
      <c r="F653" s="4" t="inlineStr">
        <is>
          <t>14.10.2026</t>
        </is>
      </c>
      <c r="G653" s="4" t="inlineStr">
        <is>
          <t>15:55</t>
        </is>
      </c>
      <c r="H653" s="4" t="inlineStr">
        <is>
          <t>14.10.2026</t>
        </is>
      </c>
      <c r="I653" s="4" t="inlineStr">
        <is>
          <t>00:30</t>
        </is>
      </c>
      <c r="J653" s="8" t="n">
        <v>8</v>
      </c>
      <c r="K653" s="8" t="n">
        <v>7.5</v>
      </c>
      <c r="L653" s="8" t="n">
        <v>0.5</v>
      </c>
      <c r="M653" s="29" t="inlineStr">
        <is>
          <t>BİGADİÇ</t>
        </is>
      </c>
    </row>
    <row r="654">
      <c r="A654" s="4" t="n">
        <v>653</v>
      </c>
      <c r="B654" s="4" t="inlineStr">
        <is>
          <t>00320</t>
        </is>
      </c>
      <c r="C654" s="4" t="inlineStr">
        <is>
          <t>00320</t>
        </is>
      </c>
      <c r="D654" s="29" t="inlineStr">
        <is>
          <t>CEYDA ÖZ</t>
        </is>
      </c>
      <c r="E654" s="4" t="inlineStr">
        <is>
          <t>Perşembe</t>
        </is>
      </c>
      <c r="F654" s="4" t="inlineStr">
        <is>
          <t>15.10.2026</t>
        </is>
      </c>
      <c r="G654" s="4" t="inlineStr">
        <is>
          <t>15:57</t>
        </is>
      </c>
      <c r="H654" s="4" t="inlineStr">
        <is>
          <t>15.10.2026</t>
        </is>
      </c>
      <c r="I654" s="4" t="inlineStr">
        <is>
          <t>23:59</t>
        </is>
      </c>
      <c r="J654" s="8" t="n">
        <v>7.5</v>
      </c>
      <c r="K654" s="8" t="n">
        <v>7.5</v>
      </c>
      <c r="L654" s="8" t="n">
        <v>0</v>
      </c>
      <c r="M654" s="29" t="inlineStr">
        <is>
          <t>BİGADİÇ</t>
        </is>
      </c>
    </row>
    <row r="655">
      <c r="A655" s="4" t="n">
        <v>654</v>
      </c>
      <c r="B655" s="4" t="inlineStr">
        <is>
          <t>00320</t>
        </is>
      </c>
      <c r="C655" s="4" t="inlineStr">
        <is>
          <t>00320</t>
        </is>
      </c>
      <c r="D655" s="29" t="inlineStr">
        <is>
          <t>CEYDA ÖZ</t>
        </is>
      </c>
      <c r="E655" s="4" t="inlineStr">
        <is>
          <t>Cuma</t>
        </is>
      </c>
      <c r="F655" s="4" t="inlineStr">
        <is>
          <t>16.10.2026</t>
        </is>
      </c>
      <c r="G655" s="4" t="inlineStr">
        <is>
          <t>15:58</t>
        </is>
      </c>
      <c r="H655" s="4" t="inlineStr">
        <is>
          <t>16.10.2026</t>
        </is>
      </c>
      <c r="I655" s="4" t="inlineStr">
        <is>
          <t>23:58</t>
        </is>
      </c>
      <c r="J655" s="8" t="n">
        <v>7.5</v>
      </c>
      <c r="K655" s="8" t="n">
        <v>7.5</v>
      </c>
      <c r="L655" s="8" t="n">
        <v>0</v>
      </c>
      <c r="M655" s="29" t="inlineStr">
        <is>
          <t>BİGADİÇ</t>
        </is>
      </c>
    </row>
    <row r="656">
      <c r="A656" s="4" t="n">
        <v>655</v>
      </c>
      <c r="B656" s="4" t="inlineStr">
        <is>
          <t>00320</t>
        </is>
      </c>
      <c r="C656" s="4" t="inlineStr">
        <is>
          <t>00320</t>
        </is>
      </c>
      <c r="D656" s="29" t="inlineStr">
        <is>
          <t>CEYDA ÖZ</t>
        </is>
      </c>
      <c r="E656" s="4" t="inlineStr">
        <is>
          <t>Cumartesi</t>
        </is>
      </c>
      <c r="F656" s="4" t="inlineStr">
        <is>
          <t>17.10.2026</t>
        </is>
      </c>
      <c r="G656" s="4" t="inlineStr">
        <is>
          <t>15:53</t>
        </is>
      </c>
      <c r="H656" s="4" t="inlineStr">
        <is>
          <t>17.10.2026</t>
        </is>
      </c>
      <c r="I656" s="4" t="inlineStr">
        <is>
          <t>00:00</t>
        </is>
      </c>
      <c r="J656" s="8" t="n">
        <v>7.5</v>
      </c>
      <c r="K656" s="8" t="n">
        <v>7.5</v>
      </c>
      <c r="L656" s="8" t="n">
        <v>0</v>
      </c>
      <c r="M656" s="29" t="inlineStr">
        <is>
          <t>BİGADİÇ</t>
        </is>
      </c>
    </row>
    <row r="657">
      <c r="A657" s="4" t="n">
        <v>656</v>
      </c>
      <c r="B657" s="4" t="inlineStr">
        <is>
          <t>00320</t>
        </is>
      </c>
      <c r="C657" s="4" t="inlineStr">
        <is>
          <t>00320</t>
        </is>
      </c>
      <c r="D657" s="29" t="inlineStr">
        <is>
          <t>CEYDA ÖZ</t>
        </is>
      </c>
      <c r="E657" s="4" t="inlineStr">
        <is>
          <t>Pazartesi</t>
        </is>
      </c>
      <c r="F657" s="4" t="inlineStr">
        <is>
          <t>19.10.2026</t>
        </is>
      </c>
      <c r="G657" s="4" t="inlineStr">
        <is>
          <t>15:52</t>
        </is>
      </c>
      <c r="H657" s="4" t="inlineStr">
        <is>
          <t>19.10.2026</t>
        </is>
      </c>
      <c r="I657" s="4" t="inlineStr">
        <is>
          <t>23:59</t>
        </is>
      </c>
      <c r="J657" s="8" t="n">
        <v>7.5</v>
      </c>
      <c r="K657" s="8" t="n">
        <v>7.5</v>
      </c>
      <c r="L657" s="8" t="n">
        <v>0</v>
      </c>
      <c r="M657" s="29" t="inlineStr">
        <is>
          <t>BİGADİÇ</t>
        </is>
      </c>
    </row>
    <row r="658">
      <c r="A658" s="4" t="n">
        <v>657</v>
      </c>
      <c r="B658" s="4" t="inlineStr">
        <is>
          <t>00320</t>
        </is>
      </c>
      <c r="C658" s="4" t="inlineStr">
        <is>
          <t>00320</t>
        </is>
      </c>
      <c r="D658" s="29" t="inlineStr">
        <is>
          <t>CEYDA ÖZ</t>
        </is>
      </c>
      <c r="E658" s="4" t="inlineStr">
        <is>
          <t>Salı</t>
        </is>
      </c>
      <c r="F658" s="4" t="inlineStr">
        <is>
          <t>20.10.2026</t>
        </is>
      </c>
      <c r="G658" s="4" t="inlineStr">
        <is>
          <t>16:05</t>
        </is>
      </c>
      <c r="H658" s="4" t="inlineStr">
        <is>
          <t>20.10.2026</t>
        </is>
      </c>
      <c r="I658" s="4" t="inlineStr">
        <is>
          <t>23:59</t>
        </is>
      </c>
      <c r="J658" s="8" t="n">
        <v>7.5</v>
      </c>
      <c r="K658" s="8" t="n">
        <v>7.5</v>
      </c>
      <c r="L658" s="8" t="n">
        <v>0</v>
      </c>
      <c r="M658" s="29" t="inlineStr">
        <is>
          <t>BİGADİÇ</t>
        </is>
      </c>
    </row>
    <row r="659">
      <c r="A659" s="4" t="n">
        <v>658</v>
      </c>
      <c r="B659" s="4" t="inlineStr">
        <is>
          <t>00320</t>
        </is>
      </c>
      <c r="C659" s="4" t="inlineStr">
        <is>
          <t>00320</t>
        </is>
      </c>
      <c r="D659" s="29" t="inlineStr">
        <is>
          <t>CEYDA ÖZ</t>
        </is>
      </c>
      <c r="E659" s="4" t="inlineStr">
        <is>
          <t>Çarşamba</t>
        </is>
      </c>
      <c r="F659" s="4" t="inlineStr">
        <is>
          <t>21.10.2026</t>
        </is>
      </c>
      <c r="G659" s="4" t="inlineStr">
        <is>
          <t>15:50</t>
        </is>
      </c>
      <c r="H659" s="4" t="inlineStr">
        <is>
          <t>21.10.2026</t>
        </is>
      </c>
      <c r="I659" s="4" t="inlineStr">
        <is>
          <t>-</t>
        </is>
      </c>
      <c r="J659" s="8" t="n">
        <v>7.5</v>
      </c>
      <c r="K659" s="8" t="n">
        <v>7.5</v>
      </c>
      <c r="L659" s="8" t="n">
        <v>0</v>
      </c>
      <c r="M659" s="29" t="inlineStr">
        <is>
          <t>BİGADİÇ</t>
        </is>
      </c>
    </row>
    <row r="660">
      <c r="A660" s="4" t="n">
        <v>659</v>
      </c>
      <c r="B660" s="4" t="inlineStr">
        <is>
          <t>01330</t>
        </is>
      </c>
      <c r="C660" s="4" t="inlineStr">
        <is>
          <t>01330</t>
        </is>
      </c>
      <c r="D660" s="29" t="inlineStr">
        <is>
          <t>CEYLAN BATAN</t>
        </is>
      </c>
      <c r="E660" s="4" t="inlineStr">
        <is>
          <t>Perşembe</t>
        </is>
      </c>
      <c r="F660" s="4" t="inlineStr">
        <is>
          <t>1.10.2026</t>
        </is>
      </c>
      <c r="G660" s="4" t="inlineStr">
        <is>
          <t>07:57</t>
        </is>
      </c>
      <c r="H660" s="4" t="inlineStr">
        <is>
          <t>1.10.2026</t>
        </is>
      </c>
      <c r="I660" s="4" t="inlineStr">
        <is>
          <t>17:33</t>
        </is>
      </c>
      <c r="J660" s="8" t="n">
        <v>8</v>
      </c>
      <c r="K660" s="8" t="n">
        <v>7.5</v>
      </c>
      <c r="L660" s="8" t="n">
        <v>0.5</v>
      </c>
      <c r="M660" s="29" t="inlineStr">
        <is>
          <t>GÜVEN MUSTAFAKEMALPAŞA</t>
        </is>
      </c>
    </row>
    <row r="661">
      <c r="A661" s="4" t="n">
        <v>660</v>
      </c>
      <c r="B661" s="4" t="inlineStr">
        <is>
          <t>01330</t>
        </is>
      </c>
      <c r="C661" s="4" t="inlineStr">
        <is>
          <t>01330</t>
        </is>
      </c>
      <c r="D661" s="29" t="inlineStr">
        <is>
          <t>CEYLAN BATAN</t>
        </is>
      </c>
      <c r="E661" s="4" t="inlineStr">
        <is>
          <t>Cuma</t>
        </is>
      </c>
      <c r="F661" s="4" t="inlineStr">
        <is>
          <t>2.10.2026</t>
        </is>
      </c>
      <c r="G661" s="4" t="inlineStr">
        <is>
          <t>07:57</t>
        </is>
      </c>
      <c r="H661" s="4" t="inlineStr">
        <is>
          <t>2.10.2026</t>
        </is>
      </c>
      <c r="I661" s="4" t="inlineStr">
        <is>
          <t>17:53</t>
        </is>
      </c>
      <c r="J661" s="8" t="n">
        <v>8.5</v>
      </c>
      <c r="K661" s="8" t="n">
        <v>7.5</v>
      </c>
      <c r="L661" s="8" t="n">
        <v>1</v>
      </c>
      <c r="M661" s="29" t="inlineStr">
        <is>
          <t>GÜVEN MUSTAFAKEMALPAŞA</t>
        </is>
      </c>
    </row>
    <row r="662">
      <c r="A662" s="4" t="n">
        <v>661</v>
      </c>
      <c r="B662" s="4" t="inlineStr">
        <is>
          <t>01330</t>
        </is>
      </c>
      <c r="C662" s="4" t="inlineStr">
        <is>
          <t>01330</t>
        </is>
      </c>
      <c r="D662" s="29" t="inlineStr">
        <is>
          <t>CEYLAN BATAN</t>
        </is>
      </c>
      <c r="E662" s="4" t="inlineStr">
        <is>
          <t>Cumartesi</t>
        </is>
      </c>
      <c r="F662" s="4" t="inlineStr">
        <is>
          <t>3.10.2026</t>
        </is>
      </c>
      <c r="G662" s="4" t="inlineStr">
        <is>
          <t>07:49</t>
        </is>
      </c>
      <c r="H662" s="4" t="inlineStr">
        <is>
          <t>3.10.2026</t>
        </is>
      </c>
      <c r="I662" s="4" t="inlineStr">
        <is>
          <t>17:43</t>
        </is>
      </c>
      <c r="J662" s="8" t="n">
        <v>8</v>
      </c>
      <c r="K662" s="8" t="n">
        <v>7.5</v>
      </c>
      <c r="L662" s="8" t="n">
        <v>0.5</v>
      </c>
      <c r="M662" s="29" t="inlineStr">
        <is>
          <t>GÜVEN MUSTAFAKEMALPAŞA</t>
        </is>
      </c>
    </row>
    <row r="663">
      <c r="A663" s="4" t="n">
        <v>662</v>
      </c>
      <c r="B663" s="4" t="inlineStr">
        <is>
          <t>01330</t>
        </is>
      </c>
      <c r="C663" s="4" t="inlineStr">
        <is>
          <t>01330</t>
        </is>
      </c>
      <c r="D663" s="29" t="inlineStr">
        <is>
          <t>CEYLAN BATAN</t>
        </is>
      </c>
      <c r="E663" s="4" t="inlineStr">
        <is>
          <t>Pazartesi</t>
        </is>
      </c>
      <c r="F663" s="4" t="inlineStr">
        <is>
          <t>5.10.2026</t>
        </is>
      </c>
      <c r="G663" s="4" t="inlineStr">
        <is>
          <t>07:49</t>
        </is>
      </c>
      <c r="H663" s="4" t="inlineStr">
        <is>
          <t>5.10.2026</t>
        </is>
      </c>
      <c r="I663" s="4" t="inlineStr">
        <is>
          <t>17:07</t>
        </is>
      </c>
      <c r="J663" s="8" t="n">
        <v>7.5</v>
      </c>
      <c r="K663" s="8" t="n">
        <v>7.5</v>
      </c>
      <c r="L663" s="8" t="n">
        <v>0</v>
      </c>
      <c r="M663" s="29" t="inlineStr">
        <is>
          <t>GÜVEN MUSTAFAKEMALPAŞA</t>
        </is>
      </c>
    </row>
    <row r="664">
      <c r="A664" s="4" t="n">
        <v>663</v>
      </c>
      <c r="B664" s="4" t="inlineStr">
        <is>
          <t>01330</t>
        </is>
      </c>
      <c r="C664" s="4" t="inlineStr">
        <is>
          <t>01330</t>
        </is>
      </c>
      <c r="D664" s="29" t="inlineStr">
        <is>
          <t>CEYLAN BATAN</t>
        </is>
      </c>
      <c r="E664" s="4" t="inlineStr">
        <is>
          <t>Salı</t>
        </is>
      </c>
      <c r="F664" s="4" t="inlineStr">
        <is>
          <t>6.10.2026</t>
        </is>
      </c>
      <c r="G664" s="4" t="inlineStr">
        <is>
          <t>07:59</t>
        </is>
      </c>
      <c r="H664" s="4" t="inlineStr">
        <is>
          <t>6.10.2026</t>
        </is>
      </c>
      <c r="I664" s="4" t="inlineStr">
        <is>
          <t>17:45</t>
        </is>
      </c>
      <c r="J664" s="8" t="n">
        <v>8.5</v>
      </c>
      <c r="K664" s="8" t="n">
        <v>7.5</v>
      </c>
      <c r="L664" s="8" t="n">
        <v>1</v>
      </c>
      <c r="M664" s="29" t="inlineStr">
        <is>
          <t>GÜVEN MUSTAFAKEMALPAŞA</t>
        </is>
      </c>
    </row>
    <row r="665">
      <c r="A665" s="4" t="n">
        <v>664</v>
      </c>
      <c r="B665" s="4" t="inlineStr">
        <is>
          <t>01330</t>
        </is>
      </c>
      <c r="C665" s="4" t="inlineStr">
        <is>
          <t>01330</t>
        </is>
      </c>
      <c r="D665" s="29" t="inlineStr">
        <is>
          <t>CEYLAN BATAN</t>
        </is>
      </c>
      <c r="E665" s="4" t="inlineStr">
        <is>
          <t>Çarşamba</t>
        </is>
      </c>
      <c r="F665" s="4" t="inlineStr">
        <is>
          <t>7.10.2026</t>
        </is>
      </c>
      <c r="G665" s="4" t="inlineStr">
        <is>
          <t>07:53</t>
        </is>
      </c>
      <c r="H665" s="4" t="inlineStr">
        <is>
          <t>7.10.2026</t>
        </is>
      </c>
      <c r="I665" s="4" t="inlineStr">
        <is>
          <t>17:29</t>
        </is>
      </c>
      <c r="J665" s="8" t="n">
        <v>8</v>
      </c>
      <c r="K665" s="8" t="n">
        <v>7.5</v>
      </c>
      <c r="L665" s="8" t="n">
        <v>0.5</v>
      </c>
      <c r="M665" s="29" t="inlineStr">
        <is>
          <t>GÜVEN MUSTAFAKEMALPAŞA</t>
        </is>
      </c>
    </row>
    <row r="666">
      <c r="A666" s="4" t="n">
        <v>665</v>
      </c>
      <c r="B666" s="4" t="inlineStr">
        <is>
          <t>01330</t>
        </is>
      </c>
      <c r="C666" s="4" t="inlineStr">
        <is>
          <t>01330</t>
        </is>
      </c>
      <c r="D666" s="29" t="inlineStr">
        <is>
          <t>CEYLAN BATAN</t>
        </is>
      </c>
      <c r="E666" s="4" t="inlineStr">
        <is>
          <t>Perşembe</t>
        </is>
      </c>
      <c r="F666" s="4" t="inlineStr">
        <is>
          <t>8.10.2026</t>
        </is>
      </c>
      <c r="G666" s="4" t="inlineStr">
        <is>
          <t>07:53</t>
        </is>
      </c>
      <c r="H666" s="4" t="inlineStr">
        <is>
          <t>8.10.2026</t>
        </is>
      </c>
      <c r="I666" s="4" t="inlineStr">
        <is>
          <t>17:39</t>
        </is>
      </c>
      <c r="J666" s="8" t="n">
        <v>8</v>
      </c>
      <c r="K666" s="8" t="n">
        <v>7.5</v>
      </c>
      <c r="L666" s="8" t="n">
        <v>0.5</v>
      </c>
      <c r="M666" s="29" t="inlineStr">
        <is>
          <t>GÜVEN MUSTAFAKEMALPAŞA</t>
        </is>
      </c>
    </row>
    <row r="667">
      <c r="A667" s="4" t="n">
        <v>666</v>
      </c>
      <c r="B667" s="4" t="inlineStr">
        <is>
          <t>01330</t>
        </is>
      </c>
      <c r="C667" s="4" t="inlineStr">
        <is>
          <t>01330</t>
        </is>
      </c>
      <c r="D667" s="29" t="inlineStr">
        <is>
          <t>CEYLAN BATAN</t>
        </is>
      </c>
      <c r="E667" s="4" t="inlineStr">
        <is>
          <t>Cuma</t>
        </is>
      </c>
      <c r="F667" s="4" t="inlineStr">
        <is>
          <t>9.10.2026</t>
        </is>
      </c>
      <c r="G667" s="4" t="inlineStr">
        <is>
          <t>07:51</t>
        </is>
      </c>
      <c r="H667" s="4" t="inlineStr">
        <is>
          <t>9.10.2026</t>
        </is>
      </c>
      <c r="I667" s="4" t="inlineStr">
        <is>
          <t>17:48</t>
        </is>
      </c>
      <c r="J667" s="8" t="n">
        <v>8.5</v>
      </c>
      <c r="K667" s="8" t="n">
        <v>7.5</v>
      </c>
      <c r="L667" s="8" t="n">
        <v>1</v>
      </c>
      <c r="M667" s="29" t="inlineStr">
        <is>
          <t>GÜVEN MUSTAFAKEMALPAŞA</t>
        </is>
      </c>
    </row>
    <row r="668">
      <c r="A668" s="4" t="n">
        <v>667</v>
      </c>
      <c r="B668" s="4" t="inlineStr">
        <is>
          <t>01330</t>
        </is>
      </c>
      <c r="C668" s="4" t="inlineStr">
        <is>
          <t>01330</t>
        </is>
      </c>
      <c r="D668" s="29" t="inlineStr">
        <is>
          <t>CEYLAN BATAN</t>
        </is>
      </c>
      <c r="E668" s="4" t="inlineStr">
        <is>
          <t>Pazartesi</t>
        </is>
      </c>
      <c r="F668" s="4" t="inlineStr">
        <is>
          <t>12.10.2026</t>
        </is>
      </c>
      <c r="G668" s="4" t="inlineStr">
        <is>
          <t>07:53</t>
        </is>
      </c>
      <c r="H668" s="4" t="inlineStr">
        <is>
          <t>12.10.2026</t>
        </is>
      </c>
      <c r="I668" s="4" t="inlineStr">
        <is>
          <t>17:05</t>
        </is>
      </c>
      <c r="J668" s="8" t="n">
        <v>7.5</v>
      </c>
      <c r="K668" s="8" t="n">
        <v>7.5</v>
      </c>
      <c r="L668" s="8" t="n">
        <v>0</v>
      </c>
      <c r="M668" s="29" t="inlineStr">
        <is>
          <t>GÜVEN MUSTAFAKEMALPAŞA</t>
        </is>
      </c>
    </row>
    <row r="669">
      <c r="A669" s="4" t="n">
        <v>668</v>
      </c>
      <c r="B669" s="4" t="inlineStr">
        <is>
          <t>01330</t>
        </is>
      </c>
      <c r="C669" s="4" t="inlineStr">
        <is>
          <t>01330</t>
        </is>
      </c>
      <c r="D669" s="29" t="inlineStr">
        <is>
          <t>CEYLAN BATAN</t>
        </is>
      </c>
      <c r="E669" s="4" t="inlineStr">
        <is>
          <t>Çarşamba</t>
        </is>
      </c>
      <c r="F669" s="4" t="inlineStr">
        <is>
          <t>14.10.2026</t>
        </is>
      </c>
      <c r="G669" s="4" t="inlineStr">
        <is>
          <t>07:52</t>
        </is>
      </c>
      <c r="H669" s="4" t="inlineStr">
        <is>
          <t>14.10.2026</t>
        </is>
      </c>
      <c r="I669" s="4" t="inlineStr">
        <is>
          <t>18:10</t>
        </is>
      </c>
      <c r="J669" s="8" t="n">
        <v>8.5</v>
      </c>
      <c r="K669" s="8" t="n">
        <v>7.5</v>
      </c>
      <c r="L669" s="8" t="n">
        <v>1</v>
      </c>
      <c r="M669" s="29" t="inlineStr">
        <is>
          <t>GÜVEN MUSTAFAKEMALPAŞA</t>
        </is>
      </c>
    </row>
    <row r="670">
      <c r="A670" s="4" t="n">
        <v>669</v>
      </c>
      <c r="B670" s="4" t="inlineStr">
        <is>
          <t>01330</t>
        </is>
      </c>
      <c r="C670" s="4" t="inlineStr">
        <is>
          <t>01330</t>
        </is>
      </c>
      <c r="D670" s="29" t="inlineStr">
        <is>
          <t>CEYLAN BATAN</t>
        </is>
      </c>
      <c r="E670" s="4" t="inlineStr">
        <is>
          <t>Perşembe</t>
        </is>
      </c>
      <c r="F670" s="4" t="inlineStr">
        <is>
          <t>15.10.2026</t>
        </is>
      </c>
      <c r="G670" s="4" t="inlineStr">
        <is>
          <t>07:55</t>
        </is>
      </c>
      <c r="H670" s="4" t="inlineStr">
        <is>
          <t>15.10.2026</t>
        </is>
      </c>
      <c r="I670" s="4" t="inlineStr">
        <is>
          <t>17:05</t>
        </is>
      </c>
      <c r="J670" s="8" t="n">
        <v>7.5</v>
      </c>
      <c r="K670" s="8" t="n">
        <v>7.5</v>
      </c>
      <c r="L670" s="8" t="n">
        <v>0</v>
      </c>
      <c r="M670" s="29" t="inlineStr">
        <is>
          <t>GÜVEN MUSTAFAKEMALPAŞA</t>
        </is>
      </c>
    </row>
    <row r="671">
      <c r="A671" s="4" t="n">
        <v>670</v>
      </c>
      <c r="B671" s="4" t="inlineStr">
        <is>
          <t>01330</t>
        </is>
      </c>
      <c r="C671" s="4" t="inlineStr">
        <is>
          <t>01330</t>
        </is>
      </c>
      <c r="D671" s="29" t="inlineStr">
        <is>
          <t>CEYLAN BATAN</t>
        </is>
      </c>
      <c r="E671" s="4" t="inlineStr">
        <is>
          <t>Cuma</t>
        </is>
      </c>
      <c r="F671" s="4" t="inlineStr">
        <is>
          <t>16.10.2026</t>
        </is>
      </c>
      <c r="G671" s="4" t="inlineStr">
        <is>
          <t>07:52</t>
        </is>
      </c>
      <c r="H671" s="4" t="inlineStr">
        <is>
          <t>16.10.2026</t>
        </is>
      </c>
      <c r="I671" s="4" t="inlineStr">
        <is>
          <t>17:21</t>
        </is>
      </c>
      <c r="J671" s="8" t="n">
        <v>8</v>
      </c>
      <c r="K671" s="8" t="n">
        <v>7.5</v>
      </c>
      <c r="L671" s="8" t="n">
        <v>0.5</v>
      </c>
      <c r="M671" s="29" t="inlineStr">
        <is>
          <t>GÜVEN MUSTAFAKEMALPAŞA</t>
        </is>
      </c>
    </row>
    <row r="672">
      <c r="A672" s="4" t="n">
        <v>671</v>
      </c>
      <c r="B672" s="4" t="inlineStr">
        <is>
          <t>01330</t>
        </is>
      </c>
      <c r="C672" s="4" t="inlineStr">
        <is>
          <t>01330</t>
        </is>
      </c>
      <c r="D672" s="29" t="inlineStr">
        <is>
          <t>CEYLAN BATAN</t>
        </is>
      </c>
      <c r="E672" s="4" t="inlineStr">
        <is>
          <t>Cumartesi</t>
        </is>
      </c>
      <c r="F672" s="4" t="inlineStr">
        <is>
          <t>17.10.2026</t>
        </is>
      </c>
      <c r="G672" s="4" t="inlineStr">
        <is>
          <t>07:53</t>
        </is>
      </c>
      <c r="H672" s="4" t="inlineStr">
        <is>
          <t>17.10.2026</t>
        </is>
      </c>
      <c r="I672" s="4" t="inlineStr">
        <is>
          <t>17:57</t>
        </is>
      </c>
      <c r="J672" s="8" t="n">
        <v>8.5</v>
      </c>
      <c r="K672" s="8" t="n">
        <v>7.5</v>
      </c>
      <c r="L672" s="8" t="n">
        <v>1</v>
      </c>
      <c r="M672" s="29" t="inlineStr">
        <is>
          <t>GÜVEN MUSTAFAKEMALPAŞA</t>
        </is>
      </c>
    </row>
    <row r="673">
      <c r="A673" s="4" t="n">
        <v>672</v>
      </c>
      <c r="B673" s="4" t="inlineStr">
        <is>
          <t>01330</t>
        </is>
      </c>
      <c r="C673" s="4" t="inlineStr">
        <is>
          <t>01330</t>
        </is>
      </c>
      <c r="D673" s="29" t="inlineStr">
        <is>
          <t>CEYLAN BATAN</t>
        </is>
      </c>
      <c r="E673" s="4" t="inlineStr">
        <is>
          <t>Pazartesi</t>
        </is>
      </c>
      <c r="F673" s="4" t="inlineStr">
        <is>
          <t>19.10.2026</t>
        </is>
      </c>
      <c r="G673" s="4" t="inlineStr">
        <is>
          <t>07:50</t>
        </is>
      </c>
      <c r="H673" s="4" t="inlineStr">
        <is>
          <t>19.10.2026</t>
        </is>
      </c>
      <c r="I673" s="4" t="inlineStr">
        <is>
          <t>17:49</t>
        </is>
      </c>
      <c r="J673" s="8" t="n">
        <v>8.5</v>
      </c>
      <c r="K673" s="8" t="n">
        <v>7.5</v>
      </c>
      <c r="L673" s="8" t="n">
        <v>1</v>
      </c>
      <c r="M673" s="29" t="inlineStr">
        <is>
          <t>GÜVEN MUSTAFAKEMALPAŞA</t>
        </is>
      </c>
    </row>
    <row r="674">
      <c r="A674" s="4" t="n">
        <v>673</v>
      </c>
      <c r="B674" s="4" t="inlineStr">
        <is>
          <t>01330</t>
        </is>
      </c>
      <c r="C674" s="4" t="inlineStr">
        <is>
          <t>01330</t>
        </is>
      </c>
      <c r="D674" s="29" t="inlineStr">
        <is>
          <t>CEYLAN BATAN</t>
        </is>
      </c>
      <c r="E674" s="4" t="inlineStr">
        <is>
          <t>Salı</t>
        </is>
      </c>
      <c r="F674" s="4" t="inlineStr">
        <is>
          <t>20.10.2026</t>
        </is>
      </c>
      <c r="G674" s="4" t="inlineStr">
        <is>
          <t>07:52</t>
        </is>
      </c>
      <c r="H674" s="4" t="inlineStr">
        <is>
          <t>20.10.2026</t>
        </is>
      </c>
      <c r="I674" s="4" t="inlineStr">
        <is>
          <t>17:04</t>
        </is>
      </c>
      <c r="J674" s="8" t="n">
        <v>7.5</v>
      </c>
      <c r="K674" s="8" t="n">
        <v>7.5</v>
      </c>
      <c r="L674" s="8" t="n">
        <v>0</v>
      </c>
      <c r="M674" s="29" t="inlineStr">
        <is>
          <t>GÜVEN MUSTAFAKEMALPAŞA</t>
        </is>
      </c>
    </row>
    <row r="675">
      <c r="A675" s="4" t="n">
        <v>674</v>
      </c>
      <c r="B675" s="4" t="inlineStr">
        <is>
          <t>01330</t>
        </is>
      </c>
      <c r="C675" s="4" t="inlineStr">
        <is>
          <t>01330</t>
        </is>
      </c>
      <c r="D675" s="29" t="inlineStr">
        <is>
          <t>CEYLAN BATAN</t>
        </is>
      </c>
      <c r="E675" s="4" t="inlineStr">
        <is>
          <t>Çarşamba</t>
        </is>
      </c>
      <c r="F675" s="4" t="inlineStr">
        <is>
          <t>21.10.2026</t>
        </is>
      </c>
      <c r="G675" s="4" t="inlineStr">
        <is>
          <t>07:49</t>
        </is>
      </c>
      <c r="H675" s="4" t="inlineStr">
        <is>
          <t>21.10.2026</t>
        </is>
      </c>
      <c r="I675" s="4" t="inlineStr">
        <is>
          <t>17:04</t>
        </is>
      </c>
      <c r="J675" s="8" t="n">
        <v>7.5</v>
      </c>
      <c r="K675" s="8" t="n">
        <v>7.5</v>
      </c>
      <c r="L675" s="8" t="n">
        <v>0</v>
      </c>
      <c r="M675" s="29" t="inlineStr">
        <is>
          <t>GÜVEN MUSTAFAKEMALPAŞA</t>
        </is>
      </c>
    </row>
    <row r="676">
      <c r="A676" s="4" t="n">
        <v>675</v>
      </c>
      <c r="B676" s="4" t="inlineStr">
        <is>
          <t>00943</t>
        </is>
      </c>
      <c r="C676" s="4" t="inlineStr">
        <is>
          <t>00943</t>
        </is>
      </c>
      <c r="D676" s="29" t="inlineStr">
        <is>
          <t>CİHAN YILMAZ</t>
        </is>
      </c>
      <c r="E676" s="4" t="inlineStr">
        <is>
          <t>Perşembe</t>
        </is>
      </c>
      <c r="F676" s="4" t="inlineStr">
        <is>
          <t>1.10.2026</t>
        </is>
      </c>
      <c r="G676" s="4" t="inlineStr">
        <is>
          <t>08:00</t>
        </is>
      </c>
      <c r="H676" s="4" t="inlineStr">
        <is>
          <t>1.10.2026</t>
        </is>
      </c>
      <c r="I676" s="4" t="inlineStr">
        <is>
          <t>20:00</t>
        </is>
      </c>
      <c r="J676" s="8" t="n">
        <v>10.5</v>
      </c>
      <c r="K676" s="8" t="n">
        <v>7.5</v>
      </c>
      <c r="L676" s="8" t="n">
        <v>3</v>
      </c>
      <c r="M676" s="29" t="inlineStr">
        <is>
          <t>HALİL DİĞRENCİ</t>
        </is>
      </c>
    </row>
    <row r="677">
      <c r="A677" s="4" t="n">
        <v>676</v>
      </c>
      <c r="B677" s="4" t="inlineStr">
        <is>
          <t>00943</t>
        </is>
      </c>
      <c r="C677" s="4" t="inlineStr">
        <is>
          <t>00943</t>
        </is>
      </c>
      <c r="D677" s="29" t="inlineStr">
        <is>
          <t>CİHAN YILMAZ</t>
        </is>
      </c>
      <c r="E677" s="4" t="inlineStr">
        <is>
          <t>Cuma</t>
        </is>
      </c>
      <c r="F677" s="4" t="inlineStr">
        <is>
          <t>2.10.2026</t>
        </is>
      </c>
      <c r="G677" s="4" t="inlineStr">
        <is>
          <t>08:01</t>
        </is>
      </c>
      <c r="H677" s="4" t="inlineStr">
        <is>
          <t>2.10.2026</t>
        </is>
      </c>
      <c r="I677" s="4" t="inlineStr">
        <is>
          <t>17:06</t>
        </is>
      </c>
      <c r="J677" s="8" t="n">
        <v>7.5</v>
      </c>
      <c r="K677" s="8" t="n">
        <v>7.5</v>
      </c>
      <c r="L677" s="8" t="n">
        <v>0</v>
      </c>
      <c r="M677" s="29" t="inlineStr">
        <is>
          <t>HALİL DİĞRENCİ</t>
        </is>
      </c>
    </row>
    <row r="678">
      <c r="A678" s="4" t="n">
        <v>677</v>
      </c>
      <c r="B678" s="4" t="inlineStr">
        <is>
          <t>00943</t>
        </is>
      </c>
      <c r="C678" s="4" t="inlineStr">
        <is>
          <t>00943</t>
        </is>
      </c>
      <c r="D678" s="29" t="inlineStr">
        <is>
          <t>CİHAN YILMAZ</t>
        </is>
      </c>
      <c r="E678" s="4" t="inlineStr">
        <is>
          <t>Pazar</t>
        </is>
      </c>
      <c r="F678" s="4" t="inlineStr">
        <is>
          <t>4.10.2026</t>
        </is>
      </c>
      <c r="G678" s="4" t="inlineStr">
        <is>
          <t>07:52</t>
        </is>
      </c>
      <c r="H678" s="4" t="inlineStr">
        <is>
          <t>4.10.2026</t>
        </is>
      </c>
      <c r="I678" s="4" t="inlineStr">
        <is>
          <t>17:02</t>
        </is>
      </c>
      <c r="J678" s="8" t="n">
        <v>7.5</v>
      </c>
      <c r="K678" s="8" t="n">
        <v>7.5</v>
      </c>
      <c r="L678" s="8" t="n">
        <v>0</v>
      </c>
      <c r="M678" s="29" t="inlineStr">
        <is>
          <t>HALİL DİĞRENCİ</t>
        </is>
      </c>
    </row>
    <row r="679">
      <c r="A679" s="4" t="n">
        <v>678</v>
      </c>
      <c r="B679" s="4" t="inlineStr">
        <is>
          <t>00943</t>
        </is>
      </c>
      <c r="C679" s="4" t="inlineStr">
        <is>
          <t>00943</t>
        </is>
      </c>
      <c r="D679" s="29" t="inlineStr">
        <is>
          <t>CİHAN YILMAZ</t>
        </is>
      </c>
      <c r="E679" s="4" t="inlineStr">
        <is>
          <t>Pazartesi</t>
        </is>
      </c>
      <c r="F679" s="4" t="inlineStr">
        <is>
          <t>5.10.2026</t>
        </is>
      </c>
      <c r="G679" s="4" t="inlineStr">
        <is>
          <t>08:02</t>
        </is>
      </c>
      <c r="H679" s="4" t="inlineStr">
        <is>
          <t>5.10.2026</t>
        </is>
      </c>
      <c r="I679" s="4" t="inlineStr">
        <is>
          <t>20:01</t>
        </is>
      </c>
      <c r="J679" s="8" t="n">
        <v>10.5</v>
      </c>
      <c r="K679" s="8" t="n">
        <v>7.5</v>
      </c>
      <c r="L679" s="8" t="n">
        <v>3</v>
      </c>
      <c r="M679" s="29" t="inlineStr">
        <is>
          <t>HALİL DİĞRENCİ</t>
        </is>
      </c>
    </row>
    <row r="680">
      <c r="A680" s="4" t="n">
        <v>679</v>
      </c>
      <c r="B680" s="4" t="inlineStr">
        <is>
          <t>00943</t>
        </is>
      </c>
      <c r="C680" s="4" t="inlineStr">
        <is>
          <t>00943</t>
        </is>
      </c>
      <c r="D680" s="29" t="inlineStr">
        <is>
          <t>CİHAN YILMAZ</t>
        </is>
      </c>
      <c r="E680" s="4" t="inlineStr">
        <is>
          <t>Salı</t>
        </is>
      </c>
      <c r="F680" s="4" t="inlineStr">
        <is>
          <t>6.10.2026</t>
        </is>
      </c>
      <c r="G680" s="4" t="inlineStr">
        <is>
          <t>07:58</t>
        </is>
      </c>
      <c r="H680" s="4" t="inlineStr">
        <is>
          <t>6.10.2026</t>
        </is>
      </c>
      <c r="I680" s="4" t="inlineStr">
        <is>
          <t>07:56</t>
        </is>
      </c>
      <c r="J680" s="8" t="n">
        <v>15</v>
      </c>
      <c r="K680" s="8" t="n">
        <v>7.5</v>
      </c>
      <c r="L680" s="8" t="n">
        <v>7.5</v>
      </c>
      <c r="M680" s="29" t="inlineStr">
        <is>
          <t>HALİL DİĞRENCİ</t>
        </is>
      </c>
    </row>
    <row r="681">
      <c r="A681" s="4" t="n">
        <v>680</v>
      </c>
      <c r="B681" s="4" t="inlineStr">
        <is>
          <t>00943</t>
        </is>
      </c>
      <c r="C681" s="4" t="inlineStr">
        <is>
          <t>00943</t>
        </is>
      </c>
      <c r="D681" s="29" t="inlineStr">
        <is>
          <t>CİHAN YILMAZ</t>
        </is>
      </c>
      <c r="E681" s="4" t="inlineStr">
        <is>
          <t>Çarşamba</t>
        </is>
      </c>
      <c r="F681" s="4" t="inlineStr">
        <is>
          <t>7.10.2026</t>
        </is>
      </c>
      <c r="G681" s="4" t="inlineStr">
        <is>
          <t>21:55</t>
        </is>
      </c>
      <c r="H681" s="4" t="inlineStr">
        <is>
          <t>7.10.2026</t>
        </is>
      </c>
      <c r="I681" s="4" t="inlineStr">
        <is>
          <t>08:00</t>
        </is>
      </c>
      <c r="J681" s="8" t="n">
        <v>7.5</v>
      </c>
      <c r="K681" s="8" t="n">
        <v>5.5</v>
      </c>
      <c r="L681" s="8" t="n">
        <v>2</v>
      </c>
      <c r="M681" s="29" t="inlineStr">
        <is>
          <t>HALİL DİĞRENCİ</t>
        </is>
      </c>
    </row>
    <row r="682">
      <c r="A682" s="4" t="n">
        <v>681</v>
      </c>
      <c r="B682" s="4" t="inlineStr">
        <is>
          <t>00943</t>
        </is>
      </c>
      <c r="C682" s="4" t="inlineStr">
        <is>
          <t>00943</t>
        </is>
      </c>
      <c r="D682" s="29" t="inlineStr">
        <is>
          <t>CİHAN YILMAZ</t>
        </is>
      </c>
      <c r="E682" s="4" t="inlineStr">
        <is>
          <t>Perşembe</t>
        </is>
      </c>
      <c r="F682" s="4" t="inlineStr">
        <is>
          <t>8.10.2026</t>
        </is>
      </c>
      <c r="G682" s="4" t="inlineStr">
        <is>
          <t>20:04</t>
        </is>
      </c>
      <c r="H682" s="4" t="inlineStr">
        <is>
          <t>8.10.2026</t>
        </is>
      </c>
      <c r="I682" s="4" t="inlineStr">
        <is>
          <t>08:02</t>
        </is>
      </c>
      <c r="J682" s="8" t="n">
        <v>10.5</v>
      </c>
      <c r="K682" s="8" t="n">
        <v>7.5</v>
      </c>
      <c r="L682" s="8" t="n">
        <v>3</v>
      </c>
      <c r="M682" s="29" t="inlineStr">
        <is>
          <t>HALİL DİĞRENCİ</t>
        </is>
      </c>
    </row>
    <row r="683">
      <c r="A683" s="4" t="n">
        <v>682</v>
      </c>
      <c r="B683" s="4" t="inlineStr">
        <is>
          <t>00943</t>
        </is>
      </c>
      <c r="C683" s="4" t="inlineStr">
        <is>
          <t>00943</t>
        </is>
      </c>
      <c r="D683" s="29" t="inlineStr">
        <is>
          <t>CİHAN YILMAZ</t>
        </is>
      </c>
      <c r="E683" s="4" t="inlineStr">
        <is>
          <t>Cuma</t>
        </is>
      </c>
      <c r="F683" s="4" t="inlineStr">
        <is>
          <t>9.10.2026</t>
        </is>
      </c>
      <c r="G683" s="4" t="inlineStr">
        <is>
          <t>22:16</t>
        </is>
      </c>
      <c r="H683" s="4" t="inlineStr">
        <is>
          <t>9.10.2026</t>
        </is>
      </c>
      <c r="I683" s="4" t="inlineStr">
        <is>
          <t>08:01</t>
        </is>
      </c>
      <c r="J683" s="8" t="n">
        <v>7.5</v>
      </c>
      <c r="K683" s="8" t="n">
        <v>5.5</v>
      </c>
      <c r="L683" s="8" t="n">
        <v>2</v>
      </c>
      <c r="M683" s="29" t="inlineStr">
        <is>
          <t>HALİL DİĞRENCİ</t>
        </is>
      </c>
    </row>
    <row r="684">
      <c r="A684" s="4" t="n">
        <v>683</v>
      </c>
      <c r="B684" s="4" t="inlineStr">
        <is>
          <t>00943</t>
        </is>
      </c>
      <c r="C684" s="4" t="inlineStr">
        <is>
          <t>00943</t>
        </is>
      </c>
      <c r="D684" s="29" t="inlineStr">
        <is>
          <t>CİHAN YILMAZ</t>
        </is>
      </c>
      <c r="E684" s="4" t="inlineStr">
        <is>
          <t>Pazar</t>
        </is>
      </c>
      <c r="F684" s="4" t="inlineStr">
        <is>
          <t>11.10.2026</t>
        </is>
      </c>
      <c r="G684" s="4" t="inlineStr">
        <is>
          <t>07:54</t>
        </is>
      </c>
      <c r="H684" s="4" t="inlineStr">
        <is>
          <t>11.10.2026</t>
        </is>
      </c>
      <c r="I684" s="4" t="inlineStr">
        <is>
          <t>20:08</t>
        </is>
      </c>
      <c r="J684" s="8" t="n">
        <v>10.5</v>
      </c>
      <c r="K684" s="8" t="n">
        <v>7.5</v>
      </c>
      <c r="L684" s="8" t="n">
        <v>3</v>
      </c>
      <c r="M684" s="29" t="inlineStr">
        <is>
          <t>HALİL DİĞRENCİ</t>
        </is>
      </c>
    </row>
    <row r="685">
      <c r="A685" s="4" t="n">
        <v>684</v>
      </c>
      <c r="B685" s="4" t="inlineStr">
        <is>
          <t>00943</t>
        </is>
      </c>
      <c r="C685" s="4" t="inlineStr">
        <is>
          <t>00943</t>
        </is>
      </c>
      <c r="D685" s="29" t="inlineStr">
        <is>
          <t>CİHAN YILMAZ</t>
        </is>
      </c>
      <c r="E685" s="4" t="inlineStr">
        <is>
          <t>Pazartesi</t>
        </is>
      </c>
      <c r="F685" s="4" t="inlineStr">
        <is>
          <t>12.10.2026</t>
        </is>
      </c>
      <c r="G685" s="4" t="inlineStr">
        <is>
          <t>22:03</t>
        </is>
      </c>
      <c r="H685" s="4" t="inlineStr">
        <is>
          <t>12.10.2026</t>
        </is>
      </c>
      <c r="I685" s="4" t="inlineStr">
        <is>
          <t>08:00</t>
        </is>
      </c>
      <c r="J685" s="8" t="n">
        <v>7.5</v>
      </c>
      <c r="K685" s="8" t="n">
        <v>5.5</v>
      </c>
      <c r="L685" s="8" t="n">
        <v>2</v>
      </c>
      <c r="M685" s="29" t="inlineStr">
        <is>
          <t>HALİL DİĞRENCİ</t>
        </is>
      </c>
    </row>
    <row r="686">
      <c r="A686" s="4" t="n">
        <v>685</v>
      </c>
      <c r="B686" s="4" t="inlineStr">
        <is>
          <t>00943</t>
        </is>
      </c>
      <c r="C686" s="4" t="inlineStr">
        <is>
          <t>00943</t>
        </is>
      </c>
      <c r="D686" s="29" t="inlineStr">
        <is>
          <t>CİHAN YILMAZ</t>
        </is>
      </c>
      <c r="E686" s="4" t="inlineStr">
        <is>
          <t>Salı</t>
        </is>
      </c>
      <c r="F686" s="4" t="inlineStr">
        <is>
          <t>13.10.2026</t>
        </is>
      </c>
      <c r="G686" s="4" t="inlineStr">
        <is>
          <t>21:59</t>
        </is>
      </c>
      <c r="H686" s="4" t="inlineStr">
        <is>
          <t>13.10.2026</t>
        </is>
      </c>
      <c r="I686" s="4" t="inlineStr">
        <is>
          <t>07:57</t>
        </is>
      </c>
      <c r="J686" s="8" t="n">
        <v>7.5</v>
      </c>
      <c r="K686" s="8" t="n">
        <v>5.5</v>
      </c>
      <c r="L686" s="8" t="n">
        <v>2</v>
      </c>
      <c r="M686" s="29" t="inlineStr">
        <is>
          <t>HALİL DİĞRENCİ</t>
        </is>
      </c>
    </row>
    <row r="687">
      <c r="A687" s="4" t="n">
        <v>686</v>
      </c>
      <c r="B687" s="4" t="inlineStr">
        <is>
          <t>00943</t>
        </is>
      </c>
      <c r="C687" s="4" t="inlineStr">
        <is>
          <t>00943</t>
        </is>
      </c>
      <c r="D687" s="29" t="inlineStr">
        <is>
          <t>CİHAN YILMAZ</t>
        </is>
      </c>
      <c r="E687" s="4" t="inlineStr">
        <is>
          <t>Çarşamba</t>
        </is>
      </c>
      <c r="F687" s="4" t="inlineStr">
        <is>
          <t>14.10.2026</t>
        </is>
      </c>
      <c r="G687" s="4" t="inlineStr">
        <is>
          <t>20:03</t>
        </is>
      </c>
      <c r="H687" s="4" t="inlineStr">
        <is>
          <t>14.10.2026</t>
        </is>
      </c>
      <c r="I687" s="4" t="inlineStr">
        <is>
          <t>08:05</t>
        </is>
      </c>
      <c r="J687" s="8" t="n">
        <v>10.5</v>
      </c>
      <c r="K687" s="8" t="n">
        <v>7.5</v>
      </c>
      <c r="L687" s="8" t="n">
        <v>3</v>
      </c>
      <c r="M687" s="29" t="inlineStr">
        <is>
          <t>HALİL DİĞRENCİ</t>
        </is>
      </c>
    </row>
    <row r="688">
      <c r="A688" s="4" t="n">
        <v>687</v>
      </c>
      <c r="B688" s="4" t="inlineStr">
        <is>
          <t>00943</t>
        </is>
      </c>
      <c r="C688" s="4" t="inlineStr">
        <is>
          <t>00943</t>
        </is>
      </c>
      <c r="D688" s="29" t="inlineStr">
        <is>
          <t>CİHAN YILMAZ</t>
        </is>
      </c>
      <c r="E688" s="4" t="inlineStr">
        <is>
          <t>Perşembe</t>
        </is>
      </c>
      <c r="F688" s="4" t="inlineStr">
        <is>
          <t>15.10.2026</t>
        </is>
      </c>
      <c r="G688" s="4" t="inlineStr">
        <is>
          <t>21:53</t>
        </is>
      </c>
      <c r="H688" s="4" t="inlineStr">
        <is>
          <t>15.10.2026</t>
        </is>
      </c>
      <c r="I688" s="4" t="inlineStr">
        <is>
          <t>07:58</t>
        </is>
      </c>
      <c r="J688" s="8" t="n">
        <v>7.5</v>
      </c>
      <c r="K688" s="8" t="n">
        <v>5.5</v>
      </c>
      <c r="L688" s="8" t="n">
        <v>2</v>
      </c>
      <c r="M688" s="29" t="inlineStr">
        <is>
          <t>HALİL DİĞRENCİ</t>
        </is>
      </c>
    </row>
    <row r="689">
      <c r="A689" s="4" t="n">
        <v>688</v>
      </c>
      <c r="B689" s="4" t="inlineStr">
        <is>
          <t>00943</t>
        </is>
      </c>
      <c r="C689" s="4" t="inlineStr">
        <is>
          <t>00943</t>
        </is>
      </c>
      <c r="D689" s="29" t="inlineStr">
        <is>
          <t>CİHAN YILMAZ</t>
        </is>
      </c>
      <c r="E689" s="4" t="inlineStr">
        <is>
          <t>Cuma</t>
        </is>
      </c>
      <c r="F689" s="4" t="inlineStr">
        <is>
          <t>16.10.2026</t>
        </is>
      </c>
      <c r="G689" s="4" t="inlineStr">
        <is>
          <t>22:31</t>
        </is>
      </c>
      <c r="H689" s="4" t="inlineStr">
        <is>
          <t>16.10.2026</t>
        </is>
      </c>
      <c r="I689" s="4" t="inlineStr">
        <is>
          <t>08:00</t>
        </is>
      </c>
      <c r="J689" s="8" t="n">
        <v>7.5</v>
      </c>
      <c r="K689" s="8" t="n">
        <v>7.5</v>
      </c>
      <c r="L689" s="8" t="n">
        <v>0</v>
      </c>
      <c r="M689" s="29" t="inlineStr">
        <is>
          <t>HALİL DİĞRENCİ</t>
        </is>
      </c>
    </row>
    <row r="690">
      <c r="A690" s="4" t="n">
        <v>689</v>
      </c>
      <c r="B690" s="4" t="inlineStr">
        <is>
          <t>00943</t>
        </is>
      </c>
      <c r="C690" s="4" t="inlineStr">
        <is>
          <t>00943</t>
        </is>
      </c>
      <c r="D690" s="29" t="inlineStr">
        <is>
          <t>CİHAN YILMAZ</t>
        </is>
      </c>
      <c r="E690" s="4" t="inlineStr">
        <is>
          <t>Pazar</t>
        </is>
      </c>
      <c r="F690" s="4" t="inlineStr">
        <is>
          <t>18.10.2026</t>
        </is>
      </c>
      <c r="G690" s="4" t="inlineStr">
        <is>
          <t>07:42</t>
        </is>
      </c>
      <c r="H690" s="4" t="inlineStr">
        <is>
          <t>18.10.2026</t>
        </is>
      </c>
      <c r="I690" s="4" t="inlineStr">
        <is>
          <t>08:02</t>
        </is>
      </c>
      <c r="J690" s="8" t="n">
        <v>18.5</v>
      </c>
      <c r="K690" s="8" t="n">
        <v>7.5</v>
      </c>
      <c r="L690" s="8" t="n">
        <v>11</v>
      </c>
      <c r="M690" s="29" t="inlineStr">
        <is>
          <t>HALİL DİĞRENCİ</t>
        </is>
      </c>
    </row>
    <row r="691">
      <c r="A691" s="4" t="n">
        <v>690</v>
      </c>
      <c r="B691" s="4" t="inlineStr">
        <is>
          <t>00943</t>
        </is>
      </c>
      <c r="C691" s="4" t="inlineStr">
        <is>
          <t>00943</t>
        </is>
      </c>
      <c r="D691" s="29" t="inlineStr">
        <is>
          <t>CİHAN YILMAZ</t>
        </is>
      </c>
      <c r="E691" s="4" t="inlineStr">
        <is>
          <t>Pazartesi</t>
        </is>
      </c>
      <c r="F691" s="4" t="inlineStr">
        <is>
          <t>19.10.2026</t>
        </is>
      </c>
      <c r="G691" s="4" t="inlineStr">
        <is>
          <t>20:15</t>
        </is>
      </c>
      <c r="H691" s="4" t="inlineStr">
        <is>
          <t>19.10.2026</t>
        </is>
      </c>
      <c r="I691" s="4" t="inlineStr">
        <is>
          <t>08:45</t>
        </is>
      </c>
      <c r="J691" s="8" t="n">
        <v>11.5</v>
      </c>
      <c r="K691" s="8" t="n">
        <v>7.5</v>
      </c>
      <c r="L691" s="8" t="n">
        <v>4</v>
      </c>
      <c r="M691" s="29" t="inlineStr">
        <is>
          <t>HALİL DİĞRENCİ</t>
        </is>
      </c>
    </row>
    <row r="692">
      <c r="A692" s="4" t="n">
        <v>691</v>
      </c>
      <c r="B692" s="4" t="inlineStr">
        <is>
          <t>00943</t>
        </is>
      </c>
      <c r="C692" s="4" t="inlineStr">
        <is>
          <t>00943</t>
        </is>
      </c>
      <c r="D692" s="29" t="inlineStr">
        <is>
          <t>CİHAN YILMAZ</t>
        </is>
      </c>
      <c r="E692" s="4" t="inlineStr">
        <is>
          <t>Salı</t>
        </is>
      </c>
      <c r="F692" s="4" t="inlineStr">
        <is>
          <t>20.10.2026</t>
        </is>
      </c>
      <c r="G692" s="4" t="inlineStr">
        <is>
          <t>21:48</t>
        </is>
      </c>
      <c r="H692" s="4" t="inlineStr">
        <is>
          <t>20.10.2026</t>
        </is>
      </c>
      <c r="I692" s="4" t="inlineStr">
        <is>
          <t>08:01</t>
        </is>
      </c>
      <c r="J692" s="8" t="n">
        <v>8.5</v>
      </c>
      <c r="K692" s="8" t="n">
        <v>6</v>
      </c>
      <c r="L692" s="8" t="n">
        <v>2.5</v>
      </c>
      <c r="M692" s="29" t="inlineStr">
        <is>
          <t>HALİL DİĞRENCİ</t>
        </is>
      </c>
    </row>
    <row r="693">
      <c r="A693" s="4" t="n">
        <v>692</v>
      </c>
      <c r="B693" s="4" t="inlineStr">
        <is>
          <t>00943</t>
        </is>
      </c>
      <c r="C693" s="4" t="inlineStr">
        <is>
          <t>00943</t>
        </is>
      </c>
      <c r="D693" s="29" t="inlineStr">
        <is>
          <t>CİHAN YILMAZ</t>
        </is>
      </c>
      <c r="E693" s="4" t="inlineStr">
        <is>
          <t>Çarşamba</t>
        </is>
      </c>
      <c r="F693" s="4" t="inlineStr">
        <is>
          <t>21.10.2026</t>
        </is>
      </c>
      <c r="G693" s="4" t="inlineStr">
        <is>
          <t>16:40</t>
        </is>
      </c>
      <c r="H693" s="4" t="inlineStr">
        <is>
          <t>21.10.2026</t>
        </is>
      </c>
      <c r="I693" s="4" t="inlineStr">
        <is>
          <t>-</t>
        </is>
      </c>
      <c r="J693" s="8" t="n">
        <v>7.5</v>
      </c>
      <c r="K693" s="8" t="n">
        <v>7.5</v>
      </c>
      <c r="L693" s="8" t="n">
        <v>0</v>
      </c>
      <c r="M693" s="29" t="inlineStr">
        <is>
          <t>HALİL DİĞRENCİ</t>
        </is>
      </c>
    </row>
    <row r="694">
      <c r="A694" s="4" t="n">
        <v>693</v>
      </c>
      <c r="B694" s="4" t="inlineStr">
        <is>
          <t>01556</t>
        </is>
      </c>
      <c r="C694" s="4" t="inlineStr">
        <is>
          <t>01556</t>
        </is>
      </c>
      <c r="D694" s="29" t="inlineStr">
        <is>
          <t>CİHAN DOĞAN</t>
        </is>
      </c>
      <c r="E694" s="4" t="inlineStr">
        <is>
          <t>Çarşamba</t>
        </is>
      </c>
      <c r="F694" s="4" t="inlineStr">
        <is>
          <t>14.10.2026</t>
        </is>
      </c>
      <c r="G694" s="4" t="inlineStr">
        <is>
          <t>08:05</t>
        </is>
      </c>
      <c r="H694" s="4" t="inlineStr">
        <is>
          <t>14.10.2026</t>
        </is>
      </c>
      <c r="I694" s="4" t="inlineStr">
        <is>
          <t>-</t>
        </is>
      </c>
      <c r="J694" s="8" t="n">
        <v>7.5</v>
      </c>
      <c r="K694" s="8" t="n">
        <v>7.5</v>
      </c>
      <c r="L694" s="8" t="n">
        <v>0</v>
      </c>
      <c r="M694" s="29" t="inlineStr">
        <is>
          <t>BİGADİÇ</t>
        </is>
      </c>
    </row>
    <row r="695">
      <c r="A695" s="4" t="n">
        <v>694</v>
      </c>
      <c r="B695" s="4" t="inlineStr">
        <is>
          <t>01556</t>
        </is>
      </c>
      <c r="C695" s="4" t="inlineStr">
        <is>
          <t>01556</t>
        </is>
      </c>
      <c r="D695" s="29" t="inlineStr">
        <is>
          <t>CİHAN DOĞAN</t>
        </is>
      </c>
      <c r="E695" s="4" t="inlineStr">
        <is>
          <t>Cuma</t>
        </is>
      </c>
      <c r="F695" s="4" t="inlineStr">
        <is>
          <t>16.10.2026</t>
        </is>
      </c>
      <c r="G695" s="4" t="inlineStr">
        <is>
          <t>08:00</t>
        </is>
      </c>
      <c r="H695" s="4" t="inlineStr">
        <is>
          <t>16.10.2026</t>
        </is>
      </c>
      <c r="I695" s="4" t="inlineStr">
        <is>
          <t>-</t>
        </is>
      </c>
      <c r="J695" s="8" t="n">
        <v>7.5</v>
      </c>
      <c r="K695" s="8" t="n">
        <v>7.5</v>
      </c>
      <c r="L695" s="8" t="n">
        <v>0</v>
      </c>
      <c r="M695" s="29" t="inlineStr">
        <is>
          <t>BİGADİÇ</t>
        </is>
      </c>
    </row>
    <row r="696">
      <c r="A696" s="4" t="n">
        <v>695</v>
      </c>
      <c r="B696" s="4" t="inlineStr">
        <is>
          <t>01556</t>
        </is>
      </c>
      <c r="C696" s="4" t="inlineStr">
        <is>
          <t>01556</t>
        </is>
      </c>
      <c r="D696" s="29" t="inlineStr">
        <is>
          <t>CİHAN DOĞAN</t>
        </is>
      </c>
      <c r="E696" s="4" t="inlineStr">
        <is>
          <t>Cumartesi</t>
        </is>
      </c>
      <c r="F696" s="4" t="inlineStr">
        <is>
          <t>17.10.2026</t>
        </is>
      </c>
      <c r="G696" s="4" t="inlineStr">
        <is>
          <t>08:02</t>
        </is>
      </c>
      <c r="H696" s="4" t="inlineStr">
        <is>
          <t>17.10.2026</t>
        </is>
      </c>
      <c r="I696" s="4" t="inlineStr">
        <is>
          <t>-</t>
        </is>
      </c>
      <c r="J696" s="8" t="n">
        <v>7.5</v>
      </c>
      <c r="K696" s="8" t="n">
        <v>7.5</v>
      </c>
      <c r="L696" s="8" t="n">
        <v>0</v>
      </c>
      <c r="M696" s="29" t="inlineStr">
        <is>
          <t>BİGADİÇ</t>
        </is>
      </c>
    </row>
    <row r="697">
      <c r="A697" s="4" t="n">
        <v>696</v>
      </c>
      <c r="B697" s="4" t="inlineStr">
        <is>
          <t>01556</t>
        </is>
      </c>
      <c r="C697" s="4" t="inlineStr">
        <is>
          <t>01556</t>
        </is>
      </c>
      <c r="D697" s="29" t="inlineStr">
        <is>
          <t>CİHAN DOĞAN</t>
        </is>
      </c>
      <c r="E697" s="4" t="inlineStr">
        <is>
          <t>Pazar</t>
        </is>
      </c>
      <c r="F697" s="4" t="inlineStr">
        <is>
          <t>18.10.2026</t>
        </is>
      </c>
      <c r="G697" s="4" t="inlineStr">
        <is>
          <t>08:05</t>
        </is>
      </c>
      <c r="H697" s="4" t="inlineStr">
        <is>
          <t>18.10.2026</t>
        </is>
      </c>
      <c r="I697" s="4" t="inlineStr">
        <is>
          <t>-</t>
        </is>
      </c>
      <c r="J697" s="8" t="n">
        <v>7.5</v>
      </c>
      <c r="K697" s="8" t="n">
        <v>7.5</v>
      </c>
      <c r="L697" s="8" t="n">
        <v>0</v>
      </c>
      <c r="M697" s="29" t="inlineStr">
        <is>
          <t>BİGADİÇ</t>
        </is>
      </c>
    </row>
    <row r="698">
      <c r="A698" s="4" t="n">
        <v>697</v>
      </c>
      <c r="B698" s="4" t="inlineStr">
        <is>
          <t>01556</t>
        </is>
      </c>
      <c r="C698" s="4" t="inlineStr">
        <is>
          <t>01556</t>
        </is>
      </c>
      <c r="D698" s="29" t="inlineStr">
        <is>
          <t>CİHAN DOĞAN</t>
        </is>
      </c>
      <c r="E698" s="4" t="inlineStr">
        <is>
          <t>Pazartesi</t>
        </is>
      </c>
      <c r="F698" s="4" t="inlineStr">
        <is>
          <t>19.10.2026</t>
        </is>
      </c>
      <c r="G698" s="4" t="inlineStr">
        <is>
          <t>07:49</t>
        </is>
      </c>
      <c r="H698" s="4" t="inlineStr">
        <is>
          <t>19.10.2026</t>
        </is>
      </c>
      <c r="I698" s="4" t="inlineStr">
        <is>
          <t>-</t>
        </is>
      </c>
      <c r="J698" s="8" t="n">
        <v>7.5</v>
      </c>
      <c r="K698" s="8" t="n">
        <v>7.5</v>
      </c>
      <c r="L698" s="8" t="n">
        <v>0</v>
      </c>
      <c r="M698" s="29" t="inlineStr">
        <is>
          <t>BİGADİÇ</t>
        </is>
      </c>
    </row>
    <row r="699">
      <c r="A699" s="4" t="n">
        <v>698</v>
      </c>
      <c r="B699" s="4" t="inlineStr">
        <is>
          <t>01556</t>
        </is>
      </c>
      <c r="C699" s="4" t="inlineStr">
        <is>
          <t>01556</t>
        </is>
      </c>
      <c r="D699" s="29" t="inlineStr">
        <is>
          <t>CİHAN DOĞAN</t>
        </is>
      </c>
      <c r="E699" s="4" t="inlineStr">
        <is>
          <t>Salı</t>
        </is>
      </c>
      <c r="F699" s="4" t="inlineStr">
        <is>
          <t>20.10.2026</t>
        </is>
      </c>
      <c r="G699" s="4" t="inlineStr">
        <is>
          <t>07:50</t>
        </is>
      </c>
      <c r="H699" s="4" t="inlineStr">
        <is>
          <t>20.10.2026</t>
        </is>
      </c>
      <c r="I699" s="4" t="inlineStr">
        <is>
          <t>-</t>
        </is>
      </c>
      <c r="J699" s="8" t="n">
        <v>7.5</v>
      </c>
      <c r="K699" s="8" t="n">
        <v>7.5</v>
      </c>
      <c r="L699" s="8" t="n">
        <v>0</v>
      </c>
      <c r="M699" s="29" t="inlineStr">
        <is>
          <t>BİGADİÇ</t>
        </is>
      </c>
    </row>
    <row r="700">
      <c r="A700" s="4" t="n">
        <v>699</v>
      </c>
      <c r="B700" s="4" t="inlineStr">
        <is>
          <t>00782</t>
        </is>
      </c>
      <c r="C700" s="4" t="inlineStr">
        <is>
          <t>00782</t>
        </is>
      </c>
      <c r="D700" s="29" t="inlineStr">
        <is>
          <t>ÇİDEM FİDAN</t>
        </is>
      </c>
      <c r="E700" s="4" t="inlineStr">
        <is>
          <t>Perşembe</t>
        </is>
      </c>
      <c r="F700" s="4" t="inlineStr">
        <is>
          <t>1.10.2026</t>
        </is>
      </c>
      <c r="G700" s="4" t="inlineStr">
        <is>
          <t>07:44</t>
        </is>
      </c>
      <c r="H700" s="4" t="inlineStr">
        <is>
          <t>1.10.2026</t>
        </is>
      </c>
      <c r="I700" s="4" t="inlineStr">
        <is>
          <t>17:30</t>
        </is>
      </c>
      <c r="J700" s="8" t="n">
        <v>8</v>
      </c>
      <c r="K700" s="8" t="n">
        <v>7.5</v>
      </c>
      <c r="L700" s="8" t="n">
        <v>0.5</v>
      </c>
      <c r="M700" s="29" t="inlineStr">
        <is>
          <t>BANDIRMA</t>
        </is>
      </c>
    </row>
    <row r="701">
      <c r="A701" s="4" t="n">
        <v>700</v>
      </c>
      <c r="B701" s="4" t="inlineStr">
        <is>
          <t>00782</t>
        </is>
      </c>
      <c r="C701" s="4" t="inlineStr">
        <is>
          <t>00782</t>
        </is>
      </c>
      <c r="D701" s="29" t="inlineStr">
        <is>
          <t>ÇİDEM FİDAN</t>
        </is>
      </c>
      <c r="E701" s="4" t="inlineStr">
        <is>
          <t>Cuma</t>
        </is>
      </c>
      <c r="F701" s="4" t="inlineStr">
        <is>
          <t>2.10.2026</t>
        </is>
      </c>
      <c r="G701" s="4" t="inlineStr">
        <is>
          <t>07:43</t>
        </is>
      </c>
      <c r="H701" s="4" t="inlineStr">
        <is>
          <t>2.10.2026</t>
        </is>
      </c>
      <c r="I701" s="4" t="inlineStr">
        <is>
          <t>17:49</t>
        </is>
      </c>
      <c r="J701" s="8" t="n">
        <v>8.5</v>
      </c>
      <c r="K701" s="8" t="n">
        <v>7.5</v>
      </c>
      <c r="L701" s="8" t="n">
        <v>1</v>
      </c>
      <c r="M701" s="29" t="inlineStr">
        <is>
          <t>BANDIRMA</t>
        </is>
      </c>
    </row>
    <row r="702">
      <c r="A702" s="4" t="n">
        <v>701</v>
      </c>
      <c r="B702" s="4" t="inlineStr">
        <is>
          <t>00782</t>
        </is>
      </c>
      <c r="C702" s="4" t="inlineStr">
        <is>
          <t>00782</t>
        </is>
      </c>
      <c r="D702" s="29" t="inlineStr">
        <is>
          <t>ÇİDEM FİDAN</t>
        </is>
      </c>
      <c r="E702" s="4" t="inlineStr">
        <is>
          <t>Cumartesi</t>
        </is>
      </c>
      <c r="F702" s="4" t="inlineStr">
        <is>
          <t>3.10.2026</t>
        </is>
      </c>
      <c r="G702" s="4" t="inlineStr">
        <is>
          <t>07:40</t>
        </is>
      </c>
      <c r="H702" s="4" t="inlineStr">
        <is>
          <t>3.10.2026</t>
        </is>
      </c>
      <c r="I702" s="4" t="inlineStr">
        <is>
          <t>17:40</t>
        </is>
      </c>
      <c r="J702" s="8" t="n">
        <v>8</v>
      </c>
      <c r="K702" s="8" t="n">
        <v>7.5</v>
      </c>
      <c r="L702" s="8" t="n">
        <v>0.5</v>
      </c>
      <c r="M702" s="29" t="inlineStr">
        <is>
          <t>BANDIRMA</t>
        </is>
      </c>
    </row>
    <row r="703">
      <c r="A703" s="4" t="n">
        <v>702</v>
      </c>
      <c r="B703" s="4" t="inlineStr">
        <is>
          <t>00782</t>
        </is>
      </c>
      <c r="C703" s="4" t="inlineStr">
        <is>
          <t>00782</t>
        </is>
      </c>
      <c r="D703" s="29" t="inlineStr">
        <is>
          <t>ÇİDEM FİDAN</t>
        </is>
      </c>
      <c r="E703" s="4" t="inlineStr">
        <is>
          <t>Pazartesi</t>
        </is>
      </c>
      <c r="F703" s="4" t="inlineStr">
        <is>
          <t>5.10.2026</t>
        </is>
      </c>
      <c r="G703" s="4" t="inlineStr">
        <is>
          <t>07:44</t>
        </is>
      </c>
      <c r="H703" s="4" t="inlineStr">
        <is>
          <t>5.10.2026</t>
        </is>
      </c>
      <c r="I703" s="4" t="inlineStr">
        <is>
          <t>17:08</t>
        </is>
      </c>
      <c r="J703" s="8" t="n">
        <v>7.5</v>
      </c>
      <c r="K703" s="8" t="n">
        <v>7.5</v>
      </c>
      <c r="L703" s="8" t="n">
        <v>0</v>
      </c>
      <c r="M703" s="29" t="inlineStr">
        <is>
          <t>BANDIRMA</t>
        </is>
      </c>
    </row>
    <row r="704">
      <c r="A704" s="4" t="n">
        <v>703</v>
      </c>
      <c r="B704" s="4" t="inlineStr">
        <is>
          <t>00782</t>
        </is>
      </c>
      <c r="C704" s="4" t="inlineStr">
        <is>
          <t>00782</t>
        </is>
      </c>
      <c r="D704" s="29" t="inlineStr">
        <is>
          <t>ÇİDEM FİDAN</t>
        </is>
      </c>
      <c r="E704" s="4" t="inlineStr">
        <is>
          <t>Salı</t>
        </is>
      </c>
      <c r="F704" s="4" t="inlineStr">
        <is>
          <t>6.10.2026</t>
        </is>
      </c>
      <c r="G704" s="4" t="inlineStr">
        <is>
          <t>07:43</t>
        </is>
      </c>
      <c r="H704" s="4" t="inlineStr">
        <is>
          <t>6.10.2026</t>
        </is>
      </c>
      <c r="I704" s="4" t="inlineStr">
        <is>
          <t>17:44</t>
        </is>
      </c>
      <c r="J704" s="8" t="n">
        <v>8</v>
      </c>
      <c r="K704" s="8" t="n">
        <v>7.5</v>
      </c>
      <c r="L704" s="8" t="n">
        <v>0.5</v>
      </c>
      <c r="M704" s="29" t="inlineStr">
        <is>
          <t>BANDIRMA</t>
        </is>
      </c>
    </row>
    <row r="705">
      <c r="A705" s="4" t="n">
        <v>704</v>
      </c>
      <c r="B705" s="4" t="inlineStr">
        <is>
          <t>00782</t>
        </is>
      </c>
      <c r="C705" s="4" t="inlineStr">
        <is>
          <t>00782</t>
        </is>
      </c>
      <c r="D705" s="29" t="inlineStr">
        <is>
          <t>ÇİDEM FİDAN</t>
        </is>
      </c>
      <c r="E705" s="4" t="inlineStr">
        <is>
          <t>Çarşamba</t>
        </is>
      </c>
      <c r="F705" s="4" t="inlineStr">
        <is>
          <t>7.10.2026</t>
        </is>
      </c>
      <c r="G705" s="4" t="inlineStr">
        <is>
          <t>07:44</t>
        </is>
      </c>
      <c r="H705" s="4" t="inlineStr">
        <is>
          <t>7.10.2026</t>
        </is>
      </c>
      <c r="I705" s="4" t="inlineStr">
        <is>
          <t>17:28</t>
        </is>
      </c>
      <c r="J705" s="8" t="n">
        <v>8</v>
      </c>
      <c r="K705" s="8" t="n">
        <v>7.5</v>
      </c>
      <c r="L705" s="8" t="n">
        <v>0.5</v>
      </c>
      <c r="M705" s="29" t="inlineStr">
        <is>
          <t>BANDIRMA</t>
        </is>
      </c>
    </row>
    <row r="706">
      <c r="A706" s="4" t="n">
        <v>705</v>
      </c>
      <c r="B706" s="4" t="inlineStr">
        <is>
          <t>00782</t>
        </is>
      </c>
      <c r="C706" s="4" t="inlineStr">
        <is>
          <t>00782</t>
        </is>
      </c>
      <c r="D706" s="29" t="inlineStr">
        <is>
          <t>ÇİDEM FİDAN</t>
        </is>
      </c>
      <c r="E706" s="4" t="inlineStr">
        <is>
          <t>Perşembe</t>
        </is>
      </c>
      <c r="F706" s="4" t="inlineStr">
        <is>
          <t>8.10.2026</t>
        </is>
      </c>
      <c r="G706" s="4" t="inlineStr">
        <is>
          <t>07:44</t>
        </is>
      </c>
      <c r="H706" s="4" t="inlineStr">
        <is>
          <t>8.10.2026</t>
        </is>
      </c>
      <c r="I706" s="4" t="inlineStr">
        <is>
          <t>17:38</t>
        </is>
      </c>
      <c r="J706" s="8" t="n">
        <v>8</v>
      </c>
      <c r="K706" s="8" t="n">
        <v>7.5</v>
      </c>
      <c r="L706" s="8" t="n">
        <v>0.5</v>
      </c>
      <c r="M706" s="29" t="inlineStr">
        <is>
          <t>BANDIRMA</t>
        </is>
      </c>
    </row>
    <row r="707">
      <c r="A707" s="4" t="n">
        <v>706</v>
      </c>
      <c r="B707" s="4" t="inlineStr">
        <is>
          <t>00782</t>
        </is>
      </c>
      <c r="C707" s="4" t="inlineStr">
        <is>
          <t>00782</t>
        </is>
      </c>
      <c r="D707" s="29" t="inlineStr">
        <is>
          <t>ÇİDEM FİDAN</t>
        </is>
      </c>
      <c r="E707" s="4" t="inlineStr">
        <is>
          <t>Cuma</t>
        </is>
      </c>
      <c r="F707" s="4" t="inlineStr">
        <is>
          <t>9.10.2026</t>
        </is>
      </c>
      <c r="G707" s="4" t="inlineStr">
        <is>
          <t>07:41</t>
        </is>
      </c>
      <c r="H707" s="4" t="inlineStr">
        <is>
          <t>9.10.2026</t>
        </is>
      </c>
      <c r="I707" s="4" t="inlineStr">
        <is>
          <t>17:47</t>
        </is>
      </c>
      <c r="J707" s="8" t="n">
        <v>8.5</v>
      </c>
      <c r="K707" s="8" t="n">
        <v>7.5</v>
      </c>
      <c r="L707" s="8" t="n">
        <v>1</v>
      </c>
      <c r="M707" s="29" t="inlineStr">
        <is>
          <t>BANDIRMA</t>
        </is>
      </c>
    </row>
    <row r="708">
      <c r="A708" s="4" t="n">
        <v>707</v>
      </c>
      <c r="B708" s="4" t="inlineStr">
        <is>
          <t>00782</t>
        </is>
      </c>
      <c r="C708" s="4" t="inlineStr">
        <is>
          <t>00782</t>
        </is>
      </c>
      <c r="D708" s="29" t="inlineStr">
        <is>
          <t>ÇİDEM FİDAN</t>
        </is>
      </c>
      <c r="E708" s="4" t="inlineStr">
        <is>
          <t>Cumartesi</t>
        </is>
      </c>
      <c r="F708" s="4" t="inlineStr">
        <is>
          <t>10.10.2026</t>
        </is>
      </c>
      <c r="G708" s="4" t="inlineStr">
        <is>
          <t>07:41</t>
        </is>
      </c>
      <c r="H708" s="4" t="inlineStr">
        <is>
          <t>10.10.2026</t>
        </is>
      </c>
      <c r="I708" s="4" t="inlineStr">
        <is>
          <t>18:12</t>
        </is>
      </c>
      <c r="J708" s="8" t="n">
        <v>8.5</v>
      </c>
      <c r="K708" s="8" t="n">
        <v>7.5</v>
      </c>
      <c r="L708" s="8" t="n">
        <v>1</v>
      </c>
      <c r="M708" s="29" t="inlineStr">
        <is>
          <t>BANDIRMA</t>
        </is>
      </c>
    </row>
    <row r="709">
      <c r="A709" s="4" t="n">
        <v>708</v>
      </c>
      <c r="B709" s="4" t="inlineStr">
        <is>
          <t>00782</t>
        </is>
      </c>
      <c r="C709" s="4" t="inlineStr">
        <is>
          <t>00782</t>
        </is>
      </c>
      <c r="D709" s="29" t="inlineStr">
        <is>
          <t>ÇİDEM FİDAN</t>
        </is>
      </c>
      <c r="E709" s="4" t="inlineStr">
        <is>
          <t>Salı</t>
        </is>
      </c>
      <c r="F709" s="4" t="inlineStr">
        <is>
          <t>13.10.2026</t>
        </is>
      </c>
      <c r="G709" s="4" t="inlineStr">
        <is>
          <t>07:46</t>
        </is>
      </c>
      <c r="H709" s="4" t="inlineStr">
        <is>
          <t>13.10.2026</t>
        </is>
      </c>
      <c r="I709" s="4" t="inlineStr">
        <is>
          <t>17:05</t>
        </is>
      </c>
      <c r="J709" s="8" t="n">
        <v>7.5</v>
      </c>
      <c r="K709" s="8" t="n">
        <v>7.5</v>
      </c>
      <c r="L709" s="8" t="n">
        <v>0</v>
      </c>
      <c r="M709" s="29" t="inlineStr">
        <is>
          <t>BANDIRMA</t>
        </is>
      </c>
    </row>
    <row r="710">
      <c r="A710" s="4" t="n">
        <v>709</v>
      </c>
      <c r="B710" s="4" t="inlineStr">
        <is>
          <t>00782</t>
        </is>
      </c>
      <c r="C710" s="4" t="inlineStr">
        <is>
          <t>00782</t>
        </is>
      </c>
      <c r="D710" s="29" t="inlineStr">
        <is>
          <t>ÇİDEM FİDAN</t>
        </is>
      </c>
      <c r="E710" s="4" t="inlineStr">
        <is>
          <t>Çarşamba</t>
        </is>
      </c>
      <c r="F710" s="4" t="inlineStr">
        <is>
          <t>14.10.2026</t>
        </is>
      </c>
      <c r="G710" s="4" t="inlineStr">
        <is>
          <t>07:48</t>
        </is>
      </c>
      <c r="H710" s="4" t="inlineStr">
        <is>
          <t>14.10.2026</t>
        </is>
      </c>
      <c r="I710" s="4" t="inlineStr">
        <is>
          <t>18:09</t>
        </is>
      </c>
      <c r="J710" s="8" t="n">
        <v>8.5</v>
      </c>
      <c r="K710" s="8" t="n">
        <v>7.5</v>
      </c>
      <c r="L710" s="8" t="n">
        <v>1</v>
      </c>
      <c r="M710" s="29" t="inlineStr">
        <is>
          <t>BANDIRMA</t>
        </is>
      </c>
    </row>
    <row r="711">
      <c r="A711" s="4" t="n">
        <v>710</v>
      </c>
      <c r="B711" s="4" t="inlineStr">
        <is>
          <t>00782</t>
        </is>
      </c>
      <c r="C711" s="4" t="inlineStr">
        <is>
          <t>00782</t>
        </is>
      </c>
      <c r="D711" s="29" t="inlineStr">
        <is>
          <t>ÇİDEM FİDAN</t>
        </is>
      </c>
      <c r="E711" s="4" t="inlineStr">
        <is>
          <t>Cuma</t>
        </is>
      </c>
      <c r="F711" s="4" t="inlineStr">
        <is>
          <t>16.10.2026</t>
        </is>
      </c>
      <c r="G711" s="4" t="inlineStr">
        <is>
          <t>07:42</t>
        </is>
      </c>
      <c r="H711" s="4" t="inlineStr">
        <is>
          <t>16.10.2026</t>
        </is>
      </c>
      <c r="I711" s="4" t="inlineStr">
        <is>
          <t>17:20</t>
        </is>
      </c>
      <c r="J711" s="8" t="n">
        <v>7.5</v>
      </c>
      <c r="K711" s="8" t="n">
        <v>7.5</v>
      </c>
      <c r="L711" s="8" t="n">
        <v>0</v>
      </c>
      <c r="M711" s="29" t="inlineStr">
        <is>
          <t>BANDIRMA</t>
        </is>
      </c>
    </row>
    <row r="712">
      <c r="A712" s="4" t="n">
        <v>711</v>
      </c>
      <c r="B712" s="4" t="inlineStr">
        <is>
          <t>00782</t>
        </is>
      </c>
      <c r="C712" s="4" t="inlineStr">
        <is>
          <t>00782</t>
        </is>
      </c>
      <c r="D712" s="29" t="inlineStr">
        <is>
          <t>ÇİDEM FİDAN</t>
        </is>
      </c>
      <c r="E712" s="4" t="inlineStr">
        <is>
          <t>Cumartesi</t>
        </is>
      </c>
      <c r="F712" s="4" t="inlineStr">
        <is>
          <t>17.10.2026</t>
        </is>
      </c>
      <c r="G712" s="4" t="inlineStr">
        <is>
          <t>07:40</t>
        </is>
      </c>
      <c r="H712" s="4" t="inlineStr">
        <is>
          <t>17.10.2026</t>
        </is>
      </c>
      <c r="I712" s="4" t="inlineStr">
        <is>
          <t>17:55</t>
        </is>
      </c>
      <c r="J712" s="8" t="n">
        <v>8.5</v>
      </c>
      <c r="K712" s="8" t="n">
        <v>7.5</v>
      </c>
      <c r="L712" s="8" t="n">
        <v>1</v>
      </c>
      <c r="M712" s="29" t="inlineStr">
        <is>
          <t>BANDIRMA</t>
        </is>
      </c>
    </row>
    <row r="713">
      <c r="A713" s="4" t="n">
        <v>712</v>
      </c>
      <c r="B713" s="4" t="inlineStr">
        <is>
          <t>00782</t>
        </is>
      </c>
      <c r="C713" s="4" t="inlineStr">
        <is>
          <t>00782</t>
        </is>
      </c>
      <c r="D713" s="29" t="inlineStr">
        <is>
          <t>ÇİDEM FİDAN</t>
        </is>
      </c>
      <c r="E713" s="4" t="inlineStr">
        <is>
          <t>Pazartesi</t>
        </is>
      </c>
      <c r="F713" s="4" t="inlineStr">
        <is>
          <t>19.10.2026</t>
        </is>
      </c>
      <c r="G713" s="4" t="inlineStr">
        <is>
          <t>07:56</t>
        </is>
      </c>
      <c r="H713" s="4" t="inlineStr">
        <is>
          <t>19.10.2026</t>
        </is>
      </c>
      <c r="I713" s="4" t="inlineStr">
        <is>
          <t>17:47</t>
        </is>
      </c>
      <c r="J713" s="8" t="n">
        <v>8.5</v>
      </c>
      <c r="K713" s="8" t="n">
        <v>7.5</v>
      </c>
      <c r="L713" s="8" t="n">
        <v>1</v>
      </c>
      <c r="M713" s="29" t="inlineStr">
        <is>
          <t>BANDIRMA</t>
        </is>
      </c>
    </row>
    <row r="714">
      <c r="A714" s="4" t="n">
        <v>713</v>
      </c>
      <c r="B714" s="4" t="inlineStr">
        <is>
          <t>00782</t>
        </is>
      </c>
      <c r="C714" s="4" t="inlineStr">
        <is>
          <t>00782</t>
        </is>
      </c>
      <c r="D714" s="29" t="inlineStr">
        <is>
          <t>ÇİDEM FİDAN</t>
        </is>
      </c>
      <c r="E714" s="4" t="inlineStr">
        <is>
          <t>Salı</t>
        </is>
      </c>
      <c r="F714" s="4" t="inlineStr">
        <is>
          <t>20.10.2026</t>
        </is>
      </c>
      <c r="G714" s="4" t="inlineStr">
        <is>
          <t>07:42</t>
        </is>
      </c>
      <c r="H714" s="4" t="inlineStr">
        <is>
          <t>20.10.2026</t>
        </is>
      </c>
      <c r="I714" s="4" t="inlineStr">
        <is>
          <t>17:01</t>
        </is>
      </c>
      <c r="J714" s="8" t="n">
        <v>7.5</v>
      </c>
      <c r="K714" s="8" t="n">
        <v>7.5</v>
      </c>
      <c r="L714" s="8" t="n">
        <v>0</v>
      </c>
      <c r="M714" s="29" t="inlineStr">
        <is>
          <t>BANDIRMA</t>
        </is>
      </c>
    </row>
    <row r="715">
      <c r="A715" s="4" t="n">
        <v>714</v>
      </c>
      <c r="B715" s="4" t="inlineStr">
        <is>
          <t>00782</t>
        </is>
      </c>
      <c r="C715" s="4" t="inlineStr">
        <is>
          <t>00782</t>
        </is>
      </c>
      <c r="D715" s="29" t="inlineStr">
        <is>
          <t>ÇİDEM FİDAN</t>
        </is>
      </c>
      <c r="E715" s="4" t="inlineStr">
        <is>
          <t>Çarşamba</t>
        </is>
      </c>
      <c r="F715" s="4" t="inlineStr">
        <is>
          <t>21.10.2026</t>
        </is>
      </c>
      <c r="G715" s="4" t="inlineStr">
        <is>
          <t>07:46</t>
        </is>
      </c>
      <c r="H715" s="4" t="inlineStr">
        <is>
          <t>21.10.2026</t>
        </is>
      </c>
      <c r="I715" s="4" t="inlineStr">
        <is>
          <t>17:04</t>
        </is>
      </c>
      <c r="J715" s="8" t="n">
        <v>7.5</v>
      </c>
      <c r="K715" s="8" t="n">
        <v>7.5</v>
      </c>
      <c r="L715" s="8" t="n">
        <v>0</v>
      </c>
      <c r="M715" s="29" t="inlineStr">
        <is>
          <t>BANDIRMA</t>
        </is>
      </c>
    </row>
    <row r="716">
      <c r="A716" s="4" t="n">
        <v>715</v>
      </c>
      <c r="B716" s="4" t="inlineStr">
        <is>
          <t>00033</t>
        </is>
      </c>
      <c r="C716" s="4" t="inlineStr">
        <is>
          <t>00033</t>
        </is>
      </c>
      <c r="D716" s="29" t="inlineStr">
        <is>
          <t>ÇİSEM BÇAKIR</t>
        </is>
      </c>
      <c r="E716" s="4" t="inlineStr">
        <is>
          <t>Perşembe</t>
        </is>
      </c>
      <c r="F716" s="4" t="inlineStr">
        <is>
          <t>1.10.2026</t>
        </is>
      </c>
      <c r="G716" s="4" t="inlineStr">
        <is>
          <t>15:58</t>
        </is>
      </c>
      <c r="H716" s="4" t="inlineStr">
        <is>
          <t>1.10.2026</t>
        </is>
      </c>
      <c r="I716" s="4" t="inlineStr">
        <is>
          <t>23:58</t>
        </is>
      </c>
      <c r="J716" s="8" t="n">
        <v>7.5</v>
      </c>
      <c r="K716" s="8" t="n">
        <v>7.5</v>
      </c>
      <c r="L716" s="8" t="n">
        <v>0</v>
      </c>
      <c r="M716" s="29" t="inlineStr">
        <is>
          <t>SUSURLUK</t>
        </is>
      </c>
    </row>
    <row r="717">
      <c r="A717" s="4" t="n">
        <v>716</v>
      </c>
      <c r="B717" s="4" t="inlineStr">
        <is>
          <t>00033</t>
        </is>
      </c>
      <c r="C717" s="4" t="inlineStr">
        <is>
          <t>00033</t>
        </is>
      </c>
      <c r="D717" s="29" t="inlineStr">
        <is>
          <t>ÇİSEM BÇAKIR</t>
        </is>
      </c>
      <c r="E717" s="4" t="inlineStr">
        <is>
          <t>Cuma</t>
        </is>
      </c>
      <c r="F717" s="4" t="inlineStr">
        <is>
          <t>2.10.2026</t>
        </is>
      </c>
      <c r="G717" s="4" t="inlineStr">
        <is>
          <t>15:47</t>
        </is>
      </c>
      <c r="H717" s="4" t="inlineStr">
        <is>
          <t>2.10.2026</t>
        </is>
      </c>
      <c r="I717" s="4" t="inlineStr">
        <is>
          <t>23:58</t>
        </is>
      </c>
      <c r="J717" s="8" t="n">
        <v>7.5</v>
      </c>
      <c r="K717" s="8" t="n">
        <v>7.5</v>
      </c>
      <c r="L717" s="8" t="n">
        <v>0</v>
      </c>
      <c r="M717" s="29" t="inlineStr">
        <is>
          <t>SUSURLUK</t>
        </is>
      </c>
    </row>
    <row r="718">
      <c r="A718" s="4" t="n">
        <v>717</v>
      </c>
      <c r="B718" s="4" t="inlineStr">
        <is>
          <t>00033</t>
        </is>
      </c>
      <c r="C718" s="4" t="inlineStr">
        <is>
          <t>00033</t>
        </is>
      </c>
      <c r="D718" s="29" t="inlineStr">
        <is>
          <t>ÇİSEM BÇAKIR</t>
        </is>
      </c>
      <c r="E718" s="4" t="inlineStr">
        <is>
          <t>Cumartesi</t>
        </is>
      </c>
      <c r="F718" s="4" t="inlineStr">
        <is>
          <t>3.10.2026</t>
        </is>
      </c>
      <c r="G718" s="4" t="inlineStr">
        <is>
          <t>15:56</t>
        </is>
      </c>
      <c r="H718" s="4" t="inlineStr">
        <is>
          <t>3.10.2026</t>
        </is>
      </c>
      <c r="I718" s="4" t="inlineStr">
        <is>
          <t>23:59</t>
        </is>
      </c>
      <c r="J718" s="8" t="n">
        <v>7.5</v>
      </c>
      <c r="K718" s="8" t="n">
        <v>7.5</v>
      </c>
      <c r="L718" s="8" t="n">
        <v>0</v>
      </c>
      <c r="M718" s="29" t="inlineStr">
        <is>
          <t>SUSURLUK</t>
        </is>
      </c>
    </row>
    <row r="719">
      <c r="A719" s="4" t="n">
        <v>718</v>
      </c>
      <c r="B719" s="4" t="inlineStr">
        <is>
          <t>00033</t>
        </is>
      </c>
      <c r="C719" s="4" t="inlineStr">
        <is>
          <t>00033</t>
        </is>
      </c>
      <c r="D719" s="29" t="inlineStr">
        <is>
          <t>ÇİSEM BÇAKIR</t>
        </is>
      </c>
      <c r="E719" s="4" t="inlineStr">
        <is>
          <t>Pazar</t>
        </is>
      </c>
      <c r="F719" s="4" t="inlineStr">
        <is>
          <t>4.10.2026</t>
        </is>
      </c>
      <c r="G719" s="4" t="inlineStr">
        <is>
          <t>15:55</t>
        </is>
      </c>
      <c r="H719" s="4" t="inlineStr">
        <is>
          <t>4.10.2026</t>
        </is>
      </c>
      <c r="I719" s="4" t="inlineStr">
        <is>
          <t>23:57</t>
        </is>
      </c>
      <c r="J719" s="8" t="n">
        <v>7.5</v>
      </c>
      <c r="K719" s="8" t="n">
        <v>7.5</v>
      </c>
      <c r="L719" s="8" t="n">
        <v>0</v>
      </c>
      <c r="M719" s="29" t="inlineStr">
        <is>
          <t>SUSURLUK</t>
        </is>
      </c>
    </row>
    <row r="720">
      <c r="A720" s="4" t="n">
        <v>719</v>
      </c>
      <c r="B720" s="4" t="inlineStr">
        <is>
          <t>00033</t>
        </is>
      </c>
      <c r="C720" s="4" t="inlineStr">
        <is>
          <t>00033</t>
        </is>
      </c>
      <c r="D720" s="29" t="inlineStr">
        <is>
          <t>ÇİSEM BÇAKIR</t>
        </is>
      </c>
      <c r="E720" s="4" t="inlineStr">
        <is>
          <t>Pazartesi</t>
        </is>
      </c>
      <c r="F720" s="4" t="inlineStr">
        <is>
          <t>5.10.2026</t>
        </is>
      </c>
      <c r="G720" s="4" t="inlineStr">
        <is>
          <t>15:48</t>
        </is>
      </c>
      <c r="H720" s="4" t="inlineStr">
        <is>
          <t>5.10.2026</t>
        </is>
      </c>
      <c r="I720" s="4" t="inlineStr">
        <is>
          <t>23:59</t>
        </is>
      </c>
      <c r="J720" s="8" t="n">
        <v>7.5</v>
      </c>
      <c r="K720" s="8" t="n">
        <v>7.5</v>
      </c>
      <c r="L720" s="8" t="n">
        <v>0</v>
      </c>
      <c r="M720" s="29" t="inlineStr">
        <is>
          <t>SUSURLUK</t>
        </is>
      </c>
    </row>
    <row r="721">
      <c r="A721" s="4" t="n">
        <v>720</v>
      </c>
      <c r="B721" s="4" t="inlineStr">
        <is>
          <t>00033</t>
        </is>
      </c>
      <c r="C721" s="4" t="inlineStr">
        <is>
          <t>00033</t>
        </is>
      </c>
      <c r="D721" s="29" t="inlineStr">
        <is>
          <t>ÇİSEM BÇAKIR</t>
        </is>
      </c>
      <c r="E721" s="4" t="inlineStr">
        <is>
          <t>Salı</t>
        </is>
      </c>
      <c r="F721" s="4" t="inlineStr">
        <is>
          <t>6.10.2026</t>
        </is>
      </c>
      <c r="G721" s="4" t="inlineStr">
        <is>
          <t>15:59</t>
        </is>
      </c>
      <c r="H721" s="4" t="inlineStr">
        <is>
          <t>6.10.2026</t>
        </is>
      </c>
      <c r="I721" s="4" t="inlineStr">
        <is>
          <t>23:58</t>
        </is>
      </c>
      <c r="J721" s="8" t="n">
        <v>7.5</v>
      </c>
      <c r="K721" s="8" t="n">
        <v>7.5</v>
      </c>
      <c r="L721" s="8" t="n">
        <v>0</v>
      </c>
      <c r="M721" s="29" t="inlineStr">
        <is>
          <t>SUSURLUK</t>
        </is>
      </c>
    </row>
    <row r="722">
      <c r="A722" s="4" t="n">
        <v>721</v>
      </c>
      <c r="B722" s="4" t="inlineStr">
        <is>
          <t>00033</t>
        </is>
      </c>
      <c r="C722" s="4" t="inlineStr">
        <is>
          <t>00033</t>
        </is>
      </c>
      <c r="D722" s="29" t="inlineStr">
        <is>
          <t>ÇİSEM BÇAKIR</t>
        </is>
      </c>
      <c r="E722" s="4" t="inlineStr">
        <is>
          <t>Çarşamba</t>
        </is>
      </c>
      <c r="F722" s="4" t="inlineStr">
        <is>
          <t>7.10.2026</t>
        </is>
      </c>
      <c r="G722" s="4" t="inlineStr">
        <is>
          <t>15:49</t>
        </is>
      </c>
      <c r="H722" s="4" t="inlineStr">
        <is>
          <t>7.10.2026</t>
        </is>
      </c>
      <c r="I722" s="4" t="inlineStr">
        <is>
          <t>23:59</t>
        </is>
      </c>
      <c r="J722" s="8" t="n">
        <v>7.5</v>
      </c>
      <c r="K722" s="8" t="n">
        <v>7.5</v>
      </c>
      <c r="L722" s="8" t="n">
        <v>0</v>
      </c>
      <c r="M722" s="29" t="inlineStr">
        <is>
          <t>SUSURLUK</t>
        </is>
      </c>
    </row>
    <row r="723">
      <c r="A723" s="4" t="n">
        <v>722</v>
      </c>
      <c r="B723" s="4" t="inlineStr">
        <is>
          <t>00033</t>
        </is>
      </c>
      <c r="C723" s="4" t="inlineStr">
        <is>
          <t>00033</t>
        </is>
      </c>
      <c r="D723" s="29" t="inlineStr">
        <is>
          <t>ÇİSEM BÇAKIR</t>
        </is>
      </c>
      <c r="E723" s="4" t="inlineStr">
        <is>
          <t>Perşembe</t>
        </is>
      </c>
      <c r="F723" s="4" t="inlineStr">
        <is>
          <t>8.10.2026</t>
        </is>
      </c>
      <c r="G723" s="4" t="inlineStr">
        <is>
          <t>16:02</t>
        </is>
      </c>
      <c r="H723" s="4" t="inlineStr">
        <is>
          <t>8.10.2026</t>
        </is>
      </c>
      <c r="I723" s="4" t="inlineStr">
        <is>
          <t>23:57</t>
        </is>
      </c>
      <c r="J723" s="8" t="n">
        <v>7.5</v>
      </c>
      <c r="K723" s="8" t="n">
        <v>7.5</v>
      </c>
      <c r="L723" s="8" t="n">
        <v>0</v>
      </c>
      <c r="M723" s="29" t="inlineStr">
        <is>
          <t>SUSURLUK</t>
        </is>
      </c>
    </row>
    <row r="724">
      <c r="A724" s="4" t="n">
        <v>723</v>
      </c>
      <c r="B724" s="4" t="inlineStr">
        <is>
          <t>00033</t>
        </is>
      </c>
      <c r="C724" s="4" t="inlineStr">
        <is>
          <t>00033</t>
        </is>
      </c>
      <c r="D724" s="29" t="inlineStr">
        <is>
          <t>ÇİSEM BÇAKIR</t>
        </is>
      </c>
      <c r="E724" s="4" t="inlineStr">
        <is>
          <t>Cuma</t>
        </is>
      </c>
      <c r="F724" s="4" t="inlineStr">
        <is>
          <t>9.10.2026</t>
        </is>
      </c>
      <c r="G724" s="4" t="inlineStr">
        <is>
          <t>15:52</t>
        </is>
      </c>
      <c r="H724" s="4" t="inlineStr">
        <is>
          <t>9.10.2026</t>
        </is>
      </c>
      <c r="I724" s="4" t="inlineStr">
        <is>
          <t>00:00</t>
        </is>
      </c>
      <c r="J724" s="8" t="n">
        <v>7.5</v>
      </c>
      <c r="K724" s="8" t="n">
        <v>7.5</v>
      </c>
      <c r="L724" s="8" t="n">
        <v>0</v>
      </c>
      <c r="M724" s="29" t="inlineStr">
        <is>
          <t>SUSURLUK</t>
        </is>
      </c>
    </row>
    <row r="725">
      <c r="A725" s="4" t="n">
        <v>724</v>
      </c>
      <c r="B725" s="4" t="inlineStr">
        <is>
          <t>00033</t>
        </is>
      </c>
      <c r="C725" s="4" t="inlineStr">
        <is>
          <t>00033</t>
        </is>
      </c>
      <c r="D725" s="29" t="inlineStr">
        <is>
          <t>ÇİSEM BÇAKIR</t>
        </is>
      </c>
      <c r="E725" s="4" t="inlineStr">
        <is>
          <t>Cumartesi</t>
        </is>
      </c>
      <c r="F725" s="4" t="inlineStr">
        <is>
          <t>10.10.2026</t>
        </is>
      </c>
      <c r="G725" s="4" t="inlineStr">
        <is>
          <t>15:38</t>
        </is>
      </c>
      <c r="H725" s="4" t="inlineStr">
        <is>
          <t>10.10.2026</t>
        </is>
      </c>
      <c r="I725" s="4" t="inlineStr">
        <is>
          <t>00:00</t>
        </is>
      </c>
      <c r="J725" s="8" t="n">
        <v>7.5</v>
      </c>
      <c r="K725" s="8" t="n">
        <v>7.5</v>
      </c>
      <c r="L725" s="8" t="n">
        <v>0</v>
      </c>
      <c r="M725" s="29" t="inlineStr">
        <is>
          <t>SUSURLUK</t>
        </is>
      </c>
    </row>
    <row r="726">
      <c r="A726" s="4" t="n">
        <v>725</v>
      </c>
      <c r="B726" s="4" t="inlineStr">
        <is>
          <t>00033</t>
        </is>
      </c>
      <c r="C726" s="4" t="inlineStr">
        <is>
          <t>00033</t>
        </is>
      </c>
      <c r="D726" s="29" t="inlineStr">
        <is>
          <t>ÇİSEM BÇAKIR</t>
        </is>
      </c>
      <c r="E726" s="4" t="inlineStr">
        <is>
          <t>Pazar</t>
        </is>
      </c>
      <c r="F726" s="4" t="inlineStr">
        <is>
          <t>11.10.2026</t>
        </is>
      </c>
      <c r="G726" s="4" t="inlineStr">
        <is>
          <t>15:46</t>
        </is>
      </c>
      <c r="H726" s="4" t="inlineStr">
        <is>
          <t>11.10.2026</t>
        </is>
      </c>
      <c r="I726" s="4" t="inlineStr">
        <is>
          <t>23:59</t>
        </is>
      </c>
      <c r="J726" s="8" t="n">
        <v>7.5</v>
      </c>
      <c r="K726" s="8" t="n">
        <v>7.5</v>
      </c>
      <c r="L726" s="8" t="n">
        <v>0</v>
      </c>
      <c r="M726" s="29" t="inlineStr">
        <is>
          <t>SUSURLUK</t>
        </is>
      </c>
    </row>
    <row r="727">
      <c r="A727" s="4" t="n">
        <v>726</v>
      </c>
      <c r="B727" s="4" t="inlineStr">
        <is>
          <t>00033</t>
        </is>
      </c>
      <c r="C727" s="4" t="inlineStr">
        <is>
          <t>00033</t>
        </is>
      </c>
      <c r="D727" s="29" t="inlineStr">
        <is>
          <t>ÇİSEM BÇAKIR</t>
        </is>
      </c>
      <c r="E727" s="4" t="inlineStr">
        <is>
          <t>Pazartesi</t>
        </is>
      </c>
      <c r="F727" s="4" t="inlineStr">
        <is>
          <t>12.10.2026</t>
        </is>
      </c>
      <c r="G727" s="4" t="inlineStr">
        <is>
          <t>15:50</t>
        </is>
      </c>
      <c r="H727" s="4" t="inlineStr">
        <is>
          <t>12.10.2026</t>
        </is>
      </c>
      <c r="I727" s="4" t="inlineStr">
        <is>
          <t>23:59</t>
        </is>
      </c>
      <c r="J727" s="8" t="n">
        <v>7.5</v>
      </c>
      <c r="K727" s="8" t="n">
        <v>7.5</v>
      </c>
      <c r="L727" s="8" t="n">
        <v>0</v>
      </c>
      <c r="M727" s="29" t="inlineStr">
        <is>
          <t>SUSURLUK</t>
        </is>
      </c>
    </row>
    <row r="728">
      <c r="A728" s="4" t="n">
        <v>727</v>
      </c>
      <c r="B728" s="4" t="inlineStr">
        <is>
          <t>00033</t>
        </is>
      </c>
      <c r="C728" s="4" t="inlineStr">
        <is>
          <t>00033</t>
        </is>
      </c>
      <c r="D728" s="29" t="inlineStr">
        <is>
          <t>ÇİSEM BÇAKIR</t>
        </is>
      </c>
      <c r="E728" s="4" t="inlineStr">
        <is>
          <t>Salı</t>
        </is>
      </c>
      <c r="F728" s="4" t="inlineStr">
        <is>
          <t>13.10.2026</t>
        </is>
      </c>
      <c r="G728" s="4" t="inlineStr">
        <is>
          <t>15:51</t>
        </is>
      </c>
      <c r="H728" s="4" t="inlineStr">
        <is>
          <t>13.10.2026</t>
        </is>
      </c>
      <c r="I728" s="4" t="inlineStr">
        <is>
          <t>00:00</t>
        </is>
      </c>
      <c r="J728" s="8" t="n">
        <v>7.5</v>
      </c>
      <c r="K728" s="8" t="n">
        <v>7.5</v>
      </c>
      <c r="L728" s="8" t="n">
        <v>0</v>
      </c>
      <c r="M728" s="29" t="inlineStr">
        <is>
          <t>SUSURLUK</t>
        </is>
      </c>
    </row>
    <row r="729">
      <c r="A729" s="4" t="n">
        <v>728</v>
      </c>
      <c r="B729" s="4" t="inlineStr">
        <is>
          <t>00033</t>
        </is>
      </c>
      <c r="C729" s="4" t="inlineStr">
        <is>
          <t>00033</t>
        </is>
      </c>
      <c r="D729" s="29" t="inlineStr">
        <is>
          <t>ÇİSEM BÇAKIR</t>
        </is>
      </c>
      <c r="E729" s="4" t="inlineStr">
        <is>
          <t>Çarşamba</t>
        </is>
      </c>
      <c r="F729" s="4" t="inlineStr">
        <is>
          <t>14.10.2026</t>
        </is>
      </c>
      <c r="G729" s="4" t="inlineStr">
        <is>
          <t>15:53</t>
        </is>
      </c>
      <c r="H729" s="4" t="inlineStr">
        <is>
          <t>14.10.2026</t>
        </is>
      </c>
      <c r="I729" s="4" t="inlineStr">
        <is>
          <t>23:59</t>
        </is>
      </c>
      <c r="J729" s="8" t="n">
        <v>7.5</v>
      </c>
      <c r="K729" s="8" t="n">
        <v>7.5</v>
      </c>
      <c r="L729" s="8" t="n">
        <v>0</v>
      </c>
      <c r="M729" s="29" t="inlineStr">
        <is>
          <t>SUSURLUK</t>
        </is>
      </c>
    </row>
    <row r="730">
      <c r="A730" s="4" t="n">
        <v>729</v>
      </c>
      <c r="B730" s="4" t="inlineStr">
        <is>
          <t>00033</t>
        </is>
      </c>
      <c r="C730" s="4" t="inlineStr">
        <is>
          <t>00033</t>
        </is>
      </c>
      <c r="D730" s="29" t="inlineStr">
        <is>
          <t>ÇİSEM BÇAKIR</t>
        </is>
      </c>
      <c r="E730" s="4" t="inlineStr">
        <is>
          <t>Perşembe</t>
        </is>
      </c>
      <c r="F730" s="4" t="inlineStr">
        <is>
          <t>15.10.2026</t>
        </is>
      </c>
      <c r="G730" s="4" t="inlineStr">
        <is>
          <t>15:55</t>
        </is>
      </c>
      <c r="H730" s="4" t="inlineStr">
        <is>
          <t>15.10.2026</t>
        </is>
      </c>
      <c r="I730" s="4" t="inlineStr">
        <is>
          <t>23:59</t>
        </is>
      </c>
      <c r="J730" s="8" t="n">
        <v>7.5</v>
      </c>
      <c r="K730" s="8" t="n">
        <v>7.5</v>
      </c>
      <c r="L730" s="8" t="n">
        <v>0</v>
      </c>
      <c r="M730" s="29" t="inlineStr">
        <is>
          <t>SUSURLUK</t>
        </is>
      </c>
    </row>
    <row r="731">
      <c r="A731" s="4" t="n">
        <v>730</v>
      </c>
      <c r="B731" s="4" t="inlineStr">
        <is>
          <t>00033</t>
        </is>
      </c>
      <c r="C731" s="4" t="inlineStr">
        <is>
          <t>00033</t>
        </is>
      </c>
      <c r="D731" s="29" t="inlineStr">
        <is>
          <t>ÇİSEM BÇAKIR</t>
        </is>
      </c>
      <c r="E731" s="4" t="inlineStr">
        <is>
          <t>Cuma</t>
        </is>
      </c>
      <c r="F731" s="4" t="inlineStr">
        <is>
          <t>16.10.2026</t>
        </is>
      </c>
      <c r="G731" s="4" t="inlineStr">
        <is>
          <t>16:40</t>
        </is>
      </c>
      <c r="H731" s="4" t="inlineStr">
        <is>
          <t>16.10.2026</t>
        </is>
      </c>
      <c r="I731" s="4" t="inlineStr">
        <is>
          <t>23:58</t>
        </is>
      </c>
      <c r="J731" s="8" t="n">
        <v>7</v>
      </c>
      <c r="K731" s="8" t="n">
        <v>7</v>
      </c>
      <c r="L731" s="8" t="n">
        <v>0</v>
      </c>
      <c r="M731" s="29" t="inlineStr">
        <is>
          <t>SUSURLUK</t>
        </is>
      </c>
    </row>
    <row r="732">
      <c r="A732" s="4" t="n">
        <v>731</v>
      </c>
      <c r="B732" s="4" t="inlineStr">
        <is>
          <t>00033</t>
        </is>
      </c>
      <c r="C732" s="4" t="inlineStr">
        <is>
          <t>00033</t>
        </is>
      </c>
      <c r="D732" s="29" t="inlineStr">
        <is>
          <t>ÇİSEM BÇAKIR</t>
        </is>
      </c>
      <c r="E732" s="4" t="inlineStr">
        <is>
          <t>Cumartesi</t>
        </is>
      </c>
      <c r="F732" s="4" t="inlineStr">
        <is>
          <t>17.10.2026</t>
        </is>
      </c>
      <c r="G732" s="4" t="inlineStr">
        <is>
          <t>15:49</t>
        </is>
      </c>
      <c r="H732" s="4" t="inlineStr">
        <is>
          <t>17.10.2026</t>
        </is>
      </c>
      <c r="I732" s="4" t="inlineStr">
        <is>
          <t>23:58</t>
        </is>
      </c>
      <c r="J732" s="8" t="n">
        <v>7.5</v>
      </c>
      <c r="K732" s="8" t="n">
        <v>7.5</v>
      </c>
      <c r="L732" s="8" t="n">
        <v>0</v>
      </c>
      <c r="M732" s="29" t="inlineStr">
        <is>
          <t>SUSURLUK</t>
        </is>
      </c>
    </row>
    <row r="733">
      <c r="A733" s="4" t="n">
        <v>732</v>
      </c>
      <c r="B733" s="4" t="inlineStr">
        <is>
          <t>00033</t>
        </is>
      </c>
      <c r="C733" s="4" t="inlineStr">
        <is>
          <t>00033</t>
        </is>
      </c>
      <c r="D733" s="29" t="inlineStr">
        <is>
          <t>ÇİSEM BÇAKIR</t>
        </is>
      </c>
      <c r="E733" s="4" t="inlineStr">
        <is>
          <t>Pazartesi</t>
        </is>
      </c>
      <c r="F733" s="4" t="inlineStr">
        <is>
          <t>19.10.2026</t>
        </is>
      </c>
      <c r="G733" s="4" t="inlineStr">
        <is>
          <t>15:49</t>
        </is>
      </c>
      <c r="H733" s="4" t="inlineStr">
        <is>
          <t>19.10.2026</t>
        </is>
      </c>
      <c r="I733" s="4" t="inlineStr">
        <is>
          <t>23:59</t>
        </is>
      </c>
      <c r="J733" s="8" t="n">
        <v>7.5</v>
      </c>
      <c r="K733" s="8" t="n">
        <v>7.5</v>
      </c>
      <c r="L733" s="8" t="n">
        <v>0</v>
      </c>
      <c r="M733" s="29" t="inlineStr">
        <is>
          <t>SUSURLUK</t>
        </is>
      </c>
    </row>
    <row r="734">
      <c r="A734" s="4" t="n">
        <v>733</v>
      </c>
      <c r="B734" s="4" t="inlineStr">
        <is>
          <t>00033</t>
        </is>
      </c>
      <c r="C734" s="4" t="inlineStr">
        <is>
          <t>00033</t>
        </is>
      </c>
      <c r="D734" s="29" t="inlineStr">
        <is>
          <t>ÇİSEM BÇAKIR</t>
        </is>
      </c>
      <c r="E734" s="4" t="inlineStr">
        <is>
          <t>Salı</t>
        </is>
      </c>
      <c r="F734" s="4" t="inlineStr">
        <is>
          <t>20.10.2026</t>
        </is>
      </c>
      <c r="G734" s="4" t="inlineStr">
        <is>
          <t>15:39</t>
        </is>
      </c>
      <c r="H734" s="4" t="inlineStr">
        <is>
          <t>20.10.2026</t>
        </is>
      </c>
      <c r="I734" s="4" t="inlineStr">
        <is>
          <t>23:59</t>
        </is>
      </c>
      <c r="J734" s="8" t="n">
        <v>8</v>
      </c>
      <c r="K734" s="8" t="n">
        <v>8</v>
      </c>
      <c r="L734" s="8" t="n">
        <v>0</v>
      </c>
      <c r="M734" s="29" t="inlineStr">
        <is>
          <t>SUSURLUK</t>
        </is>
      </c>
    </row>
    <row r="735">
      <c r="A735" s="4" t="n">
        <v>734</v>
      </c>
      <c r="B735" s="4" t="inlineStr">
        <is>
          <t>00033</t>
        </is>
      </c>
      <c r="C735" s="4" t="inlineStr">
        <is>
          <t>00033</t>
        </is>
      </c>
      <c r="D735" s="29" t="inlineStr">
        <is>
          <t>ÇİSEM BÇAKIR</t>
        </is>
      </c>
      <c r="E735" s="4" t="inlineStr">
        <is>
          <t>Çarşamba</t>
        </is>
      </c>
      <c r="F735" s="4" t="inlineStr">
        <is>
          <t>21.10.2026</t>
        </is>
      </c>
      <c r="G735" s="4" t="inlineStr">
        <is>
          <t>15:46</t>
        </is>
      </c>
      <c r="H735" s="4" t="inlineStr">
        <is>
          <t>21.10.2026</t>
        </is>
      </c>
      <c r="I735" s="4" t="inlineStr">
        <is>
          <t>-</t>
        </is>
      </c>
      <c r="J735" s="8" t="n">
        <v>7.5</v>
      </c>
      <c r="K735" s="8" t="n">
        <v>7.5</v>
      </c>
      <c r="L735" s="8" t="n">
        <v>0</v>
      </c>
      <c r="M735" s="29" t="inlineStr">
        <is>
          <t>SUSURLUK</t>
        </is>
      </c>
    </row>
    <row r="736">
      <c r="A736" s="4" t="n">
        <v>735</v>
      </c>
      <c r="B736" s="4" t="inlineStr">
        <is>
          <t>01378</t>
        </is>
      </c>
      <c r="C736" s="4" t="inlineStr">
        <is>
          <t>01378</t>
        </is>
      </c>
      <c r="D736" s="29" t="inlineStr">
        <is>
          <t>DEMİRHAN GÖKGÖZ</t>
        </is>
      </c>
      <c r="E736" s="4" t="inlineStr">
        <is>
          <t>Perşembe</t>
        </is>
      </c>
      <c r="F736" s="4" t="inlineStr">
        <is>
          <t>1.10.2026</t>
        </is>
      </c>
      <c r="G736" s="4" t="inlineStr">
        <is>
          <t>08:12</t>
        </is>
      </c>
      <c r="H736" s="4" t="inlineStr">
        <is>
          <t>1.10.2026</t>
        </is>
      </c>
      <c r="I736" s="4" t="inlineStr">
        <is>
          <t>17:23</t>
        </is>
      </c>
      <c r="J736" s="8" t="n">
        <v>8</v>
      </c>
      <c r="K736" s="8" t="n">
        <v>7.5</v>
      </c>
      <c r="L736" s="8" t="n">
        <v>0.5</v>
      </c>
      <c r="M736" s="29" t="inlineStr">
        <is>
          <t>HALİL DİĞRENCİ</t>
        </is>
      </c>
    </row>
    <row r="737">
      <c r="A737" s="4" t="n">
        <v>736</v>
      </c>
      <c r="B737" s="4" t="inlineStr">
        <is>
          <t>01378</t>
        </is>
      </c>
      <c r="C737" s="4" t="inlineStr">
        <is>
          <t>01378</t>
        </is>
      </c>
      <c r="D737" s="29" t="inlineStr">
        <is>
          <t>DEMİRHAN GÖKGÖZ</t>
        </is>
      </c>
      <c r="E737" s="4" t="inlineStr">
        <is>
          <t>Cuma</t>
        </is>
      </c>
      <c r="F737" s="4" t="inlineStr">
        <is>
          <t>2.10.2026</t>
        </is>
      </c>
      <c r="G737" s="4" t="inlineStr">
        <is>
          <t>07:57</t>
        </is>
      </c>
      <c r="H737" s="4" t="inlineStr">
        <is>
          <t>2.10.2026</t>
        </is>
      </c>
      <c r="I737" s="4" t="inlineStr">
        <is>
          <t>20:07</t>
        </is>
      </c>
      <c r="J737" s="8" t="n">
        <v>10.5</v>
      </c>
      <c r="K737" s="8" t="n">
        <v>7.5</v>
      </c>
      <c r="L737" s="8" t="n">
        <v>3</v>
      </c>
      <c r="M737" s="29" t="inlineStr">
        <is>
          <t>HALİL DİĞRENCİ</t>
        </is>
      </c>
    </row>
    <row r="738">
      <c r="A738" s="4" t="n">
        <v>737</v>
      </c>
      <c r="B738" s="4" t="inlineStr">
        <is>
          <t>01378</t>
        </is>
      </c>
      <c r="C738" s="4" t="inlineStr">
        <is>
          <t>01378</t>
        </is>
      </c>
      <c r="D738" s="29" t="inlineStr">
        <is>
          <t>DEMİRHAN GÖKGÖZ</t>
        </is>
      </c>
      <c r="E738" s="4" t="inlineStr">
        <is>
          <t>Cumartesi</t>
        </is>
      </c>
      <c r="F738" s="4" t="inlineStr">
        <is>
          <t>3.10.2026</t>
        </is>
      </c>
      <c r="G738" s="4" t="inlineStr">
        <is>
          <t>08:06</t>
        </is>
      </c>
      <c r="H738" s="4" t="inlineStr">
        <is>
          <t>3.10.2026</t>
        </is>
      </c>
      <c r="I738" s="4" t="inlineStr">
        <is>
          <t>20:06</t>
        </is>
      </c>
      <c r="J738" s="8" t="n">
        <v>10.5</v>
      </c>
      <c r="K738" s="8" t="n">
        <v>7.5</v>
      </c>
      <c r="L738" s="8" t="n">
        <v>3</v>
      </c>
      <c r="M738" s="29" t="inlineStr">
        <is>
          <t>HALİL DİĞRENCİ</t>
        </is>
      </c>
    </row>
    <row r="739">
      <c r="A739" s="4" t="n">
        <v>738</v>
      </c>
      <c r="B739" s="4" t="inlineStr">
        <is>
          <t>01378</t>
        </is>
      </c>
      <c r="C739" s="4" t="inlineStr">
        <is>
          <t>01378</t>
        </is>
      </c>
      <c r="D739" s="29" t="inlineStr">
        <is>
          <t>DEMİRHAN GÖKGÖZ</t>
        </is>
      </c>
      <c r="E739" s="4" t="inlineStr">
        <is>
          <t>Pazartesi</t>
        </is>
      </c>
      <c r="F739" s="4" t="inlineStr">
        <is>
          <t>5.10.2026</t>
        </is>
      </c>
      <c r="G739" s="4" t="inlineStr">
        <is>
          <t>08:19</t>
        </is>
      </c>
      <c r="H739" s="4" t="inlineStr">
        <is>
          <t>5.10.2026</t>
        </is>
      </c>
      <c r="I739" s="4" t="inlineStr">
        <is>
          <t>20:01</t>
        </is>
      </c>
      <c r="J739" s="8" t="n">
        <v>10.5</v>
      </c>
      <c r="K739" s="8" t="n">
        <v>7.5</v>
      </c>
      <c r="L739" s="8" t="n">
        <v>3</v>
      </c>
      <c r="M739" s="29" t="inlineStr">
        <is>
          <t>HALİL DİĞRENCİ</t>
        </is>
      </c>
    </row>
    <row r="740">
      <c r="A740" s="4" t="n">
        <v>739</v>
      </c>
      <c r="B740" s="4" t="inlineStr">
        <is>
          <t>01378</t>
        </is>
      </c>
      <c r="C740" s="4" t="inlineStr">
        <is>
          <t>01378</t>
        </is>
      </c>
      <c r="D740" s="29" t="inlineStr">
        <is>
          <t>DEMİRHAN GÖKGÖZ</t>
        </is>
      </c>
      <c r="E740" s="4" t="inlineStr">
        <is>
          <t>Salı</t>
        </is>
      </c>
      <c r="F740" s="4" t="inlineStr">
        <is>
          <t>6.10.2026</t>
        </is>
      </c>
      <c r="G740" s="4" t="inlineStr">
        <is>
          <t>08:06</t>
        </is>
      </c>
      <c r="H740" s="4" t="inlineStr">
        <is>
          <t>6.10.2026</t>
        </is>
      </c>
      <c r="I740" s="4" t="inlineStr">
        <is>
          <t>20:00</t>
        </is>
      </c>
      <c r="J740" s="8" t="n">
        <v>10.5</v>
      </c>
      <c r="K740" s="8" t="n">
        <v>7.5</v>
      </c>
      <c r="L740" s="8" t="n">
        <v>3</v>
      </c>
      <c r="M740" s="29" t="inlineStr">
        <is>
          <t>HALİL DİĞRENCİ</t>
        </is>
      </c>
    </row>
    <row r="741">
      <c r="A741" s="4" t="n">
        <v>740</v>
      </c>
      <c r="B741" s="4" t="inlineStr">
        <is>
          <t>01378</t>
        </is>
      </c>
      <c r="C741" s="4" t="inlineStr">
        <is>
          <t>01378</t>
        </is>
      </c>
      <c r="D741" s="29" t="inlineStr">
        <is>
          <t>DEMİRHAN GÖKGÖZ</t>
        </is>
      </c>
      <c r="E741" s="4" t="inlineStr">
        <is>
          <t>Çarşamba</t>
        </is>
      </c>
      <c r="F741" s="4" t="inlineStr">
        <is>
          <t>7.10.2026</t>
        </is>
      </c>
      <c r="G741" s="4" t="inlineStr">
        <is>
          <t>08:08</t>
        </is>
      </c>
      <c r="H741" s="4" t="inlineStr">
        <is>
          <t>7.10.2026</t>
        </is>
      </c>
      <c r="I741" s="4" t="inlineStr">
        <is>
          <t>20:02</t>
        </is>
      </c>
      <c r="J741" s="8" t="n">
        <v>10.5</v>
      </c>
      <c r="K741" s="8" t="n">
        <v>7.5</v>
      </c>
      <c r="L741" s="8" t="n">
        <v>3</v>
      </c>
      <c r="M741" s="29" t="inlineStr">
        <is>
          <t>HALİL DİĞRENCİ</t>
        </is>
      </c>
    </row>
    <row r="742">
      <c r="A742" s="4" t="n">
        <v>741</v>
      </c>
      <c r="B742" s="4" t="inlineStr">
        <is>
          <t>01378</t>
        </is>
      </c>
      <c r="C742" s="4" t="inlineStr">
        <is>
          <t>01378</t>
        </is>
      </c>
      <c r="D742" s="29" t="inlineStr">
        <is>
          <t>DEMİRHAN GÖKGÖZ</t>
        </is>
      </c>
      <c r="E742" s="4" t="inlineStr">
        <is>
          <t>Perşembe</t>
        </is>
      </c>
      <c r="F742" s="4" t="inlineStr">
        <is>
          <t>8.10.2026</t>
        </is>
      </c>
      <c r="G742" s="4" t="inlineStr">
        <is>
          <t>07:52</t>
        </is>
      </c>
      <c r="H742" s="4" t="inlineStr">
        <is>
          <t>8.10.2026</t>
        </is>
      </c>
      <c r="I742" s="4" t="inlineStr">
        <is>
          <t>20:02</t>
        </is>
      </c>
      <c r="J742" s="8" t="n">
        <v>10.5</v>
      </c>
      <c r="K742" s="8" t="n">
        <v>7.5</v>
      </c>
      <c r="L742" s="8" t="n">
        <v>3</v>
      </c>
      <c r="M742" s="29" t="inlineStr">
        <is>
          <t>HALİL DİĞRENCİ</t>
        </is>
      </c>
    </row>
    <row r="743">
      <c r="A743" s="4" t="n">
        <v>742</v>
      </c>
      <c r="B743" s="4" t="inlineStr">
        <is>
          <t>01378</t>
        </is>
      </c>
      <c r="C743" s="4" t="inlineStr">
        <is>
          <t>01378</t>
        </is>
      </c>
      <c r="D743" s="29" t="inlineStr">
        <is>
          <t>DEMİRHAN GÖKGÖZ</t>
        </is>
      </c>
      <c r="E743" s="4" t="inlineStr">
        <is>
          <t>Cuma</t>
        </is>
      </c>
      <c r="F743" s="4" t="inlineStr">
        <is>
          <t>9.10.2026</t>
        </is>
      </c>
      <c r="G743" s="4" t="inlineStr">
        <is>
          <t>07:54</t>
        </is>
      </c>
      <c r="H743" s="4" t="inlineStr">
        <is>
          <t>9.10.2026</t>
        </is>
      </c>
      <c r="I743" s="4" t="inlineStr">
        <is>
          <t>20:01</t>
        </is>
      </c>
      <c r="J743" s="8" t="n">
        <v>10.5</v>
      </c>
      <c r="K743" s="8" t="n">
        <v>7.5</v>
      </c>
      <c r="L743" s="8" t="n">
        <v>3</v>
      </c>
      <c r="M743" s="29" t="inlineStr">
        <is>
          <t>HALİL DİĞRENCİ</t>
        </is>
      </c>
    </row>
    <row r="744">
      <c r="A744" s="4" t="n">
        <v>743</v>
      </c>
      <c r="B744" s="4" t="inlineStr">
        <is>
          <t>01378</t>
        </is>
      </c>
      <c r="C744" s="4" t="inlineStr">
        <is>
          <t>01378</t>
        </is>
      </c>
      <c r="D744" s="29" t="inlineStr">
        <is>
          <t>DEMİRHAN GÖKGÖZ</t>
        </is>
      </c>
      <c r="E744" s="4" t="inlineStr">
        <is>
          <t>Cumartesi</t>
        </is>
      </c>
      <c r="F744" s="4" t="inlineStr">
        <is>
          <t>10.10.2026</t>
        </is>
      </c>
      <c r="G744" s="4" t="inlineStr">
        <is>
          <t>08:01</t>
        </is>
      </c>
      <c r="H744" s="4" t="inlineStr">
        <is>
          <t>10.10.2026</t>
        </is>
      </c>
      <c r="I744" s="4" t="inlineStr">
        <is>
          <t>19:57</t>
        </is>
      </c>
      <c r="J744" s="8" t="n">
        <v>10.5</v>
      </c>
      <c r="K744" s="8" t="n">
        <v>7.5</v>
      </c>
      <c r="L744" s="8" t="n">
        <v>3</v>
      </c>
      <c r="M744" s="29" t="inlineStr">
        <is>
          <t>HALİL DİĞRENCİ</t>
        </is>
      </c>
    </row>
    <row r="745">
      <c r="A745" s="4" t="n">
        <v>744</v>
      </c>
      <c r="B745" s="4" t="inlineStr">
        <is>
          <t>01378</t>
        </is>
      </c>
      <c r="C745" s="4" t="inlineStr">
        <is>
          <t>01378</t>
        </is>
      </c>
      <c r="D745" s="29" t="inlineStr">
        <is>
          <t>DEMİRHAN GÖKGÖZ</t>
        </is>
      </c>
      <c r="E745" s="4" t="inlineStr">
        <is>
          <t>Pazartesi</t>
        </is>
      </c>
      <c r="F745" s="4" t="inlineStr">
        <is>
          <t>12.10.2026</t>
        </is>
      </c>
      <c r="G745" s="4" t="inlineStr">
        <is>
          <t>08:00</t>
        </is>
      </c>
      <c r="H745" s="4" t="inlineStr">
        <is>
          <t>12.10.2026</t>
        </is>
      </c>
      <c r="I745" s="4" t="inlineStr">
        <is>
          <t>17:07</t>
        </is>
      </c>
      <c r="J745" s="8" t="n">
        <v>7.5</v>
      </c>
      <c r="K745" s="8" t="n">
        <v>7.5</v>
      </c>
      <c r="L745" s="8" t="n">
        <v>0</v>
      </c>
      <c r="M745" s="29" t="inlineStr">
        <is>
          <t>HALİL DİĞRENCİ</t>
        </is>
      </c>
    </row>
    <row r="746">
      <c r="A746" s="4" t="n">
        <v>745</v>
      </c>
      <c r="B746" s="4" t="inlineStr">
        <is>
          <t>01378</t>
        </is>
      </c>
      <c r="C746" s="4" t="inlineStr">
        <is>
          <t>01378</t>
        </is>
      </c>
      <c r="D746" s="29" t="inlineStr">
        <is>
          <t>DEMİRHAN GÖKGÖZ</t>
        </is>
      </c>
      <c r="E746" s="4" t="inlineStr">
        <is>
          <t>Çarşamba</t>
        </is>
      </c>
      <c r="F746" s="4" t="inlineStr">
        <is>
          <t>14.10.2026</t>
        </is>
      </c>
      <c r="G746" s="4" t="inlineStr">
        <is>
          <t>08:02</t>
        </is>
      </c>
      <c r="H746" s="4" t="inlineStr">
        <is>
          <t>14.10.2026</t>
        </is>
      </c>
      <c r="I746" s="4" t="inlineStr">
        <is>
          <t>19:59</t>
        </is>
      </c>
      <c r="J746" s="8" t="n">
        <v>10.5</v>
      </c>
      <c r="K746" s="8" t="n">
        <v>7.5</v>
      </c>
      <c r="L746" s="8" t="n">
        <v>3</v>
      </c>
      <c r="M746" s="29" t="inlineStr">
        <is>
          <t>HALİL DİĞRENCİ</t>
        </is>
      </c>
    </row>
    <row r="747">
      <c r="A747" s="4" t="n">
        <v>746</v>
      </c>
      <c r="B747" s="4" t="inlineStr">
        <is>
          <t>01378</t>
        </is>
      </c>
      <c r="C747" s="4" t="inlineStr">
        <is>
          <t>01378</t>
        </is>
      </c>
      <c r="D747" s="29" t="inlineStr">
        <is>
          <t>DEMİRHAN GÖKGÖZ</t>
        </is>
      </c>
      <c r="E747" s="4" t="inlineStr">
        <is>
          <t>Perşembe</t>
        </is>
      </c>
      <c r="F747" s="4" t="inlineStr">
        <is>
          <t>15.10.2026</t>
        </is>
      </c>
      <c r="G747" s="4" t="inlineStr">
        <is>
          <t>08:10</t>
        </is>
      </c>
      <c r="H747" s="4" t="inlineStr">
        <is>
          <t>15.10.2026</t>
        </is>
      </c>
      <c r="I747" s="4" t="inlineStr">
        <is>
          <t>19:59</t>
        </is>
      </c>
      <c r="J747" s="8" t="n">
        <v>10.5</v>
      </c>
      <c r="K747" s="8" t="n">
        <v>7.5</v>
      </c>
      <c r="L747" s="8" t="n">
        <v>3</v>
      </c>
      <c r="M747" s="29" t="inlineStr">
        <is>
          <t>HALİL DİĞRENCİ</t>
        </is>
      </c>
    </row>
    <row r="748">
      <c r="A748" s="4" t="n">
        <v>747</v>
      </c>
      <c r="B748" s="4" t="inlineStr">
        <is>
          <t>00218</t>
        </is>
      </c>
      <c r="C748" s="4" t="inlineStr">
        <is>
          <t>00218</t>
        </is>
      </c>
      <c r="D748" s="29" t="inlineStr">
        <is>
          <t>DERYA SEVİNÇ</t>
        </is>
      </c>
      <c r="E748" s="4" t="inlineStr">
        <is>
          <t>Perşembe</t>
        </is>
      </c>
      <c r="F748" s="4" t="inlineStr">
        <is>
          <t>1.10.2026</t>
        </is>
      </c>
      <c r="G748" s="4" t="inlineStr">
        <is>
          <t>07:41</t>
        </is>
      </c>
      <c r="H748" s="4" t="inlineStr">
        <is>
          <t>1.10.2026</t>
        </is>
      </c>
      <c r="I748" s="4" t="inlineStr">
        <is>
          <t>17:33</t>
        </is>
      </c>
      <c r="J748" s="8" t="n">
        <v>8</v>
      </c>
      <c r="K748" s="8" t="n">
        <v>7.5</v>
      </c>
      <c r="L748" s="8" t="n">
        <v>0.5</v>
      </c>
      <c r="M748" s="29" t="inlineStr">
        <is>
          <t>MKP</t>
        </is>
      </c>
    </row>
    <row r="749">
      <c r="A749" s="4" t="n">
        <v>748</v>
      </c>
      <c r="B749" s="4" t="inlineStr">
        <is>
          <t>00218</t>
        </is>
      </c>
      <c r="C749" s="4" t="inlineStr">
        <is>
          <t>00218</t>
        </is>
      </c>
      <c r="D749" s="29" t="inlineStr">
        <is>
          <t>DERYA SEVİNÇ</t>
        </is>
      </c>
      <c r="E749" s="4" t="inlineStr">
        <is>
          <t>Cuma</t>
        </is>
      </c>
      <c r="F749" s="4" t="inlineStr">
        <is>
          <t>2.10.2026</t>
        </is>
      </c>
      <c r="G749" s="4" t="inlineStr">
        <is>
          <t>07:45</t>
        </is>
      </c>
      <c r="H749" s="4" t="inlineStr">
        <is>
          <t>2.10.2026</t>
        </is>
      </c>
      <c r="I749" s="4" t="inlineStr">
        <is>
          <t>17:54</t>
        </is>
      </c>
      <c r="J749" s="8" t="n">
        <v>8.5</v>
      </c>
      <c r="K749" s="8" t="n">
        <v>7.5</v>
      </c>
      <c r="L749" s="8" t="n">
        <v>1</v>
      </c>
      <c r="M749" s="29" t="inlineStr">
        <is>
          <t>MKP</t>
        </is>
      </c>
    </row>
    <row r="750">
      <c r="A750" s="4" t="n">
        <v>749</v>
      </c>
      <c r="B750" s="4" t="inlineStr">
        <is>
          <t>00218</t>
        </is>
      </c>
      <c r="C750" s="4" t="inlineStr">
        <is>
          <t>00218</t>
        </is>
      </c>
      <c r="D750" s="29" t="inlineStr">
        <is>
          <t>DERYA SEVİNÇ</t>
        </is>
      </c>
      <c r="E750" s="4" t="inlineStr">
        <is>
          <t>Cumartesi</t>
        </is>
      </c>
      <c r="F750" s="4" t="inlineStr">
        <is>
          <t>3.10.2026</t>
        </is>
      </c>
      <c r="G750" s="4" t="inlineStr">
        <is>
          <t>07:42</t>
        </is>
      </c>
      <c r="H750" s="4" t="inlineStr">
        <is>
          <t>3.10.2026</t>
        </is>
      </c>
      <c r="I750" s="4" t="inlineStr">
        <is>
          <t>17:42</t>
        </is>
      </c>
      <c r="J750" s="8" t="n">
        <v>8</v>
      </c>
      <c r="K750" s="8" t="n">
        <v>7.5</v>
      </c>
      <c r="L750" s="8" t="n">
        <v>0.5</v>
      </c>
      <c r="M750" s="29" t="inlineStr">
        <is>
          <t>MKP</t>
        </is>
      </c>
    </row>
    <row r="751">
      <c r="A751" s="4" t="n">
        <v>750</v>
      </c>
      <c r="B751" s="4" t="inlineStr">
        <is>
          <t>00218</t>
        </is>
      </c>
      <c r="C751" s="4" t="inlineStr">
        <is>
          <t>00218</t>
        </is>
      </c>
      <c r="D751" s="29" t="inlineStr">
        <is>
          <t>DERYA SEVİNÇ</t>
        </is>
      </c>
      <c r="E751" s="4" t="inlineStr">
        <is>
          <t>Pazartesi</t>
        </is>
      </c>
      <c r="F751" s="4" t="inlineStr">
        <is>
          <t>5.10.2026</t>
        </is>
      </c>
      <c r="G751" s="4" t="inlineStr">
        <is>
          <t>07:50</t>
        </is>
      </c>
      <c r="H751" s="4" t="inlineStr">
        <is>
          <t>5.10.2026</t>
        </is>
      </c>
      <c r="I751" s="4" t="inlineStr">
        <is>
          <t>17:06</t>
        </is>
      </c>
      <c r="J751" s="8" t="n">
        <v>7.5</v>
      </c>
      <c r="K751" s="8" t="n">
        <v>7.5</v>
      </c>
      <c r="L751" s="8" t="n">
        <v>0</v>
      </c>
      <c r="M751" s="29" t="inlineStr">
        <is>
          <t>MKP</t>
        </is>
      </c>
    </row>
    <row r="752">
      <c r="A752" s="4" t="n">
        <v>751</v>
      </c>
      <c r="B752" s="4" t="inlineStr">
        <is>
          <t>00218</t>
        </is>
      </c>
      <c r="C752" s="4" t="inlineStr">
        <is>
          <t>00218</t>
        </is>
      </c>
      <c r="D752" s="29" t="inlineStr">
        <is>
          <t>DERYA SEVİNÇ</t>
        </is>
      </c>
      <c r="E752" s="4" t="inlineStr">
        <is>
          <t>Salı</t>
        </is>
      </c>
      <c r="F752" s="4" t="inlineStr">
        <is>
          <t>6.10.2026</t>
        </is>
      </c>
      <c r="G752" s="4" t="inlineStr">
        <is>
          <t>07:47</t>
        </is>
      </c>
      <c r="H752" s="4" t="inlineStr">
        <is>
          <t>6.10.2026</t>
        </is>
      </c>
      <c r="I752" s="4" t="inlineStr">
        <is>
          <t>17:44</t>
        </is>
      </c>
      <c r="J752" s="8" t="n">
        <v>8</v>
      </c>
      <c r="K752" s="8" t="n">
        <v>7.5</v>
      </c>
      <c r="L752" s="8" t="n">
        <v>0.5</v>
      </c>
      <c r="M752" s="29" t="inlineStr">
        <is>
          <t>MKP</t>
        </is>
      </c>
    </row>
    <row r="753">
      <c r="A753" s="4" t="n">
        <v>752</v>
      </c>
      <c r="B753" s="4" t="inlineStr">
        <is>
          <t>00218</t>
        </is>
      </c>
      <c r="C753" s="4" t="inlineStr">
        <is>
          <t>00218</t>
        </is>
      </c>
      <c r="D753" s="29" t="inlineStr">
        <is>
          <t>DERYA SEVİNÇ</t>
        </is>
      </c>
      <c r="E753" s="4" t="inlineStr">
        <is>
          <t>Çarşamba</t>
        </is>
      </c>
      <c r="F753" s="4" t="inlineStr">
        <is>
          <t>7.10.2026</t>
        </is>
      </c>
      <c r="G753" s="4" t="inlineStr">
        <is>
          <t>07:46</t>
        </is>
      </c>
      <c r="H753" s="4" t="inlineStr">
        <is>
          <t>7.10.2026</t>
        </is>
      </c>
      <c r="I753" s="4" t="inlineStr">
        <is>
          <t>17:30</t>
        </is>
      </c>
      <c r="J753" s="8" t="n">
        <v>8</v>
      </c>
      <c r="K753" s="8" t="n">
        <v>7.5</v>
      </c>
      <c r="L753" s="8" t="n">
        <v>0.5</v>
      </c>
      <c r="M753" s="29" t="inlineStr">
        <is>
          <t>MKP</t>
        </is>
      </c>
    </row>
    <row r="754">
      <c r="A754" s="4" t="n">
        <v>753</v>
      </c>
      <c r="B754" s="4" t="inlineStr">
        <is>
          <t>00218</t>
        </is>
      </c>
      <c r="C754" s="4" t="inlineStr">
        <is>
          <t>00218</t>
        </is>
      </c>
      <c r="D754" s="29" t="inlineStr">
        <is>
          <t>DERYA SEVİNÇ</t>
        </is>
      </c>
      <c r="E754" s="4" t="inlineStr">
        <is>
          <t>Perşembe</t>
        </is>
      </c>
      <c r="F754" s="4" t="inlineStr">
        <is>
          <t>8.10.2026</t>
        </is>
      </c>
      <c r="G754" s="4" t="inlineStr">
        <is>
          <t>07:51</t>
        </is>
      </c>
      <c r="H754" s="4" t="inlineStr">
        <is>
          <t>8.10.2026</t>
        </is>
      </c>
      <c r="I754" s="4" t="inlineStr">
        <is>
          <t>17:37</t>
        </is>
      </c>
      <c r="J754" s="8" t="n">
        <v>8</v>
      </c>
      <c r="K754" s="8" t="n">
        <v>7.5</v>
      </c>
      <c r="L754" s="8" t="n">
        <v>0.5</v>
      </c>
      <c r="M754" s="29" t="inlineStr">
        <is>
          <t>MKP</t>
        </is>
      </c>
    </row>
    <row r="755">
      <c r="A755" s="4" t="n">
        <v>754</v>
      </c>
      <c r="B755" s="4" t="inlineStr">
        <is>
          <t>00218</t>
        </is>
      </c>
      <c r="C755" s="4" t="inlineStr">
        <is>
          <t>00218</t>
        </is>
      </c>
      <c r="D755" s="29" t="inlineStr">
        <is>
          <t>DERYA SEVİNÇ</t>
        </is>
      </c>
      <c r="E755" s="4" t="inlineStr">
        <is>
          <t>Cuma</t>
        </is>
      </c>
      <c r="F755" s="4" t="inlineStr">
        <is>
          <t>9.10.2026</t>
        </is>
      </c>
      <c r="G755" s="4" t="inlineStr">
        <is>
          <t>07:49</t>
        </is>
      </c>
      <c r="H755" s="4" t="inlineStr">
        <is>
          <t>9.10.2026</t>
        </is>
      </c>
      <c r="I755" s="4" t="inlineStr">
        <is>
          <t>17:46</t>
        </is>
      </c>
      <c r="J755" s="8" t="n">
        <v>8.5</v>
      </c>
      <c r="K755" s="8" t="n">
        <v>7.5</v>
      </c>
      <c r="L755" s="8" t="n">
        <v>1</v>
      </c>
      <c r="M755" s="29" t="inlineStr">
        <is>
          <t>MKP</t>
        </is>
      </c>
    </row>
    <row r="756">
      <c r="A756" s="4" t="n">
        <v>755</v>
      </c>
      <c r="B756" s="4" t="inlineStr">
        <is>
          <t>00218</t>
        </is>
      </c>
      <c r="C756" s="4" t="inlineStr">
        <is>
          <t>00218</t>
        </is>
      </c>
      <c r="D756" s="29" t="inlineStr">
        <is>
          <t>DERYA SEVİNÇ</t>
        </is>
      </c>
      <c r="E756" s="4" t="inlineStr">
        <is>
          <t>Cumartesi</t>
        </is>
      </c>
      <c r="F756" s="4" t="inlineStr">
        <is>
          <t>10.10.2026</t>
        </is>
      </c>
      <c r="G756" s="4" t="inlineStr">
        <is>
          <t>07:45</t>
        </is>
      </c>
      <c r="H756" s="4" t="inlineStr">
        <is>
          <t>10.10.2026</t>
        </is>
      </c>
      <c r="I756" s="4" t="inlineStr">
        <is>
          <t>18:18</t>
        </is>
      </c>
      <c r="J756" s="8" t="n">
        <v>8.5</v>
      </c>
      <c r="K756" s="8" t="n">
        <v>7.5</v>
      </c>
      <c r="L756" s="8" t="n">
        <v>1</v>
      </c>
      <c r="M756" s="29" t="inlineStr">
        <is>
          <t>MKP</t>
        </is>
      </c>
    </row>
    <row r="757">
      <c r="A757" s="4" t="n">
        <v>756</v>
      </c>
      <c r="B757" s="4" t="inlineStr">
        <is>
          <t>00218</t>
        </is>
      </c>
      <c r="C757" s="4" t="inlineStr">
        <is>
          <t>00218</t>
        </is>
      </c>
      <c r="D757" s="29" t="inlineStr">
        <is>
          <t>DERYA SEVİNÇ</t>
        </is>
      </c>
      <c r="E757" s="4" t="inlineStr">
        <is>
          <t>Pazartesi</t>
        </is>
      </c>
      <c r="F757" s="4" t="inlineStr">
        <is>
          <t>12.10.2026</t>
        </is>
      </c>
      <c r="G757" s="4" t="inlineStr">
        <is>
          <t>07:46</t>
        </is>
      </c>
      <c r="H757" s="4" t="inlineStr">
        <is>
          <t>12.10.2026</t>
        </is>
      </c>
      <c r="I757" s="4" t="inlineStr">
        <is>
          <t>17:07</t>
        </is>
      </c>
      <c r="J757" s="8" t="n">
        <v>7.5</v>
      </c>
      <c r="K757" s="8" t="n">
        <v>7.5</v>
      </c>
      <c r="L757" s="8" t="n">
        <v>0</v>
      </c>
      <c r="M757" s="29" t="inlineStr">
        <is>
          <t>MKP</t>
        </is>
      </c>
    </row>
    <row r="758">
      <c r="A758" s="4" t="n">
        <v>757</v>
      </c>
      <c r="B758" s="4" t="inlineStr">
        <is>
          <t>00218</t>
        </is>
      </c>
      <c r="C758" s="4" t="inlineStr">
        <is>
          <t>00218</t>
        </is>
      </c>
      <c r="D758" s="29" t="inlineStr">
        <is>
          <t>DERYA SEVİNÇ</t>
        </is>
      </c>
      <c r="E758" s="4" t="inlineStr">
        <is>
          <t>Salı</t>
        </is>
      </c>
      <c r="F758" s="4" t="inlineStr">
        <is>
          <t>13.10.2026</t>
        </is>
      </c>
      <c r="G758" s="4" t="inlineStr">
        <is>
          <t>07:48</t>
        </is>
      </c>
      <c r="H758" s="4" t="inlineStr">
        <is>
          <t>13.10.2026</t>
        </is>
      </c>
      <c r="I758" s="4" t="inlineStr">
        <is>
          <t>17:03</t>
        </is>
      </c>
      <c r="J758" s="8" t="n">
        <v>7.5</v>
      </c>
      <c r="K758" s="8" t="n">
        <v>7.5</v>
      </c>
      <c r="L758" s="8" t="n">
        <v>0</v>
      </c>
      <c r="M758" s="29" t="inlineStr">
        <is>
          <t>MKP</t>
        </is>
      </c>
    </row>
    <row r="759">
      <c r="A759" s="4" t="n">
        <v>758</v>
      </c>
      <c r="B759" s="4" t="inlineStr">
        <is>
          <t>00218</t>
        </is>
      </c>
      <c r="C759" s="4" t="inlineStr">
        <is>
          <t>00218</t>
        </is>
      </c>
      <c r="D759" s="29" t="inlineStr">
        <is>
          <t>DERYA SEVİNÇ</t>
        </is>
      </c>
      <c r="E759" s="4" t="inlineStr">
        <is>
          <t>Çarşamba</t>
        </is>
      </c>
      <c r="F759" s="4" t="inlineStr">
        <is>
          <t>14.10.2026</t>
        </is>
      </c>
      <c r="G759" s="4" t="inlineStr">
        <is>
          <t>07:56</t>
        </is>
      </c>
      <c r="H759" s="4" t="inlineStr">
        <is>
          <t>14.10.2026</t>
        </is>
      </c>
      <c r="I759" s="4" t="inlineStr">
        <is>
          <t>18:21</t>
        </is>
      </c>
      <c r="J759" s="8" t="n">
        <v>9</v>
      </c>
      <c r="K759" s="8" t="n">
        <v>7.5</v>
      </c>
      <c r="L759" s="8" t="n">
        <v>1.5</v>
      </c>
      <c r="M759" s="29" t="inlineStr">
        <is>
          <t>MKP</t>
        </is>
      </c>
    </row>
    <row r="760">
      <c r="A760" s="4" t="n">
        <v>759</v>
      </c>
      <c r="B760" s="4" t="inlineStr">
        <is>
          <t>00218</t>
        </is>
      </c>
      <c r="C760" s="4" t="inlineStr">
        <is>
          <t>00218</t>
        </is>
      </c>
      <c r="D760" s="29" t="inlineStr">
        <is>
          <t>DERYA SEVİNÇ</t>
        </is>
      </c>
      <c r="E760" s="4" t="inlineStr">
        <is>
          <t>Perşembe</t>
        </is>
      </c>
      <c r="F760" s="4" t="inlineStr">
        <is>
          <t>15.10.2026</t>
        </is>
      </c>
      <c r="G760" s="4" t="inlineStr">
        <is>
          <t>08:00</t>
        </is>
      </c>
      <c r="H760" s="4" t="inlineStr">
        <is>
          <t>15.10.2026</t>
        </is>
      </c>
      <c r="I760" s="4" t="inlineStr">
        <is>
          <t>17:05</t>
        </is>
      </c>
      <c r="J760" s="8" t="n">
        <v>7.5</v>
      </c>
      <c r="K760" s="8" t="n">
        <v>7.5</v>
      </c>
      <c r="L760" s="8" t="n">
        <v>0</v>
      </c>
      <c r="M760" s="29" t="inlineStr">
        <is>
          <t>MKP</t>
        </is>
      </c>
    </row>
    <row r="761">
      <c r="A761" s="4" t="n">
        <v>760</v>
      </c>
      <c r="B761" s="4" t="inlineStr">
        <is>
          <t>00218</t>
        </is>
      </c>
      <c r="C761" s="4" t="inlineStr">
        <is>
          <t>00218</t>
        </is>
      </c>
      <c r="D761" s="29" t="inlineStr">
        <is>
          <t>DERYA SEVİNÇ</t>
        </is>
      </c>
      <c r="E761" s="4" t="inlineStr">
        <is>
          <t>Cuma</t>
        </is>
      </c>
      <c r="F761" s="4" t="inlineStr">
        <is>
          <t>16.10.2026</t>
        </is>
      </c>
      <c r="G761" s="4" t="inlineStr">
        <is>
          <t>07:44</t>
        </is>
      </c>
      <c r="H761" s="4" t="inlineStr">
        <is>
          <t>16.10.2026</t>
        </is>
      </c>
      <c r="I761" s="4" t="inlineStr">
        <is>
          <t>17:23</t>
        </is>
      </c>
      <c r="J761" s="8" t="n">
        <v>8</v>
      </c>
      <c r="K761" s="8" t="n">
        <v>7.5</v>
      </c>
      <c r="L761" s="8" t="n">
        <v>0.5</v>
      </c>
      <c r="M761" s="29" t="inlineStr">
        <is>
          <t>MKP</t>
        </is>
      </c>
    </row>
    <row r="762">
      <c r="A762" s="4" t="n">
        <v>761</v>
      </c>
      <c r="B762" s="4" t="inlineStr">
        <is>
          <t>00218</t>
        </is>
      </c>
      <c r="C762" s="4" t="inlineStr">
        <is>
          <t>00218</t>
        </is>
      </c>
      <c r="D762" s="29" t="inlineStr">
        <is>
          <t>DERYA SEVİNÇ</t>
        </is>
      </c>
      <c r="E762" s="4" t="inlineStr">
        <is>
          <t>Cumartesi</t>
        </is>
      </c>
      <c r="F762" s="4" t="inlineStr">
        <is>
          <t>17.10.2026</t>
        </is>
      </c>
      <c r="G762" s="4" t="inlineStr">
        <is>
          <t>07:48</t>
        </is>
      </c>
      <c r="H762" s="4" t="inlineStr">
        <is>
          <t>17.10.2026</t>
        </is>
      </c>
      <c r="I762" s="4" t="inlineStr">
        <is>
          <t>17:56</t>
        </is>
      </c>
      <c r="J762" s="8" t="n">
        <v>8.5</v>
      </c>
      <c r="K762" s="8" t="n">
        <v>7.5</v>
      </c>
      <c r="L762" s="8" t="n">
        <v>1</v>
      </c>
      <c r="M762" s="29" t="inlineStr">
        <is>
          <t>MKP</t>
        </is>
      </c>
    </row>
    <row r="763">
      <c r="A763" s="4" t="n">
        <v>762</v>
      </c>
      <c r="B763" s="4" t="inlineStr">
        <is>
          <t>00218</t>
        </is>
      </c>
      <c r="C763" s="4" t="inlineStr">
        <is>
          <t>00218</t>
        </is>
      </c>
      <c r="D763" s="29" t="inlineStr">
        <is>
          <t>DERYA SEVİNÇ</t>
        </is>
      </c>
      <c r="E763" s="4" t="inlineStr">
        <is>
          <t>Pazartesi</t>
        </is>
      </c>
      <c r="F763" s="4" t="inlineStr">
        <is>
          <t>19.10.2026</t>
        </is>
      </c>
      <c r="G763" s="4" t="inlineStr">
        <is>
          <t>07:46</t>
        </is>
      </c>
      <c r="H763" s="4" t="inlineStr">
        <is>
          <t>19.10.2026</t>
        </is>
      </c>
      <c r="I763" s="4" t="inlineStr">
        <is>
          <t>17:53</t>
        </is>
      </c>
      <c r="J763" s="8" t="n">
        <v>8.5</v>
      </c>
      <c r="K763" s="8" t="n">
        <v>7.5</v>
      </c>
      <c r="L763" s="8" t="n">
        <v>1</v>
      </c>
      <c r="M763" s="29" t="inlineStr">
        <is>
          <t>MKP</t>
        </is>
      </c>
    </row>
    <row r="764">
      <c r="A764" s="4" t="n">
        <v>763</v>
      </c>
      <c r="B764" s="4" t="inlineStr">
        <is>
          <t>00218</t>
        </is>
      </c>
      <c r="C764" s="4" t="inlineStr">
        <is>
          <t>00218</t>
        </is>
      </c>
      <c r="D764" s="29" t="inlineStr">
        <is>
          <t>DERYA SEVİNÇ</t>
        </is>
      </c>
      <c r="E764" s="4" t="inlineStr">
        <is>
          <t>Salı</t>
        </is>
      </c>
      <c r="F764" s="4" t="inlineStr">
        <is>
          <t>20.10.2026</t>
        </is>
      </c>
      <c r="G764" s="4" t="inlineStr">
        <is>
          <t>07:48</t>
        </is>
      </c>
      <c r="H764" s="4" t="inlineStr">
        <is>
          <t>20.10.2026</t>
        </is>
      </c>
      <c r="I764" s="4" t="inlineStr">
        <is>
          <t>17:05</t>
        </is>
      </c>
      <c r="J764" s="8" t="n">
        <v>7.5</v>
      </c>
      <c r="K764" s="8" t="n">
        <v>7.5</v>
      </c>
      <c r="L764" s="8" t="n">
        <v>0</v>
      </c>
      <c r="M764" s="29" t="inlineStr">
        <is>
          <t>MKP</t>
        </is>
      </c>
    </row>
    <row r="765">
      <c r="A765" s="4" t="n">
        <v>764</v>
      </c>
      <c r="B765" s="4" t="inlineStr">
        <is>
          <t>00218</t>
        </is>
      </c>
      <c r="C765" s="4" t="inlineStr">
        <is>
          <t>00218</t>
        </is>
      </c>
      <c r="D765" s="29" t="inlineStr">
        <is>
          <t>DERYA SEVİNÇ</t>
        </is>
      </c>
      <c r="E765" s="4" t="inlineStr">
        <is>
          <t>Çarşamba</t>
        </is>
      </c>
      <c r="F765" s="4" t="inlineStr">
        <is>
          <t>21.10.2026</t>
        </is>
      </c>
      <c r="G765" s="4" t="inlineStr">
        <is>
          <t>07:45</t>
        </is>
      </c>
      <c r="H765" s="4" t="inlineStr">
        <is>
          <t>21.10.2026</t>
        </is>
      </c>
      <c r="I765" s="4" t="inlineStr">
        <is>
          <t>17:06</t>
        </is>
      </c>
      <c r="J765" s="8" t="n">
        <v>7.5</v>
      </c>
      <c r="K765" s="8" t="n">
        <v>7.5</v>
      </c>
      <c r="L765" s="8" t="n">
        <v>0</v>
      </c>
      <c r="M765" s="29" t="inlineStr">
        <is>
          <t>MKP</t>
        </is>
      </c>
    </row>
    <row r="766">
      <c r="A766" s="4" t="n">
        <v>765</v>
      </c>
      <c r="B766" s="4" t="inlineStr">
        <is>
          <t>01398</t>
        </is>
      </c>
      <c r="C766" s="4" t="inlineStr">
        <is>
          <t>01398</t>
        </is>
      </c>
      <c r="D766" s="29" t="inlineStr">
        <is>
          <t>DERYA ORUÇ</t>
        </is>
      </c>
      <c r="E766" s="4" t="inlineStr">
        <is>
          <t>Cumartesi</t>
        </is>
      </c>
      <c r="F766" s="4" t="inlineStr">
        <is>
          <t>3.10.2026</t>
        </is>
      </c>
      <c r="G766" s="4" t="inlineStr">
        <is>
          <t>08:01</t>
        </is>
      </c>
      <c r="H766" s="4" t="inlineStr">
        <is>
          <t>3.10.2026</t>
        </is>
      </c>
      <c r="I766" s="4" t="inlineStr">
        <is>
          <t>20:02</t>
        </is>
      </c>
      <c r="J766" s="8" t="n">
        <v>10.5</v>
      </c>
      <c r="K766" s="8" t="n">
        <v>7.5</v>
      </c>
      <c r="L766" s="8" t="n">
        <v>3</v>
      </c>
      <c r="M766" s="29" t="inlineStr">
        <is>
          <t>HALİL DİĞRENCİ</t>
        </is>
      </c>
    </row>
    <row r="767">
      <c r="A767" s="4" t="n">
        <v>766</v>
      </c>
      <c r="B767" s="4" t="inlineStr">
        <is>
          <t>01398</t>
        </is>
      </c>
      <c r="C767" s="4" t="inlineStr">
        <is>
          <t>01398</t>
        </is>
      </c>
      <c r="D767" s="29" t="inlineStr">
        <is>
          <t>DERYA ORUÇ</t>
        </is>
      </c>
      <c r="E767" s="4" t="inlineStr">
        <is>
          <t>Pazar</t>
        </is>
      </c>
      <c r="F767" s="4" t="inlineStr">
        <is>
          <t>4.10.2026</t>
        </is>
      </c>
      <c r="G767" s="4" t="inlineStr">
        <is>
          <t>07:34</t>
        </is>
      </c>
      <c r="H767" s="4" t="inlineStr">
        <is>
          <t>4.10.2026</t>
        </is>
      </c>
      <c r="I767" s="4" t="inlineStr">
        <is>
          <t>17:08</t>
        </is>
      </c>
      <c r="J767" s="8" t="n">
        <v>7.5</v>
      </c>
      <c r="K767" s="8" t="n">
        <v>7.5</v>
      </c>
      <c r="L767" s="8" t="n">
        <v>0</v>
      </c>
      <c r="M767" s="29" t="inlineStr">
        <is>
          <t>HALİL DİĞRENCİ</t>
        </is>
      </c>
    </row>
    <row r="768">
      <c r="A768" s="4" t="n">
        <v>767</v>
      </c>
      <c r="B768" s="4" t="inlineStr">
        <is>
          <t>01398</t>
        </is>
      </c>
      <c r="C768" s="4" t="inlineStr">
        <is>
          <t>01398</t>
        </is>
      </c>
      <c r="D768" s="29" t="inlineStr">
        <is>
          <t>DERYA ORUÇ</t>
        </is>
      </c>
      <c r="E768" s="4" t="inlineStr">
        <is>
          <t>Pazartesi</t>
        </is>
      </c>
      <c r="F768" s="4" t="inlineStr">
        <is>
          <t>5.10.2026</t>
        </is>
      </c>
      <c r="G768" s="4" t="inlineStr">
        <is>
          <t>08:14</t>
        </is>
      </c>
      <c r="H768" s="4" t="inlineStr">
        <is>
          <t>5.10.2026</t>
        </is>
      </c>
      <c r="I768" s="4" t="inlineStr">
        <is>
          <t>19:59</t>
        </is>
      </c>
      <c r="J768" s="8" t="n">
        <v>10.5</v>
      </c>
      <c r="K768" s="8" t="n">
        <v>7.5</v>
      </c>
      <c r="L768" s="8" t="n">
        <v>3</v>
      </c>
      <c r="M768" s="29" t="inlineStr">
        <is>
          <t>HALİL DİĞRENCİ</t>
        </is>
      </c>
    </row>
    <row r="769">
      <c r="A769" s="4" t="n">
        <v>768</v>
      </c>
      <c r="B769" s="4" t="inlineStr">
        <is>
          <t>01398</t>
        </is>
      </c>
      <c r="C769" s="4" t="inlineStr">
        <is>
          <t>01398</t>
        </is>
      </c>
      <c r="D769" s="29" t="inlineStr">
        <is>
          <t>DERYA ORUÇ</t>
        </is>
      </c>
      <c r="E769" s="4" t="inlineStr">
        <is>
          <t>Salı</t>
        </is>
      </c>
      <c r="F769" s="4" t="inlineStr">
        <is>
          <t>6.10.2026</t>
        </is>
      </c>
      <c r="G769" s="4" t="inlineStr">
        <is>
          <t>07:58</t>
        </is>
      </c>
      <c r="H769" s="4" t="inlineStr">
        <is>
          <t>6.10.2026</t>
        </is>
      </c>
      <c r="I769" s="4" t="inlineStr">
        <is>
          <t>20:00</t>
        </is>
      </c>
      <c r="J769" s="8" t="n">
        <v>10.5</v>
      </c>
      <c r="K769" s="8" t="n">
        <v>7.5</v>
      </c>
      <c r="L769" s="8" t="n">
        <v>3</v>
      </c>
      <c r="M769" s="29" t="inlineStr">
        <is>
          <t>HALİL DİĞRENCİ</t>
        </is>
      </c>
    </row>
    <row r="770">
      <c r="A770" s="4" t="n">
        <v>769</v>
      </c>
      <c r="B770" s="4" t="inlineStr">
        <is>
          <t>01398</t>
        </is>
      </c>
      <c r="C770" s="4" t="inlineStr">
        <is>
          <t>01398</t>
        </is>
      </c>
      <c r="D770" s="29" t="inlineStr">
        <is>
          <t>DERYA ORUÇ</t>
        </is>
      </c>
      <c r="E770" s="4" t="inlineStr">
        <is>
          <t>Çarşamba</t>
        </is>
      </c>
      <c r="F770" s="4" t="inlineStr">
        <is>
          <t>7.10.2026</t>
        </is>
      </c>
      <c r="G770" s="4" t="inlineStr">
        <is>
          <t>07:50</t>
        </is>
      </c>
      <c r="H770" s="4" t="inlineStr">
        <is>
          <t>7.10.2026</t>
        </is>
      </c>
      <c r="I770" s="4" t="inlineStr">
        <is>
          <t>20:02</t>
        </is>
      </c>
      <c r="J770" s="8" t="n">
        <v>10.5</v>
      </c>
      <c r="K770" s="8" t="n">
        <v>7.5</v>
      </c>
      <c r="L770" s="8" t="n">
        <v>3</v>
      </c>
      <c r="M770" s="29" t="inlineStr">
        <is>
          <t>HALİL DİĞRENCİ</t>
        </is>
      </c>
    </row>
    <row r="771">
      <c r="A771" s="4" t="n">
        <v>770</v>
      </c>
      <c r="B771" s="4" t="inlineStr">
        <is>
          <t>01398</t>
        </is>
      </c>
      <c r="C771" s="4" t="inlineStr">
        <is>
          <t>01398</t>
        </is>
      </c>
      <c r="D771" s="29" t="inlineStr">
        <is>
          <t>DERYA ORUÇ</t>
        </is>
      </c>
      <c r="E771" s="4" t="inlineStr">
        <is>
          <t>Cuma</t>
        </is>
      </c>
      <c r="F771" s="4" t="inlineStr">
        <is>
          <t>9.10.2026</t>
        </is>
      </c>
      <c r="G771" s="4" t="inlineStr">
        <is>
          <t>07:57</t>
        </is>
      </c>
      <c r="H771" s="4" t="inlineStr">
        <is>
          <t>9.10.2026</t>
        </is>
      </c>
      <c r="I771" s="4" t="inlineStr">
        <is>
          <t>20:00</t>
        </is>
      </c>
      <c r="J771" s="8" t="n">
        <v>10.5</v>
      </c>
      <c r="K771" s="8" t="n">
        <v>7.5</v>
      </c>
      <c r="L771" s="8" t="n">
        <v>3</v>
      </c>
      <c r="M771" s="29" t="inlineStr">
        <is>
          <t>HALİL DİĞRENCİ</t>
        </is>
      </c>
    </row>
    <row r="772">
      <c r="A772" s="4" t="n">
        <v>771</v>
      </c>
      <c r="B772" s="4" t="inlineStr">
        <is>
          <t>01398</t>
        </is>
      </c>
      <c r="C772" s="4" t="inlineStr">
        <is>
          <t>01398</t>
        </is>
      </c>
      <c r="D772" s="29" t="inlineStr">
        <is>
          <t>DERYA ORUÇ</t>
        </is>
      </c>
      <c r="E772" s="4" t="inlineStr">
        <is>
          <t>Cumartesi</t>
        </is>
      </c>
      <c r="F772" s="4" t="inlineStr">
        <is>
          <t>10.10.2026</t>
        </is>
      </c>
      <c r="G772" s="4" t="inlineStr">
        <is>
          <t>07:36</t>
        </is>
      </c>
      <c r="H772" s="4" t="inlineStr">
        <is>
          <t>10.10.2026</t>
        </is>
      </c>
      <c r="I772" s="4" t="inlineStr">
        <is>
          <t>19:57</t>
        </is>
      </c>
      <c r="J772" s="8" t="n">
        <v>10.5</v>
      </c>
      <c r="K772" s="8" t="n">
        <v>7.5</v>
      </c>
      <c r="L772" s="8" t="n">
        <v>3</v>
      </c>
      <c r="M772" s="29" t="inlineStr">
        <is>
          <t>HALİL DİĞRENCİ</t>
        </is>
      </c>
    </row>
    <row r="773">
      <c r="A773" s="4" t="n">
        <v>772</v>
      </c>
      <c r="B773" s="4" t="inlineStr">
        <is>
          <t>01398</t>
        </is>
      </c>
      <c r="C773" s="4" t="inlineStr">
        <is>
          <t>01398</t>
        </is>
      </c>
      <c r="D773" s="29" t="inlineStr">
        <is>
          <t>DERYA ORUÇ</t>
        </is>
      </c>
      <c r="E773" s="4" t="inlineStr">
        <is>
          <t>Pazartesi</t>
        </is>
      </c>
      <c r="F773" s="4" t="inlineStr">
        <is>
          <t>12.10.2026</t>
        </is>
      </c>
      <c r="G773" s="4" t="inlineStr">
        <is>
          <t>07:59</t>
        </is>
      </c>
      <c r="H773" s="4" t="inlineStr">
        <is>
          <t>12.10.2026</t>
        </is>
      </c>
      <c r="I773" s="4" t="inlineStr">
        <is>
          <t>20:03</t>
        </is>
      </c>
      <c r="J773" s="8" t="n">
        <v>10.5</v>
      </c>
      <c r="K773" s="8" t="n">
        <v>7.5</v>
      </c>
      <c r="L773" s="8" t="n">
        <v>3</v>
      </c>
      <c r="M773" s="29" t="inlineStr">
        <is>
          <t>HALİL DİĞRENCİ</t>
        </is>
      </c>
    </row>
    <row r="774">
      <c r="A774" s="4" t="n">
        <v>773</v>
      </c>
      <c r="B774" s="4" t="inlineStr">
        <is>
          <t>01398</t>
        </is>
      </c>
      <c r="C774" s="4" t="inlineStr">
        <is>
          <t>01398</t>
        </is>
      </c>
      <c r="D774" s="29" t="inlineStr">
        <is>
          <t>DERYA ORUÇ</t>
        </is>
      </c>
      <c r="E774" s="4" t="inlineStr">
        <is>
          <t>Salı</t>
        </is>
      </c>
      <c r="F774" s="4" t="inlineStr">
        <is>
          <t>13.10.2026</t>
        </is>
      </c>
      <c r="G774" s="4" t="inlineStr">
        <is>
          <t>07:57</t>
        </is>
      </c>
      <c r="H774" s="4" t="inlineStr">
        <is>
          <t>13.10.2026</t>
        </is>
      </c>
      <c r="I774" s="4" t="inlineStr">
        <is>
          <t>19:59</t>
        </is>
      </c>
      <c r="J774" s="8" t="n">
        <v>10.5</v>
      </c>
      <c r="K774" s="8" t="n">
        <v>7.5</v>
      </c>
      <c r="L774" s="8" t="n">
        <v>3</v>
      </c>
      <c r="M774" s="29" t="inlineStr">
        <is>
          <t>HALİL DİĞRENCİ</t>
        </is>
      </c>
    </row>
    <row r="775">
      <c r="A775" s="4" t="n">
        <v>774</v>
      </c>
      <c r="B775" s="4" t="inlineStr">
        <is>
          <t>01398</t>
        </is>
      </c>
      <c r="C775" s="4" t="inlineStr">
        <is>
          <t>01398</t>
        </is>
      </c>
      <c r="D775" s="29" t="inlineStr">
        <is>
          <t>DERYA ORUÇ</t>
        </is>
      </c>
      <c r="E775" s="4" t="inlineStr">
        <is>
          <t>Çarşamba</t>
        </is>
      </c>
      <c r="F775" s="4" t="inlineStr">
        <is>
          <t>14.10.2026</t>
        </is>
      </c>
      <c r="G775" s="4" t="inlineStr">
        <is>
          <t>08:00</t>
        </is>
      </c>
      <c r="H775" s="4" t="inlineStr">
        <is>
          <t>14.10.2026</t>
        </is>
      </c>
      <c r="I775" s="4" t="inlineStr">
        <is>
          <t>19:55</t>
        </is>
      </c>
      <c r="J775" s="8" t="n">
        <v>10.5</v>
      </c>
      <c r="K775" s="8" t="n">
        <v>7.5</v>
      </c>
      <c r="L775" s="8" t="n">
        <v>3</v>
      </c>
      <c r="M775" s="29" t="inlineStr">
        <is>
          <t>HALİL DİĞRENCİ</t>
        </is>
      </c>
    </row>
    <row r="776">
      <c r="A776" s="4" t="n">
        <v>775</v>
      </c>
      <c r="B776" s="4" t="inlineStr">
        <is>
          <t>01398</t>
        </is>
      </c>
      <c r="C776" s="4" t="inlineStr">
        <is>
          <t>01398</t>
        </is>
      </c>
      <c r="D776" s="29" t="inlineStr">
        <is>
          <t>DERYA ORUÇ</t>
        </is>
      </c>
      <c r="E776" s="4" t="inlineStr">
        <is>
          <t>Perşembe</t>
        </is>
      </c>
      <c r="F776" s="4" t="inlineStr">
        <is>
          <t>15.10.2026</t>
        </is>
      </c>
      <c r="G776" s="4" t="inlineStr">
        <is>
          <t>08:09</t>
        </is>
      </c>
      <c r="H776" s="4" t="inlineStr">
        <is>
          <t>15.10.2026</t>
        </is>
      </c>
      <c r="I776" s="4" t="inlineStr">
        <is>
          <t>19:59</t>
        </is>
      </c>
      <c r="J776" s="8" t="n">
        <v>10.5</v>
      </c>
      <c r="K776" s="8" t="n">
        <v>7.5</v>
      </c>
      <c r="L776" s="8" t="n">
        <v>3</v>
      </c>
      <c r="M776" s="29" t="inlineStr">
        <is>
          <t>HALİL DİĞRENCİ</t>
        </is>
      </c>
    </row>
    <row r="777">
      <c r="A777" s="4" t="n">
        <v>776</v>
      </c>
      <c r="B777" s="4" t="inlineStr">
        <is>
          <t>01398</t>
        </is>
      </c>
      <c r="C777" s="4" t="inlineStr">
        <is>
          <t>01398</t>
        </is>
      </c>
      <c r="D777" s="29" t="inlineStr">
        <is>
          <t>DERYA ORUÇ</t>
        </is>
      </c>
      <c r="E777" s="4" t="inlineStr">
        <is>
          <t>Cuma</t>
        </is>
      </c>
      <c r="F777" s="4" t="inlineStr">
        <is>
          <t>16.10.2026</t>
        </is>
      </c>
      <c r="G777" s="4" t="inlineStr">
        <is>
          <t>07:57</t>
        </is>
      </c>
      <c r="H777" s="4" t="inlineStr">
        <is>
          <t>16.10.2026</t>
        </is>
      </c>
      <c r="I777" s="4" t="inlineStr">
        <is>
          <t>20:02</t>
        </is>
      </c>
      <c r="J777" s="8" t="n">
        <v>10.5</v>
      </c>
      <c r="K777" s="8" t="n">
        <v>7.5</v>
      </c>
      <c r="L777" s="8" t="n">
        <v>3</v>
      </c>
      <c r="M777" s="29" t="inlineStr">
        <is>
          <t>HALİL DİĞRENCİ</t>
        </is>
      </c>
    </row>
    <row r="778">
      <c r="A778" s="4" t="n">
        <v>777</v>
      </c>
      <c r="B778" s="4" t="inlineStr">
        <is>
          <t>01398</t>
        </is>
      </c>
      <c r="C778" s="4" t="inlineStr">
        <is>
          <t>01398</t>
        </is>
      </c>
      <c r="D778" s="29" t="inlineStr">
        <is>
          <t>DERYA ORUÇ</t>
        </is>
      </c>
      <c r="E778" s="4" t="inlineStr">
        <is>
          <t>Pazartesi</t>
        </is>
      </c>
      <c r="F778" s="4" t="inlineStr">
        <is>
          <t>19.10.2026</t>
        </is>
      </c>
      <c r="G778" s="4" t="inlineStr">
        <is>
          <t>08:04</t>
        </is>
      </c>
      <c r="H778" s="4" t="inlineStr">
        <is>
          <t>19.10.2026</t>
        </is>
      </c>
      <c r="I778" s="4" t="inlineStr">
        <is>
          <t>19:59</t>
        </is>
      </c>
      <c r="J778" s="8" t="n">
        <v>10.5</v>
      </c>
      <c r="K778" s="8" t="n">
        <v>7.5</v>
      </c>
      <c r="L778" s="8" t="n">
        <v>3</v>
      </c>
      <c r="M778" s="29" t="inlineStr">
        <is>
          <t>HALİL DİĞRENCİ</t>
        </is>
      </c>
    </row>
    <row r="779">
      <c r="A779" s="4" t="n">
        <v>778</v>
      </c>
      <c r="B779" s="4" t="inlineStr">
        <is>
          <t>01398</t>
        </is>
      </c>
      <c r="C779" s="4" t="inlineStr">
        <is>
          <t>01398</t>
        </is>
      </c>
      <c r="D779" s="29" t="inlineStr">
        <is>
          <t>DERYA ORUÇ</t>
        </is>
      </c>
      <c r="E779" s="4" t="inlineStr">
        <is>
          <t>Salı</t>
        </is>
      </c>
      <c r="F779" s="4" t="inlineStr">
        <is>
          <t>20.10.2026</t>
        </is>
      </c>
      <c r="G779" s="4" t="inlineStr">
        <is>
          <t>08:01</t>
        </is>
      </c>
      <c r="H779" s="4" t="inlineStr">
        <is>
          <t>20.10.2026</t>
        </is>
      </c>
      <c r="I779" s="4" t="inlineStr">
        <is>
          <t>17:05</t>
        </is>
      </c>
      <c r="J779" s="8" t="n">
        <v>7.5</v>
      </c>
      <c r="K779" s="8" t="n">
        <v>7.5</v>
      </c>
      <c r="L779" s="8" t="n">
        <v>0</v>
      </c>
      <c r="M779" s="29" t="inlineStr">
        <is>
          <t>HALİL DİĞRENCİ</t>
        </is>
      </c>
    </row>
    <row r="780">
      <c r="A780" s="4" t="n">
        <v>779</v>
      </c>
      <c r="B780" s="4" t="inlineStr">
        <is>
          <t>01398</t>
        </is>
      </c>
      <c r="C780" s="4" t="inlineStr">
        <is>
          <t>01398</t>
        </is>
      </c>
      <c r="D780" s="29" t="inlineStr">
        <is>
          <t>DERYA ORUÇ</t>
        </is>
      </c>
      <c r="E780" s="4" t="inlineStr">
        <is>
          <t>Çarşamba</t>
        </is>
      </c>
      <c r="F780" s="4" t="inlineStr">
        <is>
          <t>21.10.2026</t>
        </is>
      </c>
      <c r="G780" s="4" t="inlineStr">
        <is>
          <t>07:57</t>
        </is>
      </c>
      <c r="H780" s="4" t="inlineStr">
        <is>
          <t>21.10.2026</t>
        </is>
      </c>
      <c r="I780" s="4" t="inlineStr">
        <is>
          <t>16:59</t>
        </is>
      </c>
      <c r="J780" s="8" t="n">
        <v>7.5</v>
      </c>
      <c r="K780" s="8" t="n">
        <v>7.5</v>
      </c>
      <c r="L780" s="8" t="n">
        <v>0</v>
      </c>
      <c r="M780" s="29" t="inlineStr">
        <is>
          <t>HALİL DİĞRENCİ</t>
        </is>
      </c>
    </row>
    <row r="781">
      <c r="A781" s="4" t="n">
        <v>780</v>
      </c>
      <c r="B781" s="4" t="inlineStr">
        <is>
          <t>01537</t>
        </is>
      </c>
      <c r="C781" s="4" t="inlineStr">
        <is>
          <t>01537</t>
        </is>
      </c>
      <c r="D781" s="29" t="inlineStr">
        <is>
          <t>DERYANUR DEMİR</t>
        </is>
      </c>
      <c r="E781" s="4" t="inlineStr">
        <is>
          <t>Perşembe</t>
        </is>
      </c>
      <c r="F781" s="4" t="inlineStr">
        <is>
          <t>8.10.2026</t>
        </is>
      </c>
      <c r="G781" s="4" t="inlineStr">
        <is>
          <t>08:05</t>
        </is>
      </c>
      <c r="H781" s="4" t="inlineStr">
        <is>
          <t>8.10.2026</t>
        </is>
      </c>
      <c r="I781" s="4" t="inlineStr">
        <is>
          <t>17:09</t>
        </is>
      </c>
      <c r="J781" s="8" t="n">
        <v>7.5</v>
      </c>
      <c r="K781" s="8" t="n">
        <v>7.5</v>
      </c>
      <c r="L781" s="8" t="n">
        <v>0</v>
      </c>
      <c r="M781" s="29" t="inlineStr">
        <is>
          <t>HALİL DİĞRENCİ</t>
        </is>
      </c>
    </row>
    <row r="782">
      <c r="A782" s="4" t="n">
        <v>781</v>
      </c>
      <c r="B782" s="4" t="inlineStr">
        <is>
          <t>01520</t>
        </is>
      </c>
      <c r="C782" s="4" t="inlineStr">
        <is>
          <t>01520</t>
        </is>
      </c>
      <c r="D782" s="29" t="inlineStr">
        <is>
          <t>DİLARA ÇELİK</t>
        </is>
      </c>
      <c r="E782" s="4" t="inlineStr">
        <is>
          <t>Pazartesi</t>
        </is>
      </c>
      <c r="F782" s="4" t="inlineStr">
        <is>
          <t>5.10.2026</t>
        </is>
      </c>
      <c r="G782" s="4" t="inlineStr">
        <is>
          <t>-</t>
        </is>
      </c>
      <c r="H782" s="4" t="inlineStr">
        <is>
          <t>5.10.2026</t>
        </is>
      </c>
      <c r="I782" s="4" t="inlineStr">
        <is>
          <t>16:59</t>
        </is>
      </c>
      <c r="J782" s="8" t="n">
        <v>7.5</v>
      </c>
      <c r="K782" s="8" t="n">
        <v>7.5</v>
      </c>
      <c r="L782" s="8" t="n">
        <v>0</v>
      </c>
      <c r="M782" s="29" t="inlineStr">
        <is>
          <t>SUSURLUK TUR-REŞAT</t>
        </is>
      </c>
    </row>
    <row r="783">
      <c r="A783" s="4" t="n">
        <v>782</v>
      </c>
      <c r="B783" s="4" t="inlineStr">
        <is>
          <t>01520</t>
        </is>
      </c>
      <c r="C783" s="4" t="inlineStr">
        <is>
          <t>01520</t>
        </is>
      </c>
      <c r="D783" s="29" t="inlineStr">
        <is>
          <t>DİLARA ÇELİK</t>
        </is>
      </c>
      <c r="E783" s="4" t="inlineStr">
        <is>
          <t>Salı</t>
        </is>
      </c>
      <c r="F783" s="4" t="inlineStr">
        <is>
          <t>6.10.2026</t>
        </is>
      </c>
      <c r="G783" s="4" t="inlineStr">
        <is>
          <t>08:04</t>
        </is>
      </c>
      <c r="H783" s="4" t="inlineStr">
        <is>
          <t>6.10.2026</t>
        </is>
      </c>
      <c r="I783" s="4" t="inlineStr">
        <is>
          <t>17:37</t>
        </is>
      </c>
      <c r="J783" s="8" t="n">
        <v>8</v>
      </c>
      <c r="K783" s="8" t="n">
        <v>7.5</v>
      </c>
      <c r="L783" s="8" t="n">
        <v>0.5</v>
      </c>
      <c r="M783" s="29" t="inlineStr">
        <is>
          <t>SUSURLUK TUR-REŞAT</t>
        </is>
      </c>
    </row>
    <row r="784">
      <c r="A784" s="4" t="n">
        <v>783</v>
      </c>
      <c r="B784" s="4" t="inlineStr">
        <is>
          <t>01520</t>
        </is>
      </c>
      <c r="C784" s="4" t="inlineStr">
        <is>
          <t>01520</t>
        </is>
      </c>
      <c r="D784" s="29" t="inlineStr">
        <is>
          <t>DİLARA ÇELİK</t>
        </is>
      </c>
      <c r="E784" s="4" t="inlineStr">
        <is>
          <t>Çarşamba</t>
        </is>
      </c>
      <c r="F784" s="4" t="inlineStr">
        <is>
          <t>7.10.2026</t>
        </is>
      </c>
      <c r="G784" s="4" t="inlineStr">
        <is>
          <t>08:10</t>
        </is>
      </c>
      <c r="H784" s="4" t="inlineStr">
        <is>
          <t>7.10.2026</t>
        </is>
      </c>
      <c r="I784" s="4" t="inlineStr">
        <is>
          <t>17:24</t>
        </is>
      </c>
      <c r="J784" s="8" t="n">
        <v>8</v>
      </c>
      <c r="K784" s="8" t="n">
        <v>7.5</v>
      </c>
      <c r="L784" s="8" t="n">
        <v>0.5</v>
      </c>
      <c r="M784" s="29" t="inlineStr">
        <is>
          <t>SUSURLUK TUR-REŞAT</t>
        </is>
      </c>
    </row>
    <row r="785">
      <c r="A785" s="4" t="n">
        <v>784</v>
      </c>
      <c r="B785" s="4" t="inlineStr">
        <is>
          <t>01520</t>
        </is>
      </c>
      <c r="C785" s="4" t="inlineStr">
        <is>
          <t>01520</t>
        </is>
      </c>
      <c r="D785" s="29" t="inlineStr">
        <is>
          <t>DİLARA ÇELİK</t>
        </is>
      </c>
      <c r="E785" s="4" t="inlineStr">
        <is>
          <t>Perşembe</t>
        </is>
      </c>
      <c r="F785" s="4" t="inlineStr">
        <is>
          <t>8.10.2026</t>
        </is>
      </c>
      <c r="G785" s="4" t="inlineStr">
        <is>
          <t>08:00</t>
        </is>
      </c>
      <c r="H785" s="4" t="inlineStr">
        <is>
          <t>8.10.2026</t>
        </is>
      </c>
      <c r="I785" s="4" t="inlineStr">
        <is>
          <t>17:10</t>
        </is>
      </c>
      <c r="J785" s="8" t="n">
        <v>7.5</v>
      </c>
      <c r="K785" s="8" t="n">
        <v>7.5</v>
      </c>
      <c r="L785" s="8" t="n">
        <v>0</v>
      </c>
      <c r="M785" s="29" t="inlineStr">
        <is>
          <t>SUSURLUK TUR-REŞAT</t>
        </is>
      </c>
    </row>
    <row r="786">
      <c r="A786" s="4" t="n">
        <v>785</v>
      </c>
      <c r="B786" s="4" t="inlineStr">
        <is>
          <t>01520</t>
        </is>
      </c>
      <c r="C786" s="4" t="inlineStr">
        <is>
          <t>01520</t>
        </is>
      </c>
      <c r="D786" s="29" t="inlineStr">
        <is>
          <t>DİLARA ÇELİK</t>
        </is>
      </c>
      <c r="E786" s="4" t="inlineStr">
        <is>
          <t>Cuma</t>
        </is>
      </c>
      <c r="F786" s="4" t="inlineStr">
        <is>
          <t>9.10.2026</t>
        </is>
      </c>
      <c r="G786" s="4" t="inlineStr">
        <is>
          <t>08:03</t>
        </is>
      </c>
      <c r="H786" s="4" t="inlineStr">
        <is>
          <t>9.10.2026</t>
        </is>
      </c>
      <c r="I786" s="4" t="inlineStr">
        <is>
          <t>17:07</t>
        </is>
      </c>
      <c r="J786" s="8" t="n">
        <v>7.5</v>
      </c>
      <c r="K786" s="8" t="n">
        <v>7.5</v>
      </c>
      <c r="L786" s="8" t="n">
        <v>0</v>
      </c>
      <c r="M786" s="29" t="inlineStr">
        <is>
          <t>SUSURLUK TUR-REŞAT</t>
        </is>
      </c>
    </row>
    <row r="787">
      <c r="A787" s="4" t="n">
        <v>786</v>
      </c>
      <c r="B787" s="4" t="inlineStr">
        <is>
          <t>01520</t>
        </is>
      </c>
      <c r="C787" s="4" t="inlineStr">
        <is>
          <t>01520</t>
        </is>
      </c>
      <c r="D787" s="29" t="inlineStr">
        <is>
          <t>DİLARA ÇELİK</t>
        </is>
      </c>
      <c r="E787" s="4" t="inlineStr">
        <is>
          <t>Cumartesi</t>
        </is>
      </c>
      <c r="F787" s="4" t="inlineStr">
        <is>
          <t>10.10.2026</t>
        </is>
      </c>
      <c r="G787" s="4" t="inlineStr">
        <is>
          <t>07:47</t>
        </is>
      </c>
      <c r="H787" s="4" t="inlineStr">
        <is>
          <t>10.10.2026</t>
        </is>
      </c>
      <c r="I787" s="4" t="inlineStr">
        <is>
          <t>17:56</t>
        </is>
      </c>
      <c r="J787" s="8" t="n">
        <v>8.5</v>
      </c>
      <c r="K787" s="8" t="n">
        <v>7.5</v>
      </c>
      <c r="L787" s="8" t="n">
        <v>1</v>
      </c>
      <c r="M787" s="29" t="inlineStr">
        <is>
          <t>SUSURLUK TUR-REŞAT</t>
        </is>
      </c>
    </row>
    <row r="788">
      <c r="A788" s="4" t="n">
        <v>787</v>
      </c>
      <c r="B788" s="4" t="inlineStr">
        <is>
          <t>01520</t>
        </is>
      </c>
      <c r="C788" s="4" t="inlineStr">
        <is>
          <t>01520</t>
        </is>
      </c>
      <c r="D788" s="29" t="inlineStr">
        <is>
          <t>DİLARA ÇELİK</t>
        </is>
      </c>
      <c r="E788" s="4" t="inlineStr">
        <is>
          <t>Pazartesi</t>
        </is>
      </c>
      <c r="F788" s="4" t="inlineStr">
        <is>
          <t>12.10.2026</t>
        </is>
      </c>
      <c r="G788" s="4" t="inlineStr">
        <is>
          <t>07:50</t>
        </is>
      </c>
      <c r="H788" s="4" t="inlineStr">
        <is>
          <t>12.10.2026</t>
        </is>
      </c>
      <c r="I788" s="4" t="inlineStr">
        <is>
          <t>17:08</t>
        </is>
      </c>
      <c r="J788" s="8" t="n">
        <v>7.5</v>
      </c>
      <c r="K788" s="8" t="n">
        <v>7.5</v>
      </c>
      <c r="L788" s="8" t="n">
        <v>0</v>
      </c>
      <c r="M788" s="29" t="inlineStr">
        <is>
          <t>SUSURLUK TUR-REŞAT</t>
        </is>
      </c>
    </row>
    <row r="789">
      <c r="A789" s="4" t="n">
        <v>788</v>
      </c>
      <c r="B789" s="4" t="inlineStr">
        <is>
          <t>01520</t>
        </is>
      </c>
      <c r="C789" s="4" t="inlineStr">
        <is>
          <t>01520</t>
        </is>
      </c>
      <c r="D789" s="29" t="inlineStr">
        <is>
          <t>DİLARA ÇELİK</t>
        </is>
      </c>
      <c r="E789" s="4" t="inlineStr">
        <is>
          <t>Salı</t>
        </is>
      </c>
      <c r="F789" s="4" t="inlineStr">
        <is>
          <t>13.10.2026</t>
        </is>
      </c>
      <c r="G789" s="4" t="inlineStr">
        <is>
          <t>08:08</t>
        </is>
      </c>
      <c r="H789" s="4" t="inlineStr">
        <is>
          <t>13.10.2026</t>
        </is>
      </c>
      <c r="I789" s="4" t="inlineStr">
        <is>
          <t>17:08</t>
        </is>
      </c>
      <c r="J789" s="8" t="n">
        <v>7.5</v>
      </c>
      <c r="K789" s="8" t="n">
        <v>7.5</v>
      </c>
      <c r="L789" s="8" t="n">
        <v>0</v>
      </c>
      <c r="M789" s="29" t="inlineStr">
        <is>
          <t>SUSURLUK TUR-REŞAT</t>
        </is>
      </c>
    </row>
    <row r="790">
      <c r="A790" s="4" t="n">
        <v>789</v>
      </c>
      <c r="B790" s="4" t="inlineStr">
        <is>
          <t>01520</t>
        </is>
      </c>
      <c r="C790" s="4" t="inlineStr">
        <is>
          <t>01520</t>
        </is>
      </c>
      <c r="D790" s="29" t="inlineStr">
        <is>
          <t>DİLARA ÇELİK</t>
        </is>
      </c>
      <c r="E790" s="4" t="inlineStr">
        <is>
          <t>Çarşamba</t>
        </is>
      </c>
      <c r="F790" s="4" t="inlineStr">
        <is>
          <t>14.10.2026</t>
        </is>
      </c>
      <c r="G790" s="4" t="inlineStr">
        <is>
          <t>08:06</t>
        </is>
      </c>
      <c r="H790" s="4" t="inlineStr">
        <is>
          <t>14.10.2026</t>
        </is>
      </c>
      <c r="I790" s="4" t="inlineStr">
        <is>
          <t>18:05</t>
        </is>
      </c>
      <c r="J790" s="8" t="n">
        <v>8.5</v>
      </c>
      <c r="K790" s="8" t="n">
        <v>7.5</v>
      </c>
      <c r="L790" s="8" t="n">
        <v>1</v>
      </c>
      <c r="M790" s="29" t="inlineStr">
        <is>
          <t>SUSURLUK TUR-REŞAT</t>
        </is>
      </c>
    </row>
    <row r="791">
      <c r="A791" s="4" t="n">
        <v>790</v>
      </c>
      <c r="B791" s="4" t="inlineStr">
        <is>
          <t>01520</t>
        </is>
      </c>
      <c r="C791" s="4" t="inlineStr">
        <is>
          <t>01520</t>
        </is>
      </c>
      <c r="D791" s="29" t="inlineStr">
        <is>
          <t>DİLARA ÇELİK</t>
        </is>
      </c>
      <c r="E791" s="4" t="inlineStr">
        <is>
          <t>Perşembe</t>
        </is>
      </c>
      <c r="F791" s="4" t="inlineStr">
        <is>
          <t>15.10.2026</t>
        </is>
      </c>
      <c r="G791" s="4" t="inlineStr">
        <is>
          <t>08:09</t>
        </is>
      </c>
      <c r="H791" s="4" t="inlineStr">
        <is>
          <t>15.10.2026</t>
        </is>
      </c>
      <c r="I791" s="4" t="inlineStr">
        <is>
          <t>17:08</t>
        </is>
      </c>
      <c r="J791" s="8" t="n">
        <v>7.5</v>
      </c>
      <c r="K791" s="8" t="n">
        <v>7.5</v>
      </c>
      <c r="L791" s="8" t="n">
        <v>0</v>
      </c>
      <c r="M791" s="29" t="inlineStr">
        <is>
          <t>SUSURLUK TUR-REŞAT</t>
        </is>
      </c>
    </row>
    <row r="792">
      <c r="A792" s="4" t="n">
        <v>791</v>
      </c>
      <c r="B792" s="4" t="inlineStr">
        <is>
          <t>01520</t>
        </is>
      </c>
      <c r="C792" s="4" t="inlineStr">
        <is>
          <t>01520</t>
        </is>
      </c>
      <c r="D792" s="29" t="inlineStr">
        <is>
          <t>DİLARA ÇELİK</t>
        </is>
      </c>
      <c r="E792" s="4" t="inlineStr">
        <is>
          <t>Cuma</t>
        </is>
      </c>
      <c r="F792" s="4" t="inlineStr">
        <is>
          <t>16.10.2026</t>
        </is>
      </c>
      <c r="G792" s="4" t="inlineStr">
        <is>
          <t>07:44</t>
        </is>
      </c>
      <c r="H792" s="4" t="inlineStr">
        <is>
          <t>16.10.2026</t>
        </is>
      </c>
      <c r="I792" s="4" t="inlineStr">
        <is>
          <t>17:21</t>
        </is>
      </c>
      <c r="J792" s="8" t="n">
        <v>8</v>
      </c>
      <c r="K792" s="8" t="n">
        <v>7.5</v>
      </c>
      <c r="L792" s="8" t="n">
        <v>0.5</v>
      </c>
      <c r="M792" s="29" t="inlineStr">
        <is>
          <t>SUSURLUK TUR-REŞAT</t>
        </is>
      </c>
    </row>
    <row r="793">
      <c r="A793" s="4" t="n">
        <v>792</v>
      </c>
      <c r="B793" s="4" t="inlineStr">
        <is>
          <t>01520</t>
        </is>
      </c>
      <c r="C793" s="4" t="inlineStr">
        <is>
          <t>01520</t>
        </is>
      </c>
      <c r="D793" s="29" t="inlineStr">
        <is>
          <t>DİLARA ÇELİK</t>
        </is>
      </c>
      <c r="E793" s="4" t="inlineStr">
        <is>
          <t>Cumartesi</t>
        </is>
      </c>
      <c r="F793" s="4" t="inlineStr">
        <is>
          <t>17.10.2026</t>
        </is>
      </c>
      <c r="G793" s="4" t="inlineStr">
        <is>
          <t>07:55</t>
        </is>
      </c>
      <c r="H793" s="4" t="inlineStr">
        <is>
          <t>17.10.2026</t>
        </is>
      </c>
      <c r="I793" s="4" t="inlineStr">
        <is>
          <t>17:52</t>
        </is>
      </c>
      <c r="J793" s="8" t="n">
        <v>8.5</v>
      </c>
      <c r="K793" s="8" t="n">
        <v>7.5</v>
      </c>
      <c r="L793" s="8" t="n">
        <v>1</v>
      </c>
      <c r="M793" s="29" t="inlineStr">
        <is>
          <t>SUSURLUK TUR-REŞAT</t>
        </is>
      </c>
    </row>
    <row r="794">
      <c r="A794" s="4" t="n">
        <v>793</v>
      </c>
      <c r="B794" s="4" t="inlineStr">
        <is>
          <t>01520</t>
        </is>
      </c>
      <c r="C794" s="4" t="inlineStr">
        <is>
          <t>01520</t>
        </is>
      </c>
      <c r="D794" s="29" t="inlineStr">
        <is>
          <t>DİLARA ÇELİK</t>
        </is>
      </c>
      <c r="E794" s="4" t="inlineStr">
        <is>
          <t>Pazartesi</t>
        </is>
      </c>
      <c r="F794" s="4" t="inlineStr">
        <is>
          <t>19.10.2026</t>
        </is>
      </c>
      <c r="G794" s="4" t="inlineStr">
        <is>
          <t>07:46</t>
        </is>
      </c>
      <c r="H794" s="4" t="inlineStr">
        <is>
          <t>19.10.2026</t>
        </is>
      </c>
      <c r="I794" s="4" t="inlineStr">
        <is>
          <t>17:41</t>
        </is>
      </c>
      <c r="J794" s="8" t="n">
        <v>8</v>
      </c>
      <c r="K794" s="8" t="n">
        <v>7.5</v>
      </c>
      <c r="L794" s="8" t="n">
        <v>0.5</v>
      </c>
      <c r="M794" s="29" t="inlineStr">
        <is>
          <t>SUSURLUK TUR-REŞAT</t>
        </is>
      </c>
    </row>
    <row r="795">
      <c r="A795" s="4" t="n">
        <v>794</v>
      </c>
      <c r="B795" s="4" t="inlineStr">
        <is>
          <t>01520</t>
        </is>
      </c>
      <c r="C795" s="4" t="inlineStr">
        <is>
          <t>01520</t>
        </is>
      </c>
      <c r="D795" s="29" t="inlineStr">
        <is>
          <t>DİLARA ÇELİK</t>
        </is>
      </c>
      <c r="E795" s="4" t="inlineStr">
        <is>
          <t>Salı</t>
        </is>
      </c>
      <c r="F795" s="4" t="inlineStr">
        <is>
          <t>20.10.2026</t>
        </is>
      </c>
      <c r="G795" s="4" t="inlineStr">
        <is>
          <t>07:51</t>
        </is>
      </c>
      <c r="H795" s="4" t="inlineStr">
        <is>
          <t>20.10.2026</t>
        </is>
      </c>
      <c r="I795" s="4" t="inlineStr">
        <is>
          <t>17:07</t>
        </is>
      </c>
      <c r="J795" s="8" t="n">
        <v>7.5</v>
      </c>
      <c r="K795" s="8" t="n">
        <v>7.5</v>
      </c>
      <c r="L795" s="8" t="n">
        <v>0</v>
      </c>
      <c r="M795" s="29" t="inlineStr">
        <is>
          <t>SUSURLUK TUR-REŞAT</t>
        </is>
      </c>
    </row>
    <row r="796">
      <c r="A796" s="4" t="n">
        <v>795</v>
      </c>
      <c r="B796" s="4" t="inlineStr">
        <is>
          <t>01520</t>
        </is>
      </c>
      <c r="C796" s="4" t="inlineStr">
        <is>
          <t>01520</t>
        </is>
      </c>
      <c r="D796" s="29" t="inlineStr">
        <is>
          <t>DİLARA ÇELİK</t>
        </is>
      </c>
      <c r="E796" s="4" t="inlineStr">
        <is>
          <t>Çarşamba</t>
        </is>
      </c>
      <c r="F796" s="4" t="inlineStr">
        <is>
          <t>21.10.2026</t>
        </is>
      </c>
      <c r="G796" s="4" t="inlineStr">
        <is>
          <t>08:02</t>
        </is>
      </c>
      <c r="H796" s="4" t="inlineStr">
        <is>
          <t>21.10.2026</t>
        </is>
      </c>
      <c r="I796" s="4" t="inlineStr">
        <is>
          <t>17:06</t>
        </is>
      </c>
      <c r="J796" s="8" t="n">
        <v>7.5</v>
      </c>
      <c r="K796" s="8" t="n">
        <v>7.5</v>
      </c>
      <c r="L796" s="8" t="n">
        <v>0</v>
      </c>
      <c r="M796" s="29" t="inlineStr">
        <is>
          <t>SUSURLUK TUR-REŞAT</t>
        </is>
      </c>
    </row>
    <row r="797">
      <c r="A797" s="4" t="n">
        <v>796</v>
      </c>
      <c r="B797" s="4" t="inlineStr">
        <is>
          <t>01362</t>
        </is>
      </c>
      <c r="C797" s="4" t="inlineStr">
        <is>
          <t>01362</t>
        </is>
      </c>
      <c r="D797" s="29" t="inlineStr">
        <is>
          <t>DİLEK ÇETİN</t>
        </is>
      </c>
      <c r="E797" s="4" t="inlineStr">
        <is>
          <t>Perşembe</t>
        </is>
      </c>
      <c r="F797" s="4" t="inlineStr">
        <is>
          <t>1.10.2026</t>
        </is>
      </c>
      <c r="G797" s="4" t="inlineStr">
        <is>
          <t>07:51</t>
        </is>
      </c>
      <c r="H797" s="4" t="inlineStr">
        <is>
          <t>1.10.2026</t>
        </is>
      </c>
      <c r="I797" s="4" t="inlineStr">
        <is>
          <t>20:07</t>
        </is>
      </c>
      <c r="J797" s="8" t="n">
        <v>10.5</v>
      </c>
      <c r="K797" s="8" t="n">
        <v>7.5</v>
      </c>
      <c r="L797" s="8" t="n">
        <v>3</v>
      </c>
      <c r="M797" s="29" t="inlineStr">
        <is>
          <t>HALİL DİĞRENCİ</t>
        </is>
      </c>
    </row>
    <row r="798">
      <c r="A798" s="4" t="n">
        <v>797</v>
      </c>
      <c r="B798" s="4" t="inlineStr">
        <is>
          <t>01362</t>
        </is>
      </c>
      <c r="C798" s="4" t="inlineStr">
        <is>
          <t>01362</t>
        </is>
      </c>
      <c r="D798" s="29" t="inlineStr">
        <is>
          <t>DİLEK ÇETİN</t>
        </is>
      </c>
      <c r="E798" s="4" t="inlineStr">
        <is>
          <t>Cuma</t>
        </is>
      </c>
      <c r="F798" s="4" t="inlineStr">
        <is>
          <t>2.10.2026</t>
        </is>
      </c>
      <c r="G798" s="4" t="inlineStr">
        <is>
          <t>07:45</t>
        </is>
      </c>
      <c r="H798" s="4" t="inlineStr">
        <is>
          <t>2.10.2026</t>
        </is>
      </c>
      <c r="I798" s="4" t="inlineStr">
        <is>
          <t>20:07</t>
        </is>
      </c>
      <c r="J798" s="8" t="n">
        <v>10.5</v>
      </c>
      <c r="K798" s="8" t="n">
        <v>7.5</v>
      </c>
      <c r="L798" s="8" t="n">
        <v>3</v>
      </c>
      <c r="M798" s="29" t="inlineStr">
        <is>
          <t>HALİL DİĞRENCİ</t>
        </is>
      </c>
    </row>
    <row r="799">
      <c r="A799" s="4" t="n">
        <v>798</v>
      </c>
      <c r="B799" s="4" t="inlineStr">
        <is>
          <t>01362</t>
        </is>
      </c>
      <c r="C799" s="4" t="inlineStr">
        <is>
          <t>01362</t>
        </is>
      </c>
      <c r="D799" s="29" t="inlineStr">
        <is>
          <t>DİLEK ÇETİN</t>
        </is>
      </c>
      <c r="E799" s="4" t="inlineStr">
        <is>
          <t>Salı</t>
        </is>
      </c>
      <c r="F799" s="4" t="inlineStr">
        <is>
          <t>6.10.2026</t>
        </is>
      </c>
      <c r="G799" s="4" t="inlineStr">
        <is>
          <t>07:34</t>
        </is>
      </c>
      <c r="H799" s="4" t="inlineStr">
        <is>
          <t>6.10.2026</t>
        </is>
      </c>
      <c r="I799" s="4" t="inlineStr">
        <is>
          <t>20:02</t>
        </is>
      </c>
      <c r="J799" s="8" t="n">
        <v>10.5</v>
      </c>
      <c r="K799" s="8" t="n">
        <v>7.5</v>
      </c>
      <c r="L799" s="8" t="n">
        <v>3</v>
      </c>
      <c r="M799" s="29" t="inlineStr">
        <is>
          <t>HALİL DİĞRENCİ</t>
        </is>
      </c>
    </row>
    <row r="800">
      <c r="A800" s="4" t="n">
        <v>799</v>
      </c>
      <c r="B800" s="4" t="inlineStr">
        <is>
          <t>01362</t>
        </is>
      </c>
      <c r="C800" s="4" t="inlineStr">
        <is>
          <t>01362</t>
        </is>
      </c>
      <c r="D800" s="29" t="inlineStr">
        <is>
          <t>DİLEK ÇETİN</t>
        </is>
      </c>
      <c r="E800" s="4" t="inlineStr">
        <is>
          <t>Çarşamba</t>
        </is>
      </c>
      <c r="F800" s="4" t="inlineStr">
        <is>
          <t>7.10.2026</t>
        </is>
      </c>
      <c r="G800" s="4" t="inlineStr">
        <is>
          <t>07:34</t>
        </is>
      </c>
      <c r="H800" s="4" t="inlineStr">
        <is>
          <t>7.10.2026</t>
        </is>
      </c>
      <c r="I800" s="4" t="inlineStr">
        <is>
          <t>20:03</t>
        </is>
      </c>
      <c r="J800" s="8" t="n">
        <v>10.5</v>
      </c>
      <c r="K800" s="8" t="n">
        <v>7.5</v>
      </c>
      <c r="L800" s="8" t="n">
        <v>3</v>
      </c>
      <c r="M800" s="29" t="inlineStr">
        <is>
          <t>HALİL DİĞRENCİ</t>
        </is>
      </c>
    </row>
    <row r="801">
      <c r="A801" s="4" t="n">
        <v>800</v>
      </c>
      <c r="B801" s="4" t="inlineStr">
        <is>
          <t>01362</t>
        </is>
      </c>
      <c r="C801" s="4" t="inlineStr">
        <is>
          <t>01362</t>
        </is>
      </c>
      <c r="D801" s="29" t="inlineStr">
        <is>
          <t>DİLEK ÇETİN</t>
        </is>
      </c>
      <c r="E801" s="4" t="inlineStr">
        <is>
          <t>Perşembe</t>
        </is>
      </c>
      <c r="F801" s="4" t="inlineStr">
        <is>
          <t>8.10.2026</t>
        </is>
      </c>
      <c r="G801" s="4" t="inlineStr">
        <is>
          <t>07:32</t>
        </is>
      </c>
      <c r="H801" s="4" t="inlineStr">
        <is>
          <t>8.10.2026</t>
        </is>
      </c>
      <c r="I801" s="4" t="inlineStr">
        <is>
          <t>20:01</t>
        </is>
      </c>
      <c r="J801" s="8" t="n">
        <v>10.5</v>
      </c>
      <c r="K801" s="8" t="n">
        <v>7.5</v>
      </c>
      <c r="L801" s="8" t="n">
        <v>3</v>
      </c>
      <c r="M801" s="29" t="inlineStr">
        <is>
          <t>HALİL DİĞRENCİ</t>
        </is>
      </c>
    </row>
    <row r="802">
      <c r="A802" s="4" t="n">
        <v>801</v>
      </c>
      <c r="B802" s="4" t="inlineStr">
        <is>
          <t>01362</t>
        </is>
      </c>
      <c r="C802" s="4" t="inlineStr">
        <is>
          <t>01362</t>
        </is>
      </c>
      <c r="D802" s="29" t="inlineStr">
        <is>
          <t>DİLEK ÇETİN</t>
        </is>
      </c>
      <c r="E802" s="4" t="inlineStr">
        <is>
          <t>Cuma</t>
        </is>
      </c>
      <c r="F802" s="4" t="inlineStr">
        <is>
          <t>9.10.2026</t>
        </is>
      </c>
      <c r="G802" s="4" t="inlineStr">
        <is>
          <t>07:29</t>
        </is>
      </c>
      <c r="H802" s="4" t="inlineStr">
        <is>
          <t>9.10.2026</t>
        </is>
      </c>
      <c r="I802" s="4" t="inlineStr">
        <is>
          <t>-</t>
        </is>
      </c>
      <c r="J802" s="8" t="n">
        <v>7.5</v>
      </c>
      <c r="K802" s="8" t="n">
        <v>7.5</v>
      </c>
      <c r="L802" s="8" t="n">
        <v>0</v>
      </c>
      <c r="M802" s="29" t="inlineStr">
        <is>
          <t>HALİL DİĞRENCİ</t>
        </is>
      </c>
    </row>
    <row r="803">
      <c r="A803" s="4" t="n">
        <v>802</v>
      </c>
      <c r="B803" s="4" t="inlineStr">
        <is>
          <t>01362</t>
        </is>
      </c>
      <c r="C803" s="4" t="inlineStr">
        <is>
          <t>01362</t>
        </is>
      </c>
      <c r="D803" s="29" t="inlineStr">
        <is>
          <t>DİLEK ÇETİN</t>
        </is>
      </c>
      <c r="E803" s="4" t="inlineStr">
        <is>
          <t>Pazartesi</t>
        </is>
      </c>
      <c r="F803" s="4" t="inlineStr">
        <is>
          <t>12.10.2026</t>
        </is>
      </c>
      <c r="G803" s="4" t="inlineStr">
        <is>
          <t>07:40</t>
        </is>
      </c>
      <c r="H803" s="4" t="inlineStr">
        <is>
          <t>12.10.2026</t>
        </is>
      </c>
      <c r="I803" s="4" t="inlineStr">
        <is>
          <t>20:06</t>
        </is>
      </c>
      <c r="J803" s="8" t="n">
        <v>10.5</v>
      </c>
      <c r="K803" s="8" t="n">
        <v>7.5</v>
      </c>
      <c r="L803" s="8" t="n">
        <v>3</v>
      </c>
      <c r="M803" s="29" t="inlineStr">
        <is>
          <t>HALİL DİĞRENCİ</t>
        </is>
      </c>
    </row>
    <row r="804">
      <c r="A804" s="4" t="n">
        <v>803</v>
      </c>
      <c r="B804" s="4" t="inlineStr">
        <is>
          <t>01362</t>
        </is>
      </c>
      <c r="C804" s="4" t="inlineStr">
        <is>
          <t>01362</t>
        </is>
      </c>
      <c r="D804" s="29" t="inlineStr">
        <is>
          <t>DİLEK ÇETİN</t>
        </is>
      </c>
      <c r="E804" s="4" t="inlineStr">
        <is>
          <t>Salı</t>
        </is>
      </c>
      <c r="F804" s="4" t="inlineStr">
        <is>
          <t>13.10.2026</t>
        </is>
      </c>
      <c r="G804" s="4" t="inlineStr">
        <is>
          <t>07:35</t>
        </is>
      </c>
      <c r="H804" s="4" t="inlineStr">
        <is>
          <t>13.10.2026</t>
        </is>
      </c>
      <c r="I804" s="4" t="inlineStr">
        <is>
          <t>17:05</t>
        </is>
      </c>
      <c r="J804" s="8" t="n">
        <v>7.5</v>
      </c>
      <c r="K804" s="8" t="n">
        <v>7.5</v>
      </c>
      <c r="L804" s="8" t="n">
        <v>0</v>
      </c>
      <c r="M804" s="29" t="inlineStr">
        <is>
          <t>HALİL DİĞRENCİ</t>
        </is>
      </c>
    </row>
    <row r="805">
      <c r="A805" s="4" t="n">
        <v>804</v>
      </c>
      <c r="B805" s="4" t="inlineStr">
        <is>
          <t>01362</t>
        </is>
      </c>
      <c r="C805" s="4" t="inlineStr">
        <is>
          <t>01362</t>
        </is>
      </c>
      <c r="D805" s="29" t="inlineStr">
        <is>
          <t>DİLEK ÇETİN</t>
        </is>
      </c>
      <c r="E805" s="4" t="inlineStr">
        <is>
          <t>Çarşamba</t>
        </is>
      </c>
      <c r="F805" s="4" t="inlineStr">
        <is>
          <t>14.10.2026</t>
        </is>
      </c>
      <c r="G805" s="4" t="inlineStr">
        <is>
          <t>07:38</t>
        </is>
      </c>
      <c r="H805" s="4" t="inlineStr">
        <is>
          <t>14.10.2026</t>
        </is>
      </c>
      <c r="I805" s="4" t="inlineStr">
        <is>
          <t>20:06</t>
        </is>
      </c>
      <c r="J805" s="8" t="n">
        <v>10.5</v>
      </c>
      <c r="K805" s="8" t="n">
        <v>7.5</v>
      </c>
      <c r="L805" s="8" t="n">
        <v>3</v>
      </c>
      <c r="M805" s="29" t="inlineStr">
        <is>
          <t>HALİL DİĞRENCİ</t>
        </is>
      </c>
    </row>
    <row r="806">
      <c r="A806" s="4" t="n">
        <v>805</v>
      </c>
      <c r="B806" s="4" t="inlineStr">
        <is>
          <t>01362</t>
        </is>
      </c>
      <c r="C806" s="4" t="inlineStr">
        <is>
          <t>01362</t>
        </is>
      </c>
      <c r="D806" s="29" t="inlineStr">
        <is>
          <t>DİLEK ÇETİN</t>
        </is>
      </c>
      <c r="E806" s="4" t="inlineStr">
        <is>
          <t>Perşembe</t>
        </is>
      </c>
      <c r="F806" s="4" t="inlineStr">
        <is>
          <t>15.10.2026</t>
        </is>
      </c>
      <c r="G806" s="4" t="inlineStr">
        <is>
          <t>07:35</t>
        </is>
      </c>
      <c r="H806" s="4" t="inlineStr">
        <is>
          <t>15.10.2026</t>
        </is>
      </c>
      <c r="I806" s="4" t="inlineStr">
        <is>
          <t>20:08</t>
        </is>
      </c>
      <c r="J806" s="8" t="n">
        <v>10.5</v>
      </c>
      <c r="K806" s="8" t="n">
        <v>7.5</v>
      </c>
      <c r="L806" s="8" t="n">
        <v>3</v>
      </c>
      <c r="M806" s="29" t="inlineStr">
        <is>
          <t>HALİL DİĞRENCİ</t>
        </is>
      </c>
    </row>
    <row r="807">
      <c r="A807" s="4" t="n">
        <v>806</v>
      </c>
      <c r="B807" s="4" t="inlineStr">
        <is>
          <t>01362</t>
        </is>
      </c>
      <c r="C807" s="4" t="inlineStr">
        <is>
          <t>01362</t>
        </is>
      </c>
      <c r="D807" s="29" t="inlineStr">
        <is>
          <t>DİLEK ÇETİN</t>
        </is>
      </c>
      <c r="E807" s="4" t="inlineStr">
        <is>
          <t>Cuma</t>
        </is>
      </c>
      <c r="F807" s="4" t="inlineStr">
        <is>
          <t>16.10.2026</t>
        </is>
      </c>
      <c r="G807" s="4" t="inlineStr">
        <is>
          <t>07:54</t>
        </is>
      </c>
      <c r="H807" s="4" t="inlineStr">
        <is>
          <t>16.10.2026</t>
        </is>
      </c>
      <c r="I807" s="4" t="inlineStr">
        <is>
          <t>20:06</t>
        </is>
      </c>
      <c r="J807" s="8" t="n">
        <v>10.5</v>
      </c>
      <c r="K807" s="8" t="n">
        <v>7.5</v>
      </c>
      <c r="L807" s="8" t="n">
        <v>3</v>
      </c>
      <c r="M807" s="29" t="inlineStr">
        <is>
          <t>HALİL DİĞRENCİ</t>
        </is>
      </c>
    </row>
    <row r="808">
      <c r="A808" s="4" t="n">
        <v>807</v>
      </c>
      <c r="B808" s="4" t="inlineStr">
        <is>
          <t>01362</t>
        </is>
      </c>
      <c r="C808" s="4" t="inlineStr">
        <is>
          <t>01362</t>
        </is>
      </c>
      <c r="D808" s="29" t="inlineStr">
        <is>
          <t>DİLEK ÇETİN</t>
        </is>
      </c>
      <c r="E808" s="4" t="inlineStr">
        <is>
          <t>Pazartesi</t>
        </is>
      </c>
      <c r="F808" s="4" t="inlineStr">
        <is>
          <t>19.10.2026</t>
        </is>
      </c>
      <c r="G808" s="4" t="inlineStr">
        <is>
          <t>07:36</t>
        </is>
      </c>
      <c r="H808" s="4" t="inlineStr">
        <is>
          <t>19.10.2026</t>
        </is>
      </c>
      <c r="I808" s="4" t="inlineStr">
        <is>
          <t>20:04</t>
        </is>
      </c>
      <c r="J808" s="8" t="n">
        <v>10.5</v>
      </c>
      <c r="K808" s="8" t="n">
        <v>7.5</v>
      </c>
      <c r="L808" s="8" t="n">
        <v>3</v>
      </c>
      <c r="M808" s="29" t="inlineStr">
        <is>
          <t>HALİL DİĞRENCİ</t>
        </is>
      </c>
    </row>
    <row r="809">
      <c r="A809" s="4" t="n">
        <v>808</v>
      </c>
      <c r="B809" s="4" t="inlineStr">
        <is>
          <t>01362</t>
        </is>
      </c>
      <c r="C809" s="4" t="inlineStr">
        <is>
          <t>01362</t>
        </is>
      </c>
      <c r="D809" s="29" t="inlineStr">
        <is>
          <t>DİLEK ÇETİN</t>
        </is>
      </c>
      <c r="E809" s="4" t="inlineStr">
        <is>
          <t>Salı</t>
        </is>
      </c>
      <c r="F809" s="4" t="inlineStr">
        <is>
          <t>20.10.2026</t>
        </is>
      </c>
      <c r="G809" s="4" t="inlineStr">
        <is>
          <t>07:31</t>
        </is>
      </c>
      <c r="H809" s="4" t="inlineStr">
        <is>
          <t>20.10.2026</t>
        </is>
      </c>
      <c r="I809" s="4" t="inlineStr">
        <is>
          <t>17:13</t>
        </is>
      </c>
      <c r="J809" s="8" t="n">
        <v>7.5</v>
      </c>
      <c r="K809" s="8" t="n">
        <v>7.5</v>
      </c>
      <c r="L809" s="8" t="n">
        <v>0</v>
      </c>
      <c r="M809" s="29" t="inlineStr">
        <is>
          <t>HALİL DİĞRENCİ</t>
        </is>
      </c>
    </row>
    <row r="810">
      <c r="A810" s="4" t="n">
        <v>809</v>
      </c>
      <c r="B810" s="4" t="inlineStr">
        <is>
          <t>01362</t>
        </is>
      </c>
      <c r="C810" s="4" t="inlineStr">
        <is>
          <t>01362</t>
        </is>
      </c>
      <c r="D810" s="29" t="inlineStr">
        <is>
          <t>DİLEK ÇETİN</t>
        </is>
      </c>
      <c r="E810" s="4" t="inlineStr">
        <is>
          <t>Çarşamba</t>
        </is>
      </c>
      <c r="F810" s="4" t="inlineStr">
        <is>
          <t>21.10.2026</t>
        </is>
      </c>
      <c r="G810" s="4" t="inlineStr">
        <is>
          <t>07:39</t>
        </is>
      </c>
      <c r="H810" s="4" t="inlineStr">
        <is>
          <t>21.10.2026</t>
        </is>
      </c>
      <c r="I810" s="4" t="inlineStr">
        <is>
          <t>17:05</t>
        </is>
      </c>
      <c r="J810" s="8" t="n">
        <v>7.5</v>
      </c>
      <c r="K810" s="8" t="n">
        <v>7.5</v>
      </c>
      <c r="L810" s="8" t="n">
        <v>0</v>
      </c>
      <c r="M810" s="29" t="inlineStr">
        <is>
          <t>HALİL DİĞRENCİ</t>
        </is>
      </c>
    </row>
    <row r="811">
      <c r="A811" s="4" t="n">
        <v>810</v>
      </c>
      <c r="B811" s="4" t="inlineStr">
        <is>
          <t>00386</t>
        </is>
      </c>
      <c r="C811" s="4" t="inlineStr">
        <is>
          <t>00386</t>
        </is>
      </c>
      <c r="D811" s="29" t="inlineStr">
        <is>
          <t>DÖNDÜ ŞAHİN</t>
        </is>
      </c>
      <c r="E811" s="4" t="inlineStr">
        <is>
          <t>Perşembe</t>
        </is>
      </c>
      <c r="F811" s="4" t="inlineStr">
        <is>
          <t>1.10.2026</t>
        </is>
      </c>
      <c r="G811" s="4" t="inlineStr">
        <is>
          <t>23:43</t>
        </is>
      </c>
      <c r="H811" s="4" t="inlineStr">
        <is>
          <t>1.10.2026</t>
        </is>
      </c>
      <c r="I811" s="4" t="inlineStr">
        <is>
          <t>08:13</t>
        </is>
      </c>
      <c r="J811" s="8" t="n">
        <v>7.5</v>
      </c>
      <c r="K811" s="8" t="n">
        <v>7.5</v>
      </c>
      <c r="L811" s="8" t="n">
        <v>0</v>
      </c>
      <c r="M811" s="29" t="inlineStr">
        <is>
          <t>BANDIRMA</t>
        </is>
      </c>
    </row>
    <row r="812">
      <c r="A812" s="4" t="n">
        <v>811</v>
      </c>
      <c r="B812" s="4" t="inlineStr">
        <is>
          <t>00386</t>
        </is>
      </c>
      <c r="C812" s="4" t="inlineStr">
        <is>
          <t>00386</t>
        </is>
      </c>
      <c r="D812" s="29" t="inlineStr">
        <is>
          <t>DÖNDÜ ŞAHİN</t>
        </is>
      </c>
      <c r="E812" s="4" t="inlineStr">
        <is>
          <t>Cuma</t>
        </is>
      </c>
      <c r="F812" s="4" t="inlineStr">
        <is>
          <t>2.10.2026</t>
        </is>
      </c>
      <c r="G812" s="4" t="inlineStr">
        <is>
          <t>23:34</t>
        </is>
      </c>
      <c r="H812" s="4" t="inlineStr">
        <is>
          <t>2.10.2026</t>
        </is>
      </c>
      <c r="I812" s="4" t="inlineStr">
        <is>
          <t>08:11</t>
        </is>
      </c>
      <c r="J812" s="8" t="n">
        <v>7.5</v>
      </c>
      <c r="K812" s="8" t="n">
        <v>7.5</v>
      </c>
      <c r="L812" s="8" t="n">
        <v>0</v>
      </c>
      <c r="M812" s="29" t="inlineStr">
        <is>
          <t>BANDIRMA</t>
        </is>
      </c>
    </row>
    <row r="813">
      <c r="A813" s="4" t="n">
        <v>812</v>
      </c>
      <c r="B813" s="4" t="inlineStr">
        <is>
          <t>00386</t>
        </is>
      </c>
      <c r="C813" s="4" t="inlineStr">
        <is>
          <t>00386</t>
        </is>
      </c>
      <c r="D813" s="29" t="inlineStr">
        <is>
          <t>DÖNDÜ ŞAHİN</t>
        </is>
      </c>
      <c r="E813" s="4" t="inlineStr">
        <is>
          <t>Cumartesi</t>
        </is>
      </c>
      <c r="F813" s="4" t="inlineStr">
        <is>
          <t>3.10.2026</t>
        </is>
      </c>
      <c r="G813" s="4" t="inlineStr">
        <is>
          <t>23:23</t>
        </is>
      </c>
      <c r="H813" s="4" t="inlineStr">
        <is>
          <t>3.10.2026</t>
        </is>
      </c>
      <c r="I813" s="4" t="inlineStr">
        <is>
          <t>05:00</t>
        </is>
      </c>
      <c r="J813" s="8" t="n">
        <v>4.5</v>
      </c>
      <c r="K813" s="8" t="n">
        <v>4.5</v>
      </c>
      <c r="L813" s="8" t="n">
        <v>0</v>
      </c>
      <c r="M813" s="29" t="inlineStr">
        <is>
          <t>BANDIRMA</t>
        </is>
      </c>
    </row>
    <row r="814">
      <c r="A814" s="4" t="n">
        <v>813</v>
      </c>
      <c r="B814" s="4" t="inlineStr">
        <is>
          <t>00386</t>
        </is>
      </c>
      <c r="C814" s="4" t="inlineStr">
        <is>
          <t>00386</t>
        </is>
      </c>
      <c r="D814" s="29" t="inlineStr">
        <is>
          <t>DÖNDÜ ŞAHİN</t>
        </is>
      </c>
      <c r="E814" s="4" t="inlineStr">
        <is>
          <t>Pazar</t>
        </is>
      </c>
      <c r="F814" s="4" t="inlineStr">
        <is>
          <t>4.10.2026</t>
        </is>
      </c>
      <c r="G814" s="4" t="inlineStr">
        <is>
          <t>23:30</t>
        </is>
      </c>
      <c r="H814" s="4" t="inlineStr">
        <is>
          <t>4.10.2026</t>
        </is>
      </c>
      <c r="I814" s="4" t="inlineStr">
        <is>
          <t>08:41</t>
        </is>
      </c>
      <c r="J814" s="8" t="n">
        <v>8</v>
      </c>
      <c r="K814" s="8" t="n">
        <v>7.5</v>
      </c>
      <c r="L814" s="8" t="n">
        <v>0.5</v>
      </c>
      <c r="M814" s="29" t="inlineStr">
        <is>
          <t>BANDIRMA</t>
        </is>
      </c>
    </row>
    <row r="815">
      <c r="A815" s="4" t="n">
        <v>814</v>
      </c>
      <c r="B815" s="4" t="inlineStr">
        <is>
          <t>00386</t>
        </is>
      </c>
      <c r="C815" s="4" t="inlineStr">
        <is>
          <t>00386</t>
        </is>
      </c>
      <c r="D815" s="29" t="inlineStr">
        <is>
          <t>DÖNDÜ ŞAHİN</t>
        </is>
      </c>
      <c r="E815" s="4" t="inlineStr">
        <is>
          <t>Pazartesi</t>
        </is>
      </c>
      <c r="F815" s="4" t="inlineStr">
        <is>
          <t>5.10.2026</t>
        </is>
      </c>
      <c r="G815" s="4" t="inlineStr">
        <is>
          <t>23:24</t>
        </is>
      </c>
      <c r="H815" s="4" t="inlineStr">
        <is>
          <t>5.10.2026</t>
        </is>
      </c>
      <c r="I815" s="4" t="inlineStr">
        <is>
          <t>08:05</t>
        </is>
      </c>
      <c r="J815" s="8" t="n">
        <v>7.5</v>
      </c>
      <c r="K815" s="8" t="n">
        <v>7.5</v>
      </c>
      <c r="L815" s="8" t="n">
        <v>0</v>
      </c>
      <c r="M815" s="29" t="inlineStr">
        <is>
          <t>BANDIRMA</t>
        </is>
      </c>
    </row>
    <row r="816">
      <c r="A816" s="4" t="n">
        <v>815</v>
      </c>
      <c r="B816" s="4" t="inlineStr">
        <is>
          <t>00386</t>
        </is>
      </c>
      <c r="C816" s="4" t="inlineStr">
        <is>
          <t>00386</t>
        </is>
      </c>
      <c r="D816" s="29" t="inlineStr">
        <is>
          <t>DÖNDÜ ŞAHİN</t>
        </is>
      </c>
      <c r="E816" s="4" t="inlineStr">
        <is>
          <t>Salı</t>
        </is>
      </c>
      <c r="F816" s="4" t="inlineStr">
        <is>
          <t>6.10.2026</t>
        </is>
      </c>
      <c r="G816" s="4" t="inlineStr">
        <is>
          <t>23:32</t>
        </is>
      </c>
      <c r="H816" s="4" t="inlineStr">
        <is>
          <t>6.10.2026</t>
        </is>
      </c>
      <c r="I816" s="4" t="inlineStr">
        <is>
          <t>08:26</t>
        </is>
      </c>
      <c r="J816" s="8" t="n">
        <v>8</v>
      </c>
      <c r="K816" s="8" t="n">
        <v>7.5</v>
      </c>
      <c r="L816" s="8" t="n">
        <v>0.5</v>
      </c>
      <c r="M816" s="29" t="inlineStr">
        <is>
          <t>BANDIRMA</t>
        </is>
      </c>
    </row>
    <row r="817">
      <c r="A817" s="4" t="n">
        <v>816</v>
      </c>
      <c r="B817" s="4" t="inlineStr">
        <is>
          <t>00386</t>
        </is>
      </c>
      <c r="C817" s="4" t="inlineStr">
        <is>
          <t>00386</t>
        </is>
      </c>
      <c r="D817" s="29" t="inlineStr">
        <is>
          <t>DÖNDÜ ŞAHİN</t>
        </is>
      </c>
      <c r="E817" s="4" t="inlineStr">
        <is>
          <t>Çarşamba</t>
        </is>
      </c>
      <c r="F817" s="4" t="inlineStr">
        <is>
          <t>7.10.2026</t>
        </is>
      </c>
      <c r="G817" s="4" t="inlineStr">
        <is>
          <t>23:23</t>
        </is>
      </c>
      <c r="H817" s="4" t="inlineStr">
        <is>
          <t>7.10.2026</t>
        </is>
      </c>
      <c r="I817" s="4" t="inlineStr">
        <is>
          <t>08:13</t>
        </is>
      </c>
      <c r="J817" s="8" t="n">
        <v>7.5</v>
      </c>
      <c r="K817" s="8" t="n">
        <v>7.5</v>
      </c>
      <c r="L817" s="8" t="n">
        <v>0</v>
      </c>
      <c r="M817" s="29" t="inlineStr">
        <is>
          <t>BANDIRMA</t>
        </is>
      </c>
    </row>
    <row r="818">
      <c r="A818" s="4" t="n">
        <v>817</v>
      </c>
      <c r="B818" s="4" t="inlineStr">
        <is>
          <t>00386</t>
        </is>
      </c>
      <c r="C818" s="4" t="inlineStr">
        <is>
          <t>00386</t>
        </is>
      </c>
      <c r="D818" s="29" t="inlineStr">
        <is>
          <t>DÖNDÜ ŞAHİN</t>
        </is>
      </c>
      <c r="E818" s="4" t="inlineStr">
        <is>
          <t>Perşembe</t>
        </is>
      </c>
      <c r="F818" s="4" t="inlineStr">
        <is>
          <t>8.10.2026</t>
        </is>
      </c>
      <c r="G818" s="4" t="inlineStr">
        <is>
          <t>23:24</t>
        </is>
      </c>
      <c r="H818" s="4" t="inlineStr">
        <is>
          <t>8.10.2026</t>
        </is>
      </c>
      <c r="I818" s="4" t="inlineStr">
        <is>
          <t>08:29</t>
        </is>
      </c>
      <c r="J818" s="8" t="n">
        <v>8</v>
      </c>
      <c r="K818" s="8" t="n">
        <v>7.5</v>
      </c>
      <c r="L818" s="8" t="n">
        <v>0.5</v>
      </c>
      <c r="M818" s="29" t="inlineStr">
        <is>
          <t>BANDIRMA</t>
        </is>
      </c>
    </row>
    <row r="819">
      <c r="A819" s="4" t="n">
        <v>818</v>
      </c>
      <c r="B819" s="4" t="inlineStr">
        <is>
          <t>00386</t>
        </is>
      </c>
      <c r="C819" s="4" t="inlineStr">
        <is>
          <t>00386</t>
        </is>
      </c>
      <c r="D819" s="29" t="inlineStr">
        <is>
          <t>DÖNDÜ ŞAHİN</t>
        </is>
      </c>
      <c r="E819" s="4" t="inlineStr">
        <is>
          <t>Cuma</t>
        </is>
      </c>
      <c r="F819" s="4" t="inlineStr">
        <is>
          <t>9.10.2026</t>
        </is>
      </c>
      <c r="G819" s="4" t="inlineStr">
        <is>
          <t>23:24</t>
        </is>
      </c>
      <c r="H819" s="4" t="inlineStr">
        <is>
          <t>9.10.2026</t>
        </is>
      </c>
      <c r="I819" s="4" t="inlineStr">
        <is>
          <t>08:25</t>
        </is>
      </c>
      <c r="J819" s="8" t="n">
        <v>8</v>
      </c>
      <c r="K819" s="8" t="n">
        <v>7.5</v>
      </c>
      <c r="L819" s="8" t="n">
        <v>0.5</v>
      </c>
      <c r="M819" s="29" t="inlineStr">
        <is>
          <t>BANDIRMA</t>
        </is>
      </c>
    </row>
    <row r="820">
      <c r="A820" s="4" t="n">
        <v>819</v>
      </c>
      <c r="B820" s="4" t="inlineStr">
        <is>
          <t>00386</t>
        </is>
      </c>
      <c r="C820" s="4" t="inlineStr">
        <is>
          <t>00386</t>
        </is>
      </c>
      <c r="D820" s="29" t="inlineStr">
        <is>
          <t>DÖNDÜ ŞAHİN</t>
        </is>
      </c>
      <c r="E820" s="4" t="inlineStr">
        <is>
          <t>Cumartesi</t>
        </is>
      </c>
      <c r="F820" s="4" t="inlineStr">
        <is>
          <t>10.10.2026</t>
        </is>
      </c>
      <c r="G820" s="4" t="inlineStr">
        <is>
          <t>23:28</t>
        </is>
      </c>
      <c r="H820" s="4" t="inlineStr">
        <is>
          <t>10.10.2026</t>
        </is>
      </c>
      <c r="I820" s="4" t="inlineStr">
        <is>
          <t>08:58</t>
        </is>
      </c>
      <c r="J820" s="8" t="n">
        <v>8.5</v>
      </c>
      <c r="K820" s="8" t="n">
        <v>7.5</v>
      </c>
      <c r="L820" s="8" t="n">
        <v>1</v>
      </c>
      <c r="M820" s="29" t="inlineStr">
        <is>
          <t>BANDIRMA</t>
        </is>
      </c>
    </row>
    <row r="821">
      <c r="A821" s="4" t="n">
        <v>820</v>
      </c>
      <c r="B821" s="4" t="inlineStr">
        <is>
          <t>00386</t>
        </is>
      </c>
      <c r="C821" s="4" t="inlineStr">
        <is>
          <t>00386</t>
        </is>
      </c>
      <c r="D821" s="29" t="inlineStr">
        <is>
          <t>DÖNDÜ ŞAHİN</t>
        </is>
      </c>
      <c r="E821" s="4" t="inlineStr">
        <is>
          <t>Pazar</t>
        </is>
      </c>
      <c r="F821" s="4" t="inlineStr">
        <is>
          <t>11.10.2026</t>
        </is>
      </c>
      <c r="G821" s="4" t="inlineStr">
        <is>
          <t>23:28</t>
        </is>
      </c>
      <c r="H821" s="4" t="inlineStr">
        <is>
          <t>11.10.2026</t>
        </is>
      </c>
      <c r="I821" s="4" t="inlineStr">
        <is>
          <t>08:15</t>
        </is>
      </c>
      <c r="J821" s="8" t="n">
        <v>7.5</v>
      </c>
      <c r="K821" s="8" t="n">
        <v>7.5</v>
      </c>
      <c r="L821" s="8" t="n">
        <v>0</v>
      </c>
      <c r="M821" s="29" t="inlineStr">
        <is>
          <t>BANDIRMA</t>
        </is>
      </c>
    </row>
    <row r="822">
      <c r="A822" s="4" t="n">
        <v>821</v>
      </c>
      <c r="B822" s="4" t="inlineStr">
        <is>
          <t>00386</t>
        </is>
      </c>
      <c r="C822" s="4" t="inlineStr">
        <is>
          <t>00386</t>
        </is>
      </c>
      <c r="D822" s="29" t="inlineStr">
        <is>
          <t>DÖNDÜ ŞAHİN</t>
        </is>
      </c>
      <c r="E822" s="4" t="inlineStr">
        <is>
          <t>Pazartesi</t>
        </is>
      </c>
      <c r="F822" s="4" t="inlineStr">
        <is>
          <t>12.10.2026</t>
        </is>
      </c>
      <c r="G822" s="4" t="inlineStr">
        <is>
          <t>23:25</t>
        </is>
      </c>
      <c r="H822" s="4" t="inlineStr">
        <is>
          <t>12.10.2026</t>
        </is>
      </c>
      <c r="I822" s="4" t="inlineStr">
        <is>
          <t>08:14</t>
        </is>
      </c>
      <c r="J822" s="8" t="n">
        <v>7.5</v>
      </c>
      <c r="K822" s="8" t="n">
        <v>7.5</v>
      </c>
      <c r="L822" s="8" t="n">
        <v>0</v>
      </c>
      <c r="M822" s="29" t="inlineStr">
        <is>
          <t>BANDIRMA</t>
        </is>
      </c>
    </row>
    <row r="823">
      <c r="A823" s="4" t="n">
        <v>822</v>
      </c>
      <c r="B823" s="4" t="inlineStr">
        <is>
          <t>00386</t>
        </is>
      </c>
      <c r="C823" s="4" t="inlineStr">
        <is>
          <t>00386</t>
        </is>
      </c>
      <c r="D823" s="29" t="inlineStr">
        <is>
          <t>DÖNDÜ ŞAHİN</t>
        </is>
      </c>
      <c r="E823" s="4" t="inlineStr">
        <is>
          <t>Salı</t>
        </is>
      </c>
      <c r="F823" s="4" t="inlineStr">
        <is>
          <t>13.10.2026</t>
        </is>
      </c>
      <c r="G823" s="4" t="inlineStr">
        <is>
          <t>23:22</t>
        </is>
      </c>
      <c r="H823" s="4" t="inlineStr">
        <is>
          <t>13.10.2026</t>
        </is>
      </c>
      <c r="I823" s="4" t="inlineStr">
        <is>
          <t>08:18</t>
        </is>
      </c>
      <c r="J823" s="8" t="n">
        <v>7.5</v>
      </c>
      <c r="K823" s="8" t="n">
        <v>7.5</v>
      </c>
      <c r="L823" s="8" t="n">
        <v>0</v>
      </c>
      <c r="M823" s="29" t="inlineStr">
        <is>
          <t>BANDIRMA</t>
        </is>
      </c>
    </row>
    <row r="824">
      <c r="A824" s="4" t="n">
        <v>823</v>
      </c>
      <c r="B824" s="4" t="inlineStr">
        <is>
          <t>00386</t>
        </is>
      </c>
      <c r="C824" s="4" t="inlineStr">
        <is>
          <t>00386</t>
        </is>
      </c>
      <c r="D824" s="29" t="inlineStr">
        <is>
          <t>DÖNDÜ ŞAHİN</t>
        </is>
      </c>
      <c r="E824" s="4" t="inlineStr">
        <is>
          <t>Çarşamba</t>
        </is>
      </c>
      <c r="F824" s="4" t="inlineStr">
        <is>
          <t>14.10.2026</t>
        </is>
      </c>
      <c r="G824" s="4" t="inlineStr">
        <is>
          <t>23:28</t>
        </is>
      </c>
      <c r="H824" s="4" t="inlineStr">
        <is>
          <t>14.10.2026</t>
        </is>
      </c>
      <c r="I824" s="4" t="inlineStr">
        <is>
          <t>08:28</t>
        </is>
      </c>
      <c r="J824" s="8" t="n">
        <v>8</v>
      </c>
      <c r="K824" s="8" t="n">
        <v>7.5</v>
      </c>
      <c r="L824" s="8" t="n">
        <v>0.5</v>
      </c>
      <c r="M824" s="29" t="inlineStr">
        <is>
          <t>BANDIRMA</t>
        </is>
      </c>
    </row>
    <row r="825">
      <c r="A825" s="4" t="n">
        <v>824</v>
      </c>
      <c r="B825" s="4" t="inlineStr">
        <is>
          <t>00386</t>
        </is>
      </c>
      <c r="C825" s="4" t="inlineStr">
        <is>
          <t>00386</t>
        </is>
      </c>
      <c r="D825" s="29" t="inlineStr">
        <is>
          <t>DÖNDÜ ŞAHİN</t>
        </is>
      </c>
      <c r="E825" s="4" t="inlineStr">
        <is>
          <t>Perşembe</t>
        </is>
      </c>
      <c r="F825" s="4" t="inlineStr">
        <is>
          <t>15.10.2026</t>
        </is>
      </c>
      <c r="G825" s="4" t="inlineStr">
        <is>
          <t>23:18</t>
        </is>
      </c>
      <c r="H825" s="4" t="inlineStr">
        <is>
          <t>15.10.2026</t>
        </is>
      </c>
      <c r="I825" s="4" t="inlineStr">
        <is>
          <t>08:22</t>
        </is>
      </c>
      <c r="J825" s="8" t="n">
        <v>8</v>
      </c>
      <c r="K825" s="8" t="n">
        <v>7.5</v>
      </c>
      <c r="L825" s="8" t="n">
        <v>0.5</v>
      </c>
      <c r="M825" s="29" t="inlineStr">
        <is>
          <t>BANDIRMA</t>
        </is>
      </c>
    </row>
    <row r="826">
      <c r="A826" s="4" t="n">
        <v>825</v>
      </c>
      <c r="B826" s="4" t="inlineStr">
        <is>
          <t>00386</t>
        </is>
      </c>
      <c r="C826" s="4" t="inlineStr">
        <is>
          <t>00386</t>
        </is>
      </c>
      <c r="D826" s="29" t="inlineStr">
        <is>
          <t>DÖNDÜ ŞAHİN</t>
        </is>
      </c>
      <c r="E826" s="4" t="inlineStr">
        <is>
          <t>Pazartesi</t>
        </is>
      </c>
      <c r="F826" s="4" t="inlineStr">
        <is>
          <t>19.10.2026</t>
        </is>
      </c>
      <c r="G826" s="4" t="inlineStr">
        <is>
          <t>23:38</t>
        </is>
      </c>
      <c r="H826" s="4" t="inlineStr">
        <is>
          <t>19.10.2026</t>
        </is>
      </c>
      <c r="I826" s="4" t="inlineStr">
        <is>
          <t>08:20</t>
        </is>
      </c>
      <c r="J826" s="8" t="n">
        <v>7.5</v>
      </c>
      <c r="K826" s="8" t="n">
        <v>7.5</v>
      </c>
      <c r="L826" s="8" t="n">
        <v>0</v>
      </c>
      <c r="M826" s="29" t="inlineStr">
        <is>
          <t>BANDIRMA</t>
        </is>
      </c>
    </row>
    <row r="827">
      <c r="A827" s="4" t="n">
        <v>826</v>
      </c>
      <c r="B827" s="4" t="inlineStr">
        <is>
          <t>01399</t>
        </is>
      </c>
      <c r="C827" s="4" t="inlineStr">
        <is>
          <t>01399</t>
        </is>
      </c>
      <c r="D827" s="29" t="inlineStr">
        <is>
          <t>DÖNE BERBEROĞLU</t>
        </is>
      </c>
      <c r="E827" s="4" t="inlineStr">
        <is>
          <t>Cumartesi</t>
        </is>
      </c>
      <c r="F827" s="4" t="inlineStr">
        <is>
          <t>3.10.2026</t>
        </is>
      </c>
      <c r="G827" s="4" t="inlineStr">
        <is>
          <t>08:10</t>
        </is>
      </c>
      <c r="H827" s="4" t="inlineStr">
        <is>
          <t>3.10.2026</t>
        </is>
      </c>
      <c r="I827" s="4" t="inlineStr">
        <is>
          <t>17:34</t>
        </is>
      </c>
      <c r="J827" s="8" t="n">
        <v>8</v>
      </c>
      <c r="K827" s="8" t="n">
        <v>7.5</v>
      </c>
      <c r="L827" s="8" t="n">
        <v>0.5</v>
      </c>
      <c r="M827" s="29" t="inlineStr">
        <is>
          <t>HALİL DİĞRENCİ</t>
        </is>
      </c>
    </row>
    <row r="828">
      <c r="A828" s="4" t="n">
        <v>827</v>
      </c>
      <c r="B828" s="4" t="inlineStr">
        <is>
          <t>01399</t>
        </is>
      </c>
      <c r="C828" s="4" t="inlineStr">
        <is>
          <t>01399</t>
        </is>
      </c>
      <c r="D828" s="29" t="inlineStr">
        <is>
          <t>DÖNE BERBEROĞLU</t>
        </is>
      </c>
      <c r="E828" s="4" t="inlineStr">
        <is>
          <t>Pazartesi</t>
        </is>
      </c>
      <c r="F828" s="4" t="inlineStr">
        <is>
          <t>5.10.2026</t>
        </is>
      </c>
      <c r="G828" s="4" t="inlineStr">
        <is>
          <t>07:54</t>
        </is>
      </c>
      <c r="H828" s="4" t="inlineStr">
        <is>
          <t>5.10.2026</t>
        </is>
      </c>
      <c r="I828" s="4" t="inlineStr">
        <is>
          <t>17:02</t>
        </is>
      </c>
      <c r="J828" s="8" t="n">
        <v>7.5</v>
      </c>
      <c r="K828" s="8" t="n">
        <v>7.5</v>
      </c>
      <c r="L828" s="8" t="n">
        <v>0</v>
      </c>
      <c r="M828" s="29" t="inlineStr">
        <is>
          <t>HALİL DİĞRENCİ</t>
        </is>
      </c>
    </row>
    <row r="829">
      <c r="A829" s="4" t="n">
        <v>828</v>
      </c>
      <c r="B829" s="4" t="inlineStr">
        <is>
          <t>01399</t>
        </is>
      </c>
      <c r="C829" s="4" t="inlineStr">
        <is>
          <t>01399</t>
        </is>
      </c>
      <c r="D829" s="29" t="inlineStr">
        <is>
          <t>DÖNE BERBEROĞLU</t>
        </is>
      </c>
      <c r="E829" s="4" t="inlineStr">
        <is>
          <t>Salı</t>
        </is>
      </c>
      <c r="F829" s="4" t="inlineStr">
        <is>
          <t>6.10.2026</t>
        </is>
      </c>
      <c r="G829" s="4" t="inlineStr">
        <is>
          <t>07:52</t>
        </is>
      </c>
      <c r="H829" s="4" t="inlineStr">
        <is>
          <t>6.10.2026</t>
        </is>
      </c>
      <c r="I829" s="4" t="inlineStr">
        <is>
          <t>17:40</t>
        </is>
      </c>
      <c r="J829" s="8" t="n">
        <v>8</v>
      </c>
      <c r="K829" s="8" t="n">
        <v>7.5</v>
      </c>
      <c r="L829" s="8" t="n">
        <v>0.5</v>
      </c>
      <c r="M829" s="29" t="inlineStr">
        <is>
          <t>HALİL DİĞRENCİ</t>
        </is>
      </c>
    </row>
    <row r="830">
      <c r="A830" s="4" t="n">
        <v>829</v>
      </c>
      <c r="B830" s="4" t="inlineStr">
        <is>
          <t>01399</t>
        </is>
      </c>
      <c r="C830" s="4" t="inlineStr">
        <is>
          <t>01399</t>
        </is>
      </c>
      <c r="D830" s="29" t="inlineStr">
        <is>
          <t>DÖNE BERBEROĞLU</t>
        </is>
      </c>
      <c r="E830" s="4" t="inlineStr">
        <is>
          <t>Çarşamba</t>
        </is>
      </c>
      <c r="F830" s="4" t="inlineStr">
        <is>
          <t>7.10.2026</t>
        </is>
      </c>
      <c r="G830" s="4" t="inlineStr">
        <is>
          <t>07:49</t>
        </is>
      </c>
      <c r="H830" s="4" t="inlineStr">
        <is>
          <t>7.10.2026</t>
        </is>
      </c>
      <c r="I830" s="4" t="inlineStr">
        <is>
          <t>17:24</t>
        </is>
      </c>
      <c r="J830" s="8" t="n">
        <v>8</v>
      </c>
      <c r="K830" s="8" t="n">
        <v>7.5</v>
      </c>
      <c r="L830" s="8" t="n">
        <v>0.5</v>
      </c>
      <c r="M830" s="29" t="inlineStr">
        <is>
          <t>HALİL DİĞRENCİ</t>
        </is>
      </c>
    </row>
    <row r="831">
      <c r="A831" s="4" t="n">
        <v>830</v>
      </c>
      <c r="B831" s="4" t="inlineStr">
        <is>
          <t>01399</t>
        </is>
      </c>
      <c r="C831" s="4" t="inlineStr">
        <is>
          <t>01399</t>
        </is>
      </c>
      <c r="D831" s="29" t="inlineStr">
        <is>
          <t>DÖNE BERBEROĞLU</t>
        </is>
      </c>
      <c r="E831" s="4" t="inlineStr">
        <is>
          <t>Perşembe</t>
        </is>
      </c>
      <c r="F831" s="4" t="inlineStr">
        <is>
          <t>8.10.2026</t>
        </is>
      </c>
      <c r="G831" s="4" t="inlineStr">
        <is>
          <t>07:51</t>
        </is>
      </c>
      <c r="H831" s="4" t="inlineStr">
        <is>
          <t>8.10.2026</t>
        </is>
      </c>
      <c r="I831" s="4" t="inlineStr">
        <is>
          <t>17:33</t>
        </is>
      </c>
      <c r="J831" s="8" t="n">
        <v>8</v>
      </c>
      <c r="K831" s="8" t="n">
        <v>7.5</v>
      </c>
      <c r="L831" s="8" t="n">
        <v>0.5</v>
      </c>
      <c r="M831" s="29" t="inlineStr">
        <is>
          <t>HALİL DİĞRENCİ</t>
        </is>
      </c>
    </row>
    <row r="832">
      <c r="A832" s="4" t="n">
        <v>831</v>
      </c>
      <c r="B832" s="4" t="inlineStr">
        <is>
          <t>01399</t>
        </is>
      </c>
      <c r="C832" s="4" t="inlineStr">
        <is>
          <t>01399</t>
        </is>
      </c>
      <c r="D832" s="29" t="inlineStr">
        <is>
          <t>DÖNE BERBEROĞLU</t>
        </is>
      </c>
      <c r="E832" s="4" t="inlineStr">
        <is>
          <t>Cuma</t>
        </is>
      </c>
      <c r="F832" s="4" t="inlineStr">
        <is>
          <t>9.10.2026</t>
        </is>
      </c>
      <c r="G832" s="4" t="inlineStr">
        <is>
          <t>07:50</t>
        </is>
      </c>
      <c r="H832" s="4" t="inlineStr">
        <is>
          <t>9.10.2026</t>
        </is>
      </c>
      <c r="I832" s="4" t="inlineStr">
        <is>
          <t>17:41</t>
        </is>
      </c>
      <c r="J832" s="8" t="n">
        <v>8</v>
      </c>
      <c r="K832" s="8" t="n">
        <v>7.5</v>
      </c>
      <c r="L832" s="8" t="n">
        <v>0.5</v>
      </c>
      <c r="M832" s="29" t="inlineStr">
        <is>
          <t>HALİL DİĞRENCİ</t>
        </is>
      </c>
    </row>
    <row r="833">
      <c r="A833" s="4" t="n">
        <v>832</v>
      </c>
      <c r="B833" s="4" t="inlineStr">
        <is>
          <t>01399</t>
        </is>
      </c>
      <c r="C833" s="4" t="inlineStr">
        <is>
          <t>01399</t>
        </is>
      </c>
      <c r="D833" s="29" t="inlineStr">
        <is>
          <t>DÖNE BERBEROĞLU</t>
        </is>
      </c>
      <c r="E833" s="4" t="inlineStr">
        <is>
          <t>Cumartesi</t>
        </is>
      </c>
      <c r="F833" s="4" t="inlineStr">
        <is>
          <t>10.10.2026</t>
        </is>
      </c>
      <c r="G833" s="4" t="inlineStr">
        <is>
          <t>07:54</t>
        </is>
      </c>
      <c r="H833" s="4" t="inlineStr">
        <is>
          <t>10.10.2026</t>
        </is>
      </c>
      <c r="I833" s="4" t="inlineStr">
        <is>
          <t>18:09</t>
        </is>
      </c>
      <c r="J833" s="8" t="n">
        <v>8.5</v>
      </c>
      <c r="K833" s="8" t="n">
        <v>7.5</v>
      </c>
      <c r="L833" s="8" t="n">
        <v>1</v>
      </c>
      <c r="M833" s="29" t="inlineStr">
        <is>
          <t>HALİL DİĞRENCİ</t>
        </is>
      </c>
    </row>
    <row r="834">
      <c r="A834" s="4" t="n">
        <v>833</v>
      </c>
      <c r="B834" s="4" t="inlineStr">
        <is>
          <t>01399</t>
        </is>
      </c>
      <c r="C834" s="4" t="inlineStr">
        <is>
          <t>01399</t>
        </is>
      </c>
      <c r="D834" s="29" t="inlineStr">
        <is>
          <t>DÖNE BERBEROĞLU</t>
        </is>
      </c>
      <c r="E834" s="4" t="inlineStr">
        <is>
          <t>Pazartesi</t>
        </is>
      </c>
      <c r="F834" s="4" t="inlineStr">
        <is>
          <t>12.10.2026</t>
        </is>
      </c>
      <c r="G834" s="4" t="inlineStr">
        <is>
          <t>07:52</t>
        </is>
      </c>
      <c r="H834" s="4" t="inlineStr">
        <is>
          <t>12.10.2026</t>
        </is>
      </c>
      <c r="I834" s="4" t="inlineStr">
        <is>
          <t>17:00</t>
        </is>
      </c>
      <c r="J834" s="8" t="n">
        <v>7.5</v>
      </c>
      <c r="K834" s="8" t="n">
        <v>7.5</v>
      </c>
      <c r="L834" s="8" t="n">
        <v>0</v>
      </c>
      <c r="M834" s="29" t="inlineStr">
        <is>
          <t>HALİL DİĞRENCİ</t>
        </is>
      </c>
    </row>
    <row r="835">
      <c r="A835" s="4" t="n">
        <v>834</v>
      </c>
      <c r="B835" s="4" t="inlineStr">
        <is>
          <t>01399</t>
        </is>
      </c>
      <c r="C835" s="4" t="inlineStr">
        <is>
          <t>01399</t>
        </is>
      </c>
      <c r="D835" s="29" t="inlineStr">
        <is>
          <t>DÖNE BERBEROĞLU</t>
        </is>
      </c>
      <c r="E835" s="4" t="inlineStr">
        <is>
          <t>Salı</t>
        </is>
      </c>
      <c r="F835" s="4" t="inlineStr">
        <is>
          <t>13.10.2026</t>
        </is>
      </c>
      <c r="G835" s="4" t="inlineStr">
        <is>
          <t>07:48</t>
        </is>
      </c>
      <c r="H835" s="4" t="inlineStr">
        <is>
          <t>13.10.2026</t>
        </is>
      </c>
      <c r="I835" s="4" t="inlineStr">
        <is>
          <t>17:00</t>
        </is>
      </c>
      <c r="J835" s="8" t="n">
        <v>7.5</v>
      </c>
      <c r="K835" s="8" t="n">
        <v>7.5</v>
      </c>
      <c r="L835" s="8" t="n">
        <v>0</v>
      </c>
      <c r="M835" s="29" t="inlineStr">
        <is>
          <t>HALİL DİĞRENCİ</t>
        </is>
      </c>
    </row>
    <row r="836">
      <c r="A836" s="4" t="n">
        <v>835</v>
      </c>
      <c r="B836" s="4" t="inlineStr">
        <is>
          <t>01399</t>
        </is>
      </c>
      <c r="C836" s="4" t="inlineStr">
        <is>
          <t>01399</t>
        </is>
      </c>
      <c r="D836" s="29" t="inlineStr">
        <is>
          <t>DÖNE BERBEROĞLU</t>
        </is>
      </c>
      <c r="E836" s="4" t="inlineStr">
        <is>
          <t>Çarşamba</t>
        </is>
      </c>
      <c r="F836" s="4" t="inlineStr">
        <is>
          <t>14.10.2026</t>
        </is>
      </c>
      <c r="G836" s="4" t="inlineStr">
        <is>
          <t>07:51</t>
        </is>
      </c>
      <c r="H836" s="4" t="inlineStr">
        <is>
          <t>14.10.2026</t>
        </is>
      </c>
      <c r="I836" s="4" t="inlineStr">
        <is>
          <t>18:07</t>
        </is>
      </c>
      <c r="J836" s="8" t="n">
        <v>8.5</v>
      </c>
      <c r="K836" s="8" t="n">
        <v>7.5</v>
      </c>
      <c r="L836" s="8" t="n">
        <v>1</v>
      </c>
      <c r="M836" s="29" t="inlineStr">
        <is>
          <t>HALİL DİĞRENCİ</t>
        </is>
      </c>
    </row>
    <row r="837">
      <c r="A837" s="4" t="n">
        <v>836</v>
      </c>
      <c r="B837" s="4" t="inlineStr">
        <is>
          <t>01399</t>
        </is>
      </c>
      <c r="C837" s="4" t="inlineStr">
        <is>
          <t>01399</t>
        </is>
      </c>
      <c r="D837" s="29" t="inlineStr">
        <is>
          <t>DÖNE BERBEROĞLU</t>
        </is>
      </c>
      <c r="E837" s="4" t="inlineStr">
        <is>
          <t>Perşembe</t>
        </is>
      </c>
      <c r="F837" s="4" t="inlineStr">
        <is>
          <t>15.10.2026</t>
        </is>
      </c>
      <c r="G837" s="4" t="inlineStr">
        <is>
          <t>07:53</t>
        </is>
      </c>
      <c r="H837" s="4" t="inlineStr">
        <is>
          <t>15.10.2026</t>
        </is>
      </c>
      <c r="I837" s="4" t="inlineStr">
        <is>
          <t>17:03</t>
        </is>
      </c>
      <c r="J837" s="8" t="n">
        <v>7.5</v>
      </c>
      <c r="K837" s="8" t="n">
        <v>7.5</v>
      </c>
      <c r="L837" s="8" t="n">
        <v>0</v>
      </c>
      <c r="M837" s="29" t="inlineStr">
        <is>
          <t>HALİL DİĞRENCİ</t>
        </is>
      </c>
    </row>
    <row r="838">
      <c r="A838" s="4" t="n">
        <v>837</v>
      </c>
      <c r="B838" s="4" t="inlineStr">
        <is>
          <t>01399</t>
        </is>
      </c>
      <c r="C838" s="4" t="inlineStr">
        <is>
          <t>01399</t>
        </is>
      </c>
      <c r="D838" s="29" t="inlineStr">
        <is>
          <t>DÖNE BERBEROĞLU</t>
        </is>
      </c>
      <c r="E838" s="4" t="inlineStr">
        <is>
          <t>Cuma</t>
        </is>
      </c>
      <c r="F838" s="4" t="inlineStr">
        <is>
          <t>16.10.2026</t>
        </is>
      </c>
      <c r="G838" s="4" t="inlineStr">
        <is>
          <t>07:49</t>
        </is>
      </c>
      <c r="H838" s="4" t="inlineStr">
        <is>
          <t>16.10.2026</t>
        </is>
      </c>
      <c r="I838" s="4" t="inlineStr">
        <is>
          <t>17:15</t>
        </is>
      </c>
      <c r="J838" s="8" t="n">
        <v>7.5</v>
      </c>
      <c r="K838" s="8" t="n">
        <v>7.5</v>
      </c>
      <c r="L838" s="8" t="n">
        <v>0</v>
      </c>
      <c r="M838" s="29" t="inlineStr">
        <is>
          <t>HALİL DİĞRENCİ</t>
        </is>
      </c>
    </row>
    <row r="839">
      <c r="A839" s="4" t="n">
        <v>838</v>
      </c>
      <c r="B839" s="4" t="inlineStr">
        <is>
          <t>01399</t>
        </is>
      </c>
      <c r="C839" s="4" t="inlineStr">
        <is>
          <t>01399</t>
        </is>
      </c>
      <c r="D839" s="29" t="inlineStr">
        <is>
          <t>DÖNE BERBEROĞLU</t>
        </is>
      </c>
      <c r="E839" s="4" t="inlineStr">
        <is>
          <t>Cumartesi</t>
        </is>
      </c>
      <c r="F839" s="4" t="inlineStr">
        <is>
          <t>17.10.2026</t>
        </is>
      </c>
      <c r="G839" s="4" t="inlineStr">
        <is>
          <t>07:58</t>
        </is>
      </c>
      <c r="H839" s="4" t="inlineStr">
        <is>
          <t>17.10.2026</t>
        </is>
      </c>
      <c r="I839" s="4" t="inlineStr">
        <is>
          <t>17:50</t>
        </is>
      </c>
      <c r="J839" s="8" t="n">
        <v>8.5</v>
      </c>
      <c r="K839" s="8" t="n">
        <v>7.5</v>
      </c>
      <c r="L839" s="8" t="n">
        <v>1</v>
      </c>
      <c r="M839" s="29" t="inlineStr">
        <is>
          <t>HALİL DİĞRENCİ</t>
        </is>
      </c>
    </row>
    <row r="840">
      <c r="A840" s="4" t="n">
        <v>839</v>
      </c>
      <c r="B840" s="4" t="inlineStr">
        <is>
          <t>01399</t>
        </is>
      </c>
      <c r="C840" s="4" t="inlineStr">
        <is>
          <t>01399</t>
        </is>
      </c>
      <c r="D840" s="29" t="inlineStr">
        <is>
          <t>DÖNE BERBEROĞLU</t>
        </is>
      </c>
      <c r="E840" s="4" t="inlineStr">
        <is>
          <t>Pazartesi</t>
        </is>
      </c>
      <c r="F840" s="4" t="inlineStr">
        <is>
          <t>19.10.2026</t>
        </is>
      </c>
      <c r="G840" s="4" t="inlineStr">
        <is>
          <t>07:51</t>
        </is>
      </c>
      <c r="H840" s="4" t="inlineStr">
        <is>
          <t>19.10.2026</t>
        </is>
      </c>
      <c r="I840" s="4" t="inlineStr">
        <is>
          <t>17:43</t>
        </is>
      </c>
      <c r="J840" s="8" t="n">
        <v>8</v>
      </c>
      <c r="K840" s="8" t="n">
        <v>7.5</v>
      </c>
      <c r="L840" s="8" t="n">
        <v>0.5</v>
      </c>
      <c r="M840" s="29" t="inlineStr">
        <is>
          <t>HALİL DİĞRENCİ</t>
        </is>
      </c>
    </row>
    <row r="841">
      <c r="A841" s="4" t="n">
        <v>840</v>
      </c>
      <c r="B841" s="4" t="inlineStr">
        <is>
          <t>01399</t>
        </is>
      </c>
      <c r="C841" s="4" t="inlineStr">
        <is>
          <t>01399</t>
        </is>
      </c>
      <c r="D841" s="29" t="inlineStr">
        <is>
          <t>DÖNE BERBEROĞLU</t>
        </is>
      </c>
      <c r="E841" s="4" t="inlineStr">
        <is>
          <t>Salı</t>
        </is>
      </c>
      <c r="F841" s="4" t="inlineStr">
        <is>
          <t>20.10.2026</t>
        </is>
      </c>
      <c r="G841" s="4" t="inlineStr">
        <is>
          <t>07:49</t>
        </is>
      </c>
      <c r="H841" s="4" t="inlineStr">
        <is>
          <t>20.10.2026</t>
        </is>
      </c>
      <c r="I841" s="4" t="inlineStr">
        <is>
          <t>17:00</t>
        </is>
      </c>
      <c r="J841" s="8" t="n">
        <v>7.5</v>
      </c>
      <c r="K841" s="8" t="n">
        <v>7.5</v>
      </c>
      <c r="L841" s="8" t="n">
        <v>0</v>
      </c>
      <c r="M841" s="29" t="inlineStr">
        <is>
          <t>HALİL DİĞRENCİ</t>
        </is>
      </c>
    </row>
    <row r="842">
      <c r="A842" s="4" t="n">
        <v>841</v>
      </c>
      <c r="B842" s="4" t="inlineStr">
        <is>
          <t>01399</t>
        </is>
      </c>
      <c r="C842" s="4" t="inlineStr">
        <is>
          <t>01399</t>
        </is>
      </c>
      <c r="D842" s="29" t="inlineStr">
        <is>
          <t>DÖNE BERBEROĞLU</t>
        </is>
      </c>
      <c r="E842" s="4" t="inlineStr">
        <is>
          <t>Çarşamba</t>
        </is>
      </c>
      <c r="F842" s="4" t="inlineStr">
        <is>
          <t>21.10.2026</t>
        </is>
      </c>
      <c r="G842" s="4" t="inlineStr">
        <is>
          <t>07:50</t>
        </is>
      </c>
      <c r="H842" s="4" t="inlineStr">
        <is>
          <t>21.10.2026</t>
        </is>
      </c>
      <c r="I842" s="4" t="inlineStr">
        <is>
          <t>17:01</t>
        </is>
      </c>
      <c r="J842" s="8" t="n">
        <v>7.5</v>
      </c>
      <c r="K842" s="8" t="n">
        <v>7.5</v>
      </c>
      <c r="L842" s="8" t="n">
        <v>0</v>
      </c>
      <c r="M842" s="29" t="inlineStr">
        <is>
          <t>HALİL DİĞRENCİ</t>
        </is>
      </c>
    </row>
    <row r="843">
      <c r="A843" s="4" t="n">
        <v>842</v>
      </c>
      <c r="B843" s="4" t="inlineStr">
        <is>
          <t>01098</t>
        </is>
      </c>
      <c r="C843" s="4" t="inlineStr">
        <is>
          <t>01098</t>
        </is>
      </c>
      <c r="D843" s="29" t="inlineStr">
        <is>
          <t>DUDU ÖRENGÜL</t>
        </is>
      </c>
      <c r="E843" s="4" t="inlineStr">
        <is>
          <t>Perşembe</t>
        </is>
      </c>
      <c r="F843" s="4" t="inlineStr">
        <is>
          <t>1.10.2026</t>
        </is>
      </c>
      <c r="G843" s="4" t="inlineStr">
        <is>
          <t>07:56</t>
        </is>
      </c>
      <c r="H843" s="4" t="inlineStr">
        <is>
          <t>1.10.2026</t>
        </is>
      </c>
      <c r="I843" s="4" t="inlineStr">
        <is>
          <t>17:32</t>
        </is>
      </c>
      <c r="J843" s="8" t="n">
        <v>8</v>
      </c>
      <c r="K843" s="8" t="n">
        <v>7.5</v>
      </c>
      <c r="L843" s="8" t="n">
        <v>0.5</v>
      </c>
      <c r="M843" s="29" t="inlineStr">
        <is>
          <t>GÜVEN MUSTAFAKEMALPAŞA</t>
        </is>
      </c>
    </row>
    <row r="844">
      <c r="A844" s="4" t="n">
        <v>843</v>
      </c>
      <c r="B844" s="4" t="inlineStr">
        <is>
          <t>01098</t>
        </is>
      </c>
      <c r="C844" s="4" t="inlineStr">
        <is>
          <t>01098</t>
        </is>
      </c>
      <c r="D844" s="29" t="inlineStr">
        <is>
          <t>DUDU ÖRENGÜL</t>
        </is>
      </c>
      <c r="E844" s="4" t="inlineStr">
        <is>
          <t>Cuma</t>
        </is>
      </c>
      <c r="F844" s="4" t="inlineStr">
        <is>
          <t>2.10.2026</t>
        </is>
      </c>
      <c r="G844" s="4" t="inlineStr">
        <is>
          <t>07:52</t>
        </is>
      </c>
      <c r="H844" s="4" t="inlineStr">
        <is>
          <t>2.10.2026</t>
        </is>
      </c>
      <c r="I844" s="4" t="inlineStr">
        <is>
          <t>20:02</t>
        </is>
      </c>
      <c r="J844" s="8" t="n">
        <v>10.5</v>
      </c>
      <c r="K844" s="8" t="n">
        <v>7.5</v>
      </c>
      <c r="L844" s="8" t="n">
        <v>3</v>
      </c>
      <c r="M844" s="29" t="inlineStr">
        <is>
          <t>GÜVEN MUSTAFAKEMALPAŞA</t>
        </is>
      </c>
    </row>
    <row r="845">
      <c r="A845" s="4" t="n">
        <v>844</v>
      </c>
      <c r="B845" s="4" t="inlineStr">
        <is>
          <t>01098</t>
        </is>
      </c>
      <c r="C845" s="4" t="inlineStr">
        <is>
          <t>01098</t>
        </is>
      </c>
      <c r="D845" s="29" t="inlineStr">
        <is>
          <t>DUDU ÖRENGÜL</t>
        </is>
      </c>
      <c r="E845" s="4" t="inlineStr">
        <is>
          <t>Cumartesi</t>
        </is>
      </c>
      <c r="F845" s="4" t="inlineStr">
        <is>
          <t>3.10.2026</t>
        </is>
      </c>
      <c r="G845" s="4" t="inlineStr">
        <is>
          <t>07:50</t>
        </is>
      </c>
      <c r="H845" s="4" t="inlineStr">
        <is>
          <t>3.10.2026</t>
        </is>
      </c>
      <c r="I845" s="4" t="inlineStr">
        <is>
          <t>19:59</t>
        </is>
      </c>
      <c r="J845" s="8" t="n">
        <v>10.5</v>
      </c>
      <c r="K845" s="8" t="n">
        <v>7.5</v>
      </c>
      <c r="L845" s="8" t="n">
        <v>3</v>
      </c>
      <c r="M845" s="29" t="inlineStr">
        <is>
          <t>GÜVEN MUSTAFAKEMALPAŞA</t>
        </is>
      </c>
    </row>
    <row r="846">
      <c r="A846" s="4" t="n">
        <v>845</v>
      </c>
      <c r="B846" s="4" t="inlineStr">
        <is>
          <t>01098</t>
        </is>
      </c>
      <c r="C846" s="4" t="inlineStr">
        <is>
          <t>01098</t>
        </is>
      </c>
      <c r="D846" s="29" t="inlineStr">
        <is>
          <t>DUDU ÖRENGÜL</t>
        </is>
      </c>
      <c r="E846" s="4" t="inlineStr">
        <is>
          <t>Pazartesi</t>
        </is>
      </c>
      <c r="F846" s="4" t="inlineStr">
        <is>
          <t>5.10.2026</t>
        </is>
      </c>
      <c r="G846" s="4" t="inlineStr">
        <is>
          <t>07:49</t>
        </is>
      </c>
      <c r="H846" s="4" t="inlineStr">
        <is>
          <t>5.10.2026</t>
        </is>
      </c>
      <c r="I846" s="4" t="inlineStr">
        <is>
          <t>19:02</t>
        </is>
      </c>
      <c r="J846" s="8" t="n">
        <v>9.5</v>
      </c>
      <c r="K846" s="8" t="n">
        <v>7.5</v>
      </c>
      <c r="L846" s="8" t="n">
        <v>2</v>
      </c>
      <c r="M846" s="29" t="inlineStr">
        <is>
          <t>GÜVEN MUSTAFAKEMALPAŞA</t>
        </is>
      </c>
    </row>
    <row r="847">
      <c r="A847" s="4" t="n">
        <v>846</v>
      </c>
      <c r="B847" s="4" t="inlineStr">
        <is>
          <t>01098</t>
        </is>
      </c>
      <c r="C847" s="4" t="inlineStr">
        <is>
          <t>01098</t>
        </is>
      </c>
      <c r="D847" s="29" t="inlineStr">
        <is>
          <t>DUDU ÖRENGÜL</t>
        </is>
      </c>
      <c r="E847" s="4" t="inlineStr">
        <is>
          <t>Salı</t>
        </is>
      </c>
      <c r="F847" s="4" t="inlineStr">
        <is>
          <t>6.10.2026</t>
        </is>
      </c>
      <c r="G847" s="4" t="inlineStr">
        <is>
          <t>07:59</t>
        </is>
      </c>
      <c r="H847" s="4" t="inlineStr">
        <is>
          <t>6.10.2026</t>
        </is>
      </c>
      <c r="I847" s="4" t="inlineStr">
        <is>
          <t>19:24</t>
        </is>
      </c>
      <c r="J847" s="8" t="n">
        <v>10</v>
      </c>
      <c r="K847" s="8" t="n">
        <v>7.5</v>
      </c>
      <c r="L847" s="8" t="n">
        <v>2.5</v>
      </c>
      <c r="M847" s="29" t="inlineStr">
        <is>
          <t>GÜVEN MUSTAFAKEMALPAŞA</t>
        </is>
      </c>
    </row>
    <row r="848">
      <c r="A848" s="4" t="n">
        <v>847</v>
      </c>
      <c r="B848" s="4" t="inlineStr">
        <is>
          <t>01098</t>
        </is>
      </c>
      <c r="C848" s="4" t="inlineStr">
        <is>
          <t>01098</t>
        </is>
      </c>
      <c r="D848" s="29" t="inlineStr">
        <is>
          <t>DUDU ÖRENGÜL</t>
        </is>
      </c>
      <c r="E848" s="4" t="inlineStr">
        <is>
          <t>Çarşamba</t>
        </is>
      </c>
      <c r="F848" s="4" t="inlineStr">
        <is>
          <t>7.10.2026</t>
        </is>
      </c>
      <c r="G848" s="4" t="inlineStr">
        <is>
          <t>07:53</t>
        </is>
      </c>
      <c r="H848" s="4" t="inlineStr">
        <is>
          <t>7.10.2026</t>
        </is>
      </c>
      <c r="I848" s="4" t="inlineStr">
        <is>
          <t>17:33</t>
        </is>
      </c>
      <c r="J848" s="8" t="n">
        <v>8</v>
      </c>
      <c r="K848" s="8" t="n">
        <v>7.5</v>
      </c>
      <c r="L848" s="8" t="n">
        <v>0.5</v>
      </c>
      <c r="M848" s="29" t="inlineStr">
        <is>
          <t>GÜVEN MUSTAFAKEMALPAŞA</t>
        </is>
      </c>
    </row>
    <row r="849">
      <c r="A849" s="4" t="n">
        <v>848</v>
      </c>
      <c r="B849" s="4" t="inlineStr">
        <is>
          <t>01098</t>
        </is>
      </c>
      <c r="C849" s="4" t="inlineStr">
        <is>
          <t>01098</t>
        </is>
      </c>
      <c r="D849" s="29" t="inlineStr">
        <is>
          <t>DUDU ÖRENGÜL</t>
        </is>
      </c>
      <c r="E849" s="4" t="inlineStr">
        <is>
          <t>Perşembe</t>
        </is>
      </c>
      <c r="F849" s="4" t="inlineStr">
        <is>
          <t>8.10.2026</t>
        </is>
      </c>
      <c r="G849" s="4" t="inlineStr">
        <is>
          <t>07:43</t>
        </is>
      </c>
      <c r="H849" s="4" t="inlineStr">
        <is>
          <t>8.10.2026</t>
        </is>
      </c>
      <c r="I849" s="4" t="inlineStr">
        <is>
          <t>17:35</t>
        </is>
      </c>
      <c r="J849" s="8" t="n">
        <v>8</v>
      </c>
      <c r="K849" s="8" t="n">
        <v>7.5</v>
      </c>
      <c r="L849" s="8" t="n">
        <v>0.5</v>
      </c>
      <c r="M849" s="29" t="inlineStr">
        <is>
          <t>GÜVEN MUSTAFAKEMALPAŞA</t>
        </is>
      </c>
    </row>
    <row r="850">
      <c r="A850" s="4" t="n">
        <v>849</v>
      </c>
      <c r="B850" s="4" t="inlineStr">
        <is>
          <t>01098</t>
        </is>
      </c>
      <c r="C850" s="4" t="inlineStr">
        <is>
          <t>01098</t>
        </is>
      </c>
      <c r="D850" s="29" t="inlineStr">
        <is>
          <t>DUDU ÖRENGÜL</t>
        </is>
      </c>
      <c r="E850" s="4" t="inlineStr">
        <is>
          <t>Cuma</t>
        </is>
      </c>
      <c r="F850" s="4" t="inlineStr">
        <is>
          <t>9.10.2026</t>
        </is>
      </c>
      <c r="G850" s="4" t="inlineStr">
        <is>
          <t>07:49</t>
        </is>
      </c>
      <c r="H850" s="4" t="inlineStr">
        <is>
          <t>9.10.2026</t>
        </is>
      </c>
      <c r="I850" s="4" t="inlineStr">
        <is>
          <t>17:45</t>
        </is>
      </c>
      <c r="J850" s="8" t="n">
        <v>8.5</v>
      </c>
      <c r="K850" s="8" t="n">
        <v>7.5</v>
      </c>
      <c r="L850" s="8" t="n">
        <v>1</v>
      </c>
      <c r="M850" s="29" t="inlineStr">
        <is>
          <t>GÜVEN MUSTAFAKEMALPAŞA</t>
        </is>
      </c>
    </row>
    <row r="851">
      <c r="A851" s="4" t="n">
        <v>850</v>
      </c>
      <c r="B851" s="4" t="inlineStr">
        <is>
          <t>01098</t>
        </is>
      </c>
      <c r="C851" s="4" t="inlineStr">
        <is>
          <t>01098</t>
        </is>
      </c>
      <c r="D851" s="29" t="inlineStr">
        <is>
          <t>DUDU ÖRENGÜL</t>
        </is>
      </c>
      <c r="E851" s="4" t="inlineStr">
        <is>
          <t>Cumartesi</t>
        </is>
      </c>
      <c r="F851" s="4" t="inlineStr">
        <is>
          <t>10.10.2026</t>
        </is>
      </c>
      <c r="G851" s="4" t="inlineStr">
        <is>
          <t>07:49</t>
        </is>
      </c>
      <c r="H851" s="4" t="inlineStr">
        <is>
          <t>10.10.2026</t>
        </is>
      </c>
      <c r="I851" s="4" t="inlineStr">
        <is>
          <t>18:17</t>
        </is>
      </c>
      <c r="J851" s="8" t="n">
        <v>8.5</v>
      </c>
      <c r="K851" s="8" t="n">
        <v>7.5</v>
      </c>
      <c r="L851" s="8" t="n">
        <v>1</v>
      </c>
      <c r="M851" s="29" t="inlineStr">
        <is>
          <t>GÜVEN MUSTAFAKEMALPAŞA</t>
        </is>
      </c>
    </row>
    <row r="852">
      <c r="A852" s="4" t="n">
        <v>851</v>
      </c>
      <c r="B852" s="4" t="inlineStr">
        <is>
          <t>01098</t>
        </is>
      </c>
      <c r="C852" s="4" t="inlineStr">
        <is>
          <t>01098</t>
        </is>
      </c>
      <c r="D852" s="29" t="inlineStr">
        <is>
          <t>DUDU ÖRENGÜL</t>
        </is>
      </c>
      <c r="E852" s="4" t="inlineStr">
        <is>
          <t>Pazartesi</t>
        </is>
      </c>
      <c r="F852" s="4" t="inlineStr">
        <is>
          <t>12.10.2026</t>
        </is>
      </c>
      <c r="G852" s="4" t="inlineStr">
        <is>
          <t>09:52</t>
        </is>
      </c>
      <c r="H852" s="4" t="inlineStr">
        <is>
          <t>12.10.2026</t>
        </is>
      </c>
      <c r="I852" s="4" t="inlineStr">
        <is>
          <t>17:06</t>
        </is>
      </c>
      <c r="J852" s="8" t="n">
        <v>5.5</v>
      </c>
      <c r="K852" s="8" t="n">
        <v>5.5</v>
      </c>
      <c r="L852" s="8" t="n">
        <v>0</v>
      </c>
      <c r="M852" s="29" t="inlineStr">
        <is>
          <t>GÜVEN MUSTAFAKEMALPAŞA</t>
        </is>
      </c>
    </row>
    <row r="853">
      <c r="A853" s="4" t="n">
        <v>852</v>
      </c>
      <c r="B853" s="4" t="inlineStr">
        <is>
          <t>01098</t>
        </is>
      </c>
      <c r="C853" s="4" t="inlineStr">
        <is>
          <t>01098</t>
        </is>
      </c>
      <c r="D853" s="29" t="inlineStr">
        <is>
          <t>DUDU ÖRENGÜL</t>
        </is>
      </c>
      <c r="E853" s="4" t="inlineStr">
        <is>
          <t>Salı</t>
        </is>
      </c>
      <c r="F853" s="4" t="inlineStr">
        <is>
          <t>13.10.2026</t>
        </is>
      </c>
      <c r="G853" s="4" t="inlineStr">
        <is>
          <t>07:51</t>
        </is>
      </c>
      <c r="H853" s="4" t="inlineStr">
        <is>
          <t>13.10.2026</t>
        </is>
      </c>
      <c r="I853" s="4" t="inlineStr">
        <is>
          <t>17:05</t>
        </is>
      </c>
      <c r="J853" s="8" t="n">
        <v>7.5</v>
      </c>
      <c r="K853" s="8" t="n">
        <v>7.5</v>
      </c>
      <c r="L853" s="8" t="n">
        <v>0</v>
      </c>
      <c r="M853" s="29" t="inlineStr">
        <is>
          <t>GÜVEN MUSTAFAKEMALPAŞA</t>
        </is>
      </c>
    </row>
    <row r="854">
      <c r="A854" s="4" t="n">
        <v>853</v>
      </c>
      <c r="B854" s="4" t="inlineStr">
        <is>
          <t>01098</t>
        </is>
      </c>
      <c r="C854" s="4" t="inlineStr">
        <is>
          <t>01098</t>
        </is>
      </c>
      <c r="D854" s="29" t="inlineStr">
        <is>
          <t>DUDU ÖRENGÜL</t>
        </is>
      </c>
      <c r="E854" s="4" t="inlineStr">
        <is>
          <t>Çarşamba</t>
        </is>
      </c>
      <c r="F854" s="4" t="inlineStr">
        <is>
          <t>14.10.2026</t>
        </is>
      </c>
      <c r="G854" s="4" t="inlineStr">
        <is>
          <t>07:50</t>
        </is>
      </c>
      <c r="H854" s="4" t="inlineStr">
        <is>
          <t>14.10.2026</t>
        </is>
      </c>
      <c r="I854" s="4" t="inlineStr">
        <is>
          <t>18:22</t>
        </is>
      </c>
      <c r="J854" s="8" t="n">
        <v>9</v>
      </c>
      <c r="K854" s="8" t="n">
        <v>7.5</v>
      </c>
      <c r="L854" s="8" t="n">
        <v>1.5</v>
      </c>
      <c r="M854" s="29" t="inlineStr">
        <is>
          <t>GÜVEN MUSTAFAKEMALPAŞA</t>
        </is>
      </c>
    </row>
    <row r="855">
      <c r="A855" s="4" t="n">
        <v>854</v>
      </c>
      <c r="B855" s="4" t="inlineStr">
        <is>
          <t>01098</t>
        </is>
      </c>
      <c r="C855" s="4" t="inlineStr">
        <is>
          <t>01098</t>
        </is>
      </c>
      <c r="D855" s="29" t="inlineStr">
        <is>
          <t>DUDU ÖRENGÜL</t>
        </is>
      </c>
      <c r="E855" s="4" t="inlineStr">
        <is>
          <t>Perşembe</t>
        </is>
      </c>
      <c r="F855" s="4" t="inlineStr">
        <is>
          <t>15.10.2026</t>
        </is>
      </c>
      <c r="G855" s="4" t="inlineStr">
        <is>
          <t>07:54</t>
        </is>
      </c>
      <c r="H855" s="4" t="inlineStr">
        <is>
          <t>15.10.2026</t>
        </is>
      </c>
      <c r="I855" s="4" t="inlineStr">
        <is>
          <t>17:05</t>
        </is>
      </c>
      <c r="J855" s="8" t="n">
        <v>7.5</v>
      </c>
      <c r="K855" s="8" t="n">
        <v>7.5</v>
      </c>
      <c r="L855" s="8" t="n">
        <v>0</v>
      </c>
      <c r="M855" s="29" t="inlineStr">
        <is>
          <t>GÜVEN MUSTAFAKEMALPAŞA</t>
        </is>
      </c>
    </row>
    <row r="856">
      <c r="A856" s="4" t="n">
        <v>855</v>
      </c>
      <c r="B856" s="4" t="inlineStr">
        <is>
          <t>01098</t>
        </is>
      </c>
      <c r="C856" s="4" t="inlineStr">
        <is>
          <t>01098</t>
        </is>
      </c>
      <c r="D856" s="29" t="inlineStr">
        <is>
          <t>DUDU ÖRENGÜL</t>
        </is>
      </c>
      <c r="E856" s="4" t="inlineStr">
        <is>
          <t>Cuma</t>
        </is>
      </c>
      <c r="F856" s="4" t="inlineStr">
        <is>
          <t>16.10.2026</t>
        </is>
      </c>
      <c r="G856" s="4" t="inlineStr">
        <is>
          <t>07:51</t>
        </is>
      </c>
      <c r="H856" s="4" t="inlineStr">
        <is>
          <t>16.10.2026</t>
        </is>
      </c>
      <c r="I856" s="4" t="inlineStr">
        <is>
          <t>17:22</t>
        </is>
      </c>
      <c r="J856" s="8" t="n">
        <v>8</v>
      </c>
      <c r="K856" s="8" t="n">
        <v>7.5</v>
      </c>
      <c r="L856" s="8" t="n">
        <v>0.5</v>
      </c>
      <c r="M856" s="29" t="inlineStr">
        <is>
          <t>GÜVEN MUSTAFAKEMALPAŞA</t>
        </is>
      </c>
    </row>
    <row r="857">
      <c r="A857" s="4" t="n">
        <v>856</v>
      </c>
      <c r="B857" s="4" t="inlineStr">
        <is>
          <t>01098</t>
        </is>
      </c>
      <c r="C857" s="4" t="inlineStr">
        <is>
          <t>01098</t>
        </is>
      </c>
      <c r="D857" s="29" t="inlineStr">
        <is>
          <t>DUDU ÖRENGÜL</t>
        </is>
      </c>
      <c r="E857" s="4" t="inlineStr">
        <is>
          <t>Cumartesi</t>
        </is>
      </c>
      <c r="F857" s="4" t="inlineStr">
        <is>
          <t>17.10.2026</t>
        </is>
      </c>
      <c r="G857" s="4" t="inlineStr">
        <is>
          <t>07:53</t>
        </is>
      </c>
      <c r="H857" s="4" t="inlineStr">
        <is>
          <t>17.10.2026</t>
        </is>
      </c>
      <c r="I857" s="4" t="inlineStr">
        <is>
          <t>17:48</t>
        </is>
      </c>
      <c r="J857" s="8" t="n">
        <v>8.5</v>
      </c>
      <c r="K857" s="8" t="n">
        <v>7.5</v>
      </c>
      <c r="L857" s="8" t="n">
        <v>1</v>
      </c>
      <c r="M857" s="29" t="inlineStr">
        <is>
          <t>GÜVEN MUSTAFAKEMALPAŞA</t>
        </is>
      </c>
    </row>
    <row r="858">
      <c r="A858" s="4" t="n">
        <v>857</v>
      </c>
      <c r="B858" s="4" t="inlineStr">
        <is>
          <t>01098</t>
        </is>
      </c>
      <c r="C858" s="4" t="inlineStr">
        <is>
          <t>01098</t>
        </is>
      </c>
      <c r="D858" s="29" t="inlineStr">
        <is>
          <t>DUDU ÖRENGÜL</t>
        </is>
      </c>
      <c r="E858" s="4" t="inlineStr">
        <is>
          <t>Pazartesi</t>
        </is>
      </c>
      <c r="F858" s="4" t="inlineStr">
        <is>
          <t>19.10.2026</t>
        </is>
      </c>
      <c r="G858" s="4" t="inlineStr">
        <is>
          <t>07:51</t>
        </is>
      </c>
      <c r="H858" s="4" t="inlineStr">
        <is>
          <t>19.10.2026</t>
        </is>
      </c>
      <c r="I858" s="4" t="inlineStr">
        <is>
          <t>16:26</t>
        </is>
      </c>
      <c r="J858" s="8" t="n">
        <v>7</v>
      </c>
      <c r="K858" s="8" t="n">
        <v>7</v>
      </c>
      <c r="L858" s="8" t="n">
        <v>0</v>
      </c>
      <c r="M858" s="29" t="inlineStr">
        <is>
          <t>GÜVEN MUSTAFAKEMALPAŞA</t>
        </is>
      </c>
    </row>
    <row r="859">
      <c r="A859" s="4" t="n">
        <v>858</v>
      </c>
      <c r="B859" s="4" t="inlineStr">
        <is>
          <t>01098</t>
        </is>
      </c>
      <c r="C859" s="4" t="inlineStr">
        <is>
          <t>01098</t>
        </is>
      </c>
      <c r="D859" s="29" t="inlineStr">
        <is>
          <t>DUDU ÖRENGÜL</t>
        </is>
      </c>
      <c r="E859" s="4" t="inlineStr">
        <is>
          <t>Salı</t>
        </is>
      </c>
      <c r="F859" s="4" t="inlineStr">
        <is>
          <t>20.10.2026</t>
        </is>
      </c>
      <c r="G859" s="4" t="inlineStr">
        <is>
          <t>07:52</t>
        </is>
      </c>
      <c r="H859" s="4" t="inlineStr">
        <is>
          <t>20.10.2026</t>
        </is>
      </c>
      <c r="I859" s="4" t="inlineStr">
        <is>
          <t>19:03</t>
        </is>
      </c>
      <c r="J859" s="8" t="n">
        <v>9.5</v>
      </c>
      <c r="K859" s="8" t="n">
        <v>7.5</v>
      </c>
      <c r="L859" s="8" t="n">
        <v>2</v>
      </c>
      <c r="M859" s="29" t="inlineStr">
        <is>
          <t>GÜVEN MUSTAFAKEMALPAŞA</t>
        </is>
      </c>
    </row>
    <row r="860">
      <c r="A860" s="4" t="n">
        <v>859</v>
      </c>
      <c r="B860" s="4" t="inlineStr">
        <is>
          <t>01098</t>
        </is>
      </c>
      <c r="C860" s="4" t="inlineStr">
        <is>
          <t>01098</t>
        </is>
      </c>
      <c r="D860" s="29" t="inlineStr">
        <is>
          <t>DUDU ÖRENGÜL</t>
        </is>
      </c>
      <c r="E860" s="4" t="inlineStr">
        <is>
          <t>Çarşamba</t>
        </is>
      </c>
      <c r="F860" s="4" t="inlineStr">
        <is>
          <t>21.10.2026</t>
        </is>
      </c>
      <c r="G860" s="4" t="inlineStr">
        <is>
          <t>07:48</t>
        </is>
      </c>
      <c r="H860" s="4" t="inlineStr">
        <is>
          <t>21.10.2026</t>
        </is>
      </c>
      <c r="I860" s="4" t="inlineStr">
        <is>
          <t>17:07</t>
        </is>
      </c>
      <c r="J860" s="8" t="n">
        <v>7.5</v>
      </c>
      <c r="K860" s="8" t="n">
        <v>7.5</v>
      </c>
      <c r="L860" s="8" t="n">
        <v>0</v>
      </c>
      <c r="M860" s="29" t="inlineStr">
        <is>
          <t>GÜVEN MUSTAFAKEMALPAŞA</t>
        </is>
      </c>
    </row>
    <row r="861">
      <c r="A861" s="4" t="n">
        <v>860</v>
      </c>
      <c r="B861" s="4" t="inlineStr">
        <is>
          <t>00872</t>
        </is>
      </c>
      <c r="C861" s="4" t="inlineStr">
        <is>
          <t>00872</t>
        </is>
      </c>
      <c r="D861" s="29" t="inlineStr">
        <is>
          <t>EBRU ÖÖZALP</t>
        </is>
      </c>
      <c r="E861" s="4" t="inlineStr">
        <is>
          <t>Perşembe</t>
        </is>
      </c>
      <c r="F861" s="4" t="inlineStr">
        <is>
          <t>1.10.2026</t>
        </is>
      </c>
      <c r="G861" s="4" t="inlineStr">
        <is>
          <t>07:51</t>
        </is>
      </c>
      <c r="H861" s="4" t="inlineStr">
        <is>
          <t>1.10.2026</t>
        </is>
      </c>
      <c r="I861" s="4" t="inlineStr">
        <is>
          <t>17:27</t>
        </is>
      </c>
      <c r="J861" s="8" t="n">
        <v>8</v>
      </c>
      <c r="K861" s="8" t="n">
        <v>7.5</v>
      </c>
      <c r="L861" s="8" t="n">
        <v>0.5</v>
      </c>
      <c r="M861" s="29" t="inlineStr">
        <is>
          <t>BALIKESİR</t>
        </is>
      </c>
    </row>
    <row r="862">
      <c r="A862" s="4" t="n">
        <v>861</v>
      </c>
      <c r="B862" s="4" t="inlineStr">
        <is>
          <t>00872</t>
        </is>
      </c>
      <c r="C862" s="4" t="inlineStr">
        <is>
          <t>00872</t>
        </is>
      </c>
      <c r="D862" s="29" t="inlineStr">
        <is>
          <t>EBRU ÖÖZALP</t>
        </is>
      </c>
      <c r="E862" s="4" t="inlineStr">
        <is>
          <t>Cuma</t>
        </is>
      </c>
      <c r="F862" s="4" t="inlineStr">
        <is>
          <t>2.10.2026</t>
        </is>
      </c>
      <c r="G862" s="4" t="inlineStr">
        <is>
          <t>07:56</t>
        </is>
      </c>
      <c r="H862" s="4" t="inlineStr">
        <is>
          <t>2.10.2026</t>
        </is>
      </c>
      <c r="I862" s="4" t="inlineStr">
        <is>
          <t>17:45</t>
        </is>
      </c>
      <c r="J862" s="8" t="n">
        <v>8.5</v>
      </c>
      <c r="K862" s="8" t="n">
        <v>7.5</v>
      </c>
      <c r="L862" s="8" t="n">
        <v>1</v>
      </c>
      <c r="M862" s="29" t="inlineStr">
        <is>
          <t>BALIKESİR</t>
        </is>
      </c>
    </row>
    <row r="863">
      <c r="A863" s="4" t="n">
        <v>862</v>
      </c>
      <c r="B863" s="4" t="inlineStr">
        <is>
          <t>00872</t>
        </is>
      </c>
      <c r="C863" s="4" t="inlineStr">
        <is>
          <t>00872</t>
        </is>
      </c>
      <c r="D863" s="29" t="inlineStr">
        <is>
          <t>EBRU ÖÖZALP</t>
        </is>
      </c>
      <c r="E863" s="4" t="inlineStr">
        <is>
          <t>Cumartesi</t>
        </is>
      </c>
      <c r="F863" s="4" t="inlineStr">
        <is>
          <t>3.10.2026</t>
        </is>
      </c>
      <c r="G863" s="4" t="inlineStr">
        <is>
          <t>07:56</t>
        </is>
      </c>
      <c r="H863" s="4" t="inlineStr">
        <is>
          <t>3.10.2026</t>
        </is>
      </c>
      <c r="I863" s="4" t="inlineStr">
        <is>
          <t>17:35</t>
        </is>
      </c>
      <c r="J863" s="8" t="n">
        <v>8</v>
      </c>
      <c r="K863" s="8" t="n">
        <v>7.5</v>
      </c>
      <c r="L863" s="8" t="n">
        <v>0.5</v>
      </c>
      <c r="M863" s="29" t="inlineStr">
        <is>
          <t>BALIKESİR</t>
        </is>
      </c>
    </row>
    <row r="864">
      <c r="A864" s="4" t="n">
        <v>863</v>
      </c>
      <c r="B864" s="4" t="inlineStr">
        <is>
          <t>00872</t>
        </is>
      </c>
      <c r="C864" s="4" t="inlineStr">
        <is>
          <t>00872</t>
        </is>
      </c>
      <c r="D864" s="29" t="inlineStr">
        <is>
          <t>EBRU ÖÖZALP</t>
        </is>
      </c>
      <c r="E864" s="4" t="inlineStr">
        <is>
          <t>Pazartesi</t>
        </is>
      </c>
      <c r="F864" s="4" t="inlineStr">
        <is>
          <t>5.10.2026</t>
        </is>
      </c>
      <c r="G864" s="4" t="inlineStr">
        <is>
          <t>07:53</t>
        </is>
      </c>
      <c r="H864" s="4" t="inlineStr">
        <is>
          <t>5.10.2026</t>
        </is>
      </c>
      <c r="I864" s="4" t="inlineStr">
        <is>
          <t>17:03</t>
        </is>
      </c>
      <c r="J864" s="8" t="n">
        <v>7.5</v>
      </c>
      <c r="K864" s="8" t="n">
        <v>7.5</v>
      </c>
      <c r="L864" s="8" t="n">
        <v>0</v>
      </c>
      <c r="M864" s="29" t="inlineStr">
        <is>
          <t>BALIKESİR</t>
        </is>
      </c>
    </row>
    <row r="865">
      <c r="A865" s="4" t="n">
        <v>864</v>
      </c>
      <c r="B865" s="4" t="inlineStr">
        <is>
          <t>00872</t>
        </is>
      </c>
      <c r="C865" s="4" t="inlineStr">
        <is>
          <t>00872</t>
        </is>
      </c>
      <c r="D865" s="29" t="inlineStr">
        <is>
          <t>EBRU ÖÖZALP</t>
        </is>
      </c>
      <c r="E865" s="4" t="inlineStr">
        <is>
          <t>Salı</t>
        </is>
      </c>
      <c r="F865" s="4" t="inlineStr">
        <is>
          <t>6.10.2026</t>
        </is>
      </c>
      <c r="G865" s="4" t="inlineStr">
        <is>
          <t>07:51</t>
        </is>
      </c>
      <c r="H865" s="4" t="inlineStr">
        <is>
          <t>6.10.2026</t>
        </is>
      </c>
      <c r="I865" s="4" t="inlineStr">
        <is>
          <t>17:38</t>
        </is>
      </c>
      <c r="J865" s="8" t="n">
        <v>8</v>
      </c>
      <c r="K865" s="8" t="n">
        <v>7.5</v>
      </c>
      <c r="L865" s="8" t="n">
        <v>0.5</v>
      </c>
      <c r="M865" s="29" t="inlineStr">
        <is>
          <t>BALIKESİR</t>
        </is>
      </c>
    </row>
    <row r="866">
      <c r="A866" s="4" t="n">
        <v>865</v>
      </c>
      <c r="B866" s="4" t="inlineStr">
        <is>
          <t>00872</t>
        </is>
      </c>
      <c r="C866" s="4" t="inlineStr">
        <is>
          <t>00872</t>
        </is>
      </c>
      <c r="D866" s="29" t="inlineStr">
        <is>
          <t>EBRU ÖÖZALP</t>
        </is>
      </c>
      <c r="E866" s="4" t="inlineStr">
        <is>
          <t>Çarşamba</t>
        </is>
      </c>
      <c r="F866" s="4" t="inlineStr">
        <is>
          <t>7.10.2026</t>
        </is>
      </c>
      <c r="G866" s="4" t="inlineStr">
        <is>
          <t>07:50</t>
        </is>
      </c>
      <c r="H866" s="4" t="inlineStr">
        <is>
          <t>7.10.2026</t>
        </is>
      </c>
      <c r="I866" s="4" t="inlineStr">
        <is>
          <t>17:23</t>
        </is>
      </c>
      <c r="J866" s="8" t="n">
        <v>8</v>
      </c>
      <c r="K866" s="8" t="n">
        <v>7.5</v>
      </c>
      <c r="L866" s="8" t="n">
        <v>0.5</v>
      </c>
      <c r="M866" s="29" t="inlineStr">
        <is>
          <t>BALIKESİR</t>
        </is>
      </c>
    </row>
    <row r="867">
      <c r="A867" s="4" t="n">
        <v>866</v>
      </c>
      <c r="B867" s="4" t="inlineStr">
        <is>
          <t>00872</t>
        </is>
      </c>
      <c r="C867" s="4" t="inlineStr">
        <is>
          <t>00872</t>
        </is>
      </c>
      <c r="D867" s="29" t="inlineStr">
        <is>
          <t>EBRU ÖÖZALP</t>
        </is>
      </c>
      <c r="E867" s="4" t="inlineStr">
        <is>
          <t>Perşembe</t>
        </is>
      </c>
      <c r="F867" s="4" t="inlineStr">
        <is>
          <t>8.10.2026</t>
        </is>
      </c>
      <c r="G867" s="4" t="inlineStr">
        <is>
          <t>07:51</t>
        </is>
      </c>
      <c r="H867" s="4" t="inlineStr">
        <is>
          <t>8.10.2026</t>
        </is>
      </c>
      <c r="I867" s="4" t="inlineStr">
        <is>
          <t>17:33</t>
        </is>
      </c>
      <c r="J867" s="8" t="n">
        <v>8</v>
      </c>
      <c r="K867" s="8" t="n">
        <v>7.5</v>
      </c>
      <c r="L867" s="8" t="n">
        <v>0.5</v>
      </c>
      <c r="M867" s="29" t="inlineStr">
        <is>
          <t>BALIKESİR</t>
        </is>
      </c>
    </row>
    <row r="868">
      <c r="A868" s="4" t="n">
        <v>867</v>
      </c>
      <c r="B868" s="4" t="inlineStr">
        <is>
          <t>00872</t>
        </is>
      </c>
      <c r="C868" s="4" t="inlineStr">
        <is>
          <t>00872</t>
        </is>
      </c>
      <c r="D868" s="29" t="inlineStr">
        <is>
          <t>EBRU ÖÖZALP</t>
        </is>
      </c>
      <c r="E868" s="4" t="inlineStr">
        <is>
          <t>Cuma</t>
        </is>
      </c>
      <c r="F868" s="4" t="inlineStr">
        <is>
          <t>9.10.2026</t>
        </is>
      </c>
      <c r="G868" s="4" t="inlineStr">
        <is>
          <t>07:52</t>
        </is>
      </c>
      <c r="H868" s="4" t="inlineStr">
        <is>
          <t>9.10.2026</t>
        </is>
      </c>
      <c r="I868" s="4" t="inlineStr">
        <is>
          <t>17:41</t>
        </is>
      </c>
      <c r="J868" s="8" t="n">
        <v>8</v>
      </c>
      <c r="K868" s="8" t="n">
        <v>7.5</v>
      </c>
      <c r="L868" s="8" t="n">
        <v>0.5</v>
      </c>
      <c r="M868" s="29" t="inlineStr">
        <is>
          <t>BALIKESİR</t>
        </is>
      </c>
    </row>
    <row r="869">
      <c r="A869" s="4" t="n">
        <v>868</v>
      </c>
      <c r="B869" s="4" t="inlineStr">
        <is>
          <t>00872</t>
        </is>
      </c>
      <c r="C869" s="4" t="inlineStr">
        <is>
          <t>00872</t>
        </is>
      </c>
      <c r="D869" s="29" t="inlineStr">
        <is>
          <t>EBRU ÖÖZALP</t>
        </is>
      </c>
      <c r="E869" s="4" t="inlineStr">
        <is>
          <t>Cumartesi</t>
        </is>
      </c>
      <c r="F869" s="4" t="inlineStr">
        <is>
          <t>10.10.2026</t>
        </is>
      </c>
      <c r="G869" s="4" t="inlineStr">
        <is>
          <t>07:55</t>
        </is>
      </c>
      <c r="H869" s="4" t="inlineStr">
        <is>
          <t>10.10.2026</t>
        </is>
      </c>
      <c r="I869" s="4" t="inlineStr">
        <is>
          <t>18:10</t>
        </is>
      </c>
      <c r="J869" s="8" t="n">
        <v>8.5</v>
      </c>
      <c r="K869" s="8" t="n">
        <v>7.5</v>
      </c>
      <c r="L869" s="8" t="n">
        <v>1</v>
      </c>
      <c r="M869" s="29" t="inlineStr">
        <is>
          <t>BALIKESİR</t>
        </is>
      </c>
    </row>
    <row r="870">
      <c r="A870" s="4" t="n">
        <v>869</v>
      </c>
      <c r="B870" s="4" t="inlineStr">
        <is>
          <t>00872</t>
        </is>
      </c>
      <c r="C870" s="4" t="inlineStr">
        <is>
          <t>00872</t>
        </is>
      </c>
      <c r="D870" s="29" t="inlineStr">
        <is>
          <t>EBRU ÖÖZALP</t>
        </is>
      </c>
      <c r="E870" s="4" t="inlineStr">
        <is>
          <t>Pazartesi</t>
        </is>
      </c>
      <c r="F870" s="4" t="inlineStr">
        <is>
          <t>12.10.2026</t>
        </is>
      </c>
      <c r="G870" s="4" t="inlineStr">
        <is>
          <t>07:52</t>
        </is>
      </c>
      <c r="H870" s="4" t="inlineStr">
        <is>
          <t>12.10.2026</t>
        </is>
      </c>
      <c r="I870" s="4" t="inlineStr">
        <is>
          <t>17:00</t>
        </is>
      </c>
      <c r="J870" s="8" t="n">
        <v>7.5</v>
      </c>
      <c r="K870" s="8" t="n">
        <v>7.5</v>
      </c>
      <c r="L870" s="8" t="n">
        <v>0</v>
      </c>
      <c r="M870" s="29" t="inlineStr">
        <is>
          <t>BALIKESİR</t>
        </is>
      </c>
    </row>
    <row r="871">
      <c r="A871" s="4" t="n">
        <v>870</v>
      </c>
      <c r="B871" s="4" t="inlineStr">
        <is>
          <t>00872</t>
        </is>
      </c>
      <c r="C871" s="4" t="inlineStr">
        <is>
          <t>00872</t>
        </is>
      </c>
      <c r="D871" s="29" t="inlineStr">
        <is>
          <t>EBRU ÖÖZALP</t>
        </is>
      </c>
      <c r="E871" s="4" t="inlineStr">
        <is>
          <t>Salı</t>
        </is>
      </c>
      <c r="F871" s="4" t="inlineStr">
        <is>
          <t>13.10.2026</t>
        </is>
      </c>
      <c r="G871" s="4" t="inlineStr">
        <is>
          <t>07:50</t>
        </is>
      </c>
      <c r="H871" s="4" t="inlineStr">
        <is>
          <t>13.10.2026</t>
        </is>
      </c>
      <c r="I871" s="4" t="inlineStr">
        <is>
          <t>17:00</t>
        </is>
      </c>
      <c r="J871" s="8" t="n">
        <v>7.5</v>
      </c>
      <c r="K871" s="8" t="n">
        <v>7.5</v>
      </c>
      <c r="L871" s="8" t="n">
        <v>0</v>
      </c>
      <c r="M871" s="29" t="inlineStr">
        <is>
          <t>BALIKESİR</t>
        </is>
      </c>
    </row>
    <row r="872">
      <c r="A872" s="4" t="n">
        <v>871</v>
      </c>
      <c r="B872" s="4" t="inlineStr">
        <is>
          <t>00872</t>
        </is>
      </c>
      <c r="C872" s="4" t="inlineStr">
        <is>
          <t>00872</t>
        </is>
      </c>
      <c r="D872" s="29" t="inlineStr">
        <is>
          <t>EBRU ÖÖZALP</t>
        </is>
      </c>
      <c r="E872" s="4" t="inlineStr">
        <is>
          <t>Çarşamba</t>
        </is>
      </c>
      <c r="F872" s="4" t="inlineStr">
        <is>
          <t>14.10.2026</t>
        </is>
      </c>
      <c r="G872" s="4" t="inlineStr">
        <is>
          <t>07:52</t>
        </is>
      </c>
      <c r="H872" s="4" t="inlineStr">
        <is>
          <t>14.10.2026</t>
        </is>
      </c>
      <c r="I872" s="4" t="inlineStr">
        <is>
          <t>18:04</t>
        </is>
      </c>
      <c r="J872" s="8" t="n">
        <v>8.5</v>
      </c>
      <c r="K872" s="8" t="n">
        <v>7.5</v>
      </c>
      <c r="L872" s="8" t="n">
        <v>1</v>
      </c>
      <c r="M872" s="29" t="inlineStr">
        <is>
          <t>BALIKESİR</t>
        </is>
      </c>
    </row>
    <row r="873">
      <c r="A873" s="4" t="n">
        <v>872</v>
      </c>
      <c r="B873" s="4" t="inlineStr">
        <is>
          <t>00872</t>
        </is>
      </c>
      <c r="C873" s="4" t="inlineStr">
        <is>
          <t>00872</t>
        </is>
      </c>
      <c r="D873" s="29" t="inlineStr">
        <is>
          <t>EBRU ÖÖZALP</t>
        </is>
      </c>
      <c r="E873" s="4" t="inlineStr">
        <is>
          <t>Perşembe</t>
        </is>
      </c>
      <c r="F873" s="4" t="inlineStr">
        <is>
          <t>15.10.2026</t>
        </is>
      </c>
      <c r="G873" s="4" t="inlineStr">
        <is>
          <t>07:54</t>
        </is>
      </c>
      <c r="H873" s="4" t="inlineStr">
        <is>
          <t>15.10.2026</t>
        </is>
      </c>
      <c r="I873" s="4" t="inlineStr">
        <is>
          <t>17:02</t>
        </is>
      </c>
      <c r="J873" s="8" t="n">
        <v>7.5</v>
      </c>
      <c r="K873" s="8" t="n">
        <v>7.5</v>
      </c>
      <c r="L873" s="8" t="n">
        <v>0</v>
      </c>
      <c r="M873" s="29" t="inlineStr">
        <is>
          <t>BALIKESİR</t>
        </is>
      </c>
    </row>
    <row r="874">
      <c r="A874" s="4" t="n">
        <v>873</v>
      </c>
      <c r="B874" s="4" t="inlineStr">
        <is>
          <t>00872</t>
        </is>
      </c>
      <c r="C874" s="4" t="inlineStr">
        <is>
          <t>00872</t>
        </is>
      </c>
      <c r="D874" s="29" t="inlineStr">
        <is>
          <t>EBRU ÖÖZALP</t>
        </is>
      </c>
      <c r="E874" s="4" t="inlineStr">
        <is>
          <t>Cuma</t>
        </is>
      </c>
      <c r="F874" s="4" t="inlineStr">
        <is>
          <t>16.10.2026</t>
        </is>
      </c>
      <c r="G874" s="4" t="inlineStr">
        <is>
          <t>07:50</t>
        </is>
      </c>
      <c r="H874" s="4" t="inlineStr">
        <is>
          <t>16.10.2026</t>
        </is>
      </c>
      <c r="I874" s="4" t="inlineStr">
        <is>
          <t>17:13</t>
        </is>
      </c>
      <c r="J874" s="8" t="n">
        <v>7.5</v>
      </c>
      <c r="K874" s="8" t="n">
        <v>7.5</v>
      </c>
      <c r="L874" s="8" t="n">
        <v>0</v>
      </c>
      <c r="M874" s="29" t="inlineStr">
        <is>
          <t>BALIKESİR</t>
        </is>
      </c>
    </row>
    <row r="875">
      <c r="A875" s="4" t="n">
        <v>874</v>
      </c>
      <c r="B875" s="4" t="inlineStr">
        <is>
          <t>00872</t>
        </is>
      </c>
      <c r="C875" s="4" t="inlineStr">
        <is>
          <t>00872</t>
        </is>
      </c>
      <c r="D875" s="29" t="inlineStr">
        <is>
          <t>EBRU ÖÖZALP</t>
        </is>
      </c>
      <c r="E875" s="4" t="inlineStr">
        <is>
          <t>Cumartesi</t>
        </is>
      </c>
      <c r="F875" s="4" t="inlineStr">
        <is>
          <t>17.10.2026</t>
        </is>
      </c>
      <c r="G875" s="4" t="inlineStr">
        <is>
          <t>07:58</t>
        </is>
      </c>
      <c r="H875" s="4" t="inlineStr">
        <is>
          <t>17.10.2026</t>
        </is>
      </c>
      <c r="I875" s="4" t="inlineStr">
        <is>
          <t>17:49</t>
        </is>
      </c>
      <c r="J875" s="8" t="n">
        <v>8.5</v>
      </c>
      <c r="K875" s="8" t="n">
        <v>7.5</v>
      </c>
      <c r="L875" s="8" t="n">
        <v>1</v>
      </c>
      <c r="M875" s="29" t="inlineStr">
        <is>
          <t>BALIKESİR</t>
        </is>
      </c>
    </row>
    <row r="876">
      <c r="A876" s="4" t="n">
        <v>875</v>
      </c>
      <c r="B876" s="4" t="inlineStr">
        <is>
          <t>00872</t>
        </is>
      </c>
      <c r="C876" s="4" t="inlineStr">
        <is>
          <t>00872</t>
        </is>
      </c>
      <c r="D876" s="29" t="inlineStr">
        <is>
          <t>EBRU ÖÖZALP</t>
        </is>
      </c>
      <c r="E876" s="4" t="inlineStr">
        <is>
          <t>Pazartesi</t>
        </is>
      </c>
      <c r="F876" s="4" t="inlineStr">
        <is>
          <t>19.10.2026</t>
        </is>
      </c>
      <c r="G876" s="4" t="inlineStr">
        <is>
          <t>07:51</t>
        </is>
      </c>
      <c r="H876" s="4" t="inlineStr">
        <is>
          <t>19.10.2026</t>
        </is>
      </c>
      <c r="I876" s="4" t="inlineStr">
        <is>
          <t>17:42</t>
        </is>
      </c>
      <c r="J876" s="8" t="n">
        <v>8</v>
      </c>
      <c r="K876" s="8" t="n">
        <v>7.5</v>
      </c>
      <c r="L876" s="8" t="n">
        <v>0.5</v>
      </c>
      <c r="M876" s="29" t="inlineStr">
        <is>
          <t>BALIKESİR</t>
        </is>
      </c>
    </row>
    <row r="877">
      <c r="A877" s="4" t="n">
        <v>876</v>
      </c>
      <c r="B877" s="4" t="inlineStr">
        <is>
          <t>00872</t>
        </is>
      </c>
      <c r="C877" s="4" t="inlineStr">
        <is>
          <t>00872</t>
        </is>
      </c>
      <c r="D877" s="29" t="inlineStr">
        <is>
          <t>EBRU ÖÖZALP</t>
        </is>
      </c>
      <c r="E877" s="4" t="inlineStr">
        <is>
          <t>Salı</t>
        </is>
      </c>
      <c r="F877" s="4" t="inlineStr">
        <is>
          <t>20.10.2026</t>
        </is>
      </c>
      <c r="G877" s="4" t="inlineStr">
        <is>
          <t>07:49</t>
        </is>
      </c>
      <c r="H877" s="4" t="inlineStr">
        <is>
          <t>20.10.2026</t>
        </is>
      </c>
      <c r="I877" s="4" t="inlineStr">
        <is>
          <t>17:00</t>
        </is>
      </c>
      <c r="J877" s="8" t="n">
        <v>7.5</v>
      </c>
      <c r="K877" s="8" t="n">
        <v>7.5</v>
      </c>
      <c r="L877" s="8" t="n">
        <v>0</v>
      </c>
      <c r="M877" s="29" t="inlineStr">
        <is>
          <t>BALIKESİR</t>
        </is>
      </c>
    </row>
    <row r="878">
      <c r="A878" s="4" t="n">
        <v>877</v>
      </c>
      <c r="B878" s="4" t="inlineStr">
        <is>
          <t>00872</t>
        </is>
      </c>
      <c r="C878" s="4" t="inlineStr">
        <is>
          <t>00872</t>
        </is>
      </c>
      <c r="D878" s="29" t="inlineStr">
        <is>
          <t>EBRU ÖÖZALP</t>
        </is>
      </c>
      <c r="E878" s="4" t="inlineStr">
        <is>
          <t>Çarşamba</t>
        </is>
      </c>
      <c r="F878" s="4" t="inlineStr">
        <is>
          <t>21.10.2026</t>
        </is>
      </c>
      <c r="G878" s="4" t="inlineStr">
        <is>
          <t>07:51</t>
        </is>
      </c>
      <c r="H878" s="4" t="inlineStr">
        <is>
          <t>21.10.2026</t>
        </is>
      </c>
      <c r="I878" s="4" t="inlineStr">
        <is>
          <t>17:00</t>
        </is>
      </c>
      <c r="J878" s="8" t="n">
        <v>7.5</v>
      </c>
      <c r="K878" s="8" t="n">
        <v>7.5</v>
      </c>
      <c r="L878" s="8" t="n">
        <v>0</v>
      </c>
      <c r="M878" s="29" t="inlineStr">
        <is>
          <t>BALIKESİR</t>
        </is>
      </c>
    </row>
    <row r="879">
      <c r="A879" s="4" t="n">
        <v>878</v>
      </c>
      <c r="B879" s="4" t="inlineStr">
        <is>
          <t>00563</t>
        </is>
      </c>
      <c r="C879" s="4" t="inlineStr">
        <is>
          <t>00563</t>
        </is>
      </c>
      <c r="D879" s="29" t="inlineStr">
        <is>
          <t>EDİP EKİNCİ</t>
        </is>
      </c>
      <c r="E879" s="4" t="inlineStr">
        <is>
          <t>Perşembe</t>
        </is>
      </c>
      <c r="F879" s="4" t="inlineStr">
        <is>
          <t>1.10.2026</t>
        </is>
      </c>
      <c r="G879" s="4" t="inlineStr">
        <is>
          <t>20:06</t>
        </is>
      </c>
      <c r="H879" s="4" t="inlineStr">
        <is>
          <t>1.10.2026</t>
        </is>
      </c>
      <c r="I879" s="4" t="inlineStr">
        <is>
          <t>07:56</t>
        </is>
      </c>
      <c r="J879" s="8" t="n">
        <v>10.5</v>
      </c>
      <c r="K879" s="8" t="n">
        <v>7.5</v>
      </c>
      <c r="L879" s="8" t="n">
        <v>3</v>
      </c>
      <c r="M879" s="29" t="inlineStr">
        <is>
          <t>SUSURLUK</t>
        </is>
      </c>
    </row>
    <row r="880">
      <c r="A880" s="4" t="n">
        <v>879</v>
      </c>
      <c r="B880" s="4" t="inlineStr">
        <is>
          <t>00563</t>
        </is>
      </c>
      <c r="C880" s="4" t="inlineStr">
        <is>
          <t>00563</t>
        </is>
      </c>
      <c r="D880" s="29" t="inlineStr">
        <is>
          <t>EDİP EKİNCİ</t>
        </is>
      </c>
      <c r="E880" s="4" t="inlineStr">
        <is>
          <t>Cuma</t>
        </is>
      </c>
      <c r="F880" s="4" t="inlineStr">
        <is>
          <t>2.10.2026</t>
        </is>
      </c>
      <c r="G880" s="4" t="inlineStr">
        <is>
          <t>19:52</t>
        </is>
      </c>
      <c r="H880" s="4" t="inlineStr">
        <is>
          <t>2.10.2026</t>
        </is>
      </c>
      <c r="I880" s="4" t="inlineStr">
        <is>
          <t>07:55</t>
        </is>
      </c>
      <c r="J880" s="8" t="n">
        <v>10.5</v>
      </c>
      <c r="K880" s="8" t="n">
        <v>7.5</v>
      </c>
      <c r="L880" s="8" t="n">
        <v>3</v>
      </c>
      <c r="M880" s="29" t="inlineStr">
        <is>
          <t>SUSURLUK</t>
        </is>
      </c>
    </row>
    <row r="881">
      <c r="A881" s="4" t="n">
        <v>880</v>
      </c>
      <c r="B881" s="4" t="inlineStr">
        <is>
          <t>00563</t>
        </is>
      </c>
      <c r="C881" s="4" t="inlineStr">
        <is>
          <t>00563</t>
        </is>
      </c>
      <c r="D881" s="29" t="inlineStr">
        <is>
          <t>EDİP EKİNCİ</t>
        </is>
      </c>
      <c r="E881" s="4" t="inlineStr">
        <is>
          <t>Cumartesi</t>
        </is>
      </c>
      <c r="F881" s="4" t="inlineStr">
        <is>
          <t>3.10.2026</t>
        </is>
      </c>
      <c r="G881" s="4" t="inlineStr">
        <is>
          <t>19:47</t>
        </is>
      </c>
      <c r="H881" s="4" t="inlineStr">
        <is>
          <t>3.10.2026</t>
        </is>
      </c>
      <c r="I881" s="4" t="inlineStr">
        <is>
          <t>08:03</t>
        </is>
      </c>
      <c r="J881" s="8" t="n">
        <v>10.5</v>
      </c>
      <c r="K881" s="8" t="n">
        <v>7.5</v>
      </c>
      <c r="L881" s="8" t="n">
        <v>3</v>
      </c>
      <c r="M881" s="29" t="inlineStr">
        <is>
          <t>SUSURLUK</t>
        </is>
      </c>
    </row>
    <row r="882">
      <c r="A882" s="4" t="n">
        <v>881</v>
      </c>
      <c r="B882" s="4" t="inlineStr">
        <is>
          <t>00563</t>
        </is>
      </c>
      <c r="C882" s="4" t="inlineStr">
        <is>
          <t>00563</t>
        </is>
      </c>
      <c r="D882" s="29" t="inlineStr">
        <is>
          <t>EDİP EKİNCİ</t>
        </is>
      </c>
      <c r="E882" s="4" t="inlineStr">
        <is>
          <t>Pazar</t>
        </is>
      </c>
      <c r="F882" s="4" t="inlineStr">
        <is>
          <t>4.10.2026</t>
        </is>
      </c>
      <c r="G882" s="4" t="inlineStr">
        <is>
          <t>19:48</t>
        </is>
      </c>
      <c r="H882" s="4" t="inlineStr">
        <is>
          <t>4.10.2026</t>
        </is>
      </c>
      <c r="I882" s="4" t="inlineStr">
        <is>
          <t>07:57</t>
        </is>
      </c>
      <c r="J882" s="8" t="n">
        <v>10.5</v>
      </c>
      <c r="K882" s="8" t="n">
        <v>7.5</v>
      </c>
      <c r="L882" s="8" t="n">
        <v>3</v>
      </c>
      <c r="M882" s="29" t="inlineStr">
        <is>
          <t>SUSURLUK</t>
        </is>
      </c>
    </row>
    <row r="883">
      <c r="A883" s="4" t="n">
        <v>882</v>
      </c>
      <c r="B883" s="4" t="inlineStr">
        <is>
          <t>00563</t>
        </is>
      </c>
      <c r="C883" s="4" t="inlineStr">
        <is>
          <t>00563</t>
        </is>
      </c>
      <c r="D883" s="29" t="inlineStr">
        <is>
          <t>EDİP EKİNCİ</t>
        </is>
      </c>
      <c r="E883" s="4" t="inlineStr">
        <is>
          <t>Pazartesi</t>
        </is>
      </c>
      <c r="F883" s="4" t="inlineStr">
        <is>
          <t>5.10.2026</t>
        </is>
      </c>
      <c r="G883" s="4" t="inlineStr">
        <is>
          <t>19:51</t>
        </is>
      </c>
      <c r="H883" s="4" t="inlineStr">
        <is>
          <t>5.10.2026</t>
        </is>
      </c>
      <c r="I883" s="4" t="inlineStr">
        <is>
          <t>07:56</t>
        </is>
      </c>
      <c r="J883" s="8" t="n">
        <v>10.5</v>
      </c>
      <c r="K883" s="8" t="n">
        <v>7.5</v>
      </c>
      <c r="L883" s="8" t="n">
        <v>3</v>
      </c>
      <c r="M883" s="29" t="inlineStr">
        <is>
          <t>SUSURLUK</t>
        </is>
      </c>
    </row>
    <row r="884">
      <c r="A884" s="4" t="n">
        <v>883</v>
      </c>
      <c r="B884" s="4" t="inlineStr">
        <is>
          <t>00563</t>
        </is>
      </c>
      <c r="C884" s="4" t="inlineStr">
        <is>
          <t>00563</t>
        </is>
      </c>
      <c r="D884" s="29" t="inlineStr">
        <is>
          <t>EDİP EKİNCİ</t>
        </is>
      </c>
      <c r="E884" s="4" t="inlineStr">
        <is>
          <t>Salı</t>
        </is>
      </c>
      <c r="F884" s="4" t="inlineStr">
        <is>
          <t>6.10.2026</t>
        </is>
      </c>
      <c r="G884" s="4" t="inlineStr">
        <is>
          <t>20:03</t>
        </is>
      </c>
      <c r="H884" s="4" t="inlineStr">
        <is>
          <t>6.10.2026</t>
        </is>
      </c>
      <c r="I884" s="4" t="inlineStr">
        <is>
          <t>07:52</t>
        </is>
      </c>
      <c r="J884" s="8" t="n">
        <v>10.5</v>
      </c>
      <c r="K884" s="8" t="n">
        <v>7.5</v>
      </c>
      <c r="L884" s="8" t="n">
        <v>3</v>
      </c>
      <c r="M884" s="29" t="inlineStr">
        <is>
          <t>SUSURLUK</t>
        </is>
      </c>
    </row>
    <row r="885">
      <c r="A885" s="4" t="n">
        <v>884</v>
      </c>
      <c r="B885" s="4" t="inlineStr">
        <is>
          <t>00563</t>
        </is>
      </c>
      <c r="C885" s="4" t="inlineStr">
        <is>
          <t>00563</t>
        </is>
      </c>
      <c r="D885" s="29" t="inlineStr">
        <is>
          <t>EDİP EKİNCİ</t>
        </is>
      </c>
      <c r="E885" s="4" t="inlineStr">
        <is>
          <t>Çarşamba</t>
        </is>
      </c>
      <c r="F885" s="4" t="inlineStr">
        <is>
          <t>7.10.2026</t>
        </is>
      </c>
      <c r="G885" s="4" t="inlineStr">
        <is>
          <t>20:02</t>
        </is>
      </c>
      <c r="H885" s="4" t="inlineStr">
        <is>
          <t>7.10.2026</t>
        </is>
      </c>
      <c r="I885" s="4" t="inlineStr">
        <is>
          <t>07:53</t>
        </is>
      </c>
      <c r="J885" s="8" t="n">
        <v>10.5</v>
      </c>
      <c r="K885" s="8" t="n">
        <v>7.5</v>
      </c>
      <c r="L885" s="8" t="n">
        <v>3</v>
      </c>
      <c r="M885" s="29" t="inlineStr">
        <is>
          <t>SUSURLUK</t>
        </is>
      </c>
    </row>
    <row r="886">
      <c r="A886" s="4" t="n">
        <v>885</v>
      </c>
      <c r="B886" s="4" t="inlineStr">
        <is>
          <t>00563</t>
        </is>
      </c>
      <c r="C886" s="4" t="inlineStr">
        <is>
          <t>00563</t>
        </is>
      </c>
      <c r="D886" s="29" t="inlineStr">
        <is>
          <t>EDİP EKİNCİ</t>
        </is>
      </c>
      <c r="E886" s="4" t="inlineStr">
        <is>
          <t>Perşembe</t>
        </is>
      </c>
      <c r="F886" s="4" t="inlineStr">
        <is>
          <t>8.10.2026</t>
        </is>
      </c>
      <c r="G886" s="4" t="inlineStr">
        <is>
          <t>20:05</t>
        </is>
      </c>
      <c r="H886" s="4" t="inlineStr">
        <is>
          <t>8.10.2026</t>
        </is>
      </c>
      <c r="I886" s="4" t="inlineStr">
        <is>
          <t>07:58</t>
        </is>
      </c>
      <c r="J886" s="8" t="n">
        <v>10.5</v>
      </c>
      <c r="K886" s="8" t="n">
        <v>7.5</v>
      </c>
      <c r="L886" s="8" t="n">
        <v>3</v>
      </c>
      <c r="M886" s="29" t="inlineStr">
        <is>
          <t>SUSURLUK</t>
        </is>
      </c>
    </row>
    <row r="887">
      <c r="A887" s="4" t="n">
        <v>886</v>
      </c>
      <c r="B887" s="4" t="inlineStr">
        <is>
          <t>00563</t>
        </is>
      </c>
      <c r="C887" s="4" t="inlineStr">
        <is>
          <t>00563</t>
        </is>
      </c>
      <c r="D887" s="29" t="inlineStr">
        <is>
          <t>EDİP EKİNCİ</t>
        </is>
      </c>
      <c r="E887" s="4" t="inlineStr">
        <is>
          <t>Cuma</t>
        </is>
      </c>
      <c r="F887" s="4" t="inlineStr">
        <is>
          <t>9.10.2026</t>
        </is>
      </c>
      <c r="G887" s="4" t="inlineStr">
        <is>
          <t>19:53</t>
        </is>
      </c>
      <c r="H887" s="4" t="inlineStr">
        <is>
          <t>9.10.2026</t>
        </is>
      </c>
      <c r="I887" s="4" t="inlineStr">
        <is>
          <t>07:58</t>
        </is>
      </c>
      <c r="J887" s="8" t="n">
        <v>10.5</v>
      </c>
      <c r="K887" s="8" t="n">
        <v>7.5</v>
      </c>
      <c r="L887" s="8" t="n">
        <v>3</v>
      </c>
      <c r="M887" s="29" t="inlineStr">
        <is>
          <t>SUSURLUK</t>
        </is>
      </c>
    </row>
    <row r="888">
      <c r="A888" s="4" t="n">
        <v>887</v>
      </c>
      <c r="B888" s="4" t="inlineStr">
        <is>
          <t>00563</t>
        </is>
      </c>
      <c r="C888" s="4" t="inlineStr">
        <is>
          <t>00563</t>
        </is>
      </c>
      <c r="D888" s="29" t="inlineStr">
        <is>
          <t>EDİP EKİNCİ</t>
        </is>
      </c>
      <c r="E888" s="4" t="inlineStr">
        <is>
          <t>Cumartesi</t>
        </is>
      </c>
      <c r="F888" s="4" t="inlineStr">
        <is>
          <t>10.10.2026</t>
        </is>
      </c>
      <c r="G888" s="4" t="inlineStr">
        <is>
          <t>20:02</t>
        </is>
      </c>
      <c r="H888" s="4" t="inlineStr">
        <is>
          <t>10.10.2026</t>
        </is>
      </c>
      <c r="I888" s="4" t="inlineStr">
        <is>
          <t>10:13</t>
        </is>
      </c>
      <c r="J888" s="8" t="n">
        <v>12.5</v>
      </c>
      <c r="K888" s="8" t="n">
        <v>7.5</v>
      </c>
      <c r="L888" s="8" t="n">
        <v>5</v>
      </c>
      <c r="M888" s="29" t="inlineStr">
        <is>
          <t>SUSURLUK</t>
        </is>
      </c>
    </row>
    <row r="889">
      <c r="A889" s="4" t="n">
        <v>888</v>
      </c>
      <c r="B889" s="4" t="inlineStr">
        <is>
          <t>00563</t>
        </is>
      </c>
      <c r="C889" s="4" t="inlineStr">
        <is>
          <t>00563</t>
        </is>
      </c>
      <c r="D889" s="29" t="inlineStr">
        <is>
          <t>EDİP EKİNCİ</t>
        </is>
      </c>
      <c r="E889" s="4" t="inlineStr">
        <is>
          <t>Pazar</t>
        </is>
      </c>
      <c r="F889" s="4" t="inlineStr">
        <is>
          <t>11.10.2026</t>
        </is>
      </c>
      <c r="G889" s="4" t="inlineStr">
        <is>
          <t>20:03</t>
        </is>
      </c>
      <c r="H889" s="4" t="inlineStr">
        <is>
          <t>11.10.2026</t>
        </is>
      </c>
      <c r="I889" s="4" t="inlineStr">
        <is>
          <t>07:57</t>
        </is>
      </c>
      <c r="J889" s="8" t="n">
        <v>10.5</v>
      </c>
      <c r="K889" s="8" t="n">
        <v>7.5</v>
      </c>
      <c r="L889" s="8" t="n">
        <v>3</v>
      </c>
      <c r="M889" s="29" t="inlineStr">
        <is>
          <t>SUSURLUK</t>
        </is>
      </c>
    </row>
    <row r="890">
      <c r="A890" s="4" t="n">
        <v>889</v>
      </c>
      <c r="B890" s="4" t="inlineStr">
        <is>
          <t>00563</t>
        </is>
      </c>
      <c r="C890" s="4" t="inlineStr">
        <is>
          <t>00563</t>
        </is>
      </c>
      <c r="D890" s="29" t="inlineStr">
        <is>
          <t>EDİP EKİNCİ</t>
        </is>
      </c>
      <c r="E890" s="4" t="inlineStr">
        <is>
          <t>Pazartesi</t>
        </is>
      </c>
      <c r="F890" s="4" t="inlineStr">
        <is>
          <t>12.10.2026</t>
        </is>
      </c>
      <c r="G890" s="4" t="inlineStr">
        <is>
          <t>19:47</t>
        </is>
      </c>
      <c r="H890" s="4" t="inlineStr">
        <is>
          <t>12.10.2026</t>
        </is>
      </c>
      <c r="I890" s="4" t="inlineStr">
        <is>
          <t>07:58</t>
        </is>
      </c>
      <c r="J890" s="8" t="n">
        <v>10.5</v>
      </c>
      <c r="K890" s="8" t="n">
        <v>7.5</v>
      </c>
      <c r="L890" s="8" t="n">
        <v>3</v>
      </c>
      <c r="M890" s="29" t="inlineStr">
        <is>
          <t>SUSURLUK</t>
        </is>
      </c>
    </row>
    <row r="891">
      <c r="A891" s="4" t="n">
        <v>890</v>
      </c>
      <c r="B891" s="4" t="inlineStr">
        <is>
          <t>00563</t>
        </is>
      </c>
      <c r="C891" s="4" t="inlineStr">
        <is>
          <t>00563</t>
        </is>
      </c>
      <c r="D891" s="29" t="inlineStr">
        <is>
          <t>EDİP EKİNCİ</t>
        </is>
      </c>
      <c r="E891" s="4" t="inlineStr">
        <is>
          <t>Salı</t>
        </is>
      </c>
      <c r="F891" s="4" t="inlineStr">
        <is>
          <t>13.10.2026</t>
        </is>
      </c>
      <c r="G891" s="4" t="inlineStr">
        <is>
          <t>19:56</t>
        </is>
      </c>
      <c r="H891" s="4" t="inlineStr">
        <is>
          <t>13.10.2026</t>
        </is>
      </c>
      <c r="I891" s="4" t="inlineStr">
        <is>
          <t>07:53</t>
        </is>
      </c>
      <c r="J891" s="8" t="n">
        <v>10.5</v>
      </c>
      <c r="K891" s="8" t="n">
        <v>7.5</v>
      </c>
      <c r="L891" s="8" t="n">
        <v>3</v>
      </c>
      <c r="M891" s="29" t="inlineStr">
        <is>
          <t>SUSURLUK</t>
        </is>
      </c>
    </row>
    <row r="892">
      <c r="A892" s="4" t="n">
        <v>891</v>
      </c>
      <c r="B892" s="4" t="inlineStr">
        <is>
          <t>00563</t>
        </is>
      </c>
      <c r="C892" s="4" t="inlineStr">
        <is>
          <t>00563</t>
        </is>
      </c>
      <c r="D892" s="29" t="inlineStr">
        <is>
          <t>EDİP EKİNCİ</t>
        </is>
      </c>
      <c r="E892" s="4" t="inlineStr">
        <is>
          <t>Çarşamba</t>
        </is>
      </c>
      <c r="F892" s="4" t="inlineStr">
        <is>
          <t>14.10.2026</t>
        </is>
      </c>
      <c r="G892" s="4" t="inlineStr">
        <is>
          <t>20:09</t>
        </is>
      </c>
      <c r="H892" s="4" t="inlineStr">
        <is>
          <t>14.10.2026</t>
        </is>
      </c>
      <c r="I892" s="4" t="inlineStr">
        <is>
          <t>07:52</t>
        </is>
      </c>
      <c r="J892" s="8" t="n">
        <v>10.5</v>
      </c>
      <c r="K892" s="8" t="n">
        <v>7.5</v>
      </c>
      <c r="L892" s="8" t="n">
        <v>3</v>
      </c>
      <c r="M892" s="29" t="inlineStr">
        <is>
          <t>SUSURLUK</t>
        </is>
      </c>
    </row>
    <row r="893">
      <c r="A893" s="4" t="n">
        <v>892</v>
      </c>
      <c r="B893" s="4" t="inlineStr">
        <is>
          <t>00563</t>
        </is>
      </c>
      <c r="C893" s="4" t="inlineStr">
        <is>
          <t>00563</t>
        </is>
      </c>
      <c r="D893" s="29" t="inlineStr">
        <is>
          <t>EDİP EKİNCİ</t>
        </is>
      </c>
      <c r="E893" s="4" t="inlineStr">
        <is>
          <t>Perşembe</t>
        </is>
      </c>
      <c r="F893" s="4" t="inlineStr">
        <is>
          <t>15.10.2026</t>
        </is>
      </c>
      <c r="G893" s="4" t="inlineStr">
        <is>
          <t>20:01</t>
        </is>
      </c>
      <c r="H893" s="4" t="inlineStr">
        <is>
          <t>15.10.2026</t>
        </is>
      </c>
      <c r="I893" s="4" t="inlineStr">
        <is>
          <t>07:53</t>
        </is>
      </c>
      <c r="J893" s="8" t="n">
        <v>10.5</v>
      </c>
      <c r="K893" s="8" t="n">
        <v>7.5</v>
      </c>
      <c r="L893" s="8" t="n">
        <v>3</v>
      </c>
      <c r="M893" s="29" t="inlineStr">
        <is>
          <t>SUSURLUK</t>
        </is>
      </c>
    </row>
    <row r="894">
      <c r="A894" s="4" t="n">
        <v>893</v>
      </c>
      <c r="B894" s="4" t="inlineStr">
        <is>
          <t>00563</t>
        </is>
      </c>
      <c r="C894" s="4" t="inlineStr">
        <is>
          <t>00563</t>
        </is>
      </c>
      <c r="D894" s="29" t="inlineStr">
        <is>
          <t>EDİP EKİNCİ</t>
        </is>
      </c>
      <c r="E894" s="4" t="inlineStr">
        <is>
          <t>Cuma</t>
        </is>
      </c>
      <c r="F894" s="4" t="inlineStr">
        <is>
          <t>16.10.2026</t>
        </is>
      </c>
      <c r="G894" s="4" t="inlineStr">
        <is>
          <t>19:47</t>
        </is>
      </c>
      <c r="H894" s="4" t="inlineStr">
        <is>
          <t>16.10.2026</t>
        </is>
      </c>
      <c r="I894" s="4" t="inlineStr">
        <is>
          <t>07:53</t>
        </is>
      </c>
      <c r="J894" s="8" t="n">
        <v>10.5</v>
      </c>
      <c r="K894" s="8" t="n">
        <v>7.5</v>
      </c>
      <c r="L894" s="8" t="n">
        <v>3</v>
      </c>
      <c r="M894" s="29" t="inlineStr">
        <is>
          <t>SUSURLUK</t>
        </is>
      </c>
    </row>
    <row r="895">
      <c r="A895" s="4" t="n">
        <v>894</v>
      </c>
      <c r="B895" s="4" t="inlineStr">
        <is>
          <t>00563</t>
        </is>
      </c>
      <c r="C895" s="4" t="inlineStr">
        <is>
          <t>00563</t>
        </is>
      </c>
      <c r="D895" s="29" t="inlineStr">
        <is>
          <t>EDİP EKİNCİ</t>
        </is>
      </c>
      <c r="E895" s="4" t="inlineStr">
        <is>
          <t>Cumartesi</t>
        </is>
      </c>
      <c r="F895" s="4" t="inlineStr">
        <is>
          <t>17.10.2026</t>
        </is>
      </c>
      <c r="G895" s="4" t="inlineStr">
        <is>
          <t>19:58</t>
        </is>
      </c>
      <c r="H895" s="4" t="inlineStr">
        <is>
          <t>17.10.2026</t>
        </is>
      </c>
      <c r="I895" s="4" t="inlineStr">
        <is>
          <t>02:31</t>
        </is>
      </c>
      <c r="J895" s="8" t="n">
        <v>6</v>
      </c>
      <c r="K895" s="8" t="n">
        <v>6</v>
      </c>
      <c r="L895" s="8" t="n">
        <v>0</v>
      </c>
      <c r="M895" s="29" t="inlineStr">
        <is>
          <t>SUSURLUK</t>
        </is>
      </c>
    </row>
    <row r="896">
      <c r="A896" s="4" t="n">
        <v>895</v>
      </c>
      <c r="B896" s="4" t="inlineStr">
        <is>
          <t>00563</t>
        </is>
      </c>
      <c r="C896" s="4" t="inlineStr">
        <is>
          <t>00563</t>
        </is>
      </c>
      <c r="D896" s="29" t="inlineStr">
        <is>
          <t>EDİP EKİNCİ</t>
        </is>
      </c>
      <c r="E896" s="4" t="inlineStr">
        <is>
          <t>Pazar</t>
        </is>
      </c>
      <c r="F896" s="4" t="inlineStr">
        <is>
          <t>18.10.2026</t>
        </is>
      </c>
      <c r="G896" s="4" t="inlineStr">
        <is>
          <t>19:42</t>
        </is>
      </c>
      <c r="H896" s="4" t="inlineStr">
        <is>
          <t>18.10.2026</t>
        </is>
      </c>
      <c r="I896" s="4" t="inlineStr">
        <is>
          <t>07:50</t>
        </is>
      </c>
      <c r="J896" s="8" t="n">
        <v>10.5</v>
      </c>
      <c r="K896" s="8" t="n">
        <v>7.5</v>
      </c>
      <c r="L896" s="8" t="n">
        <v>3</v>
      </c>
      <c r="M896" s="29" t="inlineStr">
        <is>
          <t>SUSURLUK</t>
        </is>
      </c>
    </row>
    <row r="897">
      <c r="A897" s="4" t="n">
        <v>896</v>
      </c>
      <c r="B897" s="4" t="inlineStr">
        <is>
          <t>00563</t>
        </is>
      </c>
      <c r="C897" s="4" t="inlineStr">
        <is>
          <t>00563</t>
        </is>
      </c>
      <c r="D897" s="29" t="inlineStr">
        <is>
          <t>EDİP EKİNCİ</t>
        </is>
      </c>
      <c r="E897" s="4" t="inlineStr">
        <is>
          <t>Pazartesi</t>
        </is>
      </c>
      <c r="F897" s="4" t="inlineStr">
        <is>
          <t>19.10.2026</t>
        </is>
      </c>
      <c r="G897" s="4" t="inlineStr">
        <is>
          <t>19:57</t>
        </is>
      </c>
      <c r="H897" s="4" t="inlineStr">
        <is>
          <t>19.10.2026</t>
        </is>
      </c>
      <c r="I897" s="4" t="inlineStr">
        <is>
          <t>07:44</t>
        </is>
      </c>
      <c r="J897" s="8" t="n">
        <v>10</v>
      </c>
      <c r="K897" s="8" t="n">
        <v>7.5</v>
      </c>
      <c r="L897" s="8" t="n">
        <v>2.5</v>
      </c>
      <c r="M897" s="29" t="inlineStr">
        <is>
          <t>SUSURLUK</t>
        </is>
      </c>
    </row>
    <row r="898">
      <c r="A898" s="4" t="n">
        <v>897</v>
      </c>
      <c r="B898" s="4" t="inlineStr">
        <is>
          <t>00563</t>
        </is>
      </c>
      <c r="C898" s="4" t="inlineStr">
        <is>
          <t>00563</t>
        </is>
      </c>
      <c r="D898" s="29" t="inlineStr">
        <is>
          <t>EDİP EKİNCİ</t>
        </is>
      </c>
      <c r="E898" s="4" t="inlineStr">
        <is>
          <t>Salı</t>
        </is>
      </c>
      <c r="F898" s="4" t="inlineStr">
        <is>
          <t>20.10.2026</t>
        </is>
      </c>
      <c r="G898" s="4" t="inlineStr">
        <is>
          <t>19:52</t>
        </is>
      </c>
      <c r="H898" s="4" t="inlineStr">
        <is>
          <t>20.10.2026</t>
        </is>
      </c>
      <c r="I898" s="4" t="inlineStr">
        <is>
          <t>07:42</t>
        </is>
      </c>
      <c r="J898" s="8" t="n">
        <v>10</v>
      </c>
      <c r="K898" s="8" t="n">
        <v>7.5</v>
      </c>
      <c r="L898" s="8" t="n">
        <v>2.5</v>
      </c>
      <c r="M898" s="29" t="inlineStr">
        <is>
          <t>SUSURLUK</t>
        </is>
      </c>
    </row>
    <row r="899">
      <c r="A899" s="4" t="n">
        <v>898</v>
      </c>
      <c r="B899" s="4" t="inlineStr">
        <is>
          <t>00374</t>
        </is>
      </c>
      <c r="C899" s="4" t="inlineStr">
        <is>
          <t>00374</t>
        </is>
      </c>
      <c r="D899" s="29" t="inlineStr">
        <is>
          <t>EFE EVİM</t>
        </is>
      </c>
      <c r="E899" s="4" t="inlineStr">
        <is>
          <t>Perşembe</t>
        </is>
      </c>
      <c r="F899" s="4" t="inlineStr">
        <is>
          <t>1.10.2026</t>
        </is>
      </c>
      <c r="G899" s="4" t="inlineStr">
        <is>
          <t>07:55</t>
        </is>
      </c>
      <c r="H899" s="4" t="inlineStr">
        <is>
          <t>1.10.2026</t>
        </is>
      </c>
      <c r="I899" s="4" t="inlineStr">
        <is>
          <t>17:10</t>
        </is>
      </c>
      <c r="J899" s="8" t="n">
        <v>7.5</v>
      </c>
      <c r="K899" s="8" t="n">
        <v>7.5</v>
      </c>
      <c r="L899" s="8" t="n">
        <v>0</v>
      </c>
      <c r="M899" s="29" t="inlineStr">
        <is>
          <t>BİGADİÇ</t>
        </is>
      </c>
    </row>
    <row r="900">
      <c r="A900" s="4" t="n">
        <v>899</v>
      </c>
      <c r="B900" s="4" t="inlineStr">
        <is>
          <t>00374</t>
        </is>
      </c>
      <c r="C900" s="4" t="inlineStr">
        <is>
          <t>00374</t>
        </is>
      </c>
      <c r="D900" s="29" t="inlineStr">
        <is>
          <t>EFE EVİM</t>
        </is>
      </c>
      <c r="E900" s="4" t="inlineStr">
        <is>
          <t>Cuma</t>
        </is>
      </c>
      <c r="F900" s="4" t="inlineStr">
        <is>
          <t>2.10.2026</t>
        </is>
      </c>
      <c r="G900" s="4" t="inlineStr">
        <is>
          <t>07:55</t>
        </is>
      </c>
      <c r="H900" s="4" t="inlineStr">
        <is>
          <t>2.10.2026</t>
        </is>
      </c>
      <c r="I900" s="4" t="inlineStr">
        <is>
          <t>17:13</t>
        </is>
      </c>
      <c r="J900" s="8" t="n">
        <v>7.5</v>
      </c>
      <c r="K900" s="8" t="n">
        <v>7.5</v>
      </c>
      <c r="L900" s="8" t="n">
        <v>0</v>
      </c>
      <c r="M900" s="29" t="inlineStr">
        <is>
          <t>BİGADİÇ</t>
        </is>
      </c>
    </row>
    <row r="901">
      <c r="A901" s="4" t="n">
        <v>900</v>
      </c>
      <c r="B901" s="4" t="inlineStr">
        <is>
          <t>00374</t>
        </is>
      </c>
      <c r="C901" s="4" t="inlineStr">
        <is>
          <t>00374</t>
        </is>
      </c>
      <c r="D901" s="29" t="inlineStr">
        <is>
          <t>EFE EVİM</t>
        </is>
      </c>
      <c r="E901" s="4" t="inlineStr">
        <is>
          <t>Cumartesi</t>
        </is>
      </c>
      <c r="F901" s="4" t="inlineStr">
        <is>
          <t>3.10.2026</t>
        </is>
      </c>
      <c r="G901" s="4" t="inlineStr">
        <is>
          <t>07:35</t>
        </is>
      </c>
      <c r="H901" s="4" t="inlineStr">
        <is>
          <t>3.10.2026</t>
        </is>
      </c>
      <c r="I901" s="4" t="inlineStr">
        <is>
          <t>17:10</t>
        </is>
      </c>
      <c r="J901" s="8" t="n">
        <v>7.5</v>
      </c>
      <c r="K901" s="8" t="n">
        <v>7.5</v>
      </c>
      <c r="L901" s="8" t="n">
        <v>0</v>
      </c>
      <c r="M901" s="29" t="inlineStr">
        <is>
          <t>BİGADİÇ</t>
        </is>
      </c>
    </row>
    <row r="902">
      <c r="A902" s="4" t="n">
        <v>901</v>
      </c>
      <c r="B902" s="4" t="inlineStr">
        <is>
          <t>00374</t>
        </is>
      </c>
      <c r="C902" s="4" t="inlineStr">
        <is>
          <t>00374</t>
        </is>
      </c>
      <c r="D902" s="29" t="inlineStr">
        <is>
          <t>EFE EVİM</t>
        </is>
      </c>
      <c r="E902" s="4" t="inlineStr">
        <is>
          <t>Pazartesi</t>
        </is>
      </c>
      <c r="F902" s="4" t="inlineStr">
        <is>
          <t>5.10.2026</t>
        </is>
      </c>
      <c r="G902" s="4" t="inlineStr">
        <is>
          <t>07:55</t>
        </is>
      </c>
      <c r="H902" s="4" t="inlineStr">
        <is>
          <t>5.10.2026</t>
        </is>
      </c>
      <c r="I902" s="4" t="inlineStr">
        <is>
          <t>17:11</t>
        </is>
      </c>
      <c r="J902" s="8" t="n">
        <v>7.5</v>
      </c>
      <c r="K902" s="8" t="n">
        <v>7.5</v>
      </c>
      <c r="L902" s="8" t="n">
        <v>0</v>
      </c>
      <c r="M902" s="29" t="inlineStr">
        <is>
          <t>BİGADİÇ</t>
        </is>
      </c>
    </row>
    <row r="903">
      <c r="A903" s="4" t="n">
        <v>902</v>
      </c>
      <c r="B903" s="4" t="inlineStr">
        <is>
          <t>00374</t>
        </is>
      </c>
      <c r="C903" s="4" t="inlineStr">
        <is>
          <t>00374</t>
        </is>
      </c>
      <c r="D903" s="29" t="inlineStr">
        <is>
          <t>EFE EVİM</t>
        </is>
      </c>
      <c r="E903" s="4" t="inlineStr">
        <is>
          <t>Salı</t>
        </is>
      </c>
      <c r="F903" s="4" t="inlineStr">
        <is>
          <t>6.10.2026</t>
        </is>
      </c>
      <c r="G903" s="4" t="inlineStr">
        <is>
          <t>07:54</t>
        </is>
      </c>
      <c r="H903" s="4" t="inlineStr">
        <is>
          <t>6.10.2026</t>
        </is>
      </c>
      <c r="I903" s="4" t="inlineStr">
        <is>
          <t>17:09</t>
        </is>
      </c>
      <c r="J903" s="8" t="n">
        <v>7.5</v>
      </c>
      <c r="K903" s="8" t="n">
        <v>7.5</v>
      </c>
      <c r="L903" s="8" t="n">
        <v>0</v>
      </c>
      <c r="M903" s="29" t="inlineStr">
        <is>
          <t>BİGADİÇ</t>
        </is>
      </c>
    </row>
    <row r="904">
      <c r="A904" s="4" t="n">
        <v>903</v>
      </c>
      <c r="B904" s="4" t="inlineStr">
        <is>
          <t>00374</t>
        </is>
      </c>
      <c r="C904" s="4" t="inlineStr">
        <is>
          <t>00374</t>
        </is>
      </c>
      <c r="D904" s="29" t="inlineStr">
        <is>
          <t>EFE EVİM</t>
        </is>
      </c>
      <c r="E904" s="4" t="inlineStr">
        <is>
          <t>Çarşamba</t>
        </is>
      </c>
      <c r="F904" s="4" t="inlineStr">
        <is>
          <t>7.10.2026</t>
        </is>
      </c>
      <c r="G904" s="4" t="inlineStr">
        <is>
          <t>07:57</t>
        </is>
      </c>
      <c r="H904" s="4" t="inlineStr">
        <is>
          <t>7.10.2026</t>
        </is>
      </c>
      <c r="I904" s="4" t="inlineStr">
        <is>
          <t>17:11</t>
        </is>
      </c>
      <c r="J904" s="8" t="n">
        <v>7.5</v>
      </c>
      <c r="K904" s="8" t="n">
        <v>7.5</v>
      </c>
      <c r="L904" s="8" t="n">
        <v>0</v>
      </c>
      <c r="M904" s="29" t="inlineStr">
        <is>
          <t>BİGADİÇ</t>
        </is>
      </c>
    </row>
    <row r="905">
      <c r="A905" s="4" t="n">
        <v>904</v>
      </c>
      <c r="B905" s="4" t="inlineStr">
        <is>
          <t>00374</t>
        </is>
      </c>
      <c r="C905" s="4" t="inlineStr">
        <is>
          <t>00374</t>
        </is>
      </c>
      <c r="D905" s="29" t="inlineStr">
        <is>
          <t>EFE EVİM</t>
        </is>
      </c>
      <c r="E905" s="4" t="inlineStr">
        <is>
          <t>Perşembe</t>
        </is>
      </c>
      <c r="F905" s="4" t="inlineStr">
        <is>
          <t>8.10.2026</t>
        </is>
      </c>
      <c r="G905" s="4" t="inlineStr">
        <is>
          <t>07:59</t>
        </is>
      </c>
      <c r="H905" s="4" t="inlineStr">
        <is>
          <t>8.10.2026</t>
        </is>
      </c>
      <c r="I905" s="4" t="inlineStr">
        <is>
          <t>17:15</t>
        </is>
      </c>
      <c r="J905" s="8" t="n">
        <v>7.5</v>
      </c>
      <c r="K905" s="8" t="n">
        <v>7.5</v>
      </c>
      <c r="L905" s="8" t="n">
        <v>0</v>
      </c>
      <c r="M905" s="29" t="inlineStr">
        <is>
          <t>BİGADİÇ</t>
        </is>
      </c>
    </row>
    <row r="906">
      <c r="A906" s="4" t="n">
        <v>905</v>
      </c>
      <c r="B906" s="4" t="inlineStr">
        <is>
          <t>00374</t>
        </is>
      </c>
      <c r="C906" s="4" t="inlineStr">
        <is>
          <t>00374</t>
        </is>
      </c>
      <c r="D906" s="29" t="inlineStr">
        <is>
          <t>EFE EVİM</t>
        </is>
      </c>
      <c r="E906" s="4" t="inlineStr">
        <is>
          <t>Cuma</t>
        </is>
      </c>
      <c r="F906" s="4" t="inlineStr">
        <is>
          <t>9.10.2026</t>
        </is>
      </c>
      <c r="G906" s="4" t="inlineStr">
        <is>
          <t>07:54</t>
        </is>
      </c>
      <c r="H906" s="4" t="inlineStr">
        <is>
          <t>9.10.2026</t>
        </is>
      </c>
      <c r="I906" s="4" t="inlineStr">
        <is>
          <t>17:14</t>
        </is>
      </c>
      <c r="J906" s="8" t="n">
        <v>7.5</v>
      </c>
      <c r="K906" s="8" t="n">
        <v>7.5</v>
      </c>
      <c r="L906" s="8" t="n">
        <v>0</v>
      </c>
      <c r="M906" s="29" t="inlineStr">
        <is>
          <t>BİGADİÇ</t>
        </is>
      </c>
    </row>
    <row r="907">
      <c r="A907" s="4" t="n">
        <v>906</v>
      </c>
      <c r="B907" s="4" t="inlineStr">
        <is>
          <t>00374</t>
        </is>
      </c>
      <c r="C907" s="4" t="inlineStr">
        <is>
          <t>00374</t>
        </is>
      </c>
      <c r="D907" s="29" t="inlineStr">
        <is>
          <t>EFE EVİM</t>
        </is>
      </c>
      <c r="E907" s="4" t="inlineStr">
        <is>
          <t>Cumartesi</t>
        </is>
      </c>
      <c r="F907" s="4" t="inlineStr">
        <is>
          <t>10.10.2026</t>
        </is>
      </c>
      <c r="G907" s="4" t="inlineStr">
        <is>
          <t>07:54</t>
        </is>
      </c>
      <c r="H907" s="4" t="inlineStr">
        <is>
          <t>10.10.2026</t>
        </is>
      </c>
      <c r="I907" s="4" t="inlineStr">
        <is>
          <t>17:09</t>
        </is>
      </c>
      <c r="J907" s="8" t="n">
        <v>7.5</v>
      </c>
      <c r="K907" s="8" t="n">
        <v>7.5</v>
      </c>
      <c r="L907" s="8" t="n">
        <v>0</v>
      </c>
      <c r="M907" s="29" t="inlineStr">
        <is>
          <t>BİGADİÇ</t>
        </is>
      </c>
    </row>
    <row r="908">
      <c r="A908" s="4" t="n">
        <v>907</v>
      </c>
      <c r="B908" s="4" t="inlineStr">
        <is>
          <t>00374</t>
        </is>
      </c>
      <c r="C908" s="4" t="inlineStr">
        <is>
          <t>00374</t>
        </is>
      </c>
      <c r="D908" s="29" t="inlineStr">
        <is>
          <t>EFE EVİM</t>
        </is>
      </c>
      <c r="E908" s="4" t="inlineStr">
        <is>
          <t>Pazartesi</t>
        </is>
      </c>
      <c r="F908" s="4" t="inlineStr">
        <is>
          <t>12.10.2026</t>
        </is>
      </c>
      <c r="G908" s="4" t="inlineStr">
        <is>
          <t>07:58</t>
        </is>
      </c>
      <c r="H908" s="4" t="inlineStr">
        <is>
          <t>12.10.2026</t>
        </is>
      </c>
      <c r="I908" s="4" t="inlineStr">
        <is>
          <t>18:10</t>
        </is>
      </c>
      <c r="J908" s="8" t="n">
        <v>8.5</v>
      </c>
      <c r="K908" s="8" t="n">
        <v>7.5</v>
      </c>
      <c r="L908" s="8" t="n">
        <v>1</v>
      </c>
      <c r="M908" s="29" t="inlineStr">
        <is>
          <t>BİGADİÇ</t>
        </is>
      </c>
    </row>
    <row r="909">
      <c r="A909" s="4" t="n">
        <v>908</v>
      </c>
      <c r="B909" s="4" t="inlineStr">
        <is>
          <t>00374</t>
        </is>
      </c>
      <c r="C909" s="4" t="inlineStr">
        <is>
          <t>00374</t>
        </is>
      </c>
      <c r="D909" s="29" t="inlineStr">
        <is>
          <t>EFE EVİM</t>
        </is>
      </c>
      <c r="E909" s="4" t="inlineStr">
        <is>
          <t>Salı</t>
        </is>
      </c>
      <c r="F909" s="4" t="inlineStr">
        <is>
          <t>13.10.2026</t>
        </is>
      </c>
      <c r="G909" s="4" t="inlineStr">
        <is>
          <t>07:55</t>
        </is>
      </c>
      <c r="H909" s="4" t="inlineStr">
        <is>
          <t>13.10.2026</t>
        </is>
      </c>
      <c r="I909" s="4" t="inlineStr">
        <is>
          <t>17:06</t>
        </is>
      </c>
      <c r="J909" s="8" t="n">
        <v>7.5</v>
      </c>
      <c r="K909" s="8" t="n">
        <v>7.5</v>
      </c>
      <c r="L909" s="8" t="n">
        <v>0</v>
      </c>
      <c r="M909" s="29" t="inlineStr">
        <is>
          <t>BİGADİÇ</t>
        </is>
      </c>
    </row>
    <row r="910">
      <c r="A910" s="4" t="n">
        <v>909</v>
      </c>
      <c r="B910" s="4" t="inlineStr">
        <is>
          <t>00374</t>
        </is>
      </c>
      <c r="C910" s="4" t="inlineStr">
        <is>
          <t>00374</t>
        </is>
      </c>
      <c r="D910" s="29" t="inlineStr">
        <is>
          <t>EFE EVİM</t>
        </is>
      </c>
      <c r="E910" s="4" t="inlineStr">
        <is>
          <t>Çarşamba</t>
        </is>
      </c>
      <c r="F910" s="4" t="inlineStr">
        <is>
          <t>14.10.2026</t>
        </is>
      </c>
      <c r="G910" s="4" t="inlineStr">
        <is>
          <t>08:00</t>
        </is>
      </c>
      <c r="H910" s="4" t="inlineStr">
        <is>
          <t>14.10.2026</t>
        </is>
      </c>
      <c r="I910" s="4" t="inlineStr">
        <is>
          <t>17:09</t>
        </is>
      </c>
      <c r="J910" s="8" t="n">
        <v>7.5</v>
      </c>
      <c r="K910" s="8" t="n">
        <v>7.5</v>
      </c>
      <c r="L910" s="8" t="n">
        <v>0</v>
      </c>
      <c r="M910" s="29" t="inlineStr">
        <is>
          <t>BİGADİÇ</t>
        </is>
      </c>
    </row>
    <row r="911">
      <c r="A911" s="4" t="n">
        <v>910</v>
      </c>
      <c r="B911" s="4" t="inlineStr">
        <is>
          <t>00374</t>
        </is>
      </c>
      <c r="C911" s="4" t="inlineStr">
        <is>
          <t>00374</t>
        </is>
      </c>
      <c r="D911" s="29" t="inlineStr">
        <is>
          <t>EFE EVİM</t>
        </is>
      </c>
      <c r="E911" s="4" t="inlineStr">
        <is>
          <t>Perşembe</t>
        </is>
      </c>
      <c r="F911" s="4" t="inlineStr">
        <is>
          <t>15.10.2026</t>
        </is>
      </c>
      <c r="G911" s="4" t="inlineStr">
        <is>
          <t>08:02</t>
        </is>
      </c>
      <c r="H911" s="4" t="inlineStr">
        <is>
          <t>15.10.2026</t>
        </is>
      </c>
      <c r="I911" s="4" t="inlineStr">
        <is>
          <t>17:22</t>
        </is>
      </c>
      <c r="J911" s="8" t="n">
        <v>8</v>
      </c>
      <c r="K911" s="8" t="n">
        <v>7.5</v>
      </c>
      <c r="L911" s="8" t="n">
        <v>0.5</v>
      </c>
      <c r="M911" s="29" t="inlineStr">
        <is>
          <t>BİGADİÇ</t>
        </is>
      </c>
    </row>
    <row r="912">
      <c r="A912" s="4" t="n">
        <v>911</v>
      </c>
      <c r="B912" s="4" t="inlineStr">
        <is>
          <t>00374</t>
        </is>
      </c>
      <c r="C912" s="4" t="inlineStr">
        <is>
          <t>00374</t>
        </is>
      </c>
      <c r="D912" s="29" t="inlineStr">
        <is>
          <t>EFE EVİM</t>
        </is>
      </c>
      <c r="E912" s="4" t="inlineStr">
        <is>
          <t>Cuma</t>
        </is>
      </c>
      <c r="F912" s="4" t="inlineStr">
        <is>
          <t>16.10.2026</t>
        </is>
      </c>
      <c r="G912" s="4" t="inlineStr">
        <is>
          <t>07:54</t>
        </is>
      </c>
      <c r="H912" s="4" t="inlineStr">
        <is>
          <t>16.10.2026</t>
        </is>
      </c>
      <c r="I912" s="4" t="inlineStr">
        <is>
          <t>17:12</t>
        </is>
      </c>
      <c r="J912" s="8" t="n">
        <v>7.5</v>
      </c>
      <c r="K912" s="8" t="n">
        <v>7.5</v>
      </c>
      <c r="L912" s="8" t="n">
        <v>0</v>
      </c>
      <c r="M912" s="29" t="inlineStr">
        <is>
          <t>BİGADİÇ</t>
        </is>
      </c>
    </row>
    <row r="913">
      <c r="A913" s="4" t="n">
        <v>912</v>
      </c>
      <c r="B913" s="4" t="inlineStr">
        <is>
          <t>00374</t>
        </is>
      </c>
      <c r="C913" s="4" t="inlineStr">
        <is>
          <t>00374</t>
        </is>
      </c>
      <c r="D913" s="29" t="inlineStr">
        <is>
          <t>EFE EVİM</t>
        </is>
      </c>
      <c r="E913" s="4" t="inlineStr">
        <is>
          <t>Cumartesi</t>
        </is>
      </c>
      <c r="F913" s="4" t="inlineStr">
        <is>
          <t>17.10.2026</t>
        </is>
      </c>
      <c r="G913" s="4" t="inlineStr">
        <is>
          <t>07:52</t>
        </is>
      </c>
      <c r="H913" s="4" t="inlineStr">
        <is>
          <t>17.10.2026</t>
        </is>
      </c>
      <c r="I913" s="4" t="inlineStr">
        <is>
          <t>17:13</t>
        </is>
      </c>
      <c r="J913" s="8" t="n">
        <v>7.5</v>
      </c>
      <c r="K913" s="8" t="n">
        <v>7.5</v>
      </c>
      <c r="L913" s="8" t="n">
        <v>0</v>
      </c>
      <c r="M913" s="29" t="inlineStr">
        <is>
          <t>BİGADİÇ</t>
        </is>
      </c>
    </row>
    <row r="914">
      <c r="A914" s="4" t="n">
        <v>913</v>
      </c>
      <c r="B914" s="4" t="inlineStr">
        <is>
          <t>00374</t>
        </is>
      </c>
      <c r="C914" s="4" t="inlineStr">
        <is>
          <t>00374</t>
        </is>
      </c>
      <c r="D914" s="29" t="inlineStr">
        <is>
          <t>EFE EVİM</t>
        </is>
      </c>
      <c r="E914" s="4" t="inlineStr">
        <is>
          <t>Pazartesi</t>
        </is>
      </c>
      <c r="F914" s="4" t="inlineStr">
        <is>
          <t>19.10.2026</t>
        </is>
      </c>
      <c r="G914" s="4" t="inlineStr">
        <is>
          <t>07:55</t>
        </is>
      </c>
      <c r="H914" s="4" t="inlineStr">
        <is>
          <t>19.10.2026</t>
        </is>
      </c>
      <c r="I914" s="4" t="inlineStr">
        <is>
          <t>17:15</t>
        </is>
      </c>
      <c r="J914" s="8" t="n">
        <v>7.5</v>
      </c>
      <c r="K914" s="8" t="n">
        <v>7.5</v>
      </c>
      <c r="L914" s="8" t="n">
        <v>0</v>
      </c>
      <c r="M914" s="29" t="inlineStr">
        <is>
          <t>BİGADİÇ</t>
        </is>
      </c>
    </row>
    <row r="915">
      <c r="A915" s="4" t="n">
        <v>914</v>
      </c>
      <c r="B915" s="4" t="inlineStr">
        <is>
          <t>00374</t>
        </is>
      </c>
      <c r="C915" s="4" t="inlineStr">
        <is>
          <t>00374</t>
        </is>
      </c>
      <c r="D915" s="29" t="inlineStr">
        <is>
          <t>EFE EVİM</t>
        </is>
      </c>
      <c r="E915" s="4" t="inlineStr">
        <is>
          <t>Salı</t>
        </is>
      </c>
      <c r="F915" s="4" t="inlineStr">
        <is>
          <t>20.10.2026</t>
        </is>
      </c>
      <c r="G915" s="4" t="inlineStr">
        <is>
          <t>08:19</t>
        </is>
      </c>
      <c r="H915" s="4" t="inlineStr">
        <is>
          <t>20.10.2026</t>
        </is>
      </c>
      <c r="I915" s="4" t="inlineStr">
        <is>
          <t>17:14</t>
        </is>
      </c>
      <c r="J915" s="8" t="n">
        <v>7.5</v>
      </c>
      <c r="K915" s="8" t="n">
        <v>7.5</v>
      </c>
      <c r="L915" s="8" t="n">
        <v>0</v>
      </c>
      <c r="M915" s="29" t="inlineStr">
        <is>
          <t>BİGADİÇ</t>
        </is>
      </c>
    </row>
    <row r="916">
      <c r="A916" s="4" t="n">
        <v>915</v>
      </c>
      <c r="B916" s="4" t="inlineStr">
        <is>
          <t>00374</t>
        </is>
      </c>
      <c r="C916" s="4" t="inlineStr">
        <is>
          <t>00374</t>
        </is>
      </c>
      <c r="D916" s="29" t="inlineStr">
        <is>
          <t>EFE EVİM</t>
        </is>
      </c>
      <c r="E916" s="4" t="inlineStr">
        <is>
          <t>Çarşamba</t>
        </is>
      </c>
      <c r="F916" s="4" t="inlineStr">
        <is>
          <t>21.10.2026</t>
        </is>
      </c>
      <c r="G916" s="4" t="inlineStr">
        <is>
          <t>08:01</t>
        </is>
      </c>
      <c r="H916" s="4" t="inlineStr">
        <is>
          <t>21.10.2026</t>
        </is>
      </c>
      <c r="I916" s="4" t="inlineStr">
        <is>
          <t>17:08</t>
        </is>
      </c>
      <c r="J916" s="8" t="n">
        <v>7.5</v>
      </c>
      <c r="K916" s="8" t="n">
        <v>7.5</v>
      </c>
      <c r="L916" s="8" t="n">
        <v>0</v>
      </c>
      <c r="M916" s="29" t="inlineStr">
        <is>
          <t>BİGADİÇ</t>
        </is>
      </c>
    </row>
    <row r="917">
      <c r="A917" s="4" t="n">
        <v>916</v>
      </c>
      <c r="B917" s="4" t="inlineStr">
        <is>
          <t>01530</t>
        </is>
      </c>
      <c r="C917" s="4" t="inlineStr">
        <is>
          <t>01530</t>
        </is>
      </c>
      <c r="D917" s="29" t="inlineStr">
        <is>
          <t>EFE CANBAZ</t>
        </is>
      </c>
      <c r="E917" s="4" t="inlineStr">
        <is>
          <t>Perşembe</t>
        </is>
      </c>
      <c r="F917" s="4" t="inlineStr">
        <is>
          <t>8.10.2026</t>
        </is>
      </c>
      <c r="G917" s="4" t="inlineStr">
        <is>
          <t>20:03</t>
        </is>
      </c>
      <c r="H917" s="4" t="inlineStr">
        <is>
          <t>8.10.2026</t>
        </is>
      </c>
      <c r="I917" s="4" t="inlineStr">
        <is>
          <t>07:59</t>
        </is>
      </c>
      <c r="J917" s="8" t="n">
        <v>10.5</v>
      </c>
      <c r="K917" s="8" t="n">
        <v>7.5</v>
      </c>
      <c r="L917" s="8" t="n">
        <v>3</v>
      </c>
      <c r="M917" s="29" t="inlineStr">
        <is>
          <t>HALİL DİĞRENCİ</t>
        </is>
      </c>
    </row>
    <row r="918">
      <c r="A918" s="4" t="n">
        <v>917</v>
      </c>
      <c r="B918" s="4" t="inlineStr">
        <is>
          <t>01530</t>
        </is>
      </c>
      <c r="C918" s="4" t="inlineStr">
        <is>
          <t>01530</t>
        </is>
      </c>
      <c r="D918" s="29" t="inlineStr">
        <is>
          <t>EFE CANBAZ</t>
        </is>
      </c>
      <c r="E918" s="4" t="inlineStr">
        <is>
          <t>Cumartesi</t>
        </is>
      </c>
      <c r="F918" s="4" t="inlineStr">
        <is>
          <t>10.10.2026</t>
        </is>
      </c>
      <c r="G918" s="4" t="inlineStr">
        <is>
          <t>19:54</t>
        </is>
      </c>
      <c r="H918" s="4" t="inlineStr">
        <is>
          <t>10.10.2026</t>
        </is>
      </c>
      <c r="I918" s="4" t="inlineStr">
        <is>
          <t>07:56</t>
        </is>
      </c>
      <c r="J918" s="8" t="n">
        <v>10.5</v>
      </c>
      <c r="K918" s="8" t="n">
        <v>7.5</v>
      </c>
      <c r="L918" s="8" t="n">
        <v>3</v>
      </c>
      <c r="M918" s="29" t="inlineStr">
        <is>
          <t>HALİL DİĞRENCİ</t>
        </is>
      </c>
    </row>
    <row r="919">
      <c r="A919" s="4" t="n">
        <v>918</v>
      </c>
      <c r="B919" s="4" t="inlineStr">
        <is>
          <t>01530</t>
        </is>
      </c>
      <c r="C919" s="4" t="inlineStr">
        <is>
          <t>01530</t>
        </is>
      </c>
      <c r="D919" s="29" t="inlineStr">
        <is>
          <t>EFE CANBAZ</t>
        </is>
      </c>
      <c r="E919" s="4" t="inlineStr">
        <is>
          <t>Pazar</t>
        </is>
      </c>
      <c r="F919" s="4" t="inlineStr">
        <is>
          <t>11.10.2026</t>
        </is>
      </c>
      <c r="G919" s="4" t="inlineStr">
        <is>
          <t>20:11</t>
        </is>
      </c>
      <c r="H919" s="4" t="inlineStr">
        <is>
          <t>11.10.2026</t>
        </is>
      </c>
      <c r="I919" s="4" t="inlineStr">
        <is>
          <t>08:02</t>
        </is>
      </c>
      <c r="J919" s="8" t="n">
        <v>10.5</v>
      </c>
      <c r="K919" s="8" t="n">
        <v>7.5</v>
      </c>
      <c r="L919" s="8" t="n">
        <v>3</v>
      </c>
      <c r="M919" s="29" t="inlineStr">
        <is>
          <t>HALİL DİĞRENCİ</t>
        </is>
      </c>
    </row>
    <row r="920">
      <c r="A920" s="4" t="n">
        <v>919</v>
      </c>
      <c r="B920" s="4" t="inlineStr">
        <is>
          <t>01530</t>
        </is>
      </c>
      <c r="C920" s="4" t="inlineStr">
        <is>
          <t>01530</t>
        </is>
      </c>
      <c r="D920" s="29" t="inlineStr">
        <is>
          <t>EFE CANBAZ</t>
        </is>
      </c>
      <c r="E920" s="4" t="inlineStr">
        <is>
          <t>Salı</t>
        </is>
      </c>
      <c r="F920" s="4" t="inlineStr">
        <is>
          <t>13.10.2026</t>
        </is>
      </c>
      <c r="G920" s="4" t="inlineStr">
        <is>
          <t>19:54</t>
        </is>
      </c>
      <c r="H920" s="4" t="inlineStr">
        <is>
          <t>13.10.2026</t>
        </is>
      </c>
      <c r="I920" s="4" t="inlineStr">
        <is>
          <t>08:00</t>
        </is>
      </c>
      <c r="J920" s="8" t="n">
        <v>10.5</v>
      </c>
      <c r="K920" s="8" t="n">
        <v>7.5</v>
      </c>
      <c r="L920" s="8" t="n">
        <v>3</v>
      </c>
      <c r="M920" s="29" t="inlineStr">
        <is>
          <t>HALİL DİĞRENCİ</t>
        </is>
      </c>
    </row>
    <row r="921">
      <c r="A921" s="4" t="n">
        <v>920</v>
      </c>
      <c r="B921" s="4" t="inlineStr">
        <is>
          <t>01530</t>
        </is>
      </c>
      <c r="C921" s="4" t="inlineStr">
        <is>
          <t>01530</t>
        </is>
      </c>
      <c r="D921" s="29" t="inlineStr">
        <is>
          <t>EFE CANBAZ</t>
        </is>
      </c>
      <c r="E921" s="4" t="inlineStr">
        <is>
          <t>Çarşamba</t>
        </is>
      </c>
      <c r="F921" s="4" t="inlineStr">
        <is>
          <t>14.10.2026</t>
        </is>
      </c>
      <c r="G921" s="4" t="inlineStr">
        <is>
          <t>20:05</t>
        </is>
      </c>
      <c r="H921" s="4" t="inlineStr">
        <is>
          <t>14.10.2026</t>
        </is>
      </c>
      <c r="I921" s="4" t="inlineStr">
        <is>
          <t>08:05</t>
        </is>
      </c>
      <c r="J921" s="8" t="n">
        <v>10.5</v>
      </c>
      <c r="K921" s="8" t="n">
        <v>7.5</v>
      </c>
      <c r="L921" s="8" t="n">
        <v>3</v>
      </c>
      <c r="M921" s="29" t="inlineStr">
        <is>
          <t>HALİL DİĞRENCİ</t>
        </is>
      </c>
    </row>
    <row r="922">
      <c r="A922" s="4" t="n">
        <v>921</v>
      </c>
      <c r="B922" s="4" t="inlineStr">
        <is>
          <t>01530</t>
        </is>
      </c>
      <c r="C922" s="4" t="inlineStr">
        <is>
          <t>01530</t>
        </is>
      </c>
      <c r="D922" s="29" t="inlineStr">
        <is>
          <t>EFE CANBAZ</t>
        </is>
      </c>
      <c r="E922" s="4" t="inlineStr">
        <is>
          <t>Perşembe</t>
        </is>
      </c>
      <c r="F922" s="4" t="inlineStr">
        <is>
          <t>15.10.2026</t>
        </is>
      </c>
      <c r="G922" s="4" t="inlineStr">
        <is>
          <t>19:53</t>
        </is>
      </c>
      <c r="H922" s="4" t="inlineStr">
        <is>
          <t>15.10.2026</t>
        </is>
      </c>
      <c r="I922" s="4" t="inlineStr">
        <is>
          <t>01:33</t>
        </is>
      </c>
      <c r="J922" s="8" t="n">
        <v>5</v>
      </c>
      <c r="K922" s="8" t="n">
        <v>5</v>
      </c>
      <c r="L922" s="8" t="n">
        <v>0</v>
      </c>
      <c r="M922" s="29" t="inlineStr">
        <is>
          <t>HALİL DİĞRENCİ</t>
        </is>
      </c>
    </row>
    <row r="923">
      <c r="A923" s="4" t="n">
        <v>922</v>
      </c>
      <c r="B923" s="4" t="inlineStr">
        <is>
          <t>01530</t>
        </is>
      </c>
      <c r="C923" s="4" t="inlineStr">
        <is>
          <t>01530</t>
        </is>
      </c>
      <c r="D923" s="29" t="inlineStr">
        <is>
          <t>EFE CANBAZ</t>
        </is>
      </c>
      <c r="E923" s="4" t="inlineStr">
        <is>
          <t>Pazartesi</t>
        </is>
      </c>
      <c r="F923" s="4" t="inlineStr">
        <is>
          <t>19.10.2026</t>
        </is>
      </c>
      <c r="G923" s="4" t="inlineStr">
        <is>
          <t>20:13</t>
        </is>
      </c>
      <c r="H923" s="4" t="inlineStr">
        <is>
          <t>19.10.2026</t>
        </is>
      </c>
      <c r="I923" s="4" t="inlineStr">
        <is>
          <t>07:55</t>
        </is>
      </c>
      <c r="J923" s="8" t="n">
        <v>10.5</v>
      </c>
      <c r="K923" s="8" t="n">
        <v>7.5</v>
      </c>
      <c r="L923" s="8" t="n">
        <v>3</v>
      </c>
      <c r="M923" s="29" t="inlineStr">
        <is>
          <t>HALİL DİĞRENCİ</t>
        </is>
      </c>
    </row>
    <row r="924">
      <c r="A924" s="4" t="n">
        <v>923</v>
      </c>
      <c r="B924" s="4" t="inlineStr">
        <is>
          <t>00037</t>
        </is>
      </c>
      <c r="C924" s="4" t="inlineStr">
        <is>
          <t>00037</t>
        </is>
      </c>
      <c r="D924" s="29" t="inlineStr">
        <is>
          <t>EFRAİM DUMAN</t>
        </is>
      </c>
      <c r="E924" s="4" t="inlineStr">
        <is>
          <t>Perşembe</t>
        </is>
      </c>
      <c r="F924" s="4" t="inlineStr">
        <is>
          <t>1.10.2026</t>
        </is>
      </c>
      <c r="G924" s="4" t="inlineStr">
        <is>
          <t>20:06</t>
        </is>
      </c>
      <c r="H924" s="4" t="inlineStr">
        <is>
          <t>1.10.2026</t>
        </is>
      </c>
      <c r="I924" s="4" t="inlineStr">
        <is>
          <t>07:54</t>
        </is>
      </c>
      <c r="J924" s="8" t="n">
        <v>10.5</v>
      </c>
      <c r="K924" s="8" t="n">
        <v>7.5</v>
      </c>
      <c r="L924" s="8" t="n">
        <v>3</v>
      </c>
      <c r="M924" s="29" t="inlineStr">
        <is>
          <t>SUSURLUK</t>
        </is>
      </c>
    </row>
    <row r="925">
      <c r="A925" s="4" t="n">
        <v>924</v>
      </c>
      <c r="B925" s="4" t="inlineStr">
        <is>
          <t>00037</t>
        </is>
      </c>
      <c r="C925" s="4" t="inlineStr">
        <is>
          <t>00037</t>
        </is>
      </c>
      <c r="D925" s="29" t="inlineStr">
        <is>
          <t>EFRAİM DUMAN</t>
        </is>
      </c>
      <c r="E925" s="4" t="inlineStr">
        <is>
          <t>Cuma</t>
        </is>
      </c>
      <c r="F925" s="4" t="inlineStr">
        <is>
          <t>2.10.2026</t>
        </is>
      </c>
      <c r="G925" s="4" t="inlineStr">
        <is>
          <t>19:52</t>
        </is>
      </c>
      <c r="H925" s="4" t="inlineStr">
        <is>
          <t>2.10.2026</t>
        </is>
      </c>
      <c r="I925" s="4" t="inlineStr">
        <is>
          <t>08:02</t>
        </is>
      </c>
      <c r="J925" s="8" t="n">
        <v>10.5</v>
      </c>
      <c r="K925" s="8" t="n">
        <v>7.5</v>
      </c>
      <c r="L925" s="8" t="n">
        <v>3</v>
      </c>
      <c r="M925" s="29" t="inlineStr">
        <is>
          <t>SUSURLUK</t>
        </is>
      </c>
    </row>
    <row r="926">
      <c r="A926" s="4" t="n">
        <v>925</v>
      </c>
      <c r="B926" s="4" t="inlineStr">
        <is>
          <t>00037</t>
        </is>
      </c>
      <c r="C926" s="4" t="inlineStr">
        <is>
          <t>00037</t>
        </is>
      </c>
      <c r="D926" s="29" t="inlineStr">
        <is>
          <t>EFRAİM DUMAN</t>
        </is>
      </c>
      <c r="E926" s="4" t="inlineStr">
        <is>
          <t>Pazartesi</t>
        </is>
      </c>
      <c r="F926" s="4" t="inlineStr">
        <is>
          <t>5.10.2026</t>
        </is>
      </c>
      <c r="G926" s="4" t="inlineStr">
        <is>
          <t>19:51</t>
        </is>
      </c>
      <c r="H926" s="4" t="inlineStr">
        <is>
          <t>5.10.2026</t>
        </is>
      </c>
      <c r="I926" s="4" t="inlineStr">
        <is>
          <t>07:57</t>
        </is>
      </c>
      <c r="J926" s="8" t="n">
        <v>10.5</v>
      </c>
      <c r="K926" s="8" t="n">
        <v>7.5</v>
      </c>
      <c r="L926" s="8" t="n">
        <v>3</v>
      </c>
      <c r="M926" s="29" t="inlineStr">
        <is>
          <t>SUSURLUK</t>
        </is>
      </c>
    </row>
    <row r="927">
      <c r="A927" s="4" t="n">
        <v>926</v>
      </c>
      <c r="B927" s="4" t="inlineStr">
        <is>
          <t>00037</t>
        </is>
      </c>
      <c r="C927" s="4" t="inlineStr">
        <is>
          <t>00037</t>
        </is>
      </c>
      <c r="D927" s="29" t="inlineStr">
        <is>
          <t>EFRAİM DUMAN</t>
        </is>
      </c>
      <c r="E927" s="4" t="inlineStr">
        <is>
          <t>Salı</t>
        </is>
      </c>
      <c r="F927" s="4" t="inlineStr">
        <is>
          <t>6.10.2026</t>
        </is>
      </c>
      <c r="G927" s="4" t="inlineStr">
        <is>
          <t>20:03</t>
        </is>
      </c>
      <c r="H927" s="4" t="inlineStr">
        <is>
          <t>6.10.2026</t>
        </is>
      </c>
      <c r="I927" s="4" t="inlineStr">
        <is>
          <t>08:02</t>
        </is>
      </c>
      <c r="J927" s="8" t="n">
        <v>10.5</v>
      </c>
      <c r="K927" s="8" t="n">
        <v>7.5</v>
      </c>
      <c r="L927" s="8" t="n">
        <v>3</v>
      </c>
      <c r="M927" s="29" t="inlineStr">
        <is>
          <t>SUSURLUK</t>
        </is>
      </c>
    </row>
    <row r="928">
      <c r="A928" s="4" t="n">
        <v>927</v>
      </c>
      <c r="B928" s="4" t="inlineStr">
        <is>
          <t>00037</t>
        </is>
      </c>
      <c r="C928" s="4" t="inlineStr">
        <is>
          <t>00037</t>
        </is>
      </c>
      <c r="D928" s="29" t="inlineStr">
        <is>
          <t>EFRAİM DUMAN</t>
        </is>
      </c>
      <c r="E928" s="4" t="inlineStr">
        <is>
          <t>Çarşamba</t>
        </is>
      </c>
      <c r="F928" s="4" t="inlineStr">
        <is>
          <t>7.10.2026</t>
        </is>
      </c>
      <c r="G928" s="4" t="inlineStr">
        <is>
          <t>20:02</t>
        </is>
      </c>
      <c r="H928" s="4" t="inlineStr">
        <is>
          <t>7.10.2026</t>
        </is>
      </c>
      <c r="I928" s="4" t="inlineStr">
        <is>
          <t>08:03</t>
        </is>
      </c>
      <c r="J928" s="8" t="n">
        <v>10.5</v>
      </c>
      <c r="K928" s="8" t="n">
        <v>7.5</v>
      </c>
      <c r="L928" s="8" t="n">
        <v>3</v>
      </c>
      <c r="M928" s="29" t="inlineStr">
        <is>
          <t>SUSURLUK</t>
        </is>
      </c>
    </row>
    <row r="929">
      <c r="A929" s="4" t="n">
        <v>928</v>
      </c>
      <c r="B929" s="4" t="inlineStr">
        <is>
          <t>00037</t>
        </is>
      </c>
      <c r="C929" s="4" t="inlineStr">
        <is>
          <t>00037</t>
        </is>
      </c>
      <c r="D929" s="29" t="inlineStr">
        <is>
          <t>EFRAİM DUMAN</t>
        </is>
      </c>
      <c r="E929" s="4" t="inlineStr">
        <is>
          <t>Perşembe</t>
        </is>
      </c>
      <c r="F929" s="4" t="inlineStr">
        <is>
          <t>8.10.2026</t>
        </is>
      </c>
      <c r="G929" s="4" t="inlineStr">
        <is>
          <t>20:05</t>
        </is>
      </c>
      <c r="H929" s="4" t="inlineStr">
        <is>
          <t>8.10.2026</t>
        </is>
      </c>
      <c r="I929" s="4" t="inlineStr">
        <is>
          <t>08:01</t>
        </is>
      </c>
      <c r="J929" s="8" t="n">
        <v>10.5</v>
      </c>
      <c r="K929" s="8" t="n">
        <v>7.5</v>
      </c>
      <c r="L929" s="8" t="n">
        <v>3</v>
      </c>
      <c r="M929" s="29" t="inlineStr">
        <is>
          <t>SUSURLUK</t>
        </is>
      </c>
    </row>
    <row r="930">
      <c r="A930" s="4" t="n">
        <v>929</v>
      </c>
      <c r="B930" s="4" t="inlineStr">
        <is>
          <t>00037</t>
        </is>
      </c>
      <c r="C930" s="4" t="inlineStr">
        <is>
          <t>00037</t>
        </is>
      </c>
      <c r="D930" s="29" t="inlineStr">
        <is>
          <t>EFRAİM DUMAN</t>
        </is>
      </c>
      <c r="E930" s="4" t="inlineStr">
        <is>
          <t>Cuma</t>
        </is>
      </c>
      <c r="F930" s="4" t="inlineStr">
        <is>
          <t>9.10.2026</t>
        </is>
      </c>
      <c r="G930" s="4" t="inlineStr">
        <is>
          <t>19:53</t>
        </is>
      </c>
      <c r="H930" s="4" t="inlineStr">
        <is>
          <t>9.10.2026</t>
        </is>
      </c>
      <c r="I930" s="4" t="inlineStr">
        <is>
          <t>07:58</t>
        </is>
      </c>
      <c r="J930" s="8" t="n">
        <v>10.5</v>
      </c>
      <c r="K930" s="8" t="n">
        <v>7.5</v>
      </c>
      <c r="L930" s="8" t="n">
        <v>3</v>
      </c>
      <c r="M930" s="29" t="inlineStr">
        <is>
          <t>SUSURLUK</t>
        </is>
      </c>
    </row>
    <row r="931">
      <c r="A931" s="4" t="n">
        <v>930</v>
      </c>
      <c r="B931" s="4" t="inlineStr">
        <is>
          <t>00037</t>
        </is>
      </c>
      <c r="C931" s="4" t="inlineStr">
        <is>
          <t>00037</t>
        </is>
      </c>
      <c r="D931" s="29" t="inlineStr">
        <is>
          <t>EFRAİM DUMAN</t>
        </is>
      </c>
      <c r="E931" s="4" t="inlineStr">
        <is>
          <t>Cumartesi</t>
        </is>
      </c>
      <c r="F931" s="4" t="inlineStr">
        <is>
          <t>10.10.2026</t>
        </is>
      </c>
      <c r="G931" s="4" t="inlineStr">
        <is>
          <t>20:03</t>
        </is>
      </c>
      <c r="H931" s="4" t="inlineStr">
        <is>
          <t>10.10.2026</t>
        </is>
      </c>
      <c r="I931" s="4" t="inlineStr">
        <is>
          <t>08:05</t>
        </is>
      </c>
      <c r="J931" s="8" t="n">
        <v>10.5</v>
      </c>
      <c r="K931" s="8" t="n">
        <v>7.5</v>
      </c>
      <c r="L931" s="8" t="n">
        <v>3</v>
      </c>
      <c r="M931" s="29" t="inlineStr">
        <is>
          <t>SUSURLUK</t>
        </is>
      </c>
    </row>
    <row r="932">
      <c r="A932" s="4" t="n">
        <v>931</v>
      </c>
      <c r="B932" s="4" t="inlineStr">
        <is>
          <t>00037</t>
        </is>
      </c>
      <c r="C932" s="4" t="inlineStr">
        <is>
          <t>00037</t>
        </is>
      </c>
      <c r="D932" s="29" t="inlineStr">
        <is>
          <t>EFRAİM DUMAN</t>
        </is>
      </c>
      <c r="E932" s="4" t="inlineStr">
        <is>
          <t>Pazar</t>
        </is>
      </c>
      <c r="F932" s="4" t="inlineStr">
        <is>
          <t>11.10.2026</t>
        </is>
      </c>
      <c r="G932" s="4" t="inlineStr">
        <is>
          <t>20:02</t>
        </is>
      </c>
      <c r="H932" s="4" t="inlineStr">
        <is>
          <t>11.10.2026</t>
        </is>
      </c>
      <c r="I932" s="4" t="inlineStr">
        <is>
          <t>07:57</t>
        </is>
      </c>
      <c r="J932" s="8" t="n">
        <v>10.5</v>
      </c>
      <c r="K932" s="8" t="n">
        <v>7.5</v>
      </c>
      <c r="L932" s="8" t="n">
        <v>3</v>
      </c>
      <c r="M932" s="29" t="inlineStr">
        <is>
          <t>SUSURLUK</t>
        </is>
      </c>
    </row>
    <row r="933">
      <c r="A933" s="4" t="n">
        <v>932</v>
      </c>
      <c r="B933" s="4" t="inlineStr">
        <is>
          <t>00037</t>
        </is>
      </c>
      <c r="C933" s="4" t="inlineStr">
        <is>
          <t>00037</t>
        </is>
      </c>
      <c r="D933" s="29" t="inlineStr">
        <is>
          <t>EFRAİM DUMAN</t>
        </is>
      </c>
      <c r="E933" s="4" t="inlineStr">
        <is>
          <t>Pazartesi</t>
        </is>
      </c>
      <c r="F933" s="4" t="inlineStr">
        <is>
          <t>12.10.2026</t>
        </is>
      </c>
      <c r="G933" s="4" t="inlineStr">
        <is>
          <t>19:46</t>
        </is>
      </c>
      <c r="H933" s="4" t="inlineStr">
        <is>
          <t>12.10.2026</t>
        </is>
      </c>
      <c r="I933" s="4" t="inlineStr">
        <is>
          <t>07:58</t>
        </is>
      </c>
      <c r="J933" s="8" t="n">
        <v>10.5</v>
      </c>
      <c r="K933" s="8" t="n">
        <v>7.5</v>
      </c>
      <c r="L933" s="8" t="n">
        <v>3</v>
      </c>
      <c r="M933" s="29" t="inlineStr">
        <is>
          <t>SUSURLUK</t>
        </is>
      </c>
    </row>
    <row r="934">
      <c r="A934" s="4" t="n">
        <v>933</v>
      </c>
      <c r="B934" s="4" t="inlineStr">
        <is>
          <t>00037</t>
        </is>
      </c>
      <c r="C934" s="4" t="inlineStr">
        <is>
          <t>00037</t>
        </is>
      </c>
      <c r="D934" s="29" t="inlineStr">
        <is>
          <t>EFRAİM DUMAN</t>
        </is>
      </c>
      <c r="E934" s="4" t="inlineStr">
        <is>
          <t>Salı</t>
        </is>
      </c>
      <c r="F934" s="4" t="inlineStr">
        <is>
          <t>13.10.2026</t>
        </is>
      </c>
      <c r="G934" s="4" t="inlineStr">
        <is>
          <t>19:56</t>
        </is>
      </c>
      <c r="H934" s="4" t="inlineStr">
        <is>
          <t>13.10.2026</t>
        </is>
      </c>
      <c r="I934" s="4" t="inlineStr">
        <is>
          <t>08:00</t>
        </is>
      </c>
      <c r="J934" s="8" t="n">
        <v>10.5</v>
      </c>
      <c r="K934" s="8" t="n">
        <v>7.5</v>
      </c>
      <c r="L934" s="8" t="n">
        <v>3</v>
      </c>
      <c r="M934" s="29" t="inlineStr">
        <is>
          <t>SUSURLUK</t>
        </is>
      </c>
    </row>
    <row r="935">
      <c r="A935" s="4" t="n">
        <v>934</v>
      </c>
      <c r="B935" s="4" t="inlineStr">
        <is>
          <t>00037</t>
        </is>
      </c>
      <c r="C935" s="4" t="inlineStr">
        <is>
          <t>00037</t>
        </is>
      </c>
      <c r="D935" s="29" t="inlineStr">
        <is>
          <t>EFRAİM DUMAN</t>
        </is>
      </c>
      <c r="E935" s="4" t="inlineStr">
        <is>
          <t>Çarşamba</t>
        </is>
      </c>
      <c r="F935" s="4" t="inlineStr">
        <is>
          <t>14.10.2026</t>
        </is>
      </c>
      <c r="G935" s="4" t="inlineStr">
        <is>
          <t>20:09</t>
        </is>
      </c>
      <c r="H935" s="4" t="inlineStr">
        <is>
          <t>14.10.2026</t>
        </is>
      </c>
      <c r="I935" s="4" t="inlineStr">
        <is>
          <t>07:56</t>
        </is>
      </c>
      <c r="J935" s="8" t="n">
        <v>10.5</v>
      </c>
      <c r="K935" s="8" t="n">
        <v>7.5</v>
      </c>
      <c r="L935" s="8" t="n">
        <v>3</v>
      </c>
      <c r="M935" s="29" t="inlineStr">
        <is>
          <t>SUSURLUK</t>
        </is>
      </c>
    </row>
    <row r="936">
      <c r="A936" s="4" t="n">
        <v>935</v>
      </c>
      <c r="B936" s="4" t="inlineStr">
        <is>
          <t>00037</t>
        </is>
      </c>
      <c r="C936" s="4" t="inlineStr">
        <is>
          <t>00037</t>
        </is>
      </c>
      <c r="D936" s="29" t="inlineStr">
        <is>
          <t>EFRAİM DUMAN</t>
        </is>
      </c>
      <c r="E936" s="4" t="inlineStr">
        <is>
          <t>Perşembe</t>
        </is>
      </c>
      <c r="F936" s="4" t="inlineStr">
        <is>
          <t>15.10.2026</t>
        </is>
      </c>
      <c r="G936" s="4" t="inlineStr">
        <is>
          <t>20:01</t>
        </is>
      </c>
      <c r="H936" s="4" t="inlineStr">
        <is>
          <t>15.10.2026</t>
        </is>
      </c>
      <c r="I936" s="4" t="inlineStr">
        <is>
          <t>07:57</t>
        </is>
      </c>
      <c r="J936" s="8" t="n">
        <v>10.5</v>
      </c>
      <c r="K936" s="8" t="n">
        <v>7.5</v>
      </c>
      <c r="L936" s="8" t="n">
        <v>3</v>
      </c>
      <c r="M936" s="29" t="inlineStr">
        <is>
          <t>SUSURLUK</t>
        </is>
      </c>
    </row>
    <row r="937">
      <c r="A937" s="4" t="n">
        <v>936</v>
      </c>
      <c r="B937" s="4" t="inlineStr">
        <is>
          <t>00037</t>
        </is>
      </c>
      <c r="C937" s="4" t="inlineStr">
        <is>
          <t>00037</t>
        </is>
      </c>
      <c r="D937" s="29" t="inlineStr">
        <is>
          <t>EFRAİM DUMAN</t>
        </is>
      </c>
      <c r="E937" s="4" t="inlineStr">
        <is>
          <t>Cuma</t>
        </is>
      </c>
      <c r="F937" s="4" t="inlineStr">
        <is>
          <t>16.10.2026</t>
        </is>
      </c>
      <c r="G937" s="4" t="inlineStr">
        <is>
          <t>19:47</t>
        </is>
      </c>
      <c r="H937" s="4" t="inlineStr">
        <is>
          <t>16.10.2026</t>
        </is>
      </c>
      <c r="I937" s="4" t="inlineStr">
        <is>
          <t>04:02</t>
        </is>
      </c>
      <c r="J937" s="8" t="n">
        <v>7.5</v>
      </c>
      <c r="K937" s="8" t="n">
        <v>7.5</v>
      </c>
      <c r="L937" s="8" t="n">
        <v>0</v>
      </c>
      <c r="M937" s="29" t="inlineStr">
        <is>
          <t>SUSURLUK</t>
        </is>
      </c>
    </row>
    <row r="938">
      <c r="A938" s="4" t="n">
        <v>937</v>
      </c>
      <c r="B938" s="4" t="inlineStr">
        <is>
          <t>00037</t>
        </is>
      </c>
      <c r="C938" s="4" t="inlineStr">
        <is>
          <t>00037</t>
        </is>
      </c>
      <c r="D938" s="29" t="inlineStr">
        <is>
          <t>EFRAİM DUMAN</t>
        </is>
      </c>
      <c r="E938" s="4" t="inlineStr">
        <is>
          <t>Cumartesi</t>
        </is>
      </c>
      <c r="F938" s="4" t="inlineStr">
        <is>
          <t>17.10.2026</t>
        </is>
      </c>
      <c r="G938" s="4" t="inlineStr">
        <is>
          <t>19:58</t>
        </is>
      </c>
      <c r="H938" s="4" t="inlineStr">
        <is>
          <t>17.10.2026</t>
        </is>
      </c>
      <c r="I938" s="4" t="inlineStr">
        <is>
          <t>02:31</t>
        </is>
      </c>
      <c r="J938" s="8" t="n">
        <v>6</v>
      </c>
      <c r="K938" s="8" t="n">
        <v>6</v>
      </c>
      <c r="L938" s="8" t="n">
        <v>0</v>
      </c>
      <c r="M938" s="29" t="inlineStr">
        <is>
          <t>SUSURLUK</t>
        </is>
      </c>
    </row>
    <row r="939">
      <c r="A939" s="4" t="n">
        <v>938</v>
      </c>
      <c r="B939" s="4" t="inlineStr">
        <is>
          <t>00037</t>
        </is>
      </c>
      <c r="C939" s="4" t="inlineStr">
        <is>
          <t>00037</t>
        </is>
      </c>
      <c r="D939" s="29" t="inlineStr">
        <is>
          <t>EFRAİM DUMAN</t>
        </is>
      </c>
      <c r="E939" s="4" t="inlineStr">
        <is>
          <t>Pazartesi</t>
        </is>
      </c>
      <c r="F939" s="4" t="inlineStr">
        <is>
          <t>19.10.2026</t>
        </is>
      </c>
      <c r="G939" s="4" t="inlineStr">
        <is>
          <t>19:57</t>
        </is>
      </c>
      <c r="H939" s="4" t="inlineStr">
        <is>
          <t>19.10.2026</t>
        </is>
      </c>
      <c r="I939" s="4" t="inlineStr">
        <is>
          <t>-</t>
        </is>
      </c>
      <c r="J939" s="8" t="n">
        <v>7.5</v>
      </c>
      <c r="K939" s="8" t="n">
        <v>7.5</v>
      </c>
      <c r="L939" s="8" t="n">
        <v>0</v>
      </c>
      <c r="M939" s="29" t="inlineStr">
        <is>
          <t>SUSURLUK</t>
        </is>
      </c>
    </row>
    <row r="940">
      <c r="A940" s="4" t="n">
        <v>939</v>
      </c>
      <c r="B940" s="4" t="inlineStr">
        <is>
          <t>00037</t>
        </is>
      </c>
      <c r="C940" s="4" t="inlineStr">
        <is>
          <t>00037</t>
        </is>
      </c>
      <c r="D940" s="29" t="inlineStr">
        <is>
          <t>EFRAİM DUMAN</t>
        </is>
      </c>
      <c r="E940" s="4" t="inlineStr">
        <is>
          <t>Salı</t>
        </is>
      </c>
      <c r="F940" s="4" t="inlineStr">
        <is>
          <t>20.10.2026</t>
        </is>
      </c>
      <c r="G940" s="4" t="inlineStr">
        <is>
          <t>19:52</t>
        </is>
      </c>
      <c r="H940" s="4" t="inlineStr">
        <is>
          <t>20.10.2026</t>
        </is>
      </c>
      <c r="I940" s="4" t="inlineStr">
        <is>
          <t>07:44</t>
        </is>
      </c>
      <c r="J940" s="8" t="n">
        <v>10</v>
      </c>
      <c r="K940" s="8" t="n">
        <v>7.5</v>
      </c>
      <c r="L940" s="8" t="n">
        <v>2.5</v>
      </c>
      <c r="M940" s="29" t="inlineStr">
        <is>
          <t>SUSURLUK</t>
        </is>
      </c>
    </row>
    <row r="941">
      <c r="A941" s="4" t="n">
        <v>940</v>
      </c>
      <c r="B941" s="4" t="inlineStr">
        <is>
          <t>00002</t>
        </is>
      </c>
      <c r="C941" s="4" t="inlineStr">
        <is>
          <t>00002</t>
        </is>
      </c>
      <c r="D941" s="29" t="inlineStr">
        <is>
          <t>ELİF YAVAŞ</t>
        </is>
      </c>
      <c r="E941" s="4" t="inlineStr">
        <is>
          <t>Perşembe</t>
        </is>
      </c>
      <c r="F941" s="4" t="inlineStr">
        <is>
          <t>1.10.2026</t>
        </is>
      </c>
      <c r="G941" s="4" t="inlineStr">
        <is>
          <t>07:53</t>
        </is>
      </c>
      <c r="H941" s="4" t="inlineStr">
        <is>
          <t>1.10.2026</t>
        </is>
      </c>
      <c r="I941" s="4" t="inlineStr">
        <is>
          <t>17:08</t>
        </is>
      </c>
      <c r="J941" s="8" t="n">
        <v>7.5</v>
      </c>
      <c r="K941" s="8" t="n">
        <v>7.5</v>
      </c>
      <c r="L941" s="8" t="n">
        <v>0</v>
      </c>
      <c r="M941" s="29" t="inlineStr">
        <is>
          <t>SUSURLUK</t>
        </is>
      </c>
    </row>
    <row r="942">
      <c r="A942" s="4" t="n">
        <v>941</v>
      </c>
      <c r="B942" s="4" t="inlineStr">
        <is>
          <t>00002</t>
        </is>
      </c>
      <c r="C942" s="4" t="inlineStr">
        <is>
          <t>00002</t>
        </is>
      </c>
      <c r="D942" s="29" t="inlineStr">
        <is>
          <t>ELİF YAVAŞ</t>
        </is>
      </c>
      <c r="E942" s="4" t="inlineStr">
        <is>
          <t>Cuma</t>
        </is>
      </c>
      <c r="F942" s="4" t="inlineStr">
        <is>
          <t>2.10.2026</t>
        </is>
      </c>
      <c r="G942" s="4" t="inlineStr">
        <is>
          <t>07:57</t>
        </is>
      </c>
      <c r="H942" s="4" t="inlineStr">
        <is>
          <t>2.10.2026</t>
        </is>
      </c>
      <c r="I942" s="4" t="inlineStr">
        <is>
          <t>16:57</t>
        </is>
      </c>
      <c r="J942" s="8" t="n">
        <v>7.5</v>
      </c>
      <c r="K942" s="8" t="n">
        <v>7.5</v>
      </c>
      <c r="L942" s="8" t="n">
        <v>0</v>
      </c>
      <c r="M942" s="29" t="inlineStr">
        <is>
          <t>SUSURLUK</t>
        </is>
      </c>
    </row>
    <row r="943">
      <c r="A943" s="4" t="n">
        <v>942</v>
      </c>
      <c r="B943" s="4" t="inlineStr">
        <is>
          <t>00002</t>
        </is>
      </c>
      <c r="C943" s="4" t="inlineStr">
        <is>
          <t>00002</t>
        </is>
      </c>
      <c r="D943" s="29" t="inlineStr">
        <is>
          <t>ELİF YAVAŞ</t>
        </is>
      </c>
      <c r="E943" s="4" t="inlineStr">
        <is>
          <t>Cumartesi</t>
        </is>
      </c>
      <c r="F943" s="4" t="inlineStr">
        <is>
          <t>3.10.2026</t>
        </is>
      </c>
      <c r="G943" s="4" t="inlineStr">
        <is>
          <t>08:10</t>
        </is>
      </c>
      <c r="H943" s="4" t="inlineStr">
        <is>
          <t>3.10.2026</t>
        </is>
      </c>
      <c r="I943" s="4" t="inlineStr">
        <is>
          <t>16:57</t>
        </is>
      </c>
      <c r="J943" s="8" t="n">
        <v>7.5</v>
      </c>
      <c r="K943" s="8" t="n">
        <v>7.5</v>
      </c>
      <c r="L943" s="8" t="n">
        <v>0</v>
      </c>
      <c r="M943" s="29" t="inlineStr">
        <is>
          <t>SUSURLUK</t>
        </is>
      </c>
    </row>
    <row r="944">
      <c r="A944" s="4" t="n">
        <v>943</v>
      </c>
      <c r="B944" s="4" t="inlineStr">
        <is>
          <t>00002</t>
        </is>
      </c>
      <c r="C944" s="4" t="inlineStr">
        <is>
          <t>00002</t>
        </is>
      </c>
      <c r="D944" s="29" t="inlineStr">
        <is>
          <t>ELİF YAVAŞ</t>
        </is>
      </c>
      <c r="E944" s="4" t="inlineStr">
        <is>
          <t>Pazartesi</t>
        </is>
      </c>
      <c r="F944" s="4" t="inlineStr">
        <is>
          <t>5.10.2026</t>
        </is>
      </c>
      <c r="G944" s="4" t="inlineStr">
        <is>
          <t>08:02</t>
        </is>
      </c>
      <c r="H944" s="4" t="inlineStr">
        <is>
          <t>5.10.2026</t>
        </is>
      </c>
      <c r="I944" s="4" t="inlineStr">
        <is>
          <t>17:01</t>
        </is>
      </c>
      <c r="J944" s="8" t="n">
        <v>7.5</v>
      </c>
      <c r="K944" s="8" t="n">
        <v>7.5</v>
      </c>
      <c r="L944" s="8" t="n">
        <v>0</v>
      </c>
      <c r="M944" s="29" t="inlineStr">
        <is>
          <t>SUSURLUK</t>
        </is>
      </c>
    </row>
    <row r="945">
      <c r="A945" s="4" t="n">
        <v>944</v>
      </c>
      <c r="B945" s="4" t="inlineStr">
        <is>
          <t>00002</t>
        </is>
      </c>
      <c r="C945" s="4" t="inlineStr">
        <is>
          <t>00002</t>
        </is>
      </c>
      <c r="D945" s="29" t="inlineStr">
        <is>
          <t>ELİF YAVAŞ</t>
        </is>
      </c>
      <c r="E945" s="4" t="inlineStr">
        <is>
          <t>Salı</t>
        </is>
      </c>
      <c r="F945" s="4" t="inlineStr">
        <is>
          <t>6.10.2026</t>
        </is>
      </c>
      <c r="G945" s="4" t="inlineStr">
        <is>
          <t>07:49</t>
        </is>
      </c>
      <c r="H945" s="4" t="inlineStr">
        <is>
          <t>6.10.2026</t>
        </is>
      </c>
      <c r="I945" s="4" t="inlineStr">
        <is>
          <t>17:00</t>
        </is>
      </c>
      <c r="J945" s="8" t="n">
        <v>7.5</v>
      </c>
      <c r="K945" s="8" t="n">
        <v>7.5</v>
      </c>
      <c r="L945" s="8" t="n">
        <v>0</v>
      </c>
      <c r="M945" s="29" t="inlineStr">
        <is>
          <t>SUSURLUK</t>
        </is>
      </c>
    </row>
    <row r="946">
      <c r="A946" s="4" t="n">
        <v>945</v>
      </c>
      <c r="B946" s="4" t="inlineStr">
        <is>
          <t>00002</t>
        </is>
      </c>
      <c r="C946" s="4" t="inlineStr">
        <is>
          <t>00002</t>
        </is>
      </c>
      <c r="D946" s="29" t="inlineStr">
        <is>
          <t>ELİF YAVAŞ</t>
        </is>
      </c>
      <c r="E946" s="4" t="inlineStr">
        <is>
          <t>Çarşamba</t>
        </is>
      </c>
      <c r="F946" s="4" t="inlineStr">
        <is>
          <t>7.10.2026</t>
        </is>
      </c>
      <c r="G946" s="4" t="inlineStr">
        <is>
          <t>08:45</t>
        </is>
      </c>
      <c r="H946" s="4" t="inlineStr">
        <is>
          <t>7.10.2026</t>
        </is>
      </c>
      <c r="I946" s="4" t="inlineStr">
        <is>
          <t>16:55</t>
        </is>
      </c>
      <c r="J946" s="8" t="n">
        <v>7</v>
      </c>
      <c r="K946" s="8" t="n">
        <v>7</v>
      </c>
      <c r="L946" s="8" t="n">
        <v>0</v>
      </c>
      <c r="M946" s="29" t="inlineStr">
        <is>
          <t>SUSURLUK</t>
        </is>
      </c>
    </row>
    <row r="947">
      <c r="A947" s="4" t="n">
        <v>946</v>
      </c>
      <c r="B947" s="4" t="inlineStr">
        <is>
          <t>00002</t>
        </is>
      </c>
      <c r="C947" s="4" t="inlineStr">
        <is>
          <t>00002</t>
        </is>
      </c>
      <c r="D947" s="29" t="inlineStr">
        <is>
          <t>ELİF YAVAŞ</t>
        </is>
      </c>
      <c r="E947" s="4" t="inlineStr">
        <is>
          <t>Perşembe</t>
        </is>
      </c>
      <c r="F947" s="4" t="inlineStr">
        <is>
          <t>8.10.2026</t>
        </is>
      </c>
      <c r="G947" s="4" t="inlineStr">
        <is>
          <t>08:22</t>
        </is>
      </c>
      <c r="H947" s="4" t="inlineStr">
        <is>
          <t>8.10.2026</t>
        </is>
      </c>
      <c r="I947" s="4" t="inlineStr">
        <is>
          <t>-</t>
        </is>
      </c>
      <c r="J947" s="8" t="n">
        <v>7.5</v>
      </c>
      <c r="K947" s="8" t="n">
        <v>7.5</v>
      </c>
      <c r="L947" s="8" t="n">
        <v>0</v>
      </c>
      <c r="M947" s="29" t="inlineStr">
        <is>
          <t>SUSURLUK</t>
        </is>
      </c>
    </row>
    <row r="948">
      <c r="A948" s="4" t="n">
        <v>947</v>
      </c>
      <c r="B948" s="4" t="inlineStr">
        <is>
          <t>00002</t>
        </is>
      </c>
      <c r="C948" s="4" t="inlineStr">
        <is>
          <t>00002</t>
        </is>
      </c>
      <c r="D948" s="29" t="inlineStr">
        <is>
          <t>ELİF YAVAŞ</t>
        </is>
      </c>
      <c r="E948" s="4" t="inlineStr">
        <is>
          <t>Cuma</t>
        </is>
      </c>
      <c r="F948" s="4" t="inlineStr">
        <is>
          <t>9.10.2026</t>
        </is>
      </c>
      <c r="G948" s="4" t="inlineStr">
        <is>
          <t>08:14</t>
        </is>
      </c>
      <c r="H948" s="4" t="inlineStr">
        <is>
          <t>9.10.2026</t>
        </is>
      </c>
      <c r="I948" s="4" t="inlineStr">
        <is>
          <t>16:56</t>
        </is>
      </c>
      <c r="J948" s="8" t="n">
        <v>7.5</v>
      </c>
      <c r="K948" s="8" t="n">
        <v>7.5</v>
      </c>
      <c r="L948" s="8" t="n">
        <v>0</v>
      </c>
      <c r="M948" s="29" t="inlineStr">
        <is>
          <t>SUSURLUK</t>
        </is>
      </c>
    </row>
    <row r="949">
      <c r="A949" s="4" t="n">
        <v>948</v>
      </c>
      <c r="B949" s="4" t="inlineStr">
        <is>
          <t>00002</t>
        </is>
      </c>
      <c r="C949" s="4" t="inlineStr">
        <is>
          <t>00002</t>
        </is>
      </c>
      <c r="D949" s="29" t="inlineStr">
        <is>
          <t>ELİF YAVAŞ</t>
        </is>
      </c>
      <c r="E949" s="4" t="inlineStr">
        <is>
          <t>Pazartesi</t>
        </is>
      </c>
      <c r="F949" s="4" t="inlineStr">
        <is>
          <t>12.10.2026</t>
        </is>
      </c>
      <c r="G949" s="4" t="inlineStr">
        <is>
          <t>08:06</t>
        </is>
      </c>
      <c r="H949" s="4" t="inlineStr">
        <is>
          <t>12.10.2026</t>
        </is>
      </c>
      <c r="I949" s="4" t="inlineStr">
        <is>
          <t>17:05</t>
        </is>
      </c>
      <c r="J949" s="8" t="n">
        <v>7.5</v>
      </c>
      <c r="K949" s="8" t="n">
        <v>7.5</v>
      </c>
      <c r="L949" s="8" t="n">
        <v>0</v>
      </c>
      <c r="M949" s="29" t="inlineStr">
        <is>
          <t>SUSURLUK</t>
        </is>
      </c>
    </row>
    <row r="950">
      <c r="A950" s="4" t="n">
        <v>949</v>
      </c>
      <c r="B950" s="4" t="inlineStr">
        <is>
          <t>00002</t>
        </is>
      </c>
      <c r="C950" s="4" t="inlineStr">
        <is>
          <t>00002</t>
        </is>
      </c>
      <c r="D950" s="29" t="inlineStr">
        <is>
          <t>ELİF YAVAŞ</t>
        </is>
      </c>
      <c r="E950" s="4" t="inlineStr">
        <is>
          <t>Salı</t>
        </is>
      </c>
      <c r="F950" s="4" t="inlineStr">
        <is>
          <t>13.10.2026</t>
        </is>
      </c>
      <c r="G950" s="4" t="inlineStr">
        <is>
          <t>07:59</t>
        </is>
      </c>
      <c r="H950" s="4" t="inlineStr">
        <is>
          <t>13.10.2026</t>
        </is>
      </c>
      <c r="I950" s="4" t="inlineStr">
        <is>
          <t>16:56</t>
        </is>
      </c>
      <c r="J950" s="8" t="n">
        <v>7.5</v>
      </c>
      <c r="K950" s="8" t="n">
        <v>7.5</v>
      </c>
      <c r="L950" s="8" t="n">
        <v>0</v>
      </c>
      <c r="M950" s="29" t="inlineStr">
        <is>
          <t>SUSURLUK</t>
        </is>
      </c>
    </row>
    <row r="951">
      <c r="A951" s="4" t="n">
        <v>950</v>
      </c>
      <c r="B951" s="4" t="inlineStr">
        <is>
          <t>00002</t>
        </is>
      </c>
      <c r="C951" s="4" t="inlineStr">
        <is>
          <t>00002</t>
        </is>
      </c>
      <c r="D951" s="29" t="inlineStr">
        <is>
          <t>ELİF YAVAŞ</t>
        </is>
      </c>
      <c r="E951" s="4" t="inlineStr">
        <is>
          <t>Çarşamba</t>
        </is>
      </c>
      <c r="F951" s="4" t="inlineStr">
        <is>
          <t>14.10.2026</t>
        </is>
      </c>
      <c r="G951" s="4" t="inlineStr">
        <is>
          <t>08:05</t>
        </is>
      </c>
      <c r="H951" s="4" t="inlineStr">
        <is>
          <t>14.10.2026</t>
        </is>
      </c>
      <c r="I951" s="4" t="inlineStr">
        <is>
          <t>17:15</t>
        </is>
      </c>
      <c r="J951" s="8" t="n">
        <v>7.5</v>
      </c>
      <c r="K951" s="8" t="n">
        <v>7.5</v>
      </c>
      <c r="L951" s="8" t="n">
        <v>0</v>
      </c>
      <c r="M951" s="29" t="inlineStr">
        <is>
          <t>SUSURLUK</t>
        </is>
      </c>
    </row>
    <row r="952">
      <c r="A952" s="4" t="n">
        <v>951</v>
      </c>
      <c r="B952" s="4" t="inlineStr">
        <is>
          <t>00002</t>
        </is>
      </c>
      <c r="C952" s="4" t="inlineStr">
        <is>
          <t>00002</t>
        </is>
      </c>
      <c r="D952" s="29" t="inlineStr">
        <is>
          <t>ELİF YAVAŞ</t>
        </is>
      </c>
      <c r="E952" s="4" t="inlineStr">
        <is>
          <t>Perşembe</t>
        </is>
      </c>
      <c r="F952" s="4" t="inlineStr">
        <is>
          <t>15.10.2026</t>
        </is>
      </c>
      <c r="G952" s="4" t="inlineStr">
        <is>
          <t>08:07</t>
        </is>
      </c>
      <c r="H952" s="4" t="inlineStr">
        <is>
          <t>15.10.2026</t>
        </is>
      </c>
      <c r="I952" s="4" t="inlineStr">
        <is>
          <t>17:00</t>
        </is>
      </c>
      <c r="J952" s="8" t="n">
        <v>7.5</v>
      </c>
      <c r="K952" s="8" t="n">
        <v>7.5</v>
      </c>
      <c r="L952" s="8" t="n">
        <v>0</v>
      </c>
      <c r="M952" s="29" t="inlineStr">
        <is>
          <t>SUSURLUK</t>
        </is>
      </c>
    </row>
    <row r="953">
      <c r="A953" s="4" t="n">
        <v>952</v>
      </c>
      <c r="B953" s="4" t="inlineStr">
        <is>
          <t>00002</t>
        </is>
      </c>
      <c r="C953" s="4" t="inlineStr">
        <is>
          <t>00002</t>
        </is>
      </c>
      <c r="D953" s="29" t="inlineStr">
        <is>
          <t>ELİF YAVAŞ</t>
        </is>
      </c>
      <c r="E953" s="4" t="inlineStr">
        <is>
          <t>Cuma</t>
        </is>
      </c>
      <c r="F953" s="4" t="inlineStr">
        <is>
          <t>16.10.2026</t>
        </is>
      </c>
      <c r="G953" s="4" t="inlineStr">
        <is>
          <t>08:05</t>
        </is>
      </c>
      <c r="H953" s="4" t="inlineStr">
        <is>
          <t>16.10.2026</t>
        </is>
      </c>
      <c r="I953" s="4" t="inlineStr">
        <is>
          <t>21:04</t>
        </is>
      </c>
      <c r="J953" s="8" t="n">
        <v>11.5</v>
      </c>
      <c r="K953" s="8" t="n">
        <v>7.5</v>
      </c>
      <c r="L953" s="8" t="n">
        <v>4</v>
      </c>
      <c r="M953" s="29" t="inlineStr">
        <is>
          <t>SUSURLUK</t>
        </is>
      </c>
    </row>
    <row r="954">
      <c r="A954" s="4" t="n">
        <v>953</v>
      </c>
      <c r="B954" s="4" t="inlineStr">
        <is>
          <t>00002</t>
        </is>
      </c>
      <c r="C954" s="4" t="inlineStr">
        <is>
          <t>00002</t>
        </is>
      </c>
      <c r="D954" s="29" t="inlineStr">
        <is>
          <t>ELİF YAVAŞ</t>
        </is>
      </c>
      <c r="E954" s="4" t="inlineStr">
        <is>
          <t>Cumartesi</t>
        </is>
      </c>
      <c r="F954" s="4" t="inlineStr">
        <is>
          <t>17.10.2026</t>
        </is>
      </c>
      <c r="G954" s="4" t="inlineStr">
        <is>
          <t>08:08</t>
        </is>
      </c>
      <c r="H954" s="4" t="inlineStr">
        <is>
          <t>17.10.2026</t>
        </is>
      </c>
      <c r="I954" s="4" t="inlineStr">
        <is>
          <t>16:50</t>
        </is>
      </c>
      <c r="J954" s="8" t="n">
        <v>7.5</v>
      </c>
      <c r="K954" s="8" t="n">
        <v>7.5</v>
      </c>
      <c r="L954" s="8" t="n">
        <v>0</v>
      </c>
      <c r="M954" s="29" t="inlineStr">
        <is>
          <t>SUSURLUK</t>
        </is>
      </c>
    </row>
    <row r="955">
      <c r="A955" s="4" t="n">
        <v>954</v>
      </c>
      <c r="B955" s="4" t="inlineStr">
        <is>
          <t>00002</t>
        </is>
      </c>
      <c r="C955" s="4" t="inlineStr">
        <is>
          <t>00002</t>
        </is>
      </c>
      <c r="D955" s="29" t="inlineStr">
        <is>
          <t>ELİF YAVAŞ</t>
        </is>
      </c>
      <c r="E955" s="4" t="inlineStr">
        <is>
          <t>Pazartesi</t>
        </is>
      </c>
      <c r="F955" s="4" t="inlineStr">
        <is>
          <t>19.10.2026</t>
        </is>
      </c>
      <c r="G955" s="4" t="inlineStr">
        <is>
          <t>07:58</t>
        </is>
      </c>
      <c r="H955" s="4" t="inlineStr">
        <is>
          <t>19.10.2026</t>
        </is>
      </c>
      <c r="I955" s="4" t="inlineStr">
        <is>
          <t>16:57</t>
        </is>
      </c>
      <c r="J955" s="8" t="n">
        <v>7.5</v>
      </c>
      <c r="K955" s="8" t="n">
        <v>7.5</v>
      </c>
      <c r="L955" s="8" t="n">
        <v>0</v>
      </c>
      <c r="M955" s="29" t="inlineStr">
        <is>
          <t>SUSURLUK</t>
        </is>
      </c>
    </row>
    <row r="956">
      <c r="A956" s="4" t="n">
        <v>955</v>
      </c>
      <c r="B956" s="4" t="inlineStr">
        <is>
          <t>00002</t>
        </is>
      </c>
      <c r="C956" s="4" t="inlineStr">
        <is>
          <t>00002</t>
        </is>
      </c>
      <c r="D956" s="29" t="inlineStr">
        <is>
          <t>ELİF YAVAŞ</t>
        </is>
      </c>
      <c r="E956" s="4" t="inlineStr">
        <is>
          <t>Salı</t>
        </is>
      </c>
      <c r="F956" s="4" t="inlineStr">
        <is>
          <t>20.10.2026</t>
        </is>
      </c>
      <c r="G956" s="4" t="inlineStr">
        <is>
          <t>08:00</t>
        </is>
      </c>
      <c r="H956" s="4" t="inlineStr">
        <is>
          <t>20.10.2026</t>
        </is>
      </c>
      <c r="I956" s="4" t="inlineStr">
        <is>
          <t>16:56</t>
        </is>
      </c>
      <c r="J956" s="8" t="n">
        <v>7.5</v>
      </c>
      <c r="K956" s="8" t="n">
        <v>7.5</v>
      </c>
      <c r="L956" s="8" t="n">
        <v>0</v>
      </c>
      <c r="M956" s="29" t="inlineStr">
        <is>
          <t>SUSURLUK</t>
        </is>
      </c>
    </row>
    <row r="957">
      <c r="A957" s="4" t="n">
        <v>956</v>
      </c>
      <c r="B957" s="4" t="inlineStr">
        <is>
          <t>00002</t>
        </is>
      </c>
      <c r="C957" s="4" t="inlineStr">
        <is>
          <t>00002</t>
        </is>
      </c>
      <c r="D957" s="29" t="inlineStr">
        <is>
          <t>ELİF YAVAŞ</t>
        </is>
      </c>
      <c r="E957" s="4" t="inlineStr">
        <is>
          <t>Çarşamba</t>
        </is>
      </c>
      <c r="F957" s="4" t="inlineStr">
        <is>
          <t>21.10.2026</t>
        </is>
      </c>
      <c r="G957" s="4" t="inlineStr">
        <is>
          <t>08:00</t>
        </is>
      </c>
      <c r="H957" s="4" t="inlineStr">
        <is>
          <t>21.10.2026</t>
        </is>
      </c>
      <c r="I957" s="4" t="inlineStr">
        <is>
          <t>16:56</t>
        </is>
      </c>
      <c r="J957" s="8" t="n">
        <v>7.5</v>
      </c>
      <c r="K957" s="8" t="n">
        <v>7.5</v>
      </c>
      <c r="L957" s="8" t="n">
        <v>0</v>
      </c>
      <c r="M957" s="29" t="inlineStr">
        <is>
          <t>SUSURLUK</t>
        </is>
      </c>
    </row>
    <row r="958">
      <c r="A958" s="4" t="n">
        <v>957</v>
      </c>
      <c r="B958" s="4" t="inlineStr">
        <is>
          <t>00038</t>
        </is>
      </c>
      <c r="C958" s="4" t="inlineStr">
        <is>
          <t>00038</t>
        </is>
      </c>
      <c r="D958" s="29" t="inlineStr">
        <is>
          <t>ELİF TUNÇ</t>
        </is>
      </c>
      <c r="E958" s="4" t="inlineStr">
        <is>
          <t>Perşembe</t>
        </is>
      </c>
      <c r="F958" s="4" t="inlineStr">
        <is>
          <t>1.10.2026</t>
        </is>
      </c>
      <c r="G958" s="4" t="inlineStr">
        <is>
          <t>07:44</t>
        </is>
      </c>
      <c r="H958" s="4" t="inlineStr">
        <is>
          <t>1.10.2026</t>
        </is>
      </c>
      <c r="I958" s="4" t="inlineStr">
        <is>
          <t>-</t>
        </is>
      </c>
      <c r="J958" s="8" t="n">
        <v>7.5</v>
      </c>
      <c r="K958" s="8" t="n">
        <v>7.5</v>
      </c>
      <c r="L958" s="8" t="n">
        <v>0</v>
      </c>
      <c r="M958" s="29" t="inlineStr">
        <is>
          <t>BANDIRMA</t>
        </is>
      </c>
    </row>
    <row r="959">
      <c r="A959" s="4" t="n">
        <v>958</v>
      </c>
      <c r="B959" s="4" t="inlineStr">
        <is>
          <t>00038</t>
        </is>
      </c>
      <c r="C959" s="4" t="inlineStr">
        <is>
          <t>00038</t>
        </is>
      </c>
      <c r="D959" s="29" t="inlineStr">
        <is>
          <t>ELİF TUNÇ</t>
        </is>
      </c>
      <c r="E959" s="4" t="inlineStr">
        <is>
          <t>Cuma</t>
        </is>
      </c>
      <c r="F959" s="4" t="inlineStr">
        <is>
          <t>2.10.2026</t>
        </is>
      </c>
      <c r="G959" s="4" t="inlineStr">
        <is>
          <t>07:43</t>
        </is>
      </c>
      <c r="H959" s="4" t="inlineStr">
        <is>
          <t>2.10.2026</t>
        </is>
      </c>
      <c r="I959" s="4" t="inlineStr">
        <is>
          <t>17:40</t>
        </is>
      </c>
      <c r="J959" s="8" t="n">
        <v>8</v>
      </c>
      <c r="K959" s="8" t="n">
        <v>7.5</v>
      </c>
      <c r="L959" s="8" t="n">
        <v>0.5</v>
      </c>
      <c r="M959" s="29" t="inlineStr">
        <is>
          <t>BANDIRMA</t>
        </is>
      </c>
    </row>
    <row r="960">
      <c r="A960" s="4" t="n">
        <v>959</v>
      </c>
      <c r="B960" s="4" t="inlineStr">
        <is>
          <t>00038</t>
        </is>
      </c>
      <c r="C960" s="4" t="inlineStr">
        <is>
          <t>00038</t>
        </is>
      </c>
      <c r="D960" s="29" t="inlineStr">
        <is>
          <t>ELİF TUNÇ</t>
        </is>
      </c>
      <c r="E960" s="4" t="inlineStr">
        <is>
          <t>Pazartesi</t>
        </is>
      </c>
      <c r="F960" s="4" t="inlineStr">
        <is>
          <t>5.10.2026</t>
        </is>
      </c>
      <c r="G960" s="4" t="inlineStr">
        <is>
          <t>07:43</t>
        </is>
      </c>
      <c r="H960" s="4" t="inlineStr">
        <is>
          <t>5.10.2026</t>
        </is>
      </c>
      <c r="I960" s="4" t="inlineStr">
        <is>
          <t>17:11</t>
        </is>
      </c>
      <c r="J960" s="8" t="n">
        <v>7.5</v>
      </c>
      <c r="K960" s="8" t="n">
        <v>7.5</v>
      </c>
      <c r="L960" s="8" t="n">
        <v>0</v>
      </c>
      <c r="M960" s="29" t="inlineStr">
        <is>
          <t>BANDIRMA</t>
        </is>
      </c>
    </row>
    <row r="961">
      <c r="A961" s="4" t="n">
        <v>960</v>
      </c>
      <c r="B961" s="4" t="inlineStr">
        <is>
          <t>00038</t>
        </is>
      </c>
      <c r="C961" s="4" t="inlineStr">
        <is>
          <t>00038</t>
        </is>
      </c>
      <c r="D961" s="29" t="inlineStr">
        <is>
          <t>ELİF TUNÇ</t>
        </is>
      </c>
      <c r="E961" s="4" t="inlineStr">
        <is>
          <t>Salı</t>
        </is>
      </c>
      <c r="F961" s="4" t="inlineStr">
        <is>
          <t>6.10.2026</t>
        </is>
      </c>
      <c r="G961" s="4" t="inlineStr">
        <is>
          <t>07:42</t>
        </is>
      </c>
      <c r="H961" s="4" t="inlineStr">
        <is>
          <t>6.10.2026</t>
        </is>
      </c>
      <c r="I961" s="4" t="inlineStr">
        <is>
          <t>17:45</t>
        </is>
      </c>
      <c r="J961" s="8" t="n">
        <v>8.5</v>
      </c>
      <c r="K961" s="8" t="n">
        <v>7.5</v>
      </c>
      <c r="L961" s="8" t="n">
        <v>1</v>
      </c>
      <c r="M961" s="29" t="inlineStr">
        <is>
          <t>BANDIRMA</t>
        </is>
      </c>
    </row>
    <row r="962">
      <c r="A962" s="4" t="n">
        <v>961</v>
      </c>
      <c r="B962" s="4" t="inlineStr">
        <is>
          <t>00038</t>
        </is>
      </c>
      <c r="C962" s="4" t="inlineStr">
        <is>
          <t>00038</t>
        </is>
      </c>
      <c r="D962" s="29" t="inlineStr">
        <is>
          <t>ELİF TUNÇ</t>
        </is>
      </c>
      <c r="E962" s="4" t="inlineStr">
        <is>
          <t>Çarşamba</t>
        </is>
      </c>
      <c r="F962" s="4" t="inlineStr">
        <is>
          <t>7.10.2026</t>
        </is>
      </c>
      <c r="G962" s="4" t="inlineStr">
        <is>
          <t>07:43</t>
        </is>
      </c>
      <c r="H962" s="4" t="inlineStr">
        <is>
          <t>7.10.2026</t>
        </is>
      </c>
      <c r="I962" s="4" t="inlineStr">
        <is>
          <t>10:49</t>
        </is>
      </c>
      <c r="J962" s="8" t="n">
        <v>3</v>
      </c>
      <c r="K962" s="8" t="n">
        <v>3</v>
      </c>
      <c r="L962" s="8" t="n">
        <v>0</v>
      </c>
      <c r="M962" s="29" t="inlineStr">
        <is>
          <t>BANDIRMA</t>
        </is>
      </c>
    </row>
    <row r="963">
      <c r="A963" s="4" t="n">
        <v>962</v>
      </c>
      <c r="B963" s="4" t="inlineStr">
        <is>
          <t>00038</t>
        </is>
      </c>
      <c r="C963" s="4" t="inlineStr">
        <is>
          <t>00038</t>
        </is>
      </c>
      <c r="D963" s="29" t="inlineStr">
        <is>
          <t>ELİF TUNÇ</t>
        </is>
      </c>
      <c r="E963" s="4" t="inlineStr">
        <is>
          <t>Perşembe</t>
        </is>
      </c>
      <c r="F963" s="4" t="inlineStr">
        <is>
          <t>8.10.2026</t>
        </is>
      </c>
      <c r="G963" s="4" t="inlineStr">
        <is>
          <t>07:44</t>
        </is>
      </c>
      <c r="H963" s="4" t="inlineStr">
        <is>
          <t>8.10.2026</t>
        </is>
      </c>
      <c r="I963" s="4" t="inlineStr">
        <is>
          <t>17:38</t>
        </is>
      </c>
      <c r="J963" s="8" t="n">
        <v>8</v>
      </c>
      <c r="K963" s="8" t="n">
        <v>7.5</v>
      </c>
      <c r="L963" s="8" t="n">
        <v>0.5</v>
      </c>
      <c r="M963" s="29" t="inlineStr">
        <is>
          <t>BANDIRMA</t>
        </is>
      </c>
    </row>
    <row r="964">
      <c r="A964" s="4" t="n">
        <v>963</v>
      </c>
      <c r="B964" s="4" t="inlineStr">
        <is>
          <t>00038</t>
        </is>
      </c>
      <c r="C964" s="4" t="inlineStr">
        <is>
          <t>00038</t>
        </is>
      </c>
      <c r="D964" s="29" t="inlineStr">
        <is>
          <t>ELİF TUNÇ</t>
        </is>
      </c>
      <c r="E964" s="4" t="inlineStr">
        <is>
          <t>Cuma</t>
        </is>
      </c>
      <c r="F964" s="4" t="inlineStr">
        <is>
          <t>9.10.2026</t>
        </is>
      </c>
      <c r="G964" s="4" t="inlineStr">
        <is>
          <t>10:39</t>
        </is>
      </c>
      <c r="H964" s="4" t="inlineStr">
        <is>
          <t>9.10.2026</t>
        </is>
      </c>
      <c r="I964" s="4" t="inlineStr">
        <is>
          <t>17:35</t>
        </is>
      </c>
      <c r="J964" s="8" t="n">
        <v>5.5</v>
      </c>
      <c r="K964" s="8" t="n">
        <v>5</v>
      </c>
      <c r="L964" s="8" t="n">
        <v>0.5</v>
      </c>
      <c r="M964" s="29" t="inlineStr">
        <is>
          <t>BANDIRMA</t>
        </is>
      </c>
    </row>
    <row r="965">
      <c r="A965" s="4" t="n">
        <v>964</v>
      </c>
      <c r="B965" s="4" t="inlineStr">
        <is>
          <t>00038</t>
        </is>
      </c>
      <c r="C965" s="4" t="inlineStr">
        <is>
          <t>00038</t>
        </is>
      </c>
      <c r="D965" s="29" t="inlineStr">
        <is>
          <t>ELİF TUNÇ</t>
        </is>
      </c>
      <c r="E965" s="4" t="inlineStr">
        <is>
          <t>Pazartesi</t>
        </is>
      </c>
      <c r="F965" s="4" t="inlineStr">
        <is>
          <t>12.10.2026</t>
        </is>
      </c>
      <c r="G965" s="4" t="inlineStr">
        <is>
          <t>07:45</t>
        </is>
      </c>
      <c r="H965" s="4" t="inlineStr">
        <is>
          <t>12.10.2026</t>
        </is>
      </c>
      <c r="I965" s="4" t="inlineStr">
        <is>
          <t>17:07</t>
        </is>
      </c>
      <c r="J965" s="8" t="n">
        <v>7.5</v>
      </c>
      <c r="K965" s="8" t="n">
        <v>7.5</v>
      </c>
      <c r="L965" s="8" t="n">
        <v>0</v>
      </c>
      <c r="M965" s="29" t="inlineStr">
        <is>
          <t>BANDIRMA</t>
        </is>
      </c>
    </row>
    <row r="966">
      <c r="A966" s="4" t="n">
        <v>965</v>
      </c>
      <c r="B966" s="4" t="inlineStr">
        <is>
          <t>00038</t>
        </is>
      </c>
      <c r="C966" s="4" t="inlineStr">
        <is>
          <t>00038</t>
        </is>
      </c>
      <c r="D966" s="29" t="inlineStr">
        <is>
          <t>ELİF TUNÇ</t>
        </is>
      </c>
      <c r="E966" s="4" t="inlineStr">
        <is>
          <t>Salı</t>
        </is>
      </c>
      <c r="F966" s="4" t="inlineStr">
        <is>
          <t>13.10.2026</t>
        </is>
      </c>
      <c r="G966" s="4" t="inlineStr">
        <is>
          <t>07:45</t>
        </is>
      </c>
      <c r="H966" s="4" t="inlineStr">
        <is>
          <t>13.10.2026</t>
        </is>
      </c>
      <c r="I966" s="4" t="inlineStr">
        <is>
          <t>17:07</t>
        </is>
      </c>
      <c r="J966" s="8" t="n">
        <v>7.5</v>
      </c>
      <c r="K966" s="8" t="n">
        <v>7.5</v>
      </c>
      <c r="L966" s="8" t="n">
        <v>0</v>
      </c>
      <c r="M966" s="29" t="inlineStr">
        <is>
          <t>BANDIRMA</t>
        </is>
      </c>
    </row>
    <row r="967">
      <c r="A967" s="4" t="n">
        <v>966</v>
      </c>
      <c r="B967" s="4" t="inlineStr">
        <is>
          <t>00038</t>
        </is>
      </c>
      <c r="C967" s="4" t="inlineStr">
        <is>
          <t>00038</t>
        </is>
      </c>
      <c r="D967" s="29" t="inlineStr">
        <is>
          <t>ELİF TUNÇ</t>
        </is>
      </c>
      <c r="E967" s="4" t="inlineStr">
        <is>
          <t>Çarşamba</t>
        </is>
      </c>
      <c r="F967" s="4" t="inlineStr">
        <is>
          <t>14.10.2026</t>
        </is>
      </c>
      <c r="G967" s="4" t="inlineStr">
        <is>
          <t>07:46</t>
        </is>
      </c>
      <c r="H967" s="4" t="inlineStr">
        <is>
          <t>14.10.2026</t>
        </is>
      </c>
      <c r="I967" s="4" t="inlineStr">
        <is>
          <t>18:05</t>
        </is>
      </c>
      <c r="J967" s="8" t="n">
        <v>8.5</v>
      </c>
      <c r="K967" s="8" t="n">
        <v>7.5</v>
      </c>
      <c r="L967" s="8" t="n">
        <v>1</v>
      </c>
      <c r="M967" s="29" t="inlineStr">
        <is>
          <t>BANDIRMA</t>
        </is>
      </c>
    </row>
    <row r="968">
      <c r="A968" s="4" t="n">
        <v>967</v>
      </c>
      <c r="B968" s="4" t="inlineStr">
        <is>
          <t>00038</t>
        </is>
      </c>
      <c r="C968" s="4" t="inlineStr">
        <is>
          <t>00038</t>
        </is>
      </c>
      <c r="D968" s="29" t="inlineStr">
        <is>
          <t>ELİF TUNÇ</t>
        </is>
      </c>
      <c r="E968" s="4" t="inlineStr">
        <is>
          <t>Perşembe</t>
        </is>
      </c>
      <c r="F968" s="4" t="inlineStr">
        <is>
          <t>15.10.2026</t>
        </is>
      </c>
      <c r="G968" s="4" t="inlineStr">
        <is>
          <t>10:01</t>
        </is>
      </c>
      <c r="H968" s="4" t="inlineStr">
        <is>
          <t>15.10.2026</t>
        </is>
      </c>
      <c r="I968" s="4" t="inlineStr">
        <is>
          <t>-</t>
        </is>
      </c>
      <c r="J968" s="8" t="n">
        <v>7.5</v>
      </c>
      <c r="K968" s="8" t="n">
        <v>7.5</v>
      </c>
      <c r="L968" s="8" t="n">
        <v>0</v>
      </c>
      <c r="M968" s="29" t="inlineStr">
        <is>
          <t>BANDIRMA</t>
        </is>
      </c>
    </row>
    <row r="969">
      <c r="A969" s="4" t="n">
        <v>968</v>
      </c>
      <c r="B969" s="4" t="inlineStr">
        <is>
          <t>00038</t>
        </is>
      </c>
      <c r="C969" s="4" t="inlineStr">
        <is>
          <t>00038</t>
        </is>
      </c>
      <c r="D969" s="29" t="inlineStr">
        <is>
          <t>ELİF TUNÇ</t>
        </is>
      </c>
      <c r="E969" s="4" t="inlineStr">
        <is>
          <t>Cuma</t>
        </is>
      </c>
      <c r="F969" s="4" t="inlineStr">
        <is>
          <t>16.10.2026</t>
        </is>
      </c>
      <c r="G969" s="4" t="inlineStr">
        <is>
          <t>07:41</t>
        </is>
      </c>
      <c r="H969" s="4" t="inlineStr">
        <is>
          <t>16.10.2026</t>
        </is>
      </c>
      <c r="I969" s="4" t="inlineStr">
        <is>
          <t>-</t>
        </is>
      </c>
      <c r="J969" s="8" t="n">
        <v>7.5</v>
      </c>
      <c r="K969" s="8" t="n">
        <v>7.5</v>
      </c>
      <c r="L969" s="8" t="n">
        <v>0</v>
      </c>
      <c r="M969" s="29" t="inlineStr">
        <is>
          <t>BANDIRMA</t>
        </is>
      </c>
    </row>
    <row r="970">
      <c r="A970" s="4" t="n">
        <v>969</v>
      </c>
      <c r="B970" s="4" t="inlineStr">
        <is>
          <t>00038</t>
        </is>
      </c>
      <c r="C970" s="4" t="inlineStr">
        <is>
          <t>00038</t>
        </is>
      </c>
      <c r="D970" s="29" t="inlineStr">
        <is>
          <t>ELİF TUNÇ</t>
        </is>
      </c>
      <c r="E970" s="4" t="inlineStr">
        <is>
          <t>Cumartesi</t>
        </is>
      </c>
      <c r="F970" s="4" t="inlineStr">
        <is>
          <t>17.10.2026</t>
        </is>
      </c>
      <c r="G970" s="4" t="inlineStr">
        <is>
          <t>-</t>
        </is>
      </c>
      <c r="H970" s="4" t="inlineStr">
        <is>
          <t>17.10.2026</t>
        </is>
      </c>
      <c r="I970" s="4" t="inlineStr">
        <is>
          <t>10:28</t>
        </is>
      </c>
      <c r="J970" s="8" t="n">
        <v>2.5</v>
      </c>
      <c r="K970" s="8" t="n">
        <v>2.5</v>
      </c>
      <c r="L970" s="8" t="n">
        <v>0</v>
      </c>
      <c r="M970" s="29" t="inlineStr">
        <is>
          <t>BANDIRMA</t>
        </is>
      </c>
    </row>
    <row r="971">
      <c r="A971" s="4" t="n">
        <v>970</v>
      </c>
      <c r="B971" s="4" t="inlineStr">
        <is>
          <t>00038</t>
        </is>
      </c>
      <c r="C971" s="4" t="inlineStr">
        <is>
          <t>00038</t>
        </is>
      </c>
      <c r="D971" s="29" t="inlineStr">
        <is>
          <t>ELİF TUNÇ</t>
        </is>
      </c>
      <c r="E971" s="4" t="inlineStr">
        <is>
          <t>Pazartesi</t>
        </is>
      </c>
      <c r="F971" s="4" t="inlineStr">
        <is>
          <t>19.10.2026</t>
        </is>
      </c>
      <c r="G971" s="4" t="inlineStr">
        <is>
          <t>07:53</t>
        </is>
      </c>
      <c r="H971" s="4" t="inlineStr">
        <is>
          <t>19.10.2026</t>
        </is>
      </c>
      <c r="I971" s="4" t="inlineStr">
        <is>
          <t>16:13</t>
        </is>
      </c>
      <c r="J971" s="8" t="n">
        <v>7.5</v>
      </c>
      <c r="K971" s="8" t="n">
        <v>7.5</v>
      </c>
      <c r="L971" s="8" t="n">
        <v>0</v>
      </c>
      <c r="M971" s="29" t="inlineStr">
        <is>
          <t>BANDIRMA</t>
        </is>
      </c>
    </row>
    <row r="972">
      <c r="A972" s="4" t="n">
        <v>971</v>
      </c>
      <c r="B972" s="4" t="inlineStr">
        <is>
          <t>00038</t>
        </is>
      </c>
      <c r="C972" s="4" t="inlineStr">
        <is>
          <t>00038</t>
        </is>
      </c>
      <c r="D972" s="29" t="inlineStr">
        <is>
          <t>ELİF TUNÇ</t>
        </is>
      </c>
      <c r="E972" s="4" t="inlineStr">
        <is>
          <t>Salı</t>
        </is>
      </c>
      <c r="F972" s="4" t="inlineStr">
        <is>
          <t>20.10.2026</t>
        </is>
      </c>
      <c r="G972" s="4" t="inlineStr">
        <is>
          <t>07:41</t>
        </is>
      </c>
      <c r="H972" s="4" t="inlineStr">
        <is>
          <t>20.10.2026</t>
        </is>
      </c>
      <c r="I972" s="4" t="inlineStr">
        <is>
          <t>17:05</t>
        </is>
      </c>
      <c r="J972" s="8" t="n">
        <v>7.5</v>
      </c>
      <c r="K972" s="8" t="n">
        <v>7.5</v>
      </c>
      <c r="L972" s="8" t="n">
        <v>0</v>
      </c>
      <c r="M972" s="29" t="inlineStr">
        <is>
          <t>BANDIRMA</t>
        </is>
      </c>
    </row>
    <row r="973">
      <c r="A973" s="4" t="n">
        <v>972</v>
      </c>
      <c r="B973" s="4" t="inlineStr">
        <is>
          <t>00038</t>
        </is>
      </c>
      <c r="C973" s="4" t="inlineStr">
        <is>
          <t>00038</t>
        </is>
      </c>
      <c r="D973" s="29" t="inlineStr">
        <is>
          <t>ELİF TUNÇ</t>
        </is>
      </c>
      <c r="E973" s="4" t="inlineStr">
        <is>
          <t>Çarşamba</t>
        </is>
      </c>
      <c r="F973" s="4" t="inlineStr">
        <is>
          <t>21.10.2026</t>
        </is>
      </c>
      <c r="G973" s="4" t="inlineStr">
        <is>
          <t>10:01</t>
        </is>
      </c>
      <c r="H973" s="4" t="inlineStr">
        <is>
          <t>21.10.2026</t>
        </is>
      </c>
      <c r="I973" s="4" t="inlineStr">
        <is>
          <t>16:29</t>
        </is>
      </c>
      <c r="J973" s="8" t="n">
        <v>5</v>
      </c>
      <c r="K973" s="8" t="n">
        <v>5</v>
      </c>
      <c r="L973" s="8" t="n">
        <v>0</v>
      </c>
      <c r="M973" s="29" t="inlineStr">
        <is>
          <t>BANDIRMA</t>
        </is>
      </c>
    </row>
    <row r="974">
      <c r="A974" s="4" t="n">
        <v>973</v>
      </c>
      <c r="B974" s="4" t="inlineStr">
        <is>
          <t>01531</t>
        </is>
      </c>
      <c r="C974" s="4" t="inlineStr">
        <is>
          <t>01531</t>
        </is>
      </c>
      <c r="D974" s="29" t="inlineStr">
        <is>
          <t>ELİF BARUT</t>
        </is>
      </c>
      <c r="E974" s="4" t="inlineStr">
        <is>
          <t>Perşembe</t>
        </is>
      </c>
      <c r="F974" s="4" t="inlineStr">
        <is>
          <t>8.10.2026</t>
        </is>
      </c>
      <c r="G974" s="4" t="inlineStr">
        <is>
          <t>07:48</t>
        </is>
      </c>
      <c r="H974" s="4" t="inlineStr">
        <is>
          <t>8.10.2026</t>
        </is>
      </c>
      <c r="I974" s="4" t="inlineStr">
        <is>
          <t>20:01</t>
        </is>
      </c>
      <c r="J974" s="8" t="n">
        <v>10.5</v>
      </c>
      <c r="K974" s="8" t="n">
        <v>7.5</v>
      </c>
      <c r="L974" s="8" t="n">
        <v>3</v>
      </c>
      <c r="M974" s="29" t="inlineStr">
        <is>
          <t>HALİL DİĞRENCİ</t>
        </is>
      </c>
    </row>
    <row r="975">
      <c r="A975" s="4" t="n">
        <v>974</v>
      </c>
      <c r="B975" s="4" t="inlineStr">
        <is>
          <t>01531</t>
        </is>
      </c>
      <c r="C975" s="4" t="inlineStr">
        <is>
          <t>01531</t>
        </is>
      </c>
      <c r="D975" s="29" t="inlineStr">
        <is>
          <t>ELİF BARUT</t>
        </is>
      </c>
      <c r="E975" s="4" t="inlineStr">
        <is>
          <t>Cumartesi</t>
        </is>
      </c>
      <c r="F975" s="4" t="inlineStr">
        <is>
          <t>10.10.2026</t>
        </is>
      </c>
      <c r="G975" s="4" t="inlineStr">
        <is>
          <t>08:00</t>
        </is>
      </c>
      <c r="H975" s="4" t="inlineStr">
        <is>
          <t>10.10.2026</t>
        </is>
      </c>
      <c r="I975" s="4" t="inlineStr">
        <is>
          <t>19:58</t>
        </is>
      </c>
      <c r="J975" s="8" t="n">
        <v>10.5</v>
      </c>
      <c r="K975" s="8" t="n">
        <v>7.5</v>
      </c>
      <c r="L975" s="8" t="n">
        <v>3</v>
      </c>
      <c r="M975" s="29" t="inlineStr">
        <is>
          <t>HALİL DİĞRENCİ</t>
        </is>
      </c>
    </row>
    <row r="976">
      <c r="A976" s="4" t="n">
        <v>975</v>
      </c>
      <c r="B976" s="4" t="inlineStr">
        <is>
          <t>00039</t>
        </is>
      </c>
      <c r="C976" s="4" t="inlineStr">
        <is>
          <t>00039</t>
        </is>
      </c>
      <c r="D976" s="29" t="inlineStr">
        <is>
          <t>ELMAS OMAY</t>
        </is>
      </c>
      <c r="E976" s="4" t="inlineStr">
        <is>
          <t>Perşembe</t>
        </is>
      </c>
      <c r="F976" s="4" t="inlineStr">
        <is>
          <t>1.10.2026</t>
        </is>
      </c>
      <c r="G976" s="4" t="inlineStr">
        <is>
          <t>07:50</t>
        </is>
      </c>
      <c r="H976" s="4" t="inlineStr">
        <is>
          <t>1.10.2026</t>
        </is>
      </c>
      <c r="I976" s="4" t="inlineStr">
        <is>
          <t>17:26</t>
        </is>
      </c>
      <c r="J976" s="8" t="n">
        <v>8</v>
      </c>
      <c r="K976" s="8" t="n">
        <v>7.5</v>
      </c>
      <c r="L976" s="8" t="n">
        <v>0.5</v>
      </c>
      <c r="M976" s="29" t="inlineStr">
        <is>
          <t>BALIKESİR</t>
        </is>
      </c>
    </row>
    <row r="977">
      <c r="A977" s="4" t="n">
        <v>976</v>
      </c>
      <c r="B977" s="4" t="inlineStr">
        <is>
          <t>00039</t>
        </is>
      </c>
      <c r="C977" s="4" t="inlineStr">
        <is>
          <t>00039</t>
        </is>
      </c>
      <c r="D977" s="29" t="inlineStr">
        <is>
          <t>ELMAS OMAY</t>
        </is>
      </c>
      <c r="E977" s="4" t="inlineStr">
        <is>
          <t>Cuma</t>
        </is>
      </c>
      <c r="F977" s="4" t="inlineStr">
        <is>
          <t>2.10.2026</t>
        </is>
      </c>
      <c r="G977" s="4" t="inlineStr">
        <is>
          <t>07:55</t>
        </is>
      </c>
      <c r="H977" s="4" t="inlineStr">
        <is>
          <t>2.10.2026</t>
        </is>
      </c>
      <c r="I977" s="4" t="inlineStr">
        <is>
          <t>17:50</t>
        </is>
      </c>
      <c r="J977" s="8" t="n">
        <v>8.5</v>
      </c>
      <c r="K977" s="8" t="n">
        <v>7.5</v>
      </c>
      <c r="L977" s="8" t="n">
        <v>1</v>
      </c>
      <c r="M977" s="29" t="inlineStr">
        <is>
          <t>BALIKESİR</t>
        </is>
      </c>
    </row>
    <row r="978">
      <c r="A978" s="4" t="n">
        <v>977</v>
      </c>
      <c r="B978" s="4" t="inlineStr">
        <is>
          <t>00039</t>
        </is>
      </c>
      <c r="C978" s="4" t="inlineStr">
        <is>
          <t>00039</t>
        </is>
      </c>
      <c r="D978" s="29" t="inlineStr">
        <is>
          <t>ELMAS OMAY</t>
        </is>
      </c>
      <c r="E978" s="4" t="inlineStr">
        <is>
          <t>Cumartesi</t>
        </is>
      </c>
      <c r="F978" s="4" t="inlineStr">
        <is>
          <t>3.10.2026</t>
        </is>
      </c>
      <c r="G978" s="4" t="inlineStr">
        <is>
          <t>07:55</t>
        </is>
      </c>
      <c r="H978" s="4" t="inlineStr">
        <is>
          <t>3.10.2026</t>
        </is>
      </c>
      <c r="I978" s="4" t="inlineStr">
        <is>
          <t>17:33</t>
        </is>
      </c>
      <c r="J978" s="8" t="n">
        <v>8</v>
      </c>
      <c r="K978" s="8" t="n">
        <v>7.5</v>
      </c>
      <c r="L978" s="8" t="n">
        <v>0.5</v>
      </c>
      <c r="M978" s="29" t="inlineStr">
        <is>
          <t>BALIKESİR</t>
        </is>
      </c>
    </row>
    <row r="979">
      <c r="A979" s="4" t="n">
        <v>978</v>
      </c>
      <c r="B979" s="4" t="inlineStr">
        <is>
          <t>00039</t>
        </is>
      </c>
      <c r="C979" s="4" t="inlineStr">
        <is>
          <t>00039</t>
        </is>
      </c>
      <c r="D979" s="29" t="inlineStr">
        <is>
          <t>ELMAS OMAY</t>
        </is>
      </c>
      <c r="E979" s="4" t="inlineStr">
        <is>
          <t>Pazartesi</t>
        </is>
      </c>
      <c r="F979" s="4" t="inlineStr">
        <is>
          <t>5.10.2026</t>
        </is>
      </c>
      <c r="G979" s="4" t="inlineStr">
        <is>
          <t>07:52</t>
        </is>
      </c>
      <c r="H979" s="4" t="inlineStr">
        <is>
          <t>5.10.2026</t>
        </is>
      </c>
      <c r="I979" s="4" t="inlineStr">
        <is>
          <t>17:09</t>
        </is>
      </c>
      <c r="J979" s="8" t="n">
        <v>7.5</v>
      </c>
      <c r="K979" s="8" t="n">
        <v>7.5</v>
      </c>
      <c r="L979" s="8" t="n">
        <v>0</v>
      </c>
      <c r="M979" s="29" t="inlineStr">
        <is>
          <t>BALIKESİR</t>
        </is>
      </c>
    </row>
    <row r="980">
      <c r="A980" s="4" t="n">
        <v>979</v>
      </c>
      <c r="B980" s="4" t="inlineStr">
        <is>
          <t>00039</t>
        </is>
      </c>
      <c r="C980" s="4" t="inlineStr">
        <is>
          <t>00039</t>
        </is>
      </c>
      <c r="D980" s="29" t="inlineStr">
        <is>
          <t>ELMAS OMAY</t>
        </is>
      </c>
      <c r="E980" s="4" t="inlineStr">
        <is>
          <t>Çarşamba</t>
        </is>
      </c>
      <c r="F980" s="4" t="inlineStr">
        <is>
          <t>7.10.2026</t>
        </is>
      </c>
      <c r="G980" s="4" t="inlineStr">
        <is>
          <t>07:47</t>
        </is>
      </c>
      <c r="H980" s="4" t="inlineStr">
        <is>
          <t>7.10.2026</t>
        </is>
      </c>
      <c r="I980" s="4" t="inlineStr">
        <is>
          <t>17:20</t>
        </is>
      </c>
      <c r="J980" s="8" t="n">
        <v>7.5</v>
      </c>
      <c r="K980" s="8" t="n">
        <v>7.5</v>
      </c>
      <c r="L980" s="8" t="n">
        <v>0</v>
      </c>
      <c r="M980" s="29" t="inlineStr">
        <is>
          <t>BALIKESİR</t>
        </is>
      </c>
    </row>
    <row r="981">
      <c r="A981" s="4" t="n">
        <v>980</v>
      </c>
      <c r="B981" s="4" t="inlineStr">
        <is>
          <t>00039</t>
        </is>
      </c>
      <c r="C981" s="4" t="inlineStr">
        <is>
          <t>00039</t>
        </is>
      </c>
      <c r="D981" s="29" t="inlineStr">
        <is>
          <t>ELMAS OMAY</t>
        </is>
      </c>
      <c r="E981" s="4" t="inlineStr">
        <is>
          <t>Perşembe</t>
        </is>
      </c>
      <c r="F981" s="4" t="inlineStr">
        <is>
          <t>8.10.2026</t>
        </is>
      </c>
      <c r="G981" s="4" t="inlineStr">
        <is>
          <t>07:50</t>
        </is>
      </c>
      <c r="H981" s="4" t="inlineStr">
        <is>
          <t>8.10.2026</t>
        </is>
      </c>
      <c r="I981" s="4" t="inlineStr">
        <is>
          <t>17:32</t>
        </is>
      </c>
      <c r="J981" s="8" t="n">
        <v>8</v>
      </c>
      <c r="K981" s="8" t="n">
        <v>7.5</v>
      </c>
      <c r="L981" s="8" t="n">
        <v>0.5</v>
      </c>
      <c r="M981" s="29" t="inlineStr">
        <is>
          <t>BALIKESİR</t>
        </is>
      </c>
    </row>
    <row r="982">
      <c r="A982" s="4" t="n">
        <v>981</v>
      </c>
      <c r="B982" s="4" t="inlineStr">
        <is>
          <t>00039</t>
        </is>
      </c>
      <c r="C982" s="4" t="inlineStr">
        <is>
          <t>00039</t>
        </is>
      </c>
      <c r="D982" s="29" t="inlineStr">
        <is>
          <t>ELMAS OMAY</t>
        </is>
      </c>
      <c r="E982" s="4" t="inlineStr">
        <is>
          <t>Cuma</t>
        </is>
      </c>
      <c r="F982" s="4" t="inlineStr">
        <is>
          <t>9.10.2026</t>
        </is>
      </c>
      <c r="G982" s="4" t="inlineStr">
        <is>
          <t>07:50</t>
        </is>
      </c>
      <c r="H982" s="4" t="inlineStr">
        <is>
          <t>9.10.2026</t>
        </is>
      </c>
      <c r="I982" s="4" t="inlineStr">
        <is>
          <t>17:41</t>
        </is>
      </c>
      <c r="J982" s="8" t="n">
        <v>8</v>
      </c>
      <c r="K982" s="8" t="n">
        <v>7.5</v>
      </c>
      <c r="L982" s="8" t="n">
        <v>0.5</v>
      </c>
      <c r="M982" s="29" t="inlineStr">
        <is>
          <t>BALIKESİR</t>
        </is>
      </c>
    </row>
    <row r="983">
      <c r="A983" s="4" t="n">
        <v>982</v>
      </c>
      <c r="B983" s="4" t="inlineStr">
        <is>
          <t>00039</t>
        </is>
      </c>
      <c r="C983" s="4" t="inlineStr">
        <is>
          <t>00039</t>
        </is>
      </c>
      <c r="D983" s="29" t="inlineStr">
        <is>
          <t>ELMAS OMAY</t>
        </is>
      </c>
      <c r="E983" s="4" t="inlineStr">
        <is>
          <t>Cumartesi</t>
        </is>
      </c>
      <c r="F983" s="4" t="inlineStr">
        <is>
          <t>10.10.2026</t>
        </is>
      </c>
      <c r="G983" s="4" t="inlineStr">
        <is>
          <t>07:52</t>
        </is>
      </c>
      <c r="H983" s="4" t="inlineStr">
        <is>
          <t>10.10.2026</t>
        </is>
      </c>
      <c r="I983" s="4" t="inlineStr">
        <is>
          <t>18:05</t>
        </is>
      </c>
      <c r="J983" s="8" t="n">
        <v>8.5</v>
      </c>
      <c r="K983" s="8" t="n">
        <v>7.5</v>
      </c>
      <c r="L983" s="8" t="n">
        <v>1</v>
      </c>
      <c r="M983" s="29" t="inlineStr">
        <is>
          <t>BALIKESİR</t>
        </is>
      </c>
    </row>
    <row r="984">
      <c r="A984" s="4" t="n">
        <v>983</v>
      </c>
      <c r="B984" s="4" t="inlineStr">
        <is>
          <t>00039</t>
        </is>
      </c>
      <c r="C984" s="4" t="inlineStr">
        <is>
          <t>00039</t>
        </is>
      </c>
      <c r="D984" s="29" t="inlineStr">
        <is>
          <t>ELMAS OMAY</t>
        </is>
      </c>
      <c r="E984" s="4" t="inlineStr">
        <is>
          <t>Pazartesi</t>
        </is>
      </c>
      <c r="F984" s="4" t="inlineStr">
        <is>
          <t>12.10.2026</t>
        </is>
      </c>
      <c r="G984" s="4" t="inlineStr">
        <is>
          <t>07:52</t>
        </is>
      </c>
      <c r="H984" s="4" t="inlineStr">
        <is>
          <t>12.10.2026</t>
        </is>
      </c>
      <c r="I984" s="4" t="inlineStr">
        <is>
          <t>17:02</t>
        </is>
      </c>
      <c r="J984" s="8" t="n">
        <v>7.5</v>
      </c>
      <c r="K984" s="8" t="n">
        <v>7.5</v>
      </c>
      <c r="L984" s="8" t="n">
        <v>0</v>
      </c>
      <c r="M984" s="29" t="inlineStr">
        <is>
          <t>BALIKESİR</t>
        </is>
      </c>
    </row>
    <row r="985">
      <c r="A985" s="4" t="n">
        <v>984</v>
      </c>
      <c r="B985" s="4" t="inlineStr">
        <is>
          <t>00039</t>
        </is>
      </c>
      <c r="C985" s="4" t="inlineStr">
        <is>
          <t>00039</t>
        </is>
      </c>
      <c r="D985" s="29" t="inlineStr">
        <is>
          <t>ELMAS OMAY</t>
        </is>
      </c>
      <c r="E985" s="4" t="inlineStr">
        <is>
          <t>Salı</t>
        </is>
      </c>
      <c r="F985" s="4" t="inlineStr">
        <is>
          <t>13.10.2026</t>
        </is>
      </c>
      <c r="G985" s="4" t="inlineStr">
        <is>
          <t>07:48</t>
        </is>
      </c>
      <c r="H985" s="4" t="inlineStr">
        <is>
          <t>13.10.2026</t>
        </is>
      </c>
      <c r="I985" s="4" t="inlineStr">
        <is>
          <t>17:08</t>
        </is>
      </c>
      <c r="J985" s="8" t="n">
        <v>7.5</v>
      </c>
      <c r="K985" s="8" t="n">
        <v>7.5</v>
      </c>
      <c r="L985" s="8" t="n">
        <v>0</v>
      </c>
      <c r="M985" s="29" t="inlineStr">
        <is>
          <t>BALIKESİR</t>
        </is>
      </c>
    </row>
    <row r="986">
      <c r="A986" s="4" t="n">
        <v>985</v>
      </c>
      <c r="B986" s="4" t="inlineStr">
        <is>
          <t>00039</t>
        </is>
      </c>
      <c r="C986" s="4" t="inlineStr">
        <is>
          <t>00039</t>
        </is>
      </c>
      <c r="D986" s="29" t="inlineStr">
        <is>
          <t>ELMAS OMAY</t>
        </is>
      </c>
      <c r="E986" s="4" t="inlineStr">
        <is>
          <t>Çarşamba</t>
        </is>
      </c>
      <c r="F986" s="4" t="inlineStr">
        <is>
          <t>14.10.2026</t>
        </is>
      </c>
      <c r="G986" s="4" t="inlineStr">
        <is>
          <t>07:49</t>
        </is>
      </c>
      <c r="H986" s="4" t="inlineStr">
        <is>
          <t>14.10.2026</t>
        </is>
      </c>
      <c r="I986" s="4" t="inlineStr">
        <is>
          <t>17:51</t>
        </is>
      </c>
      <c r="J986" s="8" t="n">
        <v>8.5</v>
      </c>
      <c r="K986" s="8" t="n">
        <v>7.5</v>
      </c>
      <c r="L986" s="8" t="n">
        <v>1</v>
      </c>
      <c r="M986" s="29" t="inlineStr">
        <is>
          <t>BALIKESİR</t>
        </is>
      </c>
    </row>
    <row r="987">
      <c r="A987" s="4" t="n">
        <v>986</v>
      </c>
      <c r="B987" s="4" t="inlineStr">
        <is>
          <t>00039</t>
        </is>
      </c>
      <c r="C987" s="4" t="inlineStr">
        <is>
          <t>00039</t>
        </is>
      </c>
      <c r="D987" s="29" t="inlineStr">
        <is>
          <t>ELMAS OMAY</t>
        </is>
      </c>
      <c r="E987" s="4" t="inlineStr">
        <is>
          <t>Perşembe</t>
        </is>
      </c>
      <c r="F987" s="4" t="inlineStr">
        <is>
          <t>15.10.2026</t>
        </is>
      </c>
      <c r="G987" s="4" t="inlineStr">
        <is>
          <t>07:52</t>
        </is>
      </c>
      <c r="H987" s="4" t="inlineStr">
        <is>
          <t>15.10.2026</t>
        </is>
      </c>
      <c r="I987" s="4" t="inlineStr">
        <is>
          <t>17:12</t>
        </is>
      </c>
      <c r="J987" s="8" t="n">
        <v>7.5</v>
      </c>
      <c r="K987" s="8" t="n">
        <v>7.5</v>
      </c>
      <c r="L987" s="8" t="n">
        <v>0</v>
      </c>
      <c r="M987" s="29" t="inlineStr">
        <is>
          <t>BALIKESİR</t>
        </is>
      </c>
    </row>
    <row r="988">
      <c r="A988" s="4" t="n">
        <v>987</v>
      </c>
      <c r="B988" s="4" t="inlineStr">
        <is>
          <t>00039</t>
        </is>
      </c>
      <c r="C988" s="4" t="inlineStr">
        <is>
          <t>00039</t>
        </is>
      </c>
      <c r="D988" s="29" t="inlineStr">
        <is>
          <t>ELMAS OMAY</t>
        </is>
      </c>
      <c r="E988" s="4" t="inlineStr">
        <is>
          <t>Cuma</t>
        </is>
      </c>
      <c r="F988" s="4" t="inlineStr">
        <is>
          <t>16.10.2026</t>
        </is>
      </c>
      <c r="G988" s="4" t="inlineStr">
        <is>
          <t>07:48</t>
        </is>
      </c>
      <c r="H988" s="4" t="inlineStr">
        <is>
          <t>16.10.2026</t>
        </is>
      </c>
      <c r="I988" s="4" t="inlineStr">
        <is>
          <t>20:03</t>
        </is>
      </c>
      <c r="J988" s="8" t="n">
        <v>10.5</v>
      </c>
      <c r="K988" s="8" t="n">
        <v>7.5</v>
      </c>
      <c r="L988" s="8" t="n">
        <v>3</v>
      </c>
      <c r="M988" s="29" t="inlineStr">
        <is>
          <t>BALIKESİR</t>
        </is>
      </c>
    </row>
    <row r="989">
      <c r="A989" s="4" t="n">
        <v>988</v>
      </c>
      <c r="B989" s="4" t="inlineStr">
        <is>
          <t>00039</t>
        </is>
      </c>
      <c r="C989" s="4" t="inlineStr">
        <is>
          <t>00039</t>
        </is>
      </c>
      <c r="D989" s="29" t="inlineStr">
        <is>
          <t>ELMAS OMAY</t>
        </is>
      </c>
      <c r="E989" s="4" t="inlineStr">
        <is>
          <t>Cumartesi</t>
        </is>
      </c>
      <c r="F989" s="4" t="inlineStr">
        <is>
          <t>17.10.2026</t>
        </is>
      </c>
      <c r="G989" s="4" t="inlineStr">
        <is>
          <t>07:57</t>
        </is>
      </c>
      <c r="H989" s="4" t="inlineStr">
        <is>
          <t>17.10.2026</t>
        </is>
      </c>
      <c r="I989" s="4" t="inlineStr">
        <is>
          <t>17:48</t>
        </is>
      </c>
      <c r="J989" s="8" t="n">
        <v>8.5</v>
      </c>
      <c r="K989" s="8" t="n">
        <v>7.5</v>
      </c>
      <c r="L989" s="8" t="n">
        <v>1</v>
      </c>
      <c r="M989" s="29" t="inlineStr">
        <is>
          <t>BALIKESİR</t>
        </is>
      </c>
    </row>
    <row r="990">
      <c r="A990" s="4" t="n">
        <v>989</v>
      </c>
      <c r="B990" s="4" t="inlineStr">
        <is>
          <t>00039</t>
        </is>
      </c>
      <c r="C990" s="4" t="inlineStr">
        <is>
          <t>00039</t>
        </is>
      </c>
      <c r="D990" s="29" t="inlineStr">
        <is>
          <t>ELMAS OMAY</t>
        </is>
      </c>
      <c r="E990" s="4" t="inlineStr">
        <is>
          <t>Salı</t>
        </is>
      </c>
      <c r="F990" s="4" t="inlineStr">
        <is>
          <t>20.10.2026</t>
        </is>
      </c>
      <c r="G990" s="4" t="inlineStr">
        <is>
          <t>07:48</t>
        </is>
      </c>
      <c r="H990" s="4" t="inlineStr">
        <is>
          <t>20.10.2026</t>
        </is>
      </c>
      <c r="I990" s="4" t="inlineStr">
        <is>
          <t>17:04</t>
        </is>
      </c>
      <c r="J990" s="8" t="n">
        <v>7.5</v>
      </c>
      <c r="K990" s="8" t="n">
        <v>7.5</v>
      </c>
      <c r="L990" s="8" t="n">
        <v>0</v>
      </c>
      <c r="M990" s="29" t="inlineStr">
        <is>
          <t>BALIKESİR</t>
        </is>
      </c>
    </row>
    <row r="991">
      <c r="A991" s="4" t="n">
        <v>990</v>
      </c>
      <c r="B991" s="4" t="inlineStr">
        <is>
          <t>00039</t>
        </is>
      </c>
      <c r="C991" s="4" t="inlineStr">
        <is>
          <t>00039</t>
        </is>
      </c>
      <c r="D991" s="29" t="inlineStr">
        <is>
          <t>ELMAS OMAY</t>
        </is>
      </c>
      <c r="E991" s="4" t="inlineStr">
        <is>
          <t>Çarşamba</t>
        </is>
      </c>
      <c r="F991" s="4" t="inlineStr">
        <is>
          <t>21.10.2026</t>
        </is>
      </c>
      <c r="G991" s="4" t="inlineStr">
        <is>
          <t>07:49</t>
        </is>
      </c>
      <c r="H991" s="4" t="inlineStr">
        <is>
          <t>21.10.2026</t>
        </is>
      </c>
      <c r="I991" s="4" t="inlineStr">
        <is>
          <t>17:05</t>
        </is>
      </c>
      <c r="J991" s="8" t="n">
        <v>7.5</v>
      </c>
      <c r="K991" s="8" t="n">
        <v>7.5</v>
      </c>
      <c r="L991" s="8" t="n">
        <v>0</v>
      </c>
      <c r="M991" s="29" t="inlineStr">
        <is>
          <t>BALIKESİR</t>
        </is>
      </c>
    </row>
    <row r="992">
      <c r="A992" s="4" t="n">
        <v>991</v>
      </c>
      <c r="B992" s="4" t="inlineStr">
        <is>
          <t>00204</t>
        </is>
      </c>
      <c r="C992" s="4" t="inlineStr">
        <is>
          <t>00204</t>
        </is>
      </c>
      <c r="D992" s="29" t="inlineStr">
        <is>
          <t>EMEL SANAN</t>
        </is>
      </c>
      <c r="E992" s="4" t="inlineStr">
        <is>
          <t>Perşembe</t>
        </is>
      </c>
      <c r="F992" s="4" t="inlineStr">
        <is>
          <t>1.10.2026</t>
        </is>
      </c>
      <c r="G992" s="4" t="inlineStr">
        <is>
          <t>07:54</t>
        </is>
      </c>
      <c r="H992" s="4" t="inlineStr">
        <is>
          <t>1.10.2026</t>
        </is>
      </c>
      <c r="I992" s="4" t="inlineStr">
        <is>
          <t>17:10</t>
        </is>
      </c>
      <c r="J992" s="8" t="n">
        <v>7.5</v>
      </c>
      <c r="K992" s="8" t="n">
        <v>7.5</v>
      </c>
      <c r="L992" s="8" t="n">
        <v>0</v>
      </c>
      <c r="M992" s="29" t="inlineStr">
        <is>
          <t>BİGADİÇ</t>
        </is>
      </c>
    </row>
    <row r="993">
      <c r="A993" s="4" t="n">
        <v>992</v>
      </c>
      <c r="B993" s="4" t="inlineStr">
        <is>
          <t>00204</t>
        </is>
      </c>
      <c r="C993" s="4" t="inlineStr">
        <is>
          <t>00204</t>
        </is>
      </c>
      <c r="D993" s="29" t="inlineStr">
        <is>
          <t>EMEL SANAN</t>
        </is>
      </c>
      <c r="E993" s="4" t="inlineStr">
        <is>
          <t>Cuma</t>
        </is>
      </c>
      <c r="F993" s="4" t="inlineStr">
        <is>
          <t>2.10.2026</t>
        </is>
      </c>
      <c r="G993" s="4" t="inlineStr">
        <is>
          <t>07:52</t>
        </is>
      </c>
      <c r="H993" s="4" t="inlineStr">
        <is>
          <t>2.10.2026</t>
        </is>
      </c>
      <c r="I993" s="4" t="inlineStr">
        <is>
          <t>17:13</t>
        </is>
      </c>
      <c r="J993" s="8" t="n">
        <v>7.5</v>
      </c>
      <c r="K993" s="8" t="n">
        <v>7.5</v>
      </c>
      <c r="L993" s="8" t="n">
        <v>0</v>
      </c>
      <c r="M993" s="29" t="inlineStr">
        <is>
          <t>BİGADİÇ</t>
        </is>
      </c>
    </row>
    <row r="994">
      <c r="A994" s="4" t="n">
        <v>993</v>
      </c>
      <c r="B994" s="4" t="inlineStr">
        <is>
          <t>00204</t>
        </is>
      </c>
      <c r="C994" s="4" t="inlineStr">
        <is>
          <t>00204</t>
        </is>
      </c>
      <c r="D994" s="29" t="inlineStr">
        <is>
          <t>EMEL SANAN</t>
        </is>
      </c>
      <c r="E994" s="4" t="inlineStr">
        <is>
          <t>Pazartesi</t>
        </is>
      </c>
      <c r="F994" s="4" t="inlineStr">
        <is>
          <t>5.10.2026</t>
        </is>
      </c>
      <c r="G994" s="4" t="inlineStr">
        <is>
          <t>07:54</t>
        </is>
      </c>
      <c r="H994" s="4" t="inlineStr">
        <is>
          <t>5.10.2026</t>
        </is>
      </c>
      <c r="I994" s="4" t="inlineStr">
        <is>
          <t>17:11</t>
        </is>
      </c>
      <c r="J994" s="8" t="n">
        <v>7.5</v>
      </c>
      <c r="K994" s="8" t="n">
        <v>7.5</v>
      </c>
      <c r="L994" s="8" t="n">
        <v>0</v>
      </c>
      <c r="M994" s="29" t="inlineStr">
        <is>
          <t>BİGADİÇ</t>
        </is>
      </c>
    </row>
    <row r="995">
      <c r="A995" s="4" t="n">
        <v>994</v>
      </c>
      <c r="B995" s="4" t="inlineStr">
        <is>
          <t>00204</t>
        </is>
      </c>
      <c r="C995" s="4" t="inlineStr">
        <is>
          <t>00204</t>
        </is>
      </c>
      <c r="D995" s="29" t="inlineStr">
        <is>
          <t>EMEL SANAN</t>
        </is>
      </c>
      <c r="E995" s="4" t="inlineStr">
        <is>
          <t>Salı</t>
        </is>
      </c>
      <c r="F995" s="4" t="inlineStr">
        <is>
          <t>6.10.2026</t>
        </is>
      </c>
      <c r="G995" s="4" t="inlineStr">
        <is>
          <t>07:53</t>
        </is>
      </c>
      <c r="H995" s="4" t="inlineStr">
        <is>
          <t>6.10.2026</t>
        </is>
      </c>
      <c r="I995" s="4" t="inlineStr">
        <is>
          <t>17:09</t>
        </is>
      </c>
      <c r="J995" s="8" t="n">
        <v>7.5</v>
      </c>
      <c r="K995" s="8" t="n">
        <v>7.5</v>
      </c>
      <c r="L995" s="8" t="n">
        <v>0</v>
      </c>
      <c r="M995" s="29" t="inlineStr">
        <is>
          <t>BİGADİÇ</t>
        </is>
      </c>
    </row>
    <row r="996">
      <c r="A996" s="4" t="n">
        <v>995</v>
      </c>
      <c r="B996" s="4" t="inlineStr">
        <is>
          <t>00204</t>
        </is>
      </c>
      <c r="C996" s="4" t="inlineStr">
        <is>
          <t>00204</t>
        </is>
      </c>
      <c r="D996" s="29" t="inlineStr">
        <is>
          <t>EMEL SANAN</t>
        </is>
      </c>
      <c r="E996" s="4" t="inlineStr">
        <is>
          <t>Çarşamba</t>
        </is>
      </c>
      <c r="F996" s="4" t="inlineStr">
        <is>
          <t>7.10.2026</t>
        </is>
      </c>
      <c r="G996" s="4" t="inlineStr">
        <is>
          <t>07:56</t>
        </is>
      </c>
      <c r="H996" s="4" t="inlineStr">
        <is>
          <t>7.10.2026</t>
        </is>
      </c>
      <c r="I996" s="4" t="inlineStr">
        <is>
          <t>17:11</t>
        </is>
      </c>
      <c r="J996" s="8" t="n">
        <v>7.5</v>
      </c>
      <c r="K996" s="8" t="n">
        <v>7.5</v>
      </c>
      <c r="L996" s="8" t="n">
        <v>0</v>
      </c>
      <c r="M996" s="29" t="inlineStr">
        <is>
          <t>BİGADİÇ</t>
        </is>
      </c>
    </row>
    <row r="997">
      <c r="A997" s="4" t="n">
        <v>996</v>
      </c>
      <c r="B997" s="4" t="inlineStr">
        <is>
          <t>00204</t>
        </is>
      </c>
      <c r="C997" s="4" t="inlineStr">
        <is>
          <t>00204</t>
        </is>
      </c>
      <c r="D997" s="29" t="inlineStr">
        <is>
          <t>EMEL SANAN</t>
        </is>
      </c>
      <c r="E997" s="4" t="inlineStr">
        <is>
          <t>Perşembe</t>
        </is>
      </c>
      <c r="F997" s="4" t="inlineStr">
        <is>
          <t>8.10.2026</t>
        </is>
      </c>
      <c r="G997" s="4" t="inlineStr">
        <is>
          <t>07:58</t>
        </is>
      </c>
      <c r="H997" s="4" t="inlineStr">
        <is>
          <t>8.10.2026</t>
        </is>
      </c>
      <c r="I997" s="4" t="inlineStr">
        <is>
          <t>17:13</t>
        </is>
      </c>
      <c r="J997" s="8" t="n">
        <v>7.5</v>
      </c>
      <c r="K997" s="8" t="n">
        <v>7.5</v>
      </c>
      <c r="L997" s="8" t="n">
        <v>0</v>
      </c>
      <c r="M997" s="29" t="inlineStr">
        <is>
          <t>BİGADİÇ</t>
        </is>
      </c>
    </row>
    <row r="998">
      <c r="A998" s="4" t="n">
        <v>997</v>
      </c>
      <c r="B998" s="4" t="inlineStr">
        <is>
          <t>00204</t>
        </is>
      </c>
      <c r="C998" s="4" t="inlineStr">
        <is>
          <t>00204</t>
        </is>
      </c>
      <c r="D998" s="29" t="inlineStr">
        <is>
          <t>EMEL SANAN</t>
        </is>
      </c>
      <c r="E998" s="4" t="inlineStr">
        <is>
          <t>Cuma</t>
        </is>
      </c>
      <c r="F998" s="4" t="inlineStr">
        <is>
          <t>9.10.2026</t>
        </is>
      </c>
      <c r="G998" s="4" t="inlineStr">
        <is>
          <t>07:52</t>
        </is>
      </c>
      <c r="H998" s="4" t="inlineStr">
        <is>
          <t>9.10.2026</t>
        </is>
      </c>
      <c r="I998" s="4" t="inlineStr">
        <is>
          <t>17:10</t>
        </is>
      </c>
      <c r="J998" s="8" t="n">
        <v>7.5</v>
      </c>
      <c r="K998" s="8" t="n">
        <v>7.5</v>
      </c>
      <c r="L998" s="8" t="n">
        <v>0</v>
      </c>
      <c r="M998" s="29" t="inlineStr">
        <is>
          <t>BİGADİÇ</t>
        </is>
      </c>
    </row>
    <row r="999">
      <c r="A999" s="4" t="n">
        <v>998</v>
      </c>
      <c r="B999" s="4" t="inlineStr">
        <is>
          <t>00204</t>
        </is>
      </c>
      <c r="C999" s="4" t="inlineStr">
        <is>
          <t>00204</t>
        </is>
      </c>
      <c r="D999" s="29" t="inlineStr">
        <is>
          <t>EMEL SANAN</t>
        </is>
      </c>
      <c r="E999" s="4" t="inlineStr">
        <is>
          <t>Cumartesi</t>
        </is>
      </c>
      <c r="F999" s="4" t="inlineStr">
        <is>
          <t>10.10.2026</t>
        </is>
      </c>
      <c r="G999" s="4" t="inlineStr">
        <is>
          <t>07:52</t>
        </is>
      </c>
      <c r="H999" s="4" t="inlineStr">
        <is>
          <t>10.10.2026</t>
        </is>
      </c>
      <c r="I999" s="4" t="inlineStr">
        <is>
          <t>17:08</t>
        </is>
      </c>
      <c r="J999" s="8" t="n">
        <v>7.5</v>
      </c>
      <c r="K999" s="8" t="n">
        <v>7.5</v>
      </c>
      <c r="L999" s="8" t="n">
        <v>0</v>
      </c>
      <c r="M999" s="29" t="inlineStr">
        <is>
          <t>BİGADİÇ</t>
        </is>
      </c>
    </row>
    <row r="1000">
      <c r="A1000" s="4" t="n">
        <v>999</v>
      </c>
      <c r="B1000" s="4" t="inlineStr">
        <is>
          <t>00204</t>
        </is>
      </c>
      <c r="C1000" s="4" t="inlineStr">
        <is>
          <t>00204</t>
        </is>
      </c>
      <c r="D1000" s="29" t="inlineStr">
        <is>
          <t>EMEL SANAN</t>
        </is>
      </c>
      <c r="E1000" s="4" t="inlineStr">
        <is>
          <t>Pazartesi</t>
        </is>
      </c>
      <c r="F1000" s="4" t="inlineStr">
        <is>
          <t>12.10.2026</t>
        </is>
      </c>
      <c r="G1000" s="4" t="inlineStr">
        <is>
          <t>07:57</t>
        </is>
      </c>
      <c r="H1000" s="4" t="inlineStr">
        <is>
          <t>12.10.2026</t>
        </is>
      </c>
      <c r="I1000" s="4" t="inlineStr">
        <is>
          <t>18:10</t>
        </is>
      </c>
      <c r="J1000" s="8" t="n">
        <v>8.5</v>
      </c>
      <c r="K1000" s="8" t="n">
        <v>7.5</v>
      </c>
      <c r="L1000" s="8" t="n">
        <v>1</v>
      </c>
      <c r="M1000" s="29" t="inlineStr">
        <is>
          <t>BİGADİÇ</t>
        </is>
      </c>
    </row>
    <row r="1001">
      <c r="A1001" s="4" t="n">
        <v>1000</v>
      </c>
      <c r="B1001" s="4" t="inlineStr">
        <is>
          <t>00204</t>
        </is>
      </c>
      <c r="C1001" s="4" t="inlineStr">
        <is>
          <t>00204</t>
        </is>
      </c>
      <c r="D1001" s="29" t="inlineStr">
        <is>
          <t>EMEL SANAN</t>
        </is>
      </c>
      <c r="E1001" s="4" t="inlineStr">
        <is>
          <t>Çarşamba</t>
        </is>
      </c>
      <c r="F1001" s="4" t="inlineStr">
        <is>
          <t>14.10.2026</t>
        </is>
      </c>
      <c r="G1001" s="4" t="inlineStr">
        <is>
          <t>07:58</t>
        </is>
      </c>
      <c r="H1001" s="4" t="inlineStr">
        <is>
          <t>14.10.2026</t>
        </is>
      </c>
      <c r="I1001" s="4" t="inlineStr">
        <is>
          <t>17:12</t>
        </is>
      </c>
      <c r="J1001" s="8" t="n">
        <v>7.5</v>
      </c>
      <c r="K1001" s="8" t="n">
        <v>7.5</v>
      </c>
      <c r="L1001" s="8" t="n">
        <v>0</v>
      </c>
      <c r="M1001" s="29" t="inlineStr">
        <is>
          <t>BİGADİÇ</t>
        </is>
      </c>
    </row>
    <row r="1002">
      <c r="A1002" s="4" t="n">
        <v>1001</v>
      </c>
      <c r="B1002" s="4" t="inlineStr">
        <is>
          <t>00204</t>
        </is>
      </c>
      <c r="C1002" s="4" t="inlineStr">
        <is>
          <t>00204</t>
        </is>
      </c>
      <c r="D1002" s="29" t="inlineStr">
        <is>
          <t>EMEL SANAN</t>
        </is>
      </c>
      <c r="E1002" s="4" t="inlineStr">
        <is>
          <t>Perşembe</t>
        </is>
      </c>
      <c r="F1002" s="4" t="inlineStr">
        <is>
          <t>15.10.2026</t>
        </is>
      </c>
      <c r="G1002" s="4" t="inlineStr">
        <is>
          <t>08:00</t>
        </is>
      </c>
      <c r="H1002" s="4" t="inlineStr">
        <is>
          <t>15.10.2026</t>
        </is>
      </c>
      <c r="I1002" s="4" t="inlineStr">
        <is>
          <t>17:25</t>
        </is>
      </c>
      <c r="J1002" s="8" t="n">
        <v>8</v>
      </c>
      <c r="K1002" s="8" t="n">
        <v>7.5</v>
      </c>
      <c r="L1002" s="8" t="n">
        <v>0.5</v>
      </c>
      <c r="M1002" s="29" t="inlineStr">
        <is>
          <t>BİGADİÇ</t>
        </is>
      </c>
    </row>
    <row r="1003">
      <c r="A1003" s="4" t="n">
        <v>1002</v>
      </c>
      <c r="B1003" s="4" t="inlineStr">
        <is>
          <t>00204</t>
        </is>
      </c>
      <c r="C1003" s="4" t="inlineStr">
        <is>
          <t>00204</t>
        </is>
      </c>
      <c r="D1003" s="29" t="inlineStr">
        <is>
          <t>EMEL SANAN</t>
        </is>
      </c>
      <c r="E1003" s="4" t="inlineStr">
        <is>
          <t>Cuma</t>
        </is>
      </c>
      <c r="F1003" s="4" t="inlineStr">
        <is>
          <t>16.10.2026</t>
        </is>
      </c>
      <c r="G1003" s="4" t="inlineStr">
        <is>
          <t>07:53</t>
        </is>
      </c>
      <c r="H1003" s="4" t="inlineStr">
        <is>
          <t>16.10.2026</t>
        </is>
      </c>
      <c r="I1003" s="4" t="inlineStr">
        <is>
          <t>17:11</t>
        </is>
      </c>
      <c r="J1003" s="8" t="n">
        <v>7.5</v>
      </c>
      <c r="K1003" s="8" t="n">
        <v>7.5</v>
      </c>
      <c r="L1003" s="8" t="n">
        <v>0</v>
      </c>
      <c r="M1003" s="29" t="inlineStr">
        <is>
          <t>BİGADİÇ</t>
        </is>
      </c>
    </row>
    <row r="1004">
      <c r="A1004" s="4" t="n">
        <v>1003</v>
      </c>
      <c r="B1004" s="4" t="inlineStr">
        <is>
          <t>00204</t>
        </is>
      </c>
      <c r="C1004" s="4" t="inlineStr">
        <is>
          <t>00204</t>
        </is>
      </c>
      <c r="D1004" s="29" t="inlineStr">
        <is>
          <t>EMEL SANAN</t>
        </is>
      </c>
      <c r="E1004" s="4" t="inlineStr">
        <is>
          <t>Cumartesi</t>
        </is>
      </c>
      <c r="F1004" s="4" t="inlineStr">
        <is>
          <t>17.10.2026</t>
        </is>
      </c>
      <c r="G1004" s="4" t="inlineStr">
        <is>
          <t>07:51</t>
        </is>
      </c>
      <c r="H1004" s="4" t="inlineStr">
        <is>
          <t>17.10.2026</t>
        </is>
      </c>
      <c r="I1004" s="4" t="inlineStr">
        <is>
          <t>17:16</t>
        </is>
      </c>
      <c r="J1004" s="8" t="n">
        <v>7.5</v>
      </c>
      <c r="K1004" s="8" t="n">
        <v>7.5</v>
      </c>
      <c r="L1004" s="8" t="n">
        <v>0</v>
      </c>
      <c r="M1004" s="29" t="inlineStr">
        <is>
          <t>BİGADİÇ</t>
        </is>
      </c>
    </row>
    <row r="1005">
      <c r="A1005" s="4" t="n">
        <v>1004</v>
      </c>
      <c r="B1005" s="4" t="inlineStr">
        <is>
          <t>00204</t>
        </is>
      </c>
      <c r="C1005" s="4" t="inlineStr">
        <is>
          <t>00204</t>
        </is>
      </c>
      <c r="D1005" s="29" t="inlineStr">
        <is>
          <t>EMEL SANAN</t>
        </is>
      </c>
      <c r="E1005" s="4" t="inlineStr">
        <is>
          <t>Pazar</t>
        </is>
      </c>
      <c r="F1005" s="4" t="inlineStr">
        <is>
          <t>18.10.2026</t>
        </is>
      </c>
      <c r="G1005" s="4" t="inlineStr">
        <is>
          <t>08:10</t>
        </is>
      </c>
      <c r="H1005" s="4" t="inlineStr">
        <is>
          <t>18.10.2026</t>
        </is>
      </c>
      <c r="I1005" s="4" t="inlineStr">
        <is>
          <t>17:11</t>
        </is>
      </c>
      <c r="J1005" s="8" t="n">
        <v>7.5</v>
      </c>
      <c r="K1005" s="8" t="n">
        <v>7.5</v>
      </c>
      <c r="L1005" s="8" t="n">
        <v>0</v>
      </c>
      <c r="M1005" s="29" t="inlineStr">
        <is>
          <t>BİGADİÇ</t>
        </is>
      </c>
    </row>
    <row r="1006">
      <c r="A1006" s="4" t="n">
        <v>1005</v>
      </c>
      <c r="B1006" s="4" t="inlineStr">
        <is>
          <t>00204</t>
        </is>
      </c>
      <c r="C1006" s="4" t="inlineStr">
        <is>
          <t>00204</t>
        </is>
      </c>
      <c r="D1006" s="29" t="inlineStr">
        <is>
          <t>EMEL SANAN</t>
        </is>
      </c>
      <c r="E1006" s="4" t="inlineStr">
        <is>
          <t>Pazartesi</t>
        </is>
      </c>
      <c r="F1006" s="4" t="inlineStr">
        <is>
          <t>19.10.2026</t>
        </is>
      </c>
      <c r="G1006" s="4" t="inlineStr">
        <is>
          <t>07:53</t>
        </is>
      </c>
      <c r="H1006" s="4" t="inlineStr">
        <is>
          <t>19.10.2026</t>
        </is>
      </c>
      <c r="I1006" s="4" t="inlineStr">
        <is>
          <t>17:13</t>
        </is>
      </c>
      <c r="J1006" s="8" t="n">
        <v>7.5</v>
      </c>
      <c r="K1006" s="8" t="n">
        <v>7.5</v>
      </c>
      <c r="L1006" s="8" t="n">
        <v>0</v>
      </c>
      <c r="M1006" s="29" t="inlineStr">
        <is>
          <t>BİGADİÇ</t>
        </is>
      </c>
    </row>
    <row r="1007">
      <c r="A1007" s="4" t="n">
        <v>1006</v>
      </c>
      <c r="B1007" s="4" t="inlineStr">
        <is>
          <t>00204</t>
        </is>
      </c>
      <c r="C1007" s="4" t="inlineStr">
        <is>
          <t>00204</t>
        </is>
      </c>
      <c r="D1007" s="29" t="inlineStr">
        <is>
          <t>EMEL SANAN</t>
        </is>
      </c>
      <c r="E1007" s="4" t="inlineStr">
        <is>
          <t>Salı</t>
        </is>
      </c>
      <c r="F1007" s="4" t="inlineStr">
        <is>
          <t>20.10.2026</t>
        </is>
      </c>
      <c r="G1007" s="4" t="inlineStr">
        <is>
          <t>08:18</t>
        </is>
      </c>
      <c r="H1007" s="4" t="inlineStr">
        <is>
          <t>20.10.2026</t>
        </is>
      </c>
      <c r="I1007" s="4" t="inlineStr">
        <is>
          <t>17:18</t>
        </is>
      </c>
      <c r="J1007" s="8" t="n">
        <v>7.5</v>
      </c>
      <c r="K1007" s="8" t="n">
        <v>7.5</v>
      </c>
      <c r="L1007" s="8" t="n">
        <v>0</v>
      </c>
      <c r="M1007" s="29" t="inlineStr">
        <is>
          <t>BİGADİÇ</t>
        </is>
      </c>
    </row>
    <row r="1008">
      <c r="A1008" s="4" t="n">
        <v>1007</v>
      </c>
      <c r="B1008" s="4" t="inlineStr">
        <is>
          <t>00204</t>
        </is>
      </c>
      <c r="C1008" s="4" t="inlineStr">
        <is>
          <t>00204</t>
        </is>
      </c>
      <c r="D1008" s="29" t="inlineStr">
        <is>
          <t>EMEL SANAN</t>
        </is>
      </c>
      <c r="E1008" s="4" t="inlineStr">
        <is>
          <t>Çarşamba</t>
        </is>
      </c>
      <c r="F1008" s="4" t="inlineStr">
        <is>
          <t>21.10.2026</t>
        </is>
      </c>
      <c r="G1008" s="4" t="inlineStr">
        <is>
          <t>07:59</t>
        </is>
      </c>
      <c r="H1008" s="4" t="inlineStr">
        <is>
          <t>21.10.2026</t>
        </is>
      </c>
      <c r="I1008" s="4" t="inlineStr">
        <is>
          <t>17:09</t>
        </is>
      </c>
      <c r="J1008" s="8" t="n">
        <v>7.5</v>
      </c>
      <c r="K1008" s="8" t="n">
        <v>7.5</v>
      </c>
      <c r="L1008" s="8" t="n">
        <v>0</v>
      </c>
      <c r="M1008" s="29" t="inlineStr">
        <is>
          <t>BİGADİÇ</t>
        </is>
      </c>
    </row>
    <row r="1009">
      <c r="A1009" s="4" t="n">
        <v>1008</v>
      </c>
      <c r="B1009" s="4" t="inlineStr">
        <is>
          <t>00043</t>
        </is>
      </c>
      <c r="C1009" s="4" t="inlineStr">
        <is>
          <t>00043</t>
        </is>
      </c>
      <c r="D1009" s="29" t="inlineStr">
        <is>
          <t>EMİNE BAYER</t>
        </is>
      </c>
      <c r="E1009" s="4" t="inlineStr">
        <is>
          <t>Perşembe</t>
        </is>
      </c>
      <c r="F1009" s="4" t="inlineStr">
        <is>
          <t>1.10.2026</t>
        </is>
      </c>
      <c r="G1009" s="4" t="inlineStr">
        <is>
          <t>07:55</t>
        </is>
      </c>
      <c r="H1009" s="4" t="inlineStr">
        <is>
          <t>1.10.2026</t>
        </is>
      </c>
      <c r="I1009" s="4" t="inlineStr">
        <is>
          <t>17:09</t>
        </is>
      </c>
      <c r="J1009" s="8" t="n">
        <v>7.5</v>
      </c>
      <c r="K1009" s="8" t="n">
        <v>7.5</v>
      </c>
      <c r="L1009" s="8" t="n">
        <v>0</v>
      </c>
      <c r="M1009" s="29" t="inlineStr">
        <is>
          <t>BİGADİÇ</t>
        </is>
      </c>
    </row>
    <row r="1010">
      <c r="A1010" s="4" t="n">
        <v>1009</v>
      </c>
      <c r="B1010" s="4" t="inlineStr">
        <is>
          <t>00043</t>
        </is>
      </c>
      <c r="C1010" s="4" t="inlineStr">
        <is>
          <t>00043</t>
        </is>
      </c>
      <c r="D1010" s="29" t="inlineStr">
        <is>
          <t>EMİNE BAYER</t>
        </is>
      </c>
      <c r="E1010" s="4" t="inlineStr">
        <is>
          <t>Cuma</t>
        </is>
      </c>
      <c r="F1010" s="4" t="inlineStr">
        <is>
          <t>2.10.2026</t>
        </is>
      </c>
      <c r="G1010" s="4" t="inlineStr">
        <is>
          <t>07:54</t>
        </is>
      </c>
      <c r="H1010" s="4" t="inlineStr">
        <is>
          <t>2.10.2026</t>
        </is>
      </c>
      <c r="I1010" s="4" t="inlineStr">
        <is>
          <t>17:12</t>
        </is>
      </c>
      <c r="J1010" s="8" t="n">
        <v>7.5</v>
      </c>
      <c r="K1010" s="8" t="n">
        <v>7.5</v>
      </c>
      <c r="L1010" s="8" t="n">
        <v>0</v>
      </c>
      <c r="M1010" s="29" t="inlineStr">
        <is>
          <t>BİGADİÇ</t>
        </is>
      </c>
    </row>
    <row r="1011">
      <c r="A1011" s="4" t="n">
        <v>1010</v>
      </c>
      <c r="B1011" s="4" t="inlineStr">
        <is>
          <t>00043</t>
        </is>
      </c>
      <c r="C1011" s="4" t="inlineStr">
        <is>
          <t>00043</t>
        </is>
      </c>
      <c r="D1011" s="29" t="inlineStr">
        <is>
          <t>EMİNE BAYER</t>
        </is>
      </c>
      <c r="E1011" s="4" t="inlineStr">
        <is>
          <t>Cumartesi</t>
        </is>
      </c>
      <c r="F1011" s="4" t="inlineStr">
        <is>
          <t>3.10.2026</t>
        </is>
      </c>
      <c r="G1011" s="4" t="inlineStr">
        <is>
          <t>07:35</t>
        </is>
      </c>
      <c r="H1011" s="4" t="inlineStr">
        <is>
          <t>3.10.2026</t>
        </is>
      </c>
      <c r="I1011" s="4" t="inlineStr">
        <is>
          <t>17:09</t>
        </is>
      </c>
      <c r="J1011" s="8" t="n">
        <v>7.5</v>
      </c>
      <c r="K1011" s="8" t="n">
        <v>7.5</v>
      </c>
      <c r="L1011" s="8" t="n">
        <v>0</v>
      </c>
      <c r="M1011" s="29" t="inlineStr">
        <is>
          <t>BİGADİÇ</t>
        </is>
      </c>
    </row>
    <row r="1012">
      <c r="A1012" s="4" t="n">
        <v>1011</v>
      </c>
      <c r="B1012" s="4" t="inlineStr">
        <is>
          <t>00043</t>
        </is>
      </c>
      <c r="C1012" s="4" t="inlineStr">
        <is>
          <t>00043</t>
        </is>
      </c>
      <c r="D1012" s="29" t="inlineStr">
        <is>
          <t>EMİNE BAYER</t>
        </is>
      </c>
      <c r="E1012" s="4" t="inlineStr">
        <is>
          <t>Pazartesi</t>
        </is>
      </c>
      <c r="F1012" s="4" t="inlineStr">
        <is>
          <t>5.10.2026</t>
        </is>
      </c>
      <c r="G1012" s="4" t="inlineStr">
        <is>
          <t>07:55</t>
        </is>
      </c>
      <c r="H1012" s="4" t="inlineStr">
        <is>
          <t>5.10.2026</t>
        </is>
      </c>
      <c r="I1012" s="4" t="inlineStr">
        <is>
          <t>17:10</t>
        </is>
      </c>
      <c r="J1012" s="8" t="n">
        <v>7.5</v>
      </c>
      <c r="K1012" s="8" t="n">
        <v>7.5</v>
      </c>
      <c r="L1012" s="8" t="n">
        <v>0</v>
      </c>
      <c r="M1012" s="29" t="inlineStr">
        <is>
          <t>BİGADİÇ</t>
        </is>
      </c>
    </row>
    <row r="1013">
      <c r="A1013" s="4" t="n">
        <v>1012</v>
      </c>
      <c r="B1013" s="4" t="inlineStr">
        <is>
          <t>00043</t>
        </is>
      </c>
      <c r="C1013" s="4" t="inlineStr">
        <is>
          <t>00043</t>
        </is>
      </c>
      <c r="D1013" s="29" t="inlineStr">
        <is>
          <t>EMİNE BAYER</t>
        </is>
      </c>
      <c r="E1013" s="4" t="inlineStr">
        <is>
          <t>Salı</t>
        </is>
      </c>
      <c r="F1013" s="4" t="inlineStr">
        <is>
          <t>6.10.2026</t>
        </is>
      </c>
      <c r="G1013" s="4" t="inlineStr">
        <is>
          <t>07:54</t>
        </is>
      </c>
      <c r="H1013" s="4" t="inlineStr">
        <is>
          <t>6.10.2026</t>
        </is>
      </c>
      <c r="I1013" s="4" t="inlineStr">
        <is>
          <t>17:07</t>
        </is>
      </c>
      <c r="J1013" s="8" t="n">
        <v>7.5</v>
      </c>
      <c r="K1013" s="8" t="n">
        <v>7.5</v>
      </c>
      <c r="L1013" s="8" t="n">
        <v>0</v>
      </c>
      <c r="M1013" s="29" t="inlineStr">
        <is>
          <t>BİGADİÇ</t>
        </is>
      </c>
    </row>
    <row r="1014">
      <c r="A1014" s="4" t="n">
        <v>1013</v>
      </c>
      <c r="B1014" s="4" t="inlineStr">
        <is>
          <t>00043</t>
        </is>
      </c>
      <c r="C1014" s="4" t="inlineStr">
        <is>
          <t>00043</t>
        </is>
      </c>
      <c r="D1014" s="29" t="inlineStr">
        <is>
          <t>EMİNE BAYER</t>
        </is>
      </c>
      <c r="E1014" s="4" t="inlineStr">
        <is>
          <t>Çarşamba</t>
        </is>
      </c>
      <c r="F1014" s="4" t="inlineStr">
        <is>
          <t>7.10.2026</t>
        </is>
      </c>
      <c r="G1014" s="4" t="inlineStr">
        <is>
          <t>07:57</t>
        </is>
      </c>
      <c r="H1014" s="4" t="inlineStr">
        <is>
          <t>7.10.2026</t>
        </is>
      </c>
      <c r="I1014" s="4" t="inlineStr">
        <is>
          <t>17:10</t>
        </is>
      </c>
      <c r="J1014" s="8" t="n">
        <v>7.5</v>
      </c>
      <c r="K1014" s="8" t="n">
        <v>7.5</v>
      </c>
      <c r="L1014" s="8" t="n">
        <v>0</v>
      </c>
      <c r="M1014" s="29" t="inlineStr">
        <is>
          <t>BİGADİÇ</t>
        </is>
      </c>
    </row>
    <row r="1015">
      <c r="A1015" s="4" t="n">
        <v>1014</v>
      </c>
      <c r="B1015" s="4" t="inlineStr">
        <is>
          <t>00043</t>
        </is>
      </c>
      <c r="C1015" s="4" t="inlineStr">
        <is>
          <t>00043</t>
        </is>
      </c>
      <c r="D1015" s="29" t="inlineStr">
        <is>
          <t>EMİNE BAYER</t>
        </is>
      </c>
      <c r="E1015" s="4" t="inlineStr">
        <is>
          <t>Perşembe</t>
        </is>
      </c>
      <c r="F1015" s="4" t="inlineStr">
        <is>
          <t>8.10.2026</t>
        </is>
      </c>
      <c r="G1015" s="4" t="inlineStr">
        <is>
          <t>07:58</t>
        </is>
      </c>
      <c r="H1015" s="4" t="inlineStr">
        <is>
          <t>8.10.2026</t>
        </is>
      </c>
      <c r="I1015" s="4" t="inlineStr">
        <is>
          <t>17:14</t>
        </is>
      </c>
      <c r="J1015" s="8" t="n">
        <v>7.5</v>
      </c>
      <c r="K1015" s="8" t="n">
        <v>7.5</v>
      </c>
      <c r="L1015" s="8" t="n">
        <v>0</v>
      </c>
      <c r="M1015" s="29" t="inlineStr">
        <is>
          <t>BİGADİÇ</t>
        </is>
      </c>
    </row>
    <row r="1016">
      <c r="A1016" s="4" t="n">
        <v>1015</v>
      </c>
      <c r="B1016" s="4" t="inlineStr">
        <is>
          <t>00043</t>
        </is>
      </c>
      <c r="C1016" s="4" t="inlineStr">
        <is>
          <t>00043</t>
        </is>
      </c>
      <c r="D1016" s="29" t="inlineStr">
        <is>
          <t>EMİNE BAYER</t>
        </is>
      </c>
      <c r="E1016" s="4" t="inlineStr">
        <is>
          <t>Cuma</t>
        </is>
      </c>
      <c r="F1016" s="4" t="inlineStr">
        <is>
          <t>9.10.2026</t>
        </is>
      </c>
      <c r="G1016" s="4" t="inlineStr">
        <is>
          <t>07:54</t>
        </is>
      </c>
      <c r="H1016" s="4" t="inlineStr">
        <is>
          <t>9.10.2026</t>
        </is>
      </c>
      <c r="I1016" s="4" t="inlineStr">
        <is>
          <t>17:13</t>
        </is>
      </c>
      <c r="J1016" s="8" t="n">
        <v>7.5</v>
      </c>
      <c r="K1016" s="8" t="n">
        <v>7.5</v>
      </c>
      <c r="L1016" s="8" t="n">
        <v>0</v>
      </c>
      <c r="M1016" s="29" t="inlineStr">
        <is>
          <t>BİGADİÇ</t>
        </is>
      </c>
    </row>
    <row r="1017">
      <c r="A1017" s="4" t="n">
        <v>1016</v>
      </c>
      <c r="B1017" s="4" t="inlineStr">
        <is>
          <t>00043</t>
        </is>
      </c>
      <c r="C1017" s="4" t="inlineStr">
        <is>
          <t>00043</t>
        </is>
      </c>
      <c r="D1017" s="29" t="inlineStr">
        <is>
          <t>EMİNE BAYER</t>
        </is>
      </c>
      <c r="E1017" s="4" t="inlineStr">
        <is>
          <t>Cumartesi</t>
        </is>
      </c>
      <c r="F1017" s="4" t="inlineStr">
        <is>
          <t>10.10.2026</t>
        </is>
      </c>
      <c r="G1017" s="4" t="inlineStr">
        <is>
          <t>07:54</t>
        </is>
      </c>
      <c r="H1017" s="4" t="inlineStr">
        <is>
          <t>10.10.2026</t>
        </is>
      </c>
      <c r="I1017" s="4" t="inlineStr">
        <is>
          <t>17:08</t>
        </is>
      </c>
      <c r="J1017" s="8" t="n">
        <v>7.5</v>
      </c>
      <c r="K1017" s="8" t="n">
        <v>7.5</v>
      </c>
      <c r="L1017" s="8" t="n">
        <v>0</v>
      </c>
      <c r="M1017" s="29" t="inlineStr">
        <is>
          <t>BİGADİÇ</t>
        </is>
      </c>
    </row>
    <row r="1018">
      <c r="A1018" s="4" t="n">
        <v>1017</v>
      </c>
      <c r="B1018" s="4" t="inlineStr">
        <is>
          <t>00043</t>
        </is>
      </c>
      <c r="C1018" s="4" t="inlineStr">
        <is>
          <t>00043</t>
        </is>
      </c>
      <c r="D1018" s="29" t="inlineStr">
        <is>
          <t>EMİNE BAYER</t>
        </is>
      </c>
      <c r="E1018" s="4" t="inlineStr">
        <is>
          <t>Pazartesi</t>
        </is>
      </c>
      <c r="F1018" s="4" t="inlineStr">
        <is>
          <t>12.10.2026</t>
        </is>
      </c>
      <c r="G1018" s="4" t="inlineStr">
        <is>
          <t>07:57</t>
        </is>
      </c>
      <c r="H1018" s="4" t="inlineStr">
        <is>
          <t>12.10.2026</t>
        </is>
      </c>
      <c r="I1018" s="4" t="inlineStr">
        <is>
          <t>18:10</t>
        </is>
      </c>
      <c r="J1018" s="8" t="n">
        <v>8.5</v>
      </c>
      <c r="K1018" s="8" t="n">
        <v>7.5</v>
      </c>
      <c r="L1018" s="8" t="n">
        <v>1</v>
      </c>
      <c r="M1018" s="29" t="inlineStr">
        <is>
          <t>BİGADİÇ</t>
        </is>
      </c>
    </row>
    <row r="1019">
      <c r="A1019" s="4" t="n">
        <v>1018</v>
      </c>
      <c r="B1019" s="4" t="inlineStr">
        <is>
          <t>00043</t>
        </is>
      </c>
      <c r="C1019" s="4" t="inlineStr">
        <is>
          <t>00043</t>
        </is>
      </c>
      <c r="D1019" s="29" t="inlineStr">
        <is>
          <t>EMİNE BAYER</t>
        </is>
      </c>
      <c r="E1019" s="4" t="inlineStr">
        <is>
          <t>Salı</t>
        </is>
      </c>
      <c r="F1019" s="4" t="inlineStr">
        <is>
          <t>13.10.2026</t>
        </is>
      </c>
      <c r="G1019" s="4" t="inlineStr">
        <is>
          <t>07:55</t>
        </is>
      </c>
      <c r="H1019" s="4" t="inlineStr">
        <is>
          <t>13.10.2026</t>
        </is>
      </c>
      <c r="I1019" s="4" t="inlineStr">
        <is>
          <t>17:13</t>
        </is>
      </c>
      <c r="J1019" s="8" t="n">
        <v>7.5</v>
      </c>
      <c r="K1019" s="8" t="n">
        <v>7.5</v>
      </c>
      <c r="L1019" s="8" t="n">
        <v>0</v>
      </c>
      <c r="M1019" s="29" t="inlineStr">
        <is>
          <t>BİGADİÇ</t>
        </is>
      </c>
    </row>
    <row r="1020">
      <c r="A1020" s="4" t="n">
        <v>1019</v>
      </c>
      <c r="B1020" s="4" t="inlineStr">
        <is>
          <t>00043</t>
        </is>
      </c>
      <c r="C1020" s="4" t="inlineStr">
        <is>
          <t>00043</t>
        </is>
      </c>
      <c r="D1020" s="29" t="inlineStr">
        <is>
          <t>EMİNE BAYER</t>
        </is>
      </c>
      <c r="E1020" s="4" t="inlineStr">
        <is>
          <t>Çarşamba</t>
        </is>
      </c>
      <c r="F1020" s="4" t="inlineStr">
        <is>
          <t>14.10.2026</t>
        </is>
      </c>
      <c r="G1020" s="4" t="inlineStr">
        <is>
          <t>07:59</t>
        </is>
      </c>
      <c r="H1020" s="4" t="inlineStr">
        <is>
          <t>14.10.2026</t>
        </is>
      </c>
      <c r="I1020" s="4" t="inlineStr">
        <is>
          <t>17:10</t>
        </is>
      </c>
      <c r="J1020" s="8" t="n">
        <v>7.5</v>
      </c>
      <c r="K1020" s="8" t="n">
        <v>7.5</v>
      </c>
      <c r="L1020" s="8" t="n">
        <v>0</v>
      </c>
      <c r="M1020" s="29" t="inlineStr">
        <is>
          <t>BİGADİÇ</t>
        </is>
      </c>
    </row>
    <row r="1021">
      <c r="A1021" s="4" t="n">
        <v>1020</v>
      </c>
      <c r="B1021" s="4" t="inlineStr">
        <is>
          <t>00043</t>
        </is>
      </c>
      <c r="C1021" s="4" t="inlineStr">
        <is>
          <t>00043</t>
        </is>
      </c>
      <c r="D1021" s="29" t="inlineStr">
        <is>
          <t>EMİNE BAYER</t>
        </is>
      </c>
      <c r="E1021" s="4" t="inlineStr">
        <is>
          <t>Perşembe</t>
        </is>
      </c>
      <c r="F1021" s="4" t="inlineStr">
        <is>
          <t>15.10.2026</t>
        </is>
      </c>
      <c r="G1021" s="4" t="inlineStr">
        <is>
          <t>08:02</t>
        </is>
      </c>
      <c r="H1021" s="4" t="inlineStr">
        <is>
          <t>15.10.2026</t>
        </is>
      </c>
      <c r="I1021" s="4" t="inlineStr">
        <is>
          <t>17:17</t>
        </is>
      </c>
      <c r="J1021" s="8" t="n">
        <v>7.5</v>
      </c>
      <c r="K1021" s="8" t="n">
        <v>7.5</v>
      </c>
      <c r="L1021" s="8" t="n">
        <v>0</v>
      </c>
      <c r="M1021" s="29" t="inlineStr">
        <is>
          <t>BİGADİÇ</t>
        </is>
      </c>
    </row>
    <row r="1022">
      <c r="A1022" s="4" t="n">
        <v>1021</v>
      </c>
      <c r="B1022" s="4" t="inlineStr">
        <is>
          <t>00043</t>
        </is>
      </c>
      <c r="C1022" s="4" t="inlineStr">
        <is>
          <t>00043</t>
        </is>
      </c>
      <c r="D1022" s="29" t="inlineStr">
        <is>
          <t>EMİNE BAYER</t>
        </is>
      </c>
      <c r="E1022" s="4" t="inlineStr">
        <is>
          <t>Cuma</t>
        </is>
      </c>
      <c r="F1022" s="4" t="inlineStr">
        <is>
          <t>16.10.2026</t>
        </is>
      </c>
      <c r="G1022" s="4" t="inlineStr">
        <is>
          <t>07:54</t>
        </is>
      </c>
      <c r="H1022" s="4" t="inlineStr">
        <is>
          <t>16.10.2026</t>
        </is>
      </c>
      <c r="I1022" s="4" t="inlineStr">
        <is>
          <t>17:12</t>
        </is>
      </c>
      <c r="J1022" s="8" t="n">
        <v>7.5</v>
      </c>
      <c r="K1022" s="8" t="n">
        <v>7.5</v>
      </c>
      <c r="L1022" s="8" t="n">
        <v>0</v>
      </c>
      <c r="M1022" s="29" t="inlineStr">
        <is>
          <t>BİGADİÇ</t>
        </is>
      </c>
    </row>
    <row r="1023">
      <c r="A1023" s="4" t="n">
        <v>1022</v>
      </c>
      <c r="B1023" s="4" t="inlineStr">
        <is>
          <t>00043</t>
        </is>
      </c>
      <c r="C1023" s="4" t="inlineStr">
        <is>
          <t>00043</t>
        </is>
      </c>
      <c r="D1023" s="29" t="inlineStr">
        <is>
          <t>EMİNE BAYER</t>
        </is>
      </c>
      <c r="E1023" s="4" t="inlineStr">
        <is>
          <t>Cumartesi</t>
        </is>
      </c>
      <c r="F1023" s="4" t="inlineStr">
        <is>
          <t>17.10.2026</t>
        </is>
      </c>
      <c r="G1023" s="4" t="inlineStr">
        <is>
          <t>07:51</t>
        </is>
      </c>
      <c r="H1023" s="4" t="inlineStr">
        <is>
          <t>17.10.2026</t>
        </is>
      </c>
      <c r="I1023" s="4" t="inlineStr">
        <is>
          <t>17:12</t>
        </is>
      </c>
      <c r="J1023" s="8" t="n">
        <v>7.5</v>
      </c>
      <c r="K1023" s="8" t="n">
        <v>7.5</v>
      </c>
      <c r="L1023" s="8" t="n">
        <v>0</v>
      </c>
      <c r="M1023" s="29" t="inlineStr">
        <is>
          <t>BİGADİÇ</t>
        </is>
      </c>
    </row>
    <row r="1024">
      <c r="A1024" s="4" t="n">
        <v>1023</v>
      </c>
      <c r="B1024" s="4" t="inlineStr">
        <is>
          <t>00043</t>
        </is>
      </c>
      <c r="C1024" s="4" t="inlineStr">
        <is>
          <t>00043</t>
        </is>
      </c>
      <c r="D1024" s="29" t="inlineStr">
        <is>
          <t>EMİNE BAYER</t>
        </is>
      </c>
      <c r="E1024" s="4" t="inlineStr">
        <is>
          <t>Pazar</t>
        </is>
      </c>
      <c r="F1024" s="4" t="inlineStr">
        <is>
          <t>18.10.2026</t>
        </is>
      </c>
      <c r="G1024" s="4" t="inlineStr">
        <is>
          <t>08:09</t>
        </is>
      </c>
      <c r="H1024" s="4" t="inlineStr">
        <is>
          <t>18.10.2026</t>
        </is>
      </c>
      <c r="I1024" s="4" t="inlineStr">
        <is>
          <t>17:07</t>
        </is>
      </c>
      <c r="J1024" s="8" t="n">
        <v>7.5</v>
      </c>
      <c r="K1024" s="8" t="n">
        <v>7.5</v>
      </c>
      <c r="L1024" s="8" t="n">
        <v>0</v>
      </c>
      <c r="M1024" s="29" t="inlineStr">
        <is>
          <t>BİGADİÇ</t>
        </is>
      </c>
    </row>
    <row r="1025">
      <c r="A1025" s="4" t="n">
        <v>1024</v>
      </c>
      <c r="B1025" s="4" t="inlineStr">
        <is>
          <t>00043</t>
        </is>
      </c>
      <c r="C1025" s="4" t="inlineStr">
        <is>
          <t>00043</t>
        </is>
      </c>
      <c r="D1025" s="29" t="inlineStr">
        <is>
          <t>EMİNE BAYER</t>
        </is>
      </c>
      <c r="E1025" s="4" t="inlineStr">
        <is>
          <t>Pazartesi</t>
        </is>
      </c>
      <c r="F1025" s="4" t="inlineStr">
        <is>
          <t>19.10.2026</t>
        </is>
      </c>
      <c r="G1025" s="4" t="inlineStr">
        <is>
          <t>07:54</t>
        </is>
      </c>
      <c r="H1025" s="4" t="inlineStr">
        <is>
          <t>19.10.2026</t>
        </is>
      </c>
      <c r="I1025" s="4" t="inlineStr">
        <is>
          <t>17:14</t>
        </is>
      </c>
      <c r="J1025" s="8" t="n">
        <v>7.5</v>
      </c>
      <c r="K1025" s="8" t="n">
        <v>7.5</v>
      </c>
      <c r="L1025" s="8" t="n">
        <v>0</v>
      </c>
      <c r="M1025" s="29" t="inlineStr">
        <is>
          <t>BİGADİÇ</t>
        </is>
      </c>
    </row>
    <row r="1026">
      <c r="A1026" s="4" t="n">
        <v>1025</v>
      </c>
      <c r="B1026" s="4" t="inlineStr">
        <is>
          <t>00043</t>
        </is>
      </c>
      <c r="C1026" s="4" t="inlineStr">
        <is>
          <t>00043</t>
        </is>
      </c>
      <c r="D1026" s="29" t="inlineStr">
        <is>
          <t>EMİNE BAYER</t>
        </is>
      </c>
      <c r="E1026" s="4" t="inlineStr">
        <is>
          <t>Salı</t>
        </is>
      </c>
      <c r="F1026" s="4" t="inlineStr">
        <is>
          <t>20.10.2026</t>
        </is>
      </c>
      <c r="G1026" s="4" t="inlineStr">
        <is>
          <t>08:18</t>
        </is>
      </c>
      <c r="H1026" s="4" t="inlineStr">
        <is>
          <t>20.10.2026</t>
        </is>
      </c>
      <c r="I1026" s="4" t="inlineStr">
        <is>
          <t>17:12</t>
        </is>
      </c>
      <c r="J1026" s="8" t="n">
        <v>7.5</v>
      </c>
      <c r="K1026" s="8" t="n">
        <v>7.5</v>
      </c>
      <c r="L1026" s="8" t="n">
        <v>0</v>
      </c>
      <c r="M1026" s="29" t="inlineStr">
        <is>
          <t>BİGADİÇ</t>
        </is>
      </c>
    </row>
    <row r="1027">
      <c r="A1027" s="4" t="n">
        <v>1026</v>
      </c>
      <c r="B1027" s="4" t="inlineStr">
        <is>
          <t>00043</t>
        </is>
      </c>
      <c r="C1027" s="4" t="inlineStr">
        <is>
          <t>00043</t>
        </is>
      </c>
      <c r="D1027" s="29" t="inlineStr">
        <is>
          <t>EMİNE BAYER</t>
        </is>
      </c>
      <c r="E1027" s="4" t="inlineStr">
        <is>
          <t>Çarşamba</t>
        </is>
      </c>
      <c r="F1027" s="4" t="inlineStr">
        <is>
          <t>21.10.2026</t>
        </is>
      </c>
      <c r="G1027" s="4" t="inlineStr">
        <is>
          <t>08:00</t>
        </is>
      </c>
      <c r="H1027" s="4" t="inlineStr">
        <is>
          <t>21.10.2026</t>
        </is>
      </c>
      <c r="I1027" s="4" t="inlineStr">
        <is>
          <t>17:08</t>
        </is>
      </c>
      <c r="J1027" s="8" t="n">
        <v>7.5</v>
      </c>
      <c r="K1027" s="8" t="n">
        <v>7.5</v>
      </c>
      <c r="L1027" s="8" t="n">
        <v>0</v>
      </c>
      <c r="M1027" s="29" t="inlineStr">
        <is>
          <t>BİGADİÇ</t>
        </is>
      </c>
    </row>
    <row r="1028">
      <c r="A1028" s="4" t="n">
        <v>1027</v>
      </c>
      <c r="B1028" s="4" t="inlineStr">
        <is>
          <t>00045</t>
        </is>
      </c>
      <c r="C1028" s="4" t="inlineStr">
        <is>
          <t>00045</t>
        </is>
      </c>
      <c r="D1028" s="29" t="inlineStr">
        <is>
          <t>EMİNE ÇAPAR</t>
        </is>
      </c>
      <c r="E1028" s="4" t="inlineStr">
        <is>
          <t>Perşembe</t>
        </is>
      </c>
      <c r="F1028" s="4" t="inlineStr">
        <is>
          <t>1.10.2026</t>
        </is>
      </c>
      <c r="G1028" s="4" t="inlineStr">
        <is>
          <t>18:31</t>
        </is>
      </c>
      <c r="H1028" s="4" t="inlineStr">
        <is>
          <t>1.10.2026</t>
        </is>
      </c>
      <c r="I1028" s="4" t="inlineStr">
        <is>
          <t>03:54</t>
        </is>
      </c>
      <c r="J1028" s="8" t="n">
        <v>8.5</v>
      </c>
      <c r="K1028" s="8" t="n">
        <v>7.5</v>
      </c>
      <c r="L1028" s="8" t="n">
        <v>1</v>
      </c>
      <c r="M1028" s="29" t="inlineStr">
        <is>
          <t>GÖBEL</t>
        </is>
      </c>
    </row>
    <row r="1029">
      <c r="A1029" s="4" t="n">
        <v>1028</v>
      </c>
      <c r="B1029" s="4" t="inlineStr">
        <is>
          <t>00045</t>
        </is>
      </c>
      <c r="C1029" s="4" t="inlineStr">
        <is>
          <t>00045</t>
        </is>
      </c>
      <c r="D1029" s="29" t="inlineStr">
        <is>
          <t>EMİNE ÇAPAR</t>
        </is>
      </c>
      <c r="E1029" s="4" t="inlineStr">
        <is>
          <t>Cuma</t>
        </is>
      </c>
      <c r="F1029" s="4" t="inlineStr">
        <is>
          <t>2.10.2026</t>
        </is>
      </c>
      <c r="G1029" s="4" t="inlineStr">
        <is>
          <t>18:31</t>
        </is>
      </c>
      <c r="H1029" s="4" t="inlineStr">
        <is>
          <t>2.10.2026</t>
        </is>
      </c>
      <c r="I1029" s="4" t="inlineStr">
        <is>
          <t>04:52</t>
        </is>
      </c>
      <c r="J1029" s="8" t="n">
        <v>9.5</v>
      </c>
      <c r="K1029" s="8" t="n">
        <v>7.5</v>
      </c>
      <c r="L1029" s="8" t="n">
        <v>2</v>
      </c>
      <c r="M1029" s="29" t="inlineStr">
        <is>
          <t>GÖBEL</t>
        </is>
      </c>
    </row>
    <row r="1030">
      <c r="A1030" s="4" t="n">
        <v>1029</v>
      </c>
      <c r="B1030" s="4" t="inlineStr">
        <is>
          <t>00045</t>
        </is>
      </c>
      <c r="C1030" s="4" t="inlineStr">
        <is>
          <t>00045</t>
        </is>
      </c>
      <c r="D1030" s="29" t="inlineStr">
        <is>
          <t>EMİNE ÇAPAR</t>
        </is>
      </c>
      <c r="E1030" s="4" t="inlineStr">
        <is>
          <t>Cumartesi</t>
        </is>
      </c>
      <c r="F1030" s="4" t="inlineStr">
        <is>
          <t>3.10.2026</t>
        </is>
      </c>
      <c r="G1030" s="4" t="inlineStr">
        <is>
          <t>18:40</t>
        </is>
      </c>
      <c r="H1030" s="4" t="inlineStr">
        <is>
          <t>3.10.2026</t>
        </is>
      </c>
      <c r="I1030" s="4" t="inlineStr">
        <is>
          <t>04:10</t>
        </is>
      </c>
      <c r="J1030" s="8" t="n">
        <v>8.5</v>
      </c>
      <c r="K1030" s="8" t="n">
        <v>7.5</v>
      </c>
      <c r="L1030" s="8" t="n">
        <v>1</v>
      </c>
      <c r="M1030" s="29" t="inlineStr">
        <is>
          <t>GÖBEL</t>
        </is>
      </c>
    </row>
    <row r="1031">
      <c r="A1031" s="4" t="n">
        <v>1030</v>
      </c>
      <c r="B1031" s="4" t="inlineStr">
        <is>
          <t>00045</t>
        </is>
      </c>
      <c r="C1031" s="4" t="inlineStr">
        <is>
          <t>00045</t>
        </is>
      </c>
      <c r="D1031" s="29" t="inlineStr">
        <is>
          <t>EMİNE ÇAPAR</t>
        </is>
      </c>
      <c r="E1031" s="4" t="inlineStr">
        <is>
          <t>Pazar</t>
        </is>
      </c>
      <c r="F1031" s="4" t="inlineStr">
        <is>
          <t>4.10.2026</t>
        </is>
      </c>
      <c r="G1031" s="4" t="inlineStr">
        <is>
          <t>17:39</t>
        </is>
      </c>
      <c r="H1031" s="4" t="inlineStr">
        <is>
          <t>4.10.2026</t>
        </is>
      </c>
      <c r="I1031" s="4" t="inlineStr">
        <is>
          <t>04:00</t>
        </is>
      </c>
      <c r="J1031" s="8" t="n">
        <v>10</v>
      </c>
      <c r="K1031" s="8" t="n">
        <v>6</v>
      </c>
      <c r="L1031" s="8" t="n">
        <v>4</v>
      </c>
      <c r="M1031" s="29" t="inlineStr">
        <is>
          <t>GÖBEL</t>
        </is>
      </c>
    </row>
    <row r="1032">
      <c r="A1032" s="4" t="n">
        <v>1031</v>
      </c>
      <c r="B1032" s="4" t="inlineStr">
        <is>
          <t>00045</t>
        </is>
      </c>
      <c r="C1032" s="4" t="inlineStr">
        <is>
          <t>00045</t>
        </is>
      </c>
      <c r="D1032" s="29" t="inlineStr">
        <is>
          <t>EMİNE ÇAPAR</t>
        </is>
      </c>
      <c r="E1032" s="4" t="inlineStr">
        <is>
          <t>Pazartesi</t>
        </is>
      </c>
      <c r="F1032" s="4" t="inlineStr">
        <is>
          <t>5.10.2026</t>
        </is>
      </c>
      <c r="G1032" s="4" t="inlineStr">
        <is>
          <t>18:34</t>
        </is>
      </c>
      <c r="H1032" s="4" t="inlineStr">
        <is>
          <t>5.10.2026</t>
        </is>
      </c>
      <c r="I1032" s="4" t="inlineStr">
        <is>
          <t>03:58</t>
        </is>
      </c>
      <c r="J1032" s="8" t="n">
        <v>8.5</v>
      </c>
      <c r="K1032" s="8" t="n">
        <v>7.5</v>
      </c>
      <c r="L1032" s="8" t="n">
        <v>1</v>
      </c>
      <c r="M1032" s="29" t="inlineStr">
        <is>
          <t>GÖBEL</t>
        </is>
      </c>
    </row>
    <row r="1033">
      <c r="A1033" s="4" t="n">
        <v>1032</v>
      </c>
      <c r="B1033" s="4" t="inlineStr">
        <is>
          <t>00045</t>
        </is>
      </c>
      <c r="C1033" s="4" t="inlineStr">
        <is>
          <t>00045</t>
        </is>
      </c>
      <c r="D1033" s="29" t="inlineStr">
        <is>
          <t>EMİNE ÇAPAR</t>
        </is>
      </c>
      <c r="E1033" s="4" t="inlineStr">
        <is>
          <t>Salı</t>
        </is>
      </c>
      <c r="F1033" s="4" t="inlineStr">
        <is>
          <t>6.10.2026</t>
        </is>
      </c>
      <c r="G1033" s="4" t="inlineStr">
        <is>
          <t>18:55</t>
        </is>
      </c>
      <c r="H1033" s="4" t="inlineStr">
        <is>
          <t>6.10.2026</t>
        </is>
      </c>
      <c r="I1033" s="4" t="inlineStr">
        <is>
          <t>04:15</t>
        </is>
      </c>
      <c r="J1033" s="8" t="n">
        <v>8.5</v>
      </c>
      <c r="K1033" s="8" t="n">
        <v>7.5</v>
      </c>
      <c r="L1033" s="8" t="n">
        <v>1</v>
      </c>
      <c r="M1033" s="29" t="inlineStr">
        <is>
          <t>GÖBEL</t>
        </is>
      </c>
    </row>
    <row r="1034">
      <c r="A1034" s="4" t="n">
        <v>1033</v>
      </c>
      <c r="B1034" s="4" t="inlineStr">
        <is>
          <t>00045</t>
        </is>
      </c>
      <c r="C1034" s="4" t="inlineStr">
        <is>
          <t>00045</t>
        </is>
      </c>
      <c r="D1034" s="29" t="inlineStr">
        <is>
          <t>EMİNE ÇAPAR</t>
        </is>
      </c>
      <c r="E1034" s="4" t="inlineStr">
        <is>
          <t>Cuma</t>
        </is>
      </c>
      <c r="F1034" s="4" t="inlineStr">
        <is>
          <t>9.10.2026</t>
        </is>
      </c>
      <c r="G1034" s="4" t="inlineStr">
        <is>
          <t>18:17</t>
        </is>
      </c>
      <c r="H1034" s="4" t="inlineStr">
        <is>
          <t>9.10.2026</t>
        </is>
      </c>
      <c r="I1034" s="4" t="inlineStr">
        <is>
          <t>04:26</t>
        </is>
      </c>
      <c r="J1034" s="8" t="n">
        <v>10</v>
      </c>
      <c r="K1034" s="8" t="n">
        <v>5.5</v>
      </c>
      <c r="L1034" s="8" t="n">
        <v>4.5</v>
      </c>
      <c r="M1034" s="29" t="inlineStr">
        <is>
          <t>GÖBEL</t>
        </is>
      </c>
    </row>
    <row r="1035">
      <c r="A1035" s="4" t="n">
        <v>1034</v>
      </c>
      <c r="B1035" s="4" t="inlineStr">
        <is>
          <t>00045</t>
        </is>
      </c>
      <c r="C1035" s="4" t="inlineStr">
        <is>
          <t>00045</t>
        </is>
      </c>
      <c r="D1035" s="29" t="inlineStr">
        <is>
          <t>EMİNE ÇAPAR</t>
        </is>
      </c>
      <c r="E1035" s="4" t="inlineStr">
        <is>
          <t>Cumartesi</t>
        </is>
      </c>
      <c r="F1035" s="4" t="inlineStr">
        <is>
          <t>10.10.2026</t>
        </is>
      </c>
      <c r="G1035" s="4" t="inlineStr">
        <is>
          <t>18:28</t>
        </is>
      </c>
      <c r="H1035" s="4" t="inlineStr">
        <is>
          <t>10.10.2026</t>
        </is>
      </c>
      <c r="I1035" s="4" t="inlineStr">
        <is>
          <t>03:54</t>
        </is>
      </c>
      <c r="J1035" s="8" t="n">
        <v>9</v>
      </c>
      <c r="K1035" s="8" t="n">
        <v>5</v>
      </c>
      <c r="L1035" s="8" t="n">
        <v>4</v>
      </c>
      <c r="M1035" s="29" t="inlineStr">
        <is>
          <t>GÖBEL</t>
        </is>
      </c>
    </row>
    <row r="1036">
      <c r="A1036" s="4" t="n">
        <v>1035</v>
      </c>
      <c r="B1036" s="4" t="inlineStr">
        <is>
          <t>00045</t>
        </is>
      </c>
      <c r="C1036" s="4" t="inlineStr">
        <is>
          <t>00045</t>
        </is>
      </c>
      <c r="D1036" s="29" t="inlineStr">
        <is>
          <t>EMİNE ÇAPAR</t>
        </is>
      </c>
      <c r="E1036" s="4" t="inlineStr">
        <is>
          <t>Pazar</t>
        </is>
      </c>
      <c r="F1036" s="4" t="inlineStr">
        <is>
          <t>11.10.2026</t>
        </is>
      </c>
      <c r="G1036" s="4" t="inlineStr">
        <is>
          <t>18:08</t>
        </is>
      </c>
      <c r="H1036" s="4" t="inlineStr">
        <is>
          <t>11.10.2026</t>
        </is>
      </c>
      <c r="I1036" s="4" t="inlineStr">
        <is>
          <t>03:53</t>
        </is>
      </c>
      <c r="J1036" s="8" t="n">
        <v>9.5</v>
      </c>
      <c r="K1036" s="8" t="n">
        <v>5.5</v>
      </c>
      <c r="L1036" s="8" t="n">
        <v>4</v>
      </c>
      <c r="M1036" s="29" t="inlineStr">
        <is>
          <t>GÖBEL</t>
        </is>
      </c>
    </row>
    <row r="1037">
      <c r="A1037" s="4" t="n">
        <v>1036</v>
      </c>
      <c r="B1037" s="4" t="inlineStr">
        <is>
          <t>00045</t>
        </is>
      </c>
      <c r="C1037" s="4" t="inlineStr">
        <is>
          <t>00045</t>
        </is>
      </c>
      <c r="D1037" s="29" t="inlineStr">
        <is>
          <t>EMİNE ÇAPAR</t>
        </is>
      </c>
      <c r="E1037" s="4" t="inlineStr">
        <is>
          <t>Pazartesi</t>
        </is>
      </c>
      <c r="F1037" s="4" t="inlineStr">
        <is>
          <t>12.10.2026</t>
        </is>
      </c>
      <c r="G1037" s="4" t="inlineStr">
        <is>
          <t>18:30</t>
        </is>
      </c>
      <c r="H1037" s="4" t="inlineStr">
        <is>
          <t>12.10.2026</t>
        </is>
      </c>
      <c r="I1037" s="4" t="inlineStr">
        <is>
          <t>04:21</t>
        </is>
      </c>
      <c r="J1037" s="8" t="n">
        <v>9</v>
      </c>
      <c r="K1037" s="8" t="n">
        <v>7.5</v>
      </c>
      <c r="L1037" s="8" t="n">
        <v>1.5</v>
      </c>
      <c r="M1037" s="29" t="inlineStr">
        <is>
          <t>GÖBEL</t>
        </is>
      </c>
    </row>
    <row r="1038">
      <c r="A1038" s="4" t="n">
        <v>1037</v>
      </c>
      <c r="B1038" s="4" t="inlineStr">
        <is>
          <t>00045</t>
        </is>
      </c>
      <c r="C1038" s="4" t="inlineStr">
        <is>
          <t>00045</t>
        </is>
      </c>
      <c r="D1038" s="29" t="inlineStr">
        <is>
          <t>EMİNE ÇAPAR</t>
        </is>
      </c>
      <c r="E1038" s="4" t="inlineStr">
        <is>
          <t>Salı</t>
        </is>
      </c>
      <c r="F1038" s="4" t="inlineStr">
        <is>
          <t>13.10.2026</t>
        </is>
      </c>
      <c r="G1038" s="4" t="inlineStr">
        <is>
          <t>18:48</t>
        </is>
      </c>
      <c r="H1038" s="4" t="inlineStr">
        <is>
          <t>13.10.2026</t>
        </is>
      </c>
      <c r="I1038" s="4" t="inlineStr">
        <is>
          <t>03:56</t>
        </is>
      </c>
      <c r="J1038" s="8" t="n">
        <v>8.5</v>
      </c>
      <c r="K1038" s="8" t="n">
        <v>7.5</v>
      </c>
      <c r="L1038" s="8" t="n">
        <v>1</v>
      </c>
      <c r="M1038" s="29" t="inlineStr">
        <is>
          <t>GÖBEL</t>
        </is>
      </c>
    </row>
    <row r="1039">
      <c r="A1039" s="4" t="n">
        <v>1038</v>
      </c>
      <c r="B1039" s="4" t="inlineStr">
        <is>
          <t>00045</t>
        </is>
      </c>
      <c r="C1039" s="4" t="inlineStr">
        <is>
          <t>00045</t>
        </is>
      </c>
      <c r="D1039" s="29" t="inlineStr">
        <is>
          <t>EMİNE ÇAPAR</t>
        </is>
      </c>
      <c r="E1039" s="4" t="inlineStr">
        <is>
          <t>Çarşamba</t>
        </is>
      </c>
      <c r="F1039" s="4" t="inlineStr">
        <is>
          <t>14.10.2026</t>
        </is>
      </c>
      <c r="G1039" s="4" t="inlineStr">
        <is>
          <t>18:31</t>
        </is>
      </c>
      <c r="H1039" s="4" t="inlineStr">
        <is>
          <t>14.10.2026</t>
        </is>
      </c>
      <c r="I1039" s="4" t="inlineStr">
        <is>
          <t>03:50</t>
        </is>
      </c>
      <c r="J1039" s="8" t="n">
        <v>8.5</v>
      </c>
      <c r="K1039" s="8" t="n">
        <v>7.5</v>
      </c>
      <c r="L1039" s="8" t="n">
        <v>1</v>
      </c>
      <c r="M1039" s="29" t="inlineStr">
        <is>
          <t>GÖBEL</t>
        </is>
      </c>
    </row>
    <row r="1040">
      <c r="A1040" s="4" t="n">
        <v>1039</v>
      </c>
      <c r="B1040" s="4" t="inlineStr">
        <is>
          <t>00045</t>
        </is>
      </c>
      <c r="C1040" s="4" t="inlineStr">
        <is>
          <t>00045</t>
        </is>
      </c>
      <c r="D1040" s="29" t="inlineStr">
        <is>
          <t>EMİNE ÇAPAR</t>
        </is>
      </c>
      <c r="E1040" s="4" t="inlineStr">
        <is>
          <t>Perşembe</t>
        </is>
      </c>
      <c r="F1040" s="4" t="inlineStr">
        <is>
          <t>15.10.2026</t>
        </is>
      </c>
      <c r="G1040" s="4" t="inlineStr">
        <is>
          <t>18:59</t>
        </is>
      </c>
      <c r="H1040" s="4" t="inlineStr">
        <is>
          <t>15.10.2026</t>
        </is>
      </c>
      <c r="I1040" s="4" t="inlineStr">
        <is>
          <t>03:42</t>
        </is>
      </c>
      <c r="J1040" s="8" t="n">
        <v>8</v>
      </c>
      <c r="K1040" s="8" t="n">
        <v>7.5</v>
      </c>
      <c r="L1040" s="8" t="n">
        <v>0.5</v>
      </c>
      <c r="M1040" s="29" t="inlineStr">
        <is>
          <t>GÖBEL</t>
        </is>
      </c>
    </row>
    <row r="1041">
      <c r="A1041" s="4" t="n">
        <v>1040</v>
      </c>
      <c r="B1041" s="4" t="inlineStr">
        <is>
          <t>00045</t>
        </is>
      </c>
      <c r="C1041" s="4" t="inlineStr">
        <is>
          <t>00045</t>
        </is>
      </c>
      <c r="D1041" s="29" t="inlineStr">
        <is>
          <t>EMİNE ÇAPAR</t>
        </is>
      </c>
      <c r="E1041" s="4" t="inlineStr">
        <is>
          <t>Cuma</t>
        </is>
      </c>
      <c r="F1041" s="4" t="inlineStr">
        <is>
          <t>16.10.2026</t>
        </is>
      </c>
      <c r="G1041" s="4" t="inlineStr">
        <is>
          <t>18:40</t>
        </is>
      </c>
      <c r="H1041" s="4" t="inlineStr">
        <is>
          <t>16.10.2026</t>
        </is>
      </c>
      <c r="I1041" s="4" t="inlineStr">
        <is>
          <t>23:50</t>
        </is>
      </c>
      <c r="J1041" s="8" t="n">
        <v>4.5</v>
      </c>
      <c r="K1041" s="8" t="n">
        <v>4.5</v>
      </c>
      <c r="L1041" s="8" t="n">
        <v>0</v>
      </c>
      <c r="M1041" s="29" t="inlineStr">
        <is>
          <t>GÖBEL</t>
        </is>
      </c>
    </row>
    <row r="1042">
      <c r="A1042" s="4" t="n">
        <v>1041</v>
      </c>
      <c r="B1042" s="4" t="inlineStr">
        <is>
          <t>00045</t>
        </is>
      </c>
      <c r="C1042" s="4" t="inlineStr">
        <is>
          <t>00045</t>
        </is>
      </c>
      <c r="D1042" s="29" t="inlineStr">
        <is>
          <t>EMİNE ÇAPAR</t>
        </is>
      </c>
      <c r="E1042" s="4" t="inlineStr">
        <is>
          <t>Pazar</t>
        </is>
      </c>
      <c r="F1042" s="4" t="inlineStr">
        <is>
          <t>18.10.2026</t>
        </is>
      </c>
      <c r="G1042" s="4" t="inlineStr">
        <is>
          <t>18:55</t>
        </is>
      </c>
      <c r="H1042" s="4" t="inlineStr">
        <is>
          <t>18.10.2026</t>
        </is>
      </c>
      <c r="I1042" s="4" t="inlineStr">
        <is>
          <t>23:48</t>
        </is>
      </c>
      <c r="J1042" s="8" t="n">
        <v>4.5</v>
      </c>
      <c r="K1042" s="8" t="n">
        <v>4.5</v>
      </c>
      <c r="L1042" s="8" t="n">
        <v>0</v>
      </c>
      <c r="M1042" s="29" t="inlineStr">
        <is>
          <t>GÖBEL</t>
        </is>
      </c>
    </row>
    <row r="1043">
      <c r="A1043" s="4" t="n">
        <v>1042</v>
      </c>
      <c r="B1043" s="4" t="inlineStr">
        <is>
          <t>00045</t>
        </is>
      </c>
      <c r="C1043" s="4" t="inlineStr">
        <is>
          <t>00045</t>
        </is>
      </c>
      <c r="D1043" s="29" t="inlineStr">
        <is>
          <t>EMİNE ÇAPAR</t>
        </is>
      </c>
      <c r="E1043" s="4" t="inlineStr">
        <is>
          <t>Pazartesi</t>
        </is>
      </c>
      <c r="F1043" s="4" t="inlineStr">
        <is>
          <t>19.10.2026</t>
        </is>
      </c>
      <c r="G1043" s="4" t="inlineStr">
        <is>
          <t>18:40</t>
        </is>
      </c>
      <c r="H1043" s="4" t="inlineStr">
        <is>
          <t>19.10.2026</t>
        </is>
      </c>
      <c r="I1043" s="4" t="inlineStr">
        <is>
          <t>03:53</t>
        </is>
      </c>
      <c r="J1043" s="8" t="n">
        <v>8.5</v>
      </c>
      <c r="K1043" s="8" t="n">
        <v>7.5</v>
      </c>
      <c r="L1043" s="8" t="n">
        <v>1</v>
      </c>
      <c r="M1043" s="29" t="inlineStr">
        <is>
          <t>GÖBEL</t>
        </is>
      </c>
    </row>
    <row r="1044">
      <c r="A1044" s="4" t="n">
        <v>1043</v>
      </c>
      <c r="B1044" s="4" t="inlineStr">
        <is>
          <t>00045</t>
        </is>
      </c>
      <c r="C1044" s="4" t="inlineStr">
        <is>
          <t>00045</t>
        </is>
      </c>
      <c r="D1044" s="29" t="inlineStr">
        <is>
          <t>EMİNE ÇAPAR</t>
        </is>
      </c>
      <c r="E1044" s="4" t="inlineStr">
        <is>
          <t>Salı</t>
        </is>
      </c>
      <c r="F1044" s="4" t="inlineStr">
        <is>
          <t>20.10.2026</t>
        </is>
      </c>
      <c r="G1044" s="4" t="inlineStr">
        <is>
          <t>18:57</t>
        </is>
      </c>
      <c r="H1044" s="4" t="inlineStr">
        <is>
          <t>20.10.2026</t>
        </is>
      </c>
      <c r="I1044" s="4" t="inlineStr">
        <is>
          <t>23:41</t>
        </is>
      </c>
      <c r="J1044" s="8" t="n">
        <v>4</v>
      </c>
      <c r="K1044" s="8" t="n">
        <v>4</v>
      </c>
      <c r="L1044" s="8" t="n">
        <v>0</v>
      </c>
      <c r="M1044" s="29" t="inlineStr">
        <is>
          <t>GÖBEL</t>
        </is>
      </c>
    </row>
    <row r="1045">
      <c r="A1045" s="4" t="n">
        <v>1044</v>
      </c>
      <c r="B1045" s="4" t="inlineStr">
        <is>
          <t>00045</t>
        </is>
      </c>
      <c r="C1045" s="4" t="inlineStr">
        <is>
          <t>00045</t>
        </is>
      </c>
      <c r="D1045" s="29" t="inlineStr">
        <is>
          <t>EMİNE ÇAPAR</t>
        </is>
      </c>
      <c r="E1045" s="4" t="inlineStr">
        <is>
          <t>Çarşamba</t>
        </is>
      </c>
      <c r="F1045" s="4" t="inlineStr">
        <is>
          <t>21.10.2026</t>
        </is>
      </c>
      <c r="G1045" s="4" t="inlineStr">
        <is>
          <t>19:15</t>
        </is>
      </c>
      <c r="H1045" s="4" t="inlineStr">
        <is>
          <t>21.10.2026</t>
        </is>
      </c>
      <c r="I1045" s="4" t="inlineStr">
        <is>
          <t>-</t>
        </is>
      </c>
      <c r="J1045" s="8" t="n">
        <v>7.5</v>
      </c>
      <c r="K1045" s="8" t="n">
        <v>7.5</v>
      </c>
      <c r="L1045" s="8" t="n">
        <v>0</v>
      </c>
      <c r="M1045" s="29" t="inlineStr">
        <is>
          <t>GÖBEL</t>
        </is>
      </c>
    </row>
    <row r="1046">
      <c r="A1046" s="4" t="n">
        <v>1045</v>
      </c>
      <c r="B1046" s="4" t="inlineStr">
        <is>
          <t>00197</t>
        </is>
      </c>
      <c r="C1046" s="4" t="inlineStr">
        <is>
          <t>00197</t>
        </is>
      </c>
      <c r="D1046" s="29" t="inlineStr">
        <is>
          <t>EMİNE SARI</t>
        </is>
      </c>
      <c r="E1046" s="4" t="inlineStr">
        <is>
          <t>Perşembe</t>
        </is>
      </c>
      <c r="F1046" s="4" t="inlineStr">
        <is>
          <t>1.10.2026</t>
        </is>
      </c>
      <c r="G1046" s="4" t="inlineStr">
        <is>
          <t>07:50</t>
        </is>
      </c>
      <c r="H1046" s="4" t="inlineStr">
        <is>
          <t>1.10.2026</t>
        </is>
      </c>
      <c r="I1046" s="4" t="inlineStr">
        <is>
          <t>17:30</t>
        </is>
      </c>
      <c r="J1046" s="8" t="n">
        <v>8</v>
      </c>
      <c r="K1046" s="8" t="n">
        <v>7.5</v>
      </c>
      <c r="L1046" s="8" t="n">
        <v>0.5</v>
      </c>
      <c r="M1046" s="29" t="inlineStr">
        <is>
          <t>BALIKESİR</t>
        </is>
      </c>
    </row>
    <row r="1047">
      <c r="A1047" s="4" t="n">
        <v>1046</v>
      </c>
      <c r="B1047" s="4" t="inlineStr">
        <is>
          <t>00197</t>
        </is>
      </c>
      <c r="C1047" s="4" t="inlineStr">
        <is>
          <t>00197</t>
        </is>
      </c>
      <c r="D1047" s="29" t="inlineStr">
        <is>
          <t>EMİNE SARI</t>
        </is>
      </c>
      <c r="E1047" s="4" t="inlineStr">
        <is>
          <t>Cuma</t>
        </is>
      </c>
      <c r="F1047" s="4" t="inlineStr">
        <is>
          <t>2.10.2026</t>
        </is>
      </c>
      <c r="G1047" s="4" t="inlineStr">
        <is>
          <t>08:04</t>
        </is>
      </c>
      <c r="H1047" s="4" t="inlineStr">
        <is>
          <t>2.10.2026</t>
        </is>
      </c>
      <c r="I1047" s="4" t="inlineStr">
        <is>
          <t>17:47</t>
        </is>
      </c>
      <c r="J1047" s="8" t="n">
        <v>8.5</v>
      </c>
      <c r="K1047" s="8" t="n">
        <v>7.5</v>
      </c>
      <c r="L1047" s="8" t="n">
        <v>1</v>
      </c>
      <c r="M1047" s="29" t="inlineStr">
        <is>
          <t>BALIKESİR</t>
        </is>
      </c>
    </row>
    <row r="1048">
      <c r="A1048" s="4" t="n">
        <v>1047</v>
      </c>
      <c r="B1048" s="4" t="inlineStr">
        <is>
          <t>00197</t>
        </is>
      </c>
      <c r="C1048" s="4" t="inlineStr">
        <is>
          <t>00197</t>
        </is>
      </c>
      <c r="D1048" s="29" t="inlineStr">
        <is>
          <t>EMİNE SARI</t>
        </is>
      </c>
      <c r="E1048" s="4" t="inlineStr">
        <is>
          <t>Cumartesi</t>
        </is>
      </c>
      <c r="F1048" s="4" t="inlineStr">
        <is>
          <t>3.10.2026</t>
        </is>
      </c>
      <c r="G1048" s="4" t="inlineStr">
        <is>
          <t>08:04</t>
        </is>
      </c>
      <c r="H1048" s="4" t="inlineStr">
        <is>
          <t>3.10.2026</t>
        </is>
      </c>
      <c r="I1048" s="4" t="inlineStr">
        <is>
          <t>17:34</t>
        </is>
      </c>
      <c r="J1048" s="8" t="n">
        <v>8</v>
      </c>
      <c r="K1048" s="8" t="n">
        <v>7.5</v>
      </c>
      <c r="L1048" s="8" t="n">
        <v>0.5</v>
      </c>
      <c r="M1048" s="29" t="inlineStr">
        <is>
          <t>BALIKESİR</t>
        </is>
      </c>
    </row>
    <row r="1049">
      <c r="A1049" s="4" t="n">
        <v>1048</v>
      </c>
      <c r="B1049" s="4" t="inlineStr">
        <is>
          <t>00197</t>
        </is>
      </c>
      <c r="C1049" s="4" t="inlineStr">
        <is>
          <t>00197</t>
        </is>
      </c>
      <c r="D1049" s="29" t="inlineStr">
        <is>
          <t>EMİNE SARI</t>
        </is>
      </c>
      <c r="E1049" s="4" t="inlineStr">
        <is>
          <t>Pazartesi</t>
        </is>
      </c>
      <c r="F1049" s="4" t="inlineStr">
        <is>
          <t>5.10.2026</t>
        </is>
      </c>
      <c r="G1049" s="4" t="inlineStr">
        <is>
          <t>07:54</t>
        </is>
      </c>
      <c r="H1049" s="4" t="inlineStr">
        <is>
          <t>5.10.2026</t>
        </is>
      </c>
      <c r="I1049" s="4" t="inlineStr">
        <is>
          <t>17:01</t>
        </is>
      </c>
      <c r="J1049" s="8" t="n">
        <v>7.5</v>
      </c>
      <c r="K1049" s="8" t="n">
        <v>7.5</v>
      </c>
      <c r="L1049" s="8" t="n">
        <v>0</v>
      </c>
      <c r="M1049" s="29" t="inlineStr">
        <is>
          <t>BALIKESİR</t>
        </is>
      </c>
    </row>
    <row r="1050">
      <c r="A1050" s="4" t="n">
        <v>1049</v>
      </c>
      <c r="B1050" s="4" t="inlineStr">
        <is>
          <t>00197</t>
        </is>
      </c>
      <c r="C1050" s="4" t="inlineStr">
        <is>
          <t>00197</t>
        </is>
      </c>
      <c r="D1050" s="29" t="inlineStr">
        <is>
          <t>EMİNE SARI</t>
        </is>
      </c>
      <c r="E1050" s="4" t="inlineStr">
        <is>
          <t>Salı</t>
        </is>
      </c>
      <c r="F1050" s="4" t="inlineStr">
        <is>
          <t>6.10.2026</t>
        </is>
      </c>
      <c r="G1050" s="4" t="inlineStr">
        <is>
          <t>07:53</t>
        </is>
      </c>
      <c r="H1050" s="4" t="inlineStr">
        <is>
          <t>6.10.2026</t>
        </is>
      </c>
      <c r="I1050" s="4" t="inlineStr">
        <is>
          <t>17:32</t>
        </is>
      </c>
      <c r="J1050" s="8" t="n">
        <v>0</v>
      </c>
      <c r="K1050" s="8" t="n">
        <v>0</v>
      </c>
      <c r="L1050" s="8" t="n">
        <v>0</v>
      </c>
      <c r="M1050" s="29" t="inlineStr">
        <is>
          <t>BALIKESİR</t>
        </is>
      </c>
    </row>
    <row r="1051">
      <c r="A1051" s="4" t="n">
        <v>1050</v>
      </c>
      <c r="B1051" s="4" t="inlineStr">
        <is>
          <t>00197</t>
        </is>
      </c>
      <c r="C1051" s="4" t="inlineStr">
        <is>
          <t>00197</t>
        </is>
      </c>
      <c r="D1051" s="29" t="inlineStr">
        <is>
          <t>EMİNE SARI</t>
        </is>
      </c>
      <c r="E1051" s="4" t="inlineStr">
        <is>
          <t>Çarşamba</t>
        </is>
      </c>
      <c r="F1051" s="4" t="inlineStr">
        <is>
          <t>7.10.2026</t>
        </is>
      </c>
      <c r="G1051" s="4" t="inlineStr">
        <is>
          <t>07:49</t>
        </is>
      </c>
      <c r="H1051" s="4" t="inlineStr">
        <is>
          <t>7.10.2026</t>
        </is>
      </c>
      <c r="I1051" s="4" t="inlineStr">
        <is>
          <t>07:54</t>
        </is>
      </c>
      <c r="J1051" s="8" t="n">
        <v>6.48</v>
      </c>
      <c r="K1051" s="8" t="n">
        <v>6.48</v>
      </c>
      <c r="L1051" s="8" t="n">
        <v>0</v>
      </c>
      <c r="M1051" s="29" t="inlineStr">
        <is>
          <t>BALIKESİR</t>
        </is>
      </c>
    </row>
    <row r="1052">
      <c r="A1052" s="4" t="n">
        <v>1051</v>
      </c>
      <c r="B1052" s="4" t="inlineStr">
        <is>
          <t>00197</t>
        </is>
      </c>
      <c r="C1052" s="4" t="inlineStr">
        <is>
          <t>00197</t>
        </is>
      </c>
      <c r="D1052" s="29" t="inlineStr">
        <is>
          <t>EMİNE SARI</t>
        </is>
      </c>
      <c r="E1052" s="4" t="inlineStr">
        <is>
          <t>Perşembe</t>
        </is>
      </c>
      <c r="F1052" s="4" t="inlineStr">
        <is>
          <t>8.10.2026</t>
        </is>
      </c>
      <c r="G1052" s="4" t="inlineStr">
        <is>
          <t>07:49</t>
        </is>
      </c>
      <c r="H1052" s="4" t="inlineStr">
        <is>
          <t>8.10.2026</t>
        </is>
      </c>
      <c r="I1052" s="4" t="inlineStr">
        <is>
          <t>07:54</t>
        </is>
      </c>
      <c r="J1052" s="8" t="n">
        <v>6.48</v>
      </c>
      <c r="K1052" s="8" t="n">
        <v>6.48</v>
      </c>
      <c r="L1052" s="8" t="n">
        <v>0</v>
      </c>
      <c r="M1052" s="29" t="inlineStr">
        <is>
          <t>BALIKESİR</t>
        </is>
      </c>
    </row>
    <row r="1053">
      <c r="A1053" s="4" t="n">
        <v>1052</v>
      </c>
      <c r="B1053" s="4" t="inlineStr">
        <is>
          <t>00197</t>
        </is>
      </c>
      <c r="C1053" s="4" t="inlineStr">
        <is>
          <t>00197</t>
        </is>
      </c>
      <c r="D1053" s="29" t="inlineStr">
        <is>
          <t>EMİNE SARI</t>
        </is>
      </c>
      <c r="E1053" s="4" t="inlineStr">
        <is>
          <t>Cuma</t>
        </is>
      </c>
      <c r="F1053" s="4" t="inlineStr">
        <is>
          <t>9.10.2026</t>
        </is>
      </c>
      <c r="G1053" s="4" t="inlineStr">
        <is>
          <t>08:25</t>
        </is>
      </c>
      <c r="H1053" s="4" t="inlineStr">
        <is>
          <t>9.10.2026</t>
        </is>
      </c>
      <c r="I1053" s="4" t="inlineStr">
        <is>
          <t>17:39</t>
        </is>
      </c>
      <c r="J1053" s="8" t="n">
        <v>7.5</v>
      </c>
      <c r="K1053" s="8" t="n">
        <v>7</v>
      </c>
      <c r="L1053" s="8" t="n">
        <v>0.5</v>
      </c>
      <c r="M1053" s="29" t="inlineStr">
        <is>
          <t>BALIKESİR</t>
        </is>
      </c>
    </row>
    <row r="1054">
      <c r="A1054" s="4" t="n">
        <v>1053</v>
      </c>
      <c r="B1054" s="4" t="inlineStr">
        <is>
          <t>00197</t>
        </is>
      </c>
      <c r="C1054" s="4" t="inlineStr">
        <is>
          <t>00197</t>
        </is>
      </c>
      <c r="D1054" s="29" t="inlineStr">
        <is>
          <t>EMİNE SARI</t>
        </is>
      </c>
      <c r="E1054" s="4" t="inlineStr">
        <is>
          <t>Cumartesi</t>
        </is>
      </c>
      <c r="F1054" s="4" t="inlineStr">
        <is>
          <t>10.10.2026</t>
        </is>
      </c>
      <c r="G1054" s="4" t="inlineStr">
        <is>
          <t>07:52</t>
        </is>
      </c>
      <c r="H1054" s="4" t="inlineStr">
        <is>
          <t>10.10.2026</t>
        </is>
      </c>
      <c r="I1054" s="4" t="inlineStr">
        <is>
          <t>18:02</t>
        </is>
      </c>
      <c r="J1054" s="8" t="n">
        <v>8.5</v>
      </c>
      <c r="K1054" s="8" t="n">
        <v>7.5</v>
      </c>
      <c r="L1054" s="8" t="n">
        <v>1</v>
      </c>
      <c r="M1054" s="29" t="inlineStr">
        <is>
          <t>BALIKESİR</t>
        </is>
      </c>
    </row>
    <row r="1055">
      <c r="A1055" s="4" t="n">
        <v>1054</v>
      </c>
      <c r="B1055" s="4" t="inlineStr">
        <is>
          <t>00197</t>
        </is>
      </c>
      <c r="C1055" s="4" t="inlineStr">
        <is>
          <t>00197</t>
        </is>
      </c>
      <c r="D1055" s="29" t="inlineStr">
        <is>
          <t>EMİNE SARI</t>
        </is>
      </c>
      <c r="E1055" s="4" t="inlineStr">
        <is>
          <t>Pazartesi</t>
        </is>
      </c>
      <c r="F1055" s="4" t="inlineStr">
        <is>
          <t>12.10.2026</t>
        </is>
      </c>
      <c r="G1055" s="4" t="inlineStr">
        <is>
          <t>07:50</t>
        </is>
      </c>
      <c r="H1055" s="4" t="inlineStr">
        <is>
          <t>12.10.2026</t>
        </is>
      </c>
      <c r="I1055" s="4" t="inlineStr">
        <is>
          <t>17:00</t>
        </is>
      </c>
      <c r="J1055" s="8" t="n">
        <v>7.5</v>
      </c>
      <c r="K1055" s="8" t="n">
        <v>7.5</v>
      </c>
      <c r="L1055" s="8" t="n">
        <v>0</v>
      </c>
      <c r="M1055" s="29" t="inlineStr">
        <is>
          <t>BALIKESİR</t>
        </is>
      </c>
    </row>
    <row r="1056">
      <c r="A1056" s="4" t="n">
        <v>1055</v>
      </c>
      <c r="B1056" s="4" t="inlineStr">
        <is>
          <t>00197</t>
        </is>
      </c>
      <c r="C1056" s="4" t="inlineStr">
        <is>
          <t>00197</t>
        </is>
      </c>
      <c r="D1056" s="29" t="inlineStr">
        <is>
          <t>EMİNE SARI</t>
        </is>
      </c>
      <c r="E1056" s="4" t="inlineStr">
        <is>
          <t>Salı</t>
        </is>
      </c>
      <c r="F1056" s="4" t="inlineStr">
        <is>
          <t>13.10.2026</t>
        </is>
      </c>
      <c r="G1056" s="4" t="inlineStr">
        <is>
          <t>07:51</t>
        </is>
      </c>
      <c r="H1056" s="4" t="inlineStr">
        <is>
          <t>13.10.2026</t>
        </is>
      </c>
      <c r="I1056" s="4" t="inlineStr">
        <is>
          <t>16:59</t>
        </is>
      </c>
      <c r="J1056" s="8" t="n">
        <v>7.5</v>
      </c>
      <c r="K1056" s="8" t="n">
        <v>7.5</v>
      </c>
      <c r="L1056" s="8" t="n">
        <v>0</v>
      </c>
      <c r="M1056" s="29" t="inlineStr">
        <is>
          <t>BALIKESİR</t>
        </is>
      </c>
    </row>
    <row r="1057">
      <c r="A1057" s="4" t="n">
        <v>1056</v>
      </c>
      <c r="B1057" s="4" t="inlineStr">
        <is>
          <t>00197</t>
        </is>
      </c>
      <c r="C1057" s="4" t="inlineStr">
        <is>
          <t>00197</t>
        </is>
      </c>
      <c r="D1057" s="29" t="inlineStr">
        <is>
          <t>EMİNE SARI</t>
        </is>
      </c>
      <c r="E1057" s="4" t="inlineStr">
        <is>
          <t>Çarşamba</t>
        </is>
      </c>
      <c r="F1057" s="4" t="inlineStr">
        <is>
          <t>14.10.2026</t>
        </is>
      </c>
      <c r="G1057" s="4" t="inlineStr">
        <is>
          <t>07:51</t>
        </is>
      </c>
      <c r="H1057" s="4" t="inlineStr">
        <is>
          <t>14.10.2026</t>
        </is>
      </c>
      <c r="I1057" s="4" t="inlineStr">
        <is>
          <t>17:50</t>
        </is>
      </c>
      <c r="J1057" s="8" t="n">
        <v>8.5</v>
      </c>
      <c r="K1057" s="8" t="n">
        <v>7.5</v>
      </c>
      <c r="L1057" s="8" t="n">
        <v>1</v>
      </c>
      <c r="M1057" s="29" t="inlineStr">
        <is>
          <t>BALIKESİR</t>
        </is>
      </c>
    </row>
    <row r="1058">
      <c r="A1058" s="4" t="n">
        <v>1057</v>
      </c>
      <c r="B1058" s="4" t="inlineStr">
        <is>
          <t>00197</t>
        </is>
      </c>
      <c r="C1058" s="4" t="inlineStr">
        <is>
          <t>00197</t>
        </is>
      </c>
      <c r="D1058" s="29" t="inlineStr">
        <is>
          <t>EMİNE SARI</t>
        </is>
      </c>
      <c r="E1058" s="4" t="inlineStr">
        <is>
          <t>Perşembe</t>
        </is>
      </c>
      <c r="F1058" s="4" t="inlineStr">
        <is>
          <t>15.10.2026</t>
        </is>
      </c>
      <c r="G1058" s="4" t="inlineStr">
        <is>
          <t>07:55</t>
        </is>
      </c>
      <c r="H1058" s="4" t="inlineStr">
        <is>
          <t>15.10.2026</t>
        </is>
      </c>
      <c r="I1058" s="4" t="inlineStr">
        <is>
          <t>17:01</t>
        </is>
      </c>
      <c r="J1058" s="8" t="n">
        <v>7.5</v>
      </c>
      <c r="K1058" s="8" t="n">
        <v>7.5</v>
      </c>
      <c r="L1058" s="8" t="n">
        <v>0</v>
      </c>
      <c r="M1058" s="29" t="inlineStr">
        <is>
          <t>BALIKESİR</t>
        </is>
      </c>
    </row>
    <row r="1059">
      <c r="A1059" s="4" t="n">
        <v>1058</v>
      </c>
      <c r="B1059" s="4" t="inlineStr">
        <is>
          <t>00197</t>
        </is>
      </c>
      <c r="C1059" s="4" t="inlineStr">
        <is>
          <t>00197</t>
        </is>
      </c>
      <c r="D1059" s="29" t="inlineStr">
        <is>
          <t>EMİNE SARI</t>
        </is>
      </c>
      <c r="E1059" s="4" t="inlineStr">
        <is>
          <t>Cuma</t>
        </is>
      </c>
      <c r="F1059" s="4" t="inlineStr">
        <is>
          <t>16.10.2026</t>
        </is>
      </c>
      <c r="G1059" s="4" t="inlineStr">
        <is>
          <t>07:51</t>
        </is>
      </c>
      <c r="H1059" s="4" t="inlineStr">
        <is>
          <t>16.10.2026</t>
        </is>
      </c>
      <c r="I1059" s="4" t="inlineStr">
        <is>
          <t>17:12</t>
        </is>
      </c>
      <c r="J1059" s="8" t="n">
        <v>7.5</v>
      </c>
      <c r="K1059" s="8" t="n">
        <v>7.5</v>
      </c>
      <c r="L1059" s="8" t="n">
        <v>0</v>
      </c>
      <c r="M1059" s="29" t="inlineStr">
        <is>
          <t>BALIKESİR</t>
        </is>
      </c>
    </row>
    <row r="1060">
      <c r="A1060" s="4" t="n">
        <v>1059</v>
      </c>
      <c r="B1060" s="4" t="inlineStr">
        <is>
          <t>00197</t>
        </is>
      </c>
      <c r="C1060" s="4" t="inlineStr">
        <is>
          <t>00197</t>
        </is>
      </c>
      <c r="D1060" s="29" t="inlineStr">
        <is>
          <t>EMİNE SARI</t>
        </is>
      </c>
      <c r="E1060" s="4" t="inlineStr">
        <is>
          <t>Cumartesi</t>
        </is>
      </c>
      <c r="F1060" s="4" t="inlineStr">
        <is>
          <t>17.10.2026</t>
        </is>
      </c>
      <c r="G1060" s="4" t="inlineStr">
        <is>
          <t>07:57</t>
        </is>
      </c>
      <c r="H1060" s="4" t="inlineStr">
        <is>
          <t>17.10.2026</t>
        </is>
      </c>
      <c r="I1060" s="4" t="inlineStr">
        <is>
          <t>17:52</t>
        </is>
      </c>
      <c r="J1060" s="8" t="n">
        <v>8.5</v>
      </c>
      <c r="K1060" s="8" t="n">
        <v>7.5</v>
      </c>
      <c r="L1060" s="8" t="n">
        <v>1</v>
      </c>
      <c r="M1060" s="29" t="inlineStr">
        <is>
          <t>BALIKESİR</t>
        </is>
      </c>
    </row>
    <row r="1061">
      <c r="A1061" s="4" t="n">
        <v>1060</v>
      </c>
      <c r="B1061" s="4" t="inlineStr">
        <is>
          <t>00197</t>
        </is>
      </c>
      <c r="C1061" s="4" t="inlineStr">
        <is>
          <t>00197</t>
        </is>
      </c>
      <c r="D1061" s="29" t="inlineStr">
        <is>
          <t>EMİNE SARI</t>
        </is>
      </c>
      <c r="E1061" s="4" t="inlineStr">
        <is>
          <t>Pazar</t>
        </is>
      </c>
      <c r="F1061" s="4" t="inlineStr">
        <is>
          <t>18.10.2026</t>
        </is>
      </c>
      <c r="G1061" s="4" t="inlineStr">
        <is>
          <t>07:45</t>
        </is>
      </c>
      <c r="H1061" s="4" t="inlineStr">
        <is>
          <t>18.10.2026</t>
        </is>
      </c>
      <c r="I1061" s="4" t="inlineStr">
        <is>
          <t>15:41</t>
        </is>
      </c>
      <c r="J1061" s="8" t="n">
        <v>6</v>
      </c>
      <c r="K1061" s="8" t="n">
        <v>6</v>
      </c>
      <c r="L1061" s="8" t="n">
        <v>0</v>
      </c>
      <c r="M1061" s="29" t="inlineStr">
        <is>
          <t>BALIKESİR</t>
        </is>
      </c>
    </row>
    <row r="1062">
      <c r="A1062" s="4" t="n">
        <v>1061</v>
      </c>
      <c r="B1062" s="4" t="inlineStr">
        <is>
          <t>00197</t>
        </is>
      </c>
      <c r="C1062" s="4" t="inlineStr">
        <is>
          <t>00197</t>
        </is>
      </c>
      <c r="D1062" s="29" t="inlineStr">
        <is>
          <t>EMİNE SARI</t>
        </is>
      </c>
      <c r="E1062" s="4" t="inlineStr">
        <is>
          <t>Salı</t>
        </is>
      </c>
      <c r="F1062" s="4" t="inlineStr">
        <is>
          <t>20.10.2026</t>
        </is>
      </c>
      <c r="G1062" s="4" t="inlineStr">
        <is>
          <t>07:49</t>
        </is>
      </c>
      <c r="H1062" s="4" t="inlineStr">
        <is>
          <t>20.10.2026</t>
        </is>
      </c>
      <c r="I1062" s="4" t="inlineStr">
        <is>
          <t>17:05</t>
        </is>
      </c>
      <c r="J1062" s="8" t="n">
        <v>7.5</v>
      </c>
      <c r="K1062" s="8" t="n">
        <v>7.5</v>
      </c>
      <c r="L1062" s="8" t="n">
        <v>0</v>
      </c>
      <c r="M1062" s="29" t="inlineStr">
        <is>
          <t>BALIKESİR</t>
        </is>
      </c>
    </row>
    <row r="1063">
      <c r="A1063" s="4" t="n">
        <v>1062</v>
      </c>
      <c r="B1063" s="4" t="inlineStr">
        <is>
          <t>00197</t>
        </is>
      </c>
      <c r="C1063" s="4" t="inlineStr">
        <is>
          <t>00197</t>
        </is>
      </c>
      <c r="D1063" s="29" t="inlineStr">
        <is>
          <t>EMİNE SARI</t>
        </is>
      </c>
      <c r="E1063" s="4" t="inlineStr">
        <is>
          <t>Çarşamba</t>
        </is>
      </c>
      <c r="F1063" s="4" t="inlineStr">
        <is>
          <t>21.10.2026</t>
        </is>
      </c>
      <c r="G1063" s="4" t="inlineStr">
        <is>
          <t>07:53</t>
        </is>
      </c>
      <c r="H1063" s="4" t="inlineStr">
        <is>
          <t>21.10.2026</t>
        </is>
      </c>
      <c r="I1063" s="4" t="inlineStr">
        <is>
          <t>17:01</t>
        </is>
      </c>
      <c r="J1063" s="8" t="n">
        <v>7.5</v>
      </c>
      <c r="K1063" s="8" t="n">
        <v>7.5</v>
      </c>
      <c r="L1063" s="8" t="n">
        <v>0</v>
      </c>
      <c r="M1063" s="29" t="inlineStr">
        <is>
          <t>BALIKESİR</t>
        </is>
      </c>
    </row>
    <row r="1064">
      <c r="A1064" s="4" t="n">
        <v>1063</v>
      </c>
      <c r="B1064" s="4" t="inlineStr">
        <is>
          <t>00219</t>
        </is>
      </c>
      <c r="C1064" s="4" t="inlineStr">
        <is>
          <t>00219</t>
        </is>
      </c>
      <c r="D1064" s="29" t="inlineStr">
        <is>
          <t>EMİNE ATEŞ</t>
        </is>
      </c>
      <c r="E1064" s="4" t="inlineStr">
        <is>
          <t>Perşembe</t>
        </is>
      </c>
      <c r="F1064" s="4" t="inlineStr">
        <is>
          <t>1.10.2026</t>
        </is>
      </c>
      <c r="G1064" s="4" t="inlineStr">
        <is>
          <t>07:51</t>
        </is>
      </c>
      <c r="H1064" s="4" t="inlineStr">
        <is>
          <t>1.10.2026</t>
        </is>
      </c>
      <c r="I1064" s="4" t="inlineStr">
        <is>
          <t>17:25</t>
        </is>
      </c>
      <c r="J1064" s="8" t="n">
        <v>8</v>
      </c>
      <c r="K1064" s="8" t="n">
        <v>7.5</v>
      </c>
      <c r="L1064" s="8" t="n">
        <v>0.5</v>
      </c>
      <c r="M1064" s="29" t="inlineStr">
        <is>
          <t>BALIKESİR</t>
        </is>
      </c>
    </row>
    <row r="1065">
      <c r="A1065" s="4" t="n">
        <v>1064</v>
      </c>
      <c r="B1065" s="4" t="inlineStr">
        <is>
          <t>00219</t>
        </is>
      </c>
      <c r="C1065" s="4" t="inlineStr">
        <is>
          <t>00219</t>
        </is>
      </c>
      <c r="D1065" s="29" t="inlineStr">
        <is>
          <t>EMİNE ATEŞ</t>
        </is>
      </c>
      <c r="E1065" s="4" t="inlineStr">
        <is>
          <t>Cuma</t>
        </is>
      </c>
      <c r="F1065" s="4" t="inlineStr">
        <is>
          <t>2.10.2026</t>
        </is>
      </c>
      <c r="G1065" s="4" t="inlineStr">
        <is>
          <t>07:56</t>
        </is>
      </c>
      <c r="H1065" s="4" t="inlineStr">
        <is>
          <t>2.10.2026</t>
        </is>
      </c>
      <c r="I1065" s="4" t="inlineStr">
        <is>
          <t>17:43</t>
        </is>
      </c>
      <c r="J1065" s="8" t="n">
        <v>8</v>
      </c>
      <c r="K1065" s="8" t="n">
        <v>7.5</v>
      </c>
      <c r="L1065" s="8" t="n">
        <v>0.5</v>
      </c>
      <c r="M1065" s="29" t="inlineStr">
        <is>
          <t>BALIKESİR</t>
        </is>
      </c>
    </row>
    <row r="1066">
      <c r="A1066" s="4" t="n">
        <v>1065</v>
      </c>
      <c r="B1066" s="4" t="inlineStr">
        <is>
          <t>00219</t>
        </is>
      </c>
      <c r="C1066" s="4" t="inlineStr">
        <is>
          <t>00219</t>
        </is>
      </c>
      <c r="D1066" s="29" t="inlineStr">
        <is>
          <t>EMİNE ATEŞ</t>
        </is>
      </c>
      <c r="E1066" s="4" t="inlineStr">
        <is>
          <t>Cumartesi</t>
        </is>
      </c>
      <c r="F1066" s="4" t="inlineStr">
        <is>
          <t>3.10.2026</t>
        </is>
      </c>
      <c r="G1066" s="4" t="inlineStr">
        <is>
          <t>07:57</t>
        </is>
      </c>
      <c r="H1066" s="4" t="inlineStr">
        <is>
          <t>3.10.2026</t>
        </is>
      </c>
      <c r="I1066" s="4" t="inlineStr">
        <is>
          <t>17:34</t>
        </is>
      </c>
      <c r="J1066" s="8" t="n">
        <v>8</v>
      </c>
      <c r="K1066" s="8" t="n">
        <v>7.5</v>
      </c>
      <c r="L1066" s="8" t="n">
        <v>0.5</v>
      </c>
      <c r="M1066" s="29" t="inlineStr">
        <is>
          <t>BALIKESİR</t>
        </is>
      </c>
    </row>
    <row r="1067">
      <c r="A1067" s="4" t="n">
        <v>1066</v>
      </c>
      <c r="B1067" s="4" t="inlineStr">
        <is>
          <t>00219</t>
        </is>
      </c>
      <c r="C1067" s="4" t="inlineStr">
        <is>
          <t>00219</t>
        </is>
      </c>
      <c r="D1067" s="29" t="inlineStr">
        <is>
          <t>EMİNE ATEŞ</t>
        </is>
      </c>
      <c r="E1067" s="4" t="inlineStr">
        <is>
          <t>Pazartesi</t>
        </is>
      </c>
      <c r="F1067" s="4" t="inlineStr">
        <is>
          <t>5.10.2026</t>
        </is>
      </c>
      <c r="G1067" s="4" t="inlineStr">
        <is>
          <t>07:54</t>
        </is>
      </c>
      <c r="H1067" s="4" t="inlineStr">
        <is>
          <t>5.10.2026</t>
        </is>
      </c>
      <c r="I1067" s="4" t="inlineStr">
        <is>
          <t>17:01</t>
        </is>
      </c>
      <c r="J1067" s="8" t="n">
        <v>7.5</v>
      </c>
      <c r="K1067" s="8" t="n">
        <v>7.5</v>
      </c>
      <c r="L1067" s="8" t="n">
        <v>0</v>
      </c>
      <c r="M1067" s="29" t="inlineStr">
        <is>
          <t>BALIKESİR</t>
        </is>
      </c>
    </row>
    <row r="1068">
      <c r="A1068" s="4" t="n">
        <v>1067</v>
      </c>
      <c r="B1068" s="4" t="inlineStr">
        <is>
          <t>00219</t>
        </is>
      </c>
      <c r="C1068" s="4" t="inlineStr">
        <is>
          <t>00219</t>
        </is>
      </c>
      <c r="D1068" s="29" t="inlineStr">
        <is>
          <t>EMİNE ATEŞ</t>
        </is>
      </c>
      <c r="E1068" s="4" t="inlineStr">
        <is>
          <t>Salı</t>
        </is>
      </c>
      <c r="F1068" s="4" t="inlineStr">
        <is>
          <t>6.10.2026</t>
        </is>
      </c>
      <c r="G1068" s="4" t="inlineStr">
        <is>
          <t>07:52</t>
        </is>
      </c>
      <c r="H1068" s="4" t="inlineStr">
        <is>
          <t>6.10.2026</t>
        </is>
      </c>
      <c r="I1068" s="4" t="inlineStr">
        <is>
          <t>17:39</t>
        </is>
      </c>
      <c r="J1068" s="8" t="n">
        <v>8</v>
      </c>
      <c r="K1068" s="8" t="n">
        <v>7.5</v>
      </c>
      <c r="L1068" s="8" t="n">
        <v>0.5</v>
      </c>
      <c r="M1068" s="29" t="inlineStr">
        <is>
          <t>BALIKESİR</t>
        </is>
      </c>
    </row>
    <row r="1069">
      <c r="A1069" s="4" t="n">
        <v>1068</v>
      </c>
      <c r="B1069" s="4" t="inlineStr">
        <is>
          <t>00219</t>
        </is>
      </c>
      <c r="C1069" s="4" t="inlineStr">
        <is>
          <t>00219</t>
        </is>
      </c>
      <c r="D1069" s="29" t="inlineStr">
        <is>
          <t>EMİNE ATEŞ</t>
        </is>
      </c>
      <c r="E1069" s="4" t="inlineStr">
        <is>
          <t>Pazartesi</t>
        </is>
      </c>
      <c r="F1069" s="4" t="inlineStr">
        <is>
          <t>19.10.2026</t>
        </is>
      </c>
      <c r="G1069" s="4" t="inlineStr">
        <is>
          <t>07:51</t>
        </is>
      </c>
      <c r="H1069" s="4" t="inlineStr">
        <is>
          <t>19.10.2026</t>
        </is>
      </c>
      <c r="I1069" s="4" t="inlineStr">
        <is>
          <t>17:41</t>
        </is>
      </c>
      <c r="J1069" s="8" t="n">
        <v>8</v>
      </c>
      <c r="K1069" s="8" t="n">
        <v>7.5</v>
      </c>
      <c r="L1069" s="8" t="n">
        <v>0.5</v>
      </c>
      <c r="M1069" s="29" t="inlineStr">
        <is>
          <t>BALIKESİR</t>
        </is>
      </c>
    </row>
    <row r="1070">
      <c r="A1070" s="4" t="n">
        <v>1069</v>
      </c>
      <c r="B1070" s="4" t="inlineStr">
        <is>
          <t>00219</t>
        </is>
      </c>
      <c r="C1070" s="4" t="inlineStr">
        <is>
          <t>00219</t>
        </is>
      </c>
      <c r="D1070" s="29" t="inlineStr">
        <is>
          <t>EMİNE ATEŞ</t>
        </is>
      </c>
      <c r="E1070" s="4" t="inlineStr">
        <is>
          <t>Salı</t>
        </is>
      </c>
      <c r="F1070" s="4" t="inlineStr">
        <is>
          <t>20.10.2026</t>
        </is>
      </c>
      <c r="G1070" s="4" t="inlineStr">
        <is>
          <t>07:48</t>
        </is>
      </c>
      <c r="H1070" s="4" t="inlineStr">
        <is>
          <t>20.10.2026</t>
        </is>
      </c>
      <c r="I1070" s="4" t="inlineStr">
        <is>
          <t>17:00</t>
        </is>
      </c>
      <c r="J1070" s="8" t="n">
        <v>7.5</v>
      </c>
      <c r="K1070" s="8" t="n">
        <v>7.5</v>
      </c>
      <c r="L1070" s="8" t="n">
        <v>0</v>
      </c>
      <c r="M1070" s="29" t="inlineStr">
        <is>
          <t>BALIKESİR</t>
        </is>
      </c>
    </row>
    <row r="1071">
      <c r="A1071" s="4" t="n">
        <v>1070</v>
      </c>
      <c r="B1071" s="4" t="inlineStr">
        <is>
          <t>00219</t>
        </is>
      </c>
      <c r="C1071" s="4" t="inlineStr">
        <is>
          <t>00219</t>
        </is>
      </c>
      <c r="D1071" s="29" t="inlineStr">
        <is>
          <t>EMİNE ATEŞ</t>
        </is>
      </c>
      <c r="E1071" s="4" t="inlineStr">
        <is>
          <t>Çarşamba</t>
        </is>
      </c>
      <c r="F1071" s="4" t="inlineStr">
        <is>
          <t>21.10.2026</t>
        </is>
      </c>
      <c r="G1071" s="4" t="inlineStr">
        <is>
          <t>07:50</t>
        </is>
      </c>
      <c r="H1071" s="4" t="inlineStr">
        <is>
          <t>21.10.2026</t>
        </is>
      </c>
      <c r="I1071" s="4" t="inlineStr">
        <is>
          <t>17:00</t>
        </is>
      </c>
      <c r="J1071" s="8" t="n">
        <v>7.5</v>
      </c>
      <c r="K1071" s="8" t="n">
        <v>7.5</v>
      </c>
      <c r="L1071" s="8" t="n">
        <v>0</v>
      </c>
      <c r="M1071" s="29" t="inlineStr">
        <is>
          <t>BALIKESİR</t>
        </is>
      </c>
    </row>
    <row r="1072">
      <c r="A1072" s="4" t="n">
        <v>1071</v>
      </c>
      <c r="B1072" s="4" t="inlineStr">
        <is>
          <t>00859</t>
        </is>
      </c>
      <c r="C1072" s="4" t="inlineStr">
        <is>
          <t>00859</t>
        </is>
      </c>
      <c r="D1072" s="29" t="inlineStr">
        <is>
          <t>EMİNE YAVUZ</t>
        </is>
      </c>
      <c r="E1072" s="4" t="inlineStr">
        <is>
          <t>Perşembe</t>
        </is>
      </c>
      <c r="F1072" s="4" t="inlineStr">
        <is>
          <t>1.10.2026</t>
        </is>
      </c>
      <c r="G1072" s="4" t="inlineStr">
        <is>
          <t>07:36</t>
        </is>
      </c>
      <c r="H1072" s="4" t="inlineStr">
        <is>
          <t>1.10.2026</t>
        </is>
      </c>
      <c r="I1072" s="4" t="inlineStr">
        <is>
          <t>17:33</t>
        </is>
      </c>
      <c r="J1072" s="8" t="n">
        <v>8</v>
      </c>
      <c r="K1072" s="8" t="n">
        <v>7.5</v>
      </c>
      <c r="L1072" s="8" t="n">
        <v>0.5</v>
      </c>
      <c r="M1072" s="29" t="inlineStr">
        <is>
          <t>GÜVEN TURİZM</t>
        </is>
      </c>
    </row>
    <row r="1073">
      <c r="A1073" s="4" t="n">
        <v>1072</v>
      </c>
      <c r="B1073" s="4" t="inlineStr">
        <is>
          <t>00859</t>
        </is>
      </c>
      <c r="C1073" s="4" t="inlineStr">
        <is>
          <t>00859</t>
        </is>
      </c>
      <c r="D1073" s="29" t="inlineStr">
        <is>
          <t>EMİNE YAVUZ</t>
        </is>
      </c>
      <c r="E1073" s="4" t="inlineStr">
        <is>
          <t>Cuma</t>
        </is>
      </c>
      <c r="F1073" s="4" t="inlineStr">
        <is>
          <t>2.10.2026</t>
        </is>
      </c>
      <c r="G1073" s="4" t="inlineStr">
        <is>
          <t>07:39</t>
        </is>
      </c>
      <c r="H1073" s="4" t="inlineStr">
        <is>
          <t>2.10.2026</t>
        </is>
      </c>
      <c r="I1073" s="4" t="inlineStr">
        <is>
          <t>17:50</t>
        </is>
      </c>
      <c r="J1073" s="8" t="n">
        <v>8.5</v>
      </c>
      <c r="K1073" s="8" t="n">
        <v>7.5</v>
      </c>
      <c r="L1073" s="8" t="n">
        <v>1</v>
      </c>
      <c r="M1073" s="29" t="inlineStr">
        <is>
          <t>GÜVEN TURİZM</t>
        </is>
      </c>
    </row>
    <row r="1074">
      <c r="A1074" s="4" t="n">
        <v>1073</v>
      </c>
      <c r="B1074" s="4" t="inlineStr">
        <is>
          <t>00859</t>
        </is>
      </c>
      <c r="C1074" s="4" t="inlineStr">
        <is>
          <t>00859</t>
        </is>
      </c>
      <c r="D1074" s="29" t="inlineStr">
        <is>
          <t>EMİNE YAVUZ</t>
        </is>
      </c>
      <c r="E1074" s="4" t="inlineStr">
        <is>
          <t>Cumartesi</t>
        </is>
      </c>
      <c r="F1074" s="4" t="inlineStr">
        <is>
          <t>3.10.2026</t>
        </is>
      </c>
      <c r="G1074" s="4" t="inlineStr">
        <is>
          <t>07:36</t>
        </is>
      </c>
      <c r="H1074" s="4" t="inlineStr">
        <is>
          <t>3.10.2026</t>
        </is>
      </c>
      <c r="I1074" s="4" t="inlineStr">
        <is>
          <t>17:39</t>
        </is>
      </c>
      <c r="J1074" s="8" t="n">
        <v>8</v>
      </c>
      <c r="K1074" s="8" t="n">
        <v>7.5</v>
      </c>
      <c r="L1074" s="8" t="n">
        <v>0.5</v>
      </c>
      <c r="M1074" s="29" t="inlineStr">
        <is>
          <t>GÜVEN TURİZM</t>
        </is>
      </c>
    </row>
    <row r="1075">
      <c r="A1075" s="4" t="n">
        <v>1074</v>
      </c>
      <c r="B1075" s="4" t="inlineStr">
        <is>
          <t>00859</t>
        </is>
      </c>
      <c r="C1075" s="4" t="inlineStr">
        <is>
          <t>00859</t>
        </is>
      </c>
      <c r="D1075" s="29" t="inlineStr">
        <is>
          <t>EMİNE YAVUZ</t>
        </is>
      </c>
      <c r="E1075" s="4" t="inlineStr">
        <is>
          <t>Pazartesi</t>
        </is>
      </c>
      <c r="F1075" s="4" t="inlineStr">
        <is>
          <t>5.10.2026</t>
        </is>
      </c>
      <c r="G1075" s="4" t="inlineStr">
        <is>
          <t>07:39</t>
        </is>
      </c>
      <c r="H1075" s="4" t="inlineStr">
        <is>
          <t>5.10.2026</t>
        </is>
      </c>
      <c r="I1075" s="4" t="inlineStr">
        <is>
          <t>17:05</t>
        </is>
      </c>
      <c r="J1075" s="8" t="n">
        <v>7.5</v>
      </c>
      <c r="K1075" s="8" t="n">
        <v>7.5</v>
      </c>
      <c r="L1075" s="8" t="n">
        <v>0</v>
      </c>
      <c r="M1075" s="29" t="inlineStr">
        <is>
          <t>GÜVEN TURİZM</t>
        </is>
      </c>
    </row>
    <row r="1076">
      <c r="A1076" s="4" t="n">
        <v>1075</v>
      </c>
      <c r="B1076" s="4" t="inlineStr">
        <is>
          <t>00859</t>
        </is>
      </c>
      <c r="C1076" s="4" t="inlineStr">
        <is>
          <t>00859</t>
        </is>
      </c>
      <c r="D1076" s="29" t="inlineStr">
        <is>
          <t>EMİNE YAVUZ</t>
        </is>
      </c>
      <c r="E1076" s="4" t="inlineStr">
        <is>
          <t>Salı</t>
        </is>
      </c>
      <c r="F1076" s="4" t="inlineStr">
        <is>
          <t>6.10.2026</t>
        </is>
      </c>
      <c r="G1076" s="4" t="inlineStr">
        <is>
          <t>07:41</t>
        </is>
      </c>
      <c r="H1076" s="4" t="inlineStr">
        <is>
          <t>6.10.2026</t>
        </is>
      </c>
      <c r="I1076" s="4" t="inlineStr">
        <is>
          <t>17:42</t>
        </is>
      </c>
      <c r="J1076" s="8" t="n">
        <v>8</v>
      </c>
      <c r="K1076" s="8" t="n">
        <v>7.5</v>
      </c>
      <c r="L1076" s="8" t="n">
        <v>0.5</v>
      </c>
      <c r="M1076" s="29" t="inlineStr">
        <is>
          <t>GÜVEN TURİZM</t>
        </is>
      </c>
    </row>
    <row r="1077">
      <c r="A1077" s="4" t="n">
        <v>1076</v>
      </c>
      <c r="B1077" s="4" t="inlineStr">
        <is>
          <t>00859</t>
        </is>
      </c>
      <c r="C1077" s="4" t="inlineStr">
        <is>
          <t>00859</t>
        </is>
      </c>
      <c r="D1077" s="29" t="inlineStr">
        <is>
          <t>EMİNE YAVUZ</t>
        </is>
      </c>
      <c r="E1077" s="4" t="inlineStr">
        <is>
          <t>Çarşamba</t>
        </is>
      </c>
      <c r="F1077" s="4" t="inlineStr">
        <is>
          <t>7.10.2026</t>
        </is>
      </c>
      <c r="G1077" s="4" t="inlineStr">
        <is>
          <t>07:36</t>
        </is>
      </c>
      <c r="H1077" s="4" t="inlineStr">
        <is>
          <t>7.10.2026</t>
        </is>
      </c>
      <c r="I1077" s="4" t="inlineStr">
        <is>
          <t>17:27</t>
        </is>
      </c>
      <c r="J1077" s="8" t="n">
        <v>8</v>
      </c>
      <c r="K1077" s="8" t="n">
        <v>7.5</v>
      </c>
      <c r="L1077" s="8" t="n">
        <v>0.5</v>
      </c>
      <c r="M1077" s="29" t="inlineStr">
        <is>
          <t>GÜVEN TURİZM</t>
        </is>
      </c>
    </row>
    <row r="1078">
      <c r="A1078" s="4" t="n">
        <v>1077</v>
      </c>
      <c r="B1078" s="4" t="inlineStr">
        <is>
          <t>00859</t>
        </is>
      </c>
      <c r="C1078" s="4" t="inlineStr">
        <is>
          <t>00859</t>
        </is>
      </c>
      <c r="D1078" s="29" t="inlineStr">
        <is>
          <t>EMİNE YAVUZ</t>
        </is>
      </c>
      <c r="E1078" s="4" t="inlineStr">
        <is>
          <t>Perşembe</t>
        </is>
      </c>
      <c r="F1078" s="4" t="inlineStr">
        <is>
          <t>8.10.2026</t>
        </is>
      </c>
      <c r="G1078" s="4" t="inlineStr">
        <is>
          <t>07:36</t>
        </is>
      </c>
      <c r="H1078" s="4" t="inlineStr">
        <is>
          <t>8.10.2026</t>
        </is>
      </c>
      <c r="I1078" s="4" t="inlineStr">
        <is>
          <t>17:38</t>
        </is>
      </c>
      <c r="J1078" s="8" t="n">
        <v>8</v>
      </c>
      <c r="K1078" s="8" t="n">
        <v>7.5</v>
      </c>
      <c r="L1078" s="8" t="n">
        <v>0.5</v>
      </c>
      <c r="M1078" s="29" t="inlineStr">
        <is>
          <t>GÜVEN TURİZM</t>
        </is>
      </c>
    </row>
    <row r="1079">
      <c r="A1079" s="4" t="n">
        <v>1078</v>
      </c>
      <c r="B1079" s="4" t="inlineStr">
        <is>
          <t>00859</t>
        </is>
      </c>
      <c r="C1079" s="4" t="inlineStr">
        <is>
          <t>00859</t>
        </is>
      </c>
      <c r="D1079" s="29" t="inlineStr">
        <is>
          <t>EMİNE YAVUZ</t>
        </is>
      </c>
      <c r="E1079" s="4" t="inlineStr">
        <is>
          <t>Cuma</t>
        </is>
      </c>
      <c r="F1079" s="4" t="inlineStr">
        <is>
          <t>9.10.2026</t>
        </is>
      </c>
      <c r="G1079" s="4" t="inlineStr">
        <is>
          <t>07:38</t>
        </is>
      </c>
      <c r="H1079" s="4" t="inlineStr">
        <is>
          <t>9.10.2026</t>
        </is>
      </c>
      <c r="I1079" s="4" t="inlineStr">
        <is>
          <t>17:44</t>
        </is>
      </c>
      <c r="J1079" s="8" t="n">
        <v>8</v>
      </c>
      <c r="K1079" s="8" t="n">
        <v>7.5</v>
      </c>
      <c r="L1079" s="8" t="n">
        <v>0.5</v>
      </c>
      <c r="M1079" s="29" t="inlineStr">
        <is>
          <t>GÜVEN TURİZM</t>
        </is>
      </c>
    </row>
    <row r="1080">
      <c r="A1080" s="4" t="n">
        <v>1079</v>
      </c>
      <c r="B1080" s="4" t="inlineStr">
        <is>
          <t>00859</t>
        </is>
      </c>
      <c r="C1080" s="4" t="inlineStr">
        <is>
          <t>00859</t>
        </is>
      </c>
      <c r="D1080" s="29" t="inlineStr">
        <is>
          <t>EMİNE YAVUZ</t>
        </is>
      </c>
      <c r="E1080" s="4" t="inlineStr">
        <is>
          <t>Cumartesi</t>
        </is>
      </c>
      <c r="F1080" s="4" t="inlineStr">
        <is>
          <t>10.10.2026</t>
        </is>
      </c>
      <c r="G1080" s="4" t="inlineStr">
        <is>
          <t>07:40</t>
        </is>
      </c>
      <c r="H1080" s="4" t="inlineStr">
        <is>
          <t>10.10.2026</t>
        </is>
      </c>
      <c r="I1080" s="4" t="inlineStr">
        <is>
          <t>18:13</t>
        </is>
      </c>
      <c r="J1080" s="8" t="n">
        <v>8.5</v>
      </c>
      <c r="K1080" s="8" t="n">
        <v>7.5</v>
      </c>
      <c r="L1080" s="8" t="n">
        <v>1</v>
      </c>
      <c r="M1080" s="29" t="inlineStr">
        <is>
          <t>GÜVEN TURİZM</t>
        </is>
      </c>
    </row>
    <row r="1081">
      <c r="A1081" s="4" t="n">
        <v>1080</v>
      </c>
      <c r="B1081" s="4" t="inlineStr">
        <is>
          <t>00859</t>
        </is>
      </c>
      <c r="C1081" s="4" t="inlineStr">
        <is>
          <t>00859</t>
        </is>
      </c>
      <c r="D1081" s="29" t="inlineStr">
        <is>
          <t>EMİNE YAVUZ</t>
        </is>
      </c>
      <c r="E1081" s="4" t="inlineStr">
        <is>
          <t>Pazartesi</t>
        </is>
      </c>
      <c r="F1081" s="4" t="inlineStr">
        <is>
          <t>12.10.2026</t>
        </is>
      </c>
      <c r="G1081" s="4" t="inlineStr">
        <is>
          <t>07:45</t>
        </is>
      </c>
      <c r="H1081" s="4" t="inlineStr">
        <is>
          <t>12.10.2026</t>
        </is>
      </c>
      <c r="I1081" s="4" t="inlineStr">
        <is>
          <t>17:03</t>
        </is>
      </c>
      <c r="J1081" s="8" t="n">
        <v>7.5</v>
      </c>
      <c r="K1081" s="8" t="n">
        <v>7.5</v>
      </c>
      <c r="L1081" s="8" t="n">
        <v>0</v>
      </c>
      <c r="M1081" s="29" t="inlineStr">
        <is>
          <t>GÜVEN TURİZM</t>
        </is>
      </c>
    </row>
    <row r="1082">
      <c r="A1082" s="4" t="n">
        <v>1081</v>
      </c>
      <c r="B1082" s="4" t="inlineStr">
        <is>
          <t>00859</t>
        </is>
      </c>
      <c r="C1082" s="4" t="inlineStr">
        <is>
          <t>00859</t>
        </is>
      </c>
      <c r="D1082" s="29" t="inlineStr">
        <is>
          <t>EMİNE YAVUZ</t>
        </is>
      </c>
      <c r="E1082" s="4" t="inlineStr">
        <is>
          <t>Salı</t>
        </is>
      </c>
      <c r="F1082" s="4" t="inlineStr">
        <is>
          <t>13.10.2026</t>
        </is>
      </c>
      <c r="G1082" s="4" t="inlineStr">
        <is>
          <t>07:41</t>
        </is>
      </c>
      <c r="H1082" s="4" t="inlineStr">
        <is>
          <t>13.10.2026</t>
        </is>
      </c>
      <c r="I1082" s="4" t="inlineStr">
        <is>
          <t>17:03</t>
        </is>
      </c>
      <c r="J1082" s="8" t="n">
        <v>7.5</v>
      </c>
      <c r="K1082" s="8" t="n">
        <v>7.5</v>
      </c>
      <c r="L1082" s="8" t="n">
        <v>0</v>
      </c>
      <c r="M1082" s="29" t="inlineStr">
        <is>
          <t>GÜVEN TURİZM</t>
        </is>
      </c>
    </row>
    <row r="1083">
      <c r="A1083" s="4" t="n">
        <v>1082</v>
      </c>
      <c r="B1083" s="4" t="inlineStr">
        <is>
          <t>00859</t>
        </is>
      </c>
      <c r="C1083" s="4" t="inlineStr">
        <is>
          <t>00859</t>
        </is>
      </c>
      <c r="D1083" s="29" t="inlineStr">
        <is>
          <t>EMİNE YAVUZ</t>
        </is>
      </c>
      <c r="E1083" s="4" t="inlineStr">
        <is>
          <t>Çarşamba</t>
        </is>
      </c>
      <c r="F1083" s="4" t="inlineStr">
        <is>
          <t>14.10.2026</t>
        </is>
      </c>
      <c r="G1083" s="4" t="inlineStr">
        <is>
          <t>07:47</t>
        </is>
      </c>
      <c r="H1083" s="4" t="inlineStr">
        <is>
          <t>14.10.2026</t>
        </is>
      </c>
      <c r="I1083" s="4" t="inlineStr">
        <is>
          <t>18:07</t>
        </is>
      </c>
      <c r="J1083" s="8" t="n">
        <v>8.5</v>
      </c>
      <c r="K1083" s="8" t="n">
        <v>7.5</v>
      </c>
      <c r="L1083" s="8" t="n">
        <v>1</v>
      </c>
      <c r="M1083" s="29" t="inlineStr">
        <is>
          <t>GÜVEN TURİZM</t>
        </is>
      </c>
    </row>
    <row r="1084">
      <c r="A1084" s="4" t="n">
        <v>1083</v>
      </c>
      <c r="B1084" s="4" t="inlineStr">
        <is>
          <t>00859</t>
        </is>
      </c>
      <c r="C1084" s="4" t="inlineStr">
        <is>
          <t>00859</t>
        </is>
      </c>
      <c r="D1084" s="29" t="inlineStr">
        <is>
          <t>EMİNE YAVUZ</t>
        </is>
      </c>
      <c r="E1084" s="4" t="inlineStr">
        <is>
          <t>Perşembe</t>
        </is>
      </c>
      <c r="F1084" s="4" t="inlineStr">
        <is>
          <t>15.10.2026</t>
        </is>
      </c>
      <c r="G1084" s="4" t="inlineStr">
        <is>
          <t>07:41</t>
        </is>
      </c>
      <c r="H1084" s="4" t="inlineStr">
        <is>
          <t>15.10.2026</t>
        </is>
      </c>
      <c r="I1084" s="4" t="inlineStr">
        <is>
          <t>17:05</t>
        </is>
      </c>
      <c r="J1084" s="8" t="n">
        <v>7.5</v>
      </c>
      <c r="K1084" s="8" t="n">
        <v>7.5</v>
      </c>
      <c r="L1084" s="8" t="n">
        <v>0</v>
      </c>
      <c r="M1084" s="29" t="inlineStr">
        <is>
          <t>GÜVEN TURİZM</t>
        </is>
      </c>
    </row>
    <row r="1085">
      <c r="A1085" s="4" t="n">
        <v>1084</v>
      </c>
      <c r="B1085" s="4" t="inlineStr">
        <is>
          <t>00859</t>
        </is>
      </c>
      <c r="C1085" s="4" t="inlineStr">
        <is>
          <t>00859</t>
        </is>
      </c>
      <c r="D1085" s="29" t="inlineStr">
        <is>
          <t>EMİNE YAVUZ</t>
        </is>
      </c>
      <c r="E1085" s="4" t="inlineStr">
        <is>
          <t>Cuma</t>
        </is>
      </c>
      <c r="F1085" s="4" t="inlineStr">
        <is>
          <t>16.10.2026</t>
        </is>
      </c>
      <c r="G1085" s="4" t="inlineStr">
        <is>
          <t>07:38</t>
        </is>
      </c>
      <c r="H1085" s="4" t="inlineStr">
        <is>
          <t>16.10.2026</t>
        </is>
      </c>
      <c r="I1085" s="4" t="inlineStr">
        <is>
          <t>17:19</t>
        </is>
      </c>
      <c r="J1085" s="8" t="n">
        <v>7.5</v>
      </c>
      <c r="K1085" s="8" t="n">
        <v>7.5</v>
      </c>
      <c r="L1085" s="8" t="n">
        <v>0</v>
      </c>
      <c r="M1085" s="29" t="inlineStr">
        <is>
          <t>GÜVEN TURİZM</t>
        </is>
      </c>
    </row>
    <row r="1086">
      <c r="A1086" s="4" t="n">
        <v>1085</v>
      </c>
      <c r="B1086" s="4" t="inlineStr">
        <is>
          <t>00859</t>
        </is>
      </c>
      <c r="C1086" s="4" t="inlineStr">
        <is>
          <t>00859</t>
        </is>
      </c>
      <c r="D1086" s="29" t="inlineStr">
        <is>
          <t>EMİNE YAVUZ</t>
        </is>
      </c>
      <c r="E1086" s="4" t="inlineStr">
        <is>
          <t>Cumartesi</t>
        </is>
      </c>
      <c r="F1086" s="4" t="inlineStr">
        <is>
          <t>17.10.2026</t>
        </is>
      </c>
      <c r="G1086" s="4" t="inlineStr">
        <is>
          <t>07:41</t>
        </is>
      </c>
      <c r="H1086" s="4" t="inlineStr">
        <is>
          <t>17.10.2026</t>
        </is>
      </c>
      <c r="I1086" s="4" t="inlineStr">
        <is>
          <t>17:53</t>
        </is>
      </c>
      <c r="J1086" s="8" t="n">
        <v>8.5</v>
      </c>
      <c r="K1086" s="8" t="n">
        <v>7.5</v>
      </c>
      <c r="L1086" s="8" t="n">
        <v>1</v>
      </c>
      <c r="M1086" s="29" t="inlineStr">
        <is>
          <t>GÜVEN TURİZM</t>
        </is>
      </c>
    </row>
    <row r="1087">
      <c r="A1087" s="4" t="n">
        <v>1086</v>
      </c>
      <c r="B1087" s="4" t="inlineStr">
        <is>
          <t>00859</t>
        </is>
      </c>
      <c r="C1087" s="4" t="inlineStr">
        <is>
          <t>00859</t>
        </is>
      </c>
      <c r="D1087" s="29" t="inlineStr">
        <is>
          <t>EMİNE YAVUZ</t>
        </is>
      </c>
      <c r="E1087" s="4" t="inlineStr">
        <is>
          <t>Pazartesi</t>
        </is>
      </c>
      <c r="F1087" s="4" t="inlineStr">
        <is>
          <t>19.10.2026</t>
        </is>
      </c>
      <c r="G1087" s="4" t="inlineStr">
        <is>
          <t>07:40</t>
        </is>
      </c>
      <c r="H1087" s="4" t="inlineStr">
        <is>
          <t>19.10.2026</t>
        </is>
      </c>
      <c r="I1087" s="4" t="inlineStr">
        <is>
          <t>17:47</t>
        </is>
      </c>
      <c r="J1087" s="8" t="n">
        <v>8.5</v>
      </c>
      <c r="K1087" s="8" t="n">
        <v>7.5</v>
      </c>
      <c r="L1087" s="8" t="n">
        <v>1</v>
      </c>
      <c r="M1087" s="29" t="inlineStr">
        <is>
          <t>GÜVEN TURİZM</t>
        </is>
      </c>
    </row>
    <row r="1088">
      <c r="A1088" s="4" t="n">
        <v>1087</v>
      </c>
      <c r="B1088" s="4" t="inlineStr">
        <is>
          <t>00859</t>
        </is>
      </c>
      <c r="C1088" s="4" t="inlineStr">
        <is>
          <t>00859</t>
        </is>
      </c>
      <c r="D1088" s="29" t="inlineStr">
        <is>
          <t>EMİNE YAVUZ</t>
        </is>
      </c>
      <c r="E1088" s="4" t="inlineStr">
        <is>
          <t>Salı</t>
        </is>
      </c>
      <c r="F1088" s="4" t="inlineStr">
        <is>
          <t>20.10.2026</t>
        </is>
      </c>
      <c r="G1088" s="4" t="inlineStr">
        <is>
          <t>07:39</t>
        </is>
      </c>
      <c r="H1088" s="4" t="inlineStr">
        <is>
          <t>20.10.2026</t>
        </is>
      </c>
      <c r="I1088" s="4" t="inlineStr">
        <is>
          <t>17:02</t>
        </is>
      </c>
      <c r="J1088" s="8" t="n">
        <v>7.5</v>
      </c>
      <c r="K1088" s="8" t="n">
        <v>7.5</v>
      </c>
      <c r="L1088" s="8" t="n">
        <v>0</v>
      </c>
      <c r="M1088" s="29" t="inlineStr">
        <is>
          <t>GÜVEN TURİZM</t>
        </is>
      </c>
    </row>
    <row r="1089">
      <c r="A1089" s="4" t="n">
        <v>1088</v>
      </c>
      <c r="B1089" s="4" t="inlineStr">
        <is>
          <t>00859</t>
        </is>
      </c>
      <c r="C1089" s="4" t="inlineStr">
        <is>
          <t>00859</t>
        </is>
      </c>
      <c r="D1089" s="29" t="inlineStr">
        <is>
          <t>EMİNE YAVUZ</t>
        </is>
      </c>
      <c r="E1089" s="4" t="inlineStr">
        <is>
          <t>Çarşamba</t>
        </is>
      </c>
      <c r="F1089" s="4" t="inlineStr">
        <is>
          <t>21.10.2026</t>
        </is>
      </c>
      <c r="G1089" s="4" t="inlineStr">
        <is>
          <t>07:47</t>
        </is>
      </c>
      <c r="H1089" s="4" t="inlineStr">
        <is>
          <t>21.10.2026</t>
        </is>
      </c>
      <c r="I1089" s="4" t="inlineStr">
        <is>
          <t>17:03</t>
        </is>
      </c>
      <c r="J1089" s="8" t="n">
        <v>7.5</v>
      </c>
      <c r="K1089" s="8" t="n">
        <v>7.5</v>
      </c>
      <c r="L1089" s="8" t="n">
        <v>0</v>
      </c>
      <c r="M1089" s="29" t="inlineStr">
        <is>
          <t>GÜVEN TURİZM</t>
        </is>
      </c>
    </row>
    <row r="1090">
      <c r="A1090" s="4" t="n">
        <v>1089</v>
      </c>
      <c r="B1090" s="4" t="inlineStr">
        <is>
          <t>01180</t>
        </is>
      </c>
      <c r="C1090" s="4" t="inlineStr">
        <is>
          <t>01180</t>
        </is>
      </c>
      <c r="D1090" s="29" t="inlineStr">
        <is>
          <t>EMİNE ŞENTÜRK CİNGÖZ</t>
        </is>
      </c>
      <c r="E1090" s="4" t="inlineStr">
        <is>
          <t>Perşembe</t>
        </is>
      </c>
      <c r="F1090" s="4" t="inlineStr">
        <is>
          <t>1.10.2026</t>
        </is>
      </c>
      <c r="G1090" s="4" t="inlineStr">
        <is>
          <t>07:36</t>
        </is>
      </c>
      <c r="H1090" s="4" t="inlineStr">
        <is>
          <t>1.10.2026</t>
        </is>
      </c>
      <c r="I1090" s="4" t="inlineStr">
        <is>
          <t>17:33</t>
        </is>
      </c>
      <c r="J1090" s="8" t="n">
        <v>8</v>
      </c>
      <c r="K1090" s="8" t="n">
        <v>7.5</v>
      </c>
      <c r="L1090" s="8" t="n">
        <v>0.5</v>
      </c>
      <c r="M1090" s="29" t="inlineStr">
        <is>
          <t>GÜVEN TURİZM</t>
        </is>
      </c>
    </row>
    <row r="1091">
      <c r="A1091" s="4" t="n">
        <v>1090</v>
      </c>
      <c r="B1091" s="4" t="inlineStr">
        <is>
          <t>01180</t>
        </is>
      </c>
      <c r="C1091" s="4" t="inlineStr">
        <is>
          <t>01180</t>
        </is>
      </c>
      <c r="D1091" s="29" t="inlineStr">
        <is>
          <t>EMİNE ŞENTÜRK CİNGÖZ</t>
        </is>
      </c>
      <c r="E1091" s="4" t="inlineStr">
        <is>
          <t>Cuma</t>
        </is>
      </c>
      <c r="F1091" s="4" t="inlineStr">
        <is>
          <t>2.10.2026</t>
        </is>
      </c>
      <c r="G1091" s="4" t="inlineStr">
        <is>
          <t>07:39</t>
        </is>
      </c>
      <c r="H1091" s="4" t="inlineStr">
        <is>
          <t>2.10.2026</t>
        </is>
      </c>
      <c r="I1091" s="4" t="inlineStr">
        <is>
          <t>17:53</t>
        </is>
      </c>
      <c r="J1091" s="8" t="n">
        <v>8.5</v>
      </c>
      <c r="K1091" s="8" t="n">
        <v>7.5</v>
      </c>
      <c r="L1091" s="8" t="n">
        <v>1</v>
      </c>
      <c r="M1091" s="29" t="inlineStr">
        <is>
          <t>GÜVEN TURİZM</t>
        </is>
      </c>
    </row>
    <row r="1092">
      <c r="A1092" s="4" t="n">
        <v>1091</v>
      </c>
      <c r="B1092" s="4" t="inlineStr">
        <is>
          <t>01180</t>
        </is>
      </c>
      <c r="C1092" s="4" t="inlineStr">
        <is>
          <t>01180</t>
        </is>
      </c>
      <c r="D1092" s="29" t="inlineStr">
        <is>
          <t>EMİNE ŞENTÜRK CİNGÖZ</t>
        </is>
      </c>
      <c r="E1092" s="4" t="inlineStr">
        <is>
          <t>Cumartesi</t>
        </is>
      </c>
      <c r="F1092" s="4" t="inlineStr">
        <is>
          <t>3.10.2026</t>
        </is>
      </c>
      <c r="G1092" s="4" t="inlineStr">
        <is>
          <t>07:36</t>
        </is>
      </c>
      <c r="H1092" s="4" t="inlineStr">
        <is>
          <t>3.10.2026</t>
        </is>
      </c>
      <c r="I1092" s="4" t="inlineStr">
        <is>
          <t>17:42</t>
        </is>
      </c>
      <c r="J1092" s="8" t="n">
        <v>8</v>
      </c>
      <c r="K1092" s="8" t="n">
        <v>7.5</v>
      </c>
      <c r="L1092" s="8" t="n">
        <v>0.5</v>
      </c>
      <c r="M1092" s="29" t="inlineStr">
        <is>
          <t>GÜVEN TURİZM</t>
        </is>
      </c>
    </row>
    <row r="1093">
      <c r="A1093" s="4" t="n">
        <v>1092</v>
      </c>
      <c r="B1093" s="4" t="inlineStr">
        <is>
          <t>01180</t>
        </is>
      </c>
      <c r="C1093" s="4" t="inlineStr">
        <is>
          <t>01180</t>
        </is>
      </c>
      <c r="D1093" s="29" t="inlineStr">
        <is>
          <t>EMİNE ŞENTÜRK CİNGÖZ</t>
        </is>
      </c>
      <c r="E1093" s="4" t="inlineStr">
        <is>
          <t>Perşembe</t>
        </is>
      </c>
      <c r="F1093" s="4" t="inlineStr">
        <is>
          <t>8.10.2026</t>
        </is>
      </c>
      <c r="G1093" s="4" t="inlineStr">
        <is>
          <t>07:36</t>
        </is>
      </c>
      <c r="H1093" s="4" t="inlineStr">
        <is>
          <t>8.10.2026</t>
        </is>
      </c>
      <c r="I1093" s="4" t="inlineStr">
        <is>
          <t>17:39</t>
        </is>
      </c>
      <c r="J1093" s="8" t="n">
        <v>8</v>
      </c>
      <c r="K1093" s="8" t="n">
        <v>7.5</v>
      </c>
      <c r="L1093" s="8" t="n">
        <v>0.5</v>
      </c>
      <c r="M1093" s="29" t="inlineStr">
        <is>
          <t>GÜVEN TURİZM</t>
        </is>
      </c>
    </row>
    <row r="1094">
      <c r="A1094" s="4" t="n">
        <v>1093</v>
      </c>
      <c r="B1094" s="4" t="inlineStr">
        <is>
          <t>01180</t>
        </is>
      </c>
      <c r="C1094" s="4" t="inlineStr">
        <is>
          <t>01180</t>
        </is>
      </c>
      <c r="D1094" s="29" t="inlineStr">
        <is>
          <t>EMİNE ŞENTÜRK CİNGÖZ</t>
        </is>
      </c>
      <c r="E1094" s="4" t="inlineStr">
        <is>
          <t>Cuma</t>
        </is>
      </c>
      <c r="F1094" s="4" t="inlineStr">
        <is>
          <t>9.10.2026</t>
        </is>
      </c>
      <c r="G1094" s="4" t="inlineStr">
        <is>
          <t>07:38</t>
        </is>
      </c>
      <c r="H1094" s="4" t="inlineStr">
        <is>
          <t>9.10.2026</t>
        </is>
      </c>
      <c r="I1094" s="4" t="inlineStr">
        <is>
          <t>17:48</t>
        </is>
      </c>
      <c r="J1094" s="8" t="n">
        <v>8.5</v>
      </c>
      <c r="K1094" s="8" t="n">
        <v>7.5</v>
      </c>
      <c r="L1094" s="8" t="n">
        <v>1</v>
      </c>
      <c r="M1094" s="29" t="inlineStr">
        <is>
          <t>GÜVEN TURİZM</t>
        </is>
      </c>
    </row>
    <row r="1095">
      <c r="A1095" s="4" t="n">
        <v>1094</v>
      </c>
      <c r="B1095" s="4" t="inlineStr">
        <is>
          <t>01180</t>
        </is>
      </c>
      <c r="C1095" s="4" t="inlineStr">
        <is>
          <t>01180</t>
        </is>
      </c>
      <c r="D1095" s="29" t="inlineStr">
        <is>
          <t>EMİNE ŞENTÜRK CİNGÖZ</t>
        </is>
      </c>
      <c r="E1095" s="4" t="inlineStr">
        <is>
          <t>Cumartesi</t>
        </is>
      </c>
      <c r="F1095" s="4" t="inlineStr">
        <is>
          <t>10.10.2026</t>
        </is>
      </c>
      <c r="G1095" s="4" t="inlineStr">
        <is>
          <t>07:40</t>
        </is>
      </c>
      <c r="H1095" s="4" t="inlineStr">
        <is>
          <t>10.10.2026</t>
        </is>
      </c>
      <c r="I1095" s="4" t="inlineStr">
        <is>
          <t>18:15</t>
        </is>
      </c>
      <c r="J1095" s="8" t="n">
        <v>8.5</v>
      </c>
      <c r="K1095" s="8" t="n">
        <v>7.5</v>
      </c>
      <c r="L1095" s="8" t="n">
        <v>1</v>
      </c>
      <c r="M1095" s="29" t="inlineStr">
        <is>
          <t>GÜVEN TURİZM</t>
        </is>
      </c>
    </row>
    <row r="1096">
      <c r="A1096" s="4" t="n">
        <v>1095</v>
      </c>
      <c r="B1096" s="4" t="inlineStr">
        <is>
          <t>01180</t>
        </is>
      </c>
      <c r="C1096" s="4" t="inlineStr">
        <is>
          <t>01180</t>
        </is>
      </c>
      <c r="D1096" s="29" t="inlineStr">
        <is>
          <t>EMİNE ŞENTÜRK CİNGÖZ</t>
        </is>
      </c>
      <c r="E1096" s="4" t="inlineStr">
        <is>
          <t>Pazartesi</t>
        </is>
      </c>
      <c r="F1096" s="4" t="inlineStr">
        <is>
          <t>12.10.2026</t>
        </is>
      </c>
      <c r="G1096" s="4" t="inlineStr">
        <is>
          <t>07:44</t>
        </is>
      </c>
      <c r="H1096" s="4" t="inlineStr">
        <is>
          <t>12.10.2026</t>
        </is>
      </c>
      <c r="I1096" s="4" t="inlineStr">
        <is>
          <t>17:06</t>
        </is>
      </c>
      <c r="J1096" s="8" t="n">
        <v>7.5</v>
      </c>
      <c r="K1096" s="8" t="n">
        <v>7.5</v>
      </c>
      <c r="L1096" s="8" t="n">
        <v>0</v>
      </c>
      <c r="M1096" s="29" t="inlineStr">
        <is>
          <t>GÜVEN TURİZM</t>
        </is>
      </c>
    </row>
    <row r="1097">
      <c r="A1097" s="4" t="n">
        <v>1096</v>
      </c>
      <c r="B1097" s="4" t="inlineStr">
        <is>
          <t>01180</t>
        </is>
      </c>
      <c r="C1097" s="4" t="inlineStr">
        <is>
          <t>01180</t>
        </is>
      </c>
      <c r="D1097" s="29" t="inlineStr">
        <is>
          <t>EMİNE ŞENTÜRK CİNGÖZ</t>
        </is>
      </c>
      <c r="E1097" s="4" t="inlineStr">
        <is>
          <t>Salı</t>
        </is>
      </c>
      <c r="F1097" s="4" t="inlineStr">
        <is>
          <t>13.10.2026</t>
        </is>
      </c>
      <c r="G1097" s="4" t="inlineStr">
        <is>
          <t>07:41</t>
        </is>
      </c>
      <c r="H1097" s="4" t="inlineStr">
        <is>
          <t>13.10.2026</t>
        </is>
      </c>
      <c r="I1097" s="4" t="inlineStr">
        <is>
          <t>17:03</t>
        </is>
      </c>
      <c r="J1097" s="8" t="n">
        <v>7.5</v>
      </c>
      <c r="K1097" s="8" t="n">
        <v>7.5</v>
      </c>
      <c r="L1097" s="8" t="n">
        <v>0</v>
      </c>
      <c r="M1097" s="29" t="inlineStr">
        <is>
          <t>GÜVEN TURİZM</t>
        </is>
      </c>
    </row>
    <row r="1098">
      <c r="A1098" s="4" t="n">
        <v>1097</v>
      </c>
      <c r="B1098" s="4" t="inlineStr">
        <is>
          <t>01180</t>
        </is>
      </c>
      <c r="C1098" s="4" t="inlineStr">
        <is>
          <t>01180</t>
        </is>
      </c>
      <c r="D1098" s="29" t="inlineStr">
        <is>
          <t>EMİNE ŞENTÜRK CİNGÖZ</t>
        </is>
      </c>
      <c r="E1098" s="4" t="inlineStr">
        <is>
          <t>Çarşamba</t>
        </is>
      </c>
      <c r="F1098" s="4" t="inlineStr">
        <is>
          <t>14.10.2026</t>
        </is>
      </c>
      <c r="G1098" s="4" t="inlineStr">
        <is>
          <t>07:44</t>
        </is>
      </c>
      <c r="H1098" s="4" t="inlineStr">
        <is>
          <t>14.10.2026</t>
        </is>
      </c>
      <c r="I1098" s="4" t="inlineStr">
        <is>
          <t>18:08</t>
        </is>
      </c>
      <c r="J1098" s="8" t="n">
        <v>8.5</v>
      </c>
      <c r="K1098" s="8" t="n">
        <v>7.5</v>
      </c>
      <c r="L1098" s="8" t="n">
        <v>1</v>
      </c>
      <c r="M1098" s="29" t="inlineStr">
        <is>
          <t>GÜVEN TURİZM</t>
        </is>
      </c>
    </row>
    <row r="1099">
      <c r="A1099" s="4" t="n">
        <v>1098</v>
      </c>
      <c r="B1099" s="4" t="inlineStr">
        <is>
          <t>01180</t>
        </is>
      </c>
      <c r="C1099" s="4" t="inlineStr">
        <is>
          <t>01180</t>
        </is>
      </c>
      <c r="D1099" s="29" t="inlineStr">
        <is>
          <t>EMİNE ŞENTÜRK CİNGÖZ</t>
        </is>
      </c>
      <c r="E1099" s="4" t="inlineStr">
        <is>
          <t>Perşembe</t>
        </is>
      </c>
      <c r="F1099" s="4" t="inlineStr">
        <is>
          <t>15.10.2026</t>
        </is>
      </c>
      <c r="G1099" s="4" t="inlineStr">
        <is>
          <t>07:41</t>
        </is>
      </c>
      <c r="H1099" s="4" t="inlineStr">
        <is>
          <t>15.10.2026</t>
        </is>
      </c>
      <c r="I1099" s="4" t="inlineStr">
        <is>
          <t>17:05</t>
        </is>
      </c>
      <c r="J1099" s="8" t="n">
        <v>7.5</v>
      </c>
      <c r="K1099" s="8" t="n">
        <v>7.5</v>
      </c>
      <c r="L1099" s="8" t="n">
        <v>0</v>
      </c>
      <c r="M1099" s="29" t="inlineStr">
        <is>
          <t>GÜVEN TURİZM</t>
        </is>
      </c>
    </row>
    <row r="1100">
      <c r="A1100" s="4" t="n">
        <v>1099</v>
      </c>
      <c r="B1100" s="4" t="inlineStr">
        <is>
          <t>01180</t>
        </is>
      </c>
      <c r="C1100" s="4" t="inlineStr">
        <is>
          <t>01180</t>
        </is>
      </c>
      <c r="D1100" s="29" t="inlineStr">
        <is>
          <t>EMİNE ŞENTÜRK CİNGÖZ</t>
        </is>
      </c>
      <c r="E1100" s="4" t="inlineStr">
        <is>
          <t>Cuma</t>
        </is>
      </c>
      <c r="F1100" s="4" t="inlineStr">
        <is>
          <t>16.10.2026</t>
        </is>
      </c>
      <c r="G1100" s="4" t="inlineStr">
        <is>
          <t>07:38</t>
        </is>
      </c>
      <c r="H1100" s="4" t="inlineStr">
        <is>
          <t>16.10.2026</t>
        </is>
      </c>
      <c r="I1100" s="4" t="inlineStr">
        <is>
          <t>17:20</t>
        </is>
      </c>
      <c r="J1100" s="8" t="n">
        <v>7.5</v>
      </c>
      <c r="K1100" s="8" t="n">
        <v>7.5</v>
      </c>
      <c r="L1100" s="8" t="n">
        <v>0</v>
      </c>
      <c r="M1100" s="29" t="inlineStr">
        <is>
          <t>GÜVEN TURİZM</t>
        </is>
      </c>
    </row>
    <row r="1101">
      <c r="A1101" s="4" t="n">
        <v>1100</v>
      </c>
      <c r="B1101" s="4" t="inlineStr">
        <is>
          <t>01180</t>
        </is>
      </c>
      <c r="C1101" s="4" t="inlineStr">
        <is>
          <t>01180</t>
        </is>
      </c>
      <c r="D1101" s="29" t="inlineStr">
        <is>
          <t>EMİNE ŞENTÜRK CİNGÖZ</t>
        </is>
      </c>
      <c r="E1101" s="4" t="inlineStr">
        <is>
          <t>Cumartesi</t>
        </is>
      </c>
      <c r="F1101" s="4" t="inlineStr">
        <is>
          <t>17.10.2026</t>
        </is>
      </c>
      <c r="G1101" s="4" t="inlineStr">
        <is>
          <t>07:38</t>
        </is>
      </c>
      <c r="H1101" s="4" t="inlineStr">
        <is>
          <t>17.10.2026</t>
        </is>
      </c>
      <c r="I1101" s="4" t="inlineStr">
        <is>
          <t>17:54</t>
        </is>
      </c>
      <c r="J1101" s="8" t="n">
        <v>8.5</v>
      </c>
      <c r="K1101" s="8" t="n">
        <v>7.5</v>
      </c>
      <c r="L1101" s="8" t="n">
        <v>1</v>
      </c>
      <c r="M1101" s="29" t="inlineStr">
        <is>
          <t>GÜVEN TURİZM</t>
        </is>
      </c>
    </row>
    <row r="1102">
      <c r="A1102" s="4" t="n">
        <v>1101</v>
      </c>
      <c r="B1102" s="4" t="inlineStr">
        <is>
          <t>01180</t>
        </is>
      </c>
      <c r="C1102" s="4" t="inlineStr">
        <is>
          <t>01180</t>
        </is>
      </c>
      <c r="D1102" s="29" t="inlineStr">
        <is>
          <t>EMİNE ŞENTÜRK CİNGÖZ</t>
        </is>
      </c>
      <c r="E1102" s="4" t="inlineStr">
        <is>
          <t>Salı</t>
        </is>
      </c>
      <c r="F1102" s="4" t="inlineStr">
        <is>
          <t>20.10.2026</t>
        </is>
      </c>
      <c r="G1102" s="4" t="inlineStr">
        <is>
          <t>07:39</t>
        </is>
      </c>
      <c r="H1102" s="4" t="inlineStr">
        <is>
          <t>20.10.2026</t>
        </is>
      </c>
      <c r="I1102" s="4" t="inlineStr">
        <is>
          <t>17:04</t>
        </is>
      </c>
      <c r="J1102" s="8" t="n">
        <v>7.5</v>
      </c>
      <c r="K1102" s="8" t="n">
        <v>7.5</v>
      </c>
      <c r="L1102" s="8" t="n">
        <v>0</v>
      </c>
      <c r="M1102" s="29" t="inlineStr">
        <is>
          <t>GÜVEN TURİZM</t>
        </is>
      </c>
    </row>
    <row r="1103">
      <c r="A1103" s="4" t="n">
        <v>1102</v>
      </c>
      <c r="B1103" s="4" t="inlineStr">
        <is>
          <t>01180</t>
        </is>
      </c>
      <c r="C1103" s="4" t="inlineStr">
        <is>
          <t>01180</t>
        </is>
      </c>
      <c r="D1103" s="29" t="inlineStr">
        <is>
          <t>EMİNE ŞENTÜRK CİNGÖZ</t>
        </is>
      </c>
      <c r="E1103" s="4" t="inlineStr">
        <is>
          <t>Çarşamba</t>
        </is>
      </c>
      <c r="F1103" s="4" t="inlineStr">
        <is>
          <t>21.10.2026</t>
        </is>
      </c>
      <c r="G1103" s="4" t="inlineStr">
        <is>
          <t>07:42</t>
        </is>
      </c>
      <c r="H1103" s="4" t="inlineStr">
        <is>
          <t>21.10.2026</t>
        </is>
      </c>
      <c r="I1103" s="4" t="inlineStr">
        <is>
          <t>17:04</t>
        </is>
      </c>
      <c r="J1103" s="8" t="n">
        <v>7.5</v>
      </c>
      <c r="K1103" s="8" t="n">
        <v>7.5</v>
      </c>
      <c r="L1103" s="8" t="n">
        <v>0</v>
      </c>
      <c r="M1103" s="29" t="inlineStr">
        <is>
          <t>GÜVEN TURİZM</t>
        </is>
      </c>
    </row>
    <row r="1104">
      <c r="A1104" s="4" t="n">
        <v>1103</v>
      </c>
      <c r="B1104" s="4" t="inlineStr">
        <is>
          <t>01300</t>
        </is>
      </c>
      <c r="C1104" s="4" t="inlineStr">
        <is>
          <t>01300</t>
        </is>
      </c>
      <c r="D1104" s="29" t="inlineStr">
        <is>
          <t>EMİNE KARAMAN</t>
        </is>
      </c>
      <c r="E1104" s="4" t="inlineStr">
        <is>
          <t>Perşembe</t>
        </is>
      </c>
      <c r="F1104" s="4" t="inlineStr">
        <is>
          <t>1.10.2026</t>
        </is>
      </c>
      <c r="G1104" s="4" t="inlineStr">
        <is>
          <t>07:57</t>
        </is>
      </c>
      <c r="H1104" s="4" t="inlineStr">
        <is>
          <t>1.10.2026</t>
        </is>
      </c>
      <c r="I1104" s="4" t="inlineStr">
        <is>
          <t>17:30</t>
        </is>
      </c>
      <c r="J1104" s="8" t="n">
        <v>8</v>
      </c>
      <c r="K1104" s="8" t="n">
        <v>7.5</v>
      </c>
      <c r="L1104" s="8" t="n">
        <v>0.5</v>
      </c>
      <c r="M1104" s="29" t="inlineStr">
        <is>
          <t>HALİL DİĞRENCİ</t>
        </is>
      </c>
    </row>
    <row r="1105">
      <c r="A1105" s="4" t="n">
        <v>1104</v>
      </c>
      <c r="B1105" s="4" t="inlineStr">
        <is>
          <t>01300</t>
        </is>
      </c>
      <c r="C1105" s="4" t="inlineStr">
        <is>
          <t>01300</t>
        </is>
      </c>
      <c r="D1105" s="29" t="inlineStr">
        <is>
          <t>EMİNE KARAMAN</t>
        </is>
      </c>
      <c r="E1105" s="4" t="inlineStr">
        <is>
          <t>Cuma</t>
        </is>
      </c>
      <c r="F1105" s="4" t="inlineStr">
        <is>
          <t>2.10.2026</t>
        </is>
      </c>
      <c r="G1105" s="4" t="inlineStr">
        <is>
          <t>08:01</t>
        </is>
      </c>
      <c r="H1105" s="4" t="inlineStr">
        <is>
          <t>2.10.2026</t>
        </is>
      </c>
      <c r="I1105" s="4" t="inlineStr">
        <is>
          <t>17:48</t>
        </is>
      </c>
      <c r="J1105" s="8" t="n">
        <v>8.5</v>
      </c>
      <c r="K1105" s="8" t="n">
        <v>7.5</v>
      </c>
      <c r="L1105" s="8" t="n">
        <v>1</v>
      </c>
      <c r="M1105" s="29" t="inlineStr">
        <is>
          <t>HALİL DİĞRENCİ</t>
        </is>
      </c>
    </row>
    <row r="1106">
      <c r="A1106" s="4" t="n">
        <v>1105</v>
      </c>
      <c r="B1106" s="4" t="inlineStr">
        <is>
          <t>01300</t>
        </is>
      </c>
      <c r="C1106" s="4" t="inlineStr">
        <is>
          <t>01300</t>
        </is>
      </c>
      <c r="D1106" s="29" t="inlineStr">
        <is>
          <t>EMİNE KARAMAN</t>
        </is>
      </c>
      <c r="E1106" s="4" t="inlineStr">
        <is>
          <t>Cumartesi</t>
        </is>
      </c>
      <c r="F1106" s="4" t="inlineStr">
        <is>
          <t>3.10.2026</t>
        </is>
      </c>
      <c r="G1106" s="4" t="inlineStr">
        <is>
          <t>08:02</t>
        </is>
      </c>
      <c r="H1106" s="4" t="inlineStr">
        <is>
          <t>3.10.2026</t>
        </is>
      </c>
      <c r="I1106" s="4" t="inlineStr">
        <is>
          <t>17:39</t>
        </is>
      </c>
      <c r="J1106" s="8" t="n">
        <v>8</v>
      </c>
      <c r="K1106" s="8" t="n">
        <v>7.5</v>
      </c>
      <c r="L1106" s="8" t="n">
        <v>0.5</v>
      </c>
      <c r="M1106" s="29" t="inlineStr">
        <is>
          <t>HALİL DİĞRENCİ</t>
        </is>
      </c>
    </row>
    <row r="1107">
      <c r="A1107" s="4" t="n">
        <v>1106</v>
      </c>
      <c r="B1107" s="4" t="inlineStr">
        <is>
          <t>01300</t>
        </is>
      </c>
      <c r="C1107" s="4" t="inlineStr">
        <is>
          <t>01300</t>
        </is>
      </c>
      <c r="D1107" s="29" t="inlineStr">
        <is>
          <t>EMİNE KARAMAN</t>
        </is>
      </c>
      <c r="E1107" s="4" t="inlineStr">
        <is>
          <t>Çarşamba</t>
        </is>
      </c>
      <c r="F1107" s="4" t="inlineStr">
        <is>
          <t>7.10.2026</t>
        </is>
      </c>
      <c r="G1107" s="4" t="inlineStr">
        <is>
          <t>07:34</t>
        </is>
      </c>
      <c r="H1107" s="4" t="inlineStr">
        <is>
          <t>7.10.2026</t>
        </is>
      </c>
      <c r="I1107" s="4" t="inlineStr">
        <is>
          <t>17:25</t>
        </is>
      </c>
      <c r="J1107" s="8" t="n">
        <v>8</v>
      </c>
      <c r="K1107" s="8" t="n">
        <v>7.5</v>
      </c>
      <c r="L1107" s="8" t="n">
        <v>0.5</v>
      </c>
      <c r="M1107" s="29" t="inlineStr">
        <is>
          <t>HALİL DİĞRENCİ</t>
        </is>
      </c>
    </row>
    <row r="1108">
      <c r="A1108" s="4" t="n">
        <v>1107</v>
      </c>
      <c r="B1108" s="4" t="inlineStr">
        <is>
          <t>01300</t>
        </is>
      </c>
      <c r="C1108" s="4" t="inlineStr">
        <is>
          <t>01300</t>
        </is>
      </c>
      <c r="D1108" s="29" t="inlineStr">
        <is>
          <t>EMİNE KARAMAN</t>
        </is>
      </c>
      <c r="E1108" s="4" t="inlineStr">
        <is>
          <t>Perşembe</t>
        </is>
      </c>
      <c r="F1108" s="4" t="inlineStr">
        <is>
          <t>8.10.2026</t>
        </is>
      </c>
      <c r="G1108" s="4" t="inlineStr">
        <is>
          <t>07:33</t>
        </is>
      </c>
      <c r="H1108" s="4" t="inlineStr">
        <is>
          <t>8.10.2026</t>
        </is>
      </c>
      <c r="I1108" s="4" t="inlineStr">
        <is>
          <t>17:38</t>
        </is>
      </c>
      <c r="J1108" s="8" t="n">
        <v>8</v>
      </c>
      <c r="K1108" s="8" t="n">
        <v>7.5</v>
      </c>
      <c r="L1108" s="8" t="n">
        <v>0.5</v>
      </c>
      <c r="M1108" s="29" t="inlineStr">
        <is>
          <t>HALİL DİĞRENCİ</t>
        </is>
      </c>
    </row>
    <row r="1109">
      <c r="A1109" s="4" t="n">
        <v>1108</v>
      </c>
      <c r="B1109" s="4" t="inlineStr">
        <is>
          <t>01300</t>
        </is>
      </c>
      <c r="C1109" s="4" t="inlineStr">
        <is>
          <t>01300</t>
        </is>
      </c>
      <c r="D1109" s="29" t="inlineStr">
        <is>
          <t>EMİNE KARAMAN</t>
        </is>
      </c>
      <c r="E1109" s="4" t="inlineStr">
        <is>
          <t>Cuma</t>
        </is>
      </c>
      <c r="F1109" s="4" t="inlineStr">
        <is>
          <t>9.10.2026</t>
        </is>
      </c>
      <c r="G1109" s="4" t="inlineStr">
        <is>
          <t>07:29</t>
        </is>
      </c>
      <c r="H1109" s="4" t="inlineStr">
        <is>
          <t>9.10.2026</t>
        </is>
      </c>
      <c r="I1109" s="4" t="inlineStr">
        <is>
          <t>17:47</t>
        </is>
      </c>
      <c r="J1109" s="8" t="n">
        <v>8.5</v>
      </c>
      <c r="K1109" s="8" t="n">
        <v>7.5</v>
      </c>
      <c r="L1109" s="8" t="n">
        <v>1</v>
      </c>
      <c r="M1109" s="29" t="inlineStr">
        <is>
          <t>HALİL DİĞRENCİ</t>
        </is>
      </c>
    </row>
    <row r="1110">
      <c r="A1110" s="4" t="n">
        <v>1109</v>
      </c>
      <c r="B1110" s="4" t="inlineStr">
        <is>
          <t>01300</t>
        </is>
      </c>
      <c r="C1110" s="4" t="inlineStr">
        <is>
          <t>01300</t>
        </is>
      </c>
      <c r="D1110" s="29" t="inlineStr">
        <is>
          <t>EMİNE KARAMAN</t>
        </is>
      </c>
      <c r="E1110" s="4" t="inlineStr">
        <is>
          <t>Pazartesi</t>
        </is>
      </c>
      <c r="F1110" s="4" t="inlineStr">
        <is>
          <t>12.10.2026</t>
        </is>
      </c>
      <c r="G1110" s="4" t="inlineStr">
        <is>
          <t>07:41</t>
        </is>
      </c>
      <c r="H1110" s="4" t="inlineStr">
        <is>
          <t>12.10.2026</t>
        </is>
      </c>
      <c r="I1110" s="4" t="inlineStr">
        <is>
          <t>17:03</t>
        </is>
      </c>
      <c r="J1110" s="8" t="n">
        <v>7.5</v>
      </c>
      <c r="K1110" s="8" t="n">
        <v>7.5</v>
      </c>
      <c r="L1110" s="8" t="n">
        <v>0</v>
      </c>
      <c r="M1110" s="29" t="inlineStr">
        <is>
          <t>HALİL DİĞRENCİ</t>
        </is>
      </c>
    </row>
    <row r="1111">
      <c r="A1111" s="4" t="n">
        <v>1110</v>
      </c>
      <c r="B1111" s="4" t="inlineStr">
        <is>
          <t>01300</t>
        </is>
      </c>
      <c r="C1111" s="4" t="inlineStr">
        <is>
          <t>01300</t>
        </is>
      </c>
      <c r="D1111" s="29" t="inlineStr">
        <is>
          <t>EMİNE KARAMAN</t>
        </is>
      </c>
      <c r="E1111" s="4" t="inlineStr">
        <is>
          <t>Salı</t>
        </is>
      </c>
      <c r="F1111" s="4" t="inlineStr">
        <is>
          <t>13.10.2026</t>
        </is>
      </c>
      <c r="G1111" s="4" t="inlineStr">
        <is>
          <t>07:37</t>
        </is>
      </c>
      <c r="H1111" s="4" t="inlineStr">
        <is>
          <t>13.10.2026</t>
        </is>
      </c>
      <c r="I1111" s="4" t="inlineStr">
        <is>
          <t>17:02</t>
        </is>
      </c>
      <c r="J1111" s="8" t="n">
        <v>7.5</v>
      </c>
      <c r="K1111" s="8" t="n">
        <v>7.5</v>
      </c>
      <c r="L1111" s="8" t="n">
        <v>0</v>
      </c>
      <c r="M1111" s="29" t="inlineStr">
        <is>
          <t>HALİL DİĞRENCİ</t>
        </is>
      </c>
    </row>
    <row r="1112">
      <c r="A1112" s="4" t="n">
        <v>1111</v>
      </c>
      <c r="B1112" s="4" t="inlineStr">
        <is>
          <t>01300</t>
        </is>
      </c>
      <c r="C1112" s="4" t="inlineStr">
        <is>
          <t>01300</t>
        </is>
      </c>
      <c r="D1112" s="29" t="inlineStr">
        <is>
          <t>EMİNE KARAMAN</t>
        </is>
      </c>
      <c r="E1112" s="4" t="inlineStr">
        <is>
          <t>Çarşamba</t>
        </is>
      </c>
      <c r="F1112" s="4" t="inlineStr">
        <is>
          <t>14.10.2026</t>
        </is>
      </c>
      <c r="G1112" s="4" t="inlineStr">
        <is>
          <t>07:35</t>
        </is>
      </c>
      <c r="H1112" s="4" t="inlineStr">
        <is>
          <t>14.10.2026</t>
        </is>
      </c>
      <c r="I1112" s="4" t="inlineStr">
        <is>
          <t>18:07</t>
        </is>
      </c>
      <c r="J1112" s="8" t="n">
        <v>8.5</v>
      </c>
      <c r="K1112" s="8" t="n">
        <v>7.5</v>
      </c>
      <c r="L1112" s="8" t="n">
        <v>1</v>
      </c>
      <c r="M1112" s="29" t="inlineStr">
        <is>
          <t>HALİL DİĞRENCİ</t>
        </is>
      </c>
    </row>
    <row r="1113">
      <c r="A1113" s="4" t="n">
        <v>1112</v>
      </c>
      <c r="B1113" s="4" t="inlineStr">
        <is>
          <t>01300</t>
        </is>
      </c>
      <c r="C1113" s="4" t="inlineStr">
        <is>
          <t>01300</t>
        </is>
      </c>
      <c r="D1113" s="29" t="inlineStr">
        <is>
          <t>EMİNE KARAMAN</t>
        </is>
      </c>
      <c r="E1113" s="4" t="inlineStr">
        <is>
          <t>Perşembe</t>
        </is>
      </c>
      <c r="F1113" s="4" t="inlineStr">
        <is>
          <t>15.10.2026</t>
        </is>
      </c>
      <c r="G1113" s="4" t="inlineStr">
        <is>
          <t>07:38</t>
        </is>
      </c>
      <c r="H1113" s="4" t="inlineStr">
        <is>
          <t>15.10.2026</t>
        </is>
      </c>
      <c r="I1113" s="4" t="inlineStr">
        <is>
          <t>17:03</t>
        </is>
      </c>
      <c r="J1113" s="8" t="n">
        <v>7.5</v>
      </c>
      <c r="K1113" s="8" t="n">
        <v>7.5</v>
      </c>
      <c r="L1113" s="8" t="n">
        <v>0</v>
      </c>
      <c r="M1113" s="29" t="inlineStr">
        <is>
          <t>HALİL DİĞRENCİ</t>
        </is>
      </c>
    </row>
    <row r="1114">
      <c r="A1114" s="4" t="n">
        <v>1113</v>
      </c>
      <c r="B1114" s="4" t="inlineStr">
        <is>
          <t>01300</t>
        </is>
      </c>
      <c r="C1114" s="4" t="inlineStr">
        <is>
          <t>01300</t>
        </is>
      </c>
      <c r="D1114" s="29" t="inlineStr">
        <is>
          <t>EMİNE KARAMAN</t>
        </is>
      </c>
      <c r="E1114" s="4" t="inlineStr">
        <is>
          <t>Cuma</t>
        </is>
      </c>
      <c r="F1114" s="4" t="inlineStr">
        <is>
          <t>16.10.2026</t>
        </is>
      </c>
      <c r="G1114" s="4" t="inlineStr">
        <is>
          <t>07:57</t>
        </is>
      </c>
      <c r="H1114" s="4" t="inlineStr">
        <is>
          <t>16.10.2026</t>
        </is>
      </c>
      <c r="I1114" s="4" t="inlineStr">
        <is>
          <t>17:17</t>
        </is>
      </c>
      <c r="J1114" s="8" t="n">
        <v>7.5</v>
      </c>
      <c r="K1114" s="8" t="n">
        <v>7.5</v>
      </c>
      <c r="L1114" s="8" t="n">
        <v>0</v>
      </c>
      <c r="M1114" s="29" t="inlineStr">
        <is>
          <t>HALİL DİĞRENCİ</t>
        </is>
      </c>
    </row>
    <row r="1115">
      <c r="A1115" s="4" t="n">
        <v>1114</v>
      </c>
      <c r="B1115" s="4" t="inlineStr">
        <is>
          <t>01300</t>
        </is>
      </c>
      <c r="C1115" s="4" t="inlineStr">
        <is>
          <t>01300</t>
        </is>
      </c>
      <c r="D1115" s="29" t="inlineStr">
        <is>
          <t>EMİNE KARAMAN</t>
        </is>
      </c>
      <c r="E1115" s="4" t="inlineStr">
        <is>
          <t>Cumartesi</t>
        </is>
      </c>
      <c r="F1115" s="4" t="inlineStr">
        <is>
          <t>17.10.2026</t>
        </is>
      </c>
      <c r="G1115" s="4" t="inlineStr">
        <is>
          <t>07:56</t>
        </is>
      </c>
      <c r="H1115" s="4" t="inlineStr">
        <is>
          <t>17.10.2026</t>
        </is>
      </c>
      <c r="I1115" s="4" t="inlineStr">
        <is>
          <t>17:53</t>
        </is>
      </c>
      <c r="J1115" s="8" t="n">
        <v>8.5</v>
      </c>
      <c r="K1115" s="8" t="n">
        <v>7.5</v>
      </c>
      <c r="L1115" s="8" t="n">
        <v>1</v>
      </c>
      <c r="M1115" s="29" t="inlineStr">
        <is>
          <t>HALİL DİĞRENCİ</t>
        </is>
      </c>
    </row>
    <row r="1116">
      <c r="A1116" s="4" t="n">
        <v>1115</v>
      </c>
      <c r="B1116" s="4" t="inlineStr">
        <is>
          <t>01300</t>
        </is>
      </c>
      <c r="C1116" s="4" t="inlineStr">
        <is>
          <t>01300</t>
        </is>
      </c>
      <c r="D1116" s="29" t="inlineStr">
        <is>
          <t>EMİNE KARAMAN</t>
        </is>
      </c>
      <c r="E1116" s="4" t="inlineStr">
        <is>
          <t>Pazartesi</t>
        </is>
      </c>
      <c r="F1116" s="4" t="inlineStr">
        <is>
          <t>19.10.2026</t>
        </is>
      </c>
      <c r="G1116" s="4" t="inlineStr">
        <is>
          <t>07:36</t>
        </is>
      </c>
      <c r="H1116" s="4" t="inlineStr">
        <is>
          <t>19.10.2026</t>
        </is>
      </c>
      <c r="I1116" s="4" t="inlineStr">
        <is>
          <t>17:48</t>
        </is>
      </c>
      <c r="J1116" s="8" t="n">
        <v>8.5</v>
      </c>
      <c r="K1116" s="8" t="n">
        <v>7.5</v>
      </c>
      <c r="L1116" s="8" t="n">
        <v>1</v>
      </c>
      <c r="M1116" s="29" t="inlineStr">
        <is>
          <t>HALİL DİĞRENCİ</t>
        </is>
      </c>
    </row>
    <row r="1117">
      <c r="A1117" s="4" t="n">
        <v>1116</v>
      </c>
      <c r="B1117" s="4" t="inlineStr">
        <is>
          <t>01300</t>
        </is>
      </c>
      <c r="C1117" s="4" t="inlineStr">
        <is>
          <t>01300</t>
        </is>
      </c>
      <c r="D1117" s="29" t="inlineStr">
        <is>
          <t>EMİNE KARAMAN</t>
        </is>
      </c>
      <c r="E1117" s="4" t="inlineStr">
        <is>
          <t>Salı</t>
        </is>
      </c>
      <c r="F1117" s="4" t="inlineStr">
        <is>
          <t>20.10.2026</t>
        </is>
      </c>
      <c r="G1117" s="4" t="inlineStr">
        <is>
          <t>07:31</t>
        </is>
      </c>
      <c r="H1117" s="4" t="inlineStr">
        <is>
          <t>20.10.2026</t>
        </is>
      </c>
      <c r="I1117" s="4" t="inlineStr">
        <is>
          <t>17:01</t>
        </is>
      </c>
      <c r="J1117" s="8" t="n">
        <v>7.5</v>
      </c>
      <c r="K1117" s="8" t="n">
        <v>7.5</v>
      </c>
      <c r="L1117" s="8" t="n">
        <v>0</v>
      </c>
      <c r="M1117" s="29" t="inlineStr">
        <is>
          <t>HALİL DİĞRENCİ</t>
        </is>
      </c>
    </row>
    <row r="1118">
      <c r="A1118" s="4" t="n">
        <v>1117</v>
      </c>
      <c r="B1118" s="4" t="inlineStr">
        <is>
          <t>01300</t>
        </is>
      </c>
      <c r="C1118" s="4" t="inlineStr">
        <is>
          <t>01300</t>
        </is>
      </c>
      <c r="D1118" s="29" t="inlineStr">
        <is>
          <t>EMİNE KARAMAN</t>
        </is>
      </c>
      <c r="E1118" s="4" t="inlineStr">
        <is>
          <t>Çarşamba</t>
        </is>
      </c>
      <c r="F1118" s="4" t="inlineStr">
        <is>
          <t>21.10.2026</t>
        </is>
      </c>
      <c r="G1118" s="4" t="inlineStr">
        <is>
          <t>07:43</t>
        </is>
      </c>
      <c r="H1118" s="4" t="inlineStr">
        <is>
          <t>21.10.2026</t>
        </is>
      </c>
      <c r="I1118" s="4" t="inlineStr">
        <is>
          <t>17:04</t>
        </is>
      </c>
      <c r="J1118" s="8" t="n">
        <v>7.5</v>
      </c>
      <c r="K1118" s="8" t="n">
        <v>7.5</v>
      </c>
      <c r="L1118" s="8" t="n">
        <v>0</v>
      </c>
      <c r="M1118" s="29" t="inlineStr">
        <is>
          <t>HALİL DİĞRENCİ</t>
        </is>
      </c>
    </row>
    <row r="1119">
      <c r="A1119" s="4" t="n">
        <v>1118</v>
      </c>
      <c r="B1119" s="4" t="inlineStr">
        <is>
          <t>01377</t>
        </is>
      </c>
      <c r="C1119" s="4" t="inlineStr">
        <is>
          <t>01377</t>
        </is>
      </c>
      <c r="D1119" s="29" t="inlineStr">
        <is>
          <t>EMİRCAN DURMAN</t>
        </is>
      </c>
      <c r="E1119" s="4" t="inlineStr">
        <is>
          <t>Perşembe</t>
        </is>
      </c>
      <c r="F1119" s="4" t="inlineStr">
        <is>
          <t>1.10.2026</t>
        </is>
      </c>
      <c r="G1119" s="4" t="inlineStr">
        <is>
          <t>08:12</t>
        </is>
      </c>
      <c r="H1119" s="4" t="inlineStr">
        <is>
          <t>1.10.2026</t>
        </is>
      </c>
      <c r="I1119" s="4" t="inlineStr">
        <is>
          <t>20:10</t>
        </is>
      </c>
      <c r="J1119" s="8" t="n">
        <v>10.5</v>
      </c>
      <c r="K1119" s="8" t="n">
        <v>7.5</v>
      </c>
      <c r="L1119" s="8" t="n">
        <v>3</v>
      </c>
      <c r="M1119" s="29" t="inlineStr">
        <is>
          <t>HALİL DİĞRENCİ</t>
        </is>
      </c>
    </row>
    <row r="1120">
      <c r="A1120" s="4" t="n">
        <v>1119</v>
      </c>
      <c r="B1120" s="4" t="inlineStr">
        <is>
          <t>01377</t>
        </is>
      </c>
      <c r="C1120" s="4" t="inlineStr">
        <is>
          <t>01377</t>
        </is>
      </c>
      <c r="D1120" s="29" t="inlineStr">
        <is>
          <t>EMİRCAN DURMAN</t>
        </is>
      </c>
      <c r="E1120" s="4" t="inlineStr">
        <is>
          <t>Cumartesi</t>
        </is>
      </c>
      <c r="F1120" s="4" t="inlineStr">
        <is>
          <t>3.10.2026</t>
        </is>
      </c>
      <c r="G1120" s="4" t="inlineStr">
        <is>
          <t>08:06</t>
        </is>
      </c>
      <c r="H1120" s="4" t="inlineStr">
        <is>
          <t>3.10.2026</t>
        </is>
      </c>
      <c r="I1120" s="4" t="inlineStr">
        <is>
          <t>17:32</t>
        </is>
      </c>
      <c r="J1120" s="8" t="n">
        <v>8</v>
      </c>
      <c r="K1120" s="8" t="n">
        <v>7.5</v>
      </c>
      <c r="L1120" s="8" t="n">
        <v>0.5</v>
      </c>
      <c r="M1120" s="29" t="inlineStr">
        <is>
          <t>HALİL DİĞRENCİ</t>
        </is>
      </c>
    </row>
    <row r="1121">
      <c r="A1121" s="4" t="n">
        <v>1120</v>
      </c>
      <c r="B1121" s="4" t="inlineStr">
        <is>
          <t>01377</t>
        </is>
      </c>
      <c r="C1121" s="4" t="inlineStr">
        <is>
          <t>01377</t>
        </is>
      </c>
      <c r="D1121" s="29" t="inlineStr">
        <is>
          <t>EMİRCAN DURMAN</t>
        </is>
      </c>
      <c r="E1121" s="4" t="inlineStr">
        <is>
          <t>Cuma</t>
        </is>
      </c>
      <c r="F1121" s="4" t="inlineStr">
        <is>
          <t>9.10.2026</t>
        </is>
      </c>
      <c r="G1121" s="4" t="inlineStr">
        <is>
          <t>07:56</t>
        </is>
      </c>
      <c r="H1121" s="4" t="inlineStr">
        <is>
          <t>9.10.2026</t>
        </is>
      </c>
      <c r="I1121" s="4" t="inlineStr">
        <is>
          <t>20:06</t>
        </is>
      </c>
      <c r="J1121" s="8" t="n">
        <v>10.5</v>
      </c>
      <c r="K1121" s="8" t="n">
        <v>7.5</v>
      </c>
      <c r="L1121" s="8" t="n">
        <v>3</v>
      </c>
      <c r="M1121" s="29" t="inlineStr">
        <is>
          <t>HALİL DİĞRENCİ</t>
        </is>
      </c>
    </row>
    <row r="1122">
      <c r="A1122" s="4" t="n">
        <v>1121</v>
      </c>
      <c r="B1122" s="4" t="inlineStr">
        <is>
          <t>01377</t>
        </is>
      </c>
      <c r="C1122" s="4" t="inlineStr">
        <is>
          <t>01377</t>
        </is>
      </c>
      <c r="D1122" s="29" t="inlineStr">
        <is>
          <t>EMİRCAN DURMAN</t>
        </is>
      </c>
      <c r="E1122" s="4" t="inlineStr">
        <is>
          <t>Cumartesi</t>
        </is>
      </c>
      <c r="F1122" s="4" t="inlineStr">
        <is>
          <t>10.10.2026</t>
        </is>
      </c>
      <c r="G1122" s="4" t="inlineStr">
        <is>
          <t>08:01</t>
        </is>
      </c>
      <c r="H1122" s="4" t="inlineStr">
        <is>
          <t>10.10.2026</t>
        </is>
      </c>
      <c r="I1122" s="4" t="inlineStr">
        <is>
          <t>19:58</t>
        </is>
      </c>
      <c r="J1122" s="8" t="n">
        <v>10.5</v>
      </c>
      <c r="K1122" s="8" t="n">
        <v>7.5</v>
      </c>
      <c r="L1122" s="8" t="n">
        <v>3</v>
      </c>
      <c r="M1122" s="29" t="inlineStr">
        <is>
          <t>HALİL DİĞRENCİ</t>
        </is>
      </c>
    </row>
    <row r="1123">
      <c r="A1123" s="4" t="n">
        <v>1122</v>
      </c>
      <c r="B1123" s="4" t="inlineStr">
        <is>
          <t>01377</t>
        </is>
      </c>
      <c r="C1123" s="4" t="inlineStr">
        <is>
          <t>01377</t>
        </is>
      </c>
      <c r="D1123" s="29" t="inlineStr">
        <is>
          <t>EMİRCAN DURMAN</t>
        </is>
      </c>
      <c r="E1123" s="4" t="inlineStr">
        <is>
          <t>Salı</t>
        </is>
      </c>
      <c r="F1123" s="4" t="inlineStr">
        <is>
          <t>13.10.2026</t>
        </is>
      </c>
      <c r="G1123" s="4" t="inlineStr">
        <is>
          <t>07:59</t>
        </is>
      </c>
      <c r="H1123" s="4" t="inlineStr">
        <is>
          <t>13.10.2026</t>
        </is>
      </c>
      <c r="I1123" s="4" t="inlineStr">
        <is>
          <t>19:59</t>
        </is>
      </c>
      <c r="J1123" s="8" t="n">
        <v>10.5</v>
      </c>
      <c r="K1123" s="8" t="n">
        <v>7.5</v>
      </c>
      <c r="L1123" s="8" t="n">
        <v>3</v>
      </c>
      <c r="M1123" s="29" t="inlineStr">
        <is>
          <t>HALİL DİĞRENCİ</t>
        </is>
      </c>
    </row>
    <row r="1124">
      <c r="A1124" s="4" t="n">
        <v>1123</v>
      </c>
      <c r="B1124" s="4" t="inlineStr">
        <is>
          <t>01377</t>
        </is>
      </c>
      <c r="C1124" s="4" t="inlineStr">
        <is>
          <t>01377</t>
        </is>
      </c>
      <c r="D1124" s="29" t="inlineStr">
        <is>
          <t>EMİRCAN DURMAN</t>
        </is>
      </c>
      <c r="E1124" s="4" t="inlineStr">
        <is>
          <t>Çarşamba</t>
        </is>
      </c>
      <c r="F1124" s="4" t="inlineStr">
        <is>
          <t>14.10.2026</t>
        </is>
      </c>
      <c r="G1124" s="4" t="inlineStr">
        <is>
          <t>08:02</t>
        </is>
      </c>
      <c r="H1124" s="4" t="inlineStr">
        <is>
          <t>14.10.2026</t>
        </is>
      </c>
      <c r="I1124" s="4" t="inlineStr">
        <is>
          <t>20:08</t>
        </is>
      </c>
      <c r="J1124" s="8" t="n">
        <v>10.5</v>
      </c>
      <c r="K1124" s="8" t="n">
        <v>7.5</v>
      </c>
      <c r="L1124" s="8" t="n">
        <v>3</v>
      </c>
      <c r="M1124" s="29" t="inlineStr">
        <is>
          <t>HALİL DİĞRENCİ</t>
        </is>
      </c>
    </row>
    <row r="1125">
      <c r="A1125" s="4" t="n">
        <v>1124</v>
      </c>
      <c r="B1125" s="4" t="inlineStr">
        <is>
          <t>01377</t>
        </is>
      </c>
      <c r="C1125" s="4" t="inlineStr">
        <is>
          <t>01377</t>
        </is>
      </c>
      <c r="D1125" s="29" t="inlineStr">
        <is>
          <t>EMİRCAN DURMAN</t>
        </is>
      </c>
      <c r="E1125" s="4" t="inlineStr">
        <is>
          <t>Pazartesi</t>
        </is>
      </c>
      <c r="F1125" s="4" t="inlineStr">
        <is>
          <t>19.10.2026</t>
        </is>
      </c>
      <c r="G1125" s="4" t="inlineStr">
        <is>
          <t>08:05</t>
        </is>
      </c>
      <c r="H1125" s="4" t="inlineStr">
        <is>
          <t>19.10.2026</t>
        </is>
      </c>
      <c r="I1125" s="4" t="inlineStr">
        <is>
          <t>20:00</t>
        </is>
      </c>
      <c r="J1125" s="8" t="n">
        <v>10.5</v>
      </c>
      <c r="K1125" s="8" t="n">
        <v>7.5</v>
      </c>
      <c r="L1125" s="8" t="n">
        <v>3</v>
      </c>
      <c r="M1125" s="29" t="inlineStr">
        <is>
          <t>HALİL DİĞRENCİ</t>
        </is>
      </c>
    </row>
    <row r="1126">
      <c r="A1126" s="4" t="n">
        <v>1125</v>
      </c>
      <c r="B1126" s="4" t="inlineStr">
        <is>
          <t>01377</t>
        </is>
      </c>
      <c r="C1126" s="4" t="inlineStr">
        <is>
          <t>01377</t>
        </is>
      </c>
      <c r="D1126" s="29" t="inlineStr">
        <is>
          <t>EMİRCAN DURMAN</t>
        </is>
      </c>
      <c r="E1126" s="4" t="inlineStr">
        <is>
          <t>Çarşamba</t>
        </is>
      </c>
      <c r="F1126" s="4" t="inlineStr">
        <is>
          <t>21.10.2026</t>
        </is>
      </c>
      <c r="G1126" s="4" t="inlineStr">
        <is>
          <t>07:57</t>
        </is>
      </c>
      <c r="H1126" s="4" t="inlineStr">
        <is>
          <t>21.10.2026</t>
        </is>
      </c>
      <c r="I1126" s="4" t="inlineStr">
        <is>
          <t>16:59</t>
        </is>
      </c>
      <c r="J1126" s="8" t="n">
        <v>7.5</v>
      </c>
      <c r="K1126" s="8" t="n">
        <v>7.5</v>
      </c>
      <c r="L1126" s="8" t="n">
        <v>0</v>
      </c>
      <c r="M1126" s="29" t="inlineStr">
        <is>
          <t>HALİL DİĞRENCİ</t>
        </is>
      </c>
    </row>
    <row r="1127">
      <c r="A1127" s="4" t="n">
        <v>1126</v>
      </c>
      <c r="B1127" s="4" t="inlineStr">
        <is>
          <t>00046</t>
        </is>
      </c>
      <c r="C1127" s="4" t="inlineStr">
        <is>
          <t>00046</t>
        </is>
      </c>
      <c r="D1127" s="29" t="inlineStr">
        <is>
          <t>EMİRHAN MUTLU</t>
        </is>
      </c>
      <c r="E1127" s="4" t="inlineStr">
        <is>
          <t>Perşembe</t>
        </is>
      </c>
      <c r="F1127" s="4" t="inlineStr">
        <is>
          <t>1.10.2026</t>
        </is>
      </c>
      <c r="G1127" s="4" t="inlineStr">
        <is>
          <t>07:47</t>
        </is>
      </c>
      <c r="H1127" s="4" t="inlineStr">
        <is>
          <t>1.10.2026</t>
        </is>
      </c>
      <c r="I1127" s="4" t="inlineStr">
        <is>
          <t>19:49</t>
        </is>
      </c>
      <c r="J1127" s="8" t="n">
        <v>10.5</v>
      </c>
      <c r="K1127" s="8" t="n">
        <v>7.5</v>
      </c>
      <c r="L1127" s="8" t="n">
        <v>3</v>
      </c>
      <c r="M1127" s="29" t="inlineStr">
        <is>
          <t>GÖBEL</t>
        </is>
      </c>
    </row>
    <row r="1128">
      <c r="A1128" s="4" t="n">
        <v>1127</v>
      </c>
      <c r="B1128" s="4" t="inlineStr">
        <is>
          <t>00046</t>
        </is>
      </c>
      <c r="C1128" s="4" t="inlineStr">
        <is>
          <t>00046</t>
        </is>
      </c>
      <c r="D1128" s="29" t="inlineStr">
        <is>
          <t>EMİRHAN MUTLU</t>
        </is>
      </c>
      <c r="E1128" s="4" t="inlineStr">
        <is>
          <t>Cuma</t>
        </is>
      </c>
      <c r="F1128" s="4" t="inlineStr">
        <is>
          <t>2.10.2026</t>
        </is>
      </c>
      <c r="G1128" s="4" t="inlineStr">
        <is>
          <t>07:40</t>
        </is>
      </c>
      <c r="H1128" s="4" t="inlineStr">
        <is>
          <t>2.10.2026</t>
        </is>
      </c>
      <c r="I1128" s="4" t="inlineStr">
        <is>
          <t>17:43</t>
        </is>
      </c>
      <c r="J1128" s="8" t="n">
        <v>8</v>
      </c>
      <c r="K1128" s="8" t="n">
        <v>7.5</v>
      </c>
      <c r="L1128" s="8" t="n">
        <v>0.5</v>
      </c>
      <c r="M1128" s="29" t="inlineStr">
        <is>
          <t>GÖBEL</t>
        </is>
      </c>
    </row>
    <row r="1129">
      <c r="A1129" s="4" t="n">
        <v>1128</v>
      </c>
      <c r="B1129" s="4" t="inlineStr">
        <is>
          <t>00046</t>
        </is>
      </c>
      <c r="C1129" s="4" t="inlineStr">
        <is>
          <t>00046</t>
        </is>
      </c>
      <c r="D1129" s="29" t="inlineStr">
        <is>
          <t>EMİRHAN MUTLU</t>
        </is>
      </c>
      <c r="E1129" s="4" t="inlineStr">
        <is>
          <t>Cumartesi</t>
        </is>
      </c>
      <c r="F1129" s="4" t="inlineStr">
        <is>
          <t>3.10.2026</t>
        </is>
      </c>
      <c r="G1129" s="4" t="inlineStr">
        <is>
          <t>08:12</t>
        </is>
      </c>
      <c r="H1129" s="4" t="inlineStr">
        <is>
          <t>3.10.2026</t>
        </is>
      </c>
      <c r="I1129" s="4" t="inlineStr">
        <is>
          <t>19:56</t>
        </is>
      </c>
      <c r="J1129" s="8" t="n">
        <v>10.5</v>
      </c>
      <c r="K1129" s="8" t="n">
        <v>7.5</v>
      </c>
      <c r="L1129" s="8" t="n">
        <v>3</v>
      </c>
      <c r="M1129" s="29" t="inlineStr">
        <is>
          <t>GÖBEL</t>
        </is>
      </c>
    </row>
    <row r="1130">
      <c r="A1130" s="4" t="n">
        <v>1129</v>
      </c>
      <c r="B1130" s="4" t="inlineStr">
        <is>
          <t>00046</t>
        </is>
      </c>
      <c r="C1130" s="4" t="inlineStr">
        <is>
          <t>00046</t>
        </is>
      </c>
      <c r="D1130" s="29" t="inlineStr">
        <is>
          <t>EMİRHAN MUTLU</t>
        </is>
      </c>
      <c r="E1130" s="4" t="inlineStr">
        <is>
          <t>Pazar</t>
        </is>
      </c>
      <c r="F1130" s="4" t="inlineStr">
        <is>
          <t>4.10.2026</t>
        </is>
      </c>
      <c r="G1130" s="4" t="inlineStr">
        <is>
          <t>08:27</t>
        </is>
      </c>
      <c r="H1130" s="4" t="inlineStr">
        <is>
          <t>4.10.2026</t>
        </is>
      </c>
      <c r="I1130" s="4" t="inlineStr">
        <is>
          <t>17:03</t>
        </is>
      </c>
      <c r="J1130" s="8" t="n">
        <v>7</v>
      </c>
      <c r="K1130" s="8" t="n">
        <v>7</v>
      </c>
      <c r="L1130" s="8" t="n">
        <v>0</v>
      </c>
      <c r="M1130" s="29" t="inlineStr">
        <is>
          <t>GÖBEL</t>
        </is>
      </c>
    </row>
    <row r="1131">
      <c r="A1131" s="4" t="n">
        <v>1130</v>
      </c>
      <c r="B1131" s="4" t="inlineStr">
        <is>
          <t>00046</t>
        </is>
      </c>
      <c r="C1131" s="4" t="inlineStr">
        <is>
          <t>00046</t>
        </is>
      </c>
      <c r="D1131" s="29" t="inlineStr">
        <is>
          <t>EMİRHAN MUTLU</t>
        </is>
      </c>
      <c r="E1131" s="4" t="inlineStr">
        <is>
          <t>Pazartesi</t>
        </is>
      </c>
      <c r="F1131" s="4" t="inlineStr">
        <is>
          <t>12.10.2026</t>
        </is>
      </c>
      <c r="G1131" s="4" t="inlineStr">
        <is>
          <t>07:57</t>
        </is>
      </c>
      <c r="H1131" s="4" t="inlineStr">
        <is>
          <t>12.10.2026</t>
        </is>
      </c>
      <c r="I1131" s="4" t="inlineStr">
        <is>
          <t>19:52</t>
        </is>
      </c>
      <c r="J1131" s="8" t="n">
        <v>10.5</v>
      </c>
      <c r="K1131" s="8" t="n">
        <v>7.5</v>
      </c>
      <c r="L1131" s="8" t="n">
        <v>3</v>
      </c>
      <c r="M1131" s="29" t="inlineStr">
        <is>
          <t>GÖBEL</t>
        </is>
      </c>
    </row>
    <row r="1132">
      <c r="A1132" s="4" t="n">
        <v>1131</v>
      </c>
      <c r="B1132" s="4" t="inlineStr">
        <is>
          <t>00046</t>
        </is>
      </c>
      <c r="C1132" s="4" t="inlineStr">
        <is>
          <t>00046</t>
        </is>
      </c>
      <c r="D1132" s="29" t="inlineStr">
        <is>
          <t>EMİRHAN MUTLU</t>
        </is>
      </c>
      <c r="E1132" s="4" t="inlineStr">
        <is>
          <t>Salı</t>
        </is>
      </c>
      <c r="F1132" s="4" t="inlineStr">
        <is>
          <t>13.10.2026</t>
        </is>
      </c>
      <c r="G1132" s="4" t="inlineStr">
        <is>
          <t>08:05</t>
        </is>
      </c>
      <c r="H1132" s="4" t="inlineStr">
        <is>
          <t>13.10.2026</t>
        </is>
      </c>
      <c r="I1132" s="4" t="inlineStr">
        <is>
          <t>19:57</t>
        </is>
      </c>
      <c r="J1132" s="8" t="n">
        <v>10.5</v>
      </c>
      <c r="K1132" s="8" t="n">
        <v>7.5</v>
      </c>
      <c r="L1132" s="8" t="n">
        <v>3</v>
      </c>
      <c r="M1132" s="29" t="inlineStr">
        <is>
          <t>GÖBEL</t>
        </is>
      </c>
    </row>
    <row r="1133">
      <c r="A1133" s="4" t="n">
        <v>1132</v>
      </c>
      <c r="B1133" s="4" t="inlineStr">
        <is>
          <t>00046</t>
        </is>
      </c>
      <c r="C1133" s="4" t="inlineStr">
        <is>
          <t>00046</t>
        </is>
      </c>
      <c r="D1133" s="29" t="inlineStr">
        <is>
          <t>EMİRHAN MUTLU</t>
        </is>
      </c>
      <c r="E1133" s="4" t="inlineStr">
        <is>
          <t>Çarşamba</t>
        </is>
      </c>
      <c r="F1133" s="4" t="inlineStr">
        <is>
          <t>14.10.2026</t>
        </is>
      </c>
      <c r="G1133" s="4" t="inlineStr">
        <is>
          <t>08:23</t>
        </is>
      </c>
      <c r="H1133" s="4" t="inlineStr">
        <is>
          <t>14.10.2026</t>
        </is>
      </c>
      <c r="I1133" s="4" t="inlineStr">
        <is>
          <t>17:44</t>
        </is>
      </c>
      <c r="J1133" s="8" t="n">
        <v>7.5</v>
      </c>
      <c r="K1133" s="8" t="n">
        <v>7</v>
      </c>
      <c r="L1133" s="8" t="n">
        <v>0.5</v>
      </c>
      <c r="M1133" s="29" t="inlineStr">
        <is>
          <t>GÖBEL</t>
        </is>
      </c>
    </row>
    <row r="1134">
      <c r="A1134" s="4" t="n">
        <v>1133</v>
      </c>
      <c r="B1134" s="4" t="inlineStr">
        <is>
          <t>00046</t>
        </is>
      </c>
      <c r="C1134" s="4" t="inlineStr">
        <is>
          <t>00046</t>
        </is>
      </c>
      <c r="D1134" s="29" t="inlineStr">
        <is>
          <t>EMİRHAN MUTLU</t>
        </is>
      </c>
      <c r="E1134" s="4" t="inlineStr">
        <is>
          <t>Perşembe</t>
        </is>
      </c>
      <c r="F1134" s="4" t="inlineStr">
        <is>
          <t>15.10.2026</t>
        </is>
      </c>
      <c r="G1134" s="4" t="inlineStr">
        <is>
          <t>08:17</t>
        </is>
      </c>
      <c r="H1134" s="4" t="inlineStr">
        <is>
          <t>15.10.2026</t>
        </is>
      </c>
      <c r="I1134" s="4" t="inlineStr">
        <is>
          <t>19:56</t>
        </is>
      </c>
      <c r="J1134" s="8" t="n">
        <v>10.5</v>
      </c>
      <c r="K1134" s="8" t="n">
        <v>7.5</v>
      </c>
      <c r="L1134" s="8" t="n">
        <v>3</v>
      </c>
      <c r="M1134" s="29" t="inlineStr">
        <is>
          <t>GÖBEL</t>
        </is>
      </c>
    </row>
    <row r="1135">
      <c r="A1135" s="4" t="n">
        <v>1134</v>
      </c>
      <c r="B1135" s="4" t="inlineStr">
        <is>
          <t>00046</t>
        </is>
      </c>
      <c r="C1135" s="4" t="inlineStr">
        <is>
          <t>00046</t>
        </is>
      </c>
      <c r="D1135" s="29" t="inlineStr">
        <is>
          <t>EMİRHAN MUTLU</t>
        </is>
      </c>
      <c r="E1135" s="4" t="inlineStr">
        <is>
          <t>Cuma</t>
        </is>
      </c>
      <c r="F1135" s="4" t="inlineStr">
        <is>
          <t>16.10.2026</t>
        </is>
      </c>
      <c r="G1135" s="4" t="inlineStr">
        <is>
          <t>08:10</t>
        </is>
      </c>
      <c r="H1135" s="4" t="inlineStr">
        <is>
          <t>16.10.2026</t>
        </is>
      </c>
      <c r="I1135" s="4" t="inlineStr">
        <is>
          <t>17:47</t>
        </is>
      </c>
      <c r="J1135" s="8" t="n">
        <v>8.5</v>
      </c>
      <c r="K1135" s="8" t="n">
        <v>7.5</v>
      </c>
      <c r="L1135" s="8" t="n">
        <v>1</v>
      </c>
      <c r="M1135" s="29" t="inlineStr">
        <is>
          <t>GÖBEL</t>
        </is>
      </c>
    </row>
    <row r="1136">
      <c r="A1136" s="4" t="n">
        <v>1135</v>
      </c>
      <c r="B1136" s="4" t="inlineStr">
        <is>
          <t>00046</t>
        </is>
      </c>
      <c r="C1136" s="4" t="inlineStr">
        <is>
          <t>00046</t>
        </is>
      </c>
      <c r="D1136" s="29" t="inlineStr">
        <is>
          <t>EMİRHAN MUTLU</t>
        </is>
      </c>
      <c r="E1136" s="4" t="inlineStr">
        <is>
          <t>Cumartesi</t>
        </is>
      </c>
      <c r="F1136" s="4" t="inlineStr">
        <is>
          <t>17.10.2026</t>
        </is>
      </c>
      <c r="G1136" s="4" t="inlineStr">
        <is>
          <t>08:22</t>
        </is>
      </c>
      <c r="H1136" s="4" t="inlineStr">
        <is>
          <t>17.10.2026</t>
        </is>
      </c>
      <c r="I1136" s="4" t="inlineStr">
        <is>
          <t>16:59</t>
        </is>
      </c>
      <c r="J1136" s="8" t="n">
        <v>7</v>
      </c>
      <c r="K1136" s="8" t="n">
        <v>7</v>
      </c>
      <c r="L1136" s="8" t="n">
        <v>0</v>
      </c>
      <c r="M1136" s="29" t="inlineStr">
        <is>
          <t>GÖBEL</t>
        </is>
      </c>
    </row>
    <row r="1137">
      <c r="A1137" s="4" t="n">
        <v>1136</v>
      </c>
      <c r="B1137" s="4" t="inlineStr">
        <is>
          <t>00046</t>
        </is>
      </c>
      <c r="C1137" s="4" t="inlineStr">
        <is>
          <t>00046</t>
        </is>
      </c>
      <c r="D1137" s="29" t="inlineStr">
        <is>
          <t>EMİRHAN MUTLU</t>
        </is>
      </c>
      <c r="E1137" s="4" t="inlineStr">
        <is>
          <t>Pazar</t>
        </is>
      </c>
      <c r="F1137" s="4" t="inlineStr">
        <is>
          <t>18.10.2026</t>
        </is>
      </c>
      <c r="G1137" s="4" t="inlineStr">
        <is>
          <t>08:29</t>
        </is>
      </c>
      <c r="H1137" s="4" t="inlineStr">
        <is>
          <t>18.10.2026</t>
        </is>
      </c>
      <c r="I1137" s="4" t="inlineStr">
        <is>
          <t>17:49</t>
        </is>
      </c>
      <c r="J1137" s="8" t="n">
        <v>8</v>
      </c>
      <c r="K1137" s="8" t="n">
        <v>7</v>
      </c>
      <c r="L1137" s="8" t="n">
        <v>1</v>
      </c>
      <c r="M1137" s="29" t="inlineStr">
        <is>
          <t>GÖBEL</t>
        </is>
      </c>
    </row>
    <row r="1138">
      <c r="A1138" s="4" t="n">
        <v>1137</v>
      </c>
      <c r="B1138" s="4" t="inlineStr">
        <is>
          <t>00046</t>
        </is>
      </c>
      <c r="C1138" s="4" t="inlineStr">
        <is>
          <t>00046</t>
        </is>
      </c>
      <c r="D1138" s="29" t="inlineStr">
        <is>
          <t>EMİRHAN MUTLU</t>
        </is>
      </c>
      <c r="E1138" s="4" t="inlineStr">
        <is>
          <t>Pazartesi</t>
        </is>
      </c>
      <c r="F1138" s="4" t="inlineStr">
        <is>
          <t>19.10.2026</t>
        </is>
      </c>
      <c r="G1138" s="4" t="inlineStr">
        <is>
          <t>08:22</t>
        </is>
      </c>
      <c r="H1138" s="4" t="inlineStr">
        <is>
          <t>19.10.2026</t>
        </is>
      </c>
      <c r="I1138" s="4" t="inlineStr">
        <is>
          <t>20:00</t>
        </is>
      </c>
      <c r="J1138" s="8" t="n">
        <v>10</v>
      </c>
      <c r="K1138" s="8" t="n">
        <v>7</v>
      </c>
      <c r="L1138" s="8" t="n">
        <v>3</v>
      </c>
      <c r="M1138" s="29" t="inlineStr">
        <is>
          <t>GÖBEL</t>
        </is>
      </c>
    </row>
    <row r="1139">
      <c r="A1139" s="4" t="n">
        <v>1138</v>
      </c>
      <c r="B1139" s="4" t="inlineStr">
        <is>
          <t>00046</t>
        </is>
      </c>
      <c r="C1139" s="4" t="inlineStr">
        <is>
          <t>00046</t>
        </is>
      </c>
      <c r="D1139" s="29" t="inlineStr">
        <is>
          <t>EMİRHAN MUTLU</t>
        </is>
      </c>
      <c r="E1139" s="4" t="inlineStr">
        <is>
          <t>Salı</t>
        </is>
      </c>
      <c r="F1139" s="4" t="inlineStr">
        <is>
          <t>20.10.2026</t>
        </is>
      </c>
      <c r="G1139" s="4" t="inlineStr">
        <is>
          <t>08:15</t>
        </is>
      </c>
      <c r="H1139" s="4" t="inlineStr">
        <is>
          <t>20.10.2026</t>
        </is>
      </c>
      <c r="I1139" s="4" t="inlineStr">
        <is>
          <t>17:01</t>
        </is>
      </c>
      <c r="J1139" s="8" t="n">
        <v>7.5</v>
      </c>
      <c r="K1139" s="8" t="n">
        <v>7.5</v>
      </c>
      <c r="L1139" s="8" t="n">
        <v>0</v>
      </c>
      <c r="M1139" s="29" t="inlineStr">
        <is>
          <t>GÖBEL</t>
        </is>
      </c>
    </row>
    <row r="1140">
      <c r="A1140" s="4" t="n">
        <v>1139</v>
      </c>
      <c r="B1140" s="4" t="inlineStr">
        <is>
          <t>00046</t>
        </is>
      </c>
      <c r="C1140" s="4" t="inlineStr">
        <is>
          <t>00046</t>
        </is>
      </c>
      <c r="D1140" s="29" t="inlineStr">
        <is>
          <t>EMİRHAN MUTLU</t>
        </is>
      </c>
      <c r="E1140" s="4" t="inlineStr">
        <is>
          <t>Çarşamba</t>
        </is>
      </c>
      <c r="F1140" s="4" t="inlineStr">
        <is>
          <t>21.10.2026</t>
        </is>
      </c>
      <c r="G1140" s="4" t="inlineStr">
        <is>
          <t>08:13</t>
        </is>
      </c>
      <c r="H1140" s="4" t="inlineStr">
        <is>
          <t>21.10.2026</t>
        </is>
      </c>
      <c r="I1140" s="4" t="inlineStr">
        <is>
          <t>-</t>
        </is>
      </c>
      <c r="J1140" s="8" t="n">
        <v>7.5</v>
      </c>
      <c r="K1140" s="8" t="n">
        <v>7.5</v>
      </c>
      <c r="L1140" s="8" t="n">
        <v>0</v>
      </c>
      <c r="M1140" s="29" t="inlineStr">
        <is>
          <t>GÖBEL</t>
        </is>
      </c>
    </row>
    <row r="1141">
      <c r="A1141" s="4" t="n">
        <v>1140</v>
      </c>
      <c r="B1141" s="4" t="inlineStr">
        <is>
          <t>01529</t>
        </is>
      </c>
      <c r="C1141" s="4" t="inlineStr">
        <is>
          <t>01529</t>
        </is>
      </c>
      <c r="D1141" s="29" t="inlineStr">
        <is>
          <t>EMİRHAN GÜNDEN</t>
        </is>
      </c>
      <c r="E1141" s="4" t="inlineStr">
        <is>
          <t>Perşembe</t>
        </is>
      </c>
      <c r="F1141" s="4" t="inlineStr">
        <is>
          <t>8.10.2026</t>
        </is>
      </c>
      <c r="G1141" s="4" t="inlineStr">
        <is>
          <t>20:04</t>
        </is>
      </c>
      <c r="H1141" s="4" t="inlineStr">
        <is>
          <t>8.10.2026</t>
        </is>
      </c>
      <c r="I1141" s="4" t="inlineStr">
        <is>
          <t>08:01</t>
        </is>
      </c>
      <c r="J1141" s="8" t="n">
        <v>10.5</v>
      </c>
      <c r="K1141" s="8" t="n">
        <v>7.5</v>
      </c>
      <c r="L1141" s="8" t="n">
        <v>3</v>
      </c>
      <c r="M1141" s="29" t="inlineStr">
        <is>
          <t>HALİL DİĞRENCİ</t>
        </is>
      </c>
    </row>
    <row r="1142">
      <c r="A1142" s="4" t="n">
        <v>1141</v>
      </c>
      <c r="B1142" s="4" t="inlineStr">
        <is>
          <t>01529</t>
        </is>
      </c>
      <c r="C1142" s="4" t="inlineStr">
        <is>
          <t>01529</t>
        </is>
      </c>
      <c r="D1142" s="29" t="inlineStr">
        <is>
          <t>EMİRHAN GÜNDEN</t>
        </is>
      </c>
      <c r="E1142" s="4" t="inlineStr">
        <is>
          <t>Cumartesi</t>
        </is>
      </c>
      <c r="F1142" s="4" t="inlineStr">
        <is>
          <t>10.10.2026</t>
        </is>
      </c>
      <c r="G1142" s="4" t="inlineStr">
        <is>
          <t>19:53</t>
        </is>
      </c>
      <c r="H1142" s="4" t="inlineStr">
        <is>
          <t>10.10.2026</t>
        </is>
      </c>
      <c r="I1142" s="4" t="inlineStr">
        <is>
          <t>08:07</t>
        </is>
      </c>
      <c r="J1142" s="8" t="n">
        <v>10.5</v>
      </c>
      <c r="K1142" s="8" t="n">
        <v>7.5</v>
      </c>
      <c r="L1142" s="8" t="n">
        <v>3</v>
      </c>
      <c r="M1142" s="29" t="inlineStr">
        <is>
          <t>HALİL DİĞRENCİ</t>
        </is>
      </c>
    </row>
    <row r="1143">
      <c r="A1143" s="4" t="n">
        <v>1142</v>
      </c>
      <c r="B1143" s="4" t="inlineStr">
        <is>
          <t>01529</t>
        </is>
      </c>
      <c r="C1143" s="4" t="inlineStr">
        <is>
          <t>01529</t>
        </is>
      </c>
      <c r="D1143" s="29" t="inlineStr">
        <is>
          <t>EMİRHAN GÜNDEN</t>
        </is>
      </c>
      <c r="E1143" s="4" t="inlineStr">
        <is>
          <t>Salı</t>
        </is>
      </c>
      <c r="F1143" s="4" t="inlineStr">
        <is>
          <t>13.10.2026</t>
        </is>
      </c>
      <c r="G1143" s="4" t="inlineStr">
        <is>
          <t>19:54</t>
        </is>
      </c>
      <c r="H1143" s="4" t="inlineStr">
        <is>
          <t>13.10.2026</t>
        </is>
      </c>
      <c r="I1143" s="4" t="inlineStr">
        <is>
          <t>08:02</t>
        </is>
      </c>
      <c r="J1143" s="8" t="n">
        <v>10.5</v>
      </c>
      <c r="K1143" s="8" t="n">
        <v>7.5</v>
      </c>
      <c r="L1143" s="8" t="n">
        <v>3</v>
      </c>
      <c r="M1143" s="29" t="inlineStr">
        <is>
          <t>HALİL DİĞRENCİ</t>
        </is>
      </c>
    </row>
    <row r="1144">
      <c r="A1144" s="4" t="n">
        <v>1143</v>
      </c>
      <c r="B1144" s="4" t="inlineStr">
        <is>
          <t>01529</t>
        </is>
      </c>
      <c r="C1144" s="4" t="inlineStr">
        <is>
          <t>01529</t>
        </is>
      </c>
      <c r="D1144" s="29" t="inlineStr">
        <is>
          <t>EMİRHAN GÜNDEN</t>
        </is>
      </c>
      <c r="E1144" s="4" t="inlineStr">
        <is>
          <t>Çarşamba</t>
        </is>
      </c>
      <c r="F1144" s="4" t="inlineStr">
        <is>
          <t>14.10.2026</t>
        </is>
      </c>
      <c r="G1144" s="4" t="inlineStr">
        <is>
          <t>20:05</t>
        </is>
      </c>
      <c r="H1144" s="4" t="inlineStr">
        <is>
          <t>14.10.2026</t>
        </is>
      </c>
      <c r="I1144" s="4" t="inlineStr">
        <is>
          <t>08:04</t>
        </is>
      </c>
      <c r="J1144" s="8" t="n">
        <v>10.5</v>
      </c>
      <c r="K1144" s="8" t="n">
        <v>7.5</v>
      </c>
      <c r="L1144" s="8" t="n">
        <v>3</v>
      </c>
      <c r="M1144" s="29" t="inlineStr">
        <is>
          <t>HALİL DİĞRENCİ</t>
        </is>
      </c>
    </row>
    <row r="1145">
      <c r="A1145" s="4" t="n">
        <v>1144</v>
      </c>
      <c r="B1145" s="4" t="inlineStr">
        <is>
          <t>01482</t>
        </is>
      </c>
      <c r="C1145" s="4" t="inlineStr">
        <is>
          <t>01482</t>
        </is>
      </c>
      <c r="D1145" s="29" t="inlineStr">
        <is>
          <t>EMRAH ÇÜVEN</t>
        </is>
      </c>
      <c r="E1145" s="4" t="inlineStr">
        <is>
          <t>Cumartesi</t>
        </is>
      </c>
      <c r="F1145" s="4" t="inlineStr">
        <is>
          <t>3.10.2026</t>
        </is>
      </c>
      <c r="G1145" s="4" t="inlineStr">
        <is>
          <t>19:59</t>
        </is>
      </c>
      <c r="H1145" s="4" t="inlineStr">
        <is>
          <t>3.10.2026</t>
        </is>
      </c>
      <c r="I1145" s="4" t="inlineStr">
        <is>
          <t>07:56</t>
        </is>
      </c>
      <c r="J1145" s="8" t="n">
        <v>10.5</v>
      </c>
      <c r="K1145" s="8" t="n">
        <v>7.5</v>
      </c>
      <c r="L1145" s="8" t="n">
        <v>3</v>
      </c>
      <c r="M1145" s="29" t="inlineStr">
        <is>
          <t>HALİL DİĞRENCİ</t>
        </is>
      </c>
    </row>
    <row r="1146">
      <c r="A1146" s="4" t="n">
        <v>1145</v>
      </c>
      <c r="B1146" s="4" t="inlineStr">
        <is>
          <t>01482</t>
        </is>
      </c>
      <c r="C1146" s="4" t="inlineStr">
        <is>
          <t>01482</t>
        </is>
      </c>
      <c r="D1146" s="29" t="inlineStr">
        <is>
          <t>EMRAH ÇÜVEN</t>
        </is>
      </c>
      <c r="E1146" s="4" t="inlineStr">
        <is>
          <t>Pazartesi</t>
        </is>
      </c>
      <c r="F1146" s="4" t="inlineStr">
        <is>
          <t>5.10.2026</t>
        </is>
      </c>
      <c r="G1146" s="4" t="inlineStr">
        <is>
          <t>19:53</t>
        </is>
      </c>
      <c r="H1146" s="4" t="inlineStr">
        <is>
          <t>5.10.2026</t>
        </is>
      </c>
      <c r="I1146" s="4" t="inlineStr">
        <is>
          <t>08:05</t>
        </is>
      </c>
      <c r="J1146" s="8" t="n">
        <v>10.5</v>
      </c>
      <c r="K1146" s="8" t="n">
        <v>7.5</v>
      </c>
      <c r="L1146" s="8" t="n">
        <v>3</v>
      </c>
      <c r="M1146" s="29" t="inlineStr">
        <is>
          <t>HALİL DİĞRENCİ</t>
        </is>
      </c>
    </row>
    <row r="1147">
      <c r="A1147" s="4" t="n">
        <v>1146</v>
      </c>
      <c r="B1147" s="4" t="inlineStr">
        <is>
          <t>01482</t>
        </is>
      </c>
      <c r="C1147" s="4" t="inlineStr">
        <is>
          <t>01482</t>
        </is>
      </c>
      <c r="D1147" s="29" t="inlineStr">
        <is>
          <t>EMRAH ÇÜVEN</t>
        </is>
      </c>
      <c r="E1147" s="4" t="inlineStr">
        <is>
          <t>Salı</t>
        </is>
      </c>
      <c r="F1147" s="4" t="inlineStr">
        <is>
          <t>6.10.2026</t>
        </is>
      </c>
      <c r="G1147" s="4" t="inlineStr">
        <is>
          <t>19:54</t>
        </is>
      </c>
      <c r="H1147" s="4" t="inlineStr">
        <is>
          <t>6.10.2026</t>
        </is>
      </c>
      <c r="I1147" s="4" t="inlineStr">
        <is>
          <t>08:00</t>
        </is>
      </c>
      <c r="J1147" s="8" t="n">
        <v>10.5</v>
      </c>
      <c r="K1147" s="8" t="n">
        <v>7.5</v>
      </c>
      <c r="L1147" s="8" t="n">
        <v>3</v>
      </c>
      <c r="M1147" s="29" t="inlineStr">
        <is>
          <t>HALİL DİĞRENCİ</t>
        </is>
      </c>
    </row>
    <row r="1148">
      <c r="A1148" s="4" t="n">
        <v>1147</v>
      </c>
      <c r="B1148" s="4" t="inlineStr">
        <is>
          <t>01482</t>
        </is>
      </c>
      <c r="C1148" s="4" t="inlineStr">
        <is>
          <t>01482</t>
        </is>
      </c>
      <c r="D1148" s="29" t="inlineStr">
        <is>
          <t>EMRAH ÇÜVEN</t>
        </is>
      </c>
      <c r="E1148" s="4" t="inlineStr">
        <is>
          <t>Çarşamba</t>
        </is>
      </c>
      <c r="F1148" s="4" t="inlineStr">
        <is>
          <t>7.10.2026</t>
        </is>
      </c>
      <c r="G1148" s="4" t="inlineStr">
        <is>
          <t>19:53</t>
        </is>
      </c>
      <c r="H1148" s="4" t="inlineStr">
        <is>
          <t>7.10.2026</t>
        </is>
      </c>
      <c r="I1148" s="4" t="inlineStr">
        <is>
          <t>08:01</t>
        </is>
      </c>
      <c r="J1148" s="8" t="n">
        <v>10.5</v>
      </c>
      <c r="K1148" s="8" t="n">
        <v>7.5</v>
      </c>
      <c r="L1148" s="8" t="n">
        <v>3</v>
      </c>
      <c r="M1148" s="29" t="inlineStr">
        <is>
          <t>HALİL DİĞRENCİ</t>
        </is>
      </c>
    </row>
    <row r="1149">
      <c r="A1149" s="4" t="n">
        <v>1148</v>
      </c>
      <c r="B1149" s="4" t="inlineStr">
        <is>
          <t>01482</t>
        </is>
      </c>
      <c r="C1149" s="4" t="inlineStr">
        <is>
          <t>01482</t>
        </is>
      </c>
      <c r="D1149" s="29" t="inlineStr">
        <is>
          <t>EMRAH ÇÜVEN</t>
        </is>
      </c>
      <c r="E1149" s="4" t="inlineStr">
        <is>
          <t>Perşembe</t>
        </is>
      </c>
      <c r="F1149" s="4" t="inlineStr">
        <is>
          <t>8.10.2026</t>
        </is>
      </c>
      <c r="G1149" s="4" t="inlineStr">
        <is>
          <t>20:04</t>
        </is>
      </c>
      <c r="H1149" s="4" t="inlineStr">
        <is>
          <t>8.10.2026</t>
        </is>
      </c>
      <c r="I1149" s="4" t="inlineStr">
        <is>
          <t>08:01</t>
        </is>
      </c>
      <c r="J1149" s="8" t="n">
        <v>10.5</v>
      </c>
      <c r="K1149" s="8" t="n">
        <v>7.5</v>
      </c>
      <c r="L1149" s="8" t="n">
        <v>3</v>
      </c>
      <c r="M1149" s="29" t="inlineStr">
        <is>
          <t>HALİL DİĞRENCİ</t>
        </is>
      </c>
    </row>
    <row r="1150">
      <c r="A1150" s="4" t="n">
        <v>1149</v>
      </c>
      <c r="B1150" s="4" t="inlineStr">
        <is>
          <t>01482</t>
        </is>
      </c>
      <c r="C1150" s="4" t="inlineStr">
        <is>
          <t>01482</t>
        </is>
      </c>
      <c r="D1150" s="29" t="inlineStr">
        <is>
          <t>EMRAH ÇÜVEN</t>
        </is>
      </c>
      <c r="E1150" s="4" t="inlineStr">
        <is>
          <t>Cuma</t>
        </is>
      </c>
      <c r="F1150" s="4" t="inlineStr">
        <is>
          <t>9.10.2026</t>
        </is>
      </c>
      <c r="G1150" s="4" t="inlineStr">
        <is>
          <t>20:01</t>
        </is>
      </c>
      <c r="H1150" s="4" t="inlineStr">
        <is>
          <t>9.10.2026</t>
        </is>
      </c>
      <c r="I1150" s="4" t="inlineStr">
        <is>
          <t>08:02</t>
        </is>
      </c>
      <c r="J1150" s="8" t="n">
        <v>10.5</v>
      </c>
      <c r="K1150" s="8" t="n">
        <v>7.5</v>
      </c>
      <c r="L1150" s="8" t="n">
        <v>3</v>
      </c>
      <c r="M1150" s="29" t="inlineStr">
        <is>
          <t>HALİL DİĞRENCİ</t>
        </is>
      </c>
    </row>
    <row r="1151">
      <c r="A1151" s="4" t="n">
        <v>1150</v>
      </c>
      <c r="B1151" s="4" t="inlineStr">
        <is>
          <t>01482</t>
        </is>
      </c>
      <c r="C1151" s="4" t="inlineStr">
        <is>
          <t>01482</t>
        </is>
      </c>
      <c r="D1151" s="29" t="inlineStr">
        <is>
          <t>EMRAH ÇÜVEN</t>
        </is>
      </c>
      <c r="E1151" s="4" t="inlineStr">
        <is>
          <t>Cumartesi</t>
        </is>
      </c>
      <c r="F1151" s="4" t="inlineStr">
        <is>
          <t>10.10.2026</t>
        </is>
      </c>
      <c r="G1151" s="4" t="inlineStr">
        <is>
          <t>19:53</t>
        </is>
      </c>
      <c r="H1151" s="4" t="inlineStr">
        <is>
          <t>10.10.2026</t>
        </is>
      </c>
      <c r="I1151" s="4" t="inlineStr">
        <is>
          <t>08:08</t>
        </is>
      </c>
      <c r="J1151" s="8" t="n">
        <v>10.5</v>
      </c>
      <c r="K1151" s="8" t="n">
        <v>7.5</v>
      </c>
      <c r="L1151" s="8" t="n">
        <v>3</v>
      </c>
      <c r="M1151" s="29" t="inlineStr">
        <is>
          <t>HALİL DİĞRENCİ</t>
        </is>
      </c>
    </row>
    <row r="1152">
      <c r="A1152" s="4" t="n">
        <v>1151</v>
      </c>
      <c r="B1152" s="4" t="inlineStr">
        <is>
          <t>01482</t>
        </is>
      </c>
      <c r="C1152" s="4" t="inlineStr">
        <is>
          <t>01482</t>
        </is>
      </c>
      <c r="D1152" s="29" t="inlineStr">
        <is>
          <t>EMRAH ÇÜVEN</t>
        </is>
      </c>
      <c r="E1152" s="4" t="inlineStr">
        <is>
          <t>Pazartesi</t>
        </is>
      </c>
      <c r="F1152" s="4" t="inlineStr">
        <is>
          <t>12.10.2026</t>
        </is>
      </c>
      <c r="G1152" s="4" t="inlineStr">
        <is>
          <t>19:45</t>
        </is>
      </c>
      <c r="H1152" s="4" t="inlineStr">
        <is>
          <t>12.10.2026</t>
        </is>
      </c>
      <c r="I1152" s="4" t="inlineStr">
        <is>
          <t>08:05</t>
        </is>
      </c>
      <c r="J1152" s="8" t="n">
        <v>10.5</v>
      </c>
      <c r="K1152" s="8" t="n">
        <v>7.5</v>
      </c>
      <c r="L1152" s="8" t="n">
        <v>3</v>
      </c>
      <c r="M1152" s="29" t="inlineStr">
        <is>
          <t>HALİL DİĞRENCİ</t>
        </is>
      </c>
    </row>
    <row r="1153">
      <c r="A1153" s="4" t="n">
        <v>1152</v>
      </c>
      <c r="B1153" s="4" t="inlineStr">
        <is>
          <t>01482</t>
        </is>
      </c>
      <c r="C1153" s="4" t="inlineStr">
        <is>
          <t>01482</t>
        </is>
      </c>
      <c r="D1153" s="29" t="inlineStr">
        <is>
          <t>EMRAH ÇÜVEN</t>
        </is>
      </c>
      <c r="E1153" s="4" t="inlineStr">
        <is>
          <t>Salı</t>
        </is>
      </c>
      <c r="F1153" s="4" t="inlineStr">
        <is>
          <t>13.10.2026</t>
        </is>
      </c>
      <c r="G1153" s="4" t="inlineStr">
        <is>
          <t>19:53</t>
        </is>
      </c>
      <c r="H1153" s="4" t="inlineStr">
        <is>
          <t>13.10.2026</t>
        </is>
      </c>
      <c r="I1153" s="4" t="inlineStr">
        <is>
          <t>08:05</t>
        </is>
      </c>
      <c r="J1153" s="8" t="n">
        <v>10.5</v>
      </c>
      <c r="K1153" s="8" t="n">
        <v>7.5</v>
      </c>
      <c r="L1153" s="8" t="n">
        <v>3</v>
      </c>
      <c r="M1153" s="29" t="inlineStr">
        <is>
          <t>HALİL DİĞRENCİ</t>
        </is>
      </c>
    </row>
    <row r="1154">
      <c r="A1154" s="4" t="n">
        <v>1153</v>
      </c>
      <c r="B1154" s="4" t="inlineStr">
        <is>
          <t>01482</t>
        </is>
      </c>
      <c r="C1154" s="4" t="inlineStr">
        <is>
          <t>01482</t>
        </is>
      </c>
      <c r="D1154" s="29" t="inlineStr">
        <is>
          <t>EMRAH ÇÜVEN</t>
        </is>
      </c>
      <c r="E1154" s="4" t="inlineStr">
        <is>
          <t>Çarşamba</t>
        </is>
      </c>
      <c r="F1154" s="4" t="inlineStr">
        <is>
          <t>14.10.2026</t>
        </is>
      </c>
      <c r="G1154" s="4" t="inlineStr">
        <is>
          <t>20:05</t>
        </is>
      </c>
      <c r="H1154" s="4" t="inlineStr">
        <is>
          <t>14.10.2026</t>
        </is>
      </c>
      <c r="I1154" s="4" t="inlineStr">
        <is>
          <t>08:02</t>
        </is>
      </c>
      <c r="J1154" s="8" t="n">
        <v>10.5</v>
      </c>
      <c r="K1154" s="8" t="n">
        <v>7.5</v>
      </c>
      <c r="L1154" s="8" t="n">
        <v>3</v>
      </c>
      <c r="M1154" s="29" t="inlineStr">
        <is>
          <t>HALİL DİĞRENCİ</t>
        </is>
      </c>
    </row>
    <row r="1155">
      <c r="A1155" s="4" t="n">
        <v>1154</v>
      </c>
      <c r="B1155" s="4" t="inlineStr">
        <is>
          <t>01482</t>
        </is>
      </c>
      <c r="C1155" s="4" t="inlineStr">
        <is>
          <t>01482</t>
        </is>
      </c>
      <c r="D1155" s="29" t="inlineStr">
        <is>
          <t>EMRAH ÇÜVEN</t>
        </is>
      </c>
      <c r="E1155" s="4" t="inlineStr">
        <is>
          <t>Perşembe</t>
        </is>
      </c>
      <c r="F1155" s="4" t="inlineStr">
        <is>
          <t>15.10.2026</t>
        </is>
      </c>
      <c r="G1155" s="4" t="inlineStr">
        <is>
          <t>19:52</t>
        </is>
      </c>
      <c r="H1155" s="4" t="inlineStr">
        <is>
          <t>15.10.2026</t>
        </is>
      </c>
      <c r="I1155" s="4" t="inlineStr">
        <is>
          <t>08:06</t>
        </is>
      </c>
      <c r="J1155" s="8" t="n">
        <v>10.5</v>
      </c>
      <c r="K1155" s="8" t="n">
        <v>7.5</v>
      </c>
      <c r="L1155" s="8" t="n">
        <v>3</v>
      </c>
      <c r="M1155" s="29" t="inlineStr">
        <is>
          <t>HALİL DİĞRENCİ</t>
        </is>
      </c>
    </row>
    <row r="1156">
      <c r="A1156" s="4" t="n">
        <v>1155</v>
      </c>
      <c r="B1156" s="4" t="inlineStr">
        <is>
          <t>01091</t>
        </is>
      </c>
      <c r="C1156" s="4" t="inlineStr">
        <is>
          <t>01091</t>
        </is>
      </c>
      <c r="D1156" s="29" t="inlineStr">
        <is>
          <t>EMRE BAŞAR</t>
        </is>
      </c>
      <c r="E1156" s="4" t="inlineStr">
        <is>
          <t>Çarşamba</t>
        </is>
      </c>
      <c r="F1156" s="4" t="inlineStr">
        <is>
          <t>7.10.2026</t>
        </is>
      </c>
      <c r="G1156" s="4" t="inlineStr">
        <is>
          <t>07:59</t>
        </is>
      </c>
      <c r="H1156" s="4" t="inlineStr">
        <is>
          <t>7.10.2026</t>
        </is>
      </c>
      <c r="I1156" s="4" t="inlineStr">
        <is>
          <t>17:21</t>
        </is>
      </c>
      <c r="J1156" s="8" t="n">
        <v>8</v>
      </c>
      <c r="K1156" s="8" t="n">
        <v>7.5</v>
      </c>
      <c r="L1156" s="8" t="n">
        <v>0.5</v>
      </c>
      <c r="M1156" s="29" t="inlineStr">
        <is>
          <t>GÜVEN MUSTAFAKEMALPAŞA</t>
        </is>
      </c>
    </row>
    <row r="1157">
      <c r="A1157" s="4" t="n">
        <v>1156</v>
      </c>
      <c r="B1157" s="4" t="inlineStr">
        <is>
          <t>01091</t>
        </is>
      </c>
      <c r="C1157" s="4" t="inlineStr">
        <is>
          <t>01091</t>
        </is>
      </c>
      <c r="D1157" s="29" t="inlineStr">
        <is>
          <t>EMRE BAŞAR</t>
        </is>
      </c>
      <c r="E1157" s="4" t="inlineStr">
        <is>
          <t>Cuma</t>
        </is>
      </c>
      <c r="F1157" s="4" t="inlineStr">
        <is>
          <t>9.10.2026</t>
        </is>
      </c>
      <c r="G1157" s="4" t="inlineStr">
        <is>
          <t>07:55</t>
        </is>
      </c>
      <c r="H1157" s="4" t="inlineStr">
        <is>
          <t>9.10.2026</t>
        </is>
      </c>
      <c r="I1157" s="4" t="inlineStr">
        <is>
          <t>17:00</t>
        </is>
      </c>
      <c r="J1157" s="8" t="n">
        <v>7.5</v>
      </c>
      <c r="K1157" s="8" t="n">
        <v>7.5</v>
      </c>
      <c r="L1157" s="8" t="n">
        <v>0</v>
      </c>
      <c r="M1157" s="29" t="inlineStr">
        <is>
          <t>GÜVEN MUSTAFAKEMALPAŞA</t>
        </is>
      </c>
    </row>
    <row r="1158">
      <c r="A1158" s="4" t="n">
        <v>1157</v>
      </c>
      <c r="B1158" s="4" t="inlineStr">
        <is>
          <t>01091</t>
        </is>
      </c>
      <c r="C1158" s="4" t="inlineStr">
        <is>
          <t>01091</t>
        </is>
      </c>
      <c r="D1158" s="29" t="inlineStr">
        <is>
          <t>EMRE BAŞAR</t>
        </is>
      </c>
      <c r="E1158" s="4" t="inlineStr">
        <is>
          <t>Salı</t>
        </is>
      </c>
      <c r="F1158" s="4" t="inlineStr">
        <is>
          <t>13.10.2026</t>
        </is>
      </c>
      <c r="G1158" s="4" t="inlineStr">
        <is>
          <t>07:51</t>
        </is>
      </c>
      <c r="H1158" s="4" t="inlineStr">
        <is>
          <t>13.10.2026</t>
        </is>
      </c>
      <c r="I1158" s="4" t="inlineStr">
        <is>
          <t>19:59</t>
        </is>
      </c>
      <c r="J1158" s="8" t="n">
        <v>10.5</v>
      </c>
      <c r="K1158" s="8" t="n">
        <v>7.5</v>
      </c>
      <c r="L1158" s="8" t="n">
        <v>3</v>
      </c>
      <c r="M1158" s="29" t="inlineStr">
        <is>
          <t>GÜVEN MUSTAFAKEMALPAŞA</t>
        </is>
      </c>
    </row>
    <row r="1159">
      <c r="A1159" s="4" t="n">
        <v>1158</v>
      </c>
      <c r="B1159" s="4" t="inlineStr">
        <is>
          <t>01091</t>
        </is>
      </c>
      <c r="C1159" s="4" t="inlineStr">
        <is>
          <t>01091</t>
        </is>
      </c>
      <c r="D1159" s="29" t="inlineStr">
        <is>
          <t>EMRE BAŞAR</t>
        </is>
      </c>
      <c r="E1159" s="4" t="inlineStr">
        <is>
          <t>Çarşamba</t>
        </is>
      </c>
      <c r="F1159" s="4" t="inlineStr">
        <is>
          <t>14.10.2026</t>
        </is>
      </c>
      <c r="G1159" s="4" t="inlineStr">
        <is>
          <t>08:02</t>
        </is>
      </c>
      <c r="H1159" s="4" t="inlineStr">
        <is>
          <t>14.10.2026</t>
        </is>
      </c>
      <c r="I1159" s="4" t="inlineStr">
        <is>
          <t>17:19</t>
        </is>
      </c>
      <c r="J1159" s="8" t="n">
        <v>7.5</v>
      </c>
      <c r="K1159" s="8" t="n">
        <v>7.5</v>
      </c>
      <c r="L1159" s="8" t="n">
        <v>0</v>
      </c>
      <c r="M1159" s="29" t="inlineStr">
        <is>
          <t>GÜVEN MUSTAFAKEMALPAŞA</t>
        </is>
      </c>
    </row>
    <row r="1160">
      <c r="A1160" s="4" t="n">
        <v>1159</v>
      </c>
      <c r="B1160" s="4" t="inlineStr">
        <is>
          <t>01091</t>
        </is>
      </c>
      <c r="C1160" s="4" t="inlineStr">
        <is>
          <t>01091</t>
        </is>
      </c>
      <c r="D1160" s="29" t="inlineStr">
        <is>
          <t>EMRE BAŞAR</t>
        </is>
      </c>
      <c r="E1160" s="4" t="inlineStr">
        <is>
          <t>Salı</t>
        </is>
      </c>
      <c r="F1160" s="4" t="inlineStr">
        <is>
          <t>20.10.2026</t>
        </is>
      </c>
      <c r="G1160" s="4" t="inlineStr">
        <is>
          <t>07:53</t>
        </is>
      </c>
      <c r="H1160" s="4" t="inlineStr">
        <is>
          <t>20.10.2026</t>
        </is>
      </c>
      <c r="I1160" s="4" t="inlineStr">
        <is>
          <t>17:01</t>
        </is>
      </c>
      <c r="J1160" s="8" t="n">
        <v>7.5</v>
      </c>
      <c r="K1160" s="8" t="n">
        <v>7.5</v>
      </c>
      <c r="L1160" s="8" t="n">
        <v>0</v>
      </c>
      <c r="M1160" s="29" t="inlineStr">
        <is>
          <t>GÜVEN MUSTAFAKEMALPAŞA</t>
        </is>
      </c>
    </row>
    <row r="1161">
      <c r="A1161" s="4" t="n">
        <v>1160</v>
      </c>
      <c r="B1161" s="4" t="inlineStr">
        <is>
          <t>01091</t>
        </is>
      </c>
      <c r="C1161" s="4" t="inlineStr">
        <is>
          <t>01091</t>
        </is>
      </c>
      <c r="D1161" s="29" t="inlineStr">
        <is>
          <t>EMRE BAŞAR</t>
        </is>
      </c>
      <c r="E1161" s="4" t="inlineStr">
        <is>
          <t>Çarşamba</t>
        </is>
      </c>
      <c r="F1161" s="4" t="inlineStr">
        <is>
          <t>21.10.2026</t>
        </is>
      </c>
      <c r="G1161" s="4" t="inlineStr">
        <is>
          <t>08:01</t>
        </is>
      </c>
      <c r="H1161" s="4" t="inlineStr">
        <is>
          <t>21.10.2026</t>
        </is>
      </c>
      <c r="I1161" s="4" t="inlineStr">
        <is>
          <t>16:59</t>
        </is>
      </c>
      <c r="J1161" s="8" t="n">
        <v>7.5</v>
      </c>
      <c r="K1161" s="8" t="n">
        <v>7.5</v>
      </c>
      <c r="L1161" s="8" t="n">
        <v>0</v>
      </c>
      <c r="M1161" s="29" t="inlineStr">
        <is>
          <t>GÜVEN MUSTAFAKEMALPAŞA</t>
        </is>
      </c>
    </row>
    <row r="1162">
      <c r="A1162" s="4" t="n">
        <v>1161</v>
      </c>
      <c r="B1162" s="4" t="inlineStr">
        <is>
          <t>01404</t>
        </is>
      </c>
      <c r="C1162" s="4" t="inlineStr">
        <is>
          <t>01404</t>
        </is>
      </c>
      <c r="D1162" s="29" t="inlineStr">
        <is>
          <t>EMRE ÇELİK</t>
        </is>
      </c>
      <c r="E1162" s="4" t="inlineStr">
        <is>
          <t>Cumartesi</t>
        </is>
      </c>
      <c r="F1162" s="4" t="inlineStr">
        <is>
          <t>3.10.2026</t>
        </is>
      </c>
      <c r="G1162" s="4" t="inlineStr">
        <is>
          <t>20:02</t>
        </is>
      </c>
      <c r="H1162" s="4" t="inlineStr">
        <is>
          <t>3.10.2026</t>
        </is>
      </c>
      <c r="I1162" s="4" t="inlineStr">
        <is>
          <t>08:00</t>
        </is>
      </c>
      <c r="J1162" s="8" t="n">
        <v>10.5</v>
      </c>
      <c r="K1162" s="8" t="n">
        <v>7.5</v>
      </c>
      <c r="L1162" s="8" t="n">
        <v>3</v>
      </c>
      <c r="M1162" s="29" t="inlineStr">
        <is>
          <t>HALİL DİĞRENCİ</t>
        </is>
      </c>
    </row>
    <row r="1163">
      <c r="A1163" s="4" t="n">
        <v>1162</v>
      </c>
      <c r="B1163" s="4" t="inlineStr">
        <is>
          <t>01404</t>
        </is>
      </c>
      <c r="C1163" s="4" t="inlineStr">
        <is>
          <t>01404</t>
        </is>
      </c>
      <c r="D1163" s="29" t="inlineStr">
        <is>
          <t>EMRE ÇELİK</t>
        </is>
      </c>
      <c r="E1163" s="4" t="inlineStr">
        <is>
          <t>Pazartesi</t>
        </is>
      </c>
      <c r="F1163" s="4" t="inlineStr">
        <is>
          <t>5.10.2026</t>
        </is>
      </c>
      <c r="G1163" s="4" t="inlineStr">
        <is>
          <t>19:48</t>
        </is>
      </c>
      <c r="H1163" s="4" t="inlineStr">
        <is>
          <t>5.10.2026</t>
        </is>
      </c>
      <c r="I1163" s="4" t="inlineStr">
        <is>
          <t>07:50</t>
        </is>
      </c>
      <c r="J1163" s="8" t="n">
        <v>10.5</v>
      </c>
      <c r="K1163" s="8" t="n">
        <v>7.5</v>
      </c>
      <c r="L1163" s="8" t="n">
        <v>3</v>
      </c>
      <c r="M1163" s="29" t="inlineStr">
        <is>
          <t>HALİL DİĞRENCİ</t>
        </is>
      </c>
    </row>
    <row r="1164">
      <c r="A1164" s="4" t="n">
        <v>1163</v>
      </c>
      <c r="B1164" s="4" t="inlineStr">
        <is>
          <t>01404</t>
        </is>
      </c>
      <c r="C1164" s="4" t="inlineStr">
        <is>
          <t>01404</t>
        </is>
      </c>
      <c r="D1164" s="29" t="inlineStr">
        <is>
          <t>EMRE ÇELİK</t>
        </is>
      </c>
      <c r="E1164" s="4" t="inlineStr">
        <is>
          <t>Salı</t>
        </is>
      </c>
      <c r="F1164" s="4" t="inlineStr">
        <is>
          <t>6.10.2026</t>
        </is>
      </c>
      <c r="G1164" s="4" t="inlineStr">
        <is>
          <t>19:55</t>
        </is>
      </c>
      <c r="H1164" s="4" t="inlineStr">
        <is>
          <t>6.10.2026</t>
        </is>
      </c>
      <c r="I1164" s="4" t="inlineStr">
        <is>
          <t>07:59</t>
        </is>
      </c>
      <c r="J1164" s="8" t="n">
        <v>10.5</v>
      </c>
      <c r="K1164" s="8" t="n">
        <v>7.5</v>
      </c>
      <c r="L1164" s="8" t="n">
        <v>3</v>
      </c>
      <c r="M1164" s="29" t="inlineStr">
        <is>
          <t>HALİL DİĞRENCİ</t>
        </is>
      </c>
    </row>
    <row r="1165">
      <c r="A1165" s="4" t="n">
        <v>1164</v>
      </c>
      <c r="B1165" s="4" t="inlineStr">
        <is>
          <t>01404</t>
        </is>
      </c>
      <c r="C1165" s="4" t="inlineStr">
        <is>
          <t>01404</t>
        </is>
      </c>
      <c r="D1165" s="29" t="inlineStr">
        <is>
          <t>EMRE ÇELİK</t>
        </is>
      </c>
      <c r="E1165" s="4" t="inlineStr">
        <is>
          <t>Çarşamba</t>
        </is>
      </c>
      <c r="F1165" s="4" t="inlineStr">
        <is>
          <t>7.10.2026</t>
        </is>
      </c>
      <c r="G1165" s="4" t="inlineStr">
        <is>
          <t>19:52</t>
        </is>
      </c>
      <c r="H1165" s="4" t="inlineStr">
        <is>
          <t>7.10.2026</t>
        </is>
      </c>
      <c r="I1165" s="4" t="inlineStr">
        <is>
          <t>07:54</t>
        </is>
      </c>
      <c r="J1165" s="8" t="n">
        <v>10.5</v>
      </c>
      <c r="K1165" s="8" t="n">
        <v>7.5</v>
      </c>
      <c r="L1165" s="8" t="n">
        <v>3</v>
      </c>
      <c r="M1165" s="29" t="inlineStr">
        <is>
          <t>HALİL DİĞRENCİ</t>
        </is>
      </c>
    </row>
    <row r="1166">
      <c r="A1166" s="4" t="n">
        <v>1165</v>
      </c>
      <c r="B1166" s="4" t="inlineStr">
        <is>
          <t>01404</t>
        </is>
      </c>
      <c r="C1166" s="4" t="inlineStr">
        <is>
          <t>01404</t>
        </is>
      </c>
      <c r="D1166" s="29" t="inlineStr">
        <is>
          <t>EMRE ÇELİK</t>
        </is>
      </c>
      <c r="E1166" s="4" t="inlineStr">
        <is>
          <t>Perşembe</t>
        </is>
      </c>
      <c r="F1166" s="4" t="inlineStr">
        <is>
          <t>8.10.2026</t>
        </is>
      </c>
      <c r="G1166" s="4" t="inlineStr">
        <is>
          <t>20:04</t>
        </is>
      </c>
      <c r="H1166" s="4" t="inlineStr">
        <is>
          <t>8.10.2026</t>
        </is>
      </c>
      <c r="I1166" s="4" t="inlineStr">
        <is>
          <t>07:54</t>
        </is>
      </c>
      <c r="J1166" s="8" t="n">
        <v>10.5</v>
      </c>
      <c r="K1166" s="8" t="n">
        <v>7.5</v>
      </c>
      <c r="L1166" s="8" t="n">
        <v>3</v>
      </c>
      <c r="M1166" s="29" t="inlineStr">
        <is>
          <t>HALİL DİĞRENCİ</t>
        </is>
      </c>
    </row>
    <row r="1167">
      <c r="A1167" s="4" t="n">
        <v>1166</v>
      </c>
      <c r="B1167" s="4" t="inlineStr">
        <is>
          <t>01404</t>
        </is>
      </c>
      <c r="C1167" s="4" t="inlineStr">
        <is>
          <t>01404</t>
        </is>
      </c>
      <c r="D1167" s="29" t="inlineStr">
        <is>
          <t>EMRE ÇELİK</t>
        </is>
      </c>
      <c r="E1167" s="4" t="inlineStr">
        <is>
          <t>Cuma</t>
        </is>
      </c>
      <c r="F1167" s="4" t="inlineStr">
        <is>
          <t>9.10.2026</t>
        </is>
      </c>
      <c r="G1167" s="4" t="inlineStr">
        <is>
          <t>20:02</t>
        </is>
      </c>
      <c r="H1167" s="4" t="inlineStr">
        <is>
          <t>9.10.2026</t>
        </is>
      </c>
      <c r="I1167" s="4" t="inlineStr">
        <is>
          <t>07:50</t>
        </is>
      </c>
      <c r="J1167" s="8" t="n">
        <v>10.5</v>
      </c>
      <c r="K1167" s="8" t="n">
        <v>7.5</v>
      </c>
      <c r="L1167" s="8" t="n">
        <v>3</v>
      </c>
      <c r="M1167" s="29" t="inlineStr">
        <is>
          <t>HALİL DİĞRENCİ</t>
        </is>
      </c>
    </row>
    <row r="1168">
      <c r="A1168" s="4" t="n">
        <v>1167</v>
      </c>
      <c r="B1168" s="4" t="inlineStr">
        <is>
          <t>01404</t>
        </is>
      </c>
      <c r="C1168" s="4" t="inlineStr">
        <is>
          <t>01404</t>
        </is>
      </c>
      <c r="D1168" s="29" t="inlineStr">
        <is>
          <t>EMRE ÇELİK</t>
        </is>
      </c>
      <c r="E1168" s="4" t="inlineStr">
        <is>
          <t>Cumartesi</t>
        </is>
      </c>
      <c r="F1168" s="4" t="inlineStr">
        <is>
          <t>10.10.2026</t>
        </is>
      </c>
      <c r="G1168" s="4" t="inlineStr">
        <is>
          <t>19:52</t>
        </is>
      </c>
      <c r="H1168" s="4" t="inlineStr">
        <is>
          <t>10.10.2026</t>
        </is>
      </c>
      <c r="I1168" s="4" t="inlineStr">
        <is>
          <t>07:53</t>
        </is>
      </c>
      <c r="J1168" s="8" t="n">
        <v>10.5</v>
      </c>
      <c r="K1168" s="8" t="n">
        <v>7.5</v>
      </c>
      <c r="L1168" s="8" t="n">
        <v>3</v>
      </c>
      <c r="M1168" s="29" t="inlineStr">
        <is>
          <t>HALİL DİĞRENCİ</t>
        </is>
      </c>
    </row>
    <row r="1169">
      <c r="A1169" s="4" t="n">
        <v>1168</v>
      </c>
      <c r="B1169" s="4" t="inlineStr">
        <is>
          <t>01404</t>
        </is>
      </c>
      <c r="C1169" s="4" t="inlineStr">
        <is>
          <t>01404</t>
        </is>
      </c>
      <c r="D1169" s="29" t="inlineStr">
        <is>
          <t>EMRE ÇELİK</t>
        </is>
      </c>
      <c r="E1169" s="4" t="inlineStr">
        <is>
          <t>Pazartesi</t>
        </is>
      </c>
      <c r="F1169" s="4" t="inlineStr">
        <is>
          <t>12.10.2026</t>
        </is>
      </c>
      <c r="G1169" s="4" t="inlineStr">
        <is>
          <t>19:58</t>
        </is>
      </c>
      <c r="H1169" s="4" t="inlineStr">
        <is>
          <t>12.10.2026</t>
        </is>
      </c>
      <c r="I1169" s="4" t="inlineStr">
        <is>
          <t>07:53</t>
        </is>
      </c>
      <c r="J1169" s="8" t="n">
        <v>10.5</v>
      </c>
      <c r="K1169" s="8" t="n">
        <v>7.5</v>
      </c>
      <c r="L1169" s="8" t="n">
        <v>3</v>
      </c>
      <c r="M1169" s="29" t="inlineStr">
        <is>
          <t>HALİL DİĞRENCİ</t>
        </is>
      </c>
    </row>
    <row r="1170">
      <c r="A1170" s="4" t="n">
        <v>1169</v>
      </c>
      <c r="B1170" s="4" t="inlineStr">
        <is>
          <t>01404</t>
        </is>
      </c>
      <c r="C1170" s="4" t="inlineStr">
        <is>
          <t>01404</t>
        </is>
      </c>
      <c r="D1170" s="29" t="inlineStr">
        <is>
          <t>EMRE ÇELİK</t>
        </is>
      </c>
      <c r="E1170" s="4" t="inlineStr">
        <is>
          <t>Çarşamba</t>
        </is>
      </c>
      <c r="F1170" s="4" t="inlineStr">
        <is>
          <t>14.10.2026</t>
        </is>
      </c>
      <c r="G1170" s="4" t="inlineStr">
        <is>
          <t>20:06</t>
        </is>
      </c>
      <c r="H1170" s="4" t="inlineStr">
        <is>
          <t>14.10.2026</t>
        </is>
      </c>
      <c r="I1170" s="4" t="inlineStr">
        <is>
          <t>07:56</t>
        </is>
      </c>
      <c r="J1170" s="8" t="n">
        <v>10.5</v>
      </c>
      <c r="K1170" s="8" t="n">
        <v>7.5</v>
      </c>
      <c r="L1170" s="8" t="n">
        <v>3</v>
      </c>
      <c r="M1170" s="29" t="inlineStr">
        <is>
          <t>HALİL DİĞRENCİ</t>
        </is>
      </c>
    </row>
    <row r="1171">
      <c r="A1171" s="4" t="n">
        <v>1170</v>
      </c>
      <c r="B1171" s="4" t="inlineStr">
        <is>
          <t>01404</t>
        </is>
      </c>
      <c r="C1171" s="4" t="inlineStr">
        <is>
          <t>01404</t>
        </is>
      </c>
      <c r="D1171" s="29" t="inlineStr">
        <is>
          <t>EMRE ÇELİK</t>
        </is>
      </c>
      <c r="E1171" s="4" t="inlineStr">
        <is>
          <t>Perşembe</t>
        </is>
      </c>
      <c r="F1171" s="4" t="inlineStr">
        <is>
          <t>15.10.2026</t>
        </is>
      </c>
      <c r="G1171" s="4" t="inlineStr">
        <is>
          <t>19:51</t>
        </is>
      </c>
      <c r="H1171" s="4" t="inlineStr">
        <is>
          <t>15.10.2026</t>
        </is>
      </c>
      <c r="I1171" s="4" t="inlineStr">
        <is>
          <t>07:53</t>
        </is>
      </c>
      <c r="J1171" s="8" t="n">
        <v>10.5</v>
      </c>
      <c r="K1171" s="8" t="n">
        <v>7.5</v>
      </c>
      <c r="L1171" s="8" t="n">
        <v>3</v>
      </c>
      <c r="M1171" s="29" t="inlineStr">
        <is>
          <t>HALİL DİĞRENCİ</t>
        </is>
      </c>
    </row>
    <row r="1172">
      <c r="A1172" s="4" t="n">
        <v>1171</v>
      </c>
      <c r="B1172" s="4" t="inlineStr">
        <is>
          <t>01404</t>
        </is>
      </c>
      <c r="C1172" s="4" t="inlineStr">
        <is>
          <t>01404</t>
        </is>
      </c>
      <c r="D1172" s="29" t="inlineStr">
        <is>
          <t>EMRE ÇELİK</t>
        </is>
      </c>
      <c r="E1172" s="4" t="inlineStr">
        <is>
          <t>Pazartesi</t>
        </is>
      </c>
      <c r="F1172" s="4" t="inlineStr">
        <is>
          <t>19.10.2026</t>
        </is>
      </c>
      <c r="G1172" s="4" t="inlineStr">
        <is>
          <t>20:13</t>
        </is>
      </c>
      <c r="H1172" s="4" t="inlineStr">
        <is>
          <t>19.10.2026</t>
        </is>
      </c>
      <c r="I1172" s="4" t="inlineStr">
        <is>
          <t>07:57</t>
        </is>
      </c>
      <c r="J1172" s="8" t="n">
        <v>10.5</v>
      </c>
      <c r="K1172" s="8" t="n">
        <v>7.5</v>
      </c>
      <c r="L1172" s="8" t="n">
        <v>3</v>
      </c>
      <c r="M1172" s="29" t="inlineStr">
        <is>
          <t>HALİL DİĞRENCİ</t>
        </is>
      </c>
    </row>
    <row r="1173">
      <c r="A1173" s="4" t="n">
        <v>1172</v>
      </c>
      <c r="B1173" s="4" t="inlineStr">
        <is>
          <t>01403</t>
        </is>
      </c>
      <c r="C1173" s="4" t="inlineStr">
        <is>
          <t>01403</t>
        </is>
      </c>
      <c r="D1173" s="29" t="inlineStr">
        <is>
          <t>EMRE CAN ÇAKAR</t>
        </is>
      </c>
      <c r="E1173" s="4" t="inlineStr">
        <is>
          <t>Cuma</t>
        </is>
      </c>
      <c r="F1173" s="4" t="inlineStr">
        <is>
          <t>2.10.2026</t>
        </is>
      </c>
      <c r="G1173" s="4" t="inlineStr">
        <is>
          <t>-</t>
        </is>
      </c>
      <c r="H1173" s="4" t="inlineStr">
        <is>
          <t>2.10.2026</t>
        </is>
      </c>
      <c r="I1173" s="4" t="inlineStr">
        <is>
          <t>16:47</t>
        </is>
      </c>
      <c r="J1173" s="8" t="n">
        <v>7.5</v>
      </c>
      <c r="K1173" s="8" t="n">
        <v>7.5</v>
      </c>
      <c r="L1173" s="8" t="n">
        <v>0</v>
      </c>
      <c r="M1173" s="29" t="inlineStr">
        <is>
          <t>HALİL DİĞRENCİ</t>
        </is>
      </c>
    </row>
    <row r="1174">
      <c r="A1174" s="4" t="n">
        <v>1173</v>
      </c>
      <c r="B1174" s="4" t="inlineStr">
        <is>
          <t>01403</t>
        </is>
      </c>
      <c r="C1174" s="4" t="inlineStr">
        <is>
          <t>01403</t>
        </is>
      </c>
      <c r="D1174" s="29" t="inlineStr">
        <is>
          <t>EMRE CAN ÇAKAR</t>
        </is>
      </c>
      <c r="E1174" s="4" t="inlineStr">
        <is>
          <t>Pazartesi</t>
        </is>
      </c>
      <c r="F1174" s="4" t="inlineStr">
        <is>
          <t>5.10.2026</t>
        </is>
      </c>
      <c r="G1174" s="4" t="inlineStr">
        <is>
          <t>-</t>
        </is>
      </c>
      <c r="H1174" s="4" t="inlineStr">
        <is>
          <t>5.10.2026</t>
        </is>
      </c>
      <c r="I1174" s="4" t="inlineStr">
        <is>
          <t>17:01</t>
        </is>
      </c>
      <c r="J1174" s="8" t="n">
        <v>7.5</v>
      </c>
      <c r="K1174" s="8" t="n">
        <v>7.5</v>
      </c>
      <c r="L1174" s="8" t="n">
        <v>0</v>
      </c>
      <c r="M1174" s="29" t="inlineStr">
        <is>
          <t>HALİL DİĞRENCİ</t>
        </is>
      </c>
    </row>
    <row r="1175">
      <c r="A1175" s="4" t="n">
        <v>1174</v>
      </c>
      <c r="B1175" s="4" t="inlineStr">
        <is>
          <t>01403</t>
        </is>
      </c>
      <c r="C1175" s="4" t="inlineStr">
        <is>
          <t>01403</t>
        </is>
      </c>
      <c r="D1175" s="29" t="inlineStr">
        <is>
          <t>EMRE CAN ÇAKAR</t>
        </is>
      </c>
      <c r="E1175" s="4" t="inlineStr">
        <is>
          <t>Salı</t>
        </is>
      </c>
      <c r="F1175" s="4" t="inlineStr">
        <is>
          <t>6.10.2026</t>
        </is>
      </c>
      <c r="G1175" s="4" t="inlineStr">
        <is>
          <t>-</t>
        </is>
      </c>
      <c r="H1175" s="4" t="inlineStr">
        <is>
          <t>6.10.2026</t>
        </is>
      </c>
      <c r="I1175" s="4" t="inlineStr">
        <is>
          <t>16:49</t>
        </is>
      </c>
      <c r="J1175" s="8" t="n">
        <v>7.5</v>
      </c>
      <c r="K1175" s="8" t="n">
        <v>7.5</v>
      </c>
      <c r="L1175" s="8" t="n">
        <v>0</v>
      </c>
      <c r="M1175" s="29" t="inlineStr">
        <is>
          <t>HALİL DİĞRENCİ</t>
        </is>
      </c>
    </row>
    <row r="1176">
      <c r="A1176" s="4" t="n">
        <v>1175</v>
      </c>
      <c r="B1176" s="4" t="inlineStr">
        <is>
          <t>01403</t>
        </is>
      </c>
      <c r="C1176" s="4" t="inlineStr">
        <is>
          <t>01403</t>
        </is>
      </c>
      <c r="D1176" s="29" t="inlineStr">
        <is>
          <t>EMRE CAN ÇAKAR</t>
        </is>
      </c>
      <c r="E1176" s="4" t="inlineStr">
        <is>
          <t>Çarşamba</t>
        </is>
      </c>
      <c r="F1176" s="4" t="inlineStr">
        <is>
          <t>7.10.2026</t>
        </is>
      </c>
      <c r="G1176" s="4" t="inlineStr">
        <is>
          <t>-</t>
        </is>
      </c>
      <c r="H1176" s="4" t="inlineStr">
        <is>
          <t>7.10.2026</t>
        </is>
      </c>
      <c r="I1176" s="4" t="inlineStr">
        <is>
          <t>07:56</t>
        </is>
      </c>
      <c r="J1176" s="8" t="n">
        <v>22.5</v>
      </c>
      <c r="K1176" s="8" t="n">
        <v>7.5</v>
      </c>
      <c r="L1176" s="8" t="n">
        <v>15</v>
      </c>
      <c r="M1176" s="29" t="inlineStr">
        <is>
          <t>HALİL DİĞRENCİ</t>
        </is>
      </c>
    </row>
    <row r="1177">
      <c r="A1177" s="4" t="n">
        <v>1176</v>
      </c>
      <c r="B1177" s="4" t="inlineStr">
        <is>
          <t>01403</t>
        </is>
      </c>
      <c r="C1177" s="4" t="inlineStr">
        <is>
          <t>01403</t>
        </is>
      </c>
      <c r="D1177" s="29" t="inlineStr">
        <is>
          <t>EMRE CAN ÇAKAR</t>
        </is>
      </c>
      <c r="E1177" s="4" t="inlineStr">
        <is>
          <t>Perşembe</t>
        </is>
      </c>
      <c r="F1177" s="4" t="inlineStr">
        <is>
          <t>8.10.2026</t>
        </is>
      </c>
      <c r="G1177" s="4" t="inlineStr">
        <is>
          <t>-</t>
        </is>
      </c>
      <c r="H1177" s="4" t="inlineStr">
        <is>
          <t>8.10.2026</t>
        </is>
      </c>
      <c r="I1177" s="4" t="inlineStr">
        <is>
          <t>07:46</t>
        </is>
      </c>
      <c r="J1177" s="8" t="n">
        <v>22.5</v>
      </c>
      <c r="K1177" s="8" t="n">
        <v>7.5</v>
      </c>
      <c r="L1177" s="8" t="n">
        <v>15</v>
      </c>
      <c r="M1177" s="29" t="inlineStr">
        <is>
          <t>HALİL DİĞRENCİ</t>
        </is>
      </c>
    </row>
    <row r="1178">
      <c r="A1178" s="4" t="n">
        <v>1177</v>
      </c>
      <c r="B1178" s="4" t="inlineStr">
        <is>
          <t>01403</t>
        </is>
      </c>
      <c r="C1178" s="4" t="inlineStr">
        <is>
          <t>01403</t>
        </is>
      </c>
      <c r="D1178" s="29" t="inlineStr">
        <is>
          <t>EMRE CAN ÇAKAR</t>
        </is>
      </c>
      <c r="E1178" s="4" t="inlineStr">
        <is>
          <t>Cuma</t>
        </is>
      </c>
      <c r="F1178" s="4" t="inlineStr">
        <is>
          <t>9.10.2026</t>
        </is>
      </c>
      <c r="G1178" s="4" t="inlineStr">
        <is>
          <t>-</t>
        </is>
      </c>
      <c r="H1178" s="4" t="inlineStr">
        <is>
          <t>9.10.2026</t>
        </is>
      </c>
      <c r="I1178" s="4" t="inlineStr">
        <is>
          <t>19:51</t>
        </is>
      </c>
      <c r="J1178" s="8" t="n">
        <v>10.5</v>
      </c>
      <c r="K1178" s="8" t="n">
        <v>7.5</v>
      </c>
      <c r="L1178" s="8" t="n">
        <v>3</v>
      </c>
      <c r="M1178" s="29" t="inlineStr">
        <is>
          <t>HALİL DİĞRENCİ</t>
        </is>
      </c>
    </row>
    <row r="1179">
      <c r="A1179" s="4" t="n">
        <v>1178</v>
      </c>
      <c r="B1179" s="4" t="inlineStr">
        <is>
          <t>01403</t>
        </is>
      </c>
      <c r="C1179" s="4" t="inlineStr">
        <is>
          <t>01403</t>
        </is>
      </c>
      <c r="D1179" s="29" t="inlineStr">
        <is>
          <t>EMRE CAN ÇAKAR</t>
        </is>
      </c>
      <c r="E1179" s="4" t="inlineStr">
        <is>
          <t>Cumartesi</t>
        </is>
      </c>
      <c r="F1179" s="4" t="inlineStr">
        <is>
          <t>10.10.2026</t>
        </is>
      </c>
      <c r="G1179" s="4" t="inlineStr">
        <is>
          <t>-</t>
        </is>
      </c>
      <c r="H1179" s="4" t="inlineStr">
        <is>
          <t>10.10.2026</t>
        </is>
      </c>
      <c r="I1179" s="4" t="inlineStr">
        <is>
          <t>16:55</t>
        </is>
      </c>
      <c r="J1179" s="8" t="n">
        <v>7.5</v>
      </c>
      <c r="K1179" s="8" t="n">
        <v>7.5</v>
      </c>
      <c r="L1179" s="8" t="n">
        <v>0</v>
      </c>
      <c r="M1179" s="29" t="inlineStr">
        <is>
          <t>HALİL DİĞRENCİ</t>
        </is>
      </c>
    </row>
    <row r="1180">
      <c r="A1180" s="4" t="n">
        <v>1179</v>
      </c>
      <c r="B1180" s="4" t="inlineStr">
        <is>
          <t>01403</t>
        </is>
      </c>
      <c r="C1180" s="4" t="inlineStr">
        <is>
          <t>01403</t>
        </is>
      </c>
      <c r="D1180" s="29" t="inlineStr">
        <is>
          <t>EMRE CAN ÇAKAR</t>
        </is>
      </c>
      <c r="E1180" s="4" t="inlineStr">
        <is>
          <t>Pazartesi</t>
        </is>
      </c>
      <c r="F1180" s="4" t="inlineStr">
        <is>
          <t>12.10.2026</t>
        </is>
      </c>
      <c r="G1180" s="4" t="inlineStr">
        <is>
          <t>20:01</t>
        </is>
      </c>
      <c r="H1180" s="4" t="inlineStr">
        <is>
          <t>12.10.2026</t>
        </is>
      </c>
      <c r="I1180" s="4" t="inlineStr">
        <is>
          <t>08:00</t>
        </is>
      </c>
      <c r="J1180" s="8" t="n">
        <v>10.5</v>
      </c>
      <c r="K1180" s="8" t="n">
        <v>7.5</v>
      </c>
      <c r="L1180" s="8" t="n">
        <v>3</v>
      </c>
      <c r="M1180" s="29" t="inlineStr">
        <is>
          <t>HALİL DİĞRENCİ</t>
        </is>
      </c>
    </row>
    <row r="1181">
      <c r="A1181" s="4" t="n">
        <v>1180</v>
      </c>
      <c r="B1181" s="4" t="inlineStr">
        <is>
          <t>01403</t>
        </is>
      </c>
      <c r="C1181" s="4" t="inlineStr">
        <is>
          <t>01403</t>
        </is>
      </c>
      <c r="D1181" s="29" t="inlineStr">
        <is>
          <t>EMRE CAN ÇAKAR</t>
        </is>
      </c>
      <c r="E1181" s="4" t="inlineStr">
        <is>
          <t>Salı</t>
        </is>
      </c>
      <c r="F1181" s="4" t="inlineStr">
        <is>
          <t>13.10.2026</t>
        </is>
      </c>
      <c r="G1181" s="4" t="inlineStr">
        <is>
          <t>-</t>
        </is>
      </c>
      <c r="H1181" s="4" t="inlineStr">
        <is>
          <t>13.10.2026</t>
        </is>
      </c>
      <c r="I1181" s="4" t="inlineStr">
        <is>
          <t>08:00</t>
        </is>
      </c>
      <c r="J1181" s="8" t="n">
        <v>7.5</v>
      </c>
      <c r="K1181" s="8" t="n">
        <v>7.5</v>
      </c>
      <c r="L1181" s="8" t="n">
        <v>0</v>
      </c>
      <c r="M1181" s="29" t="inlineStr">
        <is>
          <t>HALİL DİĞRENCİ</t>
        </is>
      </c>
    </row>
    <row r="1182">
      <c r="A1182" s="4" t="n">
        <v>1181</v>
      </c>
      <c r="B1182" s="4" t="inlineStr">
        <is>
          <t>01403</t>
        </is>
      </c>
      <c r="C1182" s="4" t="inlineStr">
        <is>
          <t>01403</t>
        </is>
      </c>
      <c r="D1182" s="29" t="inlineStr">
        <is>
          <t>EMRE CAN ÇAKAR</t>
        </is>
      </c>
      <c r="E1182" s="4" t="inlineStr">
        <is>
          <t>Perşembe</t>
        </is>
      </c>
      <c r="F1182" s="4" t="inlineStr">
        <is>
          <t>15.10.2026</t>
        </is>
      </c>
      <c r="G1182" s="4" t="inlineStr">
        <is>
          <t>-</t>
        </is>
      </c>
      <c r="H1182" s="4" t="inlineStr">
        <is>
          <t>15.10.2026</t>
        </is>
      </c>
      <c r="I1182" s="4" t="inlineStr">
        <is>
          <t>17:02</t>
        </is>
      </c>
      <c r="J1182" s="8" t="n">
        <v>7.5</v>
      </c>
      <c r="K1182" s="8" t="n">
        <v>7.5</v>
      </c>
      <c r="L1182" s="8" t="n">
        <v>0</v>
      </c>
      <c r="M1182" s="29" t="inlineStr">
        <is>
          <t>HALİL DİĞRENCİ</t>
        </is>
      </c>
    </row>
    <row r="1183">
      <c r="A1183" s="4" t="n">
        <v>1182</v>
      </c>
      <c r="B1183" s="4" t="inlineStr">
        <is>
          <t>01403</t>
        </is>
      </c>
      <c r="C1183" s="4" t="inlineStr">
        <is>
          <t>01403</t>
        </is>
      </c>
      <c r="D1183" s="29" t="inlineStr">
        <is>
          <t>EMRE CAN ÇAKAR</t>
        </is>
      </c>
      <c r="E1183" s="4" t="inlineStr">
        <is>
          <t>Cuma</t>
        </is>
      </c>
      <c r="F1183" s="4" t="inlineStr">
        <is>
          <t>16.10.2026</t>
        </is>
      </c>
      <c r="G1183" s="4" t="inlineStr">
        <is>
          <t>-</t>
        </is>
      </c>
      <c r="H1183" s="4" t="inlineStr">
        <is>
          <t>16.10.2026</t>
        </is>
      </c>
      <c r="I1183" s="4" t="inlineStr">
        <is>
          <t>16:42</t>
        </is>
      </c>
      <c r="J1183" s="8" t="n">
        <v>7</v>
      </c>
      <c r="K1183" s="8" t="n">
        <v>7</v>
      </c>
      <c r="L1183" s="8" t="n">
        <v>0</v>
      </c>
      <c r="M1183" s="29" t="inlineStr">
        <is>
          <t>HALİL DİĞRENCİ</t>
        </is>
      </c>
    </row>
    <row r="1184">
      <c r="A1184" s="4" t="n">
        <v>1183</v>
      </c>
      <c r="B1184" s="4" t="inlineStr">
        <is>
          <t>01403</t>
        </is>
      </c>
      <c r="C1184" s="4" t="inlineStr">
        <is>
          <t>01403</t>
        </is>
      </c>
      <c r="D1184" s="29" t="inlineStr">
        <is>
          <t>EMRE CAN ÇAKAR</t>
        </is>
      </c>
      <c r="E1184" s="4" t="inlineStr">
        <is>
          <t>Cumartesi</t>
        </is>
      </c>
      <c r="F1184" s="4" t="inlineStr">
        <is>
          <t>17.10.2026</t>
        </is>
      </c>
      <c r="G1184" s="4" t="inlineStr">
        <is>
          <t>-</t>
        </is>
      </c>
      <c r="H1184" s="4" t="inlineStr">
        <is>
          <t>17.10.2026</t>
        </is>
      </c>
      <c r="I1184" s="4" t="inlineStr">
        <is>
          <t>17:03</t>
        </is>
      </c>
      <c r="J1184" s="8" t="n">
        <v>7.5</v>
      </c>
      <c r="K1184" s="8" t="n">
        <v>7.5</v>
      </c>
      <c r="L1184" s="8" t="n">
        <v>0</v>
      </c>
      <c r="M1184" s="29" t="inlineStr">
        <is>
          <t>HALİL DİĞRENCİ</t>
        </is>
      </c>
    </row>
    <row r="1185">
      <c r="A1185" s="4" t="n">
        <v>1184</v>
      </c>
      <c r="B1185" s="4" t="inlineStr">
        <is>
          <t>01403</t>
        </is>
      </c>
      <c r="C1185" s="4" t="inlineStr">
        <is>
          <t>01403</t>
        </is>
      </c>
      <c r="D1185" s="29" t="inlineStr">
        <is>
          <t>EMRE CAN ÇAKAR</t>
        </is>
      </c>
      <c r="E1185" s="4" t="inlineStr">
        <is>
          <t>Pazar</t>
        </is>
      </c>
      <c r="F1185" s="4" t="inlineStr">
        <is>
          <t>18.10.2026</t>
        </is>
      </c>
      <c r="G1185" s="4" t="inlineStr">
        <is>
          <t>-</t>
        </is>
      </c>
      <c r="H1185" s="4" t="inlineStr">
        <is>
          <t>18.10.2026</t>
        </is>
      </c>
      <c r="I1185" s="4" t="inlineStr">
        <is>
          <t>20:00</t>
        </is>
      </c>
      <c r="J1185" s="8" t="n">
        <v>10.5</v>
      </c>
      <c r="K1185" s="8" t="n">
        <v>7.5</v>
      </c>
      <c r="L1185" s="8" t="n">
        <v>3</v>
      </c>
      <c r="M1185" s="29" t="inlineStr">
        <is>
          <t>HALİL DİĞRENCİ</t>
        </is>
      </c>
    </row>
    <row r="1186">
      <c r="A1186" s="4" t="n">
        <v>1185</v>
      </c>
      <c r="B1186" s="4" t="inlineStr">
        <is>
          <t>01403</t>
        </is>
      </c>
      <c r="C1186" s="4" t="inlineStr">
        <is>
          <t>01403</t>
        </is>
      </c>
      <c r="D1186" s="29" t="inlineStr">
        <is>
          <t>EMRE CAN ÇAKAR</t>
        </is>
      </c>
      <c r="E1186" s="4" t="inlineStr">
        <is>
          <t>Pazartesi</t>
        </is>
      </c>
      <c r="F1186" s="4" t="inlineStr">
        <is>
          <t>19.10.2026</t>
        </is>
      </c>
      <c r="G1186" s="4" t="inlineStr">
        <is>
          <t>-</t>
        </is>
      </c>
      <c r="H1186" s="4" t="inlineStr">
        <is>
          <t>19.10.2026</t>
        </is>
      </c>
      <c r="I1186" s="4" t="inlineStr">
        <is>
          <t>09:15</t>
        </is>
      </c>
      <c r="J1186" s="8" t="n">
        <v>1</v>
      </c>
      <c r="K1186" s="8" t="n">
        <v>1</v>
      </c>
      <c r="L1186" s="8" t="n">
        <v>0</v>
      </c>
      <c r="M1186" s="29" t="inlineStr">
        <is>
          <t>HALİL DİĞRENCİ</t>
        </is>
      </c>
    </row>
    <row r="1187">
      <c r="A1187" s="4" t="n">
        <v>1186</v>
      </c>
      <c r="B1187" s="4" t="inlineStr">
        <is>
          <t>00007</t>
        </is>
      </c>
      <c r="C1187" s="4" t="inlineStr">
        <is>
          <t>00007</t>
        </is>
      </c>
      <c r="D1187" s="29" t="inlineStr">
        <is>
          <t>ENDER BİLBAY</t>
        </is>
      </c>
      <c r="E1187" s="4" t="inlineStr">
        <is>
          <t>Perşembe</t>
        </is>
      </c>
      <c r="F1187" s="4" t="inlineStr">
        <is>
          <t>1.10.2026</t>
        </is>
      </c>
      <c r="G1187" s="4" t="inlineStr">
        <is>
          <t>22:53</t>
        </is>
      </c>
      <c r="H1187" s="4" t="inlineStr">
        <is>
          <t>1.10.2026</t>
        </is>
      </c>
      <c r="I1187" s="4" t="inlineStr">
        <is>
          <t>00:24</t>
        </is>
      </c>
      <c r="J1187" s="8" t="n">
        <v>0.5</v>
      </c>
      <c r="K1187" s="8" t="n">
        <v>0.5</v>
      </c>
      <c r="L1187" s="8" t="n">
        <v>0</v>
      </c>
      <c r="M1187" s="29" t="inlineStr">
        <is>
          <t>GÖBEL</t>
        </is>
      </c>
    </row>
    <row r="1188">
      <c r="A1188" s="4" t="n">
        <v>1187</v>
      </c>
      <c r="B1188" s="4" t="inlineStr">
        <is>
          <t>00007</t>
        </is>
      </c>
      <c r="C1188" s="4" t="inlineStr">
        <is>
          <t>00007</t>
        </is>
      </c>
      <c r="D1188" s="29" t="inlineStr">
        <is>
          <t>ENDER BİLBAY</t>
        </is>
      </c>
      <c r="E1188" s="4" t="inlineStr">
        <is>
          <t>Cuma</t>
        </is>
      </c>
      <c r="F1188" s="4" t="inlineStr">
        <is>
          <t>2.10.2026</t>
        </is>
      </c>
      <c r="G1188" s="4" t="inlineStr">
        <is>
          <t>15:47</t>
        </is>
      </c>
      <c r="H1188" s="4" t="inlineStr">
        <is>
          <t>2.10.2026</t>
        </is>
      </c>
      <c r="I1188" s="4" t="inlineStr">
        <is>
          <t>00:03</t>
        </is>
      </c>
      <c r="J1188" s="8" t="n">
        <v>7.5</v>
      </c>
      <c r="K1188" s="8" t="n">
        <v>7.5</v>
      </c>
      <c r="L1188" s="8" t="n">
        <v>0</v>
      </c>
      <c r="M1188" s="29" t="inlineStr">
        <is>
          <t>GÖBEL</t>
        </is>
      </c>
    </row>
    <row r="1189">
      <c r="A1189" s="4" t="n">
        <v>1188</v>
      </c>
      <c r="B1189" s="4" t="inlineStr">
        <is>
          <t>00007</t>
        </is>
      </c>
      <c r="C1189" s="4" t="inlineStr">
        <is>
          <t>00007</t>
        </is>
      </c>
      <c r="D1189" s="29" t="inlineStr">
        <is>
          <t>ENDER BİLBAY</t>
        </is>
      </c>
      <c r="E1189" s="4" t="inlineStr">
        <is>
          <t>Cumartesi</t>
        </is>
      </c>
      <c r="F1189" s="4" t="inlineStr">
        <is>
          <t>3.10.2026</t>
        </is>
      </c>
      <c r="G1189" s="4" t="inlineStr">
        <is>
          <t>15:56</t>
        </is>
      </c>
      <c r="H1189" s="4" t="inlineStr">
        <is>
          <t>3.10.2026</t>
        </is>
      </c>
      <c r="I1189" s="4" t="inlineStr">
        <is>
          <t>00:04</t>
        </is>
      </c>
      <c r="J1189" s="8" t="n">
        <v>7.5</v>
      </c>
      <c r="K1189" s="8" t="n">
        <v>7.5</v>
      </c>
      <c r="L1189" s="8" t="n">
        <v>0</v>
      </c>
      <c r="M1189" s="29" t="inlineStr">
        <is>
          <t>GÖBEL</t>
        </is>
      </c>
    </row>
    <row r="1190">
      <c r="A1190" s="4" t="n">
        <v>1189</v>
      </c>
      <c r="B1190" s="4" t="inlineStr">
        <is>
          <t>00007</t>
        </is>
      </c>
      <c r="C1190" s="4" t="inlineStr">
        <is>
          <t>00007</t>
        </is>
      </c>
      <c r="D1190" s="29" t="inlineStr">
        <is>
          <t>ENDER BİLBAY</t>
        </is>
      </c>
      <c r="E1190" s="4" t="inlineStr">
        <is>
          <t>Pazar</t>
        </is>
      </c>
      <c r="F1190" s="4" t="inlineStr">
        <is>
          <t>4.10.2026</t>
        </is>
      </c>
      <c r="G1190" s="4" t="inlineStr">
        <is>
          <t>16:09</t>
        </is>
      </c>
      <c r="H1190" s="4" t="inlineStr">
        <is>
          <t>4.10.2026</t>
        </is>
      </c>
      <c r="I1190" s="4" t="inlineStr">
        <is>
          <t>23:55</t>
        </is>
      </c>
      <c r="J1190" s="8" t="n">
        <v>7.5</v>
      </c>
      <c r="K1190" s="8" t="n">
        <v>7.5</v>
      </c>
      <c r="L1190" s="8" t="n">
        <v>0</v>
      </c>
      <c r="M1190" s="29" t="inlineStr">
        <is>
          <t>GÖBEL</t>
        </is>
      </c>
    </row>
    <row r="1191">
      <c r="A1191" s="4" t="n">
        <v>1190</v>
      </c>
      <c r="B1191" s="4" t="inlineStr">
        <is>
          <t>00007</t>
        </is>
      </c>
      <c r="C1191" s="4" t="inlineStr">
        <is>
          <t>00007</t>
        </is>
      </c>
      <c r="D1191" s="29" t="inlineStr">
        <is>
          <t>ENDER BİLBAY</t>
        </is>
      </c>
      <c r="E1191" s="4" t="inlineStr">
        <is>
          <t>Pazartesi</t>
        </is>
      </c>
      <c r="F1191" s="4" t="inlineStr">
        <is>
          <t>5.10.2026</t>
        </is>
      </c>
      <c r="G1191" s="4" t="inlineStr">
        <is>
          <t>15:48</t>
        </is>
      </c>
      <c r="H1191" s="4" t="inlineStr">
        <is>
          <t>5.10.2026</t>
        </is>
      </c>
      <c r="I1191" s="4" t="inlineStr">
        <is>
          <t>00:00</t>
        </is>
      </c>
      <c r="J1191" s="8" t="n">
        <v>7.5</v>
      </c>
      <c r="K1191" s="8" t="n">
        <v>7.5</v>
      </c>
      <c r="L1191" s="8" t="n">
        <v>0</v>
      </c>
      <c r="M1191" s="29" t="inlineStr">
        <is>
          <t>GÖBEL</t>
        </is>
      </c>
    </row>
    <row r="1192">
      <c r="A1192" s="4" t="n">
        <v>1191</v>
      </c>
      <c r="B1192" s="4" t="inlineStr">
        <is>
          <t>00007</t>
        </is>
      </c>
      <c r="C1192" s="4" t="inlineStr">
        <is>
          <t>00007</t>
        </is>
      </c>
      <c r="D1192" s="29" t="inlineStr">
        <is>
          <t>ENDER BİLBAY</t>
        </is>
      </c>
      <c r="E1192" s="4" t="inlineStr">
        <is>
          <t>Salı</t>
        </is>
      </c>
      <c r="F1192" s="4" t="inlineStr">
        <is>
          <t>6.10.2026</t>
        </is>
      </c>
      <c r="G1192" s="4" t="inlineStr">
        <is>
          <t>15:59</t>
        </is>
      </c>
      <c r="H1192" s="4" t="inlineStr">
        <is>
          <t>6.10.2026</t>
        </is>
      </c>
      <c r="I1192" s="4" t="inlineStr">
        <is>
          <t>00:00</t>
        </is>
      </c>
      <c r="J1192" s="8" t="n">
        <v>6.42</v>
      </c>
      <c r="K1192" s="8" t="n">
        <v>6.42</v>
      </c>
      <c r="L1192" s="8" t="n">
        <v>0</v>
      </c>
      <c r="M1192" s="29" t="inlineStr">
        <is>
          <t>GÖBEL</t>
        </is>
      </c>
    </row>
    <row r="1193">
      <c r="A1193" s="4" t="n">
        <v>1192</v>
      </c>
      <c r="B1193" s="4" t="inlineStr">
        <is>
          <t>00007</t>
        </is>
      </c>
      <c r="C1193" s="4" t="inlineStr">
        <is>
          <t>00007</t>
        </is>
      </c>
      <c r="D1193" s="29" t="inlineStr">
        <is>
          <t>ENDER BİLBAY</t>
        </is>
      </c>
      <c r="E1193" s="4" t="inlineStr">
        <is>
          <t>Çarşamba</t>
        </is>
      </c>
      <c r="F1193" s="4" t="inlineStr">
        <is>
          <t>7.10.2026</t>
        </is>
      </c>
      <c r="G1193" s="4" t="inlineStr">
        <is>
          <t>15:49</t>
        </is>
      </c>
      <c r="H1193" s="4" t="inlineStr">
        <is>
          <t>7.10.2026</t>
        </is>
      </c>
      <c r="I1193" s="4" t="inlineStr">
        <is>
          <t>23:56</t>
        </is>
      </c>
      <c r="J1193" s="8" t="n">
        <v>7.5</v>
      </c>
      <c r="K1193" s="8" t="n">
        <v>7.5</v>
      </c>
      <c r="L1193" s="8" t="n">
        <v>0</v>
      </c>
      <c r="M1193" s="29" t="inlineStr">
        <is>
          <t>GÖBEL</t>
        </is>
      </c>
    </row>
    <row r="1194">
      <c r="A1194" s="4" t="n">
        <v>1193</v>
      </c>
      <c r="B1194" s="4" t="inlineStr">
        <is>
          <t>00007</t>
        </is>
      </c>
      <c r="C1194" s="4" t="inlineStr">
        <is>
          <t>00007</t>
        </is>
      </c>
      <c r="D1194" s="29" t="inlineStr">
        <is>
          <t>ENDER BİLBAY</t>
        </is>
      </c>
      <c r="E1194" s="4" t="inlineStr">
        <is>
          <t>Perşembe</t>
        </is>
      </c>
      <c r="F1194" s="4" t="inlineStr">
        <is>
          <t>8.10.2026</t>
        </is>
      </c>
      <c r="G1194" s="4" t="inlineStr">
        <is>
          <t>16:02</t>
        </is>
      </c>
      <c r="H1194" s="4" t="inlineStr">
        <is>
          <t>8.10.2026</t>
        </is>
      </c>
      <c r="I1194" s="4" t="inlineStr">
        <is>
          <t>-</t>
        </is>
      </c>
      <c r="J1194" s="8" t="n">
        <v>7.5</v>
      </c>
      <c r="K1194" s="8" t="n">
        <v>7.5</v>
      </c>
      <c r="L1194" s="8" t="n">
        <v>0</v>
      </c>
      <c r="M1194" s="29" t="inlineStr">
        <is>
          <t>GÖBEL</t>
        </is>
      </c>
    </row>
    <row r="1195">
      <c r="A1195" s="4" t="n">
        <v>1194</v>
      </c>
      <c r="B1195" s="4" t="inlineStr">
        <is>
          <t>00007</t>
        </is>
      </c>
      <c r="C1195" s="4" t="inlineStr">
        <is>
          <t>00007</t>
        </is>
      </c>
      <c r="D1195" s="29" t="inlineStr">
        <is>
          <t>ENDER BİLBAY</t>
        </is>
      </c>
      <c r="E1195" s="4" t="inlineStr">
        <is>
          <t>Cuma</t>
        </is>
      </c>
      <c r="F1195" s="4" t="inlineStr">
        <is>
          <t>9.10.2026</t>
        </is>
      </c>
      <c r="G1195" s="4" t="inlineStr">
        <is>
          <t>15:52</t>
        </is>
      </c>
      <c r="H1195" s="4" t="inlineStr">
        <is>
          <t>9.10.2026</t>
        </is>
      </c>
      <c r="I1195" s="4" t="inlineStr">
        <is>
          <t>00:04</t>
        </is>
      </c>
      <c r="J1195" s="8" t="n">
        <v>7.5</v>
      </c>
      <c r="K1195" s="8" t="n">
        <v>7.5</v>
      </c>
      <c r="L1195" s="8" t="n">
        <v>0</v>
      </c>
      <c r="M1195" s="29" t="inlineStr">
        <is>
          <t>GÖBEL</t>
        </is>
      </c>
    </row>
    <row r="1196">
      <c r="A1196" s="4" t="n">
        <v>1195</v>
      </c>
      <c r="B1196" s="4" t="inlineStr">
        <is>
          <t>00007</t>
        </is>
      </c>
      <c r="C1196" s="4" t="inlineStr">
        <is>
          <t>00007</t>
        </is>
      </c>
      <c r="D1196" s="29" t="inlineStr">
        <is>
          <t>ENDER BİLBAY</t>
        </is>
      </c>
      <c r="E1196" s="4" t="inlineStr">
        <is>
          <t>Cumartesi</t>
        </is>
      </c>
      <c r="F1196" s="4" t="inlineStr">
        <is>
          <t>10.10.2026</t>
        </is>
      </c>
      <c r="G1196" s="4" t="inlineStr">
        <is>
          <t>16:01</t>
        </is>
      </c>
      <c r="H1196" s="4" t="inlineStr">
        <is>
          <t>10.10.2026</t>
        </is>
      </c>
      <c r="I1196" s="4" t="inlineStr">
        <is>
          <t>23:52</t>
        </is>
      </c>
      <c r="J1196" s="8" t="n">
        <v>7.5</v>
      </c>
      <c r="K1196" s="8" t="n">
        <v>7.5</v>
      </c>
      <c r="L1196" s="8" t="n">
        <v>0</v>
      </c>
      <c r="M1196" s="29" t="inlineStr">
        <is>
          <t>GÖBEL</t>
        </is>
      </c>
    </row>
    <row r="1197">
      <c r="A1197" s="4" t="n">
        <v>1196</v>
      </c>
      <c r="B1197" s="4" t="inlineStr">
        <is>
          <t>00007</t>
        </is>
      </c>
      <c r="C1197" s="4" t="inlineStr">
        <is>
          <t>00007</t>
        </is>
      </c>
      <c r="D1197" s="29" t="inlineStr">
        <is>
          <t>ENDER BİLBAY</t>
        </is>
      </c>
      <c r="E1197" s="4" t="inlineStr">
        <is>
          <t>Pazar</t>
        </is>
      </c>
      <c r="F1197" s="4" t="inlineStr">
        <is>
          <t>11.10.2026</t>
        </is>
      </c>
      <c r="G1197" s="4" t="inlineStr">
        <is>
          <t>07:57</t>
        </is>
      </c>
      <c r="H1197" s="4" t="inlineStr">
        <is>
          <t>11.10.2026</t>
        </is>
      </c>
      <c r="I1197" s="4" t="inlineStr">
        <is>
          <t>15:51</t>
        </is>
      </c>
      <c r="J1197" s="8" t="n">
        <v>7.5</v>
      </c>
      <c r="K1197" s="8" t="n">
        <v>7.5</v>
      </c>
      <c r="L1197" s="8" t="n">
        <v>0</v>
      </c>
      <c r="M1197" s="29" t="inlineStr">
        <is>
          <t>GÖBEL</t>
        </is>
      </c>
    </row>
    <row r="1198">
      <c r="A1198" s="4" t="n">
        <v>1197</v>
      </c>
      <c r="B1198" s="4" t="inlineStr">
        <is>
          <t>00007</t>
        </is>
      </c>
      <c r="C1198" s="4" t="inlineStr">
        <is>
          <t>00007</t>
        </is>
      </c>
      <c r="D1198" s="29" t="inlineStr">
        <is>
          <t>ENDER BİLBAY</t>
        </is>
      </c>
      <c r="E1198" s="4" t="inlineStr">
        <is>
          <t>Pazartesi</t>
        </is>
      </c>
      <c r="F1198" s="4" t="inlineStr">
        <is>
          <t>19.10.2026</t>
        </is>
      </c>
      <c r="G1198" s="4" t="inlineStr">
        <is>
          <t>15:49</t>
        </is>
      </c>
      <c r="H1198" s="4" t="inlineStr">
        <is>
          <t>19.10.2026</t>
        </is>
      </c>
      <c r="I1198" s="4" t="inlineStr">
        <is>
          <t>23:59</t>
        </is>
      </c>
      <c r="J1198" s="8" t="n">
        <v>7.5</v>
      </c>
      <c r="K1198" s="8" t="n">
        <v>7.5</v>
      </c>
      <c r="L1198" s="8" t="n">
        <v>0</v>
      </c>
      <c r="M1198" s="29" t="inlineStr">
        <is>
          <t>GÖBEL</t>
        </is>
      </c>
    </row>
    <row r="1199">
      <c r="A1199" s="4" t="n">
        <v>1198</v>
      </c>
      <c r="B1199" s="4" t="inlineStr">
        <is>
          <t>00007</t>
        </is>
      </c>
      <c r="C1199" s="4" t="inlineStr">
        <is>
          <t>00007</t>
        </is>
      </c>
      <c r="D1199" s="29" t="inlineStr">
        <is>
          <t>ENDER BİLBAY</t>
        </is>
      </c>
      <c r="E1199" s="4" t="inlineStr">
        <is>
          <t>Salı</t>
        </is>
      </c>
      <c r="F1199" s="4" t="inlineStr">
        <is>
          <t>20.10.2026</t>
        </is>
      </c>
      <c r="G1199" s="4" t="inlineStr">
        <is>
          <t>15:39</t>
        </is>
      </c>
      <c r="H1199" s="4" t="inlineStr">
        <is>
          <t>20.10.2026</t>
        </is>
      </c>
      <c r="I1199" s="4" t="inlineStr">
        <is>
          <t>00:14</t>
        </is>
      </c>
      <c r="J1199" s="8" t="n">
        <v>7.5</v>
      </c>
      <c r="K1199" s="8" t="n">
        <v>7.5</v>
      </c>
      <c r="L1199" s="8" t="n">
        <v>0</v>
      </c>
      <c r="M1199" s="29" t="inlineStr">
        <is>
          <t>GÖBEL</t>
        </is>
      </c>
    </row>
    <row r="1200">
      <c r="A1200" s="4" t="n">
        <v>1199</v>
      </c>
      <c r="B1200" s="4" t="inlineStr">
        <is>
          <t>00007</t>
        </is>
      </c>
      <c r="C1200" s="4" t="inlineStr">
        <is>
          <t>00007</t>
        </is>
      </c>
      <c r="D1200" s="29" t="inlineStr">
        <is>
          <t>ENDER BİLBAY</t>
        </is>
      </c>
      <c r="E1200" s="4" t="inlineStr">
        <is>
          <t>Çarşamba</t>
        </is>
      </c>
      <c r="F1200" s="4" t="inlineStr">
        <is>
          <t>21.10.2026</t>
        </is>
      </c>
      <c r="G1200" s="4" t="inlineStr">
        <is>
          <t>15:46</t>
        </is>
      </c>
      <c r="H1200" s="4" t="inlineStr">
        <is>
          <t>21.10.2026</t>
        </is>
      </c>
      <c r="I1200" s="4" t="inlineStr">
        <is>
          <t>-</t>
        </is>
      </c>
      <c r="J1200" s="8" t="n">
        <v>7.5</v>
      </c>
      <c r="K1200" s="8" t="n">
        <v>7.5</v>
      </c>
      <c r="L1200" s="8" t="n">
        <v>0</v>
      </c>
      <c r="M1200" s="29" t="inlineStr">
        <is>
          <t>GÖBEL</t>
        </is>
      </c>
    </row>
    <row r="1201">
      <c r="A1201" s="4" t="n">
        <v>1200</v>
      </c>
      <c r="B1201" s="4" t="inlineStr">
        <is>
          <t>00293</t>
        </is>
      </c>
      <c r="C1201" s="4" t="inlineStr">
        <is>
          <t>00293</t>
        </is>
      </c>
      <c r="D1201" s="29" t="inlineStr">
        <is>
          <t>ENES ABDE</t>
        </is>
      </c>
      <c r="E1201" s="4" t="inlineStr">
        <is>
          <t>Perşembe</t>
        </is>
      </c>
      <c r="F1201" s="4" t="inlineStr">
        <is>
          <t>1.10.2026</t>
        </is>
      </c>
      <c r="G1201" s="4" t="inlineStr">
        <is>
          <t>07:41</t>
        </is>
      </c>
      <c r="H1201" s="4" t="inlineStr">
        <is>
          <t>1.10.2026</t>
        </is>
      </c>
      <c r="I1201" s="4" t="inlineStr">
        <is>
          <t>17:33</t>
        </is>
      </c>
      <c r="J1201" s="8" t="n">
        <v>8</v>
      </c>
      <c r="K1201" s="8" t="n">
        <v>7.5</v>
      </c>
      <c r="L1201" s="8" t="n">
        <v>0.5</v>
      </c>
      <c r="M1201" s="29" t="inlineStr">
        <is>
          <t>MKP</t>
        </is>
      </c>
    </row>
    <row r="1202">
      <c r="A1202" s="4" t="n">
        <v>1201</v>
      </c>
      <c r="B1202" s="4" t="inlineStr">
        <is>
          <t>00293</t>
        </is>
      </c>
      <c r="C1202" s="4" t="inlineStr">
        <is>
          <t>00293</t>
        </is>
      </c>
      <c r="D1202" s="29" t="inlineStr">
        <is>
          <t>ENES ABDE</t>
        </is>
      </c>
      <c r="E1202" s="4" t="inlineStr">
        <is>
          <t>Cuma</t>
        </is>
      </c>
      <c r="F1202" s="4" t="inlineStr">
        <is>
          <t>2.10.2026</t>
        </is>
      </c>
      <c r="G1202" s="4" t="inlineStr">
        <is>
          <t>07:48</t>
        </is>
      </c>
      <c r="H1202" s="4" t="inlineStr">
        <is>
          <t>2.10.2026</t>
        </is>
      </c>
      <c r="I1202" s="4" t="inlineStr">
        <is>
          <t>17:54</t>
        </is>
      </c>
      <c r="J1202" s="8" t="n">
        <v>8.5</v>
      </c>
      <c r="K1202" s="8" t="n">
        <v>7.5</v>
      </c>
      <c r="L1202" s="8" t="n">
        <v>1</v>
      </c>
      <c r="M1202" s="29" t="inlineStr">
        <is>
          <t>MKP</t>
        </is>
      </c>
    </row>
    <row r="1203">
      <c r="A1203" s="4" t="n">
        <v>1202</v>
      </c>
      <c r="B1203" s="4" t="inlineStr">
        <is>
          <t>00293</t>
        </is>
      </c>
      <c r="C1203" s="4" t="inlineStr">
        <is>
          <t>00293</t>
        </is>
      </c>
      <c r="D1203" s="29" t="inlineStr">
        <is>
          <t>ENES ABDE</t>
        </is>
      </c>
      <c r="E1203" s="4" t="inlineStr">
        <is>
          <t>Cumartesi</t>
        </is>
      </c>
      <c r="F1203" s="4" t="inlineStr">
        <is>
          <t>3.10.2026</t>
        </is>
      </c>
      <c r="G1203" s="4" t="inlineStr">
        <is>
          <t>07:42</t>
        </is>
      </c>
      <c r="H1203" s="4" t="inlineStr">
        <is>
          <t>3.10.2026</t>
        </is>
      </c>
      <c r="I1203" s="4" t="inlineStr">
        <is>
          <t>17:42</t>
        </is>
      </c>
      <c r="J1203" s="8" t="n">
        <v>8</v>
      </c>
      <c r="K1203" s="8" t="n">
        <v>7.5</v>
      </c>
      <c r="L1203" s="8" t="n">
        <v>0.5</v>
      </c>
      <c r="M1203" s="29" t="inlineStr">
        <is>
          <t>MKP</t>
        </is>
      </c>
    </row>
    <row r="1204">
      <c r="A1204" s="4" t="n">
        <v>1203</v>
      </c>
      <c r="B1204" s="4" t="inlineStr">
        <is>
          <t>00293</t>
        </is>
      </c>
      <c r="C1204" s="4" t="inlineStr">
        <is>
          <t>00293</t>
        </is>
      </c>
      <c r="D1204" s="29" t="inlineStr">
        <is>
          <t>ENES ABDE</t>
        </is>
      </c>
      <c r="E1204" s="4" t="inlineStr">
        <is>
          <t>Pazartesi</t>
        </is>
      </c>
      <c r="F1204" s="4" t="inlineStr">
        <is>
          <t>5.10.2026</t>
        </is>
      </c>
      <c r="G1204" s="4" t="inlineStr">
        <is>
          <t>07:51</t>
        </is>
      </c>
      <c r="H1204" s="4" t="inlineStr">
        <is>
          <t>5.10.2026</t>
        </is>
      </c>
      <c r="I1204" s="4" t="inlineStr">
        <is>
          <t>17:09</t>
        </is>
      </c>
      <c r="J1204" s="8" t="n">
        <v>7.5</v>
      </c>
      <c r="K1204" s="8" t="n">
        <v>7.5</v>
      </c>
      <c r="L1204" s="8" t="n">
        <v>0</v>
      </c>
      <c r="M1204" s="29" t="inlineStr">
        <is>
          <t>MKP</t>
        </is>
      </c>
    </row>
    <row r="1205">
      <c r="A1205" s="4" t="n">
        <v>1204</v>
      </c>
      <c r="B1205" s="4" t="inlineStr">
        <is>
          <t>00293</t>
        </is>
      </c>
      <c r="C1205" s="4" t="inlineStr">
        <is>
          <t>00293</t>
        </is>
      </c>
      <c r="D1205" s="29" t="inlineStr">
        <is>
          <t>ENES ABDE</t>
        </is>
      </c>
      <c r="E1205" s="4" t="inlineStr">
        <is>
          <t>Perşembe</t>
        </is>
      </c>
      <c r="F1205" s="4" t="inlineStr">
        <is>
          <t>8.10.2026</t>
        </is>
      </c>
      <c r="G1205" s="4" t="inlineStr">
        <is>
          <t>07:58</t>
        </is>
      </c>
      <c r="H1205" s="4" t="inlineStr">
        <is>
          <t>8.10.2026</t>
        </is>
      </c>
      <c r="I1205" s="4" t="inlineStr">
        <is>
          <t>17:39</t>
        </is>
      </c>
      <c r="J1205" s="8" t="n">
        <v>8</v>
      </c>
      <c r="K1205" s="8" t="n">
        <v>7.5</v>
      </c>
      <c r="L1205" s="8" t="n">
        <v>0.5</v>
      </c>
      <c r="M1205" s="29" t="inlineStr">
        <is>
          <t>MKP</t>
        </is>
      </c>
    </row>
    <row r="1206">
      <c r="A1206" s="4" t="n">
        <v>1205</v>
      </c>
      <c r="B1206" s="4" t="inlineStr">
        <is>
          <t>00293</t>
        </is>
      </c>
      <c r="C1206" s="4" t="inlineStr">
        <is>
          <t>00293</t>
        </is>
      </c>
      <c r="D1206" s="29" t="inlineStr">
        <is>
          <t>ENES ABDE</t>
        </is>
      </c>
      <c r="E1206" s="4" t="inlineStr">
        <is>
          <t>Cuma</t>
        </is>
      </c>
      <c r="F1206" s="4" t="inlineStr">
        <is>
          <t>9.10.2026</t>
        </is>
      </c>
      <c r="G1206" s="4" t="inlineStr">
        <is>
          <t>07:54</t>
        </is>
      </c>
      <c r="H1206" s="4" t="inlineStr">
        <is>
          <t>9.10.2026</t>
        </is>
      </c>
      <c r="I1206" s="4" t="inlineStr">
        <is>
          <t>17:48</t>
        </is>
      </c>
      <c r="J1206" s="8" t="n">
        <v>8.5</v>
      </c>
      <c r="K1206" s="8" t="n">
        <v>7.5</v>
      </c>
      <c r="L1206" s="8" t="n">
        <v>1</v>
      </c>
      <c r="M1206" s="29" t="inlineStr">
        <is>
          <t>MKP</t>
        </is>
      </c>
    </row>
    <row r="1207">
      <c r="A1207" s="4" t="n">
        <v>1206</v>
      </c>
      <c r="B1207" s="4" t="inlineStr">
        <is>
          <t>00293</t>
        </is>
      </c>
      <c r="C1207" s="4" t="inlineStr">
        <is>
          <t>00293</t>
        </is>
      </c>
      <c r="D1207" s="29" t="inlineStr">
        <is>
          <t>ENES ABDE</t>
        </is>
      </c>
      <c r="E1207" s="4" t="inlineStr">
        <is>
          <t>Cumartesi</t>
        </is>
      </c>
      <c r="F1207" s="4" t="inlineStr">
        <is>
          <t>10.10.2026</t>
        </is>
      </c>
      <c r="G1207" s="4" t="inlineStr">
        <is>
          <t>07:45</t>
        </is>
      </c>
      <c r="H1207" s="4" t="inlineStr">
        <is>
          <t>10.10.2026</t>
        </is>
      </c>
      <c r="I1207" s="4" t="inlineStr">
        <is>
          <t>18:17</t>
        </is>
      </c>
      <c r="J1207" s="8" t="n">
        <v>8.5</v>
      </c>
      <c r="K1207" s="8" t="n">
        <v>7.5</v>
      </c>
      <c r="L1207" s="8" t="n">
        <v>1</v>
      </c>
      <c r="M1207" s="29" t="inlineStr">
        <is>
          <t>MKP</t>
        </is>
      </c>
    </row>
    <row r="1208">
      <c r="A1208" s="4" t="n">
        <v>1207</v>
      </c>
      <c r="B1208" s="4" t="inlineStr">
        <is>
          <t>00293</t>
        </is>
      </c>
      <c r="C1208" s="4" t="inlineStr">
        <is>
          <t>00293</t>
        </is>
      </c>
      <c r="D1208" s="29" t="inlineStr">
        <is>
          <t>ENES ABDE</t>
        </is>
      </c>
      <c r="E1208" s="4" t="inlineStr">
        <is>
          <t>Çarşamba</t>
        </is>
      </c>
      <c r="F1208" s="4" t="inlineStr">
        <is>
          <t>14.10.2026</t>
        </is>
      </c>
      <c r="G1208" s="4" t="inlineStr">
        <is>
          <t>18:12</t>
        </is>
      </c>
      <c r="H1208" s="4" t="inlineStr">
        <is>
          <t>14.10.2026</t>
        </is>
      </c>
      <c r="I1208" s="4" t="inlineStr">
        <is>
          <t>18:21</t>
        </is>
      </c>
      <c r="J1208" s="8" t="n">
        <v>0.5</v>
      </c>
      <c r="K1208" s="8" t="n">
        <v>0.5</v>
      </c>
      <c r="L1208" s="8" t="n">
        <v>0</v>
      </c>
      <c r="M1208" s="29" t="inlineStr">
        <is>
          <t>MKP</t>
        </is>
      </c>
    </row>
    <row r="1209">
      <c r="A1209" s="4" t="n">
        <v>1208</v>
      </c>
      <c r="B1209" s="4" t="inlineStr">
        <is>
          <t>00293</t>
        </is>
      </c>
      <c r="C1209" s="4" t="inlineStr">
        <is>
          <t>00293</t>
        </is>
      </c>
      <c r="D1209" s="29" t="inlineStr">
        <is>
          <t>ENES ABDE</t>
        </is>
      </c>
      <c r="E1209" s="4" t="inlineStr">
        <is>
          <t>Perşembe</t>
        </is>
      </c>
      <c r="F1209" s="4" t="inlineStr">
        <is>
          <t>15.10.2026</t>
        </is>
      </c>
      <c r="G1209" s="4" t="inlineStr">
        <is>
          <t>08:00</t>
        </is>
      </c>
      <c r="H1209" s="4" t="inlineStr">
        <is>
          <t>15.10.2026</t>
        </is>
      </c>
      <c r="I1209" s="4" t="inlineStr">
        <is>
          <t>17:06</t>
        </is>
      </c>
      <c r="J1209" s="8" t="n">
        <v>7.5</v>
      </c>
      <c r="K1209" s="8" t="n">
        <v>7.5</v>
      </c>
      <c r="L1209" s="8" t="n">
        <v>0</v>
      </c>
      <c r="M1209" s="29" t="inlineStr">
        <is>
          <t>MKP</t>
        </is>
      </c>
    </row>
    <row r="1210">
      <c r="A1210" s="4" t="n">
        <v>1209</v>
      </c>
      <c r="B1210" s="4" t="inlineStr">
        <is>
          <t>00293</t>
        </is>
      </c>
      <c r="C1210" s="4" t="inlineStr">
        <is>
          <t>00293</t>
        </is>
      </c>
      <c r="D1210" s="29" t="inlineStr">
        <is>
          <t>ENES ABDE</t>
        </is>
      </c>
      <c r="E1210" s="4" t="inlineStr">
        <is>
          <t>Cuma</t>
        </is>
      </c>
      <c r="F1210" s="4" t="inlineStr">
        <is>
          <t>16.10.2026</t>
        </is>
      </c>
      <c r="G1210" s="4" t="inlineStr">
        <is>
          <t>07:49</t>
        </is>
      </c>
      <c r="H1210" s="4" t="inlineStr">
        <is>
          <t>16.10.2026</t>
        </is>
      </c>
      <c r="I1210" s="4" t="inlineStr">
        <is>
          <t>17:23</t>
        </is>
      </c>
      <c r="J1210" s="8" t="n">
        <v>8</v>
      </c>
      <c r="K1210" s="8" t="n">
        <v>7.5</v>
      </c>
      <c r="L1210" s="8" t="n">
        <v>0.5</v>
      </c>
      <c r="M1210" s="29" t="inlineStr">
        <is>
          <t>MKP</t>
        </is>
      </c>
    </row>
    <row r="1211">
      <c r="A1211" s="4" t="n">
        <v>1210</v>
      </c>
      <c r="B1211" s="4" t="inlineStr">
        <is>
          <t>00293</t>
        </is>
      </c>
      <c r="C1211" s="4" t="inlineStr">
        <is>
          <t>00293</t>
        </is>
      </c>
      <c r="D1211" s="29" t="inlineStr">
        <is>
          <t>ENES ABDE</t>
        </is>
      </c>
      <c r="E1211" s="4" t="inlineStr">
        <is>
          <t>Cumartesi</t>
        </is>
      </c>
      <c r="F1211" s="4" t="inlineStr">
        <is>
          <t>17.10.2026</t>
        </is>
      </c>
      <c r="G1211" s="4" t="inlineStr">
        <is>
          <t>07:49</t>
        </is>
      </c>
      <c r="H1211" s="4" t="inlineStr">
        <is>
          <t>17.10.2026</t>
        </is>
      </c>
      <c r="I1211" s="4" t="inlineStr">
        <is>
          <t>17:57</t>
        </is>
      </c>
      <c r="J1211" s="8" t="n">
        <v>8.5</v>
      </c>
      <c r="K1211" s="8" t="n">
        <v>7.5</v>
      </c>
      <c r="L1211" s="8" t="n">
        <v>1</v>
      </c>
      <c r="M1211" s="29" t="inlineStr">
        <is>
          <t>MKP</t>
        </is>
      </c>
    </row>
    <row r="1212">
      <c r="A1212" s="4" t="n">
        <v>1211</v>
      </c>
      <c r="B1212" s="4" t="inlineStr">
        <is>
          <t>00293</t>
        </is>
      </c>
      <c r="C1212" s="4" t="inlineStr">
        <is>
          <t>00293</t>
        </is>
      </c>
      <c r="D1212" s="29" t="inlineStr">
        <is>
          <t>ENES ABDE</t>
        </is>
      </c>
      <c r="E1212" s="4" t="inlineStr">
        <is>
          <t>Çarşamba</t>
        </is>
      </c>
      <c r="F1212" s="4" t="inlineStr">
        <is>
          <t>21.10.2026</t>
        </is>
      </c>
      <c r="G1212" s="4" t="inlineStr">
        <is>
          <t>07:49</t>
        </is>
      </c>
      <c r="H1212" s="4" t="inlineStr">
        <is>
          <t>21.10.2026</t>
        </is>
      </c>
      <c r="I1212" s="4" t="inlineStr">
        <is>
          <t>17:06</t>
        </is>
      </c>
      <c r="J1212" s="8" t="n">
        <v>7.5</v>
      </c>
      <c r="K1212" s="8" t="n">
        <v>7.5</v>
      </c>
      <c r="L1212" s="8" t="n">
        <v>0</v>
      </c>
      <c r="M1212" s="29" t="inlineStr">
        <is>
          <t>MKP</t>
        </is>
      </c>
    </row>
    <row r="1213">
      <c r="A1213" s="4" t="n">
        <v>1212</v>
      </c>
      <c r="B1213" s="4" t="inlineStr">
        <is>
          <t>01406</t>
        </is>
      </c>
      <c r="C1213" s="4" t="inlineStr">
        <is>
          <t>01406</t>
        </is>
      </c>
      <c r="D1213" s="29" t="inlineStr">
        <is>
          <t>ENES ALKAN</t>
        </is>
      </c>
      <c r="E1213" s="4" t="inlineStr">
        <is>
          <t>Cuma</t>
        </is>
      </c>
      <c r="F1213" s="4" t="inlineStr">
        <is>
          <t>2.10.2026</t>
        </is>
      </c>
      <c r="G1213" s="4" t="inlineStr">
        <is>
          <t>12:40</t>
        </is>
      </c>
      <c r="H1213" s="4" t="inlineStr">
        <is>
          <t>2.10.2026</t>
        </is>
      </c>
      <c r="I1213" s="4" t="inlineStr">
        <is>
          <t>-</t>
        </is>
      </c>
      <c r="J1213" s="8" t="n">
        <v>7.5</v>
      </c>
      <c r="K1213" s="8" t="n">
        <v>7.5</v>
      </c>
      <c r="L1213" s="8" t="n">
        <v>0</v>
      </c>
      <c r="M1213" s="29" t="inlineStr">
        <is>
          <t>HALİL DİĞRENCİ</t>
        </is>
      </c>
    </row>
    <row r="1214">
      <c r="A1214" s="4" t="n">
        <v>1213</v>
      </c>
      <c r="B1214" s="4" t="inlineStr">
        <is>
          <t>01406</t>
        </is>
      </c>
      <c r="C1214" s="4" t="inlineStr">
        <is>
          <t>01406</t>
        </is>
      </c>
      <c r="D1214" s="29" t="inlineStr">
        <is>
          <t>ENES ALKAN</t>
        </is>
      </c>
      <c r="E1214" s="4" t="inlineStr">
        <is>
          <t>Cumartesi</t>
        </is>
      </c>
      <c r="F1214" s="4" t="inlineStr">
        <is>
          <t>3.10.2026</t>
        </is>
      </c>
      <c r="G1214" s="4" t="inlineStr">
        <is>
          <t>07:50</t>
        </is>
      </c>
      <c r="H1214" s="4" t="inlineStr">
        <is>
          <t>3.10.2026</t>
        </is>
      </c>
      <c r="I1214" s="4" t="inlineStr">
        <is>
          <t>-</t>
        </is>
      </c>
      <c r="J1214" s="8" t="n">
        <v>7.5</v>
      </c>
      <c r="K1214" s="8" t="n">
        <v>7.5</v>
      </c>
      <c r="L1214" s="8" t="n">
        <v>0</v>
      </c>
      <c r="M1214" s="29" t="inlineStr">
        <is>
          <t>HALİL DİĞRENCİ</t>
        </is>
      </c>
    </row>
    <row r="1215">
      <c r="A1215" s="4" t="n">
        <v>1214</v>
      </c>
      <c r="B1215" s="4" t="inlineStr">
        <is>
          <t>01406</t>
        </is>
      </c>
      <c r="C1215" s="4" t="inlineStr">
        <is>
          <t>01406</t>
        </is>
      </c>
      <c r="D1215" s="29" t="inlineStr">
        <is>
          <t>ENES ALKAN</t>
        </is>
      </c>
      <c r="E1215" s="4" t="inlineStr">
        <is>
          <t>Pazartesi</t>
        </is>
      </c>
      <c r="F1215" s="4" t="inlineStr">
        <is>
          <t>5.10.2026</t>
        </is>
      </c>
      <c r="G1215" s="4" t="inlineStr">
        <is>
          <t>07:49</t>
        </is>
      </c>
      <c r="H1215" s="4" t="inlineStr">
        <is>
          <t>5.10.2026</t>
        </is>
      </c>
      <c r="I1215" s="4" t="inlineStr">
        <is>
          <t>-</t>
        </is>
      </c>
      <c r="J1215" s="8" t="n">
        <v>7.5</v>
      </c>
      <c r="K1215" s="8" t="n">
        <v>7.5</v>
      </c>
      <c r="L1215" s="8" t="n">
        <v>0</v>
      </c>
      <c r="M1215" s="29" t="inlineStr">
        <is>
          <t>HALİL DİĞRENCİ</t>
        </is>
      </c>
    </row>
    <row r="1216">
      <c r="A1216" s="4" t="n">
        <v>1215</v>
      </c>
      <c r="B1216" s="4" t="inlineStr">
        <is>
          <t>01406</t>
        </is>
      </c>
      <c r="C1216" s="4" t="inlineStr">
        <is>
          <t>01406</t>
        </is>
      </c>
      <c r="D1216" s="29" t="inlineStr">
        <is>
          <t>ENES ALKAN</t>
        </is>
      </c>
      <c r="E1216" s="4" t="inlineStr">
        <is>
          <t>Salı</t>
        </is>
      </c>
      <c r="F1216" s="4" t="inlineStr">
        <is>
          <t>6.10.2026</t>
        </is>
      </c>
      <c r="G1216" s="4" t="inlineStr">
        <is>
          <t>08:03</t>
        </is>
      </c>
      <c r="H1216" s="4" t="inlineStr">
        <is>
          <t>6.10.2026</t>
        </is>
      </c>
      <c r="I1216" s="4" t="inlineStr">
        <is>
          <t>-</t>
        </is>
      </c>
      <c r="J1216" s="8" t="n">
        <v>7.5</v>
      </c>
      <c r="K1216" s="8" t="n">
        <v>7.5</v>
      </c>
      <c r="L1216" s="8" t="n">
        <v>0</v>
      </c>
      <c r="M1216" s="29" t="inlineStr">
        <is>
          <t>HALİL DİĞRENCİ</t>
        </is>
      </c>
    </row>
    <row r="1217">
      <c r="A1217" s="4" t="n">
        <v>1216</v>
      </c>
      <c r="B1217" s="4" t="inlineStr">
        <is>
          <t>01406</t>
        </is>
      </c>
      <c r="C1217" s="4" t="inlineStr">
        <is>
          <t>01406</t>
        </is>
      </c>
      <c r="D1217" s="29" t="inlineStr">
        <is>
          <t>ENES ALKAN</t>
        </is>
      </c>
      <c r="E1217" s="4" t="inlineStr">
        <is>
          <t>Çarşamba</t>
        </is>
      </c>
      <c r="F1217" s="4" t="inlineStr">
        <is>
          <t>7.10.2026</t>
        </is>
      </c>
      <c r="G1217" s="4" t="inlineStr">
        <is>
          <t>21:52</t>
        </is>
      </c>
      <c r="H1217" s="4" t="inlineStr">
        <is>
          <t>7.10.2026</t>
        </is>
      </c>
      <c r="I1217" s="4" t="inlineStr">
        <is>
          <t>-</t>
        </is>
      </c>
      <c r="J1217" s="8" t="n">
        <v>7.5</v>
      </c>
      <c r="K1217" s="8" t="n">
        <v>7.5</v>
      </c>
      <c r="L1217" s="8" t="n">
        <v>0</v>
      </c>
      <c r="M1217" s="29" t="inlineStr">
        <is>
          <t>HALİL DİĞRENCİ</t>
        </is>
      </c>
    </row>
    <row r="1218">
      <c r="A1218" s="4" t="n">
        <v>1217</v>
      </c>
      <c r="B1218" s="4" t="inlineStr">
        <is>
          <t>01406</t>
        </is>
      </c>
      <c r="C1218" s="4" t="inlineStr">
        <is>
          <t>01406</t>
        </is>
      </c>
      <c r="D1218" s="29" t="inlineStr">
        <is>
          <t>ENES ALKAN</t>
        </is>
      </c>
      <c r="E1218" s="4" t="inlineStr">
        <is>
          <t>Cuma</t>
        </is>
      </c>
      <c r="F1218" s="4" t="inlineStr">
        <is>
          <t>9.10.2026</t>
        </is>
      </c>
      <c r="G1218" s="4" t="inlineStr">
        <is>
          <t>07:57</t>
        </is>
      </c>
      <c r="H1218" s="4" t="inlineStr">
        <is>
          <t>9.10.2026</t>
        </is>
      </c>
      <c r="I1218" s="4" t="inlineStr">
        <is>
          <t>-</t>
        </is>
      </c>
      <c r="J1218" s="8" t="n">
        <v>7.5</v>
      </c>
      <c r="K1218" s="8" t="n">
        <v>7.5</v>
      </c>
      <c r="L1218" s="8" t="n">
        <v>0</v>
      </c>
      <c r="M1218" s="29" t="inlineStr">
        <is>
          <t>HALİL DİĞRENCİ</t>
        </is>
      </c>
    </row>
    <row r="1219">
      <c r="A1219" s="4" t="n">
        <v>1218</v>
      </c>
      <c r="B1219" s="4" t="inlineStr">
        <is>
          <t>01406</t>
        </is>
      </c>
      <c r="C1219" s="4" t="inlineStr">
        <is>
          <t>01406</t>
        </is>
      </c>
      <c r="D1219" s="29" t="inlineStr">
        <is>
          <t>ENES ALKAN</t>
        </is>
      </c>
      <c r="E1219" s="4" t="inlineStr">
        <is>
          <t>Cumartesi</t>
        </is>
      </c>
      <c r="F1219" s="4" t="inlineStr">
        <is>
          <t>10.10.2026</t>
        </is>
      </c>
      <c r="G1219" s="4" t="inlineStr">
        <is>
          <t>07:55</t>
        </is>
      </c>
      <c r="H1219" s="4" t="inlineStr">
        <is>
          <t>10.10.2026</t>
        </is>
      </c>
      <c r="I1219" s="4" t="inlineStr">
        <is>
          <t>-</t>
        </is>
      </c>
      <c r="J1219" s="8" t="n">
        <v>7.5</v>
      </c>
      <c r="K1219" s="8" t="n">
        <v>7.5</v>
      </c>
      <c r="L1219" s="8" t="n">
        <v>0</v>
      </c>
      <c r="M1219" s="29" t="inlineStr">
        <is>
          <t>HALİL DİĞRENCİ</t>
        </is>
      </c>
    </row>
    <row r="1220">
      <c r="A1220" s="4" t="n">
        <v>1219</v>
      </c>
      <c r="B1220" s="4" t="inlineStr">
        <is>
          <t>01406</t>
        </is>
      </c>
      <c r="C1220" s="4" t="inlineStr">
        <is>
          <t>01406</t>
        </is>
      </c>
      <c r="D1220" s="29" t="inlineStr">
        <is>
          <t>ENES ALKAN</t>
        </is>
      </c>
      <c r="E1220" s="4" t="inlineStr">
        <is>
          <t>Pazartesi</t>
        </is>
      </c>
      <c r="F1220" s="4" t="inlineStr">
        <is>
          <t>12.10.2026</t>
        </is>
      </c>
      <c r="G1220" s="4" t="inlineStr">
        <is>
          <t>07:53</t>
        </is>
      </c>
      <c r="H1220" s="4" t="inlineStr">
        <is>
          <t>12.10.2026</t>
        </is>
      </c>
      <c r="I1220" s="4" t="inlineStr">
        <is>
          <t>-</t>
        </is>
      </c>
      <c r="J1220" s="8" t="n">
        <v>7.5</v>
      </c>
      <c r="K1220" s="8" t="n">
        <v>7.5</v>
      </c>
      <c r="L1220" s="8" t="n">
        <v>0</v>
      </c>
      <c r="M1220" s="29" t="inlineStr">
        <is>
          <t>HALİL DİĞRENCİ</t>
        </is>
      </c>
    </row>
    <row r="1221">
      <c r="A1221" s="4" t="n">
        <v>1220</v>
      </c>
      <c r="B1221" s="4" t="inlineStr">
        <is>
          <t>01406</t>
        </is>
      </c>
      <c r="C1221" s="4" t="inlineStr">
        <is>
          <t>01406</t>
        </is>
      </c>
      <c r="D1221" s="29" t="inlineStr">
        <is>
          <t>ENES ALKAN</t>
        </is>
      </c>
      <c r="E1221" s="4" t="inlineStr">
        <is>
          <t>Salı</t>
        </is>
      </c>
      <c r="F1221" s="4" t="inlineStr">
        <is>
          <t>13.10.2026</t>
        </is>
      </c>
      <c r="G1221" s="4" t="inlineStr">
        <is>
          <t>08:00</t>
        </is>
      </c>
      <c r="H1221" s="4" t="inlineStr">
        <is>
          <t>13.10.2026</t>
        </is>
      </c>
      <c r="I1221" s="4" t="inlineStr">
        <is>
          <t>-</t>
        </is>
      </c>
      <c r="J1221" s="8" t="n">
        <v>7.5</v>
      </c>
      <c r="K1221" s="8" t="n">
        <v>7.5</v>
      </c>
      <c r="L1221" s="8" t="n">
        <v>0</v>
      </c>
      <c r="M1221" s="29" t="inlineStr">
        <is>
          <t>HALİL DİĞRENCİ</t>
        </is>
      </c>
    </row>
    <row r="1222">
      <c r="A1222" s="4" t="n">
        <v>1221</v>
      </c>
      <c r="B1222" s="4" t="inlineStr">
        <is>
          <t>01406</t>
        </is>
      </c>
      <c r="C1222" s="4" t="inlineStr">
        <is>
          <t>01406</t>
        </is>
      </c>
      <c r="D1222" s="29" t="inlineStr">
        <is>
          <t>ENES ALKAN</t>
        </is>
      </c>
      <c r="E1222" s="4" t="inlineStr">
        <is>
          <t>Perşembe</t>
        </is>
      </c>
      <c r="F1222" s="4" t="inlineStr">
        <is>
          <t>15.10.2026</t>
        </is>
      </c>
      <c r="G1222" s="4" t="inlineStr">
        <is>
          <t>07:55</t>
        </is>
      </c>
      <c r="H1222" s="4" t="inlineStr">
        <is>
          <t>15.10.2026</t>
        </is>
      </c>
      <c r="I1222" s="4" t="inlineStr">
        <is>
          <t>-</t>
        </is>
      </c>
      <c r="J1222" s="8" t="n">
        <v>7.5</v>
      </c>
      <c r="K1222" s="8" t="n">
        <v>7.5</v>
      </c>
      <c r="L1222" s="8" t="n">
        <v>0</v>
      </c>
      <c r="M1222" s="29" t="inlineStr">
        <is>
          <t>HALİL DİĞRENCİ</t>
        </is>
      </c>
    </row>
    <row r="1223">
      <c r="A1223" s="4" t="n">
        <v>1222</v>
      </c>
      <c r="B1223" s="4" t="inlineStr">
        <is>
          <t>01406</t>
        </is>
      </c>
      <c r="C1223" s="4" t="inlineStr">
        <is>
          <t>01406</t>
        </is>
      </c>
      <c r="D1223" s="29" t="inlineStr">
        <is>
          <t>ENES ALKAN</t>
        </is>
      </c>
      <c r="E1223" s="4" t="inlineStr">
        <is>
          <t>Cuma</t>
        </is>
      </c>
      <c r="F1223" s="4" t="inlineStr">
        <is>
          <t>16.10.2026</t>
        </is>
      </c>
      <c r="G1223" s="4" t="inlineStr">
        <is>
          <t>08:06</t>
        </is>
      </c>
      <c r="H1223" s="4" t="inlineStr">
        <is>
          <t>16.10.2026</t>
        </is>
      </c>
      <c r="I1223" s="4" t="inlineStr">
        <is>
          <t>-</t>
        </is>
      </c>
      <c r="J1223" s="8" t="n">
        <v>7.5</v>
      </c>
      <c r="K1223" s="8" t="n">
        <v>7.5</v>
      </c>
      <c r="L1223" s="8" t="n">
        <v>0</v>
      </c>
      <c r="M1223" s="29" t="inlineStr">
        <is>
          <t>HALİL DİĞRENCİ</t>
        </is>
      </c>
    </row>
    <row r="1224">
      <c r="A1224" s="4" t="n">
        <v>1223</v>
      </c>
      <c r="B1224" s="4" t="inlineStr">
        <is>
          <t>01406</t>
        </is>
      </c>
      <c r="C1224" s="4" t="inlineStr">
        <is>
          <t>01406</t>
        </is>
      </c>
      <c r="D1224" s="29" t="inlineStr">
        <is>
          <t>ENES ALKAN</t>
        </is>
      </c>
      <c r="E1224" s="4" t="inlineStr">
        <is>
          <t>Cumartesi</t>
        </is>
      </c>
      <c r="F1224" s="4" t="inlineStr">
        <is>
          <t>17.10.2026</t>
        </is>
      </c>
      <c r="G1224" s="4" t="inlineStr">
        <is>
          <t>08:10</t>
        </is>
      </c>
      <c r="H1224" s="4" t="inlineStr">
        <is>
          <t>17.10.2026</t>
        </is>
      </c>
      <c r="I1224" s="4" t="inlineStr">
        <is>
          <t>-</t>
        </is>
      </c>
      <c r="J1224" s="8" t="n">
        <v>7.5</v>
      </c>
      <c r="K1224" s="8" t="n">
        <v>7.5</v>
      </c>
      <c r="L1224" s="8" t="n">
        <v>0</v>
      </c>
      <c r="M1224" s="29" t="inlineStr">
        <is>
          <t>HALİL DİĞRENCİ</t>
        </is>
      </c>
    </row>
    <row r="1225">
      <c r="A1225" s="4" t="n">
        <v>1224</v>
      </c>
      <c r="B1225" s="4" t="inlineStr">
        <is>
          <t>01406</t>
        </is>
      </c>
      <c r="C1225" s="4" t="inlineStr">
        <is>
          <t>01406</t>
        </is>
      </c>
      <c r="D1225" s="29" t="inlineStr">
        <is>
          <t>ENES ALKAN</t>
        </is>
      </c>
      <c r="E1225" s="4" t="inlineStr">
        <is>
          <t>Pazar</t>
        </is>
      </c>
      <c r="F1225" s="4" t="inlineStr">
        <is>
          <t>18.10.2026</t>
        </is>
      </c>
      <c r="G1225" s="4" t="inlineStr">
        <is>
          <t>08:19</t>
        </is>
      </c>
      <c r="H1225" s="4" t="inlineStr">
        <is>
          <t>18.10.2026</t>
        </is>
      </c>
      <c r="I1225" s="4" t="inlineStr">
        <is>
          <t>-</t>
        </is>
      </c>
      <c r="J1225" s="8" t="n">
        <v>7.5</v>
      </c>
      <c r="K1225" s="8" t="n">
        <v>7.5</v>
      </c>
      <c r="L1225" s="8" t="n">
        <v>0</v>
      </c>
      <c r="M1225" s="29" t="inlineStr">
        <is>
          <t>HALİL DİĞRENCİ</t>
        </is>
      </c>
    </row>
    <row r="1226">
      <c r="A1226" s="4" t="n">
        <v>1225</v>
      </c>
      <c r="B1226" s="4" t="inlineStr">
        <is>
          <t>01406</t>
        </is>
      </c>
      <c r="C1226" s="4" t="inlineStr">
        <is>
          <t>01406</t>
        </is>
      </c>
      <c r="D1226" s="29" t="inlineStr">
        <is>
          <t>ENES ALKAN</t>
        </is>
      </c>
      <c r="E1226" s="4" t="inlineStr">
        <is>
          <t>Pazartesi</t>
        </is>
      </c>
      <c r="F1226" s="4" t="inlineStr">
        <is>
          <t>19.10.2026</t>
        </is>
      </c>
      <c r="G1226" s="4" t="inlineStr">
        <is>
          <t>08:35</t>
        </is>
      </c>
      <c r="H1226" s="4" t="inlineStr">
        <is>
          <t>19.10.2026</t>
        </is>
      </c>
      <c r="I1226" s="4" t="inlineStr">
        <is>
          <t>-</t>
        </is>
      </c>
      <c r="J1226" s="8" t="n">
        <v>7.5</v>
      </c>
      <c r="K1226" s="8" t="n">
        <v>7.5</v>
      </c>
      <c r="L1226" s="8" t="n">
        <v>0</v>
      </c>
      <c r="M1226" s="29" t="inlineStr">
        <is>
          <t>HALİL DİĞRENCİ</t>
        </is>
      </c>
    </row>
    <row r="1227">
      <c r="A1227" s="4" t="n">
        <v>1226</v>
      </c>
      <c r="B1227" s="4" t="inlineStr">
        <is>
          <t>01407</t>
        </is>
      </c>
      <c r="C1227" s="4" t="inlineStr">
        <is>
          <t>01407</t>
        </is>
      </c>
      <c r="D1227" s="29" t="inlineStr">
        <is>
          <t>ENİFE MENTEŞ</t>
        </is>
      </c>
      <c r="E1227" s="4" t="inlineStr">
        <is>
          <t>Cuma</t>
        </is>
      </c>
      <c r="F1227" s="4" t="inlineStr">
        <is>
          <t>2.10.2026</t>
        </is>
      </c>
      <c r="G1227" s="4" t="inlineStr">
        <is>
          <t>19:46</t>
        </is>
      </c>
      <c r="H1227" s="4" t="inlineStr">
        <is>
          <t>2.10.2026</t>
        </is>
      </c>
      <c r="I1227" s="4" t="inlineStr">
        <is>
          <t>07:53</t>
        </is>
      </c>
      <c r="J1227" s="8" t="n">
        <v>10.5</v>
      </c>
      <c r="K1227" s="8" t="n">
        <v>7.5</v>
      </c>
      <c r="L1227" s="8" t="n">
        <v>3</v>
      </c>
      <c r="M1227" s="29" t="inlineStr">
        <is>
          <t>HALİL DİĞRENCİ</t>
        </is>
      </c>
    </row>
    <row r="1228">
      <c r="A1228" s="4" t="n">
        <v>1227</v>
      </c>
      <c r="B1228" s="4" t="inlineStr">
        <is>
          <t>01407</t>
        </is>
      </c>
      <c r="C1228" s="4" t="inlineStr">
        <is>
          <t>01407</t>
        </is>
      </c>
      <c r="D1228" s="29" t="inlineStr">
        <is>
          <t>ENİFE MENTEŞ</t>
        </is>
      </c>
      <c r="E1228" s="4" t="inlineStr">
        <is>
          <t>Cumartesi</t>
        </is>
      </c>
      <c r="F1228" s="4" t="inlineStr">
        <is>
          <t>3.10.2026</t>
        </is>
      </c>
      <c r="G1228" s="4" t="inlineStr">
        <is>
          <t>19:54</t>
        </is>
      </c>
      <c r="H1228" s="4" t="inlineStr">
        <is>
          <t>3.10.2026</t>
        </is>
      </c>
      <c r="I1228" s="4" t="inlineStr">
        <is>
          <t>07:55</t>
        </is>
      </c>
      <c r="J1228" s="8" t="n">
        <v>10.5</v>
      </c>
      <c r="K1228" s="8" t="n">
        <v>7.5</v>
      </c>
      <c r="L1228" s="8" t="n">
        <v>3</v>
      </c>
      <c r="M1228" s="29" t="inlineStr">
        <is>
          <t>HALİL DİĞRENCİ</t>
        </is>
      </c>
    </row>
    <row r="1229">
      <c r="A1229" s="4" t="n">
        <v>1228</v>
      </c>
      <c r="B1229" s="4" t="inlineStr">
        <is>
          <t>01407</t>
        </is>
      </c>
      <c r="C1229" s="4" t="inlineStr">
        <is>
          <t>01407</t>
        </is>
      </c>
      <c r="D1229" s="29" t="inlineStr">
        <is>
          <t>ENİFE MENTEŞ</t>
        </is>
      </c>
      <c r="E1229" s="4" t="inlineStr">
        <is>
          <t>Pazar</t>
        </is>
      </c>
      <c r="F1229" s="4" t="inlineStr">
        <is>
          <t>4.10.2026</t>
        </is>
      </c>
      <c r="G1229" s="4" t="inlineStr">
        <is>
          <t>19:59</t>
        </is>
      </c>
      <c r="H1229" s="4" t="inlineStr">
        <is>
          <t>4.10.2026</t>
        </is>
      </c>
      <c r="I1229" s="4" t="inlineStr">
        <is>
          <t>07:59</t>
        </is>
      </c>
      <c r="J1229" s="8" t="n">
        <v>10.5</v>
      </c>
      <c r="K1229" s="8" t="n">
        <v>7.5</v>
      </c>
      <c r="L1229" s="8" t="n">
        <v>3</v>
      </c>
      <c r="M1229" s="29" t="inlineStr">
        <is>
          <t>HALİL DİĞRENCİ</t>
        </is>
      </c>
    </row>
    <row r="1230">
      <c r="A1230" s="4" t="n">
        <v>1229</v>
      </c>
      <c r="B1230" s="4" t="inlineStr">
        <is>
          <t>01407</t>
        </is>
      </c>
      <c r="C1230" s="4" t="inlineStr">
        <is>
          <t>01407</t>
        </is>
      </c>
      <c r="D1230" s="29" t="inlineStr">
        <is>
          <t>ENİFE MENTEŞ</t>
        </is>
      </c>
      <c r="E1230" s="4" t="inlineStr">
        <is>
          <t>Salı</t>
        </is>
      </c>
      <c r="F1230" s="4" t="inlineStr">
        <is>
          <t>6.10.2026</t>
        </is>
      </c>
      <c r="G1230" s="4" t="inlineStr">
        <is>
          <t>19:47</t>
        </is>
      </c>
      <c r="H1230" s="4" t="inlineStr">
        <is>
          <t>6.10.2026</t>
        </is>
      </c>
      <c r="I1230" s="4" t="inlineStr">
        <is>
          <t>08:01</t>
        </is>
      </c>
      <c r="J1230" s="8" t="n">
        <v>10.5</v>
      </c>
      <c r="K1230" s="8" t="n">
        <v>7.5</v>
      </c>
      <c r="L1230" s="8" t="n">
        <v>3</v>
      </c>
      <c r="M1230" s="29" t="inlineStr">
        <is>
          <t>HALİL DİĞRENCİ</t>
        </is>
      </c>
    </row>
    <row r="1231">
      <c r="A1231" s="4" t="n">
        <v>1230</v>
      </c>
      <c r="B1231" s="4" t="inlineStr">
        <is>
          <t>01407</t>
        </is>
      </c>
      <c r="C1231" s="4" t="inlineStr">
        <is>
          <t>01407</t>
        </is>
      </c>
      <c r="D1231" s="29" t="inlineStr">
        <is>
          <t>ENİFE MENTEŞ</t>
        </is>
      </c>
      <c r="E1231" s="4" t="inlineStr">
        <is>
          <t>Çarşamba</t>
        </is>
      </c>
      <c r="F1231" s="4" t="inlineStr">
        <is>
          <t>7.10.2026</t>
        </is>
      </c>
      <c r="G1231" s="4" t="inlineStr">
        <is>
          <t>19:56</t>
        </is>
      </c>
      <c r="H1231" s="4" t="inlineStr">
        <is>
          <t>7.10.2026</t>
        </is>
      </c>
      <c r="I1231" s="4" t="inlineStr">
        <is>
          <t>07:56</t>
        </is>
      </c>
      <c r="J1231" s="8" t="n">
        <v>10.5</v>
      </c>
      <c r="K1231" s="8" t="n">
        <v>7.5</v>
      </c>
      <c r="L1231" s="8" t="n">
        <v>3</v>
      </c>
      <c r="M1231" s="29" t="inlineStr">
        <is>
          <t>HALİL DİĞRENCİ</t>
        </is>
      </c>
    </row>
    <row r="1232">
      <c r="A1232" s="4" t="n">
        <v>1231</v>
      </c>
      <c r="B1232" s="4" t="inlineStr">
        <is>
          <t>01407</t>
        </is>
      </c>
      <c r="C1232" s="4" t="inlineStr">
        <is>
          <t>01407</t>
        </is>
      </c>
      <c r="D1232" s="29" t="inlineStr">
        <is>
          <t>ENİFE MENTEŞ</t>
        </is>
      </c>
      <c r="E1232" s="4" t="inlineStr">
        <is>
          <t>Perşembe</t>
        </is>
      </c>
      <c r="F1232" s="4" t="inlineStr">
        <is>
          <t>8.10.2026</t>
        </is>
      </c>
      <c r="G1232" s="4" t="inlineStr">
        <is>
          <t>19:58</t>
        </is>
      </c>
      <c r="H1232" s="4" t="inlineStr">
        <is>
          <t>8.10.2026</t>
        </is>
      </c>
      <c r="I1232" s="4" t="inlineStr">
        <is>
          <t>07:56</t>
        </is>
      </c>
      <c r="J1232" s="8" t="n">
        <v>10.5</v>
      </c>
      <c r="K1232" s="8" t="n">
        <v>7.5</v>
      </c>
      <c r="L1232" s="8" t="n">
        <v>3</v>
      </c>
      <c r="M1232" s="29" t="inlineStr">
        <is>
          <t>HALİL DİĞRENCİ</t>
        </is>
      </c>
    </row>
    <row r="1233">
      <c r="A1233" s="4" t="n">
        <v>1232</v>
      </c>
      <c r="B1233" s="4" t="inlineStr">
        <is>
          <t>01407</t>
        </is>
      </c>
      <c r="C1233" s="4" t="inlineStr">
        <is>
          <t>01407</t>
        </is>
      </c>
      <c r="D1233" s="29" t="inlineStr">
        <is>
          <t>ENİFE MENTEŞ</t>
        </is>
      </c>
      <c r="E1233" s="4" t="inlineStr">
        <is>
          <t>Cuma</t>
        </is>
      </c>
      <c r="F1233" s="4" t="inlineStr">
        <is>
          <t>9.10.2026</t>
        </is>
      </c>
      <c r="G1233" s="4" t="inlineStr">
        <is>
          <t>20:03</t>
        </is>
      </c>
      <c r="H1233" s="4" t="inlineStr">
        <is>
          <t>9.10.2026</t>
        </is>
      </c>
      <c r="I1233" s="4" t="inlineStr">
        <is>
          <t>07:57</t>
        </is>
      </c>
      <c r="J1233" s="8" t="n">
        <v>10.5</v>
      </c>
      <c r="K1233" s="8" t="n">
        <v>7.5</v>
      </c>
      <c r="L1233" s="8" t="n">
        <v>3</v>
      </c>
      <c r="M1233" s="29" t="inlineStr">
        <is>
          <t>HALİL DİĞRENCİ</t>
        </is>
      </c>
    </row>
    <row r="1234">
      <c r="A1234" s="4" t="n">
        <v>1233</v>
      </c>
      <c r="B1234" s="4" t="inlineStr">
        <is>
          <t>01407</t>
        </is>
      </c>
      <c r="C1234" s="4" t="inlineStr">
        <is>
          <t>01407</t>
        </is>
      </c>
      <c r="D1234" s="29" t="inlineStr">
        <is>
          <t>ENİFE MENTEŞ</t>
        </is>
      </c>
      <c r="E1234" s="4" t="inlineStr">
        <is>
          <t>Cumartesi</t>
        </is>
      </c>
      <c r="F1234" s="4" t="inlineStr">
        <is>
          <t>10.10.2026</t>
        </is>
      </c>
      <c r="G1234" s="4" t="inlineStr">
        <is>
          <t>20:13</t>
        </is>
      </c>
      <c r="H1234" s="4" t="inlineStr">
        <is>
          <t>10.10.2026</t>
        </is>
      </c>
      <c r="I1234" s="4" t="inlineStr">
        <is>
          <t>08:03</t>
        </is>
      </c>
      <c r="J1234" s="8" t="n">
        <v>10.5</v>
      </c>
      <c r="K1234" s="8" t="n">
        <v>7.5</v>
      </c>
      <c r="L1234" s="8" t="n">
        <v>3</v>
      </c>
      <c r="M1234" s="29" t="inlineStr">
        <is>
          <t>HALİL DİĞRENCİ</t>
        </is>
      </c>
    </row>
    <row r="1235">
      <c r="A1235" s="4" t="n">
        <v>1234</v>
      </c>
      <c r="B1235" s="4" t="inlineStr">
        <is>
          <t>01407</t>
        </is>
      </c>
      <c r="C1235" s="4" t="inlineStr">
        <is>
          <t>01407</t>
        </is>
      </c>
      <c r="D1235" s="29" t="inlineStr">
        <is>
          <t>ENİFE MENTEŞ</t>
        </is>
      </c>
      <c r="E1235" s="4" t="inlineStr">
        <is>
          <t>Pazar</t>
        </is>
      </c>
      <c r="F1235" s="4" t="inlineStr">
        <is>
          <t>11.10.2026</t>
        </is>
      </c>
      <c r="G1235" s="4" t="inlineStr">
        <is>
          <t>20:17</t>
        </is>
      </c>
      <c r="H1235" s="4" t="inlineStr">
        <is>
          <t>11.10.2026</t>
        </is>
      </c>
      <c r="I1235" s="4" t="inlineStr">
        <is>
          <t>07:59</t>
        </is>
      </c>
      <c r="J1235" s="8" t="n">
        <v>10.5</v>
      </c>
      <c r="K1235" s="8" t="n">
        <v>7.5</v>
      </c>
      <c r="L1235" s="8" t="n">
        <v>3</v>
      </c>
      <c r="M1235" s="29" t="inlineStr">
        <is>
          <t>HALİL DİĞRENCİ</t>
        </is>
      </c>
    </row>
    <row r="1236">
      <c r="A1236" s="4" t="n">
        <v>1235</v>
      </c>
      <c r="B1236" s="4" t="inlineStr">
        <is>
          <t>01407</t>
        </is>
      </c>
      <c r="C1236" s="4" t="inlineStr">
        <is>
          <t>01407</t>
        </is>
      </c>
      <c r="D1236" s="29" t="inlineStr">
        <is>
          <t>ENİFE MENTEŞ</t>
        </is>
      </c>
      <c r="E1236" s="4" t="inlineStr">
        <is>
          <t>Salı</t>
        </is>
      </c>
      <c r="F1236" s="4" t="inlineStr">
        <is>
          <t>13.10.2026</t>
        </is>
      </c>
      <c r="G1236" s="4" t="inlineStr">
        <is>
          <t>20:01</t>
        </is>
      </c>
      <c r="H1236" s="4" t="inlineStr">
        <is>
          <t>13.10.2026</t>
        </is>
      </c>
      <c r="I1236" s="4" t="inlineStr">
        <is>
          <t>07:56</t>
        </is>
      </c>
      <c r="J1236" s="8" t="n">
        <v>10.5</v>
      </c>
      <c r="K1236" s="8" t="n">
        <v>7.5</v>
      </c>
      <c r="L1236" s="8" t="n">
        <v>3</v>
      </c>
      <c r="M1236" s="29" t="inlineStr">
        <is>
          <t>HALİL DİĞRENCİ</t>
        </is>
      </c>
    </row>
    <row r="1237">
      <c r="A1237" s="4" t="n">
        <v>1236</v>
      </c>
      <c r="B1237" s="4" t="inlineStr">
        <is>
          <t>01407</t>
        </is>
      </c>
      <c r="C1237" s="4" t="inlineStr">
        <is>
          <t>01407</t>
        </is>
      </c>
      <c r="D1237" s="29" t="inlineStr">
        <is>
          <t>ENİFE MENTEŞ</t>
        </is>
      </c>
      <c r="E1237" s="4" t="inlineStr">
        <is>
          <t>Çarşamba</t>
        </is>
      </c>
      <c r="F1237" s="4" t="inlineStr">
        <is>
          <t>14.10.2026</t>
        </is>
      </c>
      <c r="G1237" s="4" t="inlineStr">
        <is>
          <t>20:14</t>
        </is>
      </c>
      <c r="H1237" s="4" t="inlineStr">
        <is>
          <t>14.10.2026</t>
        </is>
      </c>
      <c r="I1237" s="4" t="inlineStr">
        <is>
          <t>07:57</t>
        </is>
      </c>
      <c r="J1237" s="8" t="n">
        <v>10.5</v>
      </c>
      <c r="K1237" s="8" t="n">
        <v>7.5</v>
      </c>
      <c r="L1237" s="8" t="n">
        <v>3</v>
      </c>
      <c r="M1237" s="29" t="inlineStr">
        <is>
          <t>HALİL DİĞRENCİ</t>
        </is>
      </c>
    </row>
    <row r="1238">
      <c r="A1238" s="4" t="n">
        <v>1237</v>
      </c>
      <c r="B1238" s="4" t="inlineStr">
        <is>
          <t>01407</t>
        </is>
      </c>
      <c r="C1238" s="4" t="inlineStr">
        <is>
          <t>01407</t>
        </is>
      </c>
      <c r="D1238" s="29" t="inlineStr">
        <is>
          <t>ENİFE MENTEŞ</t>
        </is>
      </c>
      <c r="E1238" s="4" t="inlineStr">
        <is>
          <t>Perşembe</t>
        </is>
      </c>
      <c r="F1238" s="4" t="inlineStr">
        <is>
          <t>15.10.2026</t>
        </is>
      </c>
      <c r="G1238" s="4" t="inlineStr">
        <is>
          <t>20:12</t>
        </is>
      </c>
      <c r="H1238" s="4" t="inlineStr">
        <is>
          <t>15.10.2026</t>
        </is>
      </c>
      <c r="I1238" s="4" t="inlineStr">
        <is>
          <t>07:56</t>
        </is>
      </c>
      <c r="J1238" s="8" t="n">
        <v>10.5</v>
      </c>
      <c r="K1238" s="8" t="n">
        <v>7.5</v>
      </c>
      <c r="L1238" s="8" t="n">
        <v>3</v>
      </c>
      <c r="M1238" s="29" t="inlineStr">
        <is>
          <t>HALİL DİĞRENCİ</t>
        </is>
      </c>
    </row>
    <row r="1239">
      <c r="A1239" s="4" t="n">
        <v>1238</v>
      </c>
      <c r="B1239" s="4" t="inlineStr">
        <is>
          <t>01407</t>
        </is>
      </c>
      <c r="C1239" s="4" t="inlineStr">
        <is>
          <t>01407</t>
        </is>
      </c>
      <c r="D1239" s="29" t="inlineStr">
        <is>
          <t>ENİFE MENTEŞ</t>
        </is>
      </c>
      <c r="E1239" s="4" t="inlineStr">
        <is>
          <t>Pazar</t>
        </is>
      </c>
      <c r="F1239" s="4" t="inlineStr">
        <is>
          <t>18.10.2026</t>
        </is>
      </c>
      <c r="G1239" s="4" t="inlineStr">
        <is>
          <t>08:16</t>
        </is>
      </c>
      <c r="H1239" s="4" t="inlineStr">
        <is>
          <t>18.10.2026</t>
        </is>
      </c>
      <c r="I1239" s="4" t="inlineStr">
        <is>
          <t>20:00</t>
        </is>
      </c>
      <c r="J1239" s="8" t="n">
        <v>10.5</v>
      </c>
      <c r="K1239" s="8" t="n">
        <v>7.5</v>
      </c>
      <c r="L1239" s="8" t="n">
        <v>3</v>
      </c>
      <c r="M1239" s="29" t="inlineStr">
        <is>
          <t>HALİL DİĞRENCİ</t>
        </is>
      </c>
    </row>
    <row r="1240">
      <c r="A1240" s="4" t="n">
        <v>1239</v>
      </c>
      <c r="B1240" s="4" t="inlineStr">
        <is>
          <t>01407</t>
        </is>
      </c>
      <c r="C1240" s="4" t="inlineStr">
        <is>
          <t>01407</t>
        </is>
      </c>
      <c r="D1240" s="29" t="inlineStr">
        <is>
          <t>ENİFE MENTEŞ</t>
        </is>
      </c>
      <c r="E1240" s="4" t="inlineStr">
        <is>
          <t>Pazartesi</t>
        </is>
      </c>
      <c r="F1240" s="4" t="inlineStr">
        <is>
          <t>19.10.2026</t>
        </is>
      </c>
      <c r="G1240" s="4" t="inlineStr">
        <is>
          <t>19:44</t>
        </is>
      </c>
      <c r="H1240" s="4" t="inlineStr">
        <is>
          <t>19.10.2026</t>
        </is>
      </c>
      <c r="I1240" s="4" t="inlineStr">
        <is>
          <t>07:52</t>
        </is>
      </c>
      <c r="J1240" s="8" t="n">
        <v>10.5</v>
      </c>
      <c r="K1240" s="8" t="n">
        <v>7.5</v>
      </c>
      <c r="L1240" s="8" t="n">
        <v>3</v>
      </c>
      <c r="M1240" s="29" t="inlineStr">
        <is>
          <t>HALİL DİĞRENCİ</t>
        </is>
      </c>
    </row>
    <row r="1241">
      <c r="A1241" s="4" t="n">
        <v>1240</v>
      </c>
      <c r="B1241" s="4" t="inlineStr">
        <is>
          <t>01351</t>
        </is>
      </c>
      <c r="C1241" s="4" t="inlineStr">
        <is>
          <t>01351</t>
        </is>
      </c>
      <c r="D1241" s="29" t="inlineStr">
        <is>
          <t>ERCAN POLAT</t>
        </is>
      </c>
      <c r="E1241" s="4" t="inlineStr">
        <is>
          <t>Perşembe</t>
        </is>
      </c>
      <c r="F1241" s="4" t="inlineStr">
        <is>
          <t>1.10.2026</t>
        </is>
      </c>
      <c r="G1241" s="4" t="inlineStr">
        <is>
          <t>07:43</t>
        </is>
      </c>
      <c r="H1241" s="4" t="inlineStr">
        <is>
          <t>1.10.2026</t>
        </is>
      </c>
      <c r="I1241" s="4" t="inlineStr">
        <is>
          <t>17:32</t>
        </is>
      </c>
      <c r="J1241" s="8" t="n">
        <v>8</v>
      </c>
      <c r="K1241" s="8" t="n">
        <v>7.5</v>
      </c>
      <c r="L1241" s="8" t="n">
        <v>0.5</v>
      </c>
      <c r="M1241" s="29" t="inlineStr">
        <is>
          <t>KARACABEY</t>
        </is>
      </c>
    </row>
    <row r="1242">
      <c r="A1242" s="4" t="n">
        <v>1241</v>
      </c>
      <c r="B1242" s="4" t="inlineStr">
        <is>
          <t>01351</t>
        </is>
      </c>
      <c r="C1242" s="4" t="inlineStr">
        <is>
          <t>01351</t>
        </is>
      </c>
      <c r="D1242" s="29" t="inlineStr">
        <is>
          <t>ERCAN POLAT</t>
        </is>
      </c>
      <c r="E1242" s="4" t="inlineStr">
        <is>
          <t>Cuma</t>
        </is>
      </c>
      <c r="F1242" s="4" t="inlineStr">
        <is>
          <t>2.10.2026</t>
        </is>
      </c>
      <c r="G1242" s="4" t="inlineStr">
        <is>
          <t>07:41</t>
        </is>
      </c>
      <c r="H1242" s="4" t="inlineStr">
        <is>
          <t>2.10.2026</t>
        </is>
      </c>
      <c r="I1242" s="4" t="inlineStr">
        <is>
          <t>17:56</t>
        </is>
      </c>
      <c r="J1242" s="8" t="n">
        <v>8.5</v>
      </c>
      <c r="K1242" s="8" t="n">
        <v>7.5</v>
      </c>
      <c r="L1242" s="8" t="n">
        <v>1</v>
      </c>
      <c r="M1242" s="29" t="inlineStr">
        <is>
          <t>KARACABEY</t>
        </is>
      </c>
    </row>
    <row r="1243">
      <c r="A1243" s="4" t="n">
        <v>1242</v>
      </c>
      <c r="B1243" s="4" t="inlineStr">
        <is>
          <t>01351</t>
        </is>
      </c>
      <c r="C1243" s="4" t="inlineStr">
        <is>
          <t>01351</t>
        </is>
      </c>
      <c r="D1243" s="29" t="inlineStr">
        <is>
          <t>ERCAN POLAT</t>
        </is>
      </c>
      <c r="E1243" s="4" t="inlineStr">
        <is>
          <t>Cumartesi</t>
        </is>
      </c>
      <c r="F1243" s="4" t="inlineStr">
        <is>
          <t>3.10.2026</t>
        </is>
      </c>
      <c r="G1243" s="4" t="inlineStr">
        <is>
          <t>07:42</t>
        </is>
      </c>
      <c r="H1243" s="4" t="inlineStr">
        <is>
          <t>3.10.2026</t>
        </is>
      </c>
      <c r="I1243" s="4" t="inlineStr">
        <is>
          <t>17:38</t>
        </is>
      </c>
      <c r="J1243" s="8" t="n">
        <v>8</v>
      </c>
      <c r="K1243" s="8" t="n">
        <v>7.5</v>
      </c>
      <c r="L1243" s="8" t="n">
        <v>0.5</v>
      </c>
      <c r="M1243" s="29" t="inlineStr">
        <is>
          <t>KARACABEY</t>
        </is>
      </c>
    </row>
    <row r="1244">
      <c r="A1244" s="4" t="n">
        <v>1243</v>
      </c>
      <c r="B1244" s="4" t="inlineStr">
        <is>
          <t>01351</t>
        </is>
      </c>
      <c r="C1244" s="4" t="inlineStr">
        <is>
          <t>01351</t>
        </is>
      </c>
      <c r="D1244" s="29" t="inlineStr">
        <is>
          <t>ERCAN POLAT</t>
        </is>
      </c>
      <c r="E1244" s="4" t="inlineStr">
        <is>
          <t>Pazartesi</t>
        </is>
      </c>
      <c r="F1244" s="4" t="inlineStr">
        <is>
          <t>5.10.2026</t>
        </is>
      </c>
      <c r="G1244" s="4" t="inlineStr">
        <is>
          <t>07:45</t>
        </is>
      </c>
      <c r="H1244" s="4" t="inlineStr">
        <is>
          <t>5.10.2026</t>
        </is>
      </c>
      <c r="I1244" s="4" t="inlineStr">
        <is>
          <t>17:10</t>
        </is>
      </c>
      <c r="J1244" s="8" t="n">
        <v>7.5</v>
      </c>
      <c r="K1244" s="8" t="n">
        <v>7.5</v>
      </c>
      <c r="L1244" s="8" t="n">
        <v>0</v>
      </c>
      <c r="M1244" s="29" t="inlineStr">
        <is>
          <t>KARACABEY</t>
        </is>
      </c>
    </row>
    <row r="1245">
      <c r="A1245" s="4" t="n">
        <v>1244</v>
      </c>
      <c r="B1245" s="4" t="inlineStr">
        <is>
          <t>01351</t>
        </is>
      </c>
      <c r="C1245" s="4" t="inlineStr">
        <is>
          <t>01351</t>
        </is>
      </c>
      <c r="D1245" s="29" t="inlineStr">
        <is>
          <t>ERCAN POLAT</t>
        </is>
      </c>
      <c r="E1245" s="4" t="inlineStr">
        <is>
          <t>Salı</t>
        </is>
      </c>
      <c r="F1245" s="4" t="inlineStr">
        <is>
          <t>6.10.2026</t>
        </is>
      </c>
      <c r="G1245" s="4" t="inlineStr">
        <is>
          <t>07:45</t>
        </is>
      </c>
      <c r="H1245" s="4" t="inlineStr">
        <is>
          <t>6.10.2026</t>
        </is>
      </c>
      <c r="I1245" s="4" t="inlineStr">
        <is>
          <t>17:46</t>
        </is>
      </c>
      <c r="J1245" s="8" t="n">
        <v>8.5</v>
      </c>
      <c r="K1245" s="8" t="n">
        <v>7.5</v>
      </c>
      <c r="L1245" s="8" t="n">
        <v>1</v>
      </c>
      <c r="M1245" s="29" t="inlineStr">
        <is>
          <t>KARACABEY</t>
        </is>
      </c>
    </row>
    <row r="1246">
      <c r="A1246" s="4" t="n">
        <v>1245</v>
      </c>
      <c r="B1246" s="4" t="inlineStr">
        <is>
          <t>01351</t>
        </is>
      </c>
      <c r="C1246" s="4" t="inlineStr">
        <is>
          <t>01351</t>
        </is>
      </c>
      <c r="D1246" s="29" t="inlineStr">
        <is>
          <t>ERCAN POLAT</t>
        </is>
      </c>
      <c r="E1246" s="4" t="inlineStr">
        <is>
          <t>Çarşamba</t>
        </is>
      </c>
      <c r="F1246" s="4" t="inlineStr">
        <is>
          <t>7.10.2026</t>
        </is>
      </c>
      <c r="G1246" s="4" t="inlineStr">
        <is>
          <t>07:40</t>
        </is>
      </c>
      <c r="H1246" s="4" t="inlineStr">
        <is>
          <t>7.10.2026</t>
        </is>
      </c>
      <c r="I1246" s="4" t="inlineStr">
        <is>
          <t>19:59</t>
        </is>
      </c>
      <c r="J1246" s="8" t="n">
        <v>10.5</v>
      </c>
      <c r="K1246" s="8" t="n">
        <v>7.5</v>
      </c>
      <c r="L1246" s="8" t="n">
        <v>3</v>
      </c>
      <c r="M1246" s="29" t="inlineStr">
        <is>
          <t>KARACABEY</t>
        </is>
      </c>
    </row>
    <row r="1247">
      <c r="A1247" s="4" t="n">
        <v>1246</v>
      </c>
      <c r="B1247" s="4" t="inlineStr">
        <is>
          <t>01351</t>
        </is>
      </c>
      <c r="C1247" s="4" t="inlineStr">
        <is>
          <t>01351</t>
        </is>
      </c>
      <c r="D1247" s="29" t="inlineStr">
        <is>
          <t>ERCAN POLAT</t>
        </is>
      </c>
      <c r="E1247" s="4" t="inlineStr">
        <is>
          <t>Perşembe</t>
        </is>
      </c>
      <c r="F1247" s="4" t="inlineStr">
        <is>
          <t>8.10.2026</t>
        </is>
      </c>
      <c r="G1247" s="4" t="inlineStr">
        <is>
          <t>07:43</t>
        </is>
      </c>
      <c r="H1247" s="4" t="inlineStr">
        <is>
          <t>8.10.2026</t>
        </is>
      </c>
      <c r="I1247" s="4" t="inlineStr">
        <is>
          <t>17:30</t>
        </is>
      </c>
      <c r="J1247" s="8" t="n">
        <v>8</v>
      </c>
      <c r="K1247" s="8" t="n">
        <v>7.5</v>
      </c>
      <c r="L1247" s="8" t="n">
        <v>0.5</v>
      </c>
      <c r="M1247" s="29" t="inlineStr">
        <is>
          <t>KARACABEY</t>
        </is>
      </c>
    </row>
    <row r="1248">
      <c r="A1248" s="4" t="n">
        <v>1247</v>
      </c>
      <c r="B1248" s="4" t="inlineStr">
        <is>
          <t>01351</t>
        </is>
      </c>
      <c r="C1248" s="4" t="inlineStr">
        <is>
          <t>01351</t>
        </is>
      </c>
      <c r="D1248" s="29" t="inlineStr">
        <is>
          <t>ERCAN POLAT</t>
        </is>
      </c>
      <c r="E1248" s="4" t="inlineStr">
        <is>
          <t>Cuma</t>
        </is>
      </c>
      <c r="F1248" s="4" t="inlineStr">
        <is>
          <t>9.10.2026</t>
        </is>
      </c>
      <c r="G1248" s="4" t="inlineStr">
        <is>
          <t>07:39</t>
        </is>
      </c>
      <c r="H1248" s="4" t="inlineStr">
        <is>
          <t>9.10.2026</t>
        </is>
      </c>
      <c r="I1248" s="4" t="inlineStr">
        <is>
          <t>17:45</t>
        </is>
      </c>
      <c r="J1248" s="8" t="n">
        <v>8.5</v>
      </c>
      <c r="K1248" s="8" t="n">
        <v>7.5</v>
      </c>
      <c r="L1248" s="8" t="n">
        <v>1</v>
      </c>
      <c r="M1248" s="29" t="inlineStr">
        <is>
          <t>KARACABEY</t>
        </is>
      </c>
    </row>
    <row r="1249">
      <c r="A1249" s="4" t="n">
        <v>1248</v>
      </c>
      <c r="B1249" s="4" t="inlineStr">
        <is>
          <t>01351</t>
        </is>
      </c>
      <c r="C1249" s="4" t="inlineStr">
        <is>
          <t>01351</t>
        </is>
      </c>
      <c r="D1249" s="29" t="inlineStr">
        <is>
          <t>ERCAN POLAT</t>
        </is>
      </c>
      <c r="E1249" s="4" t="inlineStr">
        <is>
          <t>Cumartesi</t>
        </is>
      </c>
      <c r="F1249" s="4" t="inlineStr">
        <is>
          <t>10.10.2026</t>
        </is>
      </c>
      <c r="G1249" s="4" t="inlineStr">
        <is>
          <t>07:42</t>
        </is>
      </c>
      <c r="H1249" s="4" t="inlineStr">
        <is>
          <t>10.10.2026</t>
        </is>
      </c>
      <c r="I1249" s="4" t="inlineStr">
        <is>
          <t>18:09</t>
        </is>
      </c>
      <c r="J1249" s="8" t="n">
        <v>8.5</v>
      </c>
      <c r="K1249" s="8" t="n">
        <v>7.5</v>
      </c>
      <c r="L1249" s="8" t="n">
        <v>1</v>
      </c>
      <c r="M1249" s="29" t="inlineStr">
        <is>
          <t>KARACABEY</t>
        </is>
      </c>
    </row>
    <row r="1250">
      <c r="A1250" s="4" t="n">
        <v>1249</v>
      </c>
      <c r="B1250" s="4" t="inlineStr">
        <is>
          <t>01351</t>
        </is>
      </c>
      <c r="C1250" s="4" t="inlineStr">
        <is>
          <t>01351</t>
        </is>
      </c>
      <c r="D1250" s="29" t="inlineStr">
        <is>
          <t>ERCAN POLAT</t>
        </is>
      </c>
      <c r="E1250" s="4" t="inlineStr">
        <is>
          <t>Pazartesi</t>
        </is>
      </c>
      <c r="F1250" s="4" t="inlineStr">
        <is>
          <t>12.10.2026</t>
        </is>
      </c>
      <c r="G1250" s="4" t="inlineStr">
        <is>
          <t>08:01</t>
        </is>
      </c>
      <c r="H1250" s="4" t="inlineStr">
        <is>
          <t>12.10.2026</t>
        </is>
      </c>
      <c r="I1250" s="4" t="inlineStr">
        <is>
          <t>17:07</t>
        </is>
      </c>
      <c r="J1250" s="8" t="n">
        <v>7.5</v>
      </c>
      <c r="K1250" s="8" t="n">
        <v>7.5</v>
      </c>
      <c r="L1250" s="8" t="n">
        <v>0</v>
      </c>
      <c r="M1250" s="29" t="inlineStr">
        <is>
          <t>KARACABEY</t>
        </is>
      </c>
    </row>
    <row r="1251">
      <c r="A1251" s="4" t="n">
        <v>1250</v>
      </c>
      <c r="B1251" s="4" t="inlineStr">
        <is>
          <t>01351</t>
        </is>
      </c>
      <c r="C1251" s="4" t="inlineStr">
        <is>
          <t>01351</t>
        </is>
      </c>
      <c r="D1251" s="29" t="inlineStr">
        <is>
          <t>ERCAN POLAT</t>
        </is>
      </c>
      <c r="E1251" s="4" t="inlineStr">
        <is>
          <t>Salı</t>
        </is>
      </c>
      <c r="F1251" s="4" t="inlineStr">
        <is>
          <t>13.10.2026</t>
        </is>
      </c>
      <c r="G1251" s="4" t="inlineStr">
        <is>
          <t>07:42</t>
        </is>
      </c>
      <c r="H1251" s="4" t="inlineStr">
        <is>
          <t>13.10.2026</t>
        </is>
      </c>
      <c r="I1251" s="4" t="inlineStr">
        <is>
          <t>17:08</t>
        </is>
      </c>
      <c r="J1251" s="8" t="n">
        <v>7.5</v>
      </c>
      <c r="K1251" s="8" t="n">
        <v>7.5</v>
      </c>
      <c r="L1251" s="8" t="n">
        <v>0</v>
      </c>
      <c r="M1251" s="29" t="inlineStr">
        <is>
          <t>KARACABEY</t>
        </is>
      </c>
    </row>
    <row r="1252">
      <c r="A1252" s="4" t="n">
        <v>1251</v>
      </c>
      <c r="B1252" s="4" t="inlineStr">
        <is>
          <t>01351</t>
        </is>
      </c>
      <c r="C1252" s="4" t="inlineStr">
        <is>
          <t>01351</t>
        </is>
      </c>
      <c r="D1252" s="29" t="inlineStr">
        <is>
          <t>ERCAN POLAT</t>
        </is>
      </c>
      <c r="E1252" s="4" t="inlineStr">
        <is>
          <t>Çarşamba</t>
        </is>
      </c>
      <c r="F1252" s="4" t="inlineStr">
        <is>
          <t>14.10.2026</t>
        </is>
      </c>
      <c r="G1252" s="4" t="inlineStr">
        <is>
          <t>07:44</t>
        </is>
      </c>
      <c r="H1252" s="4" t="inlineStr">
        <is>
          <t>14.10.2026</t>
        </is>
      </c>
      <c r="I1252" s="4" t="inlineStr">
        <is>
          <t>18:03</t>
        </is>
      </c>
      <c r="J1252" s="8" t="n">
        <v>8.5</v>
      </c>
      <c r="K1252" s="8" t="n">
        <v>7.5</v>
      </c>
      <c r="L1252" s="8" t="n">
        <v>1</v>
      </c>
      <c r="M1252" s="29" t="inlineStr">
        <is>
          <t>KARACABEY</t>
        </is>
      </c>
    </row>
    <row r="1253">
      <c r="A1253" s="4" t="n">
        <v>1252</v>
      </c>
      <c r="B1253" s="4" t="inlineStr">
        <is>
          <t>01351</t>
        </is>
      </c>
      <c r="C1253" s="4" t="inlineStr">
        <is>
          <t>01351</t>
        </is>
      </c>
      <c r="D1253" s="29" t="inlineStr">
        <is>
          <t>ERCAN POLAT</t>
        </is>
      </c>
      <c r="E1253" s="4" t="inlineStr">
        <is>
          <t>Perşembe</t>
        </is>
      </c>
      <c r="F1253" s="4" t="inlineStr">
        <is>
          <t>15.10.2026</t>
        </is>
      </c>
      <c r="G1253" s="4" t="inlineStr">
        <is>
          <t>07:45</t>
        </is>
      </c>
      <c r="H1253" s="4" t="inlineStr">
        <is>
          <t>15.10.2026</t>
        </is>
      </c>
      <c r="I1253" s="4" t="inlineStr">
        <is>
          <t>17:01</t>
        </is>
      </c>
      <c r="J1253" s="8" t="n">
        <v>7.5</v>
      </c>
      <c r="K1253" s="8" t="n">
        <v>7.5</v>
      </c>
      <c r="L1253" s="8" t="n">
        <v>0</v>
      </c>
      <c r="M1253" s="29" t="inlineStr">
        <is>
          <t>KARACABEY</t>
        </is>
      </c>
    </row>
    <row r="1254">
      <c r="A1254" s="4" t="n">
        <v>1253</v>
      </c>
      <c r="B1254" s="4" t="inlineStr">
        <is>
          <t>01351</t>
        </is>
      </c>
      <c r="C1254" s="4" t="inlineStr">
        <is>
          <t>01351</t>
        </is>
      </c>
      <c r="D1254" s="29" t="inlineStr">
        <is>
          <t>ERCAN POLAT</t>
        </is>
      </c>
      <c r="E1254" s="4" t="inlineStr">
        <is>
          <t>Cuma</t>
        </is>
      </c>
      <c r="F1254" s="4" t="inlineStr">
        <is>
          <t>16.10.2026</t>
        </is>
      </c>
      <c r="G1254" s="4" t="inlineStr">
        <is>
          <t>07:40</t>
        </is>
      </c>
      <c r="H1254" s="4" t="inlineStr">
        <is>
          <t>16.10.2026</t>
        </is>
      </c>
      <c r="I1254" s="4" t="inlineStr">
        <is>
          <t>21:46</t>
        </is>
      </c>
      <c r="J1254" s="8" t="n">
        <v>12.5</v>
      </c>
      <c r="K1254" s="8" t="n">
        <v>7.5</v>
      </c>
      <c r="L1254" s="8" t="n">
        <v>5</v>
      </c>
      <c r="M1254" s="29" t="inlineStr">
        <is>
          <t>KARACABEY</t>
        </is>
      </c>
    </row>
    <row r="1255">
      <c r="A1255" s="4" t="n">
        <v>1254</v>
      </c>
      <c r="B1255" s="4" t="inlineStr">
        <is>
          <t>01351</t>
        </is>
      </c>
      <c r="C1255" s="4" t="inlineStr">
        <is>
          <t>01351</t>
        </is>
      </c>
      <c r="D1255" s="29" t="inlineStr">
        <is>
          <t>ERCAN POLAT</t>
        </is>
      </c>
      <c r="E1255" s="4" t="inlineStr">
        <is>
          <t>Cumartesi</t>
        </is>
      </c>
      <c r="F1255" s="4" t="inlineStr">
        <is>
          <t>17.10.2026</t>
        </is>
      </c>
      <c r="G1255" s="4" t="inlineStr">
        <is>
          <t>07:38</t>
        </is>
      </c>
      <c r="H1255" s="4" t="inlineStr">
        <is>
          <t>17.10.2026</t>
        </is>
      </c>
      <c r="I1255" s="4" t="inlineStr">
        <is>
          <t>16:52</t>
        </is>
      </c>
      <c r="J1255" s="8" t="n">
        <v>7.5</v>
      </c>
      <c r="K1255" s="8" t="n">
        <v>7.5</v>
      </c>
      <c r="L1255" s="8" t="n">
        <v>0</v>
      </c>
      <c r="M1255" s="29" t="inlineStr">
        <is>
          <t>KARACABEY</t>
        </is>
      </c>
    </row>
    <row r="1256">
      <c r="A1256" s="4" t="n">
        <v>1255</v>
      </c>
      <c r="B1256" s="4" t="inlineStr">
        <is>
          <t>01351</t>
        </is>
      </c>
      <c r="C1256" s="4" t="inlineStr">
        <is>
          <t>01351</t>
        </is>
      </c>
      <c r="D1256" s="29" t="inlineStr">
        <is>
          <t>ERCAN POLAT</t>
        </is>
      </c>
      <c r="E1256" s="4" t="inlineStr">
        <is>
          <t>Pazartesi</t>
        </is>
      </c>
      <c r="F1256" s="4" t="inlineStr">
        <is>
          <t>19.10.2026</t>
        </is>
      </c>
      <c r="G1256" s="4" t="inlineStr">
        <is>
          <t>07:49</t>
        </is>
      </c>
      <c r="H1256" s="4" t="inlineStr">
        <is>
          <t>19.10.2026</t>
        </is>
      </c>
      <c r="I1256" s="4" t="inlineStr">
        <is>
          <t>17:46</t>
        </is>
      </c>
      <c r="J1256" s="8" t="n">
        <v>8.5</v>
      </c>
      <c r="K1256" s="8" t="n">
        <v>7.5</v>
      </c>
      <c r="L1256" s="8" t="n">
        <v>1</v>
      </c>
      <c r="M1256" s="29" t="inlineStr">
        <is>
          <t>KARACABEY</t>
        </is>
      </c>
    </row>
    <row r="1257">
      <c r="A1257" s="4" t="n">
        <v>1256</v>
      </c>
      <c r="B1257" s="4" t="inlineStr">
        <is>
          <t>01351</t>
        </is>
      </c>
      <c r="C1257" s="4" t="inlineStr">
        <is>
          <t>01351</t>
        </is>
      </c>
      <c r="D1257" s="29" t="inlineStr">
        <is>
          <t>ERCAN POLAT</t>
        </is>
      </c>
      <c r="E1257" s="4" t="inlineStr">
        <is>
          <t>Salı</t>
        </is>
      </c>
      <c r="F1257" s="4" t="inlineStr">
        <is>
          <t>20.10.2026</t>
        </is>
      </c>
      <c r="G1257" s="4" t="inlineStr">
        <is>
          <t>07:50</t>
        </is>
      </c>
      <c r="H1257" s="4" t="inlineStr">
        <is>
          <t>20.10.2026</t>
        </is>
      </c>
      <c r="I1257" s="4" t="inlineStr">
        <is>
          <t>16:59</t>
        </is>
      </c>
      <c r="J1257" s="8" t="n">
        <v>7.5</v>
      </c>
      <c r="K1257" s="8" t="n">
        <v>7.5</v>
      </c>
      <c r="L1257" s="8" t="n">
        <v>0</v>
      </c>
      <c r="M1257" s="29" t="inlineStr">
        <is>
          <t>KARACABEY</t>
        </is>
      </c>
    </row>
    <row r="1258">
      <c r="A1258" s="4" t="n">
        <v>1257</v>
      </c>
      <c r="B1258" s="4" t="inlineStr">
        <is>
          <t>01351</t>
        </is>
      </c>
      <c r="C1258" s="4" t="inlineStr">
        <is>
          <t>01351</t>
        </is>
      </c>
      <c r="D1258" s="29" t="inlineStr">
        <is>
          <t>ERCAN POLAT</t>
        </is>
      </c>
      <c r="E1258" s="4" t="inlineStr">
        <is>
          <t>Çarşamba</t>
        </is>
      </c>
      <c r="F1258" s="4" t="inlineStr">
        <is>
          <t>21.10.2026</t>
        </is>
      </c>
      <c r="G1258" s="4" t="inlineStr">
        <is>
          <t>07:44</t>
        </is>
      </c>
      <c r="H1258" s="4" t="inlineStr">
        <is>
          <t>21.10.2026</t>
        </is>
      </c>
      <c r="I1258" s="4" t="inlineStr">
        <is>
          <t>17:07</t>
        </is>
      </c>
      <c r="J1258" s="8" t="n">
        <v>7.5</v>
      </c>
      <c r="K1258" s="8" t="n">
        <v>7.5</v>
      </c>
      <c r="L1258" s="8" t="n">
        <v>0</v>
      </c>
      <c r="M1258" s="29" t="inlineStr">
        <is>
          <t>KARACABEY</t>
        </is>
      </c>
    </row>
    <row r="1259">
      <c r="A1259" s="4" t="n">
        <v>1258</v>
      </c>
      <c r="B1259" s="4" t="inlineStr">
        <is>
          <t>01521</t>
        </is>
      </c>
      <c r="C1259" s="4" t="inlineStr">
        <is>
          <t>01521</t>
        </is>
      </c>
      <c r="D1259" s="29" t="inlineStr">
        <is>
          <t>ERDAL MENTEŞ</t>
        </is>
      </c>
      <c r="E1259" s="4" t="inlineStr">
        <is>
          <t>Çarşamba</t>
        </is>
      </c>
      <c r="F1259" s="4" t="inlineStr">
        <is>
          <t>7.10.2026</t>
        </is>
      </c>
      <c r="G1259" s="4" t="inlineStr">
        <is>
          <t>19:59</t>
        </is>
      </c>
      <c r="H1259" s="4" t="inlineStr">
        <is>
          <t>7.10.2026</t>
        </is>
      </c>
      <c r="I1259" s="4" t="inlineStr">
        <is>
          <t>07:57</t>
        </is>
      </c>
      <c r="J1259" s="8" t="n">
        <v>10.5</v>
      </c>
      <c r="K1259" s="8" t="n">
        <v>7.5</v>
      </c>
      <c r="L1259" s="8" t="n">
        <v>3</v>
      </c>
      <c r="M1259" s="29" t="inlineStr">
        <is>
          <t>HALİL DİĞRENCİ</t>
        </is>
      </c>
    </row>
    <row r="1260">
      <c r="A1260" s="4" t="n">
        <v>1259</v>
      </c>
      <c r="B1260" s="4" t="inlineStr">
        <is>
          <t>01521</t>
        </is>
      </c>
      <c r="C1260" s="4" t="inlineStr">
        <is>
          <t>01521</t>
        </is>
      </c>
      <c r="D1260" s="29" t="inlineStr">
        <is>
          <t>ERDAL MENTEŞ</t>
        </is>
      </c>
      <c r="E1260" s="4" t="inlineStr">
        <is>
          <t>Perşembe</t>
        </is>
      </c>
      <c r="F1260" s="4" t="inlineStr">
        <is>
          <t>8.10.2026</t>
        </is>
      </c>
      <c r="G1260" s="4" t="inlineStr">
        <is>
          <t>19:59</t>
        </is>
      </c>
      <c r="H1260" s="4" t="inlineStr">
        <is>
          <t>8.10.2026</t>
        </is>
      </c>
      <c r="I1260" s="4" t="inlineStr">
        <is>
          <t>08:02</t>
        </is>
      </c>
      <c r="J1260" s="8" t="n">
        <v>10.5</v>
      </c>
      <c r="K1260" s="8" t="n">
        <v>7.5</v>
      </c>
      <c r="L1260" s="8" t="n">
        <v>3</v>
      </c>
      <c r="M1260" s="29" t="inlineStr">
        <is>
          <t>HALİL DİĞRENCİ</t>
        </is>
      </c>
    </row>
    <row r="1261">
      <c r="A1261" s="4" t="n">
        <v>1260</v>
      </c>
      <c r="B1261" s="4" t="inlineStr">
        <is>
          <t>01521</t>
        </is>
      </c>
      <c r="C1261" s="4" t="inlineStr">
        <is>
          <t>01521</t>
        </is>
      </c>
      <c r="D1261" s="29" t="inlineStr">
        <is>
          <t>ERDAL MENTEŞ</t>
        </is>
      </c>
      <c r="E1261" s="4" t="inlineStr">
        <is>
          <t>Cuma</t>
        </is>
      </c>
      <c r="F1261" s="4" t="inlineStr">
        <is>
          <t>9.10.2026</t>
        </is>
      </c>
      <c r="G1261" s="4" t="inlineStr">
        <is>
          <t>20:03</t>
        </is>
      </c>
      <c r="H1261" s="4" t="inlineStr">
        <is>
          <t>9.10.2026</t>
        </is>
      </c>
      <c r="I1261" s="4" t="inlineStr">
        <is>
          <t>08:00</t>
        </is>
      </c>
      <c r="J1261" s="8" t="n">
        <v>10.5</v>
      </c>
      <c r="K1261" s="8" t="n">
        <v>7.5</v>
      </c>
      <c r="L1261" s="8" t="n">
        <v>3</v>
      </c>
      <c r="M1261" s="29" t="inlineStr">
        <is>
          <t>HALİL DİĞRENCİ</t>
        </is>
      </c>
    </row>
    <row r="1262">
      <c r="A1262" s="4" t="n">
        <v>1261</v>
      </c>
      <c r="B1262" s="4" t="inlineStr">
        <is>
          <t>01521</t>
        </is>
      </c>
      <c r="C1262" s="4" t="inlineStr">
        <is>
          <t>01521</t>
        </is>
      </c>
      <c r="D1262" s="29" t="inlineStr">
        <is>
          <t>ERDAL MENTEŞ</t>
        </is>
      </c>
      <c r="E1262" s="4" t="inlineStr">
        <is>
          <t>Pazar</t>
        </is>
      </c>
      <c r="F1262" s="4" t="inlineStr">
        <is>
          <t>11.10.2026</t>
        </is>
      </c>
      <c r="G1262" s="4" t="inlineStr">
        <is>
          <t>20:17</t>
        </is>
      </c>
      <c r="H1262" s="4" t="inlineStr">
        <is>
          <t>11.10.2026</t>
        </is>
      </c>
      <c r="I1262" s="4" t="inlineStr">
        <is>
          <t>08:03</t>
        </is>
      </c>
      <c r="J1262" s="8" t="n">
        <v>10.5</v>
      </c>
      <c r="K1262" s="8" t="n">
        <v>7.5</v>
      </c>
      <c r="L1262" s="8" t="n">
        <v>3</v>
      </c>
      <c r="M1262" s="29" t="inlineStr">
        <is>
          <t>HALİL DİĞRENCİ</t>
        </is>
      </c>
    </row>
    <row r="1263">
      <c r="A1263" s="4" t="n">
        <v>1262</v>
      </c>
      <c r="B1263" s="4" t="inlineStr">
        <is>
          <t>01521</t>
        </is>
      </c>
      <c r="C1263" s="4" t="inlineStr">
        <is>
          <t>01521</t>
        </is>
      </c>
      <c r="D1263" s="29" t="inlineStr">
        <is>
          <t>ERDAL MENTEŞ</t>
        </is>
      </c>
      <c r="E1263" s="4" t="inlineStr">
        <is>
          <t>Pazartesi</t>
        </is>
      </c>
      <c r="F1263" s="4" t="inlineStr">
        <is>
          <t>12.10.2026</t>
        </is>
      </c>
      <c r="G1263" s="4" t="inlineStr">
        <is>
          <t>20:02</t>
        </is>
      </c>
      <c r="H1263" s="4" t="inlineStr">
        <is>
          <t>12.10.2026</t>
        </is>
      </c>
      <c r="I1263" s="4" t="inlineStr">
        <is>
          <t>07:54</t>
        </is>
      </c>
      <c r="J1263" s="8" t="n">
        <v>10.5</v>
      </c>
      <c r="K1263" s="8" t="n">
        <v>7.5</v>
      </c>
      <c r="L1263" s="8" t="n">
        <v>3</v>
      </c>
      <c r="M1263" s="29" t="inlineStr">
        <is>
          <t>HALİL DİĞRENCİ</t>
        </is>
      </c>
    </row>
    <row r="1264">
      <c r="A1264" s="4" t="n">
        <v>1263</v>
      </c>
      <c r="B1264" s="4" t="inlineStr">
        <is>
          <t>01521</t>
        </is>
      </c>
      <c r="C1264" s="4" t="inlineStr">
        <is>
          <t>01521</t>
        </is>
      </c>
      <c r="D1264" s="29" t="inlineStr">
        <is>
          <t>ERDAL MENTEŞ</t>
        </is>
      </c>
      <c r="E1264" s="4" t="inlineStr">
        <is>
          <t>Salı</t>
        </is>
      </c>
      <c r="F1264" s="4" t="inlineStr">
        <is>
          <t>13.10.2026</t>
        </is>
      </c>
      <c r="G1264" s="4" t="inlineStr">
        <is>
          <t>19:59</t>
        </is>
      </c>
      <c r="H1264" s="4" t="inlineStr">
        <is>
          <t>13.10.2026</t>
        </is>
      </c>
      <c r="I1264" s="4" t="inlineStr">
        <is>
          <t>07:56</t>
        </is>
      </c>
      <c r="J1264" s="8" t="n">
        <v>10.5</v>
      </c>
      <c r="K1264" s="8" t="n">
        <v>7.5</v>
      </c>
      <c r="L1264" s="8" t="n">
        <v>3</v>
      </c>
      <c r="M1264" s="29" t="inlineStr">
        <is>
          <t>HALİL DİĞRENCİ</t>
        </is>
      </c>
    </row>
    <row r="1265">
      <c r="A1265" s="4" t="n">
        <v>1264</v>
      </c>
      <c r="B1265" s="4" t="inlineStr">
        <is>
          <t>01521</t>
        </is>
      </c>
      <c r="C1265" s="4" t="inlineStr">
        <is>
          <t>01521</t>
        </is>
      </c>
      <c r="D1265" s="29" t="inlineStr">
        <is>
          <t>ERDAL MENTEŞ</t>
        </is>
      </c>
      <c r="E1265" s="4" t="inlineStr">
        <is>
          <t>Çarşamba</t>
        </is>
      </c>
      <c r="F1265" s="4" t="inlineStr">
        <is>
          <t>14.10.2026</t>
        </is>
      </c>
      <c r="G1265" s="4" t="inlineStr">
        <is>
          <t>20:16</t>
        </is>
      </c>
      <c r="H1265" s="4" t="inlineStr">
        <is>
          <t>14.10.2026</t>
        </is>
      </c>
      <c r="I1265" s="4" t="inlineStr">
        <is>
          <t>08:03</t>
        </is>
      </c>
      <c r="J1265" s="8" t="n">
        <v>10.5</v>
      </c>
      <c r="K1265" s="8" t="n">
        <v>7.5</v>
      </c>
      <c r="L1265" s="8" t="n">
        <v>3</v>
      </c>
      <c r="M1265" s="29" t="inlineStr">
        <is>
          <t>HALİL DİĞRENCİ</t>
        </is>
      </c>
    </row>
    <row r="1266">
      <c r="A1266" s="4" t="n">
        <v>1265</v>
      </c>
      <c r="B1266" s="4" t="inlineStr">
        <is>
          <t>01521</t>
        </is>
      </c>
      <c r="C1266" s="4" t="inlineStr">
        <is>
          <t>01521</t>
        </is>
      </c>
      <c r="D1266" s="29" t="inlineStr">
        <is>
          <t>ERDAL MENTEŞ</t>
        </is>
      </c>
      <c r="E1266" s="4" t="inlineStr">
        <is>
          <t>Perşembe</t>
        </is>
      </c>
      <c r="F1266" s="4" t="inlineStr">
        <is>
          <t>15.10.2026</t>
        </is>
      </c>
      <c r="G1266" s="4" t="inlineStr">
        <is>
          <t>20:13</t>
        </is>
      </c>
      <c r="H1266" s="4" t="inlineStr">
        <is>
          <t>15.10.2026</t>
        </is>
      </c>
      <c r="I1266" s="4" t="inlineStr">
        <is>
          <t>08:01</t>
        </is>
      </c>
      <c r="J1266" s="8" t="n">
        <v>10.5</v>
      </c>
      <c r="K1266" s="8" t="n">
        <v>7.5</v>
      </c>
      <c r="L1266" s="8" t="n">
        <v>3</v>
      </c>
      <c r="M1266" s="29" t="inlineStr">
        <is>
          <t>HALİL DİĞRENCİ</t>
        </is>
      </c>
    </row>
    <row r="1267">
      <c r="A1267" s="4" t="n">
        <v>1266</v>
      </c>
      <c r="B1267" s="4" t="inlineStr">
        <is>
          <t>01521</t>
        </is>
      </c>
      <c r="C1267" s="4" t="inlineStr">
        <is>
          <t>01521</t>
        </is>
      </c>
      <c r="D1267" s="29" t="inlineStr">
        <is>
          <t>ERDAL MENTEŞ</t>
        </is>
      </c>
      <c r="E1267" s="4" t="inlineStr">
        <is>
          <t>Pazartesi</t>
        </is>
      </c>
      <c r="F1267" s="4" t="inlineStr">
        <is>
          <t>19.10.2026</t>
        </is>
      </c>
      <c r="G1267" s="4" t="inlineStr">
        <is>
          <t>19:44</t>
        </is>
      </c>
      <c r="H1267" s="4" t="inlineStr">
        <is>
          <t>19.10.2026</t>
        </is>
      </c>
      <c r="I1267" s="4" t="inlineStr">
        <is>
          <t>08:00</t>
        </is>
      </c>
      <c r="J1267" s="8" t="n">
        <v>10.5</v>
      </c>
      <c r="K1267" s="8" t="n">
        <v>7.5</v>
      </c>
      <c r="L1267" s="8" t="n">
        <v>3</v>
      </c>
      <c r="M1267" s="29" t="inlineStr">
        <is>
          <t>HALİL DİĞRENCİ</t>
        </is>
      </c>
    </row>
    <row r="1268">
      <c r="A1268" s="4" t="n">
        <v>1267</v>
      </c>
      <c r="B1268" s="4" t="inlineStr">
        <is>
          <t>00047</t>
        </is>
      </c>
      <c r="C1268" s="4" t="inlineStr">
        <is>
          <t>00047</t>
        </is>
      </c>
      <c r="D1268" s="29" t="inlineStr">
        <is>
          <t>ERDİN TETİK</t>
        </is>
      </c>
      <c r="E1268" s="4" t="inlineStr">
        <is>
          <t>Perşembe</t>
        </is>
      </c>
      <c r="F1268" s="4" t="inlineStr">
        <is>
          <t>1.10.2026</t>
        </is>
      </c>
      <c r="G1268" s="4" t="inlineStr">
        <is>
          <t>23:48</t>
        </is>
      </c>
      <c r="H1268" s="4" t="inlineStr">
        <is>
          <t>1.10.2026</t>
        </is>
      </c>
      <c r="I1268" s="4" t="inlineStr">
        <is>
          <t>07:58</t>
        </is>
      </c>
      <c r="J1268" s="8" t="n">
        <v>7.5</v>
      </c>
      <c r="K1268" s="8" t="n">
        <v>7.5</v>
      </c>
      <c r="L1268" s="8" t="n">
        <v>0</v>
      </c>
      <c r="M1268" s="29" t="inlineStr">
        <is>
          <t>SUSURLUK</t>
        </is>
      </c>
    </row>
    <row r="1269">
      <c r="A1269" s="4" t="n">
        <v>1268</v>
      </c>
      <c r="B1269" s="4" t="inlineStr">
        <is>
          <t>00047</t>
        </is>
      </c>
      <c r="C1269" s="4" t="inlineStr">
        <is>
          <t>00047</t>
        </is>
      </c>
      <c r="D1269" s="29" t="inlineStr">
        <is>
          <t>ERDİN TETİK</t>
        </is>
      </c>
      <c r="E1269" s="4" t="inlineStr">
        <is>
          <t>Cuma</t>
        </is>
      </c>
      <c r="F1269" s="4" t="inlineStr">
        <is>
          <t>2.10.2026</t>
        </is>
      </c>
      <c r="G1269" s="4" t="inlineStr">
        <is>
          <t>23:46</t>
        </is>
      </c>
      <c r="H1269" s="4" t="inlineStr">
        <is>
          <t>2.10.2026</t>
        </is>
      </c>
      <c r="I1269" s="4" t="inlineStr">
        <is>
          <t>07:55</t>
        </is>
      </c>
      <c r="J1269" s="8" t="n">
        <v>7.5</v>
      </c>
      <c r="K1269" s="8" t="n">
        <v>7.5</v>
      </c>
      <c r="L1269" s="8" t="n">
        <v>0</v>
      </c>
      <c r="M1269" s="29" t="inlineStr">
        <is>
          <t>SUSURLUK</t>
        </is>
      </c>
    </row>
    <row r="1270">
      <c r="A1270" s="4" t="n">
        <v>1269</v>
      </c>
      <c r="B1270" s="4" t="inlineStr">
        <is>
          <t>00047</t>
        </is>
      </c>
      <c r="C1270" s="4" t="inlineStr">
        <is>
          <t>00047</t>
        </is>
      </c>
      <c r="D1270" s="29" t="inlineStr">
        <is>
          <t>ERDİN TETİK</t>
        </is>
      </c>
      <c r="E1270" s="4" t="inlineStr">
        <is>
          <t>Cumartesi</t>
        </is>
      </c>
      <c r="F1270" s="4" t="inlineStr">
        <is>
          <t>3.10.2026</t>
        </is>
      </c>
      <c r="G1270" s="4" t="inlineStr">
        <is>
          <t>23:51</t>
        </is>
      </c>
      <c r="H1270" s="4" t="inlineStr">
        <is>
          <t>3.10.2026</t>
        </is>
      </c>
      <c r="I1270" s="4" t="inlineStr">
        <is>
          <t>08:04</t>
        </is>
      </c>
      <c r="J1270" s="8" t="n">
        <v>7.5</v>
      </c>
      <c r="K1270" s="8" t="n">
        <v>7.5</v>
      </c>
      <c r="L1270" s="8" t="n">
        <v>0</v>
      </c>
      <c r="M1270" s="29" t="inlineStr">
        <is>
          <t>SUSURLUK</t>
        </is>
      </c>
    </row>
    <row r="1271">
      <c r="A1271" s="4" t="n">
        <v>1270</v>
      </c>
      <c r="B1271" s="4" t="inlineStr">
        <is>
          <t>00047</t>
        </is>
      </c>
      <c r="C1271" s="4" t="inlineStr">
        <is>
          <t>00047</t>
        </is>
      </c>
      <c r="D1271" s="29" t="inlineStr">
        <is>
          <t>ERDİN TETİK</t>
        </is>
      </c>
      <c r="E1271" s="4" t="inlineStr">
        <is>
          <t>Pazartesi</t>
        </is>
      </c>
      <c r="F1271" s="4" t="inlineStr">
        <is>
          <t>5.10.2026</t>
        </is>
      </c>
      <c r="G1271" s="4" t="inlineStr">
        <is>
          <t>23:45</t>
        </is>
      </c>
      <c r="H1271" s="4" t="inlineStr">
        <is>
          <t>5.10.2026</t>
        </is>
      </c>
      <c r="I1271" s="4" t="inlineStr">
        <is>
          <t>07:57</t>
        </is>
      </c>
      <c r="J1271" s="8" t="n">
        <v>7.5</v>
      </c>
      <c r="K1271" s="8" t="n">
        <v>7.5</v>
      </c>
      <c r="L1271" s="8" t="n">
        <v>0</v>
      </c>
      <c r="M1271" s="29" t="inlineStr">
        <is>
          <t>SUSURLUK</t>
        </is>
      </c>
    </row>
    <row r="1272">
      <c r="A1272" s="4" t="n">
        <v>1271</v>
      </c>
      <c r="B1272" s="4" t="inlineStr">
        <is>
          <t>00047</t>
        </is>
      </c>
      <c r="C1272" s="4" t="inlineStr">
        <is>
          <t>00047</t>
        </is>
      </c>
      <c r="D1272" s="29" t="inlineStr">
        <is>
          <t>ERDİN TETİK</t>
        </is>
      </c>
      <c r="E1272" s="4" t="inlineStr">
        <is>
          <t>Salı</t>
        </is>
      </c>
      <c r="F1272" s="4" t="inlineStr">
        <is>
          <t>6.10.2026</t>
        </is>
      </c>
      <c r="G1272" s="4" t="inlineStr">
        <is>
          <t>23:46</t>
        </is>
      </c>
      <c r="H1272" s="4" t="inlineStr">
        <is>
          <t>6.10.2026</t>
        </is>
      </c>
      <c r="I1272" s="4" t="inlineStr">
        <is>
          <t>07:58</t>
        </is>
      </c>
      <c r="J1272" s="8" t="n">
        <v>7.5</v>
      </c>
      <c r="K1272" s="8" t="n">
        <v>7.5</v>
      </c>
      <c r="L1272" s="8" t="n">
        <v>0</v>
      </c>
      <c r="M1272" s="29" t="inlineStr">
        <is>
          <t>SUSURLUK</t>
        </is>
      </c>
    </row>
    <row r="1273">
      <c r="A1273" s="4" t="n">
        <v>1272</v>
      </c>
      <c r="B1273" s="4" t="inlineStr">
        <is>
          <t>00047</t>
        </is>
      </c>
      <c r="C1273" s="4" t="inlineStr">
        <is>
          <t>00047</t>
        </is>
      </c>
      <c r="D1273" s="29" t="inlineStr">
        <is>
          <t>ERDİN TETİK</t>
        </is>
      </c>
      <c r="E1273" s="4" t="inlineStr">
        <is>
          <t>Çarşamba</t>
        </is>
      </c>
      <c r="F1273" s="4" t="inlineStr">
        <is>
          <t>7.10.2026</t>
        </is>
      </c>
      <c r="G1273" s="4" t="inlineStr">
        <is>
          <t>23:45</t>
        </is>
      </c>
      <c r="H1273" s="4" t="inlineStr">
        <is>
          <t>7.10.2026</t>
        </is>
      </c>
      <c r="I1273" s="4" t="inlineStr">
        <is>
          <t>07:58</t>
        </is>
      </c>
      <c r="J1273" s="8" t="n">
        <v>7.5</v>
      </c>
      <c r="K1273" s="8" t="n">
        <v>7.5</v>
      </c>
      <c r="L1273" s="8" t="n">
        <v>0</v>
      </c>
      <c r="M1273" s="29" t="inlineStr">
        <is>
          <t>SUSURLUK</t>
        </is>
      </c>
    </row>
    <row r="1274">
      <c r="A1274" s="4" t="n">
        <v>1273</v>
      </c>
      <c r="B1274" s="4" t="inlineStr">
        <is>
          <t>00047</t>
        </is>
      </c>
      <c r="C1274" s="4" t="inlineStr">
        <is>
          <t>00047</t>
        </is>
      </c>
      <c r="D1274" s="29" t="inlineStr">
        <is>
          <t>ERDİN TETİK</t>
        </is>
      </c>
      <c r="E1274" s="4" t="inlineStr">
        <is>
          <t>Perşembe</t>
        </is>
      </c>
      <c r="F1274" s="4" t="inlineStr">
        <is>
          <t>8.10.2026</t>
        </is>
      </c>
      <c r="G1274" s="4" t="inlineStr">
        <is>
          <t>23:43</t>
        </is>
      </c>
      <c r="H1274" s="4" t="inlineStr">
        <is>
          <t>8.10.2026</t>
        </is>
      </c>
      <c r="I1274" s="4" t="inlineStr">
        <is>
          <t>07:59</t>
        </is>
      </c>
      <c r="J1274" s="8" t="n">
        <v>7.5</v>
      </c>
      <c r="K1274" s="8" t="n">
        <v>7.5</v>
      </c>
      <c r="L1274" s="8" t="n">
        <v>0</v>
      </c>
      <c r="M1274" s="29" t="inlineStr">
        <is>
          <t>SUSURLUK</t>
        </is>
      </c>
    </row>
    <row r="1275">
      <c r="A1275" s="4" t="n">
        <v>1274</v>
      </c>
      <c r="B1275" s="4" t="inlineStr">
        <is>
          <t>00047</t>
        </is>
      </c>
      <c r="C1275" s="4" t="inlineStr">
        <is>
          <t>00047</t>
        </is>
      </c>
      <c r="D1275" s="29" t="inlineStr">
        <is>
          <t>ERDİN TETİK</t>
        </is>
      </c>
      <c r="E1275" s="4" t="inlineStr">
        <is>
          <t>Cuma</t>
        </is>
      </c>
      <c r="F1275" s="4" t="inlineStr">
        <is>
          <t>9.10.2026</t>
        </is>
      </c>
      <c r="G1275" s="4" t="inlineStr">
        <is>
          <t>23:47</t>
        </is>
      </c>
      <c r="H1275" s="4" t="inlineStr">
        <is>
          <t>9.10.2026</t>
        </is>
      </c>
      <c r="I1275" s="4" t="inlineStr">
        <is>
          <t>07:58</t>
        </is>
      </c>
      <c r="J1275" s="8" t="n">
        <v>7.5</v>
      </c>
      <c r="K1275" s="8" t="n">
        <v>7.5</v>
      </c>
      <c r="L1275" s="8" t="n">
        <v>0</v>
      </c>
      <c r="M1275" s="29" t="inlineStr">
        <is>
          <t>SUSURLUK</t>
        </is>
      </c>
    </row>
    <row r="1276">
      <c r="A1276" s="4" t="n">
        <v>1275</v>
      </c>
      <c r="B1276" s="4" t="inlineStr">
        <is>
          <t>00047</t>
        </is>
      </c>
      <c r="C1276" s="4" t="inlineStr">
        <is>
          <t>00047</t>
        </is>
      </c>
      <c r="D1276" s="29" t="inlineStr">
        <is>
          <t>ERDİN TETİK</t>
        </is>
      </c>
      <c r="E1276" s="4" t="inlineStr">
        <is>
          <t>Cumartesi</t>
        </is>
      </c>
      <c r="F1276" s="4" t="inlineStr">
        <is>
          <t>10.10.2026</t>
        </is>
      </c>
      <c r="G1276" s="4" t="inlineStr">
        <is>
          <t>23:39</t>
        </is>
      </c>
      <c r="H1276" s="4" t="inlineStr">
        <is>
          <t>10.10.2026</t>
        </is>
      </c>
      <c r="I1276" s="4" t="inlineStr">
        <is>
          <t>08:04</t>
        </is>
      </c>
      <c r="J1276" s="8" t="n">
        <v>7.5</v>
      </c>
      <c r="K1276" s="8" t="n">
        <v>7.5</v>
      </c>
      <c r="L1276" s="8" t="n">
        <v>0</v>
      </c>
      <c r="M1276" s="29" t="inlineStr">
        <is>
          <t>SUSURLUK</t>
        </is>
      </c>
    </row>
    <row r="1277">
      <c r="A1277" s="4" t="n">
        <v>1276</v>
      </c>
      <c r="B1277" s="4" t="inlineStr">
        <is>
          <t>00047</t>
        </is>
      </c>
      <c r="C1277" s="4" t="inlineStr">
        <is>
          <t>00047</t>
        </is>
      </c>
      <c r="D1277" s="29" t="inlineStr">
        <is>
          <t>ERDİN TETİK</t>
        </is>
      </c>
      <c r="E1277" s="4" t="inlineStr">
        <is>
          <t>Pazar</t>
        </is>
      </c>
      <c r="F1277" s="4" t="inlineStr">
        <is>
          <t>11.10.2026</t>
        </is>
      </c>
      <c r="G1277" s="4" t="inlineStr">
        <is>
          <t>23:43</t>
        </is>
      </c>
      <c r="H1277" s="4" t="inlineStr">
        <is>
          <t>11.10.2026</t>
        </is>
      </c>
      <c r="I1277" s="4" t="inlineStr">
        <is>
          <t>08:00</t>
        </is>
      </c>
      <c r="J1277" s="8" t="n">
        <v>7.5</v>
      </c>
      <c r="K1277" s="8" t="n">
        <v>7.5</v>
      </c>
      <c r="L1277" s="8" t="n">
        <v>0</v>
      </c>
      <c r="M1277" s="29" t="inlineStr">
        <is>
          <t>SUSURLUK</t>
        </is>
      </c>
    </row>
    <row r="1278">
      <c r="A1278" s="4" t="n">
        <v>1277</v>
      </c>
      <c r="B1278" s="4" t="inlineStr">
        <is>
          <t>00047</t>
        </is>
      </c>
      <c r="C1278" s="4" t="inlineStr">
        <is>
          <t>00047</t>
        </is>
      </c>
      <c r="D1278" s="29" t="inlineStr">
        <is>
          <t>ERDİN TETİK</t>
        </is>
      </c>
      <c r="E1278" s="4" t="inlineStr">
        <is>
          <t>Pazartesi</t>
        </is>
      </c>
      <c r="F1278" s="4" t="inlineStr">
        <is>
          <t>12.10.2026</t>
        </is>
      </c>
      <c r="G1278" s="4" t="inlineStr">
        <is>
          <t>23:48</t>
        </is>
      </c>
      <c r="H1278" s="4" t="inlineStr">
        <is>
          <t>12.10.2026</t>
        </is>
      </c>
      <c r="I1278" s="4" t="inlineStr">
        <is>
          <t>07:56</t>
        </is>
      </c>
      <c r="J1278" s="8" t="n">
        <v>7.5</v>
      </c>
      <c r="K1278" s="8" t="n">
        <v>7.5</v>
      </c>
      <c r="L1278" s="8" t="n">
        <v>0</v>
      </c>
      <c r="M1278" s="29" t="inlineStr">
        <is>
          <t>SUSURLUK</t>
        </is>
      </c>
    </row>
    <row r="1279">
      <c r="A1279" s="4" t="n">
        <v>1278</v>
      </c>
      <c r="B1279" s="4" t="inlineStr">
        <is>
          <t>00047</t>
        </is>
      </c>
      <c r="C1279" s="4" t="inlineStr">
        <is>
          <t>00047</t>
        </is>
      </c>
      <c r="D1279" s="29" t="inlineStr">
        <is>
          <t>ERDİN TETİK</t>
        </is>
      </c>
      <c r="E1279" s="4" t="inlineStr">
        <is>
          <t>Salı</t>
        </is>
      </c>
      <c r="F1279" s="4" t="inlineStr">
        <is>
          <t>13.10.2026</t>
        </is>
      </c>
      <c r="G1279" s="4" t="inlineStr">
        <is>
          <t>23:48</t>
        </is>
      </c>
      <c r="H1279" s="4" t="inlineStr">
        <is>
          <t>13.10.2026</t>
        </is>
      </c>
      <c r="I1279" s="4" t="inlineStr">
        <is>
          <t>07:58</t>
        </is>
      </c>
      <c r="J1279" s="8" t="n">
        <v>7.5</v>
      </c>
      <c r="K1279" s="8" t="n">
        <v>7.5</v>
      </c>
      <c r="L1279" s="8" t="n">
        <v>0</v>
      </c>
      <c r="M1279" s="29" t="inlineStr">
        <is>
          <t>SUSURLUK</t>
        </is>
      </c>
    </row>
    <row r="1280">
      <c r="A1280" s="4" t="n">
        <v>1279</v>
      </c>
      <c r="B1280" s="4" t="inlineStr">
        <is>
          <t>00047</t>
        </is>
      </c>
      <c r="C1280" s="4" t="inlineStr">
        <is>
          <t>00047</t>
        </is>
      </c>
      <c r="D1280" s="29" t="inlineStr">
        <is>
          <t>ERDİN TETİK</t>
        </is>
      </c>
      <c r="E1280" s="4" t="inlineStr">
        <is>
          <t>Çarşamba</t>
        </is>
      </c>
      <c r="F1280" s="4" t="inlineStr">
        <is>
          <t>14.10.2026</t>
        </is>
      </c>
      <c r="G1280" s="4" t="inlineStr">
        <is>
          <t>23:46</t>
        </is>
      </c>
      <c r="H1280" s="4" t="inlineStr">
        <is>
          <t>14.10.2026</t>
        </is>
      </c>
      <c r="I1280" s="4" t="inlineStr">
        <is>
          <t>07:59</t>
        </is>
      </c>
      <c r="J1280" s="8" t="n">
        <v>7.5</v>
      </c>
      <c r="K1280" s="8" t="n">
        <v>7.5</v>
      </c>
      <c r="L1280" s="8" t="n">
        <v>0</v>
      </c>
      <c r="M1280" s="29" t="inlineStr">
        <is>
          <t>SUSURLUK</t>
        </is>
      </c>
    </row>
    <row r="1281">
      <c r="A1281" s="4" t="n">
        <v>1280</v>
      </c>
      <c r="B1281" s="4" t="inlineStr">
        <is>
          <t>00047</t>
        </is>
      </c>
      <c r="C1281" s="4" t="inlineStr">
        <is>
          <t>00047</t>
        </is>
      </c>
      <c r="D1281" s="29" t="inlineStr">
        <is>
          <t>ERDİN TETİK</t>
        </is>
      </c>
      <c r="E1281" s="4" t="inlineStr">
        <is>
          <t>Perşembe</t>
        </is>
      </c>
      <c r="F1281" s="4" t="inlineStr">
        <is>
          <t>15.10.2026</t>
        </is>
      </c>
      <c r="G1281" s="4" t="inlineStr">
        <is>
          <t>23:42</t>
        </is>
      </c>
      <c r="H1281" s="4" t="inlineStr">
        <is>
          <t>15.10.2026</t>
        </is>
      </c>
      <c r="I1281" s="4" t="inlineStr">
        <is>
          <t>07:57</t>
        </is>
      </c>
      <c r="J1281" s="8" t="n">
        <v>7.5</v>
      </c>
      <c r="K1281" s="8" t="n">
        <v>7.5</v>
      </c>
      <c r="L1281" s="8" t="n">
        <v>0</v>
      </c>
      <c r="M1281" s="29" t="inlineStr">
        <is>
          <t>SUSURLUK</t>
        </is>
      </c>
    </row>
    <row r="1282">
      <c r="A1282" s="4" t="n">
        <v>1281</v>
      </c>
      <c r="B1282" s="4" t="inlineStr">
        <is>
          <t>00047</t>
        </is>
      </c>
      <c r="C1282" s="4" t="inlineStr">
        <is>
          <t>00047</t>
        </is>
      </c>
      <c r="D1282" s="29" t="inlineStr">
        <is>
          <t>ERDİN TETİK</t>
        </is>
      </c>
      <c r="E1282" s="4" t="inlineStr">
        <is>
          <t>Cuma</t>
        </is>
      </c>
      <c r="F1282" s="4" t="inlineStr">
        <is>
          <t>16.10.2026</t>
        </is>
      </c>
      <c r="G1282" s="4" t="inlineStr">
        <is>
          <t>23:46</t>
        </is>
      </c>
      <c r="H1282" s="4" t="inlineStr">
        <is>
          <t>16.10.2026</t>
        </is>
      </c>
      <c r="I1282" s="4" t="inlineStr">
        <is>
          <t>08:00</t>
        </is>
      </c>
      <c r="J1282" s="8" t="n">
        <v>7.5</v>
      </c>
      <c r="K1282" s="8" t="n">
        <v>7.5</v>
      </c>
      <c r="L1282" s="8" t="n">
        <v>0</v>
      </c>
      <c r="M1282" s="29" t="inlineStr">
        <is>
          <t>SUSURLUK</t>
        </is>
      </c>
    </row>
    <row r="1283">
      <c r="A1283" s="4" t="n">
        <v>1282</v>
      </c>
      <c r="B1283" s="4" t="inlineStr">
        <is>
          <t>00047</t>
        </is>
      </c>
      <c r="C1283" s="4" t="inlineStr">
        <is>
          <t>00047</t>
        </is>
      </c>
      <c r="D1283" s="29" t="inlineStr">
        <is>
          <t>ERDİN TETİK</t>
        </is>
      </c>
      <c r="E1283" s="4" t="inlineStr">
        <is>
          <t>Cumartesi</t>
        </is>
      </c>
      <c r="F1283" s="4" t="inlineStr">
        <is>
          <t>17.10.2026</t>
        </is>
      </c>
      <c r="G1283" s="4" t="inlineStr">
        <is>
          <t>23:36</t>
        </is>
      </c>
      <c r="H1283" s="4" t="inlineStr">
        <is>
          <t>17.10.2026</t>
        </is>
      </c>
      <c r="I1283" s="4" t="inlineStr">
        <is>
          <t>08:00</t>
        </is>
      </c>
      <c r="J1283" s="8" t="n">
        <v>7.5</v>
      </c>
      <c r="K1283" s="8" t="n">
        <v>7.5</v>
      </c>
      <c r="L1283" s="8" t="n">
        <v>0</v>
      </c>
      <c r="M1283" s="29" t="inlineStr">
        <is>
          <t>SUSURLUK</t>
        </is>
      </c>
    </row>
    <row r="1284">
      <c r="A1284" s="4" t="n">
        <v>1283</v>
      </c>
      <c r="B1284" s="4" t="inlineStr">
        <is>
          <t>00047</t>
        </is>
      </c>
      <c r="C1284" s="4" t="inlineStr">
        <is>
          <t>00047</t>
        </is>
      </c>
      <c r="D1284" s="29" t="inlineStr">
        <is>
          <t>ERDİN TETİK</t>
        </is>
      </c>
      <c r="E1284" s="4" t="inlineStr">
        <is>
          <t>Pazar</t>
        </is>
      </c>
      <c r="F1284" s="4" t="inlineStr">
        <is>
          <t>18.10.2026</t>
        </is>
      </c>
      <c r="G1284" s="4" t="inlineStr">
        <is>
          <t>23:30</t>
        </is>
      </c>
      <c r="H1284" s="4" t="inlineStr">
        <is>
          <t>18.10.2026</t>
        </is>
      </c>
      <c r="I1284" s="4" t="inlineStr">
        <is>
          <t>07:56</t>
        </is>
      </c>
      <c r="J1284" s="8" t="n">
        <v>7.5</v>
      </c>
      <c r="K1284" s="8" t="n">
        <v>7.5</v>
      </c>
      <c r="L1284" s="8" t="n">
        <v>0</v>
      </c>
      <c r="M1284" s="29" t="inlineStr">
        <is>
          <t>SUSURLUK</t>
        </is>
      </c>
    </row>
    <row r="1285">
      <c r="A1285" s="4" t="n">
        <v>1284</v>
      </c>
      <c r="B1285" s="4" t="inlineStr">
        <is>
          <t>00047</t>
        </is>
      </c>
      <c r="C1285" s="4" t="inlineStr">
        <is>
          <t>00047</t>
        </is>
      </c>
      <c r="D1285" s="29" t="inlineStr">
        <is>
          <t>ERDİN TETİK</t>
        </is>
      </c>
      <c r="E1285" s="4" t="inlineStr">
        <is>
          <t>Pazartesi</t>
        </is>
      </c>
      <c r="F1285" s="4" t="inlineStr">
        <is>
          <t>19.10.2026</t>
        </is>
      </c>
      <c r="G1285" s="4" t="inlineStr">
        <is>
          <t>23:46</t>
        </is>
      </c>
      <c r="H1285" s="4" t="inlineStr">
        <is>
          <t>19.10.2026</t>
        </is>
      </c>
      <c r="I1285" s="4" t="inlineStr">
        <is>
          <t>07:59</t>
        </is>
      </c>
      <c r="J1285" s="8" t="n">
        <v>7.5</v>
      </c>
      <c r="K1285" s="8" t="n">
        <v>7.5</v>
      </c>
      <c r="L1285" s="8" t="n">
        <v>0</v>
      </c>
      <c r="M1285" s="29" t="inlineStr">
        <is>
          <t>SUSURLUK</t>
        </is>
      </c>
    </row>
    <row r="1286">
      <c r="A1286" s="4" t="n">
        <v>1285</v>
      </c>
      <c r="B1286" s="4" t="inlineStr">
        <is>
          <t>00047</t>
        </is>
      </c>
      <c r="C1286" s="4" t="inlineStr">
        <is>
          <t>00047</t>
        </is>
      </c>
      <c r="D1286" s="29" t="inlineStr">
        <is>
          <t>ERDİN TETİK</t>
        </is>
      </c>
      <c r="E1286" s="4" t="inlineStr">
        <is>
          <t>Salı</t>
        </is>
      </c>
      <c r="F1286" s="4" t="inlineStr">
        <is>
          <t>20.10.2026</t>
        </is>
      </c>
      <c r="G1286" s="4" t="inlineStr">
        <is>
          <t>23:48</t>
        </is>
      </c>
      <c r="H1286" s="4" t="inlineStr">
        <is>
          <t>20.10.2026</t>
        </is>
      </c>
      <c r="I1286" s="4" t="inlineStr">
        <is>
          <t>07:58</t>
        </is>
      </c>
      <c r="J1286" s="8" t="n">
        <v>7.5</v>
      </c>
      <c r="K1286" s="8" t="n">
        <v>7.5</v>
      </c>
      <c r="L1286" s="8" t="n">
        <v>0</v>
      </c>
      <c r="M1286" s="29" t="inlineStr">
        <is>
          <t>SUSURLUK</t>
        </is>
      </c>
    </row>
    <row r="1287">
      <c r="A1287" s="4" t="n">
        <v>1286</v>
      </c>
      <c r="B1287" s="4" t="inlineStr">
        <is>
          <t>00221</t>
        </is>
      </c>
      <c r="C1287" s="4" t="inlineStr">
        <is>
          <t>00221</t>
        </is>
      </c>
      <c r="D1287" s="29" t="inlineStr">
        <is>
          <t>EİREMŞAH KIZILKAYA</t>
        </is>
      </c>
      <c r="E1287" s="4" t="inlineStr">
        <is>
          <t>Perşembe</t>
        </is>
      </c>
      <c r="F1287" s="4" t="inlineStr">
        <is>
          <t>1.10.2026</t>
        </is>
      </c>
      <c r="G1287" s="4" t="inlineStr">
        <is>
          <t>09:49</t>
        </is>
      </c>
      <c r="H1287" s="4" t="inlineStr">
        <is>
          <t>1.10.2026</t>
        </is>
      </c>
      <c r="I1287" s="4" t="inlineStr">
        <is>
          <t>19:21</t>
        </is>
      </c>
      <c r="J1287" s="8" t="n">
        <v>8.5</v>
      </c>
      <c r="K1287" s="8" t="n">
        <v>6</v>
      </c>
      <c r="L1287" s="8" t="n">
        <v>2.5</v>
      </c>
      <c r="M1287" s="29" t="inlineStr">
        <is>
          <t>GÖBEL</t>
        </is>
      </c>
    </row>
    <row r="1288">
      <c r="A1288" s="4" t="n">
        <v>1287</v>
      </c>
      <c r="B1288" s="4" t="inlineStr">
        <is>
          <t>00221</t>
        </is>
      </c>
      <c r="C1288" s="4" t="inlineStr">
        <is>
          <t>00221</t>
        </is>
      </c>
      <c r="D1288" s="29" t="inlineStr">
        <is>
          <t>EİREMŞAH KIZILKAYA</t>
        </is>
      </c>
      <c r="E1288" s="4" t="inlineStr">
        <is>
          <t>Cuma</t>
        </is>
      </c>
      <c r="F1288" s="4" t="inlineStr">
        <is>
          <t>2.10.2026</t>
        </is>
      </c>
      <c r="G1288" s="4" t="inlineStr">
        <is>
          <t>09:46</t>
        </is>
      </c>
      <c r="H1288" s="4" t="inlineStr">
        <is>
          <t>2.10.2026</t>
        </is>
      </c>
      <c r="I1288" s="4" t="inlineStr">
        <is>
          <t>19:58</t>
        </is>
      </c>
      <c r="J1288" s="8" t="n">
        <v>9</v>
      </c>
      <c r="K1288" s="8" t="n">
        <v>6</v>
      </c>
      <c r="L1288" s="8" t="n">
        <v>3</v>
      </c>
      <c r="M1288" s="29" t="inlineStr">
        <is>
          <t>GÖBEL</t>
        </is>
      </c>
    </row>
    <row r="1289">
      <c r="A1289" s="4" t="n">
        <v>1288</v>
      </c>
      <c r="B1289" s="4" t="inlineStr">
        <is>
          <t>00221</t>
        </is>
      </c>
      <c r="C1289" s="4" t="inlineStr">
        <is>
          <t>00221</t>
        </is>
      </c>
      <c r="D1289" s="29" t="inlineStr">
        <is>
          <t>EİREMŞAH KIZILKAYA</t>
        </is>
      </c>
      <c r="E1289" s="4" t="inlineStr">
        <is>
          <t>Cumartesi</t>
        </is>
      </c>
      <c r="F1289" s="4" t="inlineStr">
        <is>
          <t>3.10.2026</t>
        </is>
      </c>
      <c r="G1289" s="4" t="inlineStr">
        <is>
          <t>09:51</t>
        </is>
      </c>
      <c r="H1289" s="4" t="inlineStr">
        <is>
          <t>3.10.2026</t>
        </is>
      </c>
      <c r="I1289" s="4" t="inlineStr">
        <is>
          <t>19:53</t>
        </is>
      </c>
      <c r="J1289" s="8" t="n">
        <v>8.5</v>
      </c>
      <c r="K1289" s="8" t="n">
        <v>5.5</v>
      </c>
      <c r="L1289" s="8" t="n">
        <v>3</v>
      </c>
      <c r="M1289" s="29" t="inlineStr">
        <is>
          <t>GÖBEL</t>
        </is>
      </c>
    </row>
    <row r="1290">
      <c r="A1290" s="4" t="n">
        <v>1289</v>
      </c>
      <c r="B1290" s="4" t="inlineStr">
        <is>
          <t>00221</t>
        </is>
      </c>
      <c r="C1290" s="4" t="inlineStr">
        <is>
          <t>00221</t>
        </is>
      </c>
      <c r="D1290" s="29" t="inlineStr">
        <is>
          <t>EİREMŞAH KIZILKAYA</t>
        </is>
      </c>
      <c r="E1290" s="4" t="inlineStr">
        <is>
          <t>Pazartesi</t>
        </is>
      </c>
      <c r="F1290" s="4" t="inlineStr">
        <is>
          <t>5.10.2026</t>
        </is>
      </c>
      <c r="G1290" s="4" t="inlineStr">
        <is>
          <t>09:45</t>
        </is>
      </c>
      <c r="H1290" s="4" t="inlineStr">
        <is>
          <t>5.10.2026</t>
        </is>
      </c>
      <c r="I1290" s="4" t="inlineStr">
        <is>
          <t>19:01</t>
        </is>
      </c>
      <c r="J1290" s="8" t="n">
        <v>8</v>
      </c>
      <c r="K1290" s="8" t="n">
        <v>6</v>
      </c>
      <c r="L1290" s="8" t="n">
        <v>2</v>
      </c>
      <c r="M1290" s="29" t="inlineStr">
        <is>
          <t>GÖBEL</t>
        </is>
      </c>
    </row>
    <row r="1291">
      <c r="A1291" s="4" t="n">
        <v>1290</v>
      </c>
      <c r="B1291" s="4" t="inlineStr">
        <is>
          <t>00221</t>
        </is>
      </c>
      <c r="C1291" s="4" t="inlineStr">
        <is>
          <t>00221</t>
        </is>
      </c>
      <c r="D1291" s="29" t="inlineStr">
        <is>
          <t>EİREMŞAH KIZILKAYA</t>
        </is>
      </c>
      <c r="E1291" s="4" t="inlineStr">
        <is>
          <t>Salı</t>
        </is>
      </c>
      <c r="F1291" s="4" t="inlineStr">
        <is>
          <t>6.10.2026</t>
        </is>
      </c>
      <c r="G1291" s="4" t="inlineStr">
        <is>
          <t>09:43</t>
        </is>
      </c>
      <c r="H1291" s="4" t="inlineStr">
        <is>
          <t>6.10.2026</t>
        </is>
      </c>
      <c r="I1291" s="4" t="inlineStr">
        <is>
          <t>19:23</t>
        </is>
      </c>
      <c r="J1291" s="8" t="n">
        <v>8.5</v>
      </c>
      <c r="K1291" s="8" t="n">
        <v>6</v>
      </c>
      <c r="L1291" s="8" t="n">
        <v>2.5</v>
      </c>
      <c r="M1291" s="29" t="inlineStr">
        <is>
          <t>GÖBEL</t>
        </is>
      </c>
    </row>
    <row r="1292">
      <c r="A1292" s="4" t="n">
        <v>1291</v>
      </c>
      <c r="B1292" s="4" t="inlineStr">
        <is>
          <t>00221</t>
        </is>
      </c>
      <c r="C1292" s="4" t="inlineStr">
        <is>
          <t>00221</t>
        </is>
      </c>
      <c r="D1292" s="29" t="inlineStr">
        <is>
          <t>EİREMŞAH KIZILKAYA</t>
        </is>
      </c>
      <c r="E1292" s="4" t="inlineStr">
        <is>
          <t>Çarşamba</t>
        </is>
      </c>
      <c r="F1292" s="4" t="inlineStr">
        <is>
          <t>7.10.2026</t>
        </is>
      </c>
      <c r="G1292" s="4" t="inlineStr">
        <is>
          <t>09:51</t>
        </is>
      </c>
      <c r="H1292" s="4" t="inlineStr">
        <is>
          <t>7.10.2026</t>
        </is>
      </c>
      <c r="I1292" s="4" t="inlineStr">
        <is>
          <t>17:33</t>
        </is>
      </c>
      <c r="J1292" s="8" t="n">
        <v>6</v>
      </c>
      <c r="K1292" s="8" t="n">
        <v>5.5</v>
      </c>
      <c r="L1292" s="8" t="n">
        <v>0.5</v>
      </c>
      <c r="M1292" s="29" t="inlineStr">
        <is>
          <t>GÖBEL</t>
        </is>
      </c>
    </row>
    <row r="1293">
      <c r="A1293" s="4" t="n">
        <v>1292</v>
      </c>
      <c r="B1293" s="4" t="inlineStr">
        <is>
          <t>00221</t>
        </is>
      </c>
      <c r="C1293" s="4" t="inlineStr">
        <is>
          <t>00221</t>
        </is>
      </c>
      <c r="D1293" s="29" t="inlineStr">
        <is>
          <t>EİREMŞAH KIZILKAYA</t>
        </is>
      </c>
      <c r="E1293" s="4" t="inlineStr">
        <is>
          <t>Perşembe</t>
        </is>
      </c>
      <c r="F1293" s="4" t="inlineStr">
        <is>
          <t>8.10.2026</t>
        </is>
      </c>
      <c r="G1293" s="4" t="inlineStr">
        <is>
          <t>07:35</t>
        </is>
      </c>
      <c r="H1293" s="4" t="inlineStr">
        <is>
          <t>8.10.2026</t>
        </is>
      </c>
      <c r="I1293" s="4" t="inlineStr">
        <is>
          <t>19:26</t>
        </is>
      </c>
      <c r="J1293" s="8" t="n">
        <v>10</v>
      </c>
      <c r="K1293" s="8" t="n">
        <v>7.5</v>
      </c>
      <c r="L1293" s="8" t="n">
        <v>2.5</v>
      </c>
      <c r="M1293" s="29" t="inlineStr">
        <is>
          <t>GÖBEL</t>
        </is>
      </c>
    </row>
    <row r="1294">
      <c r="A1294" s="4" t="n">
        <v>1293</v>
      </c>
      <c r="B1294" s="4" t="inlineStr">
        <is>
          <t>00221</t>
        </is>
      </c>
      <c r="C1294" s="4" t="inlineStr">
        <is>
          <t>00221</t>
        </is>
      </c>
      <c r="D1294" s="29" t="inlineStr">
        <is>
          <t>EİREMŞAH KIZILKAYA</t>
        </is>
      </c>
      <c r="E1294" s="4" t="inlineStr">
        <is>
          <t>Cuma</t>
        </is>
      </c>
      <c r="F1294" s="4" t="inlineStr">
        <is>
          <t>9.10.2026</t>
        </is>
      </c>
      <c r="G1294" s="4" t="inlineStr">
        <is>
          <t>07:43</t>
        </is>
      </c>
      <c r="H1294" s="4" t="inlineStr">
        <is>
          <t>9.10.2026</t>
        </is>
      </c>
      <c r="I1294" s="4" t="inlineStr">
        <is>
          <t>17:25</t>
        </is>
      </c>
      <c r="J1294" s="8" t="n">
        <v>8</v>
      </c>
      <c r="K1294" s="8" t="n">
        <v>7.5</v>
      </c>
      <c r="L1294" s="8" t="n">
        <v>0.5</v>
      </c>
      <c r="M1294" s="29" t="inlineStr">
        <is>
          <t>GÖBEL</t>
        </is>
      </c>
    </row>
    <row r="1295">
      <c r="A1295" s="4" t="n">
        <v>1294</v>
      </c>
      <c r="B1295" s="4" t="inlineStr">
        <is>
          <t>00221</t>
        </is>
      </c>
      <c r="C1295" s="4" t="inlineStr">
        <is>
          <t>00221</t>
        </is>
      </c>
      <c r="D1295" s="29" t="inlineStr">
        <is>
          <t>EİREMŞAH KIZILKAYA</t>
        </is>
      </c>
      <c r="E1295" s="4" t="inlineStr">
        <is>
          <t>Cumartesi</t>
        </is>
      </c>
      <c r="F1295" s="4" t="inlineStr">
        <is>
          <t>10.10.2026</t>
        </is>
      </c>
      <c r="G1295" s="4" t="inlineStr">
        <is>
          <t>09:46</t>
        </is>
      </c>
      <c r="H1295" s="4" t="inlineStr">
        <is>
          <t>10.10.2026</t>
        </is>
      </c>
      <c r="I1295" s="4" t="inlineStr">
        <is>
          <t>00:39</t>
        </is>
      </c>
      <c r="J1295" s="8" t="n">
        <v>13.5</v>
      </c>
      <c r="K1295" s="8" t="n">
        <v>6</v>
      </c>
      <c r="L1295" s="8" t="n">
        <v>7.5</v>
      </c>
      <c r="M1295" s="29" t="inlineStr">
        <is>
          <t>GÖBEL</t>
        </is>
      </c>
    </row>
    <row r="1296">
      <c r="A1296" s="4" t="n">
        <v>1295</v>
      </c>
      <c r="B1296" s="4" t="inlineStr">
        <is>
          <t>00221</t>
        </is>
      </c>
      <c r="C1296" s="4" t="inlineStr">
        <is>
          <t>00221</t>
        </is>
      </c>
      <c r="D1296" s="29" t="inlineStr">
        <is>
          <t>EİREMŞAH KIZILKAYA</t>
        </is>
      </c>
      <c r="E1296" s="4" t="inlineStr">
        <is>
          <t>Pazartesi</t>
        </is>
      </c>
      <c r="F1296" s="4" t="inlineStr">
        <is>
          <t>12.10.2026</t>
        </is>
      </c>
      <c r="G1296" s="4" t="inlineStr">
        <is>
          <t>09:52</t>
        </is>
      </c>
      <c r="H1296" s="4" t="inlineStr">
        <is>
          <t>12.10.2026</t>
        </is>
      </c>
      <c r="I1296" s="4" t="inlineStr">
        <is>
          <t>18:57</t>
        </is>
      </c>
      <c r="J1296" s="8" t="n">
        <v>7.5</v>
      </c>
      <c r="K1296" s="8" t="n">
        <v>5.5</v>
      </c>
      <c r="L1296" s="8" t="n">
        <v>2</v>
      </c>
      <c r="M1296" s="29" t="inlineStr">
        <is>
          <t>GÖBEL</t>
        </is>
      </c>
    </row>
    <row r="1297">
      <c r="A1297" s="4" t="n">
        <v>1296</v>
      </c>
      <c r="B1297" s="4" t="inlineStr">
        <is>
          <t>00221</t>
        </is>
      </c>
      <c r="C1297" s="4" t="inlineStr">
        <is>
          <t>00221</t>
        </is>
      </c>
      <c r="D1297" s="29" t="inlineStr">
        <is>
          <t>EİREMŞAH KIZILKAYA</t>
        </is>
      </c>
      <c r="E1297" s="4" t="inlineStr">
        <is>
          <t>Salı</t>
        </is>
      </c>
      <c r="F1297" s="4" t="inlineStr">
        <is>
          <t>13.10.2026</t>
        </is>
      </c>
      <c r="G1297" s="4" t="inlineStr">
        <is>
          <t>09:54</t>
        </is>
      </c>
      <c r="H1297" s="4" t="inlineStr">
        <is>
          <t>13.10.2026</t>
        </is>
      </c>
      <c r="I1297" s="4" t="inlineStr">
        <is>
          <t>19:01</t>
        </is>
      </c>
      <c r="J1297" s="8" t="n">
        <v>7.5</v>
      </c>
      <c r="K1297" s="8" t="n">
        <v>5.5</v>
      </c>
      <c r="L1297" s="8" t="n">
        <v>2</v>
      </c>
      <c r="M1297" s="29" t="inlineStr">
        <is>
          <t>GÖBEL</t>
        </is>
      </c>
    </row>
    <row r="1298">
      <c r="A1298" s="4" t="n">
        <v>1297</v>
      </c>
      <c r="B1298" s="4" t="inlineStr">
        <is>
          <t>00221</t>
        </is>
      </c>
      <c r="C1298" s="4" t="inlineStr">
        <is>
          <t>00221</t>
        </is>
      </c>
      <c r="D1298" s="29" t="inlineStr">
        <is>
          <t>EİREMŞAH KIZILKAYA</t>
        </is>
      </c>
      <c r="E1298" s="4" t="inlineStr">
        <is>
          <t>Perşembe</t>
        </is>
      </c>
      <c r="F1298" s="4" t="inlineStr">
        <is>
          <t>15.10.2026</t>
        </is>
      </c>
      <c r="G1298" s="4" t="inlineStr">
        <is>
          <t>07:41</t>
        </is>
      </c>
      <c r="H1298" s="4" t="inlineStr">
        <is>
          <t>15.10.2026</t>
        </is>
      </c>
      <c r="I1298" s="4" t="inlineStr">
        <is>
          <t>17:07</t>
        </is>
      </c>
      <c r="J1298" s="8" t="n">
        <v>7.5</v>
      </c>
      <c r="K1298" s="8" t="n">
        <v>7.5</v>
      </c>
      <c r="L1298" s="8" t="n">
        <v>0</v>
      </c>
      <c r="M1298" s="29" t="inlineStr">
        <is>
          <t>GÖBEL</t>
        </is>
      </c>
    </row>
    <row r="1299">
      <c r="A1299" s="4" t="n">
        <v>1298</v>
      </c>
      <c r="B1299" s="4" t="inlineStr">
        <is>
          <t>00221</t>
        </is>
      </c>
      <c r="C1299" s="4" t="inlineStr">
        <is>
          <t>00221</t>
        </is>
      </c>
      <c r="D1299" s="29" t="inlineStr">
        <is>
          <t>EİREMŞAH KIZILKAYA</t>
        </is>
      </c>
      <c r="E1299" s="4" t="inlineStr">
        <is>
          <t>Cuma</t>
        </is>
      </c>
      <c r="F1299" s="4" t="inlineStr">
        <is>
          <t>16.10.2026</t>
        </is>
      </c>
      <c r="G1299" s="4" t="inlineStr">
        <is>
          <t>09:46</t>
        </is>
      </c>
      <c r="H1299" s="4" t="inlineStr">
        <is>
          <t>16.10.2026</t>
        </is>
      </c>
      <c r="I1299" s="4" t="inlineStr">
        <is>
          <t>19:50</t>
        </is>
      </c>
      <c r="J1299" s="8" t="n">
        <v>9</v>
      </c>
      <c r="K1299" s="8" t="n">
        <v>6</v>
      </c>
      <c r="L1299" s="8" t="n">
        <v>3</v>
      </c>
      <c r="M1299" s="29" t="inlineStr">
        <is>
          <t>GÖBEL</t>
        </is>
      </c>
    </row>
    <row r="1300">
      <c r="A1300" s="4" t="n">
        <v>1299</v>
      </c>
      <c r="B1300" s="4" t="inlineStr">
        <is>
          <t>00221</t>
        </is>
      </c>
      <c r="C1300" s="4" t="inlineStr">
        <is>
          <t>00221</t>
        </is>
      </c>
      <c r="D1300" s="29" t="inlineStr">
        <is>
          <t>EİREMŞAH KIZILKAYA</t>
        </is>
      </c>
      <c r="E1300" s="4" t="inlineStr">
        <is>
          <t>Cumartesi</t>
        </is>
      </c>
      <c r="F1300" s="4" t="inlineStr">
        <is>
          <t>17.10.2026</t>
        </is>
      </c>
      <c r="G1300" s="4" t="inlineStr">
        <is>
          <t>09:47</t>
        </is>
      </c>
      <c r="H1300" s="4" t="inlineStr">
        <is>
          <t>17.10.2026</t>
        </is>
      </c>
      <c r="I1300" s="4" t="inlineStr">
        <is>
          <t>19:53</t>
        </is>
      </c>
      <c r="J1300" s="8" t="n">
        <v>9</v>
      </c>
      <c r="K1300" s="8" t="n">
        <v>6</v>
      </c>
      <c r="L1300" s="8" t="n">
        <v>3</v>
      </c>
      <c r="M1300" s="29" t="inlineStr">
        <is>
          <t>GÖBEL</t>
        </is>
      </c>
    </row>
    <row r="1301">
      <c r="A1301" s="4" t="n">
        <v>1300</v>
      </c>
      <c r="B1301" s="4" t="inlineStr">
        <is>
          <t>00221</t>
        </is>
      </c>
      <c r="C1301" s="4" t="inlineStr">
        <is>
          <t>00221</t>
        </is>
      </c>
      <c r="D1301" s="29" t="inlineStr">
        <is>
          <t>EİREMŞAH KIZILKAYA</t>
        </is>
      </c>
      <c r="E1301" s="4" t="inlineStr">
        <is>
          <t>Pazartesi</t>
        </is>
      </c>
      <c r="F1301" s="4" t="inlineStr">
        <is>
          <t>19.10.2026</t>
        </is>
      </c>
      <c r="G1301" s="4" t="inlineStr">
        <is>
          <t>09:44</t>
        </is>
      </c>
      <c r="H1301" s="4" t="inlineStr">
        <is>
          <t>19.10.2026</t>
        </is>
      </c>
      <c r="I1301" s="4" t="inlineStr">
        <is>
          <t>18:18</t>
        </is>
      </c>
      <c r="J1301" s="8" t="n">
        <v>7</v>
      </c>
      <c r="K1301" s="8" t="n">
        <v>6</v>
      </c>
      <c r="L1301" s="8" t="n">
        <v>1</v>
      </c>
      <c r="M1301" s="29" t="inlineStr">
        <is>
          <t>GÖBEL</t>
        </is>
      </c>
    </row>
    <row r="1302">
      <c r="A1302" s="4" t="n">
        <v>1301</v>
      </c>
      <c r="B1302" s="4" t="inlineStr">
        <is>
          <t>00221</t>
        </is>
      </c>
      <c r="C1302" s="4" t="inlineStr">
        <is>
          <t>00221</t>
        </is>
      </c>
      <c r="D1302" s="29" t="inlineStr">
        <is>
          <t>EİREMŞAH KIZILKAYA</t>
        </is>
      </c>
      <c r="E1302" s="4" t="inlineStr">
        <is>
          <t>Salı</t>
        </is>
      </c>
      <c r="F1302" s="4" t="inlineStr">
        <is>
          <t>20.10.2026</t>
        </is>
      </c>
      <c r="G1302" s="4" t="inlineStr">
        <is>
          <t>10:17</t>
        </is>
      </c>
      <c r="H1302" s="4" t="inlineStr">
        <is>
          <t>20.10.2026</t>
        </is>
      </c>
      <c r="I1302" s="4" t="inlineStr">
        <is>
          <t>18:59</t>
        </is>
      </c>
      <c r="J1302" s="8" t="n">
        <v>7.5</v>
      </c>
      <c r="K1302" s="8" t="n">
        <v>5.5</v>
      </c>
      <c r="L1302" s="8" t="n">
        <v>2</v>
      </c>
      <c r="M1302" s="29" t="inlineStr">
        <is>
          <t>GÖBEL</t>
        </is>
      </c>
    </row>
    <row r="1303">
      <c r="A1303" s="4" t="n">
        <v>1302</v>
      </c>
      <c r="B1303" s="4" t="inlineStr">
        <is>
          <t>00221</t>
        </is>
      </c>
      <c r="C1303" s="4" t="inlineStr">
        <is>
          <t>00221</t>
        </is>
      </c>
      <c r="D1303" s="29" t="inlineStr">
        <is>
          <t>EİREMŞAH KIZILKAYA</t>
        </is>
      </c>
      <c r="E1303" s="4" t="inlineStr">
        <is>
          <t>Çarşamba</t>
        </is>
      </c>
      <c r="F1303" s="4" t="inlineStr">
        <is>
          <t>21.10.2026</t>
        </is>
      </c>
      <c r="G1303" s="4" t="inlineStr">
        <is>
          <t>09:46</t>
        </is>
      </c>
      <c r="H1303" s="4" t="inlineStr">
        <is>
          <t>21.10.2026</t>
        </is>
      </c>
      <c r="I1303" s="4" t="inlineStr">
        <is>
          <t>19:02</t>
        </is>
      </c>
      <c r="J1303" s="8" t="n">
        <v>8</v>
      </c>
      <c r="K1303" s="8" t="n">
        <v>6</v>
      </c>
      <c r="L1303" s="8" t="n">
        <v>2</v>
      </c>
      <c r="M1303" s="29" t="inlineStr">
        <is>
          <t>GÖBEL</t>
        </is>
      </c>
    </row>
    <row r="1304">
      <c r="A1304" s="4" t="n">
        <v>1303</v>
      </c>
      <c r="B1304" s="4" t="inlineStr">
        <is>
          <t>01409</t>
        </is>
      </c>
      <c r="C1304" s="4" t="inlineStr">
        <is>
          <t>01409</t>
        </is>
      </c>
      <c r="D1304" s="29" t="inlineStr">
        <is>
          <t>ERKAN ÖZGAN</t>
        </is>
      </c>
      <c r="E1304" s="4" t="inlineStr">
        <is>
          <t>Cuma</t>
        </is>
      </c>
      <c r="F1304" s="4" t="inlineStr">
        <is>
          <t>2.10.2026</t>
        </is>
      </c>
      <c r="G1304" s="4" t="inlineStr">
        <is>
          <t>20:11</t>
        </is>
      </c>
      <c r="H1304" s="4" t="inlineStr">
        <is>
          <t>2.10.2026</t>
        </is>
      </c>
      <c r="I1304" s="4" t="inlineStr">
        <is>
          <t>08:02</t>
        </is>
      </c>
      <c r="J1304" s="8" t="n">
        <v>10.5</v>
      </c>
      <c r="K1304" s="8" t="n">
        <v>7.5</v>
      </c>
      <c r="L1304" s="8" t="n">
        <v>3</v>
      </c>
      <c r="M1304" s="29" t="inlineStr">
        <is>
          <t>HALİL DİĞRENCİ</t>
        </is>
      </c>
    </row>
    <row r="1305">
      <c r="A1305" s="4" t="n">
        <v>1304</v>
      </c>
      <c r="B1305" s="4" t="inlineStr">
        <is>
          <t>01409</t>
        </is>
      </c>
      <c r="C1305" s="4" t="inlineStr">
        <is>
          <t>01409</t>
        </is>
      </c>
      <c r="D1305" s="29" t="inlineStr">
        <is>
          <t>ERKAN ÖZGAN</t>
        </is>
      </c>
      <c r="E1305" s="4" t="inlineStr">
        <is>
          <t>Cumartesi</t>
        </is>
      </c>
      <c r="F1305" s="4" t="inlineStr">
        <is>
          <t>3.10.2026</t>
        </is>
      </c>
      <c r="G1305" s="4" t="inlineStr">
        <is>
          <t>19:55</t>
        </is>
      </c>
      <c r="H1305" s="4" t="inlineStr">
        <is>
          <t>3.10.2026</t>
        </is>
      </c>
      <c r="I1305" s="4" t="inlineStr">
        <is>
          <t>07:55</t>
        </is>
      </c>
      <c r="J1305" s="8" t="n">
        <v>10.5</v>
      </c>
      <c r="K1305" s="8" t="n">
        <v>7.5</v>
      </c>
      <c r="L1305" s="8" t="n">
        <v>3</v>
      </c>
      <c r="M1305" s="29" t="inlineStr">
        <is>
          <t>HALİL DİĞRENCİ</t>
        </is>
      </c>
    </row>
    <row r="1306">
      <c r="A1306" s="4" t="n">
        <v>1305</v>
      </c>
      <c r="B1306" s="4" t="inlineStr">
        <is>
          <t>01409</t>
        </is>
      </c>
      <c r="C1306" s="4" t="inlineStr">
        <is>
          <t>01409</t>
        </is>
      </c>
      <c r="D1306" s="29" t="inlineStr">
        <is>
          <t>ERKAN ÖZGAN</t>
        </is>
      </c>
      <c r="E1306" s="4" t="inlineStr">
        <is>
          <t>Pazar</t>
        </is>
      </c>
      <c r="F1306" s="4" t="inlineStr">
        <is>
          <t>4.10.2026</t>
        </is>
      </c>
      <c r="G1306" s="4" t="inlineStr">
        <is>
          <t>19:56</t>
        </is>
      </c>
      <c r="H1306" s="4" t="inlineStr">
        <is>
          <t>4.10.2026</t>
        </is>
      </c>
      <c r="I1306" s="4" t="inlineStr">
        <is>
          <t>08:01</t>
        </is>
      </c>
      <c r="J1306" s="8" t="n">
        <v>10.5</v>
      </c>
      <c r="K1306" s="8" t="n">
        <v>7.5</v>
      </c>
      <c r="L1306" s="8" t="n">
        <v>3</v>
      </c>
      <c r="M1306" s="29" t="inlineStr">
        <is>
          <t>HALİL DİĞRENCİ</t>
        </is>
      </c>
    </row>
    <row r="1307">
      <c r="A1307" s="4" t="n">
        <v>1306</v>
      </c>
      <c r="B1307" s="4" t="inlineStr">
        <is>
          <t>01409</t>
        </is>
      </c>
      <c r="C1307" s="4" t="inlineStr">
        <is>
          <t>01409</t>
        </is>
      </c>
      <c r="D1307" s="29" t="inlineStr">
        <is>
          <t>ERKAN ÖZGAN</t>
        </is>
      </c>
      <c r="E1307" s="4" t="inlineStr">
        <is>
          <t>Pazartesi</t>
        </is>
      </c>
      <c r="F1307" s="4" t="inlineStr">
        <is>
          <t>5.10.2026</t>
        </is>
      </c>
      <c r="G1307" s="4" t="inlineStr">
        <is>
          <t>19:47</t>
        </is>
      </c>
      <c r="H1307" s="4" t="inlineStr">
        <is>
          <t>5.10.2026</t>
        </is>
      </c>
      <c r="I1307" s="4" t="inlineStr">
        <is>
          <t>07:58</t>
        </is>
      </c>
      <c r="J1307" s="8" t="n">
        <v>10.5</v>
      </c>
      <c r="K1307" s="8" t="n">
        <v>7.5</v>
      </c>
      <c r="L1307" s="8" t="n">
        <v>3</v>
      </c>
      <c r="M1307" s="29" t="inlineStr">
        <is>
          <t>HALİL DİĞRENCİ</t>
        </is>
      </c>
    </row>
    <row r="1308">
      <c r="A1308" s="4" t="n">
        <v>1307</v>
      </c>
      <c r="B1308" s="4" t="inlineStr">
        <is>
          <t>01409</t>
        </is>
      </c>
      <c r="C1308" s="4" t="inlineStr">
        <is>
          <t>01409</t>
        </is>
      </c>
      <c r="D1308" s="29" t="inlineStr">
        <is>
          <t>ERKAN ÖZGAN</t>
        </is>
      </c>
      <c r="E1308" s="4" t="inlineStr">
        <is>
          <t>Salı</t>
        </is>
      </c>
      <c r="F1308" s="4" t="inlineStr">
        <is>
          <t>6.10.2026</t>
        </is>
      </c>
      <c r="G1308" s="4" t="inlineStr">
        <is>
          <t>19:53</t>
        </is>
      </c>
      <c r="H1308" s="4" t="inlineStr">
        <is>
          <t>6.10.2026</t>
        </is>
      </c>
      <c r="I1308" s="4" t="inlineStr">
        <is>
          <t>08:02</t>
        </is>
      </c>
      <c r="J1308" s="8" t="n">
        <v>10.5</v>
      </c>
      <c r="K1308" s="8" t="n">
        <v>7.5</v>
      </c>
      <c r="L1308" s="8" t="n">
        <v>3</v>
      </c>
      <c r="M1308" s="29" t="inlineStr">
        <is>
          <t>HALİL DİĞRENCİ</t>
        </is>
      </c>
    </row>
    <row r="1309">
      <c r="A1309" s="4" t="n">
        <v>1308</v>
      </c>
      <c r="B1309" s="4" t="inlineStr">
        <is>
          <t>01409</t>
        </is>
      </c>
      <c r="C1309" s="4" t="inlineStr">
        <is>
          <t>01409</t>
        </is>
      </c>
      <c r="D1309" s="29" t="inlineStr">
        <is>
          <t>ERKAN ÖZGAN</t>
        </is>
      </c>
      <c r="E1309" s="4" t="inlineStr">
        <is>
          <t>Çarşamba</t>
        </is>
      </c>
      <c r="F1309" s="4" t="inlineStr">
        <is>
          <t>7.10.2026</t>
        </is>
      </c>
      <c r="G1309" s="4" t="inlineStr">
        <is>
          <t>19:51</t>
        </is>
      </c>
      <c r="H1309" s="4" t="inlineStr">
        <is>
          <t>7.10.2026</t>
        </is>
      </c>
      <c r="I1309" s="4" t="inlineStr">
        <is>
          <t>07:57</t>
        </is>
      </c>
      <c r="J1309" s="8" t="n">
        <v>10.5</v>
      </c>
      <c r="K1309" s="8" t="n">
        <v>7.5</v>
      </c>
      <c r="L1309" s="8" t="n">
        <v>3</v>
      </c>
      <c r="M1309" s="29" t="inlineStr">
        <is>
          <t>HALİL DİĞRENCİ</t>
        </is>
      </c>
    </row>
    <row r="1310">
      <c r="A1310" s="4" t="n">
        <v>1309</v>
      </c>
      <c r="B1310" s="4" t="inlineStr">
        <is>
          <t>01409</t>
        </is>
      </c>
      <c r="C1310" s="4" t="inlineStr">
        <is>
          <t>01409</t>
        </is>
      </c>
      <c r="D1310" s="29" t="inlineStr">
        <is>
          <t>ERKAN ÖZGAN</t>
        </is>
      </c>
      <c r="E1310" s="4" t="inlineStr">
        <is>
          <t>Perşembe</t>
        </is>
      </c>
      <c r="F1310" s="4" t="inlineStr">
        <is>
          <t>8.10.2026</t>
        </is>
      </c>
      <c r="G1310" s="4" t="inlineStr">
        <is>
          <t>20:03</t>
        </is>
      </c>
      <c r="H1310" s="4" t="inlineStr">
        <is>
          <t>8.10.2026</t>
        </is>
      </c>
      <c r="I1310" s="4" t="inlineStr">
        <is>
          <t>08:00</t>
        </is>
      </c>
      <c r="J1310" s="8" t="n">
        <v>10.5</v>
      </c>
      <c r="K1310" s="8" t="n">
        <v>7.5</v>
      </c>
      <c r="L1310" s="8" t="n">
        <v>3</v>
      </c>
      <c r="M1310" s="29" t="inlineStr">
        <is>
          <t>HALİL DİĞRENCİ</t>
        </is>
      </c>
    </row>
    <row r="1311">
      <c r="A1311" s="4" t="n">
        <v>1310</v>
      </c>
      <c r="B1311" s="4" t="inlineStr">
        <is>
          <t>01409</t>
        </is>
      </c>
      <c r="C1311" s="4" t="inlineStr">
        <is>
          <t>01409</t>
        </is>
      </c>
      <c r="D1311" s="29" t="inlineStr">
        <is>
          <t>ERKAN ÖZGAN</t>
        </is>
      </c>
      <c r="E1311" s="4" t="inlineStr">
        <is>
          <t>Cuma</t>
        </is>
      </c>
      <c r="F1311" s="4" t="inlineStr">
        <is>
          <t>9.10.2026</t>
        </is>
      </c>
      <c r="G1311" s="4" t="inlineStr">
        <is>
          <t>20:02</t>
        </is>
      </c>
      <c r="H1311" s="4" t="inlineStr">
        <is>
          <t>9.10.2026</t>
        </is>
      </c>
      <c r="I1311" s="4" t="inlineStr">
        <is>
          <t>08:01</t>
        </is>
      </c>
      <c r="J1311" s="8" t="n">
        <v>10.5</v>
      </c>
      <c r="K1311" s="8" t="n">
        <v>7.5</v>
      </c>
      <c r="L1311" s="8" t="n">
        <v>3</v>
      </c>
      <c r="M1311" s="29" t="inlineStr">
        <is>
          <t>HALİL DİĞRENCİ</t>
        </is>
      </c>
    </row>
    <row r="1312">
      <c r="A1312" s="4" t="n">
        <v>1311</v>
      </c>
      <c r="B1312" s="4" t="inlineStr">
        <is>
          <t>01409</t>
        </is>
      </c>
      <c r="C1312" s="4" t="inlineStr">
        <is>
          <t>01409</t>
        </is>
      </c>
      <c r="D1312" s="29" t="inlineStr">
        <is>
          <t>ERKAN ÖZGAN</t>
        </is>
      </c>
      <c r="E1312" s="4" t="inlineStr">
        <is>
          <t>Cumartesi</t>
        </is>
      </c>
      <c r="F1312" s="4" t="inlineStr">
        <is>
          <t>10.10.2026</t>
        </is>
      </c>
      <c r="G1312" s="4" t="inlineStr">
        <is>
          <t>19:52</t>
        </is>
      </c>
      <c r="H1312" s="4" t="inlineStr">
        <is>
          <t>10.10.2026</t>
        </is>
      </c>
      <c r="I1312" s="4" t="inlineStr">
        <is>
          <t>07:56</t>
        </is>
      </c>
      <c r="J1312" s="8" t="n">
        <v>10.5</v>
      </c>
      <c r="K1312" s="8" t="n">
        <v>7.5</v>
      </c>
      <c r="L1312" s="8" t="n">
        <v>3</v>
      </c>
      <c r="M1312" s="29" t="inlineStr">
        <is>
          <t>HALİL DİĞRENCİ</t>
        </is>
      </c>
    </row>
    <row r="1313">
      <c r="A1313" s="4" t="n">
        <v>1312</v>
      </c>
      <c r="B1313" s="4" t="inlineStr">
        <is>
          <t>01409</t>
        </is>
      </c>
      <c r="C1313" s="4" t="inlineStr">
        <is>
          <t>01409</t>
        </is>
      </c>
      <c r="D1313" s="29" t="inlineStr">
        <is>
          <t>ERKAN ÖZGAN</t>
        </is>
      </c>
      <c r="E1313" s="4" t="inlineStr">
        <is>
          <t>Pazar</t>
        </is>
      </c>
      <c r="F1313" s="4" t="inlineStr">
        <is>
          <t>11.10.2026</t>
        </is>
      </c>
      <c r="G1313" s="4" t="inlineStr">
        <is>
          <t>20:09</t>
        </is>
      </c>
      <c r="H1313" s="4" t="inlineStr">
        <is>
          <t>11.10.2026</t>
        </is>
      </c>
      <c r="I1313" s="4" t="inlineStr">
        <is>
          <t>08:00</t>
        </is>
      </c>
      <c r="J1313" s="8" t="n">
        <v>10.5</v>
      </c>
      <c r="K1313" s="8" t="n">
        <v>7.5</v>
      </c>
      <c r="L1313" s="8" t="n">
        <v>3</v>
      </c>
      <c r="M1313" s="29" t="inlineStr">
        <is>
          <t>HALİL DİĞRENCİ</t>
        </is>
      </c>
    </row>
    <row r="1314">
      <c r="A1314" s="4" t="n">
        <v>1313</v>
      </c>
      <c r="B1314" s="4" t="inlineStr">
        <is>
          <t>01409</t>
        </is>
      </c>
      <c r="C1314" s="4" t="inlineStr">
        <is>
          <t>01409</t>
        </is>
      </c>
      <c r="D1314" s="29" t="inlineStr">
        <is>
          <t>ERKAN ÖZGAN</t>
        </is>
      </c>
      <c r="E1314" s="4" t="inlineStr">
        <is>
          <t>Pazartesi</t>
        </is>
      </c>
      <c r="F1314" s="4" t="inlineStr">
        <is>
          <t>12.10.2026</t>
        </is>
      </c>
      <c r="G1314" s="4" t="inlineStr">
        <is>
          <t>19:45</t>
        </is>
      </c>
      <c r="H1314" s="4" t="inlineStr">
        <is>
          <t>12.10.2026</t>
        </is>
      </c>
      <c r="I1314" s="4" t="inlineStr">
        <is>
          <t>07:58</t>
        </is>
      </c>
      <c r="J1314" s="8" t="n">
        <v>10.5</v>
      </c>
      <c r="K1314" s="8" t="n">
        <v>7.5</v>
      </c>
      <c r="L1314" s="8" t="n">
        <v>3</v>
      </c>
      <c r="M1314" s="29" t="inlineStr">
        <is>
          <t>HALİL DİĞRENCİ</t>
        </is>
      </c>
    </row>
    <row r="1315">
      <c r="A1315" s="4" t="n">
        <v>1314</v>
      </c>
      <c r="B1315" s="4" t="inlineStr">
        <is>
          <t>01409</t>
        </is>
      </c>
      <c r="C1315" s="4" t="inlineStr">
        <is>
          <t>01409</t>
        </is>
      </c>
      <c r="D1315" s="29" t="inlineStr">
        <is>
          <t>ERKAN ÖZGAN</t>
        </is>
      </c>
      <c r="E1315" s="4" t="inlineStr">
        <is>
          <t>Çarşamba</t>
        </is>
      </c>
      <c r="F1315" s="4" t="inlineStr">
        <is>
          <t>14.10.2026</t>
        </is>
      </c>
      <c r="G1315" s="4" t="inlineStr">
        <is>
          <t>20:05</t>
        </is>
      </c>
      <c r="H1315" s="4" t="inlineStr">
        <is>
          <t>14.10.2026</t>
        </is>
      </c>
      <c r="I1315" s="4" t="inlineStr">
        <is>
          <t>08:04</t>
        </is>
      </c>
      <c r="J1315" s="8" t="n">
        <v>10.5</v>
      </c>
      <c r="K1315" s="8" t="n">
        <v>7.5</v>
      </c>
      <c r="L1315" s="8" t="n">
        <v>3</v>
      </c>
      <c r="M1315" s="29" t="inlineStr">
        <is>
          <t>HALİL DİĞRENCİ</t>
        </is>
      </c>
    </row>
    <row r="1316">
      <c r="A1316" s="4" t="n">
        <v>1315</v>
      </c>
      <c r="B1316" s="4" t="inlineStr">
        <is>
          <t>01409</t>
        </is>
      </c>
      <c r="C1316" s="4" t="inlineStr">
        <is>
          <t>01409</t>
        </is>
      </c>
      <c r="D1316" s="29" t="inlineStr">
        <is>
          <t>ERKAN ÖZGAN</t>
        </is>
      </c>
      <c r="E1316" s="4" t="inlineStr">
        <is>
          <t>Perşembe</t>
        </is>
      </c>
      <c r="F1316" s="4" t="inlineStr">
        <is>
          <t>15.10.2026</t>
        </is>
      </c>
      <c r="G1316" s="4" t="inlineStr">
        <is>
          <t>19:52</t>
        </is>
      </c>
      <c r="H1316" s="4" t="inlineStr">
        <is>
          <t>15.10.2026</t>
        </is>
      </c>
      <c r="I1316" s="4" t="inlineStr">
        <is>
          <t>07:58</t>
        </is>
      </c>
      <c r="J1316" s="8" t="n">
        <v>10.5</v>
      </c>
      <c r="K1316" s="8" t="n">
        <v>7.5</v>
      </c>
      <c r="L1316" s="8" t="n">
        <v>3</v>
      </c>
      <c r="M1316" s="29" t="inlineStr">
        <is>
          <t>HALİL DİĞRENCİ</t>
        </is>
      </c>
    </row>
    <row r="1317">
      <c r="A1317" s="4" t="n">
        <v>1316</v>
      </c>
      <c r="B1317" s="4" t="inlineStr">
        <is>
          <t>01409</t>
        </is>
      </c>
      <c r="C1317" s="4" t="inlineStr">
        <is>
          <t>01409</t>
        </is>
      </c>
      <c r="D1317" s="29" t="inlineStr">
        <is>
          <t>ERKAN ÖZGAN</t>
        </is>
      </c>
      <c r="E1317" s="4" t="inlineStr">
        <is>
          <t>Pazartesi</t>
        </is>
      </c>
      <c r="F1317" s="4" t="inlineStr">
        <is>
          <t>19.10.2026</t>
        </is>
      </c>
      <c r="G1317" s="4" t="inlineStr">
        <is>
          <t>20:13</t>
        </is>
      </c>
      <c r="H1317" s="4" t="inlineStr">
        <is>
          <t>19.10.2026</t>
        </is>
      </c>
      <c r="I1317" s="4" t="inlineStr">
        <is>
          <t>07:55</t>
        </is>
      </c>
      <c r="J1317" s="8" t="n">
        <v>10.5</v>
      </c>
      <c r="K1317" s="8" t="n">
        <v>7.5</v>
      </c>
      <c r="L1317" s="8" t="n">
        <v>3</v>
      </c>
      <c r="M1317" s="29" t="inlineStr">
        <is>
          <t>HALİL DİĞRENCİ</t>
        </is>
      </c>
    </row>
    <row r="1318">
      <c r="A1318" s="4" t="n">
        <v>1317</v>
      </c>
      <c r="B1318" s="4" t="inlineStr">
        <is>
          <t>00198</t>
        </is>
      </c>
      <c r="C1318" s="4" t="inlineStr">
        <is>
          <t>00198</t>
        </is>
      </c>
      <c r="D1318" s="29" t="inlineStr">
        <is>
          <t>ERSİN ESER</t>
        </is>
      </c>
      <c r="E1318" s="4" t="inlineStr">
        <is>
          <t>Perşembe</t>
        </is>
      </c>
      <c r="F1318" s="4" t="inlineStr">
        <is>
          <t>1.10.2026</t>
        </is>
      </c>
      <c r="G1318" s="4" t="inlineStr">
        <is>
          <t>19:52</t>
        </is>
      </c>
      <c r="H1318" s="4" t="inlineStr">
        <is>
          <t>1.10.2026</t>
        </is>
      </c>
      <c r="I1318" s="4" t="inlineStr">
        <is>
          <t>07:54</t>
        </is>
      </c>
      <c r="J1318" s="8" t="n">
        <v>10.5</v>
      </c>
      <c r="K1318" s="8" t="n">
        <v>7.5</v>
      </c>
      <c r="L1318" s="8" t="n">
        <v>3</v>
      </c>
      <c r="M1318" s="29" t="inlineStr">
        <is>
          <t>GÖBEL</t>
        </is>
      </c>
    </row>
    <row r="1319">
      <c r="A1319" s="4" t="n">
        <v>1318</v>
      </c>
      <c r="B1319" s="4" t="inlineStr">
        <is>
          <t>00198</t>
        </is>
      </c>
      <c r="C1319" s="4" t="inlineStr">
        <is>
          <t>00198</t>
        </is>
      </c>
      <c r="D1319" s="29" t="inlineStr">
        <is>
          <t>ERSİN ESER</t>
        </is>
      </c>
      <c r="E1319" s="4" t="inlineStr">
        <is>
          <t>Cuma</t>
        </is>
      </c>
      <c r="F1319" s="4" t="inlineStr">
        <is>
          <t>2.10.2026</t>
        </is>
      </c>
      <c r="G1319" s="4" t="inlineStr">
        <is>
          <t>20:02</t>
        </is>
      </c>
      <c r="H1319" s="4" t="inlineStr">
        <is>
          <t>2.10.2026</t>
        </is>
      </c>
      <c r="I1319" s="4" t="inlineStr">
        <is>
          <t>07:54</t>
        </is>
      </c>
      <c r="J1319" s="8" t="n">
        <v>10.5</v>
      </c>
      <c r="K1319" s="8" t="n">
        <v>7.5</v>
      </c>
      <c r="L1319" s="8" t="n">
        <v>3</v>
      </c>
      <c r="M1319" s="29" t="inlineStr">
        <is>
          <t>GÖBEL</t>
        </is>
      </c>
    </row>
    <row r="1320">
      <c r="A1320" s="4" t="n">
        <v>1319</v>
      </c>
      <c r="B1320" s="4" t="inlineStr">
        <is>
          <t>00198</t>
        </is>
      </c>
      <c r="C1320" s="4" t="inlineStr">
        <is>
          <t>00198</t>
        </is>
      </c>
      <c r="D1320" s="29" t="inlineStr">
        <is>
          <t>ERSİN ESER</t>
        </is>
      </c>
      <c r="E1320" s="4" t="inlineStr">
        <is>
          <t>Cumartesi</t>
        </is>
      </c>
      <c r="F1320" s="4" t="inlineStr">
        <is>
          <t>3.10.2026</t>
        </is>
      </c>
      <c r="G1320" s="4" t="inlineStr">
        <is>
          <t>19:55</t>
        </is>
      </c>
      <c r="H1320" s="4" t="inlineStr">
        <is>
          <t>3.10.2026</t>
        </is>
      </c>
      <c r="I1320" s="4" t="inlineStr">
        <is>
          <t>07:55</t>
        </is>
      </c>
      <c r="J1320" s="8" t="n">
        <v>10.5</v>
      </c>
      <c r="K1320" s="8" t="n">
        <v>7.5</v>
      </c>
      <c r="L1320" s="8" t="n">
        <v>3</v>
      </c>
      <c r="M1320" s="29" t="inlineStr">
        <is>
          <t>GÖBEL</t>
        </is>
      </c>
    </row>
    <row r="1321">
      <c r="A1321" s="4" t="n">
        <v>1320</v>
      </c>
      <c r="B1321" s="4" t="inlineStr">
        <is>
          <t>00198</t>
        </is>
      </c>
      <c r="C1321" s="4" t="inlineStr">
        <is>
          <t>00198</t>
        </is>
      </c>
      <c r="D1321" s="29" t="inlineStr">
        <is>
          <t>ERSİN ESER</t>
        </is>
      </c>
      <c r="E1321" s="4" t="inlineStr">
        <is>
          <t>Pazar</t>
        </is>
      </c>
      <c r="F1321" s="4" t="inlineStr">
        <is>
          <t>4.10.2026</t>
        </is>
      </c>
      <c r="G1321" s="4" t="inlineStr">
        <is>
          <t>19:57</t>
        </is>
      </c>
      <c r="H1321" s="4" t="inlineStr">
        <is>
          <t>4.10.2026</t>
        </is>
      </c>
      <c r="I1321" s="4" t="inlineStr">
        <is>
          <t>07:57</t>
        </is>
      </c>
      <c r="J1321" s="8" t="n">
        <v>10.5</v>
      </c>
      <c r="K1321" s="8" t="n">
        <v>7.5</v>
      </c>
      <c r="L1321" s="8" t="n">
        <v>3</v>
      </c>
      <c r="M1321" s="29" t="inlineStr">
        <is>
          <t>GÖBEL</t>
        </is>
      </c>
    </row>
    <row r="1322">
      <c r="A1322" s="4" t="n">
        <v>1321</v>
      </c>
      <c r="B1322" s="4" t="inlineStr">
        <is>
          <t>00198</t>
        </is>
      </c>
      <c r="C1322" s="4" t="inlineStr">
        <is>
          <t>00198</t>
        </is>
      </c>
      <c r="D1322" s="29" t="inlineStr">
        <is>
          <t>ERSİN ESER</t>
        </is>
      </c>
      <c r="E1322" s="4" t="inlineStr">
        <is>
          <t>Pazartesi</t>
        </is>
      </c>
      <c r="F1322" s="4" t="inlineStr">
        <is>
          <t>5.10.2026</t>
        </is>
      </c>
      <c r="G1322" s="4" t="inlineStr">
        <is>
          <t>19:55</t>
        </is>
      </c>
      <c r="H1322" s="4" t="inlineStr">
        <is>
          <t>5.10.2026</t>
        </is>
      </c>
      <c r="I1322" s="4" t="inlineStr">
        <is>
          <t>07:51</t>
        </is>
      </c>
      <c r="J1322" s="8" t="n">
        <v>10.5</v>
      </c>
      <c r="K1322" s="8" t="n">
        <v>7.5</v>
      </c>
      <c r="L1322" s="8" t="n">
        <v>3</v>
      </c>
      <c r="M1322" s="29" t="inlineStr">
        <is>
          <t>GÖBEL</t>
        </is>
      </c>
    </row>
    <row r="1323">
      <c r="A1323" s="4" t="n">
        <v>1322</v>
      </c>
      <c r="B1323" s="4" t="inlineStr">
        <is>
          <t>00198</t>
        </is>
      </c>
      <c r="C1323" s="4" t="inlineStr">
        <is>
          <t>00198</t>
        </is>
      </c>
      <c r="D1323" s="29" t="inlineStr">
        <is>
          <t>ERSİN ESER</t>
        </is>
      </c>
      <c r="E1323" s="4" t="inlineStr">
        <is>
          <t>Salı</t>
        </is>
      </c>
      <c r="F1323" s="4" t="inlineStr">
        <is>
          <t>6.10.2026</t>
        </is>
      </c>
      <c r="G1323" s="4" t="inlineStr">
        <is>
          <t>19:55</t>
        </is>
      </c>
      <c r="H1323" s="4" t="inlineStr">
        <is>
          <t>6.10.2026</t>
        </is>
      </c>
      <c r="I1323" s="4" t="inlineStr">
        <is>
          <t>07:52</t>
        </is>
      </c>
      <c r="J1323" s="8" t="n">
        <v>10.5</v>
      </c>
      <c r="K1323" s="8" t="n">
        <v>7.5</v>
      </c>
      <c r="L1323" s="8" t="n">
        <v>3</v>
      </c>
      <c r="M1323" s="29" t="inlineStr">
        <is>
          <t>GÖBEL</t>
        </is>
      </c>
    </row>
    <row r="1324">
      <c r="A1324" s="4" t="n">
        <v>1323</v>
      </c>
      <c r="B1324" s="4" t="inlineStr">
        <is>
          <t>00198</t>
        </is>
      </c>
      <c r="C1324" s="4" t="inlineStr">
        <is>
          <t>00198</t>
        </is>
      </c>
      <c r="D1324" s="29" t="inlineStr">
        <is>
          <t>ERSİN ESER</t>
        </is>
      </c>
      <c r="E1324" s="4" t="inlineStr">
        <is>
          <t>Çarşamba</t>
        </is>
      </c>
      <c r="F1324" s="4" t="inlineStr">
        <is>
          <t>7.10.2026</t>
        </is>
      </c>
      <c r="G1324" s="4" t="inlineStr">
        <is>
          <t>19:56</t>
        </is>
      </c>
      <c r="H1324" s="4" t="inlineStr">
        <is>
          <t>7.10.2026</t>
        </is>
      </c>
      <c r="I1324" s="4" t="inlineStr">
        <is>
          <t>07:49</t>
        </is>
      </c>
      <c r="J1324" s="8" t="n">
        <v>10.5</v>
      </c>
      <c r="K1324" s="8" t="n">
        <v>7.5</v>
      </c>
      <c r="L1324" s="8" t="n">
        <v>3</v>
      </c>
      <c r="M1324" s="29" t="inlineStr">
        <is>
          <t>GÖBEL</t>
        </is>
      </c>
    </row>
    <row r="1325">
      <c r="A1325" s="4" t="n">
        <v>1324</v>
      </c>
      <c r="B1325" s="4" t="inlineStr">
        <is>
          <t>00198</t>
        </is>
      </c>
      <c r="C1325" s="4" t="inlineStr">
        <is>
          <t>00198</t>
        </is>
      </c>
      <c r="D1325" s="29" t="inlineStr">
        <is>
          <t>ERSİN ESER</t>
        </is>
      </c>
      <c r="E1325" s="4" t="inlineStr">
        <is>
          <t>Perşembe</t>
        </is>
      </c>
      <c r="F1325" s="4" t="inlineStr">
        <is>
          <t>8.10.2026</t>
        </is>
      </c>
      <c r="G1325" s="4" t="inlineStr">
        <is>
          <t>19:37</t>
        </is>
      </c>
      <c r="H1325" s="4" t="inlineStr">
        <is>
          <t>8.10.2026</t>
        </is>
      </c>
      <c r="I1325" s="4" t="inlineStr">
        <is>
          <t>07:48</t>
        </is>
      </c>
      <c r="J1325" s="8" t="n">
        <v>10.5</v>
      </c>
      <c r="K1325" s="8" t="n">
        <v>7.5</v>
      </c>
      <c r="L1325" s="8" t="n">
        <v>3</v>
      </c>
      <c r="M1325" s="29" t="inlineStr">
        <is>
          <t>GÖBEL</t>
        </is>
      </c>
    </row>
    <row r="1326">
      <c r="A1326" s="4" t="n">
        <v>1325</v>
      </c>
      <c r="B1326" s="4" t="inlineStr">
        <is>
          <t>00198</t>
        </is>
      </c>
      <c r="C1326" s="4" t="inlineStr">
        <is>
          <t>00198</t>
        </is>
      </c>
      <c r="D1326" s="29" t="inlineStr">
        <is>
          <t>ERSİN ESER</t>
        </is>
      </c>
      <c r="E1326" s="4" t="inlineStr">
        <is>
          <t>Cuma</t>
        </is>
      </c>
      <c r="F1326" s="4" t="inlineStr">
        <is>
          <t>9.10.2026</t>
        </is>
      </c>
      <c r="G1326" s="4" t="inlineStr">
        <is>
          <t>19:56</t>
        </is>
      </c>
      <c r="H1326" s="4" t="inlineStr">
        <is>
          <t>9.10.2026</t>
        </is>
      </c>
      <c r="I1326" s="4" t="inlineStr">
        <is>
          <t>07:56</t>
        </is>
      </c>
      <c r="J1326" s="8" t="n">
        <v>10.5</v>
      </c>
      <c r="K1326" s="8" t="n">
        <v>7.5</v>
      </c>
      <c r="L1326" s="8" t="n">
        <v>3</v>
      </c>
      <c r="M1326" s="29" t="inlineStr">
        <is>
          <t>GÖBEL</t>
        </is>
      </c>
    </row>
    <row r="1327">
      <c r="A1327" s="4" t="n">
        <v>1326</v>
      </c>
      <c r="B1327" s="4" t="inlineStr">
        <is>
          <t>00198</t>
        </is>
      </c>
      <c r="C1327" s="4" t="inlineStr">
        <is>
          <t>00198</t>
        </is>
      </c>
      <c r="D1327" s="29" t="inlineStr">
        <is>
          <t>ERSİN ESER</t>
        </is>
      </c>
      <c r="E1327" s="4" t="inlineStr">
        <is>
          <t>Cumartesi</t>
        </is>
      </c>
      <c r="F1327" s="4" t="inlineStr">
        <is>
          <t>10.10.2026</t>
        </is>
      </c>
      <c r="G1327" s="4" t="inlineStr">
        <is>
          <t>20:02</t>
        </is>
      </c>
      <c r="H1327" s="4" t="inlineStr">
        <is>
          <t>10.10.2026</t>
        </is>
      </c>
      <c r="I1327" s="4" t="inlineStr">
        <is>
          <t>07:55</t>
        </is>
      </c>
      <c r="J1327" s="8" t="n">
        <v>10.5</v>
      </c>
      <c r="K1327" s="8" t="n">
        <v>7.5</v>
      </c>
      <c r="L1327" s="8" t="n">
        <v>3</v>
      </c>
      <c r="M1327" s="29" t="inlineStr">
        <is>
          <t>GÖBEL</t>
        </is>
      </c>
    </row>
    <row r="1328">
      <c r="A1328" s="4" t="n">
        <v>1327</v>
      </c>
      <c r="B1328" s="4" t="inlineStr">
        <is>
          <t>00198</t>
        </is>
      </c>
      <c r="C1328" s="4" t="inlineStr">
        <is>
          <t>00198</t>
        </is>
      </c>
      <c r="D1328" s="29" t="inlineStr">
        <is>
          <t>ERSİN ESER</t>
        </is>
      </c>
      <c r="E1328" s="4" t="inlineStr">
        <is>
          <t>Pazar</t>
        </is>
      </c>
      <c r="F1328" s="4" t="inlineStr">
        <is>
          <t>11.10.2026</t>
        </is>
      </c>
      <c r="G1328" s="4" t="inlineStr">
        <is>
          <t>19:57</t>
        </is>
      </c>
      <c r="H1328" s="4" t="inlineStr">
        <is>
          <t>11.10.2026</t>
        </is>
      </c>
      <c r="I1328" s="4" t="inlineStr">
        <is>
          <t>08:00</t>
        </is>
      </c>
      <c r="J1328" s="8" t="n">
        <v>10.5</v>
      </c>
      <c r="K1328" s="8" t="n">
        <v>7.5</v>
      </c>
      <c r="L1328" s="8" t="n">
        <v>3</v>
      </c>
      <c r="M1328" s="29" t="inlineStr">
        <is>
          <t>GÖBEL</t>
        </is>
      </c>
    </row>
    <row r="1329">
      <c r="A1329" s="4" t="n">
        <v>1328</v>
      </c>
      <c r="B1329" s="4" t="inlineStr">
        <is>
          <t>00198</t>
        </is>
      </c>
      <c r="C1329" s="4" t="inlineStr">
        <is>
          <t>00198</t>
        </is>
      </c>
      <c r="D1329" s="29" t="inlineStr">
        <is>
          <t>ERSİN ESER</t>
        </is>
      </c>
      <c r="E1329" s="4" t="inlineStr">
        <is>
          <t>Pazartesi</t>
        </is>
      </c>
      <c r="F1329" s="4" t="inlineStr">
        <is>
          <t>12.10.2026</t>
        </is>
      </c>
      <c r="G1329" s="4" t="inlineStr">
        <is>
          <t>19:51</t>
        </is>
      </c>
      <c r="H1329" s="4" t="inlineStr">
        <is>
          <t>12.10.2026</t>
        </is>
      </c>
      <c r="I1329" s="4" t="inlineStr">
        <is>
          <t>07:54</t>
        </is>
      </c>
      <c r="J1329" s="8" t="n">
        <v>10.5</v>
      </c>
      <c r="K1329" s="8" t="n">
        <v>7.5</v>
      </c>
      <c r="L1329" s="8" t="n">
        <v>3</v>
      </c>
      <c r="M1329" s="29" t="inlineStr">
        <is>
          <t>GÖBEL</t>
        </is>
      </c>
    </row>
    <row r="1330">
      <c r="A1330" s="4" t="n">
        <v>1329</v>
      </c>
      <c r="B1330" s="4" t="inlineStr">
        <is>
          <t>00198</t>
        </is>
      </c>
      <c r="C1330" s="4" t="inlineStr">
        <is>
          <t>00198</t>
        </is>
      </c>
      <c r="D1330" s="29" t="inlineStr">
        <is>
          <t>ERSİN ESER</t>
        </is>
      </c>
      <c r="E1330" s="4" t="inlineStr">
        <is>
          <t>Salı</t>
        </is>
      </c>
      <c r="F1330" s="4" t="inlineStr">
        <is>
          <t>13.10.2026</t>
        </is>
      </c>
      <c r="G1330" s="4" t="inlineStr">
        <is>
          <t>19:57</t>
        </is>
      </c>
      <c r="H1330" s="4" t="inlineStr">
        <is>
          <t>13.10.2026</t>
        </is>
      </c>
      <c r="I1330" s="4" t="inlineStr">
        <is>
          <t>07:54</t>
        </is>
      </c>
      <c r="J1330" s="8" t="n">
        <v>10.5</v>
      </c>
      <c r="K1330" s="8" t="n">
        <v>7.5</v>
      </c>
      <c r="L1330" s="8" t="n">
        <v>3</v>
      </c>
      <c r="M1330" s="29" t="inlineStr">
        <is>
          <t>GÖBEL</t>
        </is>
      </c>
    </row>
    <row r="1331">
      <c r="A1331" s="4" t="n">
        <v>1330</v>
      </c>
      <c r="B1331" s="4" t="inlineStr">
        <is>
          <t>00198</t>
        </is>
      </c>
      <c r="C1331" s="4" t="inlineStr">
        <is>
          <t>00198</t>
        </is>
      </c>
      <c r="D1331" s="29" t="inlineStr">
        <is>
          <t>ERSİN ESER</t>
        </is>
      </c>
      <c r="E1331" s="4" t="inlineStr">
        <is>
          <t>Çarşamba</t>
        </is>
      </c>
      <c r="F1331" s="4" t="inlineStr">
        <is>
          <t>14.10.2026</t>
        </is>
      </c>
      <c r="G1331" s="4" t="inlineStr">
        <is>
          <t>19:54</t>
        </is>
      </c>
      <c r="H1331" s="4" t="inlineStr">
        <is>
          <t>14.10.2026</t>
        </is>
      </c>
      <c r="I1331" s="4" t="inlineStr">
        <is>
          <t>08:00</t>
        </is>
      </c>
      <c r="J1331" s="8" t="n">
        <v>10.5</v>
      </c>
      <c r="K1331" s="8" t="n">
        <v>7.5</v>
      </c>
      <c r="L1331" s="8" t="n">
        <v>3</v>
      </c>
      <c r="M1331" s="29" t="inlineStr">
        <is>
          <t>GÖBEL</t>
        </is>
      </c>
    </row>
    <row r="1332">
      <c r="A1332" s="4" t="n">
        <v>1331</v>
      </c>
      <c r="B1332" s="4" t="inlineStr">
        <is>
          <t>00198</t>
        </is>
      </c>
      <c r="C1332" s="4" t="inlineStr">
        <is>
          <t>00198</t>
        </is>
      </c>
      <c r="D1332" s="29" t="inlineStr">
        <is>
          <t>ERSİN ESER</t>
        </is>
      </c>
      <c r="E1332" s="4" t="inlineStr">
        <is>
          <t>Perşembe</t>
        </is>
      </c>
      <c r="F1332" s="4" t="inlineStr">
        <is>
          <t>15.10.2026</t>
        </is>
      </c>
      <c r="G1332" s="4" t="inlineStr">
        <is>
          <t>19:56</t>
        </is>
      </c>
      <c r="H1332" s="4" t="inlineStr">
        <is>
          <t>15.10.2026</t>
        </is>
      </c>
      <c r="I1332" s="4" t="inlineStr">
        <is>
          <t>07:53</t>
        </is>
      </c>
      <c r="J1332" s="8" t="n">
        <v>10.5</v>
      </c>
      <c r="K1332" s="8" t="n">
        <v>7.5</v>
      </c>
      <c r="L1332" s="8" t="n">
        <v>3</v>
      </c>
      <c r="M1332" s="29" t="inlineStr">
        <is>
          <t>GÖBEL</t>
        </is>
      </c>
    </row>
    <row r="1333">
      <c r="A1333" s="4" t="n">
        <v>1332</v>
      </c>
      <c r="B1333" s="4" t="inlineStr">
        <is>
          <t>00198</t>
        </is>
      </c>
      <c r="C1333" s="4" t="inlineStr">
        <is>
          <t>00198</t>
        </is>
      </c>
      <c r="D1333" s="29" t="inlineStr">
        <is>
          <t>ERSİN ESER</t>
        </is>
      </c>
      <c r="E1333" s="4" t="inlineStr">
        <is>
          <t>Cuma</t>
        </is>
      </c>
      <c r="F1333" s="4" t="inlineStr">
        <is>
          <t>16.10.2026</t>
        </is>
      </c>
      <c r="G1333" s="4" t="inlineStr">
        <is>
          <t>19:57</t>
        </is>
      </c>
      <c r="H1333" s="4" t="inlineStr">
        <is>
          <t>16.10.2026</t>
        </is>
      </c>
      <c r="I1333" s="4" t="inlineStr">
        <is>
          <t>00:00</t>
        </is>
      </c>
      <c r="J1333" s="8" t="n">
        <v>4</v>
      </c>
      <c r="K1333" s="8" t="n">
        <v>4</v>
      </c>
      <c r="L1333" s="8" t="n">
        <v>0</v>
      </c>
      <c r="M1333" s="29" t="inlineStr">
        <is>
          <t>GÖBEL</t>
        </is>
      </c>
    </row>
    <row r="1334">
      <c r="A1334" s="4" t="n">
        <v>1333</v>
      </c>
      <c r="B1334" s="4" t="inlineStr">
        <is>
          <t>00198</t>
        </is>
      </c>
      <c r="C1334" s="4" t="inlineStr">
        <is>
          <t>00198</t>
        </is>
      </c>
      <c r="D1334" s="29" t="inlineStr">
        <is>
          <t>ERSİN ESER</t>
        </is>
      </c>
      <c r="E1334" s="4" t="inlineStr">
        <is>
          <t>Cumartesi</t>
        </is>
      </c>
      <c r="F1334" s="4" t="inlineStr">
        <is>
          <t>17.10.2026</t>
        </is>
      </c>
      <c r="G1334" s="4" t="inlineStr">
        <is>
          <t>19:54</t>
        </is>
      </c>
      <c r="H1334" s="4" t="inlineStr">
        <is>
          <t>17.10.2026</t>
        </is>
      </c>
      <c r="I1334" s="4" t="inlineStr">
        <is>
          <t>23:59</t>
        </is>
      </c>
      <c r="J1334" s="8" t="n">
        <v>4</v>
      </c>
      <c r="K1334" s="8" t="n">
        <v>4</v>
      </c>
      <c r="L1334" s="8" t="n">
        <v>0</v>
      </c>
      <c r="M1334" s="29" t="inlineStr">
        <is>
          <t>GÖBEL</t>
        </is>
      </c>
    </row>
    <row r="1335">
      <c r="A1335" s="4" t="n">
        <v>1334</v>
      </c>
      <c r="B1335" s="4" t="inlineStr">
        <is>
          <t>00198</t>
        </is>
      </c>
      <c r="C1335" s="4" t="inlineStr">
        <is>
          <t>00198</t>
        </is>
      </c>
      <c r="D1335" s="29" t="inlineStr">
        <is>
          <t>ERSİN ESER</t>
        </is>
      </c>
      <c r="E1335" s="4" t="inlineStr">
        <is>
          <t>Pazartesi</t>
        </is>
      </c>
      <c r="F1335" s="4" t="inlineStr">
        <is>
          <t>19.10.2026</t>
        </is>
      </c>
      <c r="G1335" s="4" t="inlineStr">
        <is>
          <t>20:00</t>
        </is>
      </c>
      <c r="H1335" s="4" t="inlineStr">
        <is>
          <t>19.10.2026</t>
        </is>
      </c>
      <c r="I1335" s="4" t="inlineStr">
        <is>
          <t>07:53</t>
        </is>
      </c>
      <c r="J1335" s="8" t="n">
        <v>10.5</v>
      </c>
      <c r="K1335" s="8" t="n">
        <v>7.5</v>
      </c>
      <c r="L1335" s="8" t="n">
        <v>3</v>
      </c>
      <c r="M1335" s="29" t="inlineStr">
        <is>
          <t>GÖBEL</t>
        </is>
      </c>
    </row>
    <row r="1336">
      <c r="A1336" s="4" t="n">
        <v>1335</v>
      </c>
      <c r="B1336" s="4" t="inlineStr">
        <is>
          <t>00198</t>
        </is>
      </c>
      <c r="C1336" s="4" t="inlineStr">
        <is>
          <t>00198</t>
        </is>
      </c>
      <c r="D1336" s="29" t="inlineStr">
        <is>
          <t>ERSİN ESER</t>
        </is>
      </c>
      <c r="E1336" s="4" t="inlineStr">
        <is>
          <t>Salı</t>
        </is>
      </c>
      <c r="F1336" s="4" t="inlineStr">
        <is>
          <t>20.10.2026</t>
        </is>
      </c>
      <c r="G1336" s="4" t="inlineStr">
        <is>
          <t>19:54</t>
        </is>
      </c>
      <c r="H1336" s="4" t="inlineStr">
        <is>
          <t>20.10.2026</t>
        </is>
      </c>
      <c r="I1336" s="4" t="inlineStr">
        <is>
          <t>00:02</t>
        </is>
      </c>
      <c r="J1336" s="8" t="n">
        <v>3.5</v>
      </c>
      <c r="K1336" s="8" t="n">
        <v>3.5</v>
      </c>
      <c r="L1336" s="8" t="n">
        <v>0</v>
      </c>
      <c r="M1336" s="29" t="inlineStr">
        <is>
          <t>GÖBEL</t>
        </is>
      </c>
    </row>
    <row r="1337">
      <c r="A1337" s="4" t="n">
        <v>1336</v>
      </c>
      <c r="B1337" s="4" t="inlineStr">
        <is>
          <t>00641</t>
        </is>
      </c>
      <c r="C1337" s="4" t="inlineStr">
        <is>
          <t>00641</t>
        </is>
      </c>
      <c r="D1337" s="29" t="inlineStr">
        <is>
          <t>EZGİ EBRU ÖZÇELİK</t>
        </is>
      </c>
      <c r="E1337" s="4" t="inlineStr">
        <is>
          <t>Pazartesi</t>
        </is>
      </c>
      <c r="F1337" s="4" t="inlineStr">
        <is>
          <t>12.10.2026</t>
        </is>
      </c>
      <c r="G1337" s="4" t="inlineStr">
        <is>
          <t>-</t>
        </is>
      </c>
      <c r="H1337" s="4" t="inlineStr">
        <is>
          <t>12.10.2026</t>
        </is>
      </c>
      <c r="I1337" s="4" t="inlineStr">
        <is>
          <t>18:01</t>
        </is>
      </c>
      <c r="J1337" s="8" t="n">
        <v>8.5</v>
      </c>
      <c r="K1337" s="8" t="n">
        <v>7.5</v>
      </c>
      <c r="L1337" s="8" t="n">
        <v>1</v>
      </c>
      <c r="M1337" s="29" t="inlineStr">
        <is>
          <t>ALİ KARAGÖZ</t>
        </is>
      </c>
    </row>
    <row r="1338">
      <c r="A1338" s="4" t="n">
        <v>1337</v>
      </c>
      <c r="B1338" s="4" t="inlineStr">
        <is>
          <t>00641</t>
        </is>
      </c>
      <c r="C1338" s="4" t="inlineStr">
        <is>
          <t>00641</t>
        </is>
      </c>
      <c r="D1338" s="29" t="inlineStr">
        <is>
          <t>EZGİ EBRU ÖZÇELİK</t>
        </is>
      </c>
      <c r="E1338" s="4" t="inlineStr">
        <is>
          <t>Salı</t>
        </is>
      </c>
      <c r="F1338" s="4" t="inlineStr">
        <is>
          <t>13.10.2026</t>
        </is>
      </c>
      <c r="G1338" s="4" t="inlineStr">
        <is>
          <t>07:56</t>
        </is>
      </c>
      <c r="H1338" s="4" t="inlineStr">
        <is>
          <t>13.10.2026</t>
        </is>
      </c>
      <c r="I1338" s="4" t="inlineStr">
        <is>
          <t>17:05</t>
        </is>
      </c>
      <c r="J1338" s="8" t="n">
        <v>0</v>
      </c>
      <c r="K1338" s="8" t="n">
        <v>0</v>
      </c>
      <c r="L1338" s="8" t="n">
        <v>0</v>
      </c>
      <c r="M1338" s="29" t="inlineStr">
        <is>
          <t>ALİ KARAGÖZ</t>
        </is>
      </c>
    </row>
    <row r="1339">
      <c r="A1339" s="4" t="n">
        <v>1338</v>
      </c>
      <c r="B1339" s="4" t="inlineStr">
        <is>
          <t>00641</t>
        </is>
      </c>
      <c r="C1339" s="4" t="inlineStr">
        <is>
          <t>00641</t>
        </is>
      </c>
      <c r="D1339" s="29" t="inlineStr">
        <is>
          <t>EZGİ EBRU ÖZÇELİK</t>
        </is>
      </c>
      <c r="E1339" s="4" t="inlineStr">
        <is>
          <t>Çarşamba</t>
        </is>
      </c>
      <c r="F1339" s="4" t="inlineStr">
        <is>
          <t>14.10.2026</t>
        </is>
      </c>
      <c r="G1339" s="4" t="inlineStr">
        <is>
          <t>08:05</t>
        </is>
      </c>
      <c r="H1339" s="4" t="inlineStr">
        <is>
          <t>14.10.2026</t>
        </is>
      </c>
      <c r="I1339" s="4" t="inlineStr">
        <is>
          <t>17:26</t>
        </is>
      </c>
      <c r="J1339" s="8" t="n">
        <v>8</v>
      </c>
      <c r="K1339" s="8" t="n">
        <v>7.5</v>
      </c>
      <c r="L1339" s="8" t="n">
        <v>0.5</v>
      </c>
      <c r="M1339" s="29" t="inlineStr">
        <is>
          <t>ALİ KARAGÖZ</t>
        </is>
      </c>
    </row>
    <row r="1340">
      <c r="A1340" s="4" t="n">
        <v>1339</v>
      </c>
      <c r="B1340" s="4" t="inlineStr">
        <is>
          <t>00641</t>
        </is>
      </c>
      <c r="C1340" s="4" t="inlineStr">
        <is>
          <t>00641</t>
        </is>
      </c>
      <c r="D1340" s="29" t="inlineStr">
        <is>
          <t>EZGİ EBRU ÖZÇELİK</t>
        </is>
      </c>
      <c r="E1340" s="4" t="inlineStr">
        <is>
          <t>Perşembe</t>
        </is>
      </c>
      <c r="F1340" s="4" t="inlineStr">
        <is>
          <t>15.10.2026</t>
        </is>
      </c>
      <c r="G1340" s="4" t="inlineStr">
        <is>
          <t>07:45</t>
        </is>
      </c>
      <c r="H1340" s="4" t="inlineStr">
        <is>
          <t>15.10.2026</t>
        </is>
      </c>
      <c r="I1340" s="4" t="inlineStr">
        <is>
          <t>17:15</t>
        </is>
      </c>
      <c r="J1340" s="8" t="n">
        <v>7.5</v>
      </c>
      <c r="K1340" s="8" t="n">
        <v>7.5</v>
      </c>
      <c r="L1340" s="8" t="n">
        <v>0</v>
      </c>
      <c r="M1340" s="29" t="inlineStr">
        <is>
          <t>ALİ KARAGÖZ</t>
        </is>
      </c>
    </row>
    <row r="1341">
      <c r="A1341" s="4" t="n">
        <v>1340</v>
      </c>
      <c r="B1341" s="4" t="inlineStr">
        <is>
          <t>00641</t>
        </is>
      </c>
      <c r="C1341" s="4" t="inlineStr">
        <is>
          <t>00641</t>
        </is>
      </c>
      <c r="D1341" s="29" t="inlineStr">
        <is>
          <t>EZGİ EBRU ÖZÇELİK</t>
        </is>
      </c>
      <c r="E1341" s="4" t="inlineStr">
        <is>
          <t>Cuma</t>
        </is>
      </c>
      <c r="F1341" s="4" t="inlineStr">
        <is>
          <t>16.10.2026</t>
        </is>
      </c>
      <c r="G1341" s="4" t="inlineStr">
        <is>
          <t>07:59</t>
        </is>
      </c>
      <c r="H1341" s="4" t="inlineStr">
        <is>
          <t>16.10.2026</t>
        </is>
      </c>
      <c r="I1341" s="4" t="inlineStr">
        <is>
          <t>17:10</t>
        </is>
      </c>
      <c r="J1341" s="8" t="n">
        <v>7.5</v>
      </c>
      <c r="K1341" s="8" t="n">
        <v>7.5</v>
      </c>
      <c r="L1341" s="8" t="n">
        <v>0</v>
      </c>
      <c r="M1341" s="29" t="inlineStr">
        <is>
          <t>ALİ KARAGÖZ</t>
        </is>
      </c>
    </row>
    <row r="1342">
      <c r="A1342" s="4" t="n">
        <v>1341</v>
      </c>
      <c r="B1342" s="4" t="inlineStr">
        <is>
          <t>00641</t>
        </is>
      </c>
      <c r="C1342" s="4" t="inlineStr">
        <is>
          <t>00641</t>
        </is>
      </c>
      <c r="D1342" s="29" t="inlineStr">
        <is>
          <t>EZGİ EBRU ÖZÇELİK</t>
        </is>
      </c>
      <c r="E1342" s="4" t="inlineStr">
        <is>
          <t>Cumartesi</t>
        </is>
      </c>
      <c r="F1342" s="4" t="inlineStr">
        <is>
          <t>17.10.2026</t>
        </is>
      </c>
      <c r="G1342" s="4" t="inlineStr">
        <is>
          <t>08:02</t>
        </is>
      </c>
      <c r="H1342" s="4" t="inlineStr">
        <is>
          <t>17.10.2026</t>
        </is>
      </c>
      <c r="I1342" s="4" t="inlineStr">
        <is>
          <t>17:53</t>
        </is>
      </c>
      <c r="J1342" s="8" t="n">
        <v>8.5</v>
      </c>
      <c r="K1342" s="8" t="n">
        <v>7.5</v>
      </c>
      <c r="L1342" s="8" t="n">
        <v>1</v>
      </c>
      <c r="M1342" s="29" t="inlineStr">
        <is>
          <t>ALİ KARAGÖZ</t>
        </is>
      </c>
    </row>
    <row r="1343">
      <c r="A1343" s="4" t="n">
        <v>1342</v>
      </c>
      <c r="B1343" s="4" t="inlineStr">
        <is>
          <t>00641</t>
        </is>
      </c>
      <c r="C1343" s="4" t="inlineStr">
        <is>
          <t>00641</t>
        </is>
      </c>
      <c r="D1343" s="29" t="inlineStr">
        <is>
          <t>EZGİ EBRU ÖZÇELİK</t>
        </is>
      </c>
      <c r="E1343" s="4" t="inlineStr">
        <is>
          <t>Pazar</t>
        </is>
      </c>
      <c r="F1343" s="4" t="inlineStr">
        <is>
          <t>18.10.2026</t>
        </is>
      </c>
      <c r="G1343" s="4" t="inlineStr">
        <is>
          <t>08:05</t>
        </is>
      </c>
      <c r="H1343" s="4" t="inlineStr">
        <is>
          <t>18.10.2026</t>
        </is>
      </c>
      <c r="I1343" s="4" t="inlineStr">
        <is>
          <t>17:04</t>
        </is>
      </c>
      <c r="J1343" s="8" t="n">
        <v>7.5</v>
      </c>
      <c r="K1343" s="8" t="n">
        <v>7.5</v>
      </c>
      <c r="L1343" s="8" t="n">
        <v>0</v>
      </c>
      <c r="M1343" s="29" t="inlineStr">
        <is>
          <t>ALİ KARAGÖZ</t>
        </is>
      </c>
    </row>
    <row r="1344">
      <c r="A1344" s="4" t="n">
        <v>1343</v>
      </c>
      <c r="B1344" s="4" t="inlineStr">
        <is>
          <t>00641</t>
        </is>
      </c>
      <c r="C1344" s="4" t="inlineStr">
        <is>
          <t>00641</t>
        </is>
      </c>
      <c r="D1344" s="29" t="inlineStr">
        <is>
          <t>EZGİ EBRU ÖZÇELİK</t>
        </is>
      </c>
      <c r="E1344" s="4" t="inlineStr">
        <is>
          <t>Pazartesi</t>
        </is>
      </c>
      <c r="F1344" s="4" t="inlineStr">
        <is>
          <t>19.10.2026</t>
        </is>
      </c>
      <c r="G1344" s="4" t="inlineStr">
        <is>
          <t>07:49</t>
        </is>
      </c>
      <c r="H1344" s="4" t="inlineStr">
        <is>
          <t>19.10.2026</t>
        </is>
      </c>
      <c r="I1344" s="4" t="inlineStr">
        <is>
          <t>17:03</t>
        </is>
      </c>
      <c r="J1344" s="8" t="n">
        <v>7.5</v>
      </c>
      <c r="K1344" s="8" t="n">
        <v>7.5</v>
      </c>
      <c r="L1344" s="8" t="n">
        <v>0</v>
      </c>
      <c r="M1344" s="29" t="inlineStr">
        <is>
          <t>ALİ KARAGÖZ</t>
        </is>
      </c>
    </row>
    <row r="1345">
      <c r="A1345" s="4" t="n">
        <v>1344</v>
      </c>
      <c r="B1345" s="4" t="inlineStr">
        <is>
          <t>00641</t>
        </is>
      </c>
      <c r="C1345" s="4" t="inlineStr">
        <is>
          <t>00641</t>
        </is>
      </c>
      <c r="D1345" s="29" t="inlineStr">
        <is>
          <t>EZGİ EBRU ÖZÇELİK</t>
        </is>
      </c>
      <c r="E1345" s="4" t="inlineStr">
        <is>
          <t>Salı</t>
        </is>
      </c>
      <c r="F1345" s="4" t="inlineStr">
        <is>
          <t>20.10.2026</t>
        </is>
      </c>
      <c r="G1345" s="4" t="inlineStr">
        <is>
          <t>07:50</t>
        </is>
      </c>
      <c r="H1345" s="4" t="inlineStr">
        <is>
          <t>20.10.2026</t>
        </is>
      </c>
      <c r="I1345" s="4" t="inlineStr">
        <is>
          <t>17:08</t>
        </is>
      </c>
      <c r="J1345" s="8" t="n">
        <v>7.5</v>
      </c>
      <c r="K1345" s="8" t="n">
        <v>7.5</v>
      </c>
      <c r="L1345" s="8" t="n">
        <v>0</v>
      </c>
      <c r="M1345" s="29" t="inlineStr">
        <is>
          <t>ALİ KARAGÖZ</t>
        </is>
      </c>
    </row>
    <row r="1346">
      <c r="A1346" s="4" t="n">
        <v>1345</v>
      </c>
      <c r="B1346" s="4" t="inlineStr">
        <is>
          <t>00641</t>
        </is>
      </c>
      <c r="C1346" s="4" t="inlineStr">
        <is>
          <t>00641</t>
        </is>
      </c>
      <c r="D1346" s="29" t="inlineStr">
        <is>
          <t>EZGİ EBRU ÖZÇELİK</t>
        </is>
      </c>
      <c r="E1346" s="4" t="inlineStr">
        <is>
          <t>Çarşamba</t>
        </is>
      </c>
      <c r="F1346" s="4" t="inlineStr">
        <is>
          <t>21.10.2026</t>
        </is>
      </c>
      <c r="G1346" s="4" t="inlineStr">
        <is>
          <t>07:51</t>
        </is>
      </c>
      <c r="H1346" s="4" t="inlineStr">
        <is>
          <t>21.10.2026</t>
        </is>
      </c>
      <c r="I1346" s="4" t="inlineStr">
        <is>
          <t>17:05</t>
        </is>
      </c>
      <c r="J1346" s="8" t="n">
        <v>7.5</v>
      </c>
      <c r="K1346" s="8" t="n">
        <v>7.5</v>
      </c>
      <c r="L1346" s="8" t="n">
        <v>0</v>
      </c>
      <c r="M1346" s="29" t="inlineStr">
        <is>
          <t>ALİ KARAGÖZ</t>
        </is>
      </c>
    </row>
    <row r="1347">
      <c r="A1347" s="4" t="n">
        <v>1346</v>
      </c>
      <c r="B1347" s="4" t="inlineStr">
        <is>
          <t>00056</t>
        </is>
      </c>
      <c r="C1347" s="4" t="inlineStr">
        <is>
          <t>00056</t>
        </is>
      </c>
      <c r="D1347" s="29" t="inlineStr">
        <is>
          <t>FATMA ÇAM</t>
        </is>
      </c>
      <c r="E1347" s="4" t="inlineStr">
        <is>
          <t>Perşembe</t>
        </is>
      </c>
      <c r="F1347" s="4" t="inlineStr">
        <is>
          <t>1.10.2026</t>
        </is>
      </c>
      <c r="G1347" s="4" t="inlineStr">
        <is>
          <t>15:49</t>
        </is>
      </c>
      <c r="H1347" s="4" t="inlineStr">
        <is>
          <t>1.10.2026</t>
        </is>
      </c>
      <c r="I1347" s="4" t="inlineStr">
        <is>
          <t>00:04</t>
        </is>
      </c>
      <c r="J1347" s="8" t="n">
        <v>7.5</v>
      </c>
      <c r="K1347" s="8" t="n">
        <v>7.5</v>
      </c>
      <c r="L1347" s="8" t="n">
        <v>0</v>
      </c>
      <c r="M1347" s="29" t="inlineStr">
        <is>
          <t>BİGADİÇ</t>
        </is>
      </c>
    </row>
    <row r="1348">
      <c r="A1348" s="4" t="n">
        <v>1347</v>
      </c>
      <c r="B1348" s="4" t="inlineStr">
        <is>
          <t>00056</t>
        </is>
      </c>
      <c r="C1348" s="4" t="inlineStr">
        <is>
          <t>00056</t>
        </is>
      </c>
      <c r="D1348" s="29" t="inlineStr">
        <is>
          <t>FATMA ÇAM</t>
        </is>
      </c>
      <c r="E1348" s="4" t="inlineStr">
        <is>
          <t>Cuma</t>
        </is>
      </c>
      <c r="F1348" s="4" t="inlineStr">
        <is>
          <t>2.10.2026</t>
        </is>
      </c>
      <c r="G1348" s="4" t="inlineStr">
        <is>
          <t>15:45</t>
        </is>
      </c>
      <c r="H1348" s="4" t="inlineStr">
        <is>
          <t>2.10.2026</t>
        </is>
      </c>
      <c r="I1348" s="4" t="inlineStr">
        <is>
          <t>00:02</t>
        </is>
      </c>
      <c r="J1348" s="8" t="n">
        <v>7.5</v>
      </c>
      <c r="K1348" s="8" t="n">
        <v>7.5</v>
      </c>
      <c r="L1348" s="8" t="n">
        <v>0</v>
      </c>
      <c r="M1348" s="29" t="inlineStr">
        <is>
          <t>BİGADİÇ</t>
        </is>
      </c>
    </row>
    <row r="1349">
      <c r="A1349" s="4" t="n">
        <v>1348</v>
      </c>
      <c r="B1349" s="4" t="inlineStr">
        <is>
          <t>00056</t>
        </is>
      </c>
      <c r="C1349" s="4" t="inlineStr">
        <is>
          <t>00056</t>
        </is>
      </c>
      <c r="D1349" s="29" t="inlineStr">
        <is>
          <t>FATMA ÇAM</t>
        </is>
      </c>
      <c r="E1349" s="4" t="inlineStr">
        <is>
          <t>Cumartesi</t>
        </is>
      </c>
      <c r="F1349" s="4" t="inlineStr">
        <is>
          <t>3.10.2026</t>
        </is>
      </c>
      <c r="G1349" s="4" t="inlineStr">
        <is>
          <t>16:06</t>
        </is>
      </c>
      <c r="H1349" s="4" t="inlineStr">
        <is>
          <t>3.10.2026</t>
        </is>
      </c>
      <c r="I1349" s="4" t="inlineStr">
        <is>
          <t>00:02</t>
        </is>
      </c>
      <c r="J1349" s="8" t="n">
        <v>7.5</v>
      </c>
      <c r="K1349" s="8" t="n">
        <v>7.5</v>
      </c>
      <c r="L1349" s="8" t="n">
        <v>0</v>
      </c>
      <c r="M1349" s="29" t="inlineStr">
        <is>
          <t>BİGADİÇ</t>
        </is>
      </c>
    </row>
    <row r="1350">
      <c r="A1350" s="4" t="n">
        <v>1349</v>
      </c>
      <c r="B1350" s="4" t="inlineStr">
        <is>
          <t>00056</t>
        </is>
      </c>
      <c r="C1350" s="4" t="inlineStr">
        <is>
          <t>00056</t>
        </is>
      </c>
      <c r="D1350" s="29" t="inlineStr">
        <is>
          <t>FATMA ÇAM</t>
        </is>
      </c>
      <c r="E1350" s="4" t="inlineStr">
        <is>
          <t>Pazartesi</t>
        </is>
      </c>
      <c r="F1350" s="4" t="inlineStr">
        <is>
          <t>5.10.2026</t>
        </is>
      </c>
      <c r="G1350" s="4" t="inlineStr">
        <is>
          <t>16:04</t>
        </is>
      </c>
      <c r="H1350" s="4" t="inlineStr">
        <is>
          <t>5.10.2026</t>
        </is>
      </c>
      <c r="I1350" s="4" t="inlineStr">
        <is>
          <t>00:04</t>
        </is>
      </c>
      <c r="J1350" s="8" t="n">
        <v>7.5</v>
      </c>
      <c r="K1350" s="8" t="n">
        <v>7.5</v>
      </c>
      <c r="L1350" s="8" t="n">
        <v>0</v>
      </c>
      <c r="M1350" s="29" t="inlineStr">
        <is>
          <t>BİGADİÇ</t>
        </is>
      </c>
    </row>
    <row r="1351">
      <c r="A1351" s="4" t="n">
        <v>1350</v>
      </c>
      <c r="B1351" s="4" t="inlineStr">
        <is>
          <t>00056</t>
        </is>
      </c>
      <c r="C1351" s="4" t="inlineStr">
        <is>
          <t>00056</t>
        </is>
      </c>
      <c r="D1351" s="29" t="inlineStr">
        <is>
          <t>FATMA ÇAM</t>
        </is>
      </c>
      <c r="E1351" s="4" t="inlineStr">
        <is>
          <t>Salı</t>
        </is>
      </c>
      <c r="F1351" s="4" t="inlineStr">
        <is>
          <t>6.10.2026</t>
        </is>
      </c>
      <c r="G1351" s="4" t="inlineStr">
        <is>
          <t>15:45</t>
        </is>
      </c>
      <c r="H1351" s="4" t="inlineStr">
        <is>
          <t>6.10.2026</t>
        </is>
      </c>
      <c r="I1351" s="4" t="inlineStr">
        <is>
          <t>00:05</t>
        </is>
      </c>
      <c r="J1351" s="8" t="n">
        <v>7.5</v>
      </c>
      <c r="K1351" s="8" t="n">
        <v>7.5</v>
      </c>
      <c r="L1351" s="8" t="n">
        <v>0</v>
      </c>
      <c r="M1351" s="29" t="inlineStr">
        <is>
          <t>BİGADİÇ</t>
        </is>
      </c>
    </row>
    <row r="1352">
      <c r="A1352" s="4" t="n">
        <v>1351</v>
      </c>
      <c r="B1352" s="4" t="inlineStr">
        <is>
          <t>00056</t>
        </is>
      </c>
      <c r="C1352" s="4" t="inlineStr">
        <is>
          <t>00056</t>
        </is>
      </c>
      <c r="D1352" s="29" t="inlineStr">
        <is>
          <t>FATMA ÇAM</t>
        </is>
      </c>
      <c r="E1352" s="4" t="inlineStr">
        <is>
          <t>Çarşamba</t>
        </is>
      </c>
      <c r="F1352" s="4" t="inlineStr">
        <is>
          <t>7.10.2026</t>
        </is>
      </c>
      <c r="G1352" s="4" t="inlineStr">
        <is>
          <t>15:54</t>
        </is>
      </c>
      <c r="H1352" s="4" t="inlineStr">
        <is>
          <t>7.10.2026</t>
        </is>
      </c>
      <c r="I1352" s="4" t="inlineStr">
        <is>
          <t>00:03</t>
        </is>
      </c>
      <c r="J1352" s="8" t="n">
        <v>7.5</v>
      </c>
      <c r="K1352" s="8" t="n">
        <v>7.5</v>
      </c>
      <c r="L1352" s="8" t="n">
        <v>0</v>
      </c>
      <c r="M1352" s="29" t="inlineStr">
        <is>
          <t>BİGADİÇ</t>
        </is>
      </c>
    </row>
    <row r="1353">
      <c r="A1353" s="4" t="n">
        <v>1352</v>
      </c>
      <c r="B1353" s="4" t="inlineStr">
        <is>
          <t>00056</t>
        </is>
      </c>
      <c r="C1353" s="4" t="inlineStr">
        <is>
          <t>00056</t>
        </is>
      </c>
      <c r="D1353" s="29" t="inlineStr">
        <is>
          <t>FATMA ÇAM</t>
        </is>
      </c>
      <c r="E1353" s="4" t="inlineStr">
        <is>
          <t>Perşembe</t>
        </is>
      </c>
      <c r="F1353" s="4" t="inlineStr">
        <is>
          <t>8.10.2026</t>
        </is>
      </c>
      <c r="G1353" s="4" t="inlineStr">
        <is>
          <t>15:52</t>
        </is>
      </c>
      <c r="H1353" s="4" t="inlineStr">
        <is>
          <t>8.10.2026</t>
        </is>
      </c>
      <c r="I1353" s="4" t="inlineStr">
        <is>
          <t>00:04</t>
        </is>
      </c>
      <c r="J1353" s="8" t="n">
        <v>7.5</v>
      </c>
      <c r="K1353" s="8" t="n">
        <v>7.5</v>
      </c>
      <c r="L1353" s="8" t="n">
        <v>0</v>
      </c>
      <c r="M1353" s="29" t="inlineStr">
        <is>
          <t>BİGADİÇ</t>
        </is>
      </c>
    </row>
    <row r="1354">
      <c r="A1354" s="4" t="n">
        <v>1353</v>
      </c>
      <c r="B1354" s="4" t="inlineStr">
        <is>
          <t>00056</t>
        </is>
      </c>
      <c r="C1354" s="4" t="inlineStr">
        <is>
          <t>00056</t>
        </is>
      </c>
      <c r="D1354" s="29" t="inlineStr">
        <is>
          <t>FATMA ÇAM</t>
        </is>
      </c>
      <c r="E1354" s="4" t="inlineStr">
        <is>
          <t>Cuma</t>
        </is>
      </c>
      <c r="F1354" s="4" t="inlineStr">
        <is>
          <t>9.10.2026</t>
        </is>
      </c>
      <c r="G1354" s="4" t="inlineStr">
        <is>
          <t>15:52</t>
        </is>
      </c>
      <c r="H1354" s="4" t="inlineStr">
        <is>
          <t>9.10.2026</t>
        </is>
      </c>
      <c r="I1354" s="4" t="inlineStr">
        <is>
          <t>00:03</t>
        </is>
      </c>
      <c r="J1354" s="8" t="n">
        <v>7.5</v>
      </c>
      <c r="K1354" s="8" t="n">
        <v>7.5</v>
      </c>
      <c r="L1354" s="8" t="n">
        <v>0</v>
      </c>
      <c r="M1354" s="29" t="inlineStr">
        <is>
          <t>BİGADİÇ</t>
        </is>
      </c>
    </row>
    <row r="1355">
      <c r="A1355" s="4" t="n">
        <v>1354</v>
      </c>
      <c r="B1355" s="4" t="inlineStr">
        <is>
          <t>00056</t>
        </is>
      </c>
      <c r="C1355" s="4" t="inlineStr">
        <is>
          <t>00056</t>
        </is>
      </c>
      <c r="D1355" s="29" t="inlineStr">
        <is>
          <t>FATMA ÇAM</t>
        </is>
      </c>
      <c r="E1355" s="4" t="inlineStr">
        <is>
          <t>Cumartesi</t>
        </is>
      </c>
      <c r="F1355" s="4" t="inlineStr">
        <is>
          <t>10.10.2026</t>
        </is>
      </c>
      <c r="G1355" s="4" t="inlineStr">
        <is>
          <t>15:53</t>
        </is>
      </c>
      <c r="H1355" s="4" t="inlineStr">
        <is>
          <t>10.10.2026</t>
        </is>
      </c>
      <c r="I1355" s="4" t="inlineStr">
        <is>
          <t>00:05</t>
        </is>
      </c>
      <c r="J1355" s="8" t="n">
        <v>7.5</v>
      </c>
      <c r="K1355" s="8" t="n">
        <v>7.5</v>
      </c>
      <c r="L1355" s="8" t="n">
        <v>0</v>
      </c>
      <c r="M1355" s="29" t="inlineStr">
        <is>
          <t>BİGADİÇ</t>
        </is>
      </c>
    </row>
    <row r="1356">
      <c r="A1356" s="4" t="n">
        <v>1355</v>
      </c>
      <c r="B1356" s="4" t="inlineStr">
        <is>
          <t>00056</t>
        </is>
      </c>
      <c r="C1356" s="4" t="inlineStr">
        <is>
          <t>00056</t>
        </is>
      </c>
      <c r="D1356" s="29" t="inlineStr">
        <is>
          <t>FATMA ÇAM</t>
        </is>
      </c>
      <c r="E1356" s="4" t="inlineStr">
        <is>
          <t>Pazartesi</t>
        </is>
      </c>
      <c r="F1356" s="4" t="inlineStr">
        <is>
          <t>12.10.2026</t>
        </is>
      </c>
      <c r="G1356" s="4" t="inlineStr">
        <is>
          <t>15:45</t>
        </is>
      </c>
      <c r="H1356" s="4" t="inlineStr">
        <is>
          <t>12.10.2026</t>
        </is>
      </c>
      <c r="I1356" s="4" t="inlineStr">
        <is>
          <t>00:01</t>
        </is>
      </c>
      <c r="J1356" s="8" t="n">
        <v>7.5</v>
      </c>
      <c r="K1356" s="8" t="n">
        <v>7.5</v>
      </c>
      <c r="L1356" s="8" t="n">
        <v>0</v>
      </c>
      <c r="M1356" s="29" t="inlineStr">
        <is>
          <t>BİGADİÇ</t>
        </is>
      </c>
    </row>
    <row r="1357">
      <c r="A1357" s="4" t="n">
        <v>1356</v>
      </c>
      <c r="B1357" s="4" t="inlineStr">
        <is>
          <t>00056</t>
        </is>
      </c>
      <c r="C1357" s="4" t="inlineStr">
        <is>
          <t>00056</t>
        </is>
      </c>
      <c r="D1357" s="29" t="inlineStr">
        <is>
          <t>FATMA ÇAM</t>
        </is>
      </c>
      <c r="E1357" s="4" t="inlineStr">
        <is>
          <t>Salı</t>
        </is>
      </c>
      <c r="F1357" s="4" t="inlineStr">
        <is>
          <t>13.10.2026</t>
        </is>
      </c>
      <c r="G1357" s="4" t="inlineStr">
        <is>
          <t>15:54</t>
        </is>
      </c>
      <c r="H1357" s="4" t="inlineStr">
        <is>
          <t>13.10.2026</t>
        </is>
      </c>
      <c r="I1357" s="4" t="inlineStr">
        <is>
          <t>00:05</t>
        </is>
      </c>
      <c r="J1357" s="8" t="n">
        <v>7.5</v>
      </c>
      <c r="K1357" s="8" t="n">
        <v>7.5</v>
      </c>
      <c r="L1357" s="8" t="n">
        <v>0</v>
      </c>
      <c r="M1357" s="29" t="inlineStr">
        <is>
          <t>BİGADİÇ</t>
        </is>
      </c>
    </row>
    <row r="1358">
      <c r="A1358" s="4" t="n">
        <v>1357</v>
      </c>
      <c r="B1358" s="4" t="inlineStr">
        <is>
          <t>00056</t>
        </is>
      </c>
      <c r="C1358" s="4" t="inlineStr">
        <is>
          <t>00056</t>
        </is>
      </c>
      <c r="D1358" s="29" t="inlineStr">
        <is>
          <t>FATMA ÇAM</t>
        </is>
      </c>
      <c r="E1358" s="4" t="inlineStr">
        <is>
          <t>Çarşamba</t>
        </is>
      </c>
      <c r="F1358" s="4" t="inlineStr">
        <is>
          <t>14.10.2026</t>
        </is>
      </c>
      <c r="G1358" s="4" t="inlineStr">
        <is>
          <t>15:55</t>
        </is>
      </c>
      <c r="H1358" s="4" t="inlineStr">
        <is>
          <t>14.10.2026</t>
        </is>
      </c>
      <c r="I1358" s="4" t="inlineStr">
        <is>
          <t>00:31</t>
        </is>
      </c>
      <c r="J1358" s="8" t="n">
        <v>8</v>
      </c>
      <c r="K1358" s="8" t="n">
        <v>7.5</v>
      </c>
      <c r="L1358" s="8" t="n">
        <v>0.5</v>
      </c>
      <c r="M1358" s="29" t="inlineStr">
        <is>
          <t>BİGADİÇ</t>
        </is>
      </c>
    </row>
    <row r="1359">
      <c r="A1359" s="4" t="n">
        <v>1358</v>
      </c>
      <c r="B1359" s="4" t="inlineStr">
        <is>
          <t>00056</t>
        </is>
      </c>
      <c r="C1359" s="4" t="inlineStr">
        <is>
          <t>00056</t>
        </is>
      </c>
      <c r="D1359" s="29" t="inlineStr">
        <is>
          <t>FATMA ÇAM</t>
        </is>
      </c>
      <c r="E1359" s="4" t="inlineStr">
        <is>
          <t>Perşembe</t>
        </is>
      </c>
      <c r="F1359" s="4" t="inlineStr">
        <is>
          <t>15.10.2026</t>
        </is>
      </c>
      <c r="G1359" s="4" t="inlineStr">
        <is>
          <t>15:58</t>
        </is>
      </c>
      <c r="H1359" s="4" t="inlineStr">
        <is>
          <t>15.10.2026</t>
        </is>
      </c>
      <c r="I1359" s="4" t="inlineStr">
        <is>
          <t>00:05</t>
        </is>
      </c>
      <c r="J1359" s="8" t="n">
        <v>7.5</v>
      </c>
      <c r="K1359" s="8" t="n">
        <v>7.5</v>
      </c>
      <c r="L1359" s="8" t="n">
        <v>0</v>
      </c>
      <c r="M1359" s="29" t="inlineStr">
        <is>
          <t>BİGADİÇ</t>
        </is>
      </c>
    </row>
    <row r="1360">
      <c r="A1360" s="4" t="n">
        <v>1359</v>
      </c>
      <c r="B1360" s="4" t="inlineStr">
        <is>
          <t>00056</t>
        </is>
      </c>
      <c r="C1360" s="4" t="inlineStr">
        <is>
          <t>00056</t>
        </is>
      </c>
      <c r="D1360" s="29" t="inlineStr">
        <is>
          <t>FATMA ÇAM</t>
        </is>
      </c>
      <c r="E1360" s="4" t="inlineStr">
        <is>
          <t>Cuma</t>
        </is>
      </c>
      <c r="F1360" s="4" t="inlineStr">
        <is>
          <t>16.10.2026</t>
        </is>
      </c>
      <c r="G1360" s="4" t="inlineStr">
        <is>
          <t>15:57</t>
        </is>
      </c>
      <c r="H1360" s="4" t="inlineStr">
        <is>
          <t>16.10.2026</t>
        </is>
      </c>
      <c r="I1360" s="4" t="inlineStr">
        <is>
          <t>23:59</t>
        </is>
      </c>
      <c r="J1360" s="8" t="n">
        <v>7.5</v>
      </c>
      <c r="K1360" s="8" t="n">
        <v>7.5</v>
      </c>
      <c r="L1360" s="8" t="n">
        <v>0</v>
      </c>
      <c r="M1360" s="29" t="inlineStr">
        <is>
          <t>BİGADİÇ</t>
        </is>
      </c>
    </row>
    <row r="1361">
      <c r="A1361" s="4" t="n">
        <v>1360</v>
      </c>
      <c r="B1361" s="4" t="inlineStr">
        <is>
          <t>00056</t>
        </is>
      </c>
      <c r="C1361" s="4" t="inlineStr">
        <is>
          <t>00056</t>
        </is>
      </c>
      <c r="D1361" s="29" t="inlineStr">
        <is>
          <t>FATMA ÇAM</t>
        </is>
      </c>
      <c r="E1361" s="4" t="inlineStr">
        <is>
          <t>Cumartesi</t>
        </is>
      </c>
      <c r="F1361" s="4" t="inlineStr">
        <is>
          <t>17.10.2026</t>
        </is>
      </c>
      <c r="G1361" s="4" t="inlineStr">
        <is>
          <t>15:53</t>
        </is>
      </c>
      <c r="H1361" s="4" t="inlineStr">
        <is>
          <t>17.10.2026</t>
        </is>
      </c>
      <c r="I1361" s="4" t="inlineStr">
        <is>
          <t>00:00</t>
        </is>
      </c>
      <c r="J1361" s="8" t="n">
        <v>7.5</v>
      </c>
      <c r="K1361" s="8" t="n">
        <v>7.5</v>
      </c>
      <c r="L1361" s="8" t="n">
        <v>0</v>
      </c>
      <c r="M1361" s="29" t="inlineStr">
        <is>
          <t>BİGADİÇ</t>
        </is>
      </c>
    </row>
    <row r="1362">
      <c r="A1362" s="4" t="n">
        <v>1361</v>
      </c>
      <c r="B1362" s="4" t="inlineStr">
        <is>
          <t>00056</t>
        </is>
      </c>
      <c r="C1362" s="4" t="inlineStr">
        <is>
          <t>00056</t>
        </is>
      </c>
      <c r="D1362" s="29" t="inlineStr">
        <is>
          <t>FATMA ÇAM</t>
        </is>
      </c>
      <c r="E1362" s="4" t="inlineStr">
        <is>
          <t>Pazartesi</t>
        </is>
      </c>
      <c r="F1362" s="4" t="inlineStr">
        <is>
          <t>19.10.2026</t>
        </is>
      </c>
      <c r="G1362" s="4" t="inlineStr">
        <is>
          <t>15:53</t>
        </is>
      </c>
      <c r="H1362" s="4" t="inlineStr">
        <is>
          <t>19.10.2026</t>
        </is>
      </c>
      <c r="I1362" s="4" t="inlineStr">
        <is>
          <t>00:03</t>
        </is>
      </c>
      <c r="J1362" s="8" t="n">
        <v>7.5</v>
      </c>
      <c r="K1362" s="8" t="n">
        <v>7.5</v>
      </c>
      <c r="L1362" s="8" t="n">
        <v>0</v>
      </c>
      <c r="M1362" s="29" t="inlineStr">
        <is>
          <t>BİGADİÇ</t>
        </is>
      </c>
    </row>
    <row r="1363">
      <c r="A1363" s="4" t="n">
        <v>1362</v>
      </c>
      <c r="B1363" s="4" t="inlineStr">
        <is>
          <t>00056</t>
        </is>
      </c>
      <c r="C1363" s="4" t="inlineStr">
        <is>
          <t>00056</t>
        </is>
      </c>
      <c r="D1363" s="29" t="inlineStr">
        <is>
          <t>FATMA ÇAM</t>
        </is>
      </c>
      <c r="E1363" s="4" t="inlineStr">
        <is>
          <t>Salı</t>
        </is>
      </c>
      <c r="F1363" s="4" t="inlineStr">
        <is>
          <t>20.10.2026</t>
        </is>
      </c>
      <c r="G1363" s="4" t="inlineStr">
        <is>
          <t>16:04</t>
        </is>
      </c>
      <c r="H1363" s="4" t="inlineStr">
        <is>
          <t>20.10.2026</t>
        </is>
      </c>
      <c r="I1363" s="4" t="inlineStr">
        <is>
          <t>00:01</t>
        </is>
      </c>
      <c r="J1363" s="8" t="n">
        <v>7.5</v>
      </c>
      <c r="K1363" s="8" t="n">
        <v>7.5</v>
      </c>
      <c r="L1363" s="8" t="n">
        <v>0</v>
      </c>
      <c r="M1363" s="29" t="inlineStr">
        <is>
          <t>BİGADİÇ</t>
        </is>
      </c>
    </row>
    <row r="1364">
      <c r="A1364" s="4" t="n">
        <v>1363</v>
      </c>
      <c r="B1364" s="4" t="inlineStr">
        <is>
          <t>00056</t>
        </is>
      </c>
      <c r="C1364" s="4" t="inlineStr">
        <is>
          <t>00056</t>
        </is>
      </c>
      <c r="D1364" s="29" t="inlineStr">
        <is>
          <t>FATMA ÇAM</t>
        </is>
      </c>
      <c r="E1364" s="4" t="inlineStr">
        <is>
          <t>Çarşamba</t>
        </is>
      </c>
      <c r="F1364" s="4" t="inlineStr">
        <is>
          <t>21.10.2026</t>
        </is>
      </c>
      <c r="G1364" s="4" t="inlineStr">
        <is>
          <t>15:51</t>
        </is>
      </c>
      <c r="H1364" s="4" t="inlineStr">
        <is>
          <t>21.10.2026</t>
        </is>
      </c>
      <c r="I1364" s="4" t="inlineStr">
        <is>
          <t>-</t>
        </is>
      </c>
      <c r="J1364" s="8" t="n">
        <v>7.5</v>
      </c>
      <c r="K1364" s="8" t="n">
        <v>7.5</v>
      </c>
      <c r="L1364" s="8" t="n">
        <v>0</v>
      </c>
      <c r="M1364" s="29" t="inlineStr">
        <is>
          <t>BİGADİÇ</t>
        </is>
      </c>
    </row>
    <row r="1365">
      <c r="A1365" s="4" t="n">
        <v>1364</v>
      </c>
      <c r="B1365" s="4" t="inlineStr">
        <is>
          <t>00057</t>
        </is>
      </c>
      <c r="C1365" s="4" t="inlineStr">
        <is>
          <t>00057</t>
        </is>
      </c>
      <c r="D1365" s="29" t="inlineStr">
        <is>
          <t>FATMA ÖZÇAM</t>
        </is>
      </c>
      <c r="E1365" s="4" t="inlineStr">
        <is>
          <t>Pazartesi</t>
        </is>
      </c>
      <c r="F1365" s="4" t="inlineStr">
        <is>
          <t>5.10.2026</t>
        </is>
      </c>
      <c r="G1365" s="4" t="inlineStr">
        <is>
          <t>16:04</t>
        </is>
      </c>
      <c r="H1365" s="4" t="inlineStr">
        <is>
          <t>5.10.2026</t>
        </is>
      </c>
      <c r="I1365" s="4" t="inlineStr">
        <is>
          <t>00:04</t>
        </is>
      </c>
      <c r="J1365" s="8" t="n">
        <v>7.5</v>
      </c>
      <c r="K1365" s="8" t="n">
        <v>7.5</v>
      </c>
      <c r="L1365" s="8" t="n">
        <v>0</v>
      </c>
      <c r="M1365" s="29" t="inlineStr">
        <is>
          <t>BİGADİÇ</t>
        </is>
      </c>
    </row>
    <row r="1366">
      <c r="A1366" s="4" t="n">
        <v>1365</v>
      </c>
      <c r="B1366" s="4" t="inlineStr">
        <is>
          <t>00057</t>
        </is>
      </c>
      <c r="C1366" s="4" t="inlineStr">
        <is>
          <t>00057</t>
        </is>
      </c>
      <c r="D1366" s="29" t="inlineStr">
        <is>
          <t>FATMA ÖZÇAM</t>
        </is>
      </c>
      <c r="E1366" s="4" t="inlineStr">
        <is>
          <t>Salı</t>
        </is>
      </c>
      <c r="F1366" s="4" t="inlineStr">
        <is>
          <t>6.10.2026</t>
        </is>
      </c>
      <c r="G1366" s="4" t="inlineStr">
        <is>
          <t>15:45</t>
        </is>
      </c>
      <c r="H1366" s="4" t="inlineStr">
        <is>
          <t>6.10.2026</t>
        </is>
      </c>
      <c r="I1366" s="4" t="inlineStr">
        <is>
          <t>00:05</t>
        </is>
      </c>
      <c r="J1366" s="8" t="n">
        <v>7.5</v>
      </c>
      <c r="K1366" s="8" t="n">
        <v>7.5</v>
      </c>
      <c r="L1366" s="8" t="n">
        <v>0</v>
      </c>
      <c r="M1366" s="29" t="inlineStr">
        <is>
          <t>BİGADİÇ</t>
        </is>
      </c>
    </row>
    <row r="1367">
      <c r="A1367" s="4" t="n">
        <v>1366</v>
      </c>
      <c r="B1367" s="4" t="inlineStr">
        <is>
          <t>00057</t>
        </is>
      </c>
      <c r="C1367" s="4" t="inlineStr">
        <is>
          <t>00057</t>
        </is>
      </c>
      <c r="D1367" s="29" t="inlineStr">
        <is>
          <t>FATMA ÖZÇAM</t>
        </is>
      </c>
      <c r="E1367" s="4" t="inlineStr">
        <is>
          <t>Çarşamba</t>
        </is>
      </c>
      <c r="F1367" s="4" t="inlineStr">
        <is>
          <t>7.10.2026</t>
        </is>
      </c>
      <c r="G1367" s="4" t="inlineStr">
        <is>
          <t>15:54</t>
        </is>
      </c>
      <c r="H1367" s="4" t="inlineStr">
        <is>
          <t>7.10.2026</t>
        </is>
      </c>
      <c r="I1367" s="4" t="inlineStr">
        <is>
          <t>00:03</t>
        </is>
      </c>
      <c r="J1367" s="8" t="n">
        <v>7.5</v>
      </c>
      <c r="K1367" s="8" t="n">
        <v>7.5</v>
      </c>
      <c r="L1367" s="8" t="n">
        <v>0</v>
      </c>
      <c r="M1367" s="29" t="inlineStr">
        <is>
          <t>BİGADİÇ</t>
        </is>
      </c>
    </row>
    <row r="1368">
      <c r="A1368" s="4" t="n">
        <v>1367</v>
      </c>
      <c r="B1368" s="4" t="inlineStr">
        <is>
          <t>00057</t>
        </is>
      </c>
      <c r="C1368" s="4" t="inlineStr">
        <is>
          <t>00057</t>
        </is>
      </c>
      <c r="D1368" s="29" t="inlineStr">
        <is>
          <t>FATMA ÖZÇAM</t>
        </is>
      </c>
      <c r="E1368" s="4" t="inlineStr">
        <is>
          <t>Perşembe</t>
        </is>
      </c>
      <c r="F1368" s="4" t="inlineStr">
        <is>
          <t>8.10.2026</t>
        </is>
      </c>
      <c r="G1368" s="4" t="inlineStr">
        <is>
          <t>15:53</t>
        </is>
      </c>
      <c r="H1368" s="4" t="inlineStr">
        <is>
          <t>8.10.2026</t>
        </is>
      </c>
      <c r="I1368" s="4" t="inlineStr">
        <is>
          <t>00:04</t>
        </is>
      </c>
      <c r="J1368" s="8" t="n">
        <v>7.5</v>
      </c>
      <c r="K1368" s="8" t="n">
        <v>7.5</v>
      </c>
      <c r="L1368" s="8" t="n">
        <v>0</v>
      </c>
      <c r="M1368" s="29" t="inlineStr">
        <is>
          <t>BİGADİÇ</t>
        </is>
      </c>
    </row>
    <row r="1369">
      <c r="A1369" s="4" t="n">
        <v>1368</v>
      </c>
      <c r="B1369" s="4" t="inlineStr">
        <is>
          <t>00057</t>
        </is>
      </c>
      <c r="C1369" s="4" t="inlineStr">
        <is>
          <t>00057</t>
        </is>
      </c>
      <c r="D1369" s="29" t="inlineStr">
        <is>
          <t>FATMA ÖZÇAM</t>
        </is>
      </c>
      <c r="E1369" s="4" t="inlineStr">
        <is>
          <t>Cuma</t>
        </is>
      </c>
      <c r="F1369" s="4" t="inlineStr">
        <is>
          <t>9.10.2026</t>
        </is>
      </c>
      <c r="G1369" s="4" t="inlineStr">
        <is>
          <t>15:52</t>
        </is>
      </c>
      <c r="H1369" s="4" t="inlineStr">
        <is>
          <t>9.10.2026</t>
        </is>
      </c>
      <c r="I1369" s="4" t="inlineStr">
        <is>
          <t>00:03</t>
        </is>
      </c>
      <c r="J1369" s="8" t="n">
        <v>7.5</v>
      </c>
      <c r="K1369" s="8" t="n">
        <v>7.5</v>
      </c>
      <c r="L1369" s="8" t="n">
        <v>0</v>
      </c>
      <c r="M1369" s="29" t="inlineStr">
        <is>
          <t>BİGADİÇ</t>
        </is>
      </c>
    </row>
    <row r="1370">
      <c r="A1370" s="4" t="n">
        <v>1369</v>
      </c>
      <c r="B1370" s="4" t="inlineStr">
        <is>
          <t>00057</t>
        </is>
      </c>
      <c r="C1370" s="4" t="inlineStr">
        <is>
          <t>00057</t>
        </is>
      </c>
      <c r="D1370" s="29" t="inlineStr">
        <is>
          <t>FATMA ÖZÇAM</t>
        </is>
      </c>
      <c r="E1370" s="4" t="inlineStr">
        <is>
          <t>Cumartesi</t>
        </is>
      </c>
      <c r="F1370" s="4" t="inlineStr">
        <is>
          <t>10.10.2026</t>
        </is>
      </c>
      <c r="G1370" s="4" t="inlineStr">
        <is>
          <t>15:54</t>
        </is>
      </c>
      <c r="H1370" s="4" t="inlineStr">
        <is>
          <t>10.10.2026</t>
        </is>
      </c>
      <c r="I1370" s="4" t="inlineStr">
        <is>
          <t>00:05</t>
        </is>
      </c>
      <c r="J1370" s="8" t="n">
        <v>7.5</v>
      </c>
      <c r="K1370" s="8" t="n">
        <v>7.5</v>
      </c>
      <c r="L1370" s="8" t="n">
        <v>0</v>
      </c>
      <c r="M1370" s="29" t="inlineStr">
        <is>
          <t>BİGADİÇ</t>
        </is>
      </c>
    </row>
    <row r="1371">
      <c r="A1371" s="4" t="n">
        <v>1370</v>
      </c>
      <c r="B1371" s="4" t="inlineStr">
        <is>
          <t>00057</t>
        </is>
      </c>
      <c r="C1371" s="4" t="inlineStr">
        <is>
          <t>00057</t>
        </is>
      </c>
      <c r="D1371" s="29" t="inlineStr">
        <is>
          <t>FATMA ÖZÇAM</t>
        </is>
      </c>
      <c r="E1371" s="4" t="inlineStr">
        <is>
          <t>Pazartesi</t>
        </is>
      </c>
      <c r="F1371" s="4" t="inlineStr">
        <is>
          <t>12.10.2026</t>
        </is>
      </c>
      <c r="G1371" s="4" t="inlineStr">
        <is>
          <t>15:45</t>
        </is>
      </c>
      <c r="H1371" s="4" t="inlineStr">
        <is>
          <t>12.10.2026</t>
        </is>
      </c>
      <c r="I1371" s="4" t="inlineStr">
        <is>
          <t>00:01</t>
        </is>
      </c>
      <c r="J1371" s="8" t="n">
        <v>7.5</v>
      </c>
      <c r="K1371" s="8" t="n">
        <v>7.5</v>
      </c>
      <c r="L1371" s="8" t="n">
        <v>0</v>
      </c>
      <c r="M1371" s="29" t="inlineStr">
        <is>
          <t>BİGADİÇ</t>
        </is>
      </c>
    </row>
    <row r="1372">
      <c r="A1372" s="4" t="n">
        <v>1371</v>
      </c>
      <c r="B1372" s="4" t="inlineStr">
        <is>
          <t>00057</t>
        </is>
      </c>
      <c r="C1372" s="4" t="inlineStr">
        <is>
          <t>00057</t>
        </is>
      </c>
      <c r="D1372" s="29" t="inlineStr">
        <is>
          <t>FATMA ÖZÇAM</t>
        </is>
      </c>
      <c r="E1372" s="4" t="inlineStr">
        <is>
          <t>Salı</t>
        </is>
      </c>
      <c r="F1372" s="4" t="inlineStr">
        <is>
          <t>13.10.2026</t>
        </is>
      </c>
      <c r="G1372" s="4" t="inlineStr">
        <is>
          <t>15:54</t>
        </is>
      </c>
      <c r="H1372" s="4" t="inlineStr">
        <is>
          <t>13.10.2026</t>
        </is>
      </c>
      <c r="I1372" s="4" t="inlineStr">
        <is>
          <t>00:05</t>
        </is>
      </c>
      <c r="J1372" s="8" t="n">
        <v>7.5</v>
      </c>
      <c r="K1372" s="8" t="n">
        <v>7.5</v>
      </c>
      <c r="L1372" s="8" t="n">
        <v>0</v>
      </c>
      <c r="M1372" s="29" t="inlineStr">
        <is>
          <t>BİGADİÇ</t>
        </is>
      </c>
    </row>
    <row r="1373">
      <c r="A1373" s="4" t="n">
        <v>1372</v>
      </c>
      <c r="B1373" s="4" t="inlineStr">
        <is>
          <t>00057</t>
        </is>
      </c>
      <c r="C1373" s="4" t="inlineStr">
        <is>
          <t>00057</t>
        </is>
      </c>
      <c r="D1373" s="29" t="inlineStr">
        <is>
          <t>FATMA ÖZÇAM</t>
        </is>
      </c>
      <c r="E1373" s="4" t="inlineStr">
        <is>
          <t>Çarşamba</t>
        </is>
      </c>
      <c r="F1373" s="4" t="inlineStr">
        <is>
          <t>14.10.2026</t>
        </is>
      </c>
      <c r="G1373" s="4" t="inlineStr">
        <is>
          <t>15:55</t>
        </is>
      </c>
      <c r="H1373" s="4" t="inlineStr">
        <is>
          <t>14.10.2026</t>
        </is>
      </c>
      <c r="I1373" s="4" t="inlineStr">
        <is>
          <t>00:31</t>
        </is>
      </c>
      <c r="J1373" s="8" t="n">
        <v>8</v>
      </c>
      <c r="K1373" s="8" t="n">
        <v>7.5</v>
      </c>
      <c r="L1373" s="8" t="n">
        <v>0.5</v>
      </c>
      <c r="M1373" s="29" t="inlineStr">
        <is>
          <t>BİGADİÇ</t>
        </is>
      </c>
    </row>
    <row r="1374">
      <c r="A1374" s="4" t="n">
        <v>1373</v>
      </c>
      <c r="B1374" s="4" t="inlineStr">
        <is>
          <t>00057</t>
        </is>
      </c>
      <c r="C1374" s="4" t="inlineStr">
        <is>
          <t>00057</t>
        </is>
      </c>
      <c r="D1374" s="29" t="inlineStr">
        <is>
          <t>FATMA ÖZÇAM</t>
        </is>
      </c>
      <c r="E1374" s="4" t="inlineStr">
        <is>
          <t>Perşembe</t>
        </is>
      </c>
      <c r="F1374" s="4" t="inlineStr">
        <is>
          <t>15.10.2026</t>
        </is>
      </c>
      <c r="G1374" s="4" t="inlineStr">
        <is>
          <t>15:58</t>
        </is>
      </c>
      <c r="H1374" s="4" t="inlineStr">
        <is>
          <t>15.10.2026</t>
        </is>
      </c>
      <c r="I1374" s="4" t="inlineStr">
        <is>
          <t>00:05</t>
        </is>
      </c>
      <c r="J1374" s="8" t="n">
        <v>7.5</v>
      </c>
      <c r="K1374" s="8" t="n">
        <v>7.5</v>
      </c>
      <c r="L1374" s="8" t="n">
        <v>0</v>
      </c>
      <c r="M1374" s="29" t="inlineStr">
        <is>
          <t>BİGADİÇ</t>
        </is>
      </c>
    </row>
    <row r="1375">
      <c r="A1375" s="4" t="n">
        <v>1374</v>
      </c>
      <c r="B1375" s="4" t="inlineStr">
        <is>
          <t>00057</t>
        </is>
      </c>
      <c r="C1375" s="4" t="inlineStr">
        <is>
          <t>00057</t>
        </is>
      </c>
      <c r="D1375" s="29" t="inlineStr">
        <is>
          <t>FATMA ÖZÇAM</t>
        </is>
      </c>
      <c r="E1375" s="4" t="inlineStr">
        <is>
          <t>Cuma</t>
        </is>
      </c>
      <c r="F1375" s="4" t="inlineStr">
        <is>
          <t>16.10.2026</t>
        </is>
      </c>
      <c r="G1375" s="4" t="inlineStr">
        <is>
          <t>15:58</t>
        </is>
      </c>
      <c r="H1375" s="4" t="inlineStr">
        <is>
          <t>16.10.2026</t>
        </is>
      </c>
      <c r="I1375" s="4" t="inlineStr">
        <is>
          <t>23:59</t>
        </is>
      </c>
      <c r="J1375" s="8" t="n">
        <v>7.5</v>
      </c>
      <c r="K1375" s="8" t="n">
        <v>7.5</v>
      </c>
      <c r="L1375" s="8" t="n">
        <v>0</v>
      </c>
      <c r="M1375" s="29" t="inlineStr">
        <is>
          <t>BİGADİÇ</t>
        </is>
      </c>
    </row>
    <row r="1376">
      <c r="A1376" s="4" t="n">
        <v>1375</v>
      </c>
      <c r="B1376" s="4" t="inlineStr">
        <is>
          <t>00057</t>
        </is>
      </c>
      <c r="C1376" s="4" t="inlineStr">
        <is>
          <t>00057</t>
        </is>
      </c>
      <c r="D1376" s="29" t="inlineStr">
        <is>
          <t>FATMA ÖZÇAM</t>
        </is>
      </c>
      <c r="E1376" s="4" t="inlineStr">
        <is>
          <t>Cumartesi</t>
        </is>
      </c>
      <c r="F1376" s="4" t="inlineStr">
        <is>
          <t>17.10.2026</t>
        </is>
      </c>
      <c r="G1376" s="4" t="inlineStr">
        <is>
          <t>15:53</t>
        </is>
      </c>
      <c r="H1376" s="4" t="inlineStr">
        <is>
          <t>17.10.2026</t>
        </is>
      </c>
      <c r="I1376" s="4" t="inlineStr">
        <is>
          <t>00:00</t>
        </is>
      </c>
      <c r="J1376" s="8" t="n">
        <v>7.5</v>
      </c>
      <c r="K1376" s="8" t="n">
        <v>7.5</v>
      </c>
      <c r="L1376" s="8" t="n">
        <v>0</v>
      </c>
      <c r="M1376" s="29" t="inlineStr">
        <is>
          <t>BİGADİÇ</t>
        </is>
      </c>
    </row>
    <row r="1377">
      <c r="A1377" s="4" t="n">
        <v>1376</v>
      </c>
      <c r="B1377" s="4" t="inlineStr">
        <is>
          <t>00057</t>
        </is>
      </c>
      <c r="C1377" s="4" t="inlineStr">
        <is>
          <t>00057</t>
        </is>
      </c>
      <c r="D1377" s="29" t="inlineStr">
        <is>
          <t>FATMA ÖZÇAM</t>
        </is>
      </c>
      <c r="E1377" s="4" t="inlineStr">
        <is>
          <t>Pazartesi</t>
        </is>
      </c>
      <c r="F1377" s="4" t="inlineStr">
        <is>
          <t>19.10.2026</t>
        </is>
      </c>
      <c r="G1377" s="4" t="inlineStr">
        <is>
          <t>15:53</t>
        </is>
      </c>
      <c r="H1377" s="4" t="inlineStr">
        <is>
          <t>19.10.2026</t>
        </is>
      </c>
      <c r="I1377" s="4" t="inlineStr">
        <is>
          <t>00:03</t>
        </is>
      </c>
      <c r="J1377" s="8" t="n">
        <v>7.5</v>
      </c>
      <c r="K1377" s="8" t="n">
        <v>7.5</v>
      </c>
      <c r="L1377" s="8" t="n">
        <v>0</v>
      </c>
      <c r="M1377" s="29" t="inlineStr">
        <is>
          <t>BİGADİÇ</t>
        </is>
      </c>
    </row>
    <row r="1378">
      <c r="A1378" s="4" t="n">
        <v>1377</v>
      </c>
      <c r="B1378" s="4" t="inlineStr">
        <is>
          <t>00057</t>
        </is>
      </c>
      <c r="C1378" s="4" t="inlineStr">
        <is>
          <t>00057</t>
        </is>
      </c>
      <c r="D1378" s="29" t="inlineStr">
        <is>
          <t>FATMA ÖZÇAM</t>
        </is>
      </c>
      <c r="E1378" s="4" t="inlineStr">
        <is>
          <t>Salı</t>
        </is>
      </c>
      <c r="F1378" s="4" t="inlineStr">
        <is>
          <t>20.10.2026</t>
        </is>
      </c>
      <c r="G1378" s="4" t="inlineStr">
        <is>
          <t>16:04</t>
        </is>
      </c>
      <c r="H1378" s="4" t="inlineStr">
        <is>
          <t>20.10.2026</t>
        </is>
      </c>
      <c r="I1378" s="4" t="inlineStr">
        <is>
          <t>00:01</t>
        </is>
      </c>
      <c r="J1378" s="8" t="n">
        <v>7.5</v>
      </c>
      <c r="K1378" s="8" t="n">
        <v>7.5</v>
      </c>
      <c r="L1378" s="8" t="n">
        <v>0</v>
      </c>
      <c r="M1378" s="29" t="inlineStr">
        <is>
          <t>BİGADİÇ</t>
        </is>
      </c>
    </row>
    <row r="1379">
      <c r="A1379" s="4" t="n">
        <v>1378</v>
      </c>
      <c r="B1379" s="4" t="inlineStr">
        <is>
          <t>00057</t>
        </is>
      </c>
      <c r="C1379" s="4" t="inlineStr">
        <is>
          <t>00057</t>
        </is>
      </c>
      <c r="D1379" s="29" t="inlineStr">
        <is>
          <t>FATMA ÖZÇAM</t>
        </is>
      </c>
      <c r="E1379" s="4" t="inlineStr">
        <is>
          <t>Çarşamba</t>
        </is>
      </c>
      <c r="F1379" s="4" t="inlineStr">
        <is>
          <t>21.10.2026</t>
        </is>
      </c>
      <c r="G1379" s="4" t="inlineStr">
        <is>
          <t>15:51</t>
        </is>
      </c>
      <c r="H1379" s="4" t="inlineStr">
        <is>
          <t>21.10.2026</t>
        </is>
      </c>
      <c r="I1379" s="4" t="inlineStr">
        <is>
          <t>-</t>
        </is>
      </c>
      <c r="J1379" s="8" t="n">
        <v>7.5</v>
      </c>
      <c r="K1379" s="8" t="n">
        <v>7.5</v>
      </c>
      <c r="L1379" s="8" t="n">
        <v>0</v>
      </c>
      <c r="M1379" s="29" t="inlineStr">
        <is>
          <t>BİGADİÇ</t>
        </is>
      </c>
    </row>
    <row r="1380">
      <c r="A1380" s="4" t="n">
        <v>1379</v>
      </c>
      <c r="B1380" s="4" t="inlineStr">
        <is>
          <t>00926</t>
        </is>
      </c>
      <c r="C1380" s="4" t="inlineStr">
        <is>
          <t>00926</t>
        </is>
      </c>
      <c r="D1380" s="29" t="inlineStr">
        <is>
          <t>FATMA DEMİRER</t>
        </is>
      </c>
      <c r="E1380" s="4" t="inlineStr">
        <is>
          <t>Perşembe</t>
        </is>
      </c>
      <c r="F1380" s="4" t="inlineStr">
        <is>
          <t>1.10.2026</t>
        </is>
      </c>
      <c r="G1380" s="4" t="inlineStr">
        <is>
          <t>07:56</t>
        </is>
      </c>
      <c r="H1380" s="4" t="inlineStr">
        <is>
          <t>1.10.2026</t>
        </is>
      </c>
      <c r="I1380" s="4" t="inlineStr">
        <is>
          <t>-</t>
        </is>
      </c>
      <c r="J1380" s="8" t="n">
        <v>7.5</v>
      </c>
      <c r="K1380" s="8" t="n">
        <v>7.5</v>
      </c>
      <c r="L1380" s="8" t="n">
        <v>0</v>
      </c>
      <c r="M1380" s="29" t="inlineStr">
        <is>
          <t>GÜVEN MUSTAFAKEMALPAŞA</t>
        </is>
      </c>
    </row>
    <row r="1381">
      <c r="A1381" s="4" t="n">
        <v>1380</v>
      </c>
      <c r="B1381" s="4" t="inlineStr">
        <is>
          <t>00926</t>
        </is>
      </c>
      <c r="C1381" s="4" t="inlineStr">
        <is>
          <t>00926</t>
        </is>
      </c>
      <c r="D1381" s="29" t="inlineStr">
        <is>
          <t>FATMA DEMİRER</t>
        </is>
      </c>
      <c r="E1381" s="4" t="inlineStr">
        <is>
          <t>Pazartesi</t>
        </is>
      </c>
      <c r="F1381" s="4" t="inlineStr">
        <is>
          <t>5.10.2026</t>
        </is>
      </c>
      <c r="G1381" s="4" t="inlineStr">
        <is>
          <t>07:49</t>
        </is>
      </c>
      <c r="H1381" s="4" t="inlineStr">
        <is>
          <t>5.10.2026</t>
        </is>
      </c>
      <c r="I1381" s="4" t="inlineStr">
        <is>
          <t>17:04</t>
        </is>
      </c>
      <c r="J1381" s="8" t="n">
        <v>7.5</v>
      </c>
      <c r="K1381" s="8" t="n">
        <v>7.5</v>
      </c>
      <c r="L1381" s="8" t="n">
        <v>0</v>
      </c>
      <c r="M1381" s="29" t="inlineStr">
        <is>
          <t>GÜVEN MUSTAFAKEMALPAŞA</t>
        </is>
      </c>
    </row>
    <row r="1382">
      <c r="A1382" s="4" t="n">
        <v>1381</v>
      </c>
      <c r="B1382" s="4" t="inlineStr">
        <is>
          <t>00926</t>
        </is>
      </c>
      <c r="C1382" s="4" t="inlineStr">
        <is>
          <t>00926</t>
        </is>
      </c>
      <c r="D1382" s="29" t="inlineStr">
        <is>
          <t>FATMA DEMİRER</t>
        </is>
      </c>
      <c r="E1382" s="4" t="inlineStr">
        <is>
          <t>Salı</t>
        </is>
      </c>
      <c r="F1382" s="4" t="inlineStr">
        <is>
          <t>6.10.2026</t>
        </is>
      </c>
      <c r="G1382" s="4" t="inlineStr">
        <is>
          <t>07:59</t>
        </is>
      </c>
      <c r="H1382" s="4" t="inlineStr">
        <is>
          <t>6.10.2026</t>
        </is>
      </c>
      <c r="I1382" s="4" t="inlineStr">
        <is>
          <t>17:44</t>
        </is>
      </c>
      <c r="J1382" s="8" t="n">
        <v>8</v>
      </c>
      <c r="K1382" s="8" t="n">
        <v>7.5</v>
      </c>
      <c r="L1382" s="8" t="n">
        <v>0.5</v>
      </c>
      <c r="M1382" s="29" t="inlineStr">
        <is>
          <t>GÜVEN MUSTAFAKEMALPAŞA</t>
        </is>
      </c>
    </row>
    <row r="1383">
      <c r="A1383" s="4" t="n">
        <v>1382</v>
      </c>
      <c r="B1383" s="4" t="inlineStr">
        <is>
          <t>00926</t>
        </is>
      </c>
      <c r="C1383" s="4" t="inlineStr">
        <is>
          <t>00926</t>
        </is>
      </c>
      <c r="D1383" s="29" t="inlineStr">
        <is>
          <t>FATMA DEMİRER</t>
        </is>
      </c>
      <c r="E1383" s="4" t="inlineStr">
        <is>
          <t>Çarşamba</t>
        </is>
      </c>
      <c r="F1383" s="4" t="inlineStr">
        <is>
          <t>7.10.2026</t>
        </is>
      </c>
      <c r="G1383" s="4" t="inlineStr">
        <is>
          <t>07:53</t>
        </is>
      </c>
      <c r="H1383" s="4" t="inlineStr">
        <is>
          <t>7.10.2026</t>
        </is>
      </c>
      <c r="I1383" s="4" t="inlineStr">
        <is>
          <t>17:27</t>
        </is>
      </c>
      <c r="J1383" s="8" t="n">
        <v>8</v>
      </c>
      <c r="K1383" s="8" t="n">
        <v>7.5</v>
      </c>
      <c r="L1383" s="8" t="n">
        <v>0.5</v>
      </c>
      <c r="M1383" s="29" t="inlineStr">
        <is>
          <t>GÜVEN MUSTAFAKEMALPAŞA</t>
        </is>
      </c>
    </row>
    <row r="1384">
      <c r="A1384" s="4" t="n">
        <v>1383</v>
      </c>
      <c r="B1384" s="4" t="inlineStr">
        <is>
          <t>00926</t>
        </is>
      </c>
      <c r="C1384" s="4" t="inlineStr">
        <is>
          <t>00926</t>
        </is>
      </c>
      <c r="D1384" s="29" t="inlineStr">
        <is>
          <t>FATMA DEMİRER</t>
        </is>
      </c>
      <c r="E1384" s="4" t="inlineStr">
        <is>
          <t>Cuma</t>
        </is>
      </c>
      <c r="F1384" s="4" t="inlineStr">
        <is>
          <t>9.10.2026</t>
        </is>
      </c>
      <c r="G1384" s="4" t="inlineStr">
        <is>
          <t>07:50</t>
        </is>
      </c>
      <c r="H1384" s="4" t="inlineStr">
        <is>
          <t>9.10.2026</t>
        </is>
      </c>
      <c r="I1384" s="4" t="inlineStr">
        <is>
          <t>17:44</t>
        </is>
      </c>
      <c r="J1384" s="8" t="n">
        <v>8</v>
      </c>
      <c r="K1384" s="8" t="n">
        <v>7.5</v>
      </c>
      <c r="L1384" s="8" t="n">
        <v>0.5</v>
      </c>
      <c r="M1384" s="29" t="inlineStr">
        <is>
          <t>GÜVEN MUSTAFAKEMALPAŞA</t>
        </is>
      </c>
    </row>
    <row r="1385">
      <c r="A1385" s="4" t="n">
        <v>1384</v>
      </c>
      <c r="B1385" s="4" t="inlineStr">
        <is>
          <t>00926</t>
        </is>
      </c>
      <c r="C1385" s="4" t="inlineStr">
        <is>
          <t>00926</t>
        </is>
      </c>
      <c r="D1385" s="29" t="inlineStr">
        <is>
          <t>FATMA DEMİRER</t>
        </is>
      </c>
      <c r="E1385" s="4" t="inlineStr">
        <is>
          <t>Cumartesi</t>
        </is>
      </c>
      <c r="F1385" s="4" t="inlineStr">
        <is>
          <t>10.10.2026</t>
        </is>
      </c>
      <c r="G1385" s="4" t="inlineStr">
        <is>
          <t>07:49</t>
        </is>
      </c>
      <c r="H1385" s="4" t="inlineStr">
        <is>
          <t>10.10.2026</t>
        </is>
      </c>
      <c r="I1385" s="4" t="inlineStr">
        <is>
          <t>18:11</t>
        </is>
      </c>
      <c r="J1385" s="8" t="n">
        <v>8.5</v>
      </c>
      <c r="K1385" s="8" t="n">
        <v>7.5</v>
      </c>
      <c r="L1385" s="8" t="n">
        <v>1</v>
      </c>
      <c r="M1385" s="29" t="inlineStr">
        <is>
          <t>GÜVEN MUSTAFAKEMALPAŞA</t>
        </is>
      </c>
    </row>
    <row r="1386">
      <c r="A1386" s="4" t="n">
        <v>1385</v>
      </c>
      <c r="B1386" s="4" t="inlineStr">
        <is>
          <t>00926</t>
        </is>
      </c>
      <c r="C1386" s="4" t="inlineStr">
        <is>
          <t>00926</t>
        </is>
      </c>
      <c r="D1386" s="29" t="inlineStr">
        <is>
          <t>FATMA DEMİRER</t>
        </is>
      </c>
      <c r="E1386" s="4" t="inlineStr">
        <is>
          <t>Salı</t>
        </is>
      </c>
      <c r="F1386" s="4" t="inlineStr">
        <is>
          <t>13.10.2026</t>
        </is>
      </c>
      <c r="G1386" s="4" t="inlineStr">
        <is>
          <t>07:51</t>
        </is>
      </c>
      <c r="H1386" s="4" t="inlineStr">
        <is>
          <t>13.10.2026</t>
        </is>
      </c>
      <c r="I1386" s="4" t="inlineStr">
        <is>
          <t>17:05</t>
        </is>
      </c>
      <c r="J1386" s="8" t="n">
        <v>7.5</v>
      </c>
      <c r="K1386" s="8" t="n">
        <v>7.5</v>
      </c>
      <c r="L1386" s="8" t="n">
        <v>0</v>
      </c>
      <c r="M1386" s="29" t="inlineStr">
        <is>
          <t>GÜVEN MUSTAFAKEMALPAŞA</t>
        </is>
      </c>
    </row>
    <row r="1387">
      <c r="A1387" s="4" t="n">
        <v>1386</v>
      </c>
      <c r="B1387" s="4" t="inlineStr">
        <is>
          <t>00926</t>
        </is>
      </c>
      <c r="C1387" s="4" t="inlineStr">
        <is>
          <t>00926</t>
        </is>
      </c>
      <c r="D1387" s="29" t="inlineStr">
        <is>
          <t>FATMA DEMİRER</t>
        </is>
      </c>
      <c r="E1387" s="4" t="inlineStr">
        <is>
          <t>Çarşamba</t>
        </is>
      </c>
      <c r="F1387" s="4" t="inlineStr">
        <is>
          <t>14.10.2026</t>
        </is>
      </c>
      <c r="G1387" s="4" t="inlineStr">
        <is>
          <t>07:52</t>
        </is>
      </c>
      <c r="H1387" s="4" t="inlineStr">
        <is>
          <t>14.10.2026</t>
        </is>
      </c>
      <c r="I1387" s="4" t="inlineStr">
        <is>
          <t>18:08</t>
        </is>
      </c>
      <c r="J1387" s="8" t="n">
        <v>8.5</v>
      </c>
      <c r="K1387" s="8" t="n">
        <v>7.5</v>
      </c>
      <c r="L1387" s="8" t="n">
        <v>1</v>
      </c>
      <c r="M1387" s="29" t="inlineStr">
        <is>
          <t>GÜVEN MUSTAFAKEMALPAŞA</t>
        </is>
      </c>
    </row>
    <row r="1388">
      <c r="A1388" s="4" t="n">
        <v>1387</v>
      </c>
      <c r="B1388" s="4" t="inlineStr">
        <is>
          <t>00926</t>
        </is>
      </c>
      <c r="C1388" s="4" t="inlineStr">
        <is>
          <t>00926</t>
        </is>
      </c>
      <c r="D1388" s="29" t="inlineStr">
        <is>
          <t>FATMA DEMİRER</t>
        </is>
      </c>
      <c r="E1388" s="4" t="inlineStr">
        <is>
          <t>Perşembe</t>
        </is>
      </c>
      <c r="F1388" s="4" t="inlineStr">
        <is>
          <t>15.10.2026</t>
        </is>
      </c>
      <c r="G1388" s="4" t="inlineStr">
        <is>
          <t>07:55</t>
        </is>
      </c>
      <c r="H1388" s="4" t="inlineStr">
        <is>
          <t>15.10.2026</t>
        </is>
      </c>
      <c r="I1388" s="4" t="inlineStr">
        <is>
          <t>17:04</t>
        </is>
      </c>
      <c r="J1388" s="8" t="n">
        <v>7.5</v>
      </c>
      <c r="K1388" s="8" t="n">
        <v>7.5</v>
      </c>
      <c r="L1388" s="8" t="n">
        <v>0</v>
      </c>
      <c r="M1388" s="29" t="inlineStr">
        <is>
          <t>GÜVEN MUSTAFAKEMALPAŞA</t>
        </is>
      </c>
    </row>
    <row r="1389">
      <c r="A1389" s="4" t="n">
        <v>1388</v>
      </c>
      <c r="B1389" s="4" t="inlineStr">
        <is>
          <t>00926</t>
        </is>
      </c>
      <c r="C1389" s="4" t="inlineStr">
        <is>
          <t>00926</t>
        </is>
      </c>
      <c r="D1389" s="29" t="inlineStr">
        <is>
          <t>FATMA DEMİRER</t>
        </is>
      </c>
      <c r="E1389" s="4" t="inlineStr">
        <is>
          <t>Cuma</t>
        </is>
      </c>
      <c r="F1389" s="4" t="inlineStr">
        <is>
          <t>16.10.2026</t>
        </is>
      </c>
      <c r="G1389" s="4" t="inlineStr">
        <is>
          <t>07:50</t>
        </is>
      </c>
      <c r="H1389" s="4" t="inlineStr">
        <is>
          <t>16.10.2026</t>
        </is>
      </c>
      <c r="I1389" s="4" t="inlineStr">
        <is>
          <t>17:18</t>
        </is>
      </c>
      <c r="J1389" s="8" t="n">
        <v>7.5</v>
      </c>
      <c r="K1389" s="8" t="n">
        <v>7.5</v>
      </c>
      <c r="L1389" s="8" t="n">
        <v>0</v>
      </c>
      <c r="M1389" s="29" t="inlineStr">
        <is>
          <t>GÜVEN MUSTAFAKEMALPAŞA</t>
        </is>
      </c>
    </row>
    <row r="1390">
      <c r="A1390" s="4" t="n">
        <v>1389</v>
      </c>
      <c r="B1390" s="4" t="inlineStr">
        <is>
          <t>00926</t>
        </is>
      </c>
      <c r="C1390" s="4" t="inlineStr">
        <is>
          <t>00926</t>
        </is>
      </c>
      <c r="D1390" s="29" t="inlineStr">
        <is>
          <t>FATMA DEMİRER</t>
        </is>
      </c>
      <c r="E1390" s="4" t="inlineStr">
        <is>
          <t>Cumartesi</t>
        </is>
      </c>
      <c r="F1390" s="4" t="inlineStr">
        <is>
          <t>17.10.2026</t>
        </is>
      </c>
      <c r="G1390" s="4" t="inlineStr">
        <is>
          <t>07:53</t>
        </is>
      </c>
      <c r="H1390" s="4" t="inlineStr">
        <is>
          <t>17.10.2026</t>
        </is>
      </c>
      <c r="I1390" s="4" t="inlineStr">
        <is>
          <t>19:53</t>
        </is>
      </c>
      <c r="J1390" s="8" t="n">
        <v>10.5</v>
      </c>
      <c r="K1390" s="8" t="n">
        <v>7.5</v>
      </c>
      <c r="L1390" s="8" t="n">
        <v>3</v>
      </c>
      <c r="M1390" s="29" t="inlineStr">
        <is>
          <t>GÜVEN MUSTAFAKEMALPAŞA</t>
        </is>
      </c>
    </row>
    <row r="1391">
      <c r="A1391" s="4" t="n">
        <v>1390</v>
      </c>
      <c r="B1391" s="4" t="inlineStr">
        <is>
          <t>00926</t>
        </is>
      </c>
      <c r="C1391" s="4" t="inlineStr">
        <is>
          <t>00926</t>
        </is>
      </c>
      <c r="D1391" s="29" t="inlineStr">
        <is>
          <t>FATMA DEMİRER</t>
        </is>
      </c>
      <c r="E1391" s="4" t="inlineStr">
        <is>
          <t>Pazartesi</t>
        </is>
      </c>
      <c r="F1391" s="4" t="inlineStr">
        <is>
          <t>19.10.2026</t>
        </is>
      </c>
      <c r="G1391" s="4" t="inlineStr">
        <is>
          <t>07:49</t>
        </is>
      </c>
      <c r="H1391" s="4" t="inlineStr">
        <is>
          <t>19.10.2026</t>
        </is>
      </c>
      <c r="I1391" s="4" t="inlineStr">
        <is>
          <t>17:48</t>
        </is>
      </c>
      <c r="J1391" s="8" t="n">
        <v>0</v>
      </c>
      <c r="K1391" s="8" t="n">
        <v>0</v>
      </c>
      <c r="L1391" s="8" t="n">
        <v>0</v>
      </c>
      <c r="M1391" s="29" t="inlineStr">
        <is>
          <t>GÜVEN MUSTAFAKEMALPAŞA</t>
        </is>
      </c>
    </row>
    <row r="1392">
      <c r="A1392" s="4" t="n">
        <v>1391</v>
      </c>
      <c r="B1392" s="4" t="inlineStr">
        <is>
          <t>00926</t>
        </is>
      </c>
      <c r="C1392" s="4" t="inlineStr">
        <is>
          <t>00926</t>
        </is>
      </c>
      <c r="D1392" s="29" t="inlineStr">
        <is>
          <t>FATMA DEMİRER</t>
        </is>
      </c>
      <c r="E1392" s="4" t="inlineStr">
        <is>
          <t>Salı</t>
        </is>
      </c>
      <c r="F1392" s="4" t="inlineStr">
        <is>
          <t>20.10.2026</t>
        </is>
      </c>
      <c r="G1392" s="4" t="inlineStr">
        <is>
          <t>07:52</t>
        </is>
      </c>
      <c r="H1392" s="4" t="inlineStr">
        <is>
          <t>20.10.2026</t>
        </is>
      </c>
      <c r="I1392" s="4" t="inlineStr">
        <is>
          <t>17:02</t>
        </is>
      </c>
      <c r="J1392" s="8" t="n">
        <v>7.5</v>
      </c>
      <c r="K1392" s="8" t="n">
        <v>7.5</v>
      </c>
      <c r="L1392" s="8" t="n">
        <v>0</v>
      </c>
      <c r="M1392" s="29" t="inlineStr">
        <is>
          <t>GÜVEN MUSTAFAKEMALPAŞA</t>
        </is>
      </c>
    </row>
    <row r="1393">
      <c r="A1393" s="4" t="n">
        <v>1392</v>
      </c>
      <c r="B1393" s="4" t="inlineStr">
        <is>
          <t>00926</t>
        </is>
      </c>
      <c r="C1393" s="4" t="inlineStr">
        <is>
          <t>00926</t>
        </is>
      </c>
      <c r="D1393" s="29" t="inlineStr">
        <is>
          <t>FATMA DEMİRER</t>
        </is>
      </c>
      <c r="E1393" s="4" t="inlineStr">
        <is>
          <t>Çarşamba</t>
        </is>
      </c>
      <c r="F1393" s="4" t="inlineStr">
        <is>
          <t>21.10.2026</t>
        </is>
      </c>
      <c r="G1393" s="4" t="inlineStr">
        <is>
          <t>07:48</t>
        </is>
      </c>
      <c r="H1393" s="4" t="inlineStr">
        <is>
          <t>21.10.2026</t>
        </is>
      </c>
      <c r="I1393" s="4" t="inlineStr">
        <is>
          <t>17:06</t>
        </is>
      </c>
      <c r="J1393" s="8" t="n">
        <v>7.5</v>
      </c>
      <c r="K1393" s="8" t="n">
        <v>7.5</v>
      </c>
      <c r="L1393" s="8" t="n">
        <v>0</v>
      </c>
      <c r="M1393" s="29" t="inlineStr">
        <is>
          <t>GÜVEN MUSTAFAKEMALPAŞA</t>
        </is>
      </c>
    </row>
    <row r="1394">
      <c r="A1394" s="4" t="n">
        <v>1393</v>
      </c>
      <c r="B1394" s="4" t="inlineStr">
        <is>
          <t>01412</t>
        </is>
      </c>
      <c r="C1394" s="4" t="inlineStr">
        <is>
          <t>01412</t>
        </is>
      </c>
      <c r="D1394" s="29" t="inlineStr">
        <is>
          <t>FATMA AYDIN</t>
        </is>
      </c>
      <c r="E1394" s="4" t="inlineStr">
        <is>
          <t>Cuma</t>
        </is>
      </c>
      <c r="F1394" s="4" t="inlineStr">
        <is>
          <t>2.10.2026</t>
        </is>
      </c>
      <c r="G1394" s="4" t="inlineStr">
        <is>
          <t>-</t>
        </is>
      </c>
      <c r="H1394" s="4" t="inlineStr">
        <is>
          <t>2.10.2026</t>
        </is>
      </c>
      <c r="I1394" s="4" t="inlineStr">
        <is>
          <t>20:04</t>
        </is>
      </c>
      <c r="J1394" s="8" t="n">
        <v>10.5</v>
      </c>
      <c r="K1394" s="8" t="n">
        <v>7.5</v>
      </c>
      <c r="L1394" s="8" t="n">
        <v>3</v>
      </c>
      <c r="M1394" s="29" t="inlineStr">
        <is>
          <t>HALİL DİĞRENCİ</t>
        </is>
      </c>
    </row>
    <row r="1395">
      <c r="A1395" s="4" t="n">
        <v>1394</v>
      </c>
      <c r="B1395" s="4" t="inlineStr">
        <is>
          <t>01412</t>
        </is>
      </c>
      <c r="C1395" s="4" t="inlineStr">
        <is>
          <t>01412</t>
        </is>
      </c>
      <c r="D1395" s="29" t="inlineStr">
        <is>
          <t>FATMA AYDIN</t>
        </is>
      </c>
      <c r="E1395" s="4" t="inlineStr">
        <is>
          <t>Cumartesi</t>
        </is>
      </c>
      <c r="F1395" s="4" t="inlineStr">
        <is>
          <t>3.10.2026</t>
        </is>
      </c>
      <c r="G1395" s="4" t="inlineStr">
        <is>
          <t>08:01</t>
        </is>
      </c>
      <c r="H1395" s="4" t="inlineStr">
        <is>
          <t>3.10.2026</t>
        </is>
      </c>
      <c r="I1395" s="4" t="inlineStr">
        <is>
          <t>20:01</t>
        </is>
      </c>
      <c r="J1395" s="8" t="n">
        <v>10.5</v>
      </c>
      <c r="K1395" s="8" t="n">
        <v>7.5</v>
      </c>
      <c r="L1395" s="8" t="n">
        <v>3</v>
      </c>
      <c r="M1395" s="29" t="inlineStr">
        <is>
          <t>HALİL DİĞRENCİ</t>
        </is>
      </c>
    </row>
    <row r="1396">
      <c r="A1396" s="4" t="n">
        <v>1395</v>
      </c>
      <c r="B1396" s="4" t="inlineStr">
        <is>
          <t>01412</t>
        </is>
      </c>
      <c r="C1396" s="4" t="inlineStr">
        <is>
          <t>01412</t>
        </is>
      </c>
      <c r="D1396" s="29" t="inlineStr">
        <is>
          <t>FATMA AYDIN</t>
        </is>
      </c>
      <c r="E1396" s="4" t="inlineStr">
        <is>
          <t>Salı</t>
        </is>
      </c>
      <c r="F1396" s="4" t="inlineStr">
        <is>
          <t>6.10.2026</t>
        </is>
      </c>
      <c r="G1396" s="4" t="inlineStr">
        <is>
          <t>07:34</t>
        </is>
      </c>
      <c r="H1396" s="4" t="inlineStr">
        <is>
          <t>6.10.2026</t>
        </is>
      </c>
      <c r="I1396" s="4" t="inlineStr">
        <is>
          <t>20:00</t>
        </is>
      </c>
      <c r="J1396" s="8" t="n">
        <v>10.5</v>
      </c>
      <c r="K1396" s="8" t="n">
        <v>7.5</v>
      </c>
      <c r="L1396" s="8" t="n">
        <v>3</v>
      </c>
      <c r="M1396" s="29" t="inlineStr">
        <is>
          <t>HALİL DİĞRENCİ</t>
        </is>
      </c>
    </row>
    <row r="1397">
      <c r="A1397" s="4" t="n">
        <v>1396</v>
      </c>
      <c r="B1397" s="4" t="inlineStr">
        <is>
          <t>01412</t>
        </is>
      </c>
      <c r="C1397" s="4" t="inlineStr">
        <is>
          <t>01412</t>
        </is>
      </c>
      <c r="D1397" s="29" t="inlineStr">
        <is>
          <t>FATMA AYDIN</t>
        </is>
      </c>
      <c r="E1397" s="4" t="inlineStr">
        <is>
          <t>Çarşamba</t>
        </is>
      </c>
      <c r="F1397" s="4" t="inlineStr">
        <is>
          <t>7.10.2026</t>
        </is>
      </c>
      <c r="G1397" s="4" t="inlineStr">
        <is>
          <t>07:50</t>
        </is>
      </c>
      <c r="H1397" s="4" t="inlineStr">
        <is>
          <t>7.10.2026</t>
        </is>
      </c>
      <c r="I1397" s="4" t="inlineStr">
        <is>
          <t>20:01</t>
        </is>
      </c>
      <c r="J1397" s="8" t="n">
        <v>10.5</v>
      </c>
      <c r="K1397" s="8" t="n">
        <v>7.5</v>
      </c>
      <c r="L1397" s="8" t="n">
        <v>3</v>
      </c>
      <c r="M1397" s="29" t="inlineStr">
        <is>
          <t>HALİL DİĞRENCİ</t>
        </is>
      </c>
    </row>
    <row r="1398">
      <c r="A1398" s="4" t="n">
        <v>1397</v>
      </c>
      <c r="B1398" s="4" t="inlineStr">
        <is>
          <t>01412</t>
        </is>
      </c>
      <c r="C1398" s="4" t="inlineStr">
        <is>
          <t>01412</t>
        </is>
      </c>
      <c r="D1398" s="29" t="inlineStr">
        <is>
          <t>FATMA AYDIN</t>
        </is>
      </c>
      <c r="E1398" s="4" t="inlineStr">
        <is>
          <t>Perşembe</t>
        </is>
      </c>
      <c r="F1398" s="4" t="inlineStr">
        <is>
          <t>8.10.2026</t>
        </is>
      </c>
      <c r="G1398" s="4" t="inlineStr">
        <is>
          <t>07:33</t>
        </is>
      </c>
      <c r="H1398" s="4" t="inlineStr">
        <is>
          <t>8.10.2026</t>
        </is>
      </c>
      <c r="I1398" s="4" t="inlineStr">
        <is>
          <t>20:01</t>
        </is>
      </c>
      <c r="J1398" s="8" t="n">
        <v>10.5</v>
      </c>
      <c r="K1398" s="8" t="n">
        <v>7.5</v>
      </c>
      <c r="L1398" s="8" t="n">
        <v>3</v>
      </c>
      <c r="M1398" s="29" t="inlineStr">
        <is>
          <t>HALİL DİĞRENCİ</t>
        </is>
      </c>
    </row>
    <row r="1399">
      <c r="A1399" s="4" t="n">
        <v>1398</v>
      </c>
      <c r="B1399" s="4" t="inlineStr">
        <is>
          <t>01412</t>
        </is>
      </c>
      <c r="C1399" s="4" t="inlineStr">
        <is>
          <t>01412</t>
        </is>
      </c>
      <c r="D1399" s="29" t="inlineStr">
        <is>
          <t>FATMA AYDIN</t>
        </is>
      </c>
      <c r="E1399" s="4" t="inlineStr">
        <is>
          <t>Cuma</t>
        </is>
      </c>
      <c r="F1399" s="4" t="inlineStr">
        <is>
          <t>9.10.2026</t>
        </is>
      </c>
      <c r="G1399" s="4" t="inlineStr">
        <is>
          <t>07:58</t>
        </is>
      </c>
      <c r="H1399" s="4" t="inlineStr">
        <is>
          <t>9.10.2026</t>
        </is>
      </c>
      <c r="I1399" s="4" t="inlineStr">
        <is>
          <t>20:02</t>
        </is>
      </c>
      <c r="J1399" s="8" t="n">
        <v>10.5</v>
      </c>
      <c r="K1399" s="8" t="n">
        <v>7.5</v>
      </c>
      <c r="L1399" s="8" t="n">
        <v>3</v>
      </c>
      <c r="M1399" s="29" t="inlineStr">
        <is>
          <t>HALİL DİĞRENCİ</t>
        </is>
      </c>
    </row>
    <row r="1400">
      <c r="A1400" s="4" t="n">
        <v>1399</v>
      </c>
      <c r="B1400" s="4" t="inlineStr">
        <is>
          <t>01412</t>
        </is>
      </c>
      <c r="C1400" s="4" t="inlineStr">
        <is>
          <t>01412</t>
        </is>
      </c>
      <c r="D1400" s="29" t="inlineStr">
        <is>
          <t>FATMA AYDIN</t>
        </is>
      </c>
      <c r="E1400" s="4" t="inlineStr">
        <is>
          <t>Cumartesi</t>
        </is>
      </c>
      <c r="F1400" s="4" t="inlineStr">
        <is>
          <t>10.10.2026</t>
        </is>
      </c>
      <c r="G1400" s="4" t="inlineStr">
        <is>
          <t>07:39</t>
        </is>
      </c>
      <c r="H1400" s="4" t="inlineStr">
        <is>
          <t>10.10.2026</t>
        </is>
      </c>
      <c r="I1400" s="4" t="inlineStr">
        <is>
          <t>19:57</t>
        </is>
      </c>
      <c r="J1400" s="8" t="n">
        <v>10.5</v>
      </c>
      <c r="K1400" s="8" t="n">
        <v>7.5</v>
      </c>
      <c r="L1400" s="8" t="n">
        <v>3</v>
      </c>
      <c r="M1400" s="29" t="inlineStr">
        <is>
          <t>HALİL DİĞRENCİ</t>
        </is>
      </c>
    </row>
    <row r="1401">
      <c r="A1401" s="4" t="n">
        <v>1400</v>
      </c>
      <c r="B1401" s="4" t="inlineStr">
        <is>
          <t>01412</t>
        </is>
      </c>
      <c r="C1401" s="4" t="inlineStr">
        <is>
          <t>01412</t>
        </is>
      </c>
      <c r="D1401" s="29" t="inlineStr">
        <is>
          <t>FATMA AYDIN</t>
        </is>
      </c>
      <c r="E1401" s="4" t="inlineStr">
        <is>
          <t>Pazartesi</t>
        </is>
      </c>
      <c r="F1401" s="4" t="inlineStr">
        <is>
          <t>12.10.2026</t>
        </is>
      </c>
      <c r="G1401" s="4" t="inlineStr">
        <is>
          <t>07:47</t>
        </is>
      </c>
      <c r="H1401" s="4" t="inlineStr">
        <is>
          <t>12.10.2026</t>
        </is>
      </c>
      <c r="I1401" s="4" t="inlineStr">
        <is>
          <t>17:01</t>
        </is>
      </c>
      <c r="J1401" s="8" t="n">
        <v>7.5</v>
      </c>
      <c r="K1401" s="8" t="n">
        <v>7.5</v>
      </c>
      <c r="L1401" s="8" t="n">
        <v>0</v>
      </c>
      <c r="M1401" s="29" t="inlineStr">
        <is>
          <t>HALİL DİĞRENCİ</t>
        </is>
      </c>
    </row>
    <row r="1402">
      <c r="A1402" s="4" t="n">
        <v>1401</v>
      </c>
      <c r="B1402" s="4" t="inlineStr">
        <is>
          <t>01412</t>
        </is>
      </c>
      <c r="C1402" s="4" t="inlineStr">
        <is>
          <t>01412</t>
        </is>
      </c>
      <c r="D1402" s="29" t="inlineStr">
        <is>
          <t>FATMA AYDIN</t>
        </is>
      </c>
      <c r="E1402" s="4" t="inlineStr">
        <is>
          <t>Salı</t>
        </is>
      </c>
      <c r="F1402" s="4" t="inlineStr">
        <is>
          <t>13.10.2026</t>
        </is>
      </c>
      <c r="G1402" s="4" t="inlineStr">
        <is>
          <t>07:40</t>
        </is>
      </c>
      <c r="H1402" s="4" t="inlineStr">
        <is>
          <t>13.10.2026</t>
        </is>
      </c>
      <c r="I1402" s="4" t="inlineStr">
        <is>
          <t>19:57</t>
        </is>
      </c>
      <c r="J1402" s="8" t="n">
        <v>10.5</v>
      </c>
      <c r="K1402" s="8" t="n">
        <v>7.5</v>
      </c>
      <c r="L1402" s="8" t="n">
        <v>3</v>
      </c>
      <c r="M1402" s="29" t="inlineStr">
        <is>
          <t>HALİL DİĞRENCİ</t>
        </is>
      </c>
    </row>
    <row r="1403">
      <c r="A1403" s="4" t="n">
        <v>1402</v>
      </c>
      <c r="B1403" s="4" t="inlineStr">
        <is>
          <t>01412</t>
        </is>
      </c>
      <c r="C1403" s="4" t="inlineStr">
        <is>
          <t>01412</t>
        </is>
      </c>
      <c r="D1403" s="29" t="inlineStr">
        <is>
          <t>FATMA AYDIN</t>
        </is>
      </c>
      <c r="E1403" s="4" t="inlineStr">
        <is>
          <t>Çarşamba</t>
        </is>
      </c>
      <c r="F1403" s="4" t="inlineStr">
        <is>
          <t>14.10.2026</t>
        </is>
      </c>
      <c r="G1403" s="4" t="inlineStr">
        <is>
          <t>07:38</t>
        </is>
      </c>
      <c r="H1403" s="4" t="inlineStr">
        <is>
          <t>14.10.2026</t>
        </is>
      </c>
      <c r="I1403" s="4" t="inlineStr">
        <is>
          <t>19:56</t>
        </is>
      </c>
      <c r="J1403" s="8" t="n">
        <v>10.5</v>
      </c>
      <c r="K1403" s="8" t="n">
        <v>7.5</v>
      </c>
      <c r="L1403" s="8" t="n">
        <v>3</v>
      </c>
      <c r="M1403" s="29" t="inlineStr">
        <is>
          <t>HALİL DİĞRENCİ</t>
        </is>
      </c>
    </row>
    <row r="1404">
      <c r="A1404" s="4" t="n">
        <v>1403</v>
      </c>
      <c r="B1404" s="4" t="inlineStr">
        <is>
          <t>01412</t>
        </is>
      </c>
      <c r="C1404" s="4" t="inlineStr">
        <is>
          <t>01412</t>
        </is>
      </c>
      <c r="D1404" s="29" t="inlineStr">
        <is>
          <t>FATMA AYDIN</t>
        </is>
      </c>
      <c r="E1404" s="4" t="inlineStr">
        <is>
          <t>Perşembe</t>
        </is>
      </c>
      <c r="F1404" s="4" t="inlineStr">
        <is>
          <t>15.10.2026</t>
        </is>
      </c>
      <c r="G1404" s="4" t="inlineStr">
        <is>
          <t>07:34</t>
        </is>
      </c>
      <c r="H1404" s="4" t="inlineStr">
        <is>
          <t>15.10.2026</t>
        </is>
      </c>
      <c r="I1404" s="4" t="inlineStr">
        <is>
          <t>19:59</t>
        </is>
      </c>
      <c r="J1404" s="8" t="n">
        <v>10.5</v>
      </c>
      <c r="K1404" s="8" t="n">
        <v>7.5</v>
      </c>
      <c r="L1404" s="8" t="n">
        <v>3</v>
      </c>
      <c r="M1404" s="29" t="inlineStr">
        <is>
          <t>HALİL DİĞRENCİ</t>
        </is>
      </c>
    </row>
    <row r="1405">
      <c r="A1405" s="4" t="n">
        <v>1404</v>
      </c>
      <c r="B1405" s="4" t="inlineStr">
        <is>
          <t>01412</t>
        </is>
      </c>
      <c r="C1405" s="4" t="inlineStr">
        <is>
          <t>01412</t>
        </is>
      </c>
      <c r="D1405" s="29" t="inlineStr">
        <is>
          <t>FATMA AYDIN</t>
        </is>
      </c>
      <c r="E1405" s="4" t="inlineStr">
        <is>
          <t>Cumartesi</t>
        </is>
      </c>
      <c r="F1405" s="4" t="inlineStr">
        <is>
          <t>17.10.2026</t>
        </is>
      </c>
      <c r="G1405" s="4" t="inlineStr">
        <is>
          <t>07:59</t>
        </is>
      </c>
      <c r="H1405" s="4" t="inlineStr">
        <is>
          <t>17.10.2026</t>
        </is>
      </c>
      <c r="I1405" s="4" t="inlineStr">
        <is>
          <t>20:02</t>
        </is>
      </c>
      <c r="J1405" s="8" t="n">
        <v>10.5</v>
      </c>
      <c r="K1405" s="8" t="n">
        <v>7.5</v>
      </c>
      <c r="L1405" s="8" t="n">
        <v>3</v>
      </c>
      <c r="M1405" s="29" t="inlineStr">
        <is>
          <t>HALİL DİĞRENCİ</t>
        </is>
      </c>
    </row>
    <row r="1406">
      <c r="A1406" s="4" t="n">
        <v>1405</v>
      </c>
      <c r="B1406" s="4" t="inlineStr">
        <is>
          <t>01412</t>
        </is>
      </c>
      <c r="C1406" s="4" t="inlineStr">
        <is>
          <t>01412</t>
        </is>
      </c>
      <c r="D1406" s="29" t="inlineStr">
        <is>
          <t>FATMA AYDIN</t>
        </is>
      </c>
      <c r="E1406" s="4" t="inlineStr">
        <is>
          <t>Pazartesi</t>
        </is>
      </c>
      <c r="F1406" s="4" t="inlineStr">
        <is>
          <t>19.10.2026</t>
        </is>
      </c>
      <c r="G1406" s="4" t="inlineStr">
        <is>
          <t>07:37</t>
        </is>
      </c>
      <c r="H1406" s="4" t="inlineStr">
        <is>
          <t>19.10.2026</t>
        </is>
      </c>
      <c r="I1406" s="4" t="inlineStr">
        <is>
          <t>19:59</t>
        </is>
      </c>
      <c r="J1406" s="8" t="n">
        <v>10.5</v>
      </c>
      <c r="K1406" s="8" t="n">
        <v>7.5</v>
      </c>
      <c r="L1406" s="8" t="n">
        <v>3</v>
      </c>
      <c r="M1406" s="29" t="inlineStr">
        <is>
          <t>HALİL DİĞRENCİ</t>
        </is>
      </c>
    </row>
    <row r="1407">
      <c r="A1407" s="4" t="n">
        <v>1406</v>
      </c>
      <c r="B1407" s="4" t="inlineStr">
        <is>
          <t>01412</t>
        </is>
      </c>
      <c r="C1407" s="4" t="inlineStr">
        <is>
          <t>01412</t>
        </is>
      </c>
      <c r="D1407" s="29" t="inlineStr">
        <is>
          <t>FATMA AYDIN</t>
        </is>
      </c>
      <c r="E1407" s="4" t="inlineStr">
        <is>
          <t>Salı</t>
        </is>
      </c>
      <c r="F1407" s="4" t="inlineStr">
        <is>
          <t>20.10.2026</t>
        </is>
      </c>
      <c r="G1407" s="4" t="inlineStr">
        <is>
          <t>07:32</t>
        </is>
      </c>
      <c r="H1407" s="4" t="inlineStr">
        <is>
          <t>20.10.2026</t>
        </is>
      </c>
      <c r="I1407" s="4" t="inlineStr">
        <is>
          <t>17:07</t>
        </is>
      </c>
      <c r="J1407" s="8" t="n">
        <v>7.5</v>
      </c>
      <c r="K1407" s="8" t="n">
        <v>7.5</v>
      </c>
      <c r="L1407" s="8" t="n">
        <v>0</v>
      </c>
      <c r="M1407" s="29" t="inlineStr">
        <is>
          <t>HALİL DİĞRENCİ</t>
        </is>
      </c>
    </row>
    <row r="1408">
      <c r="A1408" s="4" t="n">
        <v>1407</v>
      </c>
      <c r="B1408" s="4" t="inlineStr">
        <is>
          <t>01412</t>
        </is>
      </c>
      <c r="C1408" s="4" t="inlineStr">
        <is>
          <t>01412</t>
        </is>
      </c>
      <c r="D1408" s="29" t="inlineStr">
        <is>
          <t>FATMA AYDIN</t>
        </is>
      </c>
      <c r="E1408" s="4" t="inlineStr">
        <is>
          <t>Çarşamba</t>
        </is>
      </c>
      <c r="F1408" s="4" t="inlineStr">
        <is>
          <t>21.10.2026</t>
        </is>
      </c>
      <c r="G1408" s="4" t="inlineStr">
        <is>
          <t>07:39</t>
        </is>
      </c>
      <c r="H1408" s="4" t="inlineStr">
        <is>
          <t>21.10.2026</t>
        </is>
      </c>
      <c r="I1408" s="4" t="inlineStr">
        <is>
          <t>17:06</t>
        </is>
      </c>
      <c r="J1408" s="8" t="n">
        <v>7.5</v>
      </c>
      <c r="K1408" s="8" t="n">
        <v>7.5</v>
      </c>
      <c r="L1408" s="8" t="n">
        <v>0</v>
      </c>
      <c r="M1408" s="29" t="inlineStr">
        <is>
          <t>HALİL DİĞRENCİ</t>
        </is>
      </c>
    </row>
    <row r="1409">
      <c r="A1409" s="4" t="n">
        <v>1408</v>
      </c>
      <c r="B1409" s="4" t="inlineStr">
        <is>
          <t>00223</t>
        </is>
      </c>
      <c r="C1409" s="4" t="inlineStr">
        <is>
          <t>00223</t>
        </is>
      </c>
      <c r="D1409" s="29" t="inlineStr">
        <is>
          <t>FATMAGÜL ÇEKİ</t>
        </is>
      </c>
      <c r="E1409" s="4" t="inlineStr">
        <is>
          <t>Perşembe</t>
        </is>
      </c>
      <c r="F1409" s="4" t="inlineStr">
        <is>
          <t>1.10.2026</t>
        </is>
      </c>
      <c r="G1409" s="4" t="inlineStr">
        <is>
          <t>09:50</t>
        </is>
      </c>
      <c r="H1409" s="4" t="inlineStr">
        <is>
          <t>1.10.2026</t>
        </is>
      </c>
      <c r="I1409" s="4" t="inlineStr">
        <is>
          <t>19:26</t>
        </is>
      </c>
      <c r="J1409" s="8" t="n">
        <v>8.5</v>
      </c>
      <c r="K1409" s="8" t="n">
        <v>6</v>
      </c>
      <c r="L1409" s="8" t="n">
        <v>2.5</v>
      </c>
      <c r="M1409" s="29" t="inlineStr">
        <is>
          <t>MKP</t>
        </is>
      </c>
    </row>
    <row r="1410">
      <c r="A1410" s="4" t="n">
        <v>1409</v>
      </c>
      <c r="B1410" s="4" t="inlineStr">
        <is>
          <t>00223</t>
        </is>
      </c>
      <c r="C1410" s="4" t="inlineStr">
        <is>
          <t>00223</t>
        </is>
      </c>
      <c r="D1410" s="29" t="inlineStr">
        <is>
          <t>FATMAGÜL ÇEKİ</t>
        </is>
      </c>
      <c r="E1410" s="4" t="inlineStr">
        <is>
          <t>Cuma</t>
        </is>
      </c>
      <c r="F1410" s="4" t="inlineStr">
        <is>
          <t>2.10.2026</t>
        </is>
      </c>
      <c r="G1410" s="4" t="inlineStr">
        <is>
          <t>09:45</t>
        </is>
      </c>
      <c r="H1410" s="4" t="inlineStr">
        <is>
          <t>2.10.2026</t>
        </is>
      </c>
      <c r="I1410" s="4" t="inlineStr">
        <is>
          <t>19:58</t>
        </is>
      </c>
      <c r="J1410" s="8" t="n">
        <v>9</v>
      </c>
      <c r="K1410" s="8" t="n">
        <v>6</v>
      </c>
      <c r="L1410" s="8" t="n">
        <v>3</v>
      </c>
      <c r="M1410" s="29" t="inlineStr">
        <is>
          <t>MKP</t>
        </is>
      </c>
    </row>
    <row r="1411">
      <c r="A1411" s="4" t="n">
        <v>1410</v>
      </c>
      <c r="B1411" s="4" t="inlineStr">
        <is>
          <t>00223</t>
        </is>
      </c>
      <c r="C1411" s="4" t="inlineStr">
        <is>
          <t>00223</t>
        </is>
      </c>
      <c r="D1411" s="29" t="inlineStr">
        <is>
          <t>FATMAGÜL ÇEKİ</t>
        </is>
      </c>
      <c r="E1411" s="4" t="inlineStr">
        <is>
          <t>Cumartesi</t>
        </is>
      </c>
      <c r="F1411" s="4" t="inlineStr">
        <is>
          <t>3.10.2026</t>
        </is>
      </c>
      <c r="G1411" s="4" t="inlineStr">
        <is>
          <t>09:51</t>
        </is>
      </c>
      <c r="H1411" s="4" t="inlineStr">
        <is>
          <t>3.10.2026</t>
        </is>
      </c>
      <c r="I1411" s="4" t="inlineStr">
        <is>
          <t>19:53</t>
        </is>
      </c>
      <c r="J1411" s="8" t="n">
        <v>8.5</v>
      </c>
      <c r="K1411" s="8" t="n">
        <v>5.5</v>
      </c>
      <c r="L1411" s="8" t="n">
        <v>3</v>
      </c>
      <c r="M1411" s="29" t="inlineStr">
        <is>
          <t>MKP</t>
        </is>
      </c>
    </row>
    <row r="1412">
      <c r="A1412" s="4" t="n">
        <v>1411</v>
      </c>
      <c r="B1412" s="4" t="inlineStr">
        <is>
          <t>00223</t>
        </is>
      </c>
      <c r="C1412" s="4" t="inlineStr">
        <is>
          <t>00223</t>
        </is>
      </c>
      <c r="D1412" s="29" t="inlineStr">
        <is>
          <t>FATMAGÜL ÇEKİ</t>
        </is>
      </c>
      <c r="E1412" s="4" t="inlineStr">
        <is>
          <t>Pazartesi</t>
        </is>
      </c>
      <c r="F1412" s="4" t="inlineStr">
        <is>
          <t>5.10.2026</t>
        </is>
      </c>
      <c r="G1412" s="4" t="inlineStr">
        <is>
          <t>09:45</t>
        </is>
      </c>
      <c r="H1412" s="4" t="inlineStr">
        <is>
          <t>5.10.2026</t>
        </is>
      </c>
      <c r="I1412" s="4" t="inlineStr">
        <is>
          <t>19:02</t>
        </is>
      </c>
      <c r="J1412" s="8" t="n">
        <v>8</v>
      </c>
      <c r="K1412" s="8" t="n">
        <v>6</v>
      </c>
      <c r="L1412" s="8" t="n">
        <v>2</v>
      </c>
      <c r="M1412" s="29" t="inlineStr">
        <is>
          <t>MKP</t>
        </is>
      </c>
    </row>
    <row r="1413">
      <c r="A1413" s="4" t="n">
        <v>1412</v>
      </c>
      <c r="B1413" s="4" t="inlineStr">
        <is>
          <t>00223</t>
        </is>
      </c>
      <c r="C1413" s="4" t="inlineStr">
        <is>
          <t>00223</t>
        </is>
      </c>
      <c r="D1413" s="29" t="inlineStr">
        <is>
          <t>FATMAGÜL ÇEKİ</t>
        </is>
      </c>
      <c r="E1413" s="4" t="inlineStr">
        <is>
          <t>Salı</t>
        </is>
      </c>
      <c r="F1413" s="4" t="inlineStr">
        <is>
          <t>6.10.2026</t>
        </is>
      </c>
      <c r="G1413" s="4" t="inlineStr">
        <is>
          <t>09:43</t>
        </is>
      </c>
      <c r="H1413" s="4" t="inlineStr">
        <is>
          <t>6.10.2026</t>
        </is>
      </c>
      <c r="I1413" s="4" t="inlineStr">
        <is>
          <t>19:24</t>
        </is>
      </c>
      <c r="J1413" s="8" t="n">
        <v>8.5</v>
      </c>
      <c r="K1413" s="8" t="n">
        <v>6</v>
      </c>
      <c r="L1413" s="8" t="n">
        <v>2.5</v>
      </c>
      <c r="M1413" s="29" t="inlineStr">
        <is>
          <t>MKP</t>
        </is>
      </c>
    </row>
    <row r="1414">
      <c r="A1414" s="4" t="n">
        <v>1413</v>
      </c>
      <c r="B1414" s="4" t="inlineStr">
        <is>
          <t>00223</t>
        </is>
      </c>
      <c r="C1414" s="4" t="inlineStr">
        <is>
          <t>00223</t>
        </is>
      </c>
      <c r="D1414" s="29" t="inlineStr">
        <is>
          <t>FATMAGÜL ÇEKİ</t>
        </is>
      </c>
      <c r="E1414" s="4" t="inlineStr">
        <is>
          <t>Çarşamba</t>
        </is>
      </c>
      <c r="F1414" s="4" t="inlineStr">
        <is>
          <t>7.10.2026</t>
        </is>
      </c>
      <c r="G1414" s="4" t="inlineStr">
        <is>
          <t>09:50</t>
        </is>
      </c>
      <c r="H1414" s="4" t="inlineStr">
        <is>
          <t>7.10.2026</t>
        </is>
      </c>
      <c r="I1414" s="4" t="inlineStr">
        <is>
          <t>17:31</t>
        </is>
      </c>
      <c r="J1414" s="8" t="n">
        <v>6.5</v>
      </c>
      <c r="K1414" s="8" t="n">
        <v>6</v>
      </c>
      <c r="L1414" s="8" t="n">
        <v>0.5</v>
      </c>
      <c r="M1414" s="29" t="inlineStr">
        <is>
          <t>MKP</t>
        </is>
      </c>
    </row>
    <row r="1415">
      <c r="A1415" s="4" t="n">
        <v>1414</v>
      </c>
      <c r="B1415" s="4" t="inlineStr">
        <is>
          <t>00223</t>
        </is>
      </c>
      <c r="C1415" s="4" t="inlineStr">
        <is>
          <t>00223</t>
        </is>
      </c>
      <c r="D1415" s="29" t="inlineStr">
        <is>
          <t>FATMAGÜL ÇEKİ</t>
        </is>
      </c>
      <c r="E1415" s="4" t="inlineStr">
        <is>
          <t>Perşembe</t>
        </is>
      </c>
      <c r="F1415" s="4" t="inlineStr">
        <is>
          <t>8.10.2026</t>
        </is>
      </c>
      <c r="G1415" s="4" t="inlineStr">
        <is>
          <t>07:58</t>
        </is>
      </c>
      <c r="H1415" s="4" t="inlineStr">
        <is>
          <t>8.10.2026</t>
        </is>
      </c>
      <c r="I1415" s="4" t="inlineStr">
        <is>
          <t>19:26</t>
        </is>
      </c>
      <c r="J1415" s="8" t="n">
        <v>10</v>
      </c>
      <c r="K1415" s="8" t="n">
        <v>7.5</v>
      </c>
      <c r="L1415" s="8" t="n">
        <v>2.5</v>
      </c>
      <c r="M1415" s="29" t="inlineStr">
        <is>
          <t>MKP</t>
        </is>
      </c>
    </row>
    <row r="1416">
      <c r="A1416" s="4" t="n">
        <v>1415</v>
      </c>
      <c r="B1416" s="4" t="inlineStr">
        <is>
          <t>00223</t>
        </is>
      </c>
      <c r="C1416" s="4" t="inlineStr">
        <is>
          <t>00223</t>
        </is>
      </c>
      <c r="D1416" s="29" t="inlineStr">
        <is>
          <t>FATMAGÜL ÇEKİ</t>
        </is>
      </c>
      <c r="E1416" s="4" t="inlineStr">
        <is>
          <t>Pazartesi</t>
        </is>
      </c>
      <c r="F1416" s="4" t="inlineStr">
        <is>
          <t>12.10.2026</t>
        </is>
      </c>
      <c r="G1416" s="4" t="inlineStr">
        <is>
          <t>09:52</t>
        </is>
      </c>
      <c r="H1416" s="4" t="inlineStr">
        <is>
          <t>12.10.2026</t>
        </is>
      </c>
      <c r="I1416" s="4" t="inlineStr">
        <is>
          <t>19:03</t>
        </is>
      </c>
      <c r="J1416" s="8" t="n">
        <v>7.5</v>
      </c>
      <c r="K1416" s="8" t="n">
        <v>5.5</v>
      </c>
      <c r="L1416" s="8" t="n">
        <v>2</v>
      </c>
      <c r="M1416" s="29" t="inlineStr">
        <is>
          <t>MKP</t>
        </is>
      </c>
    </row>
    <row r="1417">
      <c r="A1417" s="4" t="n">
        <v>1416</v>
      </c>
      <c r="B1417" s="4" t="inlineStr">
        <is>
          <t>00223</t>
        </is>
      </c>
      <c r="C1417" s="4" t="inlineStr">
        <is>
          <t>00223</t>
        </is>
      </c>
      <c r="D1417" s="29" t="inlineStr">
        <is>
          <t>FATMAGÜL ÇEKİ</t>
        </is>
      </c>
      <c r="E1417" s="4" t="inlineStr">
        <is>
          <t>Salı</t>
        </is>
      </c>
      <c r="F1417" s="4" t="inlineStr">
        <is>
          <t>13.10.2026</t>
        </is>
      </c>
      <c r="G1417" s="4" t="inlineStr">
        <is>
          <t>09:54</t>
        </is>
      </c>
      <c r="H1417" s="4" t="inlineStr">
        <is>
          <t>13.10.2026</t>
        </is>
      </c>
      <c r="I1417" s="4" t="inlineStr">
        <is>
          <t>19:06</t>
        </is>
      </c>
      <c r="J1417" s="8" t="n">
        <v>7.5</v>
      </c>
      <c r="K1417" s="8" t="n">
        <v>5.5</v>
      </c>
      <c r="L1417" s="8" t="n">
        <v>2</v>
      </c>
      <c r="M1417" s="29" t="inlineStr">
        <is>
          <t>MKP</t>
        </is>
      </c>
    </row>
    <row r="1418">
      <c r="A1418" s="4" t="n">
        <v>1417</v>
      </c>
      <c r="B1418" s="4" t="inlineStr">
        <is>
          <t>00223</t>
        </is>
      </c>
      <c r="C1418" s="4" t="inlineStr">
        <is>
          <t>00223</t>
        </is>
      </c>
      <c r="D1418" s="29" t="inlineStr">
        <is>
          <t>FATMAGÜL ÇEKİ</t>
        </is>
      </c>
      <c r="E1418" s="4" t="inlineStr">
        <is>
          <t>Çarşamba</t>
        </is>
      </c>
      <c r="F1418" s="4" t="inlineStr">
        <is>
          <t>14.10.2026</t>
        </is>
      </c>
      <c r="G1418" s="4" t="inlineStr">
        <is>
          <t>07:59</t>
        </is>
      </c>
      <c r="H1418" s="4" t="inlineStr">
        <is>
          <t>14.10.2026</t>
        </is>
      </c>
      <c r="I1418" s="4" t="inlineStr">
        <is>
          <t>18:21</t>
        </is>
      </c>
      <c r="J1418" s="8" t="n">
        <v>9</v>
      </c>
      <c r="K1418" s="8" t="n">
        <v>7.5</v>
      </c>
      <c r="L1418" s="8" t="n">
        <v>1.5</v>
      </c>
      <c r="M1418" s="29" t="inlineStr">
        <is>
          <t>MKP</t>
        </is>
      </c>
    </row>
    <row r="1419">
      <c r="A1419" s="4" t="n">
        <v>1418</v>
      </c>
      <c r="B1419" s="4" t="inlineStr">
        <is>
          <t>00223</t>
        </is>
      </c>
      <c r="C1419" s="4" t="inlineStr">
        <is>
          <t>00223</t>
        </is>
      </c>
      <c r="D1419" s="29" t="inlineStr">
        <is>
          <t>FATMAGÜL ÇEKİ</t>
        </is>
      </c>
      <c r="E1419" s="4" t="inlineStr">
        <is>
          <t>Perşembe</t>
        </is>
      </c>
      <c r="F1419" s="4" t="inlineStr">
        <is>
          <t>15.10.2026</t>
        </is>
      </c>
      <c r="G1419" s="4" t="inlineStr">
        <is>
          <t>08:02</t>
        </is>
      </c>
      <c r="H1419" s="4" t="inlineStr">
        <is>
          <t>15.10.2026</t>
        </is>
      </c>
      <c r="I1419" s="4" t="inlineStr">
        <is>
          <t>17:07</t>
        </is>
      </c>
      <c r="J1419" s="8" t="n">
        <v>7.5</v>
      </c>
      <c r="K1419" s="8" t="n">
        <v>7.5</v>
      </c>
      <c r="L1419" s="8" t="n">
        <v>0</v>
      </c>
      <c r="M1419" s="29" t="inlineStr">
        <is>
          <t>MKP</t>
        </is>
      </c>
    </row>
    <row r="1420">
      <c r="A1420" s="4" t="n">
        <v>1419</v>
      </c>
      <c r="B1420" s="4" t="inlineStr">
        <is>
          <t>00223</t>
        </is>
      </c>
      <c r="C1420" s="4" t="inlineStr">
        <is>
          <t>00223</t>
        </is>
      </c>
      <c r="D1420" s="29" t="inlineStr">
        <is>
          <t>FATMAGÜL ÇEKİ</t>
        </is>
      </c>
      <c r="E1420" s="4" t="inlineStr">
        <is>
          <t>Cuma</t>
        </is>
      </c>
      <c r="F1420" s="4" t="inlineStr">
        <is>
          <t>16.10.2026</t>
        </is>
      </c>
      <c r="G1420" s="4" t="inlineStr">
        <is>
          <t>09:46</t>
        </is>
      </c>
      <c r="H1420" s="4" t="inlineStr">
        <is>
          <t>16.10.2026</t>
        </is>
      </c>
      <c r="I1420" s="4" t="inlineStr">
        <is>
          <t>19:54</t>
        </is>
      </c>
      <c r="J1420" s="8" t="n">
        <v>9</v>
      </c>
      <c r="K1420" s="8" t="n">
        <v>6</v>
      </c>
      <c r="L1420" s="8" t="n">
        <v>3</v>
      </c>
      <c r="M1420" s="29" t="inlineStr">
        <is>
          <t>MKP</t>
        </is>
      </c>
    </row>
    <row r="1421">
      <c r="A1421" s="4" t="n">
        <v>1420</v>
      </c>
      <c r="B1421" s="4" t="inlineStr">
        <is>
          <t>00223</t>
        </is>
      </c>
      <c r="C1421" s="4" t="inlineStr">
        <is>
          <t>00223</t>
        </is>
      </c>
      <c r="D1421" s="29" t="inlineStr">
        <is>
          <t>FATMAGÜL ÇEKİ</t>
        </is>
      </c>
      <c r="E1421" s="4" t="inlineStr">
        <is>
          <t>Cumartesi</t>
        </is>
      </c>
      <c r="F1421" s="4" t="inlineStr">
        <is>
          <t>17.10.2026</t>
        </is>
      </c>
      <c r="G1421" s="4" t="inlineStr">
        <is>
          <t>09:47</t>
        </is>
      </c>
      <c r="H1421" s="4" t="inlineStr">
        <is>
          <t>17.10.2026</t>
        </is>
      </c>
      <c r="I1421" s="4" t="inlineStr">
        <is>
          <t>19:53</t>
        </is>
      </c>
      <c r="J1421" s="8" t="n">
        <v>9</v>
      </c>
      <c r="K1421" s="8" t="n">
        <v>6</v>
      </c>
      <c r="L1421" s="8" t="n">
        <v>3</v>
      </c>
      <c r="M1421" s="29" t="inlineStr">
        <is>
          <t>MKP</t>
        </is>
      </c>
    </row>
    <row r="1422">
      <c r="A1422" s="4" t="n">
        <v>1421</v>
      </c>
      <c r="B1422" s="4" t="inlineStr">
        <is>
          <t>00223</t>
        </is>
      </c>
      <c r="C1422" s="4" t="inlineStr">
        <is>
          <t>00223</t>
        </is>
      </c>
      <c r="D1422" s="29" t="inlineStr">
        <is>
          <t>FATMAGÜL ÇEKİ</t>
        </is>
      </c>
      <c r="E1422" s="4" t="inlineStr">
        <is>
          <t>Pazartesi</t>
        </is>
      </c>
      <c r="F1422" s="4" t="inlineStr">
        <is>
          <t>19.10.2026</t>
        </is>
      </c>
      <c r="G1422" s="4" t="inlineStr">
        <is>
          <t>09:44</t>
        </is>
      </c>
      <c r="H1422" s="4" t="inlineStr">
        <is>
          <t>19.10.2026</t>
        </is>
      </c>
      <c r="I1422" s="4" t="inlineStr">
        <is>
          <t>18:18</t>
        </is>
      </c>
      <c r="J1422" s="8" t="n">
        <v>7</v>
      </c>
      <c r="K1422" s="8" t="n">
        <v>6</v>
      </c>
      <c r="L1422" s="8" t="n">
        <v>1</v>
      </c>
      <c r="M1422" s="29" t="inlineStr">
        <is>
          <t>MKP</t>
        </is>
      </c>
    </row>
    <row r="1423">
      <c r="A1423" s="4" t="n">
        <v>1422</v>
      </c>
      <c r="B1423" s="4" t="inlineStr">
        <is>
          <t>00223</t>
        </is>
      </c>
      <c r="C1423" s="4" t="inlineStr">
        <is>
          <t>00223</t>
        </is>
      </c>
      <c r="D1423" s="29" t="inlineStr">
        <is>
          <t>FATMAGÜL ÇEKİ</t>
        </is>
      </c>
      <c r="E1423" s="4" t="inlineStr">
        <is>
          <t>Salı</t>
        </is>
      </c>
      <c r="F1423" s="4" t="inlineStr">
        <is>
          <t>20.10.2026</t>
        </is>
      </c>
      <c r="G1423" s="4" t="inlineStr">
        <is>
          <t>09:49</t>
        </is>
      </c>
      <c r="H1423" s="4" t="inlineStr">
        <is>
          <t>20.10.2026</t>
        </is>
      </c>
      <c r="I1423" s="4" t="inlineStr">
        <is>
          <t>19:00</t>
        </is>
      </c>
      <c r="J1423" s="8" t="n">
        <v>8</v>
      </c>
      <c r="K1423" s="8" t="n">
        <v>6</v>
      </c>
      <c r="L1423" s="8" t="n">
        <v>2</v>
      </c>
      <c r="M1423" s="29" t="inlineStr">
        <is>
          <t>MKP</t>
        </is>
      </c>
    </row>
    <row r="1424">
      <c r="A1424" s="4" t="n">
        <v>1423</v>
      </c>
      <c r="B1424" s="4" t="inlineStr">
        <is>
          <t>00223</t>
        </is>
      </c>
      <c r="C1424" s="4" t="inlineStr">
        <is>
          <t>00223</t>
        </is>
      </c>
      <c r="D1424" s="29" t="inlineStr">
        <is>
          <t>FATMAGÜL ÇEKİ</t>
        </is>
      </c>
      <c r="E1424" s="4" t="inlineStr">
        <is>
          <t>Çarşamba</t>
        </is>
      </c>
      <c r="F1424" s="4" t="inlineStr">
        <is>
          <t>21.10.2026</t>
        </is>
      </c>
      <c r="G1424" s="4" t="inlineStr">
        <is>
          <t>09:46</t>
        </is>
      </c>
      <c r="H1424" s="4" t="inlineStr">
        <is>
          <t>21.10.2026</t>
        </is>
      </c>
      <c r="I1424" s="4" t="inlineStr">
        <is>
          <t>19:02</t>
        </is>
      </c>
      <c r="J1424" s="8" t="n">
        <v>8</v>
      </c>
      <c r="K1424" s="8" t="n">
        <v>6</v>
      </c>
      <c r="L1424" s="8" t="n">
        <v>2</v>
      </c>
      <c r="M1424" s="29" t="inlineStr">
        <is>
          <t>MKP</t>
        </is>
      </c>
    </row>
    <row r="1425">
      <c r="A1425" s="4" t="n">
        <v>1424</v>
      </c>
      <c r="B1425" s="4" t="inlineStr">
        <is>
          <t>01414</t>
        </is>
      </c>
      <c r="C1425" s="4" t="inlineStr">
        <is>
          <t>01414</t>
        </is>
      </c>
      <c r="D1425" s="29" t="inlineStr">
        <is>
          <t>FERİDE YILDIZ</t>
        </is>
      </c>
      <c r="E1425" s="4" t="inlineStr">
        <is>
          <t>Pazar</t>
        </is>
      </c>
      <c r="F1425" s="4" t="inlineStr">
        <is>
          <t>4.10.2026</t>
        </is>
      </c>
      <c r="G1425" s="4" t="inlineStr">
        <is>
          <t>07:44</t>
        </is>
      </c>
      <c r="H1425" s="4" t="inlineStr">
        <is>
          <t>4.10.2026</t>
        </is>
      </c>
      <c r="I1425" s="4" t="inlineStr">
        <is>
          <t>17:16</t>
        </is>
      </c>
      <c r="J1425" s="8" t="n">
        <v>7.5</v>
      </c>
      <c r="K1425" s="8" t="n">
        <v>7.5</v>
      </c>
      <c r="L1425" s="8" t="n">
        <v>0</v>
      </c>
      <c r="M1425" s="29" t="inlineStr">
        <is>
          <t>HALİL DİĞRENCİ</t>
        </is>
      </c>
    </row>
    <row r="1426">
      <c r="A1426" s="4" t="n">
        <v>1425</v>
      </c>
      <c r="B1426" s="4" t="inlineStr">
        <is>
          <t>01414</t>
        </is>
      </c>
      <c r="C1426" s="4" t="inlineStr">
        <is>
          <t>01414</t>
        </is>
      </c>
      <c r="D1426" s="29" t="inlineStr">
        <is>
          <t>FERİDE YILDIZ</t>
        </is>
      </c>
      <c r="E1426" s="4" t="inlineStr">
        <is>
          <t>Çarşamba</t>
        </is>
      </c>
      <c r="F1426" s="4" t="inlineStr">
        <is>
          <t>7.10.2026</t>
        </is>
      </c>
      <c r="G1426" s="4" t="inlineStr">
        <is>
          <t>07:55</t>
        </is>
      </c>
      <c r="H1426" s="4" t="inlineStr">
        <is>
          <t>7.10.2026</t>
        </is>
      </c>
      <c r="I1426" s="4" t="inlineStr">
        <is>
          <t>20:04</t>
        </is>
      </c>
      <c r="J1426" s="8" t="n">
        <v>10.5</v>
      </c>
      <c r="K1426" s="8" t="n">
        <v>7.5</v>
      </c>
      <c r="L1426" s="8" t="n">
        <v>3</v>
      </c>
      <c r="M1426" s="29" t="inlineStr">
        <is>
          <t>HALİL DİĞRENCİ</t>
        </is>
      </c>
    </row>
    <row r="1427">
      <c r="A1427" s="4" t="n">
        <v>1426</v>
      </c>
      <c r="B1427" s="4" t="inlineStr">
        <is>
          <t>01414</t>
        </is>
      </c>
      <c r="C1427" s="4" t="inlineStr">
        <is>
          <t>01414</t>
        </is>
      </c>
      <c r="D1427" s="29" t="inlineStr">
        <is>
          <t>FERİDE YILDIZ</t>
        </is>
      </c>
      <c r="E1427" s="4" t="inlineStr">
        <is>
          <t>Perşembe</t>
        </is>
      </c>
      <c r="F1427" s="4" t="inlineStr">
        <is>
          <t>8.10.2026</t>
        </is>
      </c>
      <c r="G1427" s="4" t="inlineStr">
        <is>
          <t>07:48</t>
        </is>
      </c>
      <c r="H1427" s="4" t="inlineStr">
        <is>
          <t>8.10.2026</t>
        </is>
      </c>
      <c r="I1427" s="4" t="inlineStr">
        <is>
          <t>19:52</t>
        </is>
      </c>
      <c r="J1427" s="8" t="n">
        <v>10.5</v>
      </c>
      <c r="K1427" s="8" t="n">
        <v>7.5</v>
      </c>
      <c r="L1427" s="8" t="n">
        <v>3</v>
      </c>
      <c r="M1427" s="29" t="inlineStr">
        <is>
          <t>HALİL DİĞRENCİ</t>
        </is>
      </c>
    </row>
    <row r="1428">
      <c r="A1428" s="4" t="n">
        <v>1427</v>
      </c>
      <c r="B1428" s="4" t="inlineStr">
        <is>
          <t>01414</t>
        </is>
      </c>
      <c r="C1428" s="4" t="inlineStr">
        <is>
          <t>01414</t>
        </is>
      </c>
      <c r="D1428" s="29" t="inlineStr">
        <is>
          <t>FERİDE YILDIZ</t>
        </is>
      </c>
      <c r="E1428" s="4" t="inlineStr">
        <is>
          <t>Cuma</t>
        </is>
      </c>
      <c r="F1428" s="4" t="inlineStr">
        <is>
          <t>9.10.2026</t>
        </is>
      </c>
      <c r="G1428" s="4" t="inlineStr">
        <is>
          <t>07:53</t>
        </is>
      </c>
      <c r="H1428" s="4" t="inlineStr">
        <is>
          <t>9.10.2026</t>
        </is>
      </c>
      <c r="I1428" s="4" t="inlineStr">
        <is>
          <t>20:06</t>
        </is>
      </c>
      <c r="J1428" s="8" t="n">
        <v>10.5</v>
      </c>
      <c r="K1428" s="8" t="n">
        <v>7.5</v>
      </c>
      <c r="L1428" s="8" t="n">
        <v>3</v>
      </c>
      <c r="M1428" s="29" t="inlineStr">
        <is>
          <t>HALİL DİĞRENCİ</t>
        </is>
      </c>
    </row>
    <row r="1429">
      <c r="A1429" s="4" t="n">
        <v>1428</v>
      </c>
      <c r="B1429" s="4" t="inlineStr">
        <is>
          <t>01414</t>
        </is>
      </c>
      <c r="C1429" s="4" t="inlineStr">
        <is>
          <t>01414</t>
        </is>
      </c>
      <c r="D1429" s="29" t="inlineStr">
        <is>
          <t>FERİDE YILDIZ</t>
        </is>
      </c>
      <c r="E1429" s="4" t="inlineStr">
        <is>
          <t>Cumartesi</t>
        </is>
      </c>
      <c r="F1429" s="4" t="inlineStr">
        <is>
          <t>10.10.2026</t>
        </is>
      </c>
      <c r="G1429" s="4" t="inlineStr">
        <is>
          <t>08:00</t>
        </is>
      </c>
      <c r="H1429" s="4" t="inlineStr">
        <is>
          <t>10.10.2026</t>
        </is>
      </c>
      <c r="I1429" s="4" t="inlineStr">
        <is>
          <t>17:03</t>
        </is>
      </c>
      <c r="J1429" s="8" t="n">
        <v>7.5</v>
      </c>
      <c r="K1429" s="8" t="n">
        <v>7.5</v>
      </c>
      <c r="L1429" s="8" t="n">
        <v>0</v>
      </c>
      <c r="M1429" s="29" t="inlineStr">
        <is>
          <t>HALİL DİĞRENCİ</t>
        </is>
      </c>
    </row>
    <row r="1430">
      <c r="A1430" s="4" t="n">
        <v>1429</v>
      </c>
      <c r="B1430" s="4" t="inlineStr">
        <is>
          <t>01414</t>
        </is>
      </c>
      <c r="C1430" s="4" t="inlineStr">
        <is>
          <t>01414</t>
        </is>
      </c>
      <c r="D1430" s="29" t="inlineStr">
        <is>
          <t>FERİDE YILDIZ</t>
        </is>
      </c>
      <c r="E1430" s="4" t="inlineStr">
        <is>
          <t>Çarşamba</t>
        </is>
      </c>
      <c r="F1430" s="4" t="inlineStr">
        <is>
          <t>14.10.2026</t>
        </is>
      </c>
      <c r="G1430" s="4" t="inlineStr">
        <is>
          <t>08:00</t>
        </is>
      </c>
      <c r="H1430" s="4" t="inlineStr">
        <is>
          <t>14.10.2026</t>
        </is>
      </c>
      <c r="I1430" s="4" t="inlineStr">
        <is>
          <t>19:57</t>
        </is>
      </c>
      <c r="J1430" s="8" t="n">
        <v>10.5</v>
      </c>
      <c r="K1430" s="8" t="n">
        <v>7.5</v>
      </c>
      <c r="L1430" s="8" t="n">
        <v>3</v>
      </c>
      <c r="M1430" s="29" t="inlineStr">
        <is>
          <t>HALİL DİĞRENCİ</t>
        </is>
      </c>
    </row>
    <row r="1431">
      <c r="A1431" s="4" t="n">
        <v>1430</v>
      </c>
      <c r="B1431" s="4" t="inlineStr">
        <is>
          <t>01414</t>
        </is>
      </c>
      <c r="C1431" s="4" t="inlineStr">
        <is>
          <t>01414</t>
        </is>
      </c>
      <c r="D1431" s="29" t="inlineStr">
        <is>
          <t>FERİDE YILDIZ</t>
        </is>
      </c>
      <c r="E1431" s="4" t="inlineStr">
        <is>
          <t>Cuma</t>
        </is>
      </c>
      <c r="F1431" s="4" t="inlineStr">
        <is>
          <t>16.10.2026</t>
        </is>
      </c>
      <c r="G1431" s="4" t="inlineStr">
        <is>
          <t>07:58</t>
        </is>
      </c>
      <c r="H1431" s="4" t="inlineStr">
        <is>
          <t>16.10.2026</t>
        </is>
      </c>
      <c r="I1431" s="4" t="inlineStr">
        <is>
          <t>20:02</t>
        </is>
      </c>
      <c r="J1431" s="8" t="n">
        <v>10.5</v>
      </c>
      <c r="K1431" s="8" t="n">
        <v>7.5</v>
      </c>
      <c r="L1431" s="8" t="n">
        <v>3</v>
      </c>
      <c r="M1431" s="29" t="inlineStr">
        <is>
          <t>HALİL DİĞRENCİ</t>
        </is>
      </c>
    </row>
    <row r="1432">
      <c r="A1432" s="4" t="n">
        <v>1431</v>
      </c>
      <c r="B1432" s="4" t="inlineStr">
        <is>
          <t>01414</t>
        </is>
      </c>
      <c r="C1432" s="4" t="inlineStr">
        <is>
          <t>01414</t>
        </is>
      </c>
      <c r="D1432" s="29" t="inlineStr">
        <is>
          <t>FERİDE YILDIZ</t>
        </is>
      </c>
      <c r="E1432" s="4" t="inlineStr">
        <is>
          <t>Pazartesi</t>
        </is>
      </c>
      <c r="F1432" s="4" t="inlineStr">
        <is>
          <t>19.10.2026</t>
        </is>
      </c>
      <c r="G1432" s="4" t="inlineStr">
        <is>
          <t>08:05</t>
        </is>
      </c>
      <c r="H1432" s="4" t="inlineStr">
        <is>
          <t>19.10.2026</t>
        </is>
      </c>
      <c r="I1432" s="4" t="inlineStr">
        <is>
          <t>20:06</t>
        </is>
      </c>
      <c r="J1432" s="8" t="n">
        <v>10.5</v>
      </c>
      <c r="K1432" s="8" t="n">
        <v>7.5</v>
      </c>
      <c r="L1432" s="8" t="n">
        <v>3</v>
      </c>
      <c r="M1432" s="29" t="inlineStr">
        <is>
          <t>HALİL DİĞRENCİ</t>
        </is>
      </c>
    </row>
    <row r="1433">
      <c r="A1433" s="4" t="n">
        <v>1432</v>
      </c>
      <c r="B1433" s="4" t="inlineStr">
        <is>
          <t>01065</t>
        </is>
      </c>
      <c r="C1433" s="4" t="inlineStr">
        <is>
          <t>01065</t>
        </is>
      </c>
      <c r="D1433" s="29" t="inlineStr">
        <is>
          <t>FERUDUN BAKAN</t>
        </is>
      </c>
      <c r="E1433" s="4" t="inlineStr">
        <is>
          <t>Perşembe</t>
        </is>
      </c>
      <c r="F1433" s="4" t="inlineStr">
        <is>
          <t>1.10.2026</t>
        </is>
      </c>
      <c r="G1433" s="4" t="inlineStr">
        <is>
          <t>15:49</t>
        </is>
      </c>
      <c r="H1433" s="4" t="inlineStr">
        <is>
          <t>1.10.2026</t>
        </is>
      </c>
      <c r="I1433" s="4" t="inlineStr">
        <is>
          <t>00:04</t>
        </is>
      </c>
      <c r="J1433" s="8" t="n">
        <v>7.5</v>
      </c>
      <c r="K1433" s="8" t="n">
        <v>7.5</v>
      </c>
      <c r="L1433" s="8" t="n">
        <v>0</v>
      </c>
      <c r="M1433" s="29" t="inlineStr">
        <is>
          <t>BİGADİÇ</t>
        </is>
      </c>
    </row>
    <row r="1434">
      <c r="A1434" s="4" t="n">
        <v>1433</v>
      </c>
      <c r="B1434" s="4" t="inlineStr">
        <is>
          <t>01065</t>
        </is>
      </c>
      <c r="C1434" s="4" t="inlineStr">
        <is>
          <t>01065</t>
        </is>
      </c>
      <c r="D1434" s="29" t="inlineStr">
        <is>
          <t>FERUDUN BAKAN</t>
        </is>
      </c>
      <c r="E1434" s="4" t="inlineStr">
        <is>
          <t>Cuma</t>
        </is>
      </c>
      <c r="F1434" s="4" t="inlineStr">
        <is>
          <t>2.10.2026</t>
        </is>
      </c>
      <c r="G1434" s="4" t="inlineStr">
        <is>
          <t>15:45</t>
        </is>
      </c>
      <c r="H1434" s="4" t="inlineStr">
        <is>
          <t>2.10.2026</t>
        </is>
      </c>
      <c r="I1434" s="4" t="inlineStr">
        <is>
          <t>00:01</t>
        </is>
      </c>
      <c r="J1434" s="8" t="n">
        <v>7.5</v>
      </c>
      <c r="K1434" s="8" t="n">
        <v>7.5</v>
      </c>
      <c r="L1434" s="8" t="n">
        <v>0</v>
      </c>
      <c r="M1434" s="29" t="inlineStr">
        <is>
          <t>BİGADİÇ</t>
        </is>
      </c>
    </row>
    <row r="1435">
      <c r="A1435" s="4" t="n">
        <v>1434</v>
      </c>
      <c r="B1435" s="4" t="inlineStr">
        <is>
          <t>01065</t>
        </is>
      </c>
      <c r="C1435" s="4" t="inlineStr">
        <is>
          <t>01065</t>
        </is>
      </c>
      <c r="D1435" s="29" t="inlineStr">
        <is>
          <t>FERUDUN BAKAN</t>
        </is>
      </c>
      <c r="E1435" s="4" t="inlineStr">
        <is>
          <t>Cumartesi</t>
        </is>
      </c>
      <c r="F1435" s="4" t="inlineStr">
        <is>
          <t>3.10.2026</t>
        </is>
      </c>
      <c r="G1435" s="4" t="inlineStr">
        <is>
          <t>16:06</t>
        </is>
      </c>
      <c r="H1435" s="4" t="inlineStr">
        <is>
          <t>3.10.2026</t>
        </is>
      </c>
      <c r="I1435" s="4" t="inlineStr">
        <is>
          <t>23:59</t>
        </is>
      </c>
      <c r="J1435" s="8" t="n">
        <v>7.5</v>
      </c>
      <c r="K1435" s="8" t="n">
        <v>7.5</v>
      </c>
      <c r="L1435" s="8" t="n">
        <v>0</v>
      </c>
      <c r="M1435" s="29" t="inlineStr">
        <is>
          <t>BİGADİÇ</t>
        </is>
      </c>
    </row>
    <row r="1436">
      <c r="A1436" s="4" t="n">
        <v>1435</v>
      </c>
      <c r="B1436" s="4" t="inlineStr">
        <is>
          <t>01065</t>
        </is>
      </c>
      <c r="C1436" s="4" t="inlineStr">
        <is>
          <t>01065</t>
        </is>
      </c>
      <c r="D1436" s="29" t="inlineStr">
        <is>
          <t>FERUDUN BAKAN</t>
        </is>
      </c>
      <c r="E1436" s="4" t="inlineStr">
        <is>
          <t>Pazartesi</t>
        </is>
      </c>
      <c r="F1436" s="4" t="inlineStr">
        <is>
          <t>5.10.2026</t>
        </is>
      </c>
      <c r="G1436" s="4" t="inlineStr">
        <is>
          <t>16:04</t>
        </is>
      </c>
      <c r="H1436" s="4" t="inlineStr">
        <is>
          <t>5.10.2026</t>
        </is>
      </c>
      <c r="I1436" s="4" t="inlineStr">
        <is>
          <t>00:01</t>
        </is>
      </c>
      <c r="J1436" s="8" t="n">
        <v>7.5</v>
      </c>
      <c r="K1436" s="8" t="n">
        <v>7.5</v>
      </c>
      <c r="L1436" s="8" t="n">
        <v>0</v>
      </c>
      <c r="M1436" s="29" t="inlineStr">
        <is>
          <t>BİGADİÇ</t>
        </is>
      </c>
    </row>
    <row r="1437">
      <c r="A1437" s="4" t="n">
        <v>1436</v>
      </c>
      <c r="B1437" s="4" t="inlineStr">
        <is>
          <t>01065</t>
        </is>
      </c>
      <c r="C1437" s="4" t="inlineStr">
        <is>
          <t>01065</t>
        </is>
      </c>
      <c r="D1437" s="29" t="inlineStr">
        <is>
          <t>FERUDUN BAKAN</t>
        </is>
      </c>
      <c r="E1437" s="4" t="inlineStr">
        <is>
          <t>Salı</t>
        </is>
      </c>
      <c r="F1437" s="4" t="inlineStr">
        <is>
          <t>6.10.2026</t>
        </is>
      </c>
      <c r="G1437" s="4" t="inlineStr">
        <is>
          <t>15:45</t>
        </is>
      </c>
      <c r="H1437" s="4" t="inlineStr">
        <is>
          <t>6.10.2026</t>
        </is>
      </c>
      <c r="I1437" s="4" t="inlineStr">
        <is>
          <t>00:02</t>
        </is>
      </c>
      <c r="J1437" s="8" t="n">
        <v>7.5</v>
      </c>
      <c r="K1437" s="8" t="n">
        <v>7.5</v>
      </c>
      <c r="L1437" s="8" t="n">
        <v>0</v>
      </c>
      <c r="M1437" s="29" t="inlineStr">
        <is>
          <t>BİGADİÇ</t>
        </is>
      </c>
    </row>
    <row r="1438">
      <c r="A1438" s="4" t="n">
        <v>1437</v>
      </c>
      <c r="B1438" s="4" t="inlineStr">
        <is>
          <t>01065</t>
        </is>
      </c>
      <c r="C1438" s="4" t="inlineStr">
        <is>
          <t>01065</t>
        </is>
      </c>
      <c r="D1438" s="29" t="inlineStr">
        <is>
          <t>FERUDUN BAKAN</t>
        </is>
      </c>
      <c r="E1438" s="4" t="inlineStr">
        <is>
          <t>Çarşamba</t>
        </is>
      </c>
      <c r="F1438" s="4" t="inlineStr">
        <is>
          <t>7.10.2026</t>
        </is>
      </c>
      <c r="G1438" s="4" t="inlineStr">
        <is>
          <t>15:54</t>
        </is>
      </c>
      <c r="H1438" s="4" t="inlineStr">
        <is>
          <t>7.10.2026</t>
        </is>
      </c>
      <c r="I1438" s="4" t="inlineStr">
        <is>
          <t>00:03</t>
        </is>
      </c>
      <c r="J1438" s="8" t="n">
        <v>7.5</v>
      </c>
      <c r="K1438" s="8" t="n">
        <v>7.5</v>
      </c>
      <c r="L1438" s="8" t="n">
        <v>0</v>
      </c>
      <c r="M1438" s="29" t="inlineStr">
        <is>
          <t>BİGADİÇ</t>
        </is>
      </c>
    </row>
    <row r="1439">
      <c r="A1439" s="4" t="n">
        <v>1438</v>
      </c>
      <c r="B1439" s="4" t="inlineStr">
        <is>
          <t>01065</t>
        </is>
      </c>
      <c r="C1439" s="4" t="inlineStr">
        <is>
          <t>01065</t>
        </is>
      </c>
      <c r="D1439" s="29" t="inlineStr">
        <is>
          <t>FERUDUN BAKAN</t>
        </is>
      </c>
      <c r="E1439" s="4" t="inlineStr">
        <is>
          <t>Perşembe</t>
        </is>
      </c>
      <c r="F1439" s="4" t="inlineStr">
        <is>
          <t>8.10.2026</t>
        </is>
      </c>
      <c r="G1439" s="4" t="inlineStr">
        <is>
          <t>15:53</t>
        </is>
      </c>
      <c r="H1439" s="4" t="inlineStr">
        <is>
          <t>8.10.2026</t>
        </is>
      </c>
      <c r="I1439" s="4" t="inlineStr">
        <is>
          <t>00:03</t>
        </is>
      </c>
      <c r="J1439" s="8" t="n">
        <v>7.5</v>
      </c>
      <c r="K1439" s="8" t="n">
        <v>7.5</v>
      </c>
      <c r="L1439" s="8" t="n">
        <v>0</v>
      </c>
      <c r="M1439" s="29" t="inlineStr">
        <is>
          <t>BİGADİÇ</t>
        </is>
      </c>
    </row>
    <row r="1440">
      <c r="A1440" s="4" t="n">
        <v>1439</v>
      </c>
      <c r="B1440" s="4" t="inlineStr">
        <is>
          <t>01065</t>
        </is>
      </c>
      <c r="C1440" s="4" t="inlineStr">
        <is>
          <t>01065</t>
        </is>
      </c>
      <c r="D1440" s="29" t="inlineStr">
        <is>
          <t>FERUDUN BAKAN</t>
        </is>
      </c>
      <c r="E1440" s="4" t="inlineStr">
        <is>
          <t>Cuma</t>
        </is>
      </c>
      <c r="F1440" s="4" t="inlineStr">
        <is>
          <t>9.10.2026</t>
        </is>
      </c>
      <c r="G1440" s="4" t="inlineStr">
        <is>
          <t>15:52</t>
        </is>
      </c>
      <c r="H1440" s="4" t="inlineStr">
        <is>
          <t>9.10.2026</t>
        </is>
      </c>
      <c r="I1440" s="4" t="inlineStr">
        <is>
          <t>23:59</t>
        </is>
      </c>
      <c r="J1440" s="8" t="n">
        <v>7.5</v>
      </c>
      <c r="K1440" s="8" t="n">
        <v>7.5</v>
      </c>
      <c r="L1440" s="8" t="n">
        <v>0</v>
      </c>
      <c r="M1440" s="29" t="inlineStr">
        <is>
          <t>BİGADİÇ</t>
        </is>
      </c>
    </row>
    <row r="1441">
      <c r="A1441" s="4" t="n">
        <v>1440</v>
      </c>
      <c r="B1441" s="4" t="inlineStr">
        <is>
          <t>01065</t>
        </is>
      </c>
      <c r="C1441" s="4" t="inlineStr">
        <is>
          <t>01065</t>
        </is>
      </c>
      <c r="D1441" s="29" t="inlineStr">
        <is>
          <t>FERUDUN BAKAN</t>
        </is>
      </c>
      <c r="E1441" s="4" t="inlineStr">
        <is>
          <t>Cumartesi</t>
        </is>
      </c>
      <c r="F1441" s="4" t="inlineStr">
        <is>
          <t>10.10.2026</t>
        </is>
      </c>
      <c r="G1441" s="4" t="inlineStr">
        <is>
          <t>15:53</t>
        </is>
      </c>
      <c r="H1441" s="4" t="inlineStr">
        <is>
          <t>10.10.2026</t>
        </is>
      </c>
      <c r="I1441" s="4" t="inlineStr">
        <is>
          <t>00:06</t>
        </is>
      </c>
      <c r="J1441" s="8" t="n">
        <v>7.5</v>
      </c>
      <c r="K1441" s="8" t="n">
        <v>7.5</v>
      </c>
      <c r="L1441" s="8" t="n">
        <v>0</v>
      </c>
      <c r="M1441" s="29" t="inlineStr">
        <is>
          <t>BİGADİÇ</t>
        </is>
      </c>
    </row>
    <row r="1442">
      <c r="A1442" s="4" t="n">
        <v>1441</v>
      </c>
      <c r="B1442" s="4" t="inlineStr">
        <is>
          <t>01065</t>
        </is>
      </c>
      <c r="C1442" s="4" t="inlineStr">
        <is>
          <t>01065</t>
        </is>
      </c>
      <c r="D1442" s="29" t="inlineStr">
        <is>
          <t>FERUDUN BAKAN</t>
        </is>
      </c>
      <c r="E1442" s="4" t="inlineStr">
        <is>
          <t>Pazartesi</t>
        </is>
      </c>
      <c r="F1442" s="4" t="inlineStr">
        <is>
          <t>12.10.2026</t>
        </is>
      </c>
      <c r="G1442" s="4" t="inlineStr">
        <is>
          <t>15:44</t>
        </is>
      </c>
      <c r="H1442" s="4" t="inlineStr">
        <is>
          <t>12.10.2026</t>
        </is>
      </c>
      <c r="I1442" s="4" t="inlineStr">
        <is>
          <t>00:00</t>
        </is>
      </c>
      <c r="J1442" s="8" t="n">
        <v>7.5</v>
      </c>
      <c r="K1442" s="8" t="n">
        <v>7.5</v>
      </c>
      <c r="L1442" s="8" t="n">
        <v>0</v>
      </c>
      <c r="M1442" s="29" t="inlineStr">
        <is>
          <t>BİGADİÇ</t>
        </is>
      </c>
    </row>
    <row r="1443">
      <c r="A1443" s="4" t="n">
        <v>1442</v>
      </c>
      <c r="B1443" s="4" t="inlineStr">
        <is>
          <t>01065</t>
        </is>
      </c>
      <c r="C1443" s="4" t="inlineStr">
        <is>
          <t>01065</t>
        </is>
      </c>
      <c r="D1443" s="29" t="inlineStr">
        <is>
          <t>FERUDUN BAKAN</t>
        </is>
      </c>
      <c r="E1443" s="4" t="inlineStr">
        <is>
          <t>Salı</t>
        </is>
      </c>
      <c r="F1443" s="4" t="inlineStr">
        <is>
          <t>13.10.2026</t>
        </is>
      </c>
      <c r="G1443" s="4" t="inlineStr">
        <is>
          <t>15:54</t>
        </is>
      </c>
      <c r="H1443" s="4" t="inlineStr">
        <is>
          <t>13.10.2026</t>
        </is>
      </c>
      <c r="I1443" s="4" t="inlineStr">
        <is>
          <t>00:00</t>
        </is>
      </c>
      <c r="J1443" s="8" t="n">
        <v>7.5</v>
      </c>
      <c r="K1443" s="8" t="n">
        <v>7.5</v>
      </c>
      <c r="L1443" s="8" t="n">
        <v>0</v>
      </c>
      <c r="M1443" s="29" t="inlineStr">
        <is>
          <t>BİGADİÇ</t>
        </is>
      </c>
    </row>
    <row r="1444">
      <c r="A1444" s="4" t="n">
        <v>1443</v>
      </c>
      <c r="B1444" s="4" t="inlineStr">
        <is>
          <t>01065</t>
        </is>
      </c>
      <c r="C1444" s="4" t="inlineStr">
        <is>
          <t>01065</t>
        </is>
      </c>
      <c r="D1444" s="29" t="inlineStr">
        <is>
          <t>FERUDUN BAKAN</t>
        </is>
      </c>
      <c r="E1444" s="4" t="inlineStr">
        <is>
          <t>Çarşamba</t>
        </is>
      </c>
      <c r="F1444" s="4" t="inlineStr">
        <is>
          <t>14.10.2026</t>
        </is>
      </c>
      <c r="G1444" s="4" t="inlineStr">
        <is>
          <t>15:55</t>
        </is>
      </c>
      <c r="H1444" s="4" t="inlineStr">
        <is>
          <t>14.10.2026</t>
        </is>
      </c>
      <c r="I1444" s="4" t="inlineStr">
        <is>
          <t>00:30</t>
        </is>
      </c>
      <c r="J1444" s="8" t="n">
        <v>8</v>
      </c>
      <c r="K1444" s="8" t="n">
        <v>7.5</v>
      </c>
      <c r="L1444" s="8" t="n">
        <v>0.5</v>
      </c>
      <c r="M1444" s="29" t="inlineStr">
        <is>
          <t>BİGADİÇ</t>
        </is>
      </c>
    </row>
    <row r="1445">
      <c r="A1445" s="4" t="n">
        <v>1444</v>
      </c>
      <c r="B1445" s="4" t="inlineStr">
        <is>
          <t>01065</t>
        </is>
      </c>
      <c r="C1445" s="4" t="inlineStr">
        <is>
          <t>01065</t>
        </is>
      </c>
      <c r="D1445" s="29" t="inlineStr">
        <is>
          <t>FERUDUN BAKAN</t>
        </is>
      </c>
      <c r="E1445" s="4" t="inlineStr">
        <is>
          <t>Perşembe</t>
        </is>
      </c>
      <c r="F1445" s="4" t="inlineStr">
        <is>
          <t>15.10.2026</t>
        </is>
      </c>
      <c r="G1445" s="4" t="inlineStr">
        <is>
          <t>15:58</t>
        </is>
      </c>
      <c r="H1445" s="4" t="inlineStr">
        <is>
          <t>15.10.2026</t>
        </is>
      </c>
      <c r="I1445" s="4" t="inlineStr">
        <is>
          <t>23:59</t>
        </is>
      </c>
      <c r="J1445" s="8" t="n">
        <v>7.5</v>
      </c>
      <c r="K1445" s="8" t="n">
        <v>7.5</v>
      </c>
      <c r="L1445" s="8" t="n">
        <v>0</v>
      </c>
      <c r="M1445" s="29" t="inlineStr">
        <is>
          <t>BİGADİÇ</t>
        </is>
      </c>
    </row>
    <row r="1446">
      <c r="A1446" s="4" t="n">
        <v>1445</v>
      </c>
      <c r="B1446" s="4" t="inlineStr">
        <is>
          <t>01065</t>
        </is>
      </c>
      <c r="C1446" s="4" t="inlineStr">
        <is>
          <t>01065</t>
        </is>
      </c>
      <c r="D1446" s="29" t="inlineStr">
        <is>
          <t>FERUDUN BAKAN</t>
        </is>
      </c>
      <c r="E1446" s="4" t="inlineStr">
        <is>
          <t>Cuma</t>
        </is>
      </c>
      <c r="F1446" s="4" t="inlineStr">
        <is>
          <t>16.10.2026</t>
        </is>
      </c>
      <c r="G1446" s="4" t="inlineStr">
        <is>
          <t>15:58</t>
        </is>
      </c>
      <c r="H1446" s="4" t="inlineStr">
        <is>
          <t>16.10.2026</t>
        </is>
      </c>
      <c r="I1446" s="4" t="inlineStr">
        <is>
          <t>23:58</t>
        </is>
      </c>
      <c r="J1446" s="8" t="n">
        <v>7.5</v>
      </c>
      <c r="K1446" s="8" t="n">
        <v>7.5</v>
      </c>
      <c r="L1446" s="8" t="n">
        <v>0</v>
      </c>
      <c r="M1446" s="29" t="inlineStr">
        <is>
          <t>BİGADİÇ</t>
        </is>
      </c>
    </row>
    <row r="1447">
      <c r="A1447" s="4" t="n">
        <v>1446</v>
      </c>
      <c r="B1447" s="4" t="inlineStr">
        <is>
          <t>01065</t>
        </is>
      </c>
      <c r="C1447" s="4" t="inlineStr">
        <is>
          <t>01065</t>
        </is>
      </c>
      <c r="D1447" s="29" t="inlineStr">
        <is>
          <t>FERUDUN BAKAN</t>
        </is>
      </c>
      <c r="E1447" s="4" t="inlineStr">
        <is>
          <t>Cumartesi</t>
        </is>
      </c>
      <c r="F1447" s="4" t="inlineStr">
        <is>
          <t>17.10.2026</t>
        </is>
      </c>
      <c r="G1447" s="4" t="inlineStr">
        <is>
          <t>15:53</t>
        </is>
      </c>
      <c r="H1447" s="4" t="inlineStr">
        <is>
          <t>17.10.2026</t>
        </is>
      </c>
      <c r="I1447" s="4" t="inlineStr">
        <is>
          <t>23:59</t>
        </is>
      </c>
      <c r="J1447" s="8" t="n">
        <v>7.5</v>
      </c>
      <c r="K1447" s="8" t="n">
        <v>7.5</v>
      </c>
      <c r="L1447" s="8" t="n">
        <v>0</v>
      </c>
      <c r="M1447" s="29" t="inlineStr">
        <is>
          <t>BİGADİÇ</t>
        </is>
      </c>
    </row>
    <row r="1448">
      <c r="A1448" s="4" t="n">
        <v>1447</v>
      </c>
      <c r="B1448" s="4" t="inlineStr">
        <is>
          <t>01065</t>
        </is>
      </c>
      <c r="C1448" s="4" t="inlineStr">
        <is>
          <t>01065</t>
        </is>
      </c>
      <c r="D1448" s="29" t="inlineStr">
        <is>
          <t>FERUDUN BAKAN</t>
        </is>
      </c>
      <c r="E1448" s="4" t="inlineStr">
        <is>
          <t>Pazartesi</t>
        </is>
      </c>
      <c r="F1448" s="4" t="inlineStr">
        <is>
          <t>19.10.2026</t>
        </is>
      </c>
      <c r="G1448" s="4" t="inlineStr">
        <is>
          <t>15:53</t>
        </is>
      </c>
      <c r="H1448" s="4" t="inlineStr">
        <is>
          <t>19.10.2026</t>
        </is>
      </c>
      <c r="I1448" s="4" t="inlineStr">
        <is>
          <t>00:02</t>
        </is>
      </c>
      <c r="J1448" s="8" t="n">
        <v>7.5</v>
      </c>
      <c r="K1448" s="8" t="n">
        <v>7.5</v>
      </c>
      <c r="L1448" s="8" t="n">
        <v>0</v>
      </c>
      <c r="M1448" s="29" t="inlineStr">
        <is>
          <t>BİGADİÇ</t>
        </is>
      </c>
    </row>
    <row r="1449">
      <c r="A1449" s="4" t="n">
        <v>1448</v>
      </c>
      <c r="B1449" s="4" t="inlineStr">
        <is>
          <t>01065</t>
        </is>
      </c>
      <c r="C1449" s="4" t="inlineStr">
        <is>
          <t>01065</t>
        </is>
      </c>
      <c r="D1449" s="29" t="inlineStr">
        <is>
          <t>FERUDUN BAKAN</t>
        </is>
      </c>
      <c r="E1449" s="4" t="inlineStr">
        <is>
          <t>Salı</t>
        </is>
      </c>
      <c r="F1449" s="4" t="inlineStr">
        <is>
          <t>20.10.2026</t>
        </is>
      </c>
      <c r="G1449" s="4" t="inlineStr">
        <is>
          <t>16:04</t>
        </is>
      </c>
      <c r="H1449" s="4" t="inlineStr">
        <is>
          <t>20.10.2026</t>
        </is>
      </c>
      <c r="I1449" s="4" t="inlineStr">
        <is>
          <t>23:59</t>
        </is>
      </c>
      <c r="J1449" s="8" t="n">
        <v>7.5</v>
      </c>
      <c r="K1449" s="8" t="n">
        <v>7.5</v>
      </c>
      <c r="L1449" s="8" t="n">
        <v>0</v>
      </c>
      <c r="M1449" s="29" t="inlineStr">
        <is>
          <t>BİGADİÇ</t>
        </is>
      </c>
    </row>
    <row r="1450">
      <c r="A1450" s="4" t="n">
        <v>1449</v>
      </c>
      <c r="B1450" s="4" t="inlineStr">
        <is>
          <t>01065</t>
        </is>
      </c>
      <c r="C1450" s="4" t="inlineStr">
        <is>
          <t>01065</t>
        </is>
      </c>
      <c r="D1450" s="29" t="inlineStr">
        <is>
          <t>FERUDUN BAKAN</t>
        </is>
      </c>
      <c r="E1450" s="4" t="inlineStr">
        <is>
          <t>Çarşamba</t>
        </is>
      </c>
      <c r="F1450" s="4" t="inlineStr">
        <is>
          <t>21.10.2026</t>
        </is>
      </c>
      <c r="G1450" s="4" t="inlineStr">
        <is>
          <t>15:50</t>
        </is>
      </c>
      <c r="H1450" s="4" t="inlineStr">
        <is>
          <t>21.10.2026</t>
        </is>
      </c>
      <c r="I1450" s="4" t="inlineStr">
        <is>
          <t>-</t>
        </is>
      </c>
      <c r="J1450" s="8" t="n">
        <v>7.5</v>
      </c>
      <c r="K1450" s="8" t="n">
        <v>7.5</v>
      </c>
      <c r="L1450" s="8" t="n">
        <v>0</v>
      </c>
      <c r="M1450" s="29" t="inlineStr">
        <is>
          <t>BİGADİÇ</t>
        </is>
      </c>
    </row>
    <row r="1451">
      <c r="A1451" s="4" t="n">
        <v>1450</v>
      </c>
      <c r="B1451" s="4" t="inlineStr">
        <is>
          <t>00224</t>
        </is>
      </c>
      <c r="C1451" s="4" t="inlineStr">
        <is>
          <t>00224</t>
        </is>
      </c>
      <c r="D1451" s="29" t="inlineStr">
        <is>
          <t>FEVZİYE EREL</t>
        </is>
      </c>
      <c r="E1451" s="4" t="inlineStr">
        <is>
          <t>Perşembe</t>
        </is>
      </c>
      <c r="F1451" s="4" t="inlineStr">
        <is>
          <t>1.10.2026</t>
        </is>
      </c>
      <c r="G1451" s="4" t="inlineStr">
        <is>
          <t>07:49</t>
        </is>
      </c>
      <c r="H1451" s="4" t="inlineStr">
        <is>
          <t>1.10.2026</t>
        </is>
      </c>
      <c r="I1451" s="4" t="inlineStr">
        <is>
          <t>17:28</t>
        </is>
      </c>
      <c r="J1451" s="8" t="n">
        <v>8</v>
      </c>
      <c r="K1451" s="8" t="n">
        <v>7.5</v>
      </c>
      <c r="L1451" s="8" t="n">
        <v>0.5</v>
      </c>
      <c r="M1451" s="29" t="inlineStr">
        <is>
          <t>HALİL DİĞRENCİ</t>
        </is>
      </c>
    </row>
    <row r="1452">
      <c r="A1452" s="4" t="n">
        <v>1451</v>
      </c>
      <c r="B1452" s="4" t="inlineStr">
        <is>
          <t>00224</t>
        </is>
      </c>
      <c r="C1452" s="4" t="inlineStr">
        <is>
          <t>00224</t>
        </is>
      </c>
      <c r="D1452" s="29" t="inlineStr">
        <is>
          <t>FEVZİYE EREL</t>
        </is>
      </c>
      <c r="E1452" s="4" t="inlineStr">
        <is>
          <t>Cuma</t>
        </is>
      </c>
      <c r="F1452" s="4" t="inlineStr">
        <is>
          <t>2.10.2026</t>
        </is>
      </c>
      <c r="G1452" s="4" t="inlineStr">
        <is>
          <t>07:47</t>
        </is>
      </c>
      <c r="H1452" s="4" t="inlineStr">
        <is>
          <t>2.10.2026</t>
        </is>
      </c>
      <c r="I1452" s="4" t="inlineStr">
        <is>
          <t>17:45</t>
        </is>
      </c>
      <c r="J1452" s="8" t="n">
        <v>8.5</v>
      </c>
      <c r="K1452" s="8" t="n">
        <v>7.5</v>
      </c>
      <c r="L1452" s="8" t="n">
        <v>1</v>
      </c>
      <c r="M1452" s="29" t="inlineStr">
        <is>
          <t>HALİL DİĞRENCİ</t>
        </is>
      </c>
    </row>
    <row r="1453">
      <c r="A1453" s="4" t="n">
        <v>1452</v>
      </c>
      <c r="B1453" s="4" t="inlineStr">
        <is>
          <t>00224</t>
        </is>
      </c>
      <c r="C1453" s="4" t="inlineStr">
        <is>
          <t>00224</t>
        </is>
      </c>
      <c r="D1453" s="29" t="inlineStr">
        <is>
          <t>FEVZİYE EREL</t>
        </is>
      </c>
      <c r="E1453" s="4" t="inlineStr">
        <is>
          <t>Cumartesi</t>
        </is>
      </c>
      <c r="F1453" s="4" t="inlineStr">
        <is>
          <t>3.10.2026</t>
        </is>
      </c>
      <c r="G1453" s="4" t="inlineStr">
        <is>
          <t>07:46</t>
        </is>
      </c>
      <c r="H1453" s="4" t="inlineStr">
        <is>
          <t>3.10.2026</t>
        </is>
      </c>
      <c r="I1453" s="4" t="inlineStr">
        <is>
          <t>17:38</t>
        </is>
      </c>
      <c r="J1453" s="8" t="n">
        <v>8</v>
      </c>
      <c r="K1453" s="8" t="n">
        <v>7.5</v>
      </c>
      <c r="L1453" s="8" t="n">
        <v>0.5</v>
      </c>
      <c r="M1453" s="29" t="inlineStr">
        <is>
          <t>HALİL DİĞRENCİ</t>
        </is>
      </c>
    </row>
    <row r="1454">
      <c r="A1454" s="4" t="n">
        <v>1453</v>
      </c>
      <c r="B1454" s="4" t="inlineStr">
        <is>
          <t>00224</t>
        </is>
      </c>
      <c r="C1454" s="4" t="inlineStr">
        <is>
          <t>00224</t>
        </is>
      </c>
      <c r="D1454" s="29" t="inlineStr">
        <is>
          <t>FEVZİYE EREL</t>
        </is>
      </c>
      <c r="E1454" s="4" t="inlineStr">
        <is>
          <t>Pazartesi</t>
        </is>
      </c>
      <c r="F1454" s="4" t="inlineStr">
        <is>
          <t>5.10.2026</t>
        </is>
      </c>
      <c r="G1454" s="4" t="inlineStr">
        <is>
          <t>08:02</t>
        </is>
      </c>
      <c r="H1454" s="4" t="inlineStr">
        <is>
          <t>5.10.2026</t>
        </is>
      </c>
      <c r="I1454" s="4" t="inlineStr">
        <is>
          <t>17:05</t>
        </is>
      </c>
      <c r="J1454" s="8" t="n">
        <v>7.5</v>
      </c>
      <c r="K1454" s="8" t="n">
        <v>7.5</v>
      </c>
      <c r="L1454" s="8" t="n">
        <v>0</v>
      </c>
      <c r="M1454" s="29" t="inlineStr">
        <is>
          <t>HALİL DİĞRENCİ</t>
        </is>
      </c>
    </row>
    <row r="1455">
      <c r="A1455" s="4" t="n">
        <v>1454</v>
      </c>
      <c r="B1455" s="4" t="inlineStr">
        <is>
          <t>00224</t>
        </is>
      </c>
      <c r="C1455" s="4" t="inlineStr">
        <is>
          <t>00224</t>
        </is>
      </c>
      <c r="D1455" s="29" t="inlineStr">
        <is>
          <t>FEVZİYE EREL</t>
        </is>
      </c>
      <c r="E1455" s="4" t="inlineStr">
        <is>
          <t>Salı</t>
        </is>
      </c>
      <c r="F1455" s="4" t="inlineStr">
        <is>
          <t>6.10.2026</t>
        </is>
      </c>
      <c r="G1455" s="4" t="inlineStr">
        <is>
          <t>07:58</t>
        </is>
      </c>
      <c r="H1455" s="4" t="inlineStr">
        <is>
          <t>6.10.2026</t>
        </is>
      </c>
      <c r="I1455" s="4" t="inlineStr">
        <is>
          <t>17:39</t>
        </is>
      </c>
      <c r="J1455" s="8" t="n">
        <v>8</v>
      </c>
      <c r="K1455" s="8" t="n">
        <v>7.5</v>
      </c>
      <c r="L1455" s="8" t="n">
        <v>0.5</v>
      </c>
      <c r="M1455" s="29" t="inlineStr">
        <is>
          <t>HALİL DİĞRENCİ</t>
        </is>
      </c>
    </row>
    <row r="1456">
      <c r="A1456" s="4" t="n">
        <v>1455</v>
      </c>
      <c r="B1456" s="4" t="inlineStr">
        <is>
          <t>00224</t>
        </is>
      </c>
      <c r="C1456" s="4" t="inlineStr">
        <is>
          <t>00224</t>
        </is>
      </c>
      <c r="D1456" s="29" t="inlineStr">
        <is>
          <t>FEVZİYE EREL</t>
        </is>
      </c>
      <c r="E1456" s="4" t="inlineStr">
        <is>
          <t>Çarşamba</t>
        </is>
      </c>
      <c r="F1456" s="4" t="inlineStr">
        <is>
          <t>7.10.2026</t>
        </is>
      </c>
      <c r="G1456" s="4" t="inlineStr">
        <is>
          <t>07:48</t>
        </is>
      </c>
      <c r="H1456" s="4" t="inlineStr">
        <is>
          <t>7.10.2026</t>
        </is>
      </c>
      <c r="I1456" s="4" t="inlineStr">
        <is>
          <t>17:23</t>
        </is>
      </c>
      <c r="J1456" s="8" t="n">
        <v>8</v>
      </c>
      <c r="K1456" s="8" t="n">
        <v>7.5</v>
      </c>
      <c r="L1456" s="8" t="n">
        <v>0.5</v>
      </c>
      <c r="M1456" s="29" t="inlineStr">
        <is>
          <t>HALİL DİĞRENCİ</t>
        </is>
      </c>
    </row>
    <row r="1457">
      <c r="A1457" s="4" t="n">
        <v>1456</v>
      </c>
      <c r="B1457" s="4" t="inlineStr">
        <is>
          <t>00224</t>
        </is>
      </c>
      <c r="C1457" s="4" t="inlineStr">
        <is>
          <t>00224</t>
        </is>
      </c>
      <c r="D1457" s="29" t="inlineStr">
        <is>
          <t>FEVZİYE EREL</t>
        </is>
      </c>
      <c r="E1457" s="4" t="inlineStr">
        <is>
          <t>Cuma</t>
        </is>
      </c>
      <c r="F1457" s="4" t="inlineStr">
        <is>
          <t>9.10.2026</t>
        </is>
      </c>
      <c r="G1457" s="4" t="inlineStr">
        <is>
          <t>07:59</t>
        </is>
      </c>
      <c r="H1457" s="4" t="inlineStr">
        <is>
          <t>9.10.2026</t>
        </is>
      </c>
      <c r="I1457" s="4" t="inlineStr">
        <is>
          <t>17:41</t>
        </is>
      </c>
      <c r="J1457" s="8" t="n">
        <v>8</v>
      </c>
      <c r="K1457" s="8" t="n">
        <v>7.5</v>
      </c>
      <c r="L1457" s="8" t="n">
        <v>0.5</v>
      </c>
      <c r="M1457" s="29" t="inlineStr">
        <is>
          <t>HALİL DİĞRENCİ</t>
        </is>
      </c>
    </row>
    <row r="1458">
      <c r="A1458" s="4" t="n">
        <v>1457</v>
      </c>
      <c r="B1458" s="4" t="inlineStr">
        <is>
          <t>00224</t>
        </is>
      </c>
      <c r="C1458" s="4" t="inlineStr">
        <is>
          <t>00224</t>
        </is>
      </c>
      <c r="D1458" s="29" t="inlineStr">
        <is>
          <t>FEVZİYE EREL</t>
        </is>
      </c>
      <c r="E1458" s="4" t="inlineStr">
        <is>
          <t>Cumartesi</t>
        </is>
      </c>
      <c r="F1458" s="4" t="inlineStr">
        <is>
          <t>10.10.2026</t>
        </is>
      </c>
      <c r="G1458" s="4" t="inlineStr">
        <is>
          <t>08:02</t>
        </is>
      </c>
      <c r="H1458" s="4" t="inlineStr">
        <is>
          <t>10.10.2026</t>
        </is>
      </c>
      <c r="I1458" s="4" t="inlineStr">
        <is>
          <t>18:09</t>
        </is>
      </c>
      <c r="J1458" s="8" t="n">
        <v>8.5</v>
      </c>
      <c r="K1458" s="8" t="n">
        <v>7.5</v>
      </c>
      <c r="L1458" s="8" t="n">
        <v>1</v>
      </c>
      <c r="M1458" s="29" t="inlineStr">
        <is>
          <t>HALİL DİĞRENCİ</t>
        </is>
      </c>
    </row>
    <row r="1459">
      <c r="A1459" s="4" t="n">
        <v>1458</v>
      </c>
      <c r="B1459" s="4" t="inlineStr">
        <is>
          <t>00224</t>
        </is>
      </c>
      <c r="C1459" s="4" t="inlineStr">
        <is>
          <t>00224</t>
        </is>
      </c>
      <c r="D1459" s="29" t="inlineStr">
        <is>
          <t>FEVZİYE EREL</t>
        </is>
      </c>
      <c r="E1459" s="4" t="inlineStr">
        <is>
          <t>Çarşamba</t>
        </is>
      </c>
      <c r="F1459" s="4" t="inlineStr">
        <is>
          <t>14.10.2026</t>
        </is>
      </c>
      <c r="G1459" s="4" t="inlineStr">
        <is>
          <t>07:55</t>
        </is>
      </c>
      <c r="H1459" s="4" t="inlineStr">
        <is>
          <t>14.10.2026</t>
        </is>
      </c>
      <c r="I1459" s="4" t="inlineStr">
        <is>
          <t>18:05</t>
        </is>
      </c>
      <c r="J1459" s="8" t="n">
        <v>8.5</v>
      </c>
      <c r="K1459" s="8" t="n">
        <v>7.5</v>
      </c>
      <c r="L1459" s="8" t="n">
        <v>1</v>
      </c>
      <c r="M1459" s="29" t="inlineStr">
        <is>
          <t>HALİL DİĞRENCİ</t>
        </is>
      </c>
    </row>
    <row r="1460">
      <c r="A1460" s="4" t="n">
        <v>1459</v>
      </c>
      <c r="B1460" s="4" t="inlineStr">
        <is>
          <t>00224</t>
        </is>
      </c>
      <c r="C1460" s="4" t="inlineStr">
        <is>
          <t>00224</t>
        </is>
      </c>
      <c r="D1460" s="29" t="inlineStr">
        <is>
          <t>FEVZİYE EREL</t>
        </is>
      </c>
      <c r="E1460" s="4" t="inlineStr">
        <is>
          <t>Perşembe</t>
        </is>
      </c>
      <c r="F1460" s="4" t="inlineStr">
        <is>
          <t>15.10.2026</t>
        </is>
      </c>
      <c r="G1460" s="4" t="inlineStr">
        <is>
          <t>08:00</t>
        </is>
      </c>
      <c r="H1460" s="4" t="inlineStr">
        <is>
          <t>15.10.2026</t>
        </is>
      </c>
      <c r="I1460" s="4" t="inlineStr">
        <is>
          <t>17:04</t>
        </is>
      </c>
      <c r="J1460" s="8" t="n">
        <v>7.5</v>
      </c>
      <c r="K1460" s="8" t="n">
        <v>7.5</v>
      </c>
      <c r="L1460" s="8" t="n">
        <v>0</v>
      </c>
      <c r="M1460" s="29" t="inlineStr">
        <is>
          <t>HALİL DİĞRENCİ</t>
        </is>
      </c>
    </row>
    <row r="1461">
      <c r="A1461" s="4" t="n">
        <v>1460</v>
      </c>
      <c r="B1461" s="4" t="inlineStr">
        <is>
          <t>00224</t>
        </is>
      </c>
      <c r="C1461" s="4" t="inlineStr">
        <is>
          <t>00224</t>
        </is>
      </c>
      <c r="D1461" s="29" t="inlineStr">
        <is>
          <t>FEVZİYE EREL</t>
        </is>
      </c>
      <c r="E1461" s="4" t="inlineStr">
        <is>
          <t>Cuma</t>
        </is>
      </c>
      <c r="F1461" s="4" t="inlineStr">
        <is>
          <t>16.10.2026</t>
        </is>
      </c>
      <c r="G1461" s="4" t="inlineStr">
        <is>
          <t>07:51</t>
        </is>
      </c>
      <c r="H1461" s="4" t="inlineStr">
        <is>
          <t>16.10.2026</t>
        </is>
      </c>
      <c r="I1461" s="4" t="inlineStr">
        <is>
          <t>17:15</t>
        </is>
      </c>
      <c r="J1461" s="8" t="n">
        <v>7.5</v>
      </c>
      <c r="K1461" s="8" t="n">
        <v>7.5</v>
      </c>
      <c r="L1461" s="8" t="n">
        <v>0</v>
      </c>
      <c r="M1461" s="29" t="inlineStr">
        <is>
          <t>HALİL DİĞRENCİ</t>
        </is>
      </c>
    </row>
    <row r="1462">
      <c r="A1462" s="4" t="n">
        <v>1461</v>
      </c>
      <c r="B1462" s="4" t="inlineStr">
        <is>
          <t>00224</t>
        </is>
      </c>
      <c r="C1462" s="4" t="inlineStr">
        <is>
          <t>00224</t>
        </is>
      </c>
      <c r="D1462" s="29" t="inlineStr">
        <is>
          <t>FEVZİYE EREL</t>
        </is>
      </c>
      <c r="E1462" s="4" t="inlineStr">
        <is>
          <t>Cumartesi</t>
        </is>
      </c>
      <c r="F1462" s="4" t="inlineStr">
        <is>
          <t>17.10.2026</t>
        </is>
      </c>
      <c r="G1462" s="4" t="inlineStr">
        <is>
          <t>07:54</t>
        </is>
      </c>
      <c r="H1462" s="4" t="inlineStr">
        <is>
          <t>17.10.2026</t>
        </is>
      </c>
      <c r="I1462" s="4" t="inlineStr">
        <is>
          <t>17:49</t>
        </is>
      </c>
      <c r="J1462" s="8" t="n">
        <v>8.5</v>
      </c>
      <c r="K1462" s="8" t="n">
        <v>7.5</v>
      </c>
      <c r="L1462" s="8" t="n">
        <v>1</v>
      </c>
      <c r="M1462" s="29" t="inlineStr">
        <is>
          <t>HALİL DİĞRENCİ</t>
        </is>
      </c>
    </row>
    <row r="1463">
      <c r="A1463" s="4" t="n">
        <v>1462</v>
      </c>
      <c r="B1463" s="4" t="inlineStr">
        <is>
          <t>00224</t>
        </is>
      </c>
      <c r="C1463" s="4" t="inlineStr">
        <is>
          <t>00224</t>
        </is>
      </c>
      <c r="D1463" s="29" t="inlineStr">
        <is>
          <t>FEVZİYE EREL</t>
        </is>
      </c>
      <c r="E1463" s="4" t="inlineStr">
        <is>
          <t>Pazartesi</t>
        </is>
      </c>
      <c r="F1463" s="4" t="inlineStr">
        <is>
          <t>19.10.2026</t>
        </is>
      </c>
      <c r="G1463" s="4" t="inlineStr">
        <is>
          <t>08:00</t>
        </is>
      </c>
      <c r="H1463" s="4" t="inlineStr">
        <is>
          <t>19.10.2026</t>
        </is>
      </c>
      <c r="I1463" s="4" t="inlineStr">
        <is>
          <t>17:43</t>
        </is>
      </c>
      <c r="J1463" s="8" t="n">
        <v>8</v>
      </c>
      <c r="K1463" s="8" t="n">
        <v>7.5</v>
      </c>
      <c r="L1463" s="8" t="n">
        <v>0.5</v>
      </c>
      <c r="M1463" s="29" t="inlineStr">
        <is>
          <t>HALİL DİĞRENCİ</t>
        </is>
      </c>
    </row>
    <row r="1464">
      <c r="A1464" s="4" t="n">
        <v>1463</v>
      </c>
      <c r="B1464" s="4" t="inlineStr">
        <is>
          <t>00224</t>
        </is>
      </c>
      <c r="C1464" s="4" t="inlineStr">
        <is>
          <t>00224</t>
        </is>
      </c>
      <c r="D1464" s="29" t="inlineStr">
        <is>
          <t>FEVZİYE EREL</t>
        </is>
      </c>
      <c r="E1464" s="4" t="inlineStr">
        <is>
          <t>Salı</t>
        </is>
      </c>
      <c r="F1464" s="4" t="inlineStr">
        <is>
          <t>20.10.2026</t>
        </is>
      </c>
      <c r="G1464" s="4" t="inlineStr">
        <is>
          <t>07:57</t>
        </is>
      </c>
      <c r="H1464" s="4" t="inlineStr">
        <is>
          <t>20.10.2026</t>
        </is>
      </c>
      <c r="I1464" s="4" t="inlineStr">
        <is>
          <t>17:03</t>
        </is>
      </c>
      <c r="J1464" s="8" t="n">
        <v>7.5</v>
      </c>
      <c r="K1464" s="8" t="n">
        <v>7.5</v>
      </c>
      <c r="L1464" s="8" t="n">
        <v>0</v>
      </c>
      <c r="M1464" s="29" t="inlineStr">
        <is>
          <t>HALİL DİĞRENCİ</t>
        </is>
      </c>
    </row>
    <row r="1465">
      <c r="A1465" s="4" t="n">
        <v>1464</v>
      </c>
      <c r="B1465" s="4" t="inlineStr">
        <is>
          <t>00224</t>
        </is>
      </c>
      <c r="C1465" s="4" t="inlineStr">
        <is>
          <t>00224</t>
        </is>
      </c>
      <c r="D1465" s="29" t="inlineStr">
        <is>
          <t>FEVZİYE EREL</t>
        </is>
      </c>
      <c r="E1465" s="4" t="inlineStr">
        <is>
          <t>Çarşamba</t>
        </is>
      </c>
      <c r="F1465" s="4" t="inlineStr">
        <is>
          <t>21.10.2026</t>
        </is>
      </c>
      <c r="G1465" s="4" t="inlineStr">
        <is>
          <t>07:55</t>
        </is>
      </c>
      <c r="H1465" s="4" t="inlineStr">
        <is>
          <t>21.10.2026</t>
        </is>
      </c>
      <c r="I1465" s="4" t="inlineStr">
        <is>
          <t>17:02</t>
        </is>
      </c>
      <c r="J1465" s="8" t="n">
        <v>7.5</v>
      </c>
      <c r="K1465" s="8" t="n">
        <v>7.5</v>
      </c>
      <c r="L1465" s="8" t="n">
        <v>0</v>
      </c>
      <c r="M1465" s="29" t="inlineStr">
        <is>
          <t>HALİL DİĞRENCİ</t>
        </is>
      </c>
    </row>
    <row r="1466">
      <c r="A1466" s="4" t="n">
        <v>1465</v>
      </c>
      <c r="B1466" s="4" t="inlineStr">
        <is>
          <t>01415</t>
        </is>
      </c>
      <c r="C1466" s="4" t="inlineStr">
        <is>
          <t>01415</t>
        </is>
      </c>
      <c r="D1466" s="29" t="inlineStr">
        <is>
          <t>FİLİZ ÜMÜK</t>
        </is>
      </c>
      <c r="E1466" s="4" t="inlineStr">
        <is>
          <t>Cuma</t>
        </is>
      </c>
      <c r="F1466" s="4" t="inlineStr">
        <is>
          <t>2.10.2026</t>
        </is>
      </c>
      <c r="G1466" s="4" t="inlineStr">
        <is>
          <t>19:45</t>
        </is>
      </c>
      <c r="H1466" s="4" t="inlineStr">
        <is>
          <t>2.10.2026</t>
        </is>
      </c>
      <c r="I1466" s="4" t="inlineStr">
        <is>
          <t>07:53</t>
        </is>
      </c>
      <c r="J1466" s="8" t="n">
        <v>10.5</v>
      </c>
      <c r="K1466" s="8" t="n">
        <v>7.5</v>
      </c>
      <c r="L1466" s="8" t="n">
        <v>3</v>
      </c>
      <c r="M1466" s="29" t="inlineStr">
        <is>
          <t>HALİL DİĞRENCİ</t>
        </is>
      </c>
    </row>
    <row r="1467">
      <c r="A1467" s="4" t="n">
        <v>1466</v>
      </c>
      <c r="B1467" s="4" t="inlineStr">
        <is>
          <t>01415</t>
        </is>
      </c>
      <c r="C1467" s="4" t="inlineStr">
        <is>
          <t>01415</t>
        </is>
      </c>
      <c r="D1467" s="29" t="inlineStr">
        <is>
          <t>FİLİZ ÜMÜK</t>
        </is>
      </c>
      <c r="E1467" s="4" t="inlineStr">
        <is>
          <t>Cumartesi</t>
        </is>
      </c>
      <c r="F1467" s="4" t="inlineStr">
        <is>
          <t>3.10.2026</t>
        </is>
      </c>
      <c r="G1467" s="4" t="inlineStr">
        <is>
          <t>19:53</t>
        </is>
      </c>
      <c r="H1467" s="4" t="inlineStr">
        <is>
          <t>3.10.2026</t>
        </is>
      </c>
      <c r="I1467" s="4" t="inlineStr">
        <is>
          <t>07:55</t>
        </is>
      </c>
      <c r="J1467" s="8" t="n">
        <v>10.5</v>
      </c>
      <c r="K1467" s="8" t="n">
        <v>7.5</v>
      </c>
      <c r="L1467" s="8" t="n">
        <v>3</v>
      </c>
      <c r="M1467" s="29" t="inlineStr">
        <is>
          <t>HALİL DİĞRENCİ</t>
        </is>
      </c>
    </row>
    <row r="1468">
      <c r="A1468" s="4" t="n">
        <v>1467</v>
      </c>
      <c r="B1468" s="4" t="inlineStr">
        <is>
          <t>01415</t>
        </is>
      </c>
      <c r="C1468" s="4" t="inlineStr">
        <is>
          <t>01415</t>
        </is>
      </c>
      <c r="D1468" s="29" t="inlineStr">
        <is>
          <t>FİLİZ ÜMÜK</t>
        </is>
      </c>
      <c r="E1468" s="4" t="inlineStr">
        <is>
          <t>Pazar</t>
        </is>
      </c>
      <c r="F1468" s="4" t="inlineStr">
        <is>
          <t>4.10.2026</t>
        </is>
      </c>
      <c r="G1468" s="4" t="inlineStr">
        <is>
          <t>19:58</t>
        </is>
      </c>
      <c r="H1468" s="4" t="inlineStr">
        <is>
          <t>4.10.2026</t>
        </is>
      </c>
      <c r="I1468" s="4" t="inlineStr">
        <is>
          <t>07:59</t>
        </is>
      </c>
      <c r="J1468" s="8" t="n">
        <v>10.5</v>
      </c>
      <c r="K1468" s="8" t="n">
        <v>7.5</v>
      </c>
      <c r="L1468" s="8" t="n">
        <v>3</v>
      </c>
      <c r="M1468" s="29" t="inlineStr">
        <is>
          <t>HALİL DİĞRENCİ</t>
        </is>
      </c>
    </row>
    <row r="1469">
      <c r="A1469" s="4" t="n">
        <v>1468</v>
      </c>
      <c r="B1469" s="4" t="inlineStr">
        <is>
          <t>01415</t>
        </is>
      </c>
      <c r="C1469" s="4" t="inlineStr">
        <is>
          <t>01415</t>
        </is>
      </c>
      <c r="D1469" s="29" t="inlineStr">
        <is>
          <t>FİLİZ ÜMÜK</t>
        </is>
      </c>
      <c r="E1469" s="4" t="inlineStr">
        <is>
          <t>Çarşamba</t>
        </is>
      </c>
      <c r="F1469" s="4" t="inlineStr">
        <is>
          <t>7.10.2026</t>
        </is>
      </c>
      <c r="G1469" s="4" t="inlineStr">
        <is>
          <t>19:55</t>
        </is>
      </c>
      <c r="H1469" s="4" t="inlineStr">
        <is>
          <t>7.10.2026</t>
        </is>
      </c>
      <c r="I1469" s="4" t="inlineStr">
        <is>
          <t>07:56</t>
        </is>
      </c>
      <c r="J1469" s="8" t="n">
        <v>10.5</v>
      </c>
      <c r="K1469" s="8" t="n">
        <v>7.5</v>
      </c>
      <c r="L1469" s="8" t="n">
        <v>3</v>
      </c>
      <c r="M1469" s="29" t="inlineStr">
        <is>
          <t>HALİL DİĞRENCİ</t>
        </is>
      </c>
    </row>
    <row r="1470">
      <c r="A1470" s="4" t="n">
        <v>1469</v>
      </c>
      <c r="B1470" s="4" t="inlineStr">
        <is>
          <t>01415</t>
        </is>
      </c>
      <c r="C1470" s="4" t="inlineStr">
        <is>
          <t>01415</t>
        </is>
      </c>
      <c r="D1470" s="29" t="inlineStr">
        <is>
          <t>FİLİZ ÜMÜK</t>
        </is>
      </c>
      <c r="E1470" s="4" t="inlineStr">
        <is>
          <t>Perşembe</t>
        </is>
      </c>
      <c r="F1470" s="4" t="inlineStr">
        <is>
          <t>8.10.2026</t>
        </is>
      </c>
      <c r="G1470" s="4" t="inlineStr">
        <is>
          <t>19:57</t>
        </is>
      </c>
      <c r="H1470" s="4" t="inlineStr">
        <is>
          <t>8.10.2026</t>
        </is>
      </c>
      <c r="I1470" s="4" t="inlineStr">
        <is>
          <t>08:00</t>
        </is>
      </c>
      <c r="J1470" s="8" t="n">
        <v>10.5</v>
      </c>
      <c r="K1470" s="8" t="n">
        <v>7.5</v>
      </c>
      <c r="L1470" s="8" t="n">
        <v>3</v>
      </c>
      <c r="M1470" s="29" t="inlineStr">
        <is>
          <t>HALİL DİĞRENCİ</t>
        </is>
      </c>
    </row>
    <row r="1471">
      <c r="A1471" s="4" t="n">
        <v>1470</v>
      </c>
      <c r="B1471" s="4" t="inlineStr">
        <is>
          <t>01415</t>
        </is>
      </c>
      <c r="C1471" s="4" t="inlineStr">
        <is>
          <t>01415</t>
        </is>
      </c>
      <c r="D1471" s="29" t="inlineStr">
        <is>
          <t>FİLİZ ÜMÜK</t>
        </is>
      </c>
      <c r="E1471" s="4" t="inlineStr">
        <is>
          <t>Cuma</t>
        </is>
      </c>
      <c r="F1471" s="4" t="inlineStr">
        <is>
          <t>9.10.2026</t>
        </is>
      </c>
      <c r="G1471" s="4" t="inlineStr">
        <is>
          <t>20:01</t>
        </is>
      </c>
      <c r="H1471" s="4" t="inlineStr">
        <is>
          <t>9.10.2026</t>
        </is>
      </c>
      <c r="I1471" s="4" t="inlineStr">
        <is>
          <t>07:58</t>
        </is>
      </c>
      <c r="J1471" s="8" t="n">
        <v>10.5</v>
      </c>
      <c r="K1471" s="8" t="n">
        <v>7.5</v>
      </c>
      <c r="L1471" s="8" t="n">
        <v>3</v>
      </c>
      <c r="M1471" s="29" t="inlineStr">
        <is>
          <t>HALİL DİĞRENCİ</t>
        </is>
      </c>
    </row>
    <row r="1472">
      <c r="A1472" s="4" t="n">
        <v>1471</v>
      </c>
      <c r="B1472" s="4" t="inlineStr">
        <is>
          <t>01415</t>
        </is>
      </c>
      <c r="C1472" s="4" t="inlineStr">
        <is>
          <t>01415</t>
        </is>
      </c>
      <c r="D1472" s="29" t="inlineStr">
        <is>
          <t>FİLİZ ÜMÜK</t>
        </is>
      </c>
      <c r="E1472" s="4" t="inlineStr">
        <is>
          <t>Cumartesi</t>
        </is>
      </c>
      <c r="F1472" s="4" t="inlineStr">
        <is>
          <t>10.10.2026</t>
        </is>
      </c>
      <c r="G1472" s="4" t="inlineStr">
        <is>
          <t>20:11</t>
        </is>
      </c>
      <c r="H1472" s="4" t="inlineStr">
        <is>
          <t>10.10.2026</t>
        </is>
      </c>
      <c r="I1472" s="4" t="inlineStr">
        <is>
          <t>08:05</t>
        </is>
      </c>
      <c r="J1472" s="8" t="n">
        <v>10.5</v>
      </c>
      <c r="K1472" s="8" t="n">
        <v>7.5</v>
      </c>
      <c r="L1472" s="8" t="n">
        <v>3</v>
      </c>
      <c r="M1472" s="29" t="inlineStr">
        <is>
          <t>HALİL DİĞRENCİ</t>
        </is>
      </c>
    </row>
    <row r="1473">
      <c r="A1473" s="4" t="n">
        <v>1472</v>
      </c>
      <c r="B1473" s="4" t="inlineStr">
        <is>
          <t>01415</t>
        </is>
      </c>
      <c r="C1473" s="4" t="inlineStr">
        <is>
          <t>01415</t>
        </is>
      </c>
      <c r="D1473" s="29" t="inlineStr">
        <is>
          <t>FİLİZ ÜMÜK</t>
        </is>
      </c>
      <c r="E1473" s="4" t="inlineStr">
        <is>
          <t>Pazartesi</t>
        </is>
      </c>
      <c r="F1473" s="4" t="inlineStr">
        <is>
          <t>12.10.2026</t>
        </is>
      </c>
      <c r="G1473" s="4" t="inlineStr">
        <is>
          <t>20:01</t>
        </is>
      </c>
      <c r="H1473" s="4" t="inlineStr">
        <is>
          <t>12.10.2026</t>
        </is>
      </c>
      <c r="I1473" s="4" t="inlineStr">
        <is>
          <t>07:53</t>
        </is>
      </c>
      <c r="J1473" s="8" t="n">
        <v>10.5</v>
      </c>
      <c r="K1473" s="8" t="n">
        <v>7.5</v>
      </c>
      <c r="L1473" s="8" t="n">
        <v>3</v>
      </c>
      <c r="M1473" s="29" t="inlineStr">
        <is>
          <t>HALİL DİĞRENCİ</t>
        </is>
      </c>
    </row>
    <row r="1474">
      <c r="A1474" s="4" t="n">
        <v>1473</v>
      </c>
      <c r="B1474" s="4" t="inlineStr">
        <is>
          <t>01415</t>
        </is>
      </c>
      <c r="C1474" s="4" t="inlineStr">
        <is>
          <t>01415</t>
        </is>
      </c>
      <c r="D1474" s="29" t="inlineStr">
        <is>
          <t>FİLİZ ÜMÜK</t>
        </is>
      </c>
      <c r="E1474" s="4" t="inlineStr">
        <is>
          <t>Salı</t>
        </is>
      </c>
      <c r="F1474" s="4" t="inlineStr">
        <is>
          <t>13.10.2026</t>
        </is>
      </c>
      <c r="G1474" s="4" t="inlineStr">
        <is>
          <t>20:01</t>
        </is>
      </c>
      <c r="H1474" s="4" t="inlineStr">
        <is>
          <t>13.10.2026</t>
        </is>
      </c>
      <c r="I1474" s="4" t="inlineStr">
        <is>
          <t>07:57</t>
        </is>
      </c>
      <c r="J1474" s="8" t="n">
        <v>10.5</v>
      </c>
      <c r="K1474" s="8" t="n">
        <v>7.5</v>
      </c>
      <c r="L1474" s="8" t="n">
        <v>3</v>
      </c>
      <c r="M1474" s="29" t="inlineStr">
        <is>
          <t>HALİL DİĞRENCİ</t>
        </is>
      </c>
    </row>
    <row r="1475">
      <c r="A1475" s="4" t="n">
        <v>1474</v>
      </c>
      <c r="B1475" s="4" t="inlineStr">
        <is>
          <t>01415</t>
        </is>
      </c>
      <c r="C1475" s="4" t="inlineStr">
        <is>
          <t>01415</t>
        </is>
      </c>
      <c r="D1475" s="29" t="inlineStr">
        <is>
          <t>FİLİZ ÜMÜK</t>
        </is>
      </c>
      <c r="E1475" s="4" t="inlineStr">
        <is>
          <t>Çarşamba</t>
        </is>
      </c>
      <c r="F1475" s="4" t="inlineStr">
        <is>
          <t>14.10.2026</t>
        </is>
      </c>
      <c r="G1475" s="4" t="inlineStr">
        <is>
          <t>20:13</t>
        </is>
      </c>
      <c r="H1475" s="4" t="inlineStr">
        <is>
          <t>14.10.2026</t>
        </is>
      </c>
      <c r="I1475" s="4" t="inlineStr">
        <is>
          <t>07:57</t>
        </is>
      </c>
      <c r="J1475" s="8" t="n">
        <v>10.5</v>
      </c>
      <c r="K1475" s="8" t="n">
        <v>7.5</v>
      </c>
      <c r="L1475" s="8" t="n">
        <v>3</v>
      </c>
      <c r="M1475" s="29" t="inlineStr">
        <is>
          <t>HALİL DİĞRENCİ</t>
        </is>
      </c>
    </row>
    <row r="1476">
      <c r="A1476" s="4" t="n">
        <v>1475</v>
      </c>
      <c r="B1476" s="4" t="inlineStr">
        <is>
          <t>01415</t>
        </is>
      </c>
      <c r="C1476" s="4" t="inlineStr">
        <is>
          <t>01415</t>
        </is>
      </c>
      <c r="D1476" s="29" t="inlineStr">
        <is>
          <t>FİLİZ ÜMÜK</t>
        </is>
      </c>
      <c r="E1476" s="4" t="inlineStr">
        <is>
          <t>Perşembe</t>
        </is>
      </c>
      <c r="F1476" s="4" t="inlineStr">
        <is>
          <t>15.10.2026</t>
        </is>
      </c>
      <c r="G1476" s="4" t="inlineStr">
        <is>
          <t>20:10</t>
        </is>
      </c>
      <c r="H1476" s="4" t="inlineStr">
        <is>
          <t>15.10.2026</t>
        </is>
      </c>
      <c r="I1476" s="4" t="inlineStr">
        <is>
          <t>07:58</t>
        </is>
      </c>
      <c r="J1476" s="8" t="n">
        <v>10.5</v>
      </c>
      <c r="K1476" s="8" t="n">
        <v>7.5</v>
      </c>
      <c r="L1476" s="8" t="n">
        <v>3</v>
      </c>
      <c r="M1476" s="29" t="inlineStr">
        <is>
          <t>HALİL DİĞRENCİ</t>
        </is>
      </c>
    </row>
    <row r="1477">
      <c r="A1477" s="4" t="n">
        <v>1476</v>
      </c>
      <c r="B1477" s="4" t="inlineStr">
        <is>
          <t>01415</t>
        </is>
      </c>
      <c r="C1477" s="4" t="inlineStr">
        <is>
          <t>01415</t>
        </is>
      </c>
      <c r="D1477" s="29" t="inlineStr">
        <is>
          <t>FİLİZ ÜMÜK</t>
        </is>
      </c>
      <c r="E1477" s="4" t="inlineStr">
        <is>
          <t>Pazartesi</t>
        </is>
      </c>
      <c r="F1477" s="4" t="inlineStr">
        <is>
          <t>19.10.2026</t>
        </is>
      </c>
      <c r="G1477" s="4" t="inlineStr">
        <is>
          <t>19:45</t>
        </is>
      </c>
      <c r="H1477" s="4" t="inlineStr">
        <is>
          <t>19.10.2026</t>
        </is>
      </c>
      <c r="I1477" s="4" t="inlineStr">
        <is>
          <t>07:51</t>
        </is>
      </c>
      <c r="J1477" s="8" t="n">
        <v>10.5</v>
      </c>
      <c r="K1477" s="8" t="n">
        <v>7.5</v>
      </c>
      <c r="L1477" s="8" t="n">
        <v>3</v>
      </c>
      <c r="M1477" s="29" t="inlineStr">
        <is>
          <t>HALİL DİĞRENCİ</t>
        </is>
      </c>
    </row>
    <row r="1478">
      <c r="A1478" s="4" t="n">
        <v>1477</v>
      </c>
      <c r="B1478" s="4" t="inlineStr">
        <is>
          <t>00927</t>
        </is>
      </c>
      <c r="C1478" s="4" t="inlineStr">
        <is>
          <t>00927</t>
        </is>
      </c>
      <c r="D1478" s="29" t="inlineStr">
        <is>
          <t>FİSUN ETİLER</t>
        </is>
      </c>
      <c r="E1478" s="4" t="inlineStr">
        <is>
          <t>Perşembe</t>
        </is>
      </c>
      <c r="F1478" s="4" t="inlineStr">
        <is>
          <t>1.10.2026</t>
        </is>
      </c>
      <c r="G1478" s="4" t="inlineStr">
        <is>
          <t>07:57</t>
        </is>
      </c>
      <c r="H1478" s="4" t="inlineStr">
        <is>
          <t>1.10.2026</t>
        </is>
      </c>
      <c r="I1478" s="4" t="inlineStr">
        <is>
          <t>17:28</t>
        </is>
      </c>
      <c r="J1478" s="8" t="n">
        <v>8</v>
      </c>
      <c r="K1478" s="8" t="n">
        <v>7.5</v>
      </c>
      <c r="L1478" s="8" t="n">
        <v>0.5</v>
      </c>
      <c r="M1478" s="29" t="inlineStr">
        <is>
          <t>GÜVEN MUSTAFAKEMALPAŞA</t>
        </is>
      </c>
    </row>
    <row r="1479">
      <c r="A1479" s="4" t="n">
        <v>1478</v>
      </c>
      <c r="B1479" s="4" t="inlineStr">
        <is>
          <t>00927</t>
        </is>
      </c>
      <c r="C1479" s="4" t="inlineStr">
        <is>
          <t>00927</t>
        </is>
      </c>
      <c r="D1479" s="29" t="inlineStr">
        <is>
          <t>FİSUN ETİLER</t>
        </is>
      </c>
      <c r="E1479" s="4" t="inlineStr">
        <is>
          <t>Cuma</t>
        </is>
      </c>
      <c r="F1479" s="4" t="inlineStr">
        <is>
          <t>2.10.2026</t>
        </is>
      </c>
      <c r="G1479" s="4" t="inlineStr">
        <is>
          <t>07:50</t>
        </is>
      </c>
      <c r="H1479" s="4" t="inlineStr">
        <is>
          <t>2.10.2026</t>
        </is>
      </c>
      <c r="I1479" s="4" t="inlineStr">
        <is>
          <t>17:45</t>
        </is>
      </c>
      <c r="J1479" s="8" t="n">
        <v>8.5</v>
      </c>
      <c r="K1479" s="8" t="n">
        <v>7.5</v>
      </c>
      <c r="L1479" s="8" t="n">
        <v>1</v>
      </c>
      <c r="M1479" s="29" t="inlineStr">
        <is>
          <t>GÜVEN MUSTAFAKEMALPAŞA</t>
        </is>
      </c>
    </row>
    <row r="1480">
      <c r="A1480" s="4" t="n">
        <v>1479</v>
      </c>
      <c r="B1480" s="4" t="inlineStr">
        <is>
          <t>00927</t>
        </is>
      </c>
      <c r="C1480" s="4" t="inlineStr">
        <is>
          <t>00927</t>
        </is>
      </c>
      <c r="D1480" s="29" t="inlineStr">
        <is>
          <t>FİSUN ETİLER</t>
        </is>
      </c>
      <c r="E1480" s="4" t="inlineStr">
        <is>
          <t>Cumartesi</t>
        </is>
      </c>
      <c r="F1480" s="4" t="inlineStr">
        <is>
          <t>3.10.2026</t>
        </is>
      </c>
      <c r="G1480" s="4" t="inlineStr">
        <is>
          <t>07:50</t>
        </is>
      </c>
      <c r="H1480" s="4" t="inlineStr">
        <is>
          <t>3.10.2026</t>
        </is>
      </c>
      <c r="I1480" s="4" t="inlineStr">
        <is>
          <t>17:36</t>
        </is>
      </c>
      <c r="J1480" s="8" t="n">
        <v>8</v>
      </c>
      <c r="K1480" s="8" t="n">
        <v>7.5</v>
      </c>
      <c r="L1480" s="8" t="n">
        <v>0.5</v>
      </c>
      <c r="M1480" s="29" t="inlineStr">
        <is>
          <t>GÜVEN MUSTAFAKEMALPAŞA</t>
        </is>
      </c>
    </row>
    <row r="1481">
      <c r="A1481" s="4" t="n">
        <v>1480</v>
      </c>
      <c r="B1481" s="4" t="inlineStr">
        <is>
          <t>00927</t>
        </is>
      </c>
      <c r="C1481" s="4" t="inlineStr">
        <is>
          <t>00927</t>
        </is>
      </c>
      <c r="D1481" s="29" t="inlineStr">
        <is>
          <t>FİSUN ETİLER</t>
        </is>
      </c>
      <c r="E1481" s="4" t="inlineStr">
        <is>
          <t>Pazartesi</t>
        </is>
      </c>
      <c r="F1481" s="4" t="inlineStr">
        <is>
          <t>5.10.2026</t>
        </is>
      </c>
      <c r="G1481" s="4" t="inlineStr">
        <is>
          <t>07:49</t>
        </is>
      </c>
      <c r="H1481" s="4" t="inlineStr">
        <is>
          <t>5.10.2026</t>
        </is>
      </c>
      <c r="I1481" s="4" t="inlineStr">
        <is>
          <t>17:06</t>
        </is>
      </c>
      <c r="J1481" s="8" t="n">
        <v>7.5</v>
      </c>
      <c r="K1481" s="8" t="n">
        <v>7.5</v>
      </c>
      <c r="L1481" s="8" t="n">
        <v>0</v>
      </c>
      <c r="M1481" s="29" t="inlineStr">
        <is>
          <t>GÜVEN MUSTAFAKEMALPAŞA</t>
        </is>
      </c>
    </row>
    <row r="1482">
      <c r="A1482" s="4" t="n">
        <v>1481</v>
      </c>
      <c r="B1482" s="4" t="inlineStr">
        <is>
          <t>00927</t>
        </is>
      </c>
      <c r="C1482" s="4" t="inlineStr">
        <is>
          <t>00927</t>
        </is>
      </c>
      <c r="D1482" s="29" t="inlineStr">
        <is>
          <t>FİSUN ETİLER</t>
        </is>
      </c>
      <c r="E1482" s="4" t="inlineStr">
        <is>
          <t>Salı</t>
        </is>
      </c>
      <c r="F1482" s="4" t="inlineStr">
        <is>
          <t>6.10.2026</t>
        </is>
      </c>
      <c r="G1482" s="4" t="inlineStr">
        <is>
          <t>08:01</t>
        </is>
      </c>
      <c r="H1482" s="4" t="inlineStr">
        <is>
          <t>6.10.2026</t>
        </is>
      </c>
      <c r="I1482" s="4" t="inlineStr">
        <is>
          <t>17:39</t>
        </is>
      </c>
      <c r="J1482" s="8" t="n">
        <v>8</v>
      </c>
      <c r="K1482" s="8" t="n">
        <v>7.5</v>
      </c>
      <c r="L1482" s="8" t="n">
        <v>0.5</v>
      </c>
      <c r="M1482" s="29" t="inlineStr">
        <is>
          <t>GÜVEN MUSTAFAKEMALPAŞA</t>
        </is>
      </c>
    </row>
    <row r="1483">
      <c r="A1483" s="4" t="n">
        <v>1482</v>
      </c>
      <c r="B1483" s="4" t="inlineStr">
        <is>
          <t>00927</t>
        </is>
      </c>
      <c r="C1483" s="4" t="inlineStr">
        <is>
          <t>00927</t>
        </is>
      </c>
      <c r="D1483" s="29" t="inlineStr">
        <is>
          <t>FİSUN ETİLER</t>
        </is>
      </c>
      <c r="E1483" s="4" t="inlineStr">
        <is>
          <t>Çarşamba</t>
        </is>
      </c>
      <c r="F1483" s="4" t="inlineStr">
        <is>
          <t>7.10.2026</t>
        </is>
      </c>
      <c r="G1483" s="4" t="inlineStr">
        <is>
          <t>07:35</t>
        </is>
      </c>
      <c r="H1483" s="4" t="inlineStr">
        <is>
          <t>7.10.2026</t>
        </is>
      </c>
      <c r="I1483" s="4" t="inlineStr">
        <is>
          <t>17:24</t>
        </is>
      </c>
      <c r="J1483" s="8" t="n">
        <v>8</v>
      </c>
      <c r="K1483" s="8" t="n">
        <v>7.5</v>
      </c>
      <c r="L1483" s="8" t="n">
        <v>0.5</v>
      </c>
      <c r="M1483" s="29" t="inlineStr">
        <is>
          <t>GÜVEN MUSTAFAKEMALPAŞA</t>
        </is>
      </c>
    </row>
    <row r="1484">
      <c r="A1484" s="4" t="n">
        <v>1483</v>
      </c>
      <c r="B1484" s="4" t="inlineStr">
        <is>
          <t>00927</t>
        </is>
      </c>
      <c r="C1484" s="4" t="inlineStr">
        <is>
          <t>00927</t>
        </is>
      </c>
      <c r="D1484" s="29" t="inlineStr">
        <is>
          <t>FİSUN ETİLER</t>
        </is>
      </c>
      <c r="E1484" s="4" t="inlineStr">
        <is>
          <t>Perşembe</t>
        </is>
      </c>
      <c r="F1484" s="4" t="inlineStr">
        <is>
          <t>8.10.2026</t>
        </is>
      </c>
      <c r="G1484" s="4" t="inlineStr">
        <is>
          <t>07:52</t>
        </is>
      </c>
      <c r="H1484" s="4" t="inlineStr">
        <is>
          <t>8.10.2026</t>
        </is>
      </c>
      <c r="I1484" s="4" t="inlineStr">
        <is>
          <t>17:34</t>
        </is>
      </c>
      <c r="J1484" s="8" t="n">
        <v>8</v>
      </c>
      <c r="K1484" s="8" t="n">
        <v>7.5</v>
      </c>
      <c r="L1484" s="8" t="n">
        <v>0.5</v>
      </c>
      <c r="M1484" s="29" t="inlineStr">
        <is>
          <t>GÜVEN MUSTAFAKEMALPAŞA</t>
        </is>
      </c>
    </row>
    <row r="1485">
      <c r="A1485" s="4" t="n">
        <v>1484</v>
      </c>
      <c r="B1485" s="4" t="inlineStr">
        <is>
          <t>00927</t>
        </is>
      </c>
      <c r="C1485" s="4" t="inlineStr">
        <is>
          <t>00927</t>
        </is>
      </c>
      <c r="D1485" s="29" t="inlineStr">
        <is>
          <t>FİSUN ETİLER</t>
        </is>
      </c>
      <c r="E1485" s="4" t="inlineStr">
        <is>
          <t>Cuma</t>
        </is>
      </c>
      <c r="F1485" s="4" t="inlineStr">
        <is>
          <t>9.10.2026</t>
        </is>
      </c>
      <c r="G1485" s="4" t="inlineStr">
        <is>
          <t>07:30</t>
        </is>
      </c>
      <c r="H1485" s="4" t="inlineStr">
        <is>
          <t>9.10.2026</t>
        </is>
      </c>
      <c r="I1485" s="4" t="inlineStr">
        <is>
          <t>-</t>
        </is>
      </c>
      <c r="J1485" s="8" t="n">
        <v>7.5</v>
      </c>
      <c r="K1485" s="8" t="n">
        <v>7.5</v>
      </c>
      <c r="L1485" s="8" t="n">
        <v>0</v>
      </c>
      <c r="M1485" s="29" t="inlineStr">
        <is>
          <t>GÜVEN MUSTAFAKEMALPAŞA</t>
        </is>
      </c>
    </row>
    <row r="1486">
      <c r="A1486" s="4" t="n">
        <v>1485</v>
      </c>
      <c r="B1486" s="4" t="inlineStr">
        <is>
          <t>00927</t>
        </is>
      </c>
      <c r="C1486" s="4" t="inlineStr">
        <is>
          <t>00927</t>
        </is>
      </c>
      <c r="D1486" s="29" t="inlineStr">
        <is>
          <t>FİSUN ETİLER</t>
        </is>
      </c>
      <c r="E1486" s="4" t="inlineStr">
        <is>
          <t>Cumartesi</t>
        </is>
      </c>
      <c r="F1486" s="4" t="inlineStr">
        <is>
          <t>10.10.2026</t>
        </is>
      </c>
      <c r="G1486" s="4" t="inlineStr">
        <is>
          <t>07:49</t>
        </is>
      </c>
      <c r="H1486" s="4" t="inlineStr">
        <is>
          <t>10.10.2026</t>
        </is>
      </c>
      <c r="I1486" s="4" t="inlineStr">
        <is>
          <t>18:10</t>
        </is>
      </c>
      <c r="J1486" s="8" t="n">
        <v>8.5</v>
      </c>
      <c r="K1486" s="8" t="n">
        <v>7.5</v>
      </c>
      <c r="L1486" s="8" t="n">
        <v>1</v>
      </c>
      <c r="M1486" s="29" t="inlineStr">
        <is>
          <t>GÜVEN MUSTAFAKEMALPAŞA</t>
        </is>
      </c>
    </row>
    <row r="1487">
      <c r="A1487" s="4" t="n">
        <v>1486</v>
      </c>
      <c r="B1487" s="4" t="inlineStr">
        <is>
          <t>00927</t>
        </is>
      </c>
      <c r="C1487" s="4" t="inlineStr">
        <is>
          <t>00927</t>
        </is>
      </c>
      <c r="D1487" s="29" t="inlineStr">
        <is>
          <t>FİSUN ETİLER</t>
        </is>
      </c>
      <c r="E1487" s="4" t="inlineStr">
        <is>
          <t>Pazartesi</t>
        </is>
      </c>
      <c r="F1487" s="4" t="inlineStr">
        <is>
          <t>12.10.2026</t>
        </is>
      </c>
      <c r="G1487" s="4" t="inlineStr">
        <is>
          <t>07:50</t>
        </is>
      </c>
      <c r="H1487" s="4" t="inlineStr">
        <is>
          <t>12.10.2026</t>
        </is>
      </c>
      <c r="I1487" s="4" t="inlineStr">
        <is>
          <t>17:01</t>
        </is>
      </c>
      <c r="J1487" s="8" t="n">
        <v>7.5</v>
      </c>
      <c r="K1487" s="8" t="n">
        <v>7.5</v>
      </c>
      <c r="L1487" s="8" t="n">
        <v>0</v>
      </c>
      <c r="M1487" s="29" t="inlineStr">
        <is>
          <t>GÜVEN MUSTAFAKEMALPAŞA</t>
        </is>
      </c>
    </row>
    <row r="1488">
      <c r="A1488" s="4" t="n">
        <v>1487</v>
      </c>
      <c r="B1488" s="4" t="inlineStr">
        <is>
          <t>00927</t>
        </is>
      </c>
      <c r="C1488" s="4" t="inlineStr">
        <is>
          <t>00927</t>
        </is>
      </c>
      <c r="D1488" s="29" t="inlineStr">
        <is>
          <t>FİSUN ETİLER</t>
        </is>
      </c>
      <c r="E1488" s="4" t="inlineStr">
        <is>
          <t>Salı</t>
        </is>
      </c>
      <c r="F1488" s="4" t="inlineStr">
        <is>
          <t>13.10.2026</t>
        </is>
      </c>
      <c r="G1488" s="4" t="inlineStr">
        <is>
          <t>07:49</t>
        </is>
      </c>
      <c r="H1488" s="4" t="inlineStr">
        <is>
          <t>13.10.2026</t>
        </is>
      </c>
      <c r="I1488" s="4" t="inlineStr">
        <is>
          <t>17:01</t>
        </is>
      </c>
      <c r="J1488" s="8" t="n">
        <v>7.5</v>
      </c>
      <c r="K1488" s="8" t="n">
        <v>7.5</v>
      </c>
      <c r="L1488" s="8" t="n">
        <v>0</v>
      </c>
      <c r="M1488" s="29" t="inlineStr">
        <is>
          <t>GÜVEN MUSTAFAKEMALPAŞA</t>
        </is>
      </c>
    </row>
    <row r="1489">
      <c r="A1489" s="4" t="n">
        <v>1488</v>
      </c>
      <c r="B1489" s="4" t="inlineStr">
        <is>
          <t>00927</t>
        </is>
      </c>
      <c r="C1489" s="4" t="inlineStr">
        <is>
          <t>00927</t>
        </is>
      </c>
      <c r="D1489" s="29" t="inlineStr">
        <is>
          <t>FİSUN ETİLER</t>
        </is>
      </c>
      <c r="E1489" s="4" t="inlineStr">
        <is>
          <t>Perşembe</t>
        </is>
      </c>
      <c r="F1489" s="4" t="inlineStr">
        <is>
          <t>15.10.2026</t>
        </is>
      </c>
      <c r="G1489" s="4" t="inlineStr">
        <is>
          <t>07:54</t>
        </is>
      </c>
      <c r="H1489" s="4" t="inlineStr">
        <is>
          <t>15.10.2026</t>
        </is>
      </c>
      <c r="I1489" s="4" t="inlineStr">
        <is>
          <t>17:02</t>
        </is>
      </c>
      <c r="J1489" s="8" t="n">
        <v>7.5</v>
      </c>
      <c r="K1489" s="8" t="n">
        <v>7.5</v>
      </c>
      <c r="L1489" s="8" t="n">
        <v>0</v>
      </c>
      <c r="M1489" s="29" t="inlineStr">
        <is>
          <t>GÜVEN MUSTAFAKEMALPAŞA</t>
        </is>
      </c>
    </row>
    <row r="1490">
      <c r="A1490" s="4" t="n">
        <v>1489</v>
      </c>
      <c r="B1490" s="4" t="inlineStr">
        <is>
          <t>00927</t>
        </is>
      </c>
      <c r="C1490" s="4" t="inlineStr">
        <is>
          <t>00927</t>
        </is>
      </c>
      <c r="D1490" s="29" t="inlineStr">
        <is>
          <t>FİSUN ETİLER</t>
        </is>
      </c>
      <c r="E1490" s="4" t="inlineStr">
        <is>
          <t>Cuma</t>
        </is>
      </c>
      <c r="F1490" s="4" t="inlineStr">
        <is>
          <t>16.10.2026</t>
        </is>
      </c>
      <c r="G1490" s="4" t="inlineStr">
        <is>
          <t>07:51</t>
        </is>
      </c>
      <c r="H1490" s="4" t="inlineStr">
        <is>
          <t>16.10.2026</t>
        </is>
      </c>
      <c r="I1490" s="4" t="inlineStr">
        <is>
          <t>17:19</t>
        </is>
      </c>
      <c r="J1490" s="8" t="n">
        <v>7.5</v>
      </c>
      <c r="K1490" s="8" t="n">
        <v>7.5</v>
      </c>
      <c r="L1490" s="8" t="n">
        <v>0</v>
      </c>
      <c r="M1490" s="29" t="inlineStr">
        <is>
          <t>GÜVEN MUSTAFAKEMALPAŞA</t>
        </is>
      </c>
    </row>
    <row r="1491">
      <c r="A1491" s="4" t="n">
        <v>1490</v>
      </c>
      <c r="B1491" s="4" t="inlineStr">
        <is>
          <t>00927</t>
        </is>
      </c>
      <c r="C1491" s="4" t="inlineStr">
        <is>
          <t>00927</t>
        </is>
      </c>
      <c r="D1491" s="29" t="inlineStr">
        <is>
          <t>FİSUN ETİLER</t>
        </is>
      </c>
      <c r="E1491" s="4" t="inlineStr">
        <is>
          <t>Cumartesi</t>
        </is>
      </c>
      <c r="F1491" s="4" t="inlineStr">
        <is>
          <t>17.10.2026</t>
        </is>
      </c>
      <c r="G1491" s="4" t="inlineStr">
        <is>
          <t>07:53</t>
        </is>
      </c>
      <c r="H1491" s="4" t="inlineStr">
        <is>
          <t>17.10.2026</t>
        </is>
      </c>
      <c r="I1491" s="4" t="inlineStr">
        <is>
          <t>17:51</t>
        </is>
      </c>
      <c r="J1491" s="8" t="n">
        <v>8.5</v>
      </c>
      <c r="K1491" s="8" t="n">
        <v>7.5</v>
      </c>
      <c r="L1491" s="8" t="n">
        <v>1</v>
      </c>
      <c r="M1491" s="29" t="inlineStr">
        <is>
          <t>GÜVEN MUSTAFAKEMALPAŞA</t>
        </is>
      </c>
    </row>
    <row r="1492">
      <c r="A1492" s="4" t="n">
        <v>1491</v>
      </c>
      <c r="B1492" s="4" t="inlineStr">
        <is>
          <t>00927</t>
        </is>
      </c>
      <c r="C1492" s="4" t="inlineStr">
        <is>
          <t>00927</t>
        </is>
      </c>
      <c r="D1492" s="29" t="inlineStr">
        <is>
          <t>FİSUN ETİLER</t>
        </is>
      </c>
      <c r="E1492" s="4" t="inlineStr">
        <is>
          <t>Pazartesi</t>
        </is>
      </c>
      <c r="F1492" s="4" t="inlineStr">
        <is>
          <t>19.10.2026</t>
        </is>
      </c>
      <c r="G1492" s="4" t="inlineStr">
        <is>
          <t>07:50</t>
        </is>
      </c>
      <c r="H1492" s="4" t="inlineStr">
        <is>
          <t>19.10.2026</t>
        </is>
      </c>
      <c r="I1492" s="4" t="inlineStr">
        <is>
          <t>17:44</t>
        </is>
      </c>
      <c r="J1492" s="8" t="n">
        <v>8</v>
      </c>
      <c r="K1492" s="8" t="n">
        <v>7.5</v>
      </c>
      <c r="L1492" s="8" t="n">
        <v>0.5</v>
      </c>
      <c r="M1492" s="29" t="inlineStr">
        <is>
          <t>GÜVEN MUSTAFAKEMALPAŞA</t>
        </is>
      </c>
    </row>
    <row r="1493">
      <c r="A1493" s="4" t="n">
        <v>1492</v>
      </c>
      <c r="B1493" s="4" t="inlineStr">
        <is>
          <t>00927</t>
        </is>
      </c>
      <c r="C1493" s="4" t="inlineStr">
        <is>
          <t>00927</t>
        </is>
      </c>
      <c r="D1493" s="29" t="inlineStr">
        <is>
          <t>FİSUN ETİLER</t>
        </is>
      </c>
      <c r="E1493" s="4" t="inlineStr">
        <is>
          <t>Salı</t>
        </is>
      </c>
      <c r="F1493" s="4" t="inlineStr">
        <is>
          <t>20.10.2026</t>
        </is>
      </c>
      <c r="G1493" s="4" t="inlineStr">
        <is>
          <t>07:52</t>
        </is>
      </c>
      <c r="H1493" s="4" t="inlineStr">
        <is>
          <t>20.10.2026</t>
        </is>
      </c>
      <c r="I1493" s="4" t="inlineStr">
        <is>
          <t>17:01</t>
        </is>
      </c>
      <c r="J1493" s="8" t="n">
        <v>7.5</v>
      </c>
      <c r="K1493" s="8" t="n">
        <v>7.5</v>
      </c>
      <c r="L1493" s="8" t="n">
        <v>0</v>
      </c>
      <c r="M1493" s="29" t="inlineStr">
        <is>
          <t>GÜVEN MUSTAFAKEMALPAŞA</t>
        </is>
      </c>
    </row>
    <row r="1494">
      <c r="A1494" s="4" t="n">
        <v>1493</v>
      </c>
      <c r="B1494" s="4" t="inlineStr">
        <is>
          <t>00927</t>
        </is>
      </c>
      <c r="C1494" s="4" t="inlineStr">
        <is>
          <t>00927</t>
        </is>
      </c>
      <c r="D1494" s="29" t="inlineStr">
        <is>
          <t>FİSUN ETİLER</t>
        </is>
      </c>
      <c r="E1494" s="4" t="inlineStr">
        <is>
          <t>Çarşamba</t>
        </is>
      </c>
      <c r="F1494" s="4" t="inlineStr">
        <is>
          <t>21.10.2026</t>
        </is>
      </c>
      <c r="G1494" s="4" t="inlineStr">
        <is>
          <t>07:48</t>
        </is>
      </c>
      <c r="H1494" s="4" t="inlineStr">
        <is>
          <t>21.10.2026</t>
        </is>
      </c>
      <c r="I1494" s="4" t="inlineStr">
        <is>
          <t>17:01</t>
        </is>
      </c>
      <c r="J1494" s="8" t="n">
        <v>7.5</v>
      </c>
      <c r="K1494" s="8" t="n">
        <v>7.5</v>
      </c>
      <c r="L1494" s="8" t="n">
        <v>0</v>
      </c>
      <c r="M1494" s="29" t="inlineStr">
        <is>
          <t>GÜVEN MUSTAFAKEMALPAŞA</t>
        </is>
      </c>
    </row>
    <row r="1495">
      <c r="A1495" s="4" t="n">
        <v>1494</v>
      </c>
      <c r="B1495" s="4" t="inlineStr">
        <is>
          <t>01483</t>
        </is>
      </c>
      <c r="C1495" s="4" t="inlineStr">
        <is>
          <t>01483</t>
        </is>
      </c>
      <c r="D1495" s="29" t="inlineStr">
        <is>
          <t>FURKAN UÇAK</t>
        </is>
      </c>
      <c r="E1495" s="4" t="inlineStr">
        <is>
          <t>Cumartesi</t>
        </is>
      </c>
      <c r="F1495" s="4" t="inlineStr">
        <is>
          <t>3.10.2026</t>
        </is>
      </c>
      <c r="G1495" s="4" t="inlineStr">
        <is>
          <t>13:56</t>
        </is>
      </c>
      <c r="H1495" s="4" t="inlineStr">
        <is>
          <t>3.10.2026</t>
        </is>
      </c>
      <c r="I1495" s="4" t="inlineStr">
        <is>
          <t>19:59</t>
        </is>
      </c>
      <c r="J1495" s="8" t="n">
        <v>5.5</v>
      </c>
      <c r="K1495" s="8" t="n">
        <v>5.5</v>
      </c>
      <c r="L1495" s="8" t="n">
        <v>0</v>
      </c>
      <c r="M1495" s="29" t="inlineStr">
        <is>
          <t>HALİL DİĞRENCİ</t>
        </is>
      </c>
    </row>
    <row r="1496">
      <c r="A1496" s="4" t="n">
        <v>1495</v>
      </c>
      <c r="B1496" s="4" t="inlineStr">
        <is>
          <t>01483</t>
        </is>
      </c>
      <c r="C1496" s="4" t="inlineStr">
        <is>
          <t>01483</t>
        </is>
      </c>
      <c r="D1496" s="29" t="inlineStr">
        <is>
          <t>FURKAN UÇAK</t>
        </is>
      </c>
      <c r="E1496" s="4" t="inlineStr">
        <is>
          <t>Pazartesi</t>
        </is>
      </c>
      <c r="F1496" s="4" t="inlineStr">
        <is>
          <t>5.10.2026</t>
        </is>
      </c>
      <c r="G1496" s="4" t="inlineStr">
        <is>
          <t>08:15</t>
        </is>
      </c>
      <c r="H1496" s="4" t="inlineStr">
        <is>
          <t>5.10.2026</t>
        </is>
      </c>
      <c r="I1496" s="4" t="inlineStr">
        <is>
          <t>-</t>
        </is>
      </c>
      <c r="J1496" s="8" t="n">
        <v>7.5</v>
      </c>
      <c r="K1496" s="8" t="n">
        <v>7.5</v>
      </c>
      <c r="L1496" s="8" t="n">
        <v>0</v>
      </c>
      <c r="M1496" s="29" t="inlineStr">
        <is>
          <t>HALİL DİĞRENCİ</t>
        </is>
      </c>
    </row>
    <row r="1497">
      <c r="A1497" s="4" t="n">
        <v>1496</v>
      </c>
      <c r="B1497" s="4" t="inlineStr">
        <is>
          <t>01044</t>
        </is>
      </c>
      <c r="C1497" s="4" t="inlineStr">
        <is>
          <t>01044</t>
        </is>
      </c>
      <c r="D1497" s="29" t="inlineStr">
        <is>
          <t>GÖZDE TÜRKÇÜ</t>
        </is>
      </c>
      <c r="E1497" s="4" t="inlineStr">
        <is>
          <t>Perşembe</t>
        </is>
      </c>
      <c r="F1497" s="4" t="inlineStr">
        <is>
          <t>1.10.2026</t>
        </is>
      </c>
      <c r="G1497" s="4" t="inlineStr">
        <is>
          <t>22:47</t>
        </is>
      </c>
      <c r="H1497" s="4" t="inlineStr">
        <is>
          <t>1.10.2026</t>
        </is>
      </c>
      <c r="I1497" s="4" t="inlineStr">
        <is>
          <t>01:08</t>
        </is>
      </c>
      <c r="J1497" s="8" t="n">
        <v>1</v>
      </c>
      <c r="K1497" s="8" t="n">
        <v>1</v>
      </c>
      <c r="L1497" s="8" t="n">
        <v>0</v>
      </c>
      <c r="M1497" s="29" t="inlineStr">
        <is>
          <t>GÜVEN MUSTAFAKEMALPAŞA</t>
        </is>
      </c>
    </row>
    <row r="1498">
      <c r="A1498" s="4" t="n">
        <v>1497</v>
      </c>
      <c r="B1498" s="4" t="inlineStr">
        <is>
          <t>01044</t>
        </is>
      </c>
      <c r="C1498" s="4" t="inlineStr">
        <is>
          <t>01044</t>
        </is>
      </c>
      <c r="D1498" s="29" t="inlineStr">
        <is>
          <t>GÖZDE TÜRKÇÜ</t>
        </is>
      </c>
      <c r="E1498" s="4" t="inlineStr">
        <is>
          <t>Cuma</t>
        </is>
      </c>
      <c r="F1498" s="4" t="inlineStr">
        <is>
          <t>2.10.2026</t>
        </is>
      </c>
      <c r="G1498" s="4" t="inlineStr">
        <is>
          <t>18:05</t>
        </is>
      </c>
      <c r="H1498" s="4" t="inlineStr">
        <is>
          <t>2.10.2026</t>
        </is>
      </c>
      <c r="I1498" s="4" t="inlineStr">
        <is>
          <t>00:56</t>
        </is>
      </c>
      <c r="J1498" s="8" t="n">
        <v>6.5</v>
      </c>
      <c r="K1498" s="8" t="n">
        <v>5.5</v>
      </c>
      <c r="L1498" s="8" t="n">
        <v>1</v>
      </c>
      <c r="M1498" s="29" t="inlineStr">
        <is>
          <t>GÜVEN MUSTAFAKEMALPAŞA</t>
        </is>
      </c>
    </row>
    <row r="1499">
      <c r="A1499" s="4" t="n">
        <v>1498</v>
      </c>
      <c r="B1499" s="4" t="inlineStr">
        <is>
          <t>01044</t>
        </is>
      </c>
      <c r="C1499" s="4" t="inlineStr">
        <is>
          <t>01044</t>
        </is>
      </c>
      <c r="D1499" s="29" t="inlineStr">
        <is>
          <t>GÖZDE TÜRKÇÜ</t>
        </is>
      </c>
      <c r="E1499" s="4" t="inlineStr">
        <is>
          <t>Cumartesi</t>
        </is>
      </c>
      <c r="F1499" s="4" t="inlineStr">
        <is>
          <t>3.10.2026</t>
        </is>
      </c>
      <c r="G1499" s="4" t="inlineStr">
        <is>
          <t>17:56</t>
        </is>
      </c>
      <c r="H1499" s="4" t="inlineStr">
        <is>
          <t>3.10.2026</t>
        </is>
      </c>
      <c r="I1499" s="4" t="inlineStr">
        <is>
          <t>00:55</t>
        </is>
      </c>
      <c r="J1499" s="8" t="n">
        <v>6.5</v>
      </c>
      <c r="K1499" s="8" t="n">
        <v>5.5</v>
      </c>
      <c r="L1499" s="8" t="n">
        <v>1</v>
      </c>
      <c r="M1499" s="29" t="inlineStr">
        <is>
          <t>GÜVEN MUSTAFAKEMALPAŞA</t>
        </is>
      </c>
    </row>
    <row r="1500">
      <c r="A1500" s="4" t="n">
        <v>1499</v>
      </c>
      <c r="B1500" s="4" t="inlineStr">
        <is>
          <t>01044</t>
        </is>
      </c>
      <c r="C1500" s="4" t="inlineStr">
        <is>
          <t>01044</t>
        </is>
      </c>
      <c r="D1500" s="29" t="inlineStr">
        <is>
          <t>GÖZDE TÜRKÇÜ</t>
        </is>
      </c>
      <c r="E1500" s="4" t="inlineStr">
        <is>
          <t>Çarşamba</t>
        </is>
      </c>
      <c r="F1500" s="4" t="inlineStr">
        <is>
          <t>7.10.2026</t>
        </is>
      </c>
      <c r="G1500" s="4" t="inlineStr">
        <is>
          <t>18:09</t>
        </is>
      </c>
      <c r="H1500" s="4" t="inlineStr">
        <is>
          <t>7.10.2026</t>
        </is>
      </c>
      <c r="I1500" s="4" t="inlineStr">
        <is>
          <t>01:01</t>
        </is>
      </c>
      <c r="J1500" s="8" t="n">
        <v>6.5</v>
      </c>
      <c r="K1500" s="8" t="n">
        <v>5.5</v>
      </c>
      <c r="L1500" s="8" t="n">
        <v>1</v>
      </c>
      <c r="M1500" s="29" t="inlineStr">
        <is>
          <t>GÜVEN MUSTAFAKEMALPAŞA</t>
        </is>
      </c>
    </row>
    <row r="1501">
      <c r="A1501" s="4" t="n">
        <v>1500</v>
      </c>
      <c r="B1501" s="4" t="inlineStr">
        <is>
          <t>01044</t>
        </is>
      </c>
      <c r="C1501" s="4" t="inlineStr">
        <is>
          <t>01044</t>
        </is>
      </c>
      <c r="D1501" s="29" t="inlineStr">
        <is>
          <t>GÖZDE TÜRKÇÜ</t>
        </is>
      </c>
      <c r="E1501" s="4" t="inlineStr">
        <is>
          <t>Cumartesi</t>
        </is>
      </c>
      <c r="F1501" s="4" t="inlineStr">
        <is>
          <t>17.10.2026</t>
        </is>
      </c>
      <c r="G1501" s="4" t="inlineStr">
        <is>
          <t>18:01</t>
        </is>
      </c>
      <c r="H1501" s="4" t="inlineStr">
        <is>
          <t>17.10.2026</t>
        </is>
      </c>
      <c r="I1501" s="4" t="inlineStr">
        <is>
          <t>00:58</t>
        </is>
      </c>
      <c r="J1501" s="8" t="n">
        <v>6.5</v>
      </c>
      <c r="K1501" s="8" t="n">
        <v>5.5</v>
      </c>
      <c r="L1501" s="8" t="n">
        <v>1</v>
      </c>
      <c r="M1501" s="29" t="inlineStr">
        <is>
          <t>GÜVEN MUSTAFAKEMALPAŞA</t>
        </is>
      </c>
    </row>
    <row r="1502">
      <c r="A1502" s="4" t="n">
        <v>1501</v>
      </c>
      <c r="B1502" s="4" t="inlineStr">
        <is>
          <t>00739</t>
        </is>
      </c>
      <c r="C1502" s="4" t="inlineStr">
        <is>
          <t>00739</t>
        </is>
      </c>
      <c r="D1502" s="29" t="inlineStr">
        <is>
          <t>GURBET DUMAN</t>
        </is>
      </c>
      <c r="E1502" s="4" t="inlineStr">
        <is>
          <t>Perşembe</t>
        </is>
      </c>
      <c r="F1502" s="4" t="inlineStr">
        <is>
          <t>1.10.2026</t>
        </is>
      </c>
      <c r="G1502" s="4" t="inlineStr">
        <is>
          <t>07:57</t>
        </is>
      </c>
      <c r="H1502" s="4" t="inlineStr">
        <is>
          <t>1.10.2026</t>
        </is>
      </c>
      <c r="I1502" s="4" t="inlineStr">
        <is>
          <t>17:31</t>
        </is>
      </c>
      <c r="J1502" s="8" t="n">
        <v>8</v>
      </c>
      <c r="K1502" s="8" t="n">
        <v>7.5</v>
      </c>
      <c r="L1502" s="8" t="n">
        <v>0.5</v>
      </c>
      <c r="M1502" s="29" t="inlineStr">
        <is>
          <t>HALİL DİĞRENCİ</t>
        </is>
      </c>
    </row>
    <row r="1503">
      <c r="A1503" s="4" t="n">
        <v>1502</v>
      </c>
      <c r="B1503" s="4" t="inlineStr">
        <is>
          <t>00739</t>
        </is>
      </c>
      <c r="C1503" s="4" t="inlineStr">
        <is>
          <t>00739</t>
        </is>
      </c>
      <c r="D1503" s="29" t="inlineStr">
        <is>
          <t>GURBET DUMAN</t>
        </is>
      </c>
      <c r="E1503" s="4" t="inlineStr">
        <is>
          <t>Cumartesi</t>
        </is>
      </c>
      <c r="F1503" s="4" t="inlineStr">
        <is>
          <t>3.10.2026</t>
        </is>
      </c>
      <c r="G1503" s="4" t="inlineStr">
        <is>
          <t>08:02</t>
        </is>
      </c>
      <c r="H1503" s="4" t="inlineStr">
        <is>
          <t>3.10.2026</t>
        </is>
      </c>
      <c r="I1503" s="4" t="inlineStr">
        <is>
          <t>17:39</t>
        </is>
      </c>
      <c r="J1503" s="8" t="n">
        <v>8</v>
      </c>
      <c r="K1503" s="8" t="n">
        <v>7.5</v>
      </c>
      <c r="L1503" s="8" t="n">
        <v>0.5</v>
      </c>
      <c r="M1503" s="29" t="inlineStr">
        <is>
          <t>HALİL DİĞRENCİ</t>
        </is>
      </c>
    </row>
    <row r="1504">
      <c r="A1504" s="4" t="n">
        <v>1503</v>
      </c>
      <c r="B1504" s="4" t="inlineStr">
        <is>
          <t>00739</t>
        </is>
      </c>
      <c r="C1504" s="4" t="inlineStr">
        <is>
          <t>00739</t>
        </is>
      </c>
      <c r="D1504" s="29" t="inlineStr">
        <is>
          <t>GURBET DUMAN</t>
        </is>
      </c>
      <c r="E1504" s="4" t="inlineStr">
        <is>
          <t>Pazartesi</t>
        </is>
      </c>
      <c r="F1504" s="4" t="inlineStr">
        <is>
          <t>5.10.2026</t>
        </is>
      </c>
      <c r="G1504" s="4" t="inlineStr">
        <is>
          <t>08:03</t>
        </is>
      </c>
      <c r="H1504" s="4" t="inlineStr">
        <is>
          <t>5.10.2026</t>
        </is>
      </c>
      <c r="I1504" s="4" t="inlineStr">
        <is>
          <t>17:06</t>
        </is>
      </c>
      <c r="J1504" s="8" t="n">
        <v>7.5</v>
      </c>
      <c r="K1504" s="8" t="n">
        <v>7.5</v>
      </c>
      <c r="L1504" s="8" t="n">
        <v>0</v>
      </c>
      <c r="M1504" s="29" t="inlineStr">
        <is>
          <t>HALİL DİĞRENCİ</t>
        </is>
      </c>
    </row>
    <row r="1505">
      <c r="A1505" s="4" t="n">
        <v>1504</v>
      </c>
      <c r="B1505" s="4" t="inlineStr">
        <is>
          <t>00739</t>
        </is>
      </c>
      <c r="C1505" s="4" t="inlineStr">
        <is>
          <t>00739</t>
        </is>
      </c>
      <c r="D1505" s="29" t="inlineStr">
        <is>
          <t>GURBET DUMAN</t>
        </is>
      </c>
      <c r="E1505" s="4" t="inlineStr">
        <is>
          <t>Çarşamba</t>
        </is>
      </c>
      <c r="F1505" s="4" t="inlineStr">
        <is>
          <t>7.10.2026</t>
        </is>
      </c>
      <c r="G1505" s="4" t="inlineStr">
        <is>
          <t>07:34</t>
        </is>
      </c>
      <c r="H1505" s="4" t="inlineStr">
        <is>
          <t>7.10.2026</t>
        </is>
      </c>
      <c r="I1505" s="4" t="inlineStr">
        <is>
          <t>17:26</t>
        </is>
      </c>
      <c r="J1505" s="8" t="n">
        <v>8</v>
      </c>
      <c r="K1505" s="8" t="n">
        <v>7.5</v>
      </c>
      <c r="L1505" s="8" t="n">
        <v>0.5</v>
      </c>
      <c r="M1505" s="29" t="inlineStr">
        <is>
          <t>HALİL DİĞRENCİ</t>
        </is>
      </c>
    </row>
    <row r="1506">
      <c r="A1506" s="4" t="n">
        <v>1505</v>
      </c>
      <c r="B1506" s="4" t="inlineStr">
        <is>
          <t>00739</t>
        </is>
      </c>
      <c r="C1506" s="4" t="inlineStr">
        <is>
          <t>00739</t>
        </is>
      </c>
      <c r="D1506" s="29" t="inlineStr">
        <is>
          <t>GURBET DUMAN</t>
        </is>
      </c>
      <c r="E1506" s="4" t="inlineStr">
        <is>
          <t>Perşembe</t>
        </is>
      </c>
      <c r="F1506" s="4" t="inlineStr">
        <is>
          <t>8.10.2026</t>
        </is>
      </c>
      <c r="G1506" s="4" t="inlineStr">
        <is>
          <t>07:54</t>
        </is>
      </c>
      <c r="H1506" s="4" t="inlineStr">
        <is>
          <t>8.10.2026</t>
        </is>
      </c>
      <c r="I1506" s="4" t="inlineStr">
        <is>
          <t>17:37</t>
        </is>
      </c>
      <c r="J1506" s="8" t="n">
        <v>8</v>
      </c>
      <c r="K1506" s="8" t="n">
        <v>7.5</v>
      </c>
      <c r="L1506" s="8" t="n">
        <v>0.5</v>
      </c>
      <c r="M1506" s="29" t="inlineStr">
        <is>
          <t>HALİL DİĞRENCİ</t>
        </is>
      </c>
    </row>
    <row r="1507">
      <c r="A1507" s="4" t="n">
        <v>1506</v>
      </c>
      <c r="B1507" s="4" t="inlineStr">
        <is>
          <t>00739</t>
        </is>
      </c>
      <c r="C1507" s="4" t="inlineStr">
        <is>
          <t>00739</t>
        </is>
      </c>
      <c r="D1507" s="29" t="inlineStr">
        <is>
          <t>GURBET DUMAN</t>
        </is>
      </c>
      <c r="E1507" s="4" t="inlineStr">
        <is>
          <t>Cuma</t>
        </is>
      </c>
      <c r="F1507" s="4" t="inlineStr">
        <is>
          <t>9.10.2026</t>
        </is>
      </c>
      <c r="G1507" s="4" t="inlineStr">
        <is>
          <t>08:00</t>
        </is>
      </c>
      <c r="H1507" s="4" t="inlineStr">
        <is>
          <t>9.10.2026</t>
        </is>
      </c>
      <c r="I1507" s="4" t="inlineStr">
        <is>
          <t>17:47</t>
        </is>
      </c>
      <c r="J1507" s="8" t="n">
        <v>8.5</v>
      </c>
      <c r="K1507" s="8" t="n">
        <v>7.5</v>
      </c>
      <c r="L1507" s="8" t="n">
        <v>1</v>
      </c>
      <c r="M1507" s="29" t="inlineStr">
        <is>
          <t>HALİL DİĞRENCİ</t>
        </is>
      </c>
    </row>
    <row r="1508">
      <c r="A1508" s="4" t="n">
        <v>1507</v>
      </c>
      <c r="B1508" s="4" t="inlineStr">
        <is>
          <t>00739</t>
        </is>
      </c>
      <c r="C1508" s="4" t="inlineStr">
        <is>
          <t>00739</t>
        </is>
      </c>
      <c r="D1508" s="29" t="inlineStr">
        <is>
          <t>GURBET DUMAN</t>
        </is>
      </c>
      <c r="E1508" s="4" t="inlineStr">
        <is>
          <t>Salı</t>
        </is>
      </c>
      <c r="F1508" s="4" t="inlineStr">
        <is>
          <t>13.10.2026</t>
        </is>
      </c>
      <c r="G1508" s="4" t="inlineStr">
        <is>
          <t>08:02</t>
        </is>
      </c>
      <c r="H1508" s="4" t="inlineStr">
        <is>
          <t>13.10.2026</t>
        </is>
      </c>
      <c r="I1508" s="4" t="inlineStr">
        <is>
          <t>17:02</t>
        </is>
      </c>
      <c r="J1508" s="8" t="n">
        <v>7.5</v>
      </c>
      <c r="K1508" s="8" t="n">
        <v>7.5</v>
      </c>
      <c r="L1508" s="8" t="n">
        <v>0</v>
      </c>
      <c r="M1508" s="29" t="inlineStr">
        <is>
          <t>HALİL DİĞRENCİ</t>
        </is>
      </c>
    </row>
    <row r="1509">
      <c r="A1509" s="4" t="n">
        <v>1508</v>
      </c>
      <c r="B1509" s="4" t="inlineStr">
        <is>
          <t>00739</t>
        </is>
      </c>
      <c r="C1509" s="4" t="inlineStr">
        <is>
          <t>00739</t>
        </is>
      </c>
      <c r="D1509" s="29" t="inlineStr">
        <is>
          <t>GURBET DUMAN</t>
        </is>
      </c>
      <c r="E1509" s="4" t="inlineStr">
        <is>
          <t>Çarşamba</t>
        </is>
      </c>
      <c r="F1509" s="4" t="inlineStr">
        <is>
          <t>14.10.2026</t>
        </is>
      </c>
      <c r="G1509" s="4" t="inlineStr">
        <is>
          <t>07:55</t>
        </is>
      </c>
      <c r="H1509" s="4" t="inlineStr">
        <is>
          <t>14.10.2026</t>
        </is>
      </c>
      <c r="I1509" s="4" t="inlineStr">
        <is>
          <t>18:07</t>
        </is>
      </c>
      <c r="J1509" s="8" t="n">
        <v>8.5</v>
      </c>
      <c r="K1509" s="8" t="n">
        <v>7.5</v>
      </c>
      <c r="L1509" s="8" t="n">
        <v>1</v>
      </c>
      <c r="M1509" s="29" t="inlineStr">
        <is>
          <t>HALİL DİĞRENCİ</t>
        </is>
      </c>
    </row>
    <row r="1510">
      <c r="A1510" s="4" t="n">
        <v>1509</v>
      </c>
      <c r="B1510" s="4" t="inlineStr">
        <is>
          <t>00423</t>
        </is>
      </c>
      <c r="C1510" s="4" t="inlineStr">
        <is>
          <t>00423</t>
        </is>
      </c>
      <c r="D1510" s="29" t="inlineStr">
        <is>
          <t>GÜLAY GÜNDOĞDU</t>
        </is>
      </c>
      <c r="E1510" s="4" t="inlineStr">
        <is>
          <t>Perşembe</t>
        </is>
      </c>
      <c r="F1510" s="4" t="inlineStr">
        <is>
          <t>1.10.2026</t>
        </is>
      </c>
      <c r="G1510" s="4" t="inlineStr">
        <is>
          <t>07:49</t>
        </is>
      </c>
      <c r="H1510" s="4" t="inlineStr">
        <is>
          <t>1.10.2026</t>
        </is>
      </c>
      <c r="I1510" s="4" t="inlineStr">
        <is>
          <t>17:25</t>
        </is>
      </c>
      <c r="J1510" s="8" t="n">
        <v>8</v>
      </c>
      <c r="K1510" s="8" t="n">
        <v>7.5</v>
      </c>
      <c r="L1510" s="8" t="n">
        <v>0.5</v>
      </c>
      <c r="M1510" s="29" t="inlineStr">
        <is>
          <t>BALIKESİR</t>
        </is>
      </c>
    </row>
    <row r="1511">
      <c r="A1511" s="4" t="n">
        <v>1510</v>
      </c>
      <c r="B1511" s="4" t="inlineStr">
        <is>
          <t>00423</t>
        </is>
      </c>
      <c r="C1511" s="4" t="inlineStr">
        <is>
          <t>00423</t>
        </is>
      </c>
      <c r="D1511" s="29" t="inlineStr">
        <is>
          <t>GÜLAY GÜNDOĞDU</t>
        </is>
      </c>
      <c r="E1511" s="4" t="inlineStr">
        <is>
          <t>Cuma</t>
        </is>
      </c>
      <c r="F1511" s="4" t="inlineStr">
        <is>
          <t>2.10.2026</t>
        </is>
      </c>
      <c r="G1511" s="4" t="inlineStr">
        <is>
          <t>07:57</t>
        </is>
      </c>
      <c r="H1511" s="4" t="inlineStr">
        <is>
          <t>2.10.2026</t>
        </is>
      </c>
      <c r="I1511" s="4" t="inlineStr">
        <is>
          <t>17:43</t>
        </is>
      </c>
      <c r="J1511" s="8" t="n">
        <v>8</v>
      </c>
      <c r="K1511" s="8" t="n">
        <v>7.5</v>
      </c>
      <c r="L1511" s="8" t="n">
        <v>0.5</v>
      </c>
      <c r="M1511" s="29" t="inlineStr">
        <is>
          <t>BALIKESİR</t>
        </is>
      </c>
    </row>
    <row r="1512">
      <c r="A1512" s="4" t="n">
        <v>1511</v>
      </c>
      <c r="B1512" s="4" t="inlineStr">
        <is>
          <t>00423</t>
        </is>
      </c>
      <c r="C1512" s="4" t="inlineStr">
        <is>
          <t>00423</t>
        </is>
      </c>
      <c r="D1512" s="29" t="inlineStr">
        <is>
          <t>GÜLAY GÜNDOĞDU</t>
        </is>
      </c>
      <c r="E1512" s="4" t="inlineStr">
        <is>
          <t>Cumartesi</t>
        </is>
      </c>
      <c r="F1512" s="4" t="inlineStr">
        <is>
          <t>3.10.2026</t>
        </is>
      </c>
      <c r="G1512" s="4" t="inlineStr">
        <is>
          <t>07:54</t>
        </is>
      </c>
      <c r="H1512" s="4" t="inlineStr">
        <is>
          <t>3.10.2026</t>
        </is>
      </c>
      <c r="I1512" s="4" t="inlineStr">
        <is>
          <t>17:34</t>
        </is>
      </c>
      <c r="J1512" s="8" t="n">
        <v>8</v>
      </c>
      <c r="K1512" s="8" t="n">
        <v>7.5</v>
      </c>
      <c r="L1512" s="8" t="n">
        <v>0.5</v>
      </c>
      <c r="M1512" s="29" t="inlineStr">
        <is>
          <t>BALIKESİR</t>
        </is>
      </c>
    </row>
    <row r="1513">
      <c r="A1513" s="4" t="n">
        <v>1512</v>
      </c>
      <c r="B1513" s="4" t="inlineStr">
        <is>
          <t>00423</t>
        </is>
      </c>
      <c r="C1513" s="4" t="inlineStr">
        <is>
          <t>00423</t>
        </is>
      </c>
      <c r="D1513" s="29" t="inlineStr">
        <is>
          <t>GÜLAY GÜNDOĞDU</t>
        </is>
      </c>
      <c r="E1513" s="4" t="inlineStr">
        <is>
          <t>Pazartesi</t>
        </is>
      </c>
      <c r="F1513" s="4" t="inlineStr">
        <is>
          <t>5.10.2026</t>
        </is>
      </c>
      <c r="G1513" s="4" t="inlineStr">
        <is>
          <t>07:52</t>
        </is>
      </c>
      <c r="H1513" s="4" t="inlineStr">
        <is>
          <t>5.10.2026</t>
        </is>
      </c>
      <c r="I1513" s="4" t="inlineStr">
        <is>
          <t>17:02</t>
        </is>
      </c>
      <c r="J1513" s="8" t="n">
        <v>7.5</v>
      </c>
      <c r="K1513" s="8" t="n">
        <v>7.5</v>
      </c>
      <c r="L1513" s="8" t="n">
        <v>0</v>
      </c>
      <c r="M1513" s="29" t="inlineStr">
        <is>
          <t>BALIKESİR</t>
        </is>
      </c>
    </row>
    <row r="1514">
      <c r="A1514" s="4" t="n">
        <v>1513</v>
      </c>
      <c r="B1514" s="4" t="inlineStr">
        <is>
          <t>00423</t>
        </is>
      </c>
      <c r="C1514" s="4" t="inlineStr">
        <is>
          <t>00423</t>
        </is>
      </c>
      <c r="D1514" s="29" t="inlineStr">
        <is>
          <t>GÜLAY GÜNDOĞDU</t>
        </is>
      </c>
      <c r="E1514" s="4" t="inlineStr">
        <is>
          <t>Salı</t>
        </is>
      </c>
      <c r="F1514" s="4" t="inlineStr">
        <is>
          <t>6.10.2026</t>
        </is>
      </c>
      <c r="G1514" s="4" t="inlineStr">
        <is>
          <t>07:49</t>
        </is>
      </c>
      <c r="H1514" s="4" t="inlineStr">
        <is>
          <t>6.10.2026</t>
        </is>
      </c>
      <c r="I1514" s="4" t="inlineStr">
        <is>
          <t>17:36</t>
        </is>
      </c>
      <c r="J1514" s="8" t="n">
        <v>8</v>
      </c>
      <c r="K1514" s="8" t="n">
        <v>7.5</v>
      </c>
      <c r="L1514" s="8" t="n">
        <v>0.5</v>
      </c>
      <c r="M1514" s="29" t="inlineStr">
        <is>
          <t>BALIKESİR</t>
        </is>
      </c>
    </row>
    <row r="1515">
      <c r="A1515" s="4" t="n">
        <v>1514</v>
      </c>
      <c r="B1515" s="4" t="inlineStr">
        <is>
          <t>00423</t>
        </is>
      </c>
      <c r="C1515" s="4" t="inlineStr">
        <is>
          <t>00423</t>
        </is>
      </c>
      <c r="D1515" s="29" t="inlineStr">
        <is>
          <t>GÜLAY GÜNDOĞDU</t>
        </is>
      </c>
      <c r="E1515" s="4" t="inlineStr">
        <is>
          <t>Çarşamba</t>
        </is>
      </c>
      <c r="F1515" s="4" t="inlineStr">
        <is>
          <t>7.10.2026</t>
        </is>
      </c>
      <c r="G1515" s="4" t="inlineStr">
        <is>
          <t>07:49</t>
        </is>
      </c>
      <c r="H1515" s="4" t="inlineStr">
        <is>
          <t>7.10.2026</t>
        </is>
      </c>
      <c r="I1515" s="4" t="inlineStr">
        <is>
          <t>17:21</t>
        </is>
      </c>
      <c r="J1515" s="8" t="n">
        <v>8</v>
      </c>
      <c r="K1515" s="8" t="n">
        <v>7.5</v>
      </c>
      <c r="L1515" s="8" t="n">
        <v>0.5</v>
      </c>
      <c r="M1515" s="29" t="inlineStr">
        <is>
          <t>BALIKESİR</t>
        </is>
      </c>
    </row>
    <row r="1516">
      <c r="A1516" s="4" t="n">
        <v>1515</v>
      </c>
      <c r="B1516" s="4" t="inlineStr">
        <is>
          <t>00423</t>
        </is>
      </c>
      <c r="C1516" s="4" t="inlineStr">
        <is>
          <t>00423</t>
        </is>
      </c>
      <c r="D1516" s="29" t="inlineStr">
        <is>
          <t>GÜLAY GÜNDOĞDU</t>
        </is>
      </c>
      <c r="E1516" s="4" t="inlineStr">
        <is>
          <t>Perşembe</t>
        </is>
      </c>
      <c r="F1516" s="4" t="inlineStr">
        <is>
          <t>8.10.2026</t>
        </is>
      </c>
      <c r="G1516" s="4" t="inlineStr">
        <is>
          <t>07:49</t>
        </is>
      </c>
      <c r="H1516" s="4" t="inlineStr">
        <is>
          <t>8.10.2026</t>
        </is>
      </c>
      <c r="I1516" s="4" t="inlineStr">
        <is>
          <t>17:31</t>
        </is>
      </c>
      <c r="J1516" s="8" t="n">
        <v>8</v>
      </c>
      <c r="K1516" s="8" t="n">
        <v>7.5</v>
      </c>
      <c r="L1516" s="8" t="n">
        <v>0.5</v>
      </c>
      <c r="M1516" s="29" t="inlineStr">
        <is>
          <t>BALIKESİR</t>
        </is>
      </c>
    </row>
    <row r="1517">
      <c r="A1517" s="4" t="n">
        <v>1516</v>
      </c>
      <c r="B1517" s="4" t="inlineStr">
        <is>
          <t>00423</t>
        </is>
      </c>
      <c r="C1517" s="4" t="inlineStr">
        <is>
          <t>00423</t>
        </is>
      </c>
      <c r="D1517" s="29" t="inlineStr">
        <is>
          <t>GÜLAY GÜNDOĞDU</t>
        </is>
      </c>
      <c r="E1517" s="4" t="inlineStr">
        <is>
          <t>Pazartesi</t>
        </is>
      </c>
      <c r="F1517" s="4" t="inlineStr">
        <is>
          <t>12.10.2026</t>
        </is>
      </c>
      <c r="G1517" s="4" t="inlineStr">
        <is>
          <t>07:50</t>
        </is>
      </c>
      <c r="H1517" s="4" t="inlineStr">
        <is>
          <t>12.10.2026</t>
        </is>
      </c>
      <c r="I1517" s="4" t="inlineStr">
        <is>
          <t>17:01</t>
        </is>
      </c>
      <c r="J1517" s="8" t="n">
        <v>7.5</v>
      </c>
      <c r="K1517" s="8" t="n">
        <v>7.5</v>
      </c>
      <c r="L1517" s="8" t="n">
        <v>0</v>
      </c>
      <c r="M1517" s="29" t="inlineStr">
        <is>
          <t>BALIKESİR</t>
        </is>
      </c>
    </row>
    <row r="1518">
      <c r="A1518" s="4" t="n">
        <v>1517</v>
      </c>
      <c r="B1518" s="4" t="inlineStr">
        <is>
          <t>00423</t>
        </is>
      </c>
      <c r="C1518" s="4" t="inlineStr">
        <is>
          <t>00423</t>
        </is>
      </c>
      <c r="D1518" s="29" t="inlineStr">
        <is>
          <t>GÜLAY GÜNDOĞDU</t>
        </is>
      </c>
      <c r="E1518" s="4" t="inlineStr">
        <is>
          <t>Salı</t>
        </is>
      </c>
      <c r="F1518" s="4" t="inlineStr">
        <is>
          <t>13.10.2026</t>
        </is>
      </c>
      <c r="G1518" s="4" t="inlineStr">
        <is>
          <t>07:48</t>
        </is>
      </c>
      <c r="H1518" s="4" t="inlineStr">
        <is>
          <t>13.10.2026</t>
        </is>
      </c>
      <c r="I1518" s="4" t="inlineStr">
        <is>
          <t>17:00</t>
        </is>
      </c>
      <c r="J1518" s="8" t="n">
        <v>7.5</v>
      </c>
      <c r="K1518" s="8" t="n">
        <v>7.5</v>
      </c>
      <c r="L1518" s="8" t="n">
        <v>0</v>
      </c>
      <c r="M1518" s="29" t="inlineStr">
        <is>
          <t>BALIKESİR</t>
        </is>
      </c>
    </row>
    <row r="1519">
      <c r="A1519" s="4" t="n">
        <v>1518</v>
      </c>
      <c r="B1519" s="4" t="inlineStr">
        <is>
          <t>00423</t>
        </is>
      </c>
      <c r="C1519" s="4" t="inlineStr">
        <is>
          <t>00423</t>
        </is>
      </c>
      <c r="D1519" s="29" t="inlineStr">
        <is>
          <t>GÜLAY GÜNDOĞDU</t>
        </is>
      </c>
      <c r="E1519" s="4" t="inlineStr">
        <is>
          <t>Çarşamba</t>
        </is>
      </c>
      <c r="F1519" s="4" t="inlineStr">
        <is>
          <t>14.10.2026</t>
        </is>
      </c>
      <c r="G1519" s="4" t="inlineStr">
        <is>
          <t>07:49</t>
        </is>
      </c>
      <c r="H1519" s="4" t="inlineStr">
        <is>
          <t>14.10.2026</t>
        </is>
      </c>
      <c r="I1519" s="4" t="inlineStr">
        <is>
          <t>18:03</t>
        </is>
      </c>
      <c r="J1519" s="8" t="n">
        <v>8.5</v>
      </c>
      <c r="K1519" s="8" t="n">
        <v>7.5</v>
      </c>
      <c r="L1519" s="8" t="n">
        <v>1</v>
      </c>
      <c r="M1519" s="29" t="inlineStr">
        <is>
          <t>BALIKESİR</t>
        </is>
      </c>
    </row>
    <row r="1520">
      <c r="A1520" s="4" t="n">
        <v>1519</v>
      </c>
      <c r="B1520" s="4" t="inlineStr">
        <is>
          <t>00423</t>
        </is>
      </c>
      <c r="C1520" s="4" t="inlineStr">
        <is>
          <t>00423</t>
        </is>
      </c>
      <c r="D1520" s="29" t="inlineStr">
        <is>
          <t>GÜLAY GÜNDOĞDU</t>
        </is>
      </c>
      <c r="E1520" s="4" t="inlineStr">
        <is>
          <t>Cuma</t>
        </is>
      </c>
      <c r="F1520" s="4" t="inlineStr">
        <is>
          <t>16.10.2026</t>
        </is>
      </c>
      <c r="G1520" s="4" t="inlineStr">
        <is>
          <t>07:48</t>
        </is>
      </c>
      <c r="H1520" s="4" t="inlineStr">
        <is>
          <t>16.10.2026</t>
        </is>
      </c>
      <c r="I1520" s="4" t="inlineStr">
        <is>
          <t>17:13</t>
        </is>
      </c>
      <c r="J1520" s="8" t="n">
        <v>7.5</v>
      </c>
      <c r="K1520" s="8" t="n">
        <v>7.5</v>
      </c>
      <c r="L1520" s="8" t="n">
        <v>0</v>
      </c>
      <c r="M1520" s="29" t="inlineStr">
        <is>
          <t>BALIKESİR</t>
        </is>
      </c>
    </row>
    <row r="1521">
      <c r="A1521" s="4" t="n">
        <v>1520</v>
      </c>
      <c r="B1521" s="4" t="inlineStr">
        <is>
          <t>00423</t>
        </is>
      </c>
      <c r="C1521" s="4" t="inlineStr">
        <is>
          <t>00423</t>
        </is>
      </c>
      <c r="D1521" s="29" t="inlineStr">
        <is>
          <t>GÜLAY GÜNDOĞDU</t>
        </is>
      </c>
      <c r="E1521" s="4" t="inlineStr">
        <is>
          <t>Cumartesi</t>
        </is>
      </c>
      <c r="F1521" s="4" t="inlineStr">
        <is>
          <t>17.10.2026</t>
        </is>
      </c>
      <c r="G1521" s="4" t="inlineStr">
        <is>
          <t>07:56</t>
        </is>
      </c>
      <c r="H1521" s="4" t="inlineStr">
        <is>
          <t>17.10.2026</t>
        </is>
      </c>
      <c r="I1521" s="4" t="inlineStr">
        <is>
          <t>17:47</t>
        </is>
      </c>
      <c r="J1521" s="8" t="n">
        <v>8.5</v>
      </c>
      <c r="K1521" s="8" t="n">
        <v>7.5</v>
      </c>
      <c r="L1521" s="8" t="n">
        <v>1</v>
      </c>
      <c r="M1521" s="29" t="inlineStr">
        <is>
          <t>BALIKESİR</t>
        </is>
      </c>
    </row>
    <row r="1522">
      <c r="A1522" s="4" t="n">
        <v>1521</v>
      </c>
      <c r="B1522" s="4" t="inlineStr">
        <is>
          <t>00423</t>
        </is>
      </c>
      <c r="C1522" s="4" t="inlineStr">
        <is>
          <t>00423</t>
        </is>
      </c>
      <c r="D1522" s="29" t="inlineStr">
        <is>
          <t>GÜLAY GÜNDOĞDU</t>
        </is>
      </c>
      <c r="E1522" s="4" t="inlineStr">
        <is>
          <t>Salı</t>
        </is>
      </c>
      <c r="F1522" s="4" t="inlineStr">
        <is>
          <t>20.10.2026</t>
        </is>
      </c>
      <c r="G1522" s="4" t="inlineStr">
        <is>
          <t>07:48</t>
        </is>
      </c>
      <c r="H1522" s="4" t="inlineStr">
        <is>
          <t>20.10.2026</t>
        </is>
      </c>
      <c r="I1522" s="4" t="inlineStr">
        <is>
          <t>16:59</t>
        </is>
      </c>
      <c r="J1522" s="8" t="n">
        <v>7.5</v>
      </c>
      <c r="K1522" s="8" t="n">
        <v>7.5</v>
      </c>
      <c r="L1522" s="8" t="n">
        <v>0</v>
      </c>
      <c r="M1522" s="29" t="inlineStr">
        <is>
          <t>BALIKESİR</t>
        </is>
      </c>
    </row>
    <row r="1523">
      <c r="A1523" s="4" t="n">
        <v>1522</v>
      </c>
      <c r="B1523" s="4" t="inlineStr">
        <is>
          <t>00423</t>
        </is>
      </c>
      <c r="C1523" s="4" t="inlineStr">
        <is>
          <t>00423</t>
        </is>
      </c>
      <c r="D1523" s="29" t="inlineStr">
        <is>
          <t>GÜLAY GÜNDOĞDU</t>
        </is>
      </c>
      <c r="E1523" s="4" t="inlineStr">
        <is>
          <t>Çarşamba</t>
        </is>
      </c>
      <c r="F1523" s="4" t="inlineStr">
        <is>
          <t>21.10.2026</t>
        </is>
      </c>
      <c r="G1523" s="4" t="inlineStr">
        <is>
          <t>07:49</t>
        </is>
      </c>
      <c r="H1523" s="4" t="inlineStr">
        <is>
          <t>21.10.2026</t>
        </is>
      </c>
      <c r="I1523" s="4" t="inlineStr">
        <is>
          <t>17:01</t>
        </is>
      </c>
      <c r="J1523" s="8" t="n">
        <v>7.5</v>
      </c>
      <c r="K1523" s="8" t="n">
        <v>7.5</v>
      </c>
      <c r="L1523" s="8" t="n">
        <v>0</v>
      </c>
      <c r="M1523" s="29" t="inlineStr">
        <is>
          <t>BALIKESİR</t>
        </is>
      </c>
    </row>
    <row r="1524">
      <c r="A1524" s="4" t="n">
        <v>1523</v>
      </c>
      <c r="B1524" s="4" t="inlineStr">
        <is>
          <t>00065</t>
        </is>
      </c>
      <c r="C1524" s="4" t="inlineStr">
        <is>
          <t>00065</t>
        </is>
      </c>
      <c r="D1524" s="29" t="inlineStr">
        <is>
          <t>GÜLCAN BİLGİÇ</t>
        </is>
      </c>
      <c r="E1524" s="4" t="inlineStr">
        <is>
          <t>Perşembe</t>
        </is>
      </c>
      <c r="F1524" s="4" t="inlineStr">
        <is>
          <t>1.10.2026</t>
        </is>
      </c>
      <c r="G1524" s="4" t="inlineStr">
        <is>
          <t>07:55</t>
        </is>
      </c>
      <c r="H1524" s="4" t="inlineStr">
        <is>
          <t>1.10.2026</t>
        </is>
      </c>
      <c r="I1524" s="4" t="inlineStr">
        <is>
          <t>17:07</t>
        </is>
      </c>
      <c r="J1524" s="8" t="n">
        <v>7.5</v>
      </c>
      <c r="K1524" s="8" t="n">
        <v>7.5</v>
      </c>
      <c r="L1524" s="8" t="n">
        <v>0</v>
      </c>
      <c r="M1524" s="29" t="inlineStr">
        <is>
          <t>BİGADİÇ</t>
        </is>
      </c>
    </row>
    <row r="1525">
      <c r="A1525" s="4" t="n">
        <v>1524</v>
      </c>
      <c r="B1525" s="4" t="inlineStr">
        <is>
          <t>00065</t>
        </is>
      </c>
      <c r="C1525" s="4" t="inlineStr">
        <is>
          <t>00065</t>
        </is>
      </c>
      <c r="D1525" s="29" t="inlineStr">
        <is>
          <t>GÜLCAN BİLGİÇ</t>
        </is>
      </c>
      <c r="E1525" s="4" t="inlineStr">
        <is>
          <t>Cuma</t>
        </is>
      </c>
      <c r="F1525" s="4" t="inlineStr">
        <is>
          <t>2.10.2026</t>
        </is>
      </c>
      <c r="G1525" s="4" t="inlineStr">
        <is>
          <t>07:54</t>
        </is>
      </c>
      <c r="H1525" s="4" t="inlineStr">
        <is>
          <t>2.10.2026</t>
        </is>
      </c>
      <c r="I1525" s="4" t="inlineStr">
        <is>
          <t>17:07</t>
        </is>
      </c>
      <c r="J1525" s="8" t="n">
        <v>7.5</v>
      </c>
      <c r="K1525" s="8" t="n">
        <v>7.5</v>
      </c>
      <c r="L1525" s="8" t="n">
        <v>0</v>
      </c>
      <c r="M1525" s="29" t="inlineStr">
        <is>
          <t>BİGADİÇ</t>
        </is>
      </c>
    </row>
    <row r="1526">
      <c r="A1526" s="4" t="n">
        <v>1525</v>
      </c>
      <c r="B1526" s="4" t="inlineStr">
        <is>
          <t>00065</t>
        </is>
      </c>
      <c r="C1526" s="4" t="inlineStr">
        <is>
          <t>00065</t>
        </is>
      </c>
      <c r="D1526" s="29" t="inlineStr">
        <is>
          <t>GÜLCAN BİLGİÇ</t>
        </is>
      </c>
      <c r="E1526" s="4" t="inlineStr">
        <is>
          <t>Cumartesi</t>
        </is>
      </c>
      <c r="F1526" s="4" t="inlineStr">
        <is>
          <t>3.10.2026</t>
        </is>
      </c>
      <c r="G1526" s="4" t="inlineStr">
        <is>
          <t>07:35</t>
        </is>
      </c>
      <c r="H1526" s="4" t="inlineStr">
        <is>
          <t>3.10.2026</t>
        </is>
      </c>
      <c r="I1526" s="4" t="inlineStr">
        <is>
          <t>17:07</t>
        </is>
      </c>
      <c r="J1526" s="8" t="n">
        <v>7.5</v>
      </c>
      <c r="K1526" s="8" t="n">
        <v>7.5</v>
      </c>
      <c r="L1526" s="8" t="n">
        <v>0</v>
      </c>
      <c r="M1526" s="29" t="inlineStr">
        <is>
          <t>BİGADİÇ</t>
        </is>
      </c>
    </row>
    <row r="1527">
      <c r="A1527" s="4" t="n">
        <v>1526</v>
      </c>
      <c r="B1527" s="4" t="inlineStr">
        <is>
          <t>00065</t>
        </is>
      </c>
      <c r="C1527" s="4" t="inlineStr">
        <is>
          <t>00065</t>
        </is>
      </c>
      <c r="D1527" s="29" t="inlineStr">
        <is>
          <t>GÜLCAN BİLGİÇ</t>
        </is>
      </c>
      <c r="E1527" s="4" t="inlineStr">
        <is>
          <t>Pazartesi</t>
        </is>
      </c>
      <c r="F1527" s="4" t="inlineStr">
        <is>
          <t>5.10.2026</t>
        </is>
      </c>
      <c r="G1527" s="4" t="inlineStr">
        <is>
          <t>07:55</t>
        </is>
      </c>
      <c r="H1527" s="4" t="inlineStr">
        <is>
          <t>5.10.2026</t>
        </is>
      </c>
      <c r="I1527" s="4" t="inlineStr">
        <is>
          <t>17:08</t>
        </is>
      </c>
      <c r="J1527" s="8" t="n">
        <v>7.5</v>
      </c>
      <c r="K1527" s="8" t="n">
        <v>7.5</v>
      </c>
      <c r="L1527" s="8" t="n">
        <v>0</v>
      </c>
      <c r="M1527" s="29" t="inlineStr">
        <is>
          <t>BİGADİÇ</t>
        </is>
      </c>
    </row>
    <row r="1528">
      <c r="A1528" s="4" t="n">
        <v>1527</v>
      </c>
      <c r="B1528" s="4" t="inlineStr">
        <is>
          <t>00065</t>
        </is>
      </c>
      <c r="C1528" s="4" t="inlineStr">
        <is>
          <t>00065</t>
        </is>
      </c>
      <c r="D1528" s="29" t="inlineStr">
        <is>
          <t>GÜLCAN BİLGİÇ</t>
        </is>
      </c>
      <c r="E1528" s="4" t="inlineStr">
        <is>
          <t>Salı</t>
        </is>
      </c>
      <c r="F1528" s="4" t="inlineStr">
        <is>
          <t>6.10.2026</t>
        </is>
      </c>
      <c r="G1528" s="4" t="inlineStr">
        <is>
          <t>07:53</t>
        </is>
      </c>
      <c r="H1528" s="4" t="inlineStr">
        <is>
          <t>6.10.2026</t>
        </is>
      </c>
      <c r="I1528" s="4" t="inlineStr">
        <is>
          <t>17:07</t>
        </is>
      </c>
      <c r="J1528" s="8" t="n">
        <v>7.5</v>
      </c>
      <c r="K1528" s="8" t="n">
        <v>7.5</v>
      </c>
      <c r="L1528" s="8" t="n">
        <v>0</v>
      </c>
      <c r="M1528" s="29" t="inlineStr">
        <is>
          <t>BİGADİÇ</t>
        </is>
      </c>
    </row>
    <row r="1529">
      <c r="A1529" s="4" t="n">
        <v>1528</v>
      </c>
      <c r="B1529" s="4" t="inlineStr">
        <is>
          <t>00065</t>
        </is>
      </c>
      <c r="C1529" s="4" t="inlineStr">
        <is>
          <t>00065</t>
        </is>
      </c>
      <c r="D1529" s="29" t="inlineStr">
        <is>
          <t>GÜLCAN BİLGİÇ</t>
        </is>
      </c>
      <c r="E1529" s="4" t="inlineStr">
        <is>
          <t>Çarşamba</t>
        </is>
      </c>
      <c r="F1529" s="4" t="inlineStr">
        <is>
          <t>7.10.2026</t>
        </is>
      </c>
      <c r="G1529" s="4" t="inlineStr">
        <is>
          <t>07:57</t>
        </is>
      </c>
      <c r="H1529" s="4" t="inlineStr">
        <is>
          <t>7.10.2026</t>
        </is>
      </c>
      <c r="I1529" s="4" t="inlineStr">
        <is>
          <t>17:04</t>
        </is>
      </c>
      <c r="J1529" s="8" t="n">
        <v>7.5</v>
      </c>
      <c r="K1529" s="8" t="n">
        <v>7.5</v>
      </c>
      <c r="L1529" s="8" t="n">
        <v>0</v>
      </c>
      <c r="M1529" s="29" t="inlineStr">
        <is>
          <t>BİGADİÇ</t>
        </is>
      </c>
    </row>
    <row r="1530">
      <c r="A1530" s="4" t="n">
        <v>1529</v>
      </c>
      <c r="B1530" s="4" t="inlineStr">
        <is>
          <t>00065</t>
        </is>
      </c>
      <c r="C1530" s="4" t="inlineStr">
        <is>
          <t>00065</t>
        </is>
      </c>
      <c r="D1530" s="29" t="inlineStr">
        <is>
          <t>GÜLCAN BİLGİÇ</t>
        </is>
      </c>
      <c r="E1530" s="4" t="inlineStr">
        <is>
          <t>Perşembe</t>
        </is>
      </c>
      <c r="F1530" s="4" t="inlineStr">
        <is>
          <t>8.10.2026</t>
        </is>
      </c>
      <c r="G1530" s="4" t="inlineStr">
        <is>
          <t>07:59</t>
        </is>
      </c>
      <c r="H1530" s="4" t="inlineStr">
        <is>
          <t>8.10.2026</t>
        </is>
      </c>
      <c r="I1530" s="4" t="inlineStr">
        <is>
          <t>17:11</t>
        </is>
      </c>
      <c r="J1530" s="8" t="n">
        <v>7.5</v>
      </c>
      <c r="K1530" s="8" t="n">
        <v>7.5</v>
      </c>
      <c r="L1530" s="8" t="n">
        <v>0</v>
      </c>
      <c r="M1530" s="29" t="inlineStr">
        <is>
          <t>BİGADİÇ</t>
        </is>
      </c>
    </row>
    <row r="1531">
      <c r="A1531" s="4" t="n">
        <v>1530</v>
      </c>
      <c r="B1531" s="4" t="inlineStr">
        <is>
          <t>00065</t>
        </is>
      </c>
      <c r="C1531" s="4" t="inlineStr">
        <is>
          <t>00065</t>
        </is>
      </c>
      <c r="D1531" s="29" t="inlineStr">
        <is>
          <t>GÜLCAN BİLGİÇ</t>
        </is>
      </c>
      <c r="E1531" s="4" t="inlineStr">
        <is>
          <t>Cuma</t>
        </is>
      </c>
      <c r="F1531" s="4" t="inlineStr">
        <is>
          <t>9.10.2026</t>
        </is>
      </c>
      <c r="G1531" s="4" t="inlineStr">
        <is>
          <t>07:54</t>
        </is>
      </c>
      <c r="H1531" s="4" t="inlineStr">
        <is>
          <t>9.10.2026</t>
        </is>
      </c>
      <c r="I1531" s="4" t="inlineStr">
        <is>
          <t>17:05</t>
        </is>
      </c>
      <c r="J1531" s="8" t="n">
        <v>7.5</v>
      </c>
      <c r="K1531" s="8" t="n">
        <v>7.5</v>
      </c>
      <c r="L1531" s="8" t="n">
        <v>0</v>
      </c>
      <c r="M1531" s="29" t="inlineStr">
        <is>
          <t>BİGADİÇ</t>
        </is>
      </c>
    </row>
    <row r="1532">
      <c r="A1532" s="4" t="n">
        <v>1531</v>
      </c>
      <c r="B1532" s="4" t="inlineStr">
        <is>
          <t>00065</t>
        </is>
      </c>
      <c r="C1532" s="4" t="inlineStr">
        <is>
          <t>00065</t>
        </is>
      </c>
      <c r="D1532" s="29" t="inlineStr">
        <is>
          <t>GÜLCAN BİLGİÇ</t>
        </is>
      </c>
      <c r="E1532" s="4" t="inlineStr">
        <is>
          <t>Cumartesi</t>
        </is>
      </c>
      <c r="F1532" s="4" t="inlineStr">
        <is>
          <t>10.10.2026</t>
        </is>
      </c>
      <c r="G1532" s="4" t="inlineStr">
        <is>
          <t>07:54</t>
        </is>
      </c>
      <c r="H1532" s="4" t="inlineStr">
        <is>
          <t>10.10.2026</t>
        </is>
      </c>
      <c r="I1532" s="4" t="inlineStr">
        <is>
          <t>17:08</t>
        </is>
      </c>
      <c r="J1532" s="8" t="n">
        <v>7.5</v>
      </c>
      <c r="K1532" s="8" t="n">
        <v>7.5</v>
      </c>
      <c r="L1532" s="8" t="n">
        <v>0</v>
      </c>
      <c r="M1532" s="29" t="inlineStr">
        <is>
          <t>BİGADİÇ</t>
        </is>
      </c>
    </row>
    <row r="1533">
      <c r="A1533" s="4" t="n">
        <v>1532</v>
      </c>
      <c r="B1533" s="4" t="inlineStr">
        <is>
          <t>00065</t>
        </is>
      </c>
      <c r="C1533" s="4" t="inlineStr">
        <is>
          <t>00065</t>
        </is>
      </c>
      <c r="D1533" s="29" t="inlineStr">
        <is>
          <t>GÜLCAN BİLGİÇ</t>
        </is>
      </c>
      <c r="E1533" s="4" t="inlineStr">
        <is>
          <t>Pazartesi</t>
        </is>
      </c>
      <c r="F1533" s="4" t="inlineStr">
        <is>
          <t>12.10.2026</t>
        </is>
      </c>
      <c r="G1533" s="4" t="inlineStr">
        <is>
          <t>07:57</t>
        </is>
      </c>
      <c r="H1533" s="4" t="inlineStr">
        <is>
          <t>12.10.2026</t>
        </is>
      </c>
      <c r="I1533" s="4" t="inlineStr">
        <is>
          <t>18:09</t>
        </is>
      </c>
      <c r="J1533" s="8" t="n">
        <v>8.5</v>
      </c>
      <c r="K1533" s="8" t="n">
        <v>7.5</v>
      </c>
      <c r="L1533" s="8" t="n">
        <v>1</v>
      </c>
      <c r="M1533" s="29" t="inlineStr">
        <is>
          <t>BİGADİÇ</t>
        </is>
      </c>
    </row>
    <row r="1534">
      <c r="A1534" s="4" t="n">
        <v>1533</v>
      </c>
      <c r="B1534" s="4" t="inlineStr">
        <is>
          <t>00065</t>
        </is>
      </c>
      <c r="C1534" s="4" t="inlineStr">
        <is>
          <t>00065</t>
        </is>
      </c>
      <c r="D1534" s="29" t="inlineStr">
        <is>
          <t>GÜLCAN BİLGİÇ</t>
        </is>
      </c>
      <c r="E1534" s="4" t="inlineStr">
        <is>
          <t>Salı</t>
        </is>
      </c>
      <c r="F1534" s="4" t="inlineStr">
        <is>
          <t>13.10.2026</t>
        </is>
      </c>
      <c r="G1534" s="4" t="inlineStr">
        <is>
          <t>07:55</t>
        </is>
      </c>
      <c r="H1534" s="4" t="inlineStr">
        <is>
          <t>13.10.2026</t>
        </is>
      </c>
      <c r="I1534" s="4" t="inlineStr">
        <is>
          <t>17:07</t>
        </is>
      </c>
      <c r="J1534" s="8" t="n">
        <v>7.5</v>
      </c>
      <c r="K1534" s="8" t="n">
        <v>7.5</v>
      </c>
      <c r="L1534" s="8" t="n">
        <v>0</v>
      </c>
      <c r="M1534" s="29" t="inlineStr">
        <is>
          <t>BİGADİÇ</t>
        </is>
      </c>
    </row>
    <row r="1535">
      <c r="A1535" s="4" t="n">
        <v>1534</v>
      </c>
      <c r="B1535" s="4" t="inlineStr">
        <is>
          <t>00065</t>
        </is>
      </c>
      <c r="C1535" s="4" t="inlineStr">
        <is>
          <t>00065</t>
        </is>
      </c>
      <c r="D1535" s="29" t="inlineStr">
        <is>
          <t>GÜLCAN BİLGİÇ</t>
        </is>
      </c>
      <c r="E1535" s="4" t="inlineStr">
        <is>
          <t>Çarşamba</t>
        </is>
      </c>
      <c r="F1535" s="4" t="inlineStr">
        <is>
          <t>14.10.2026</t>
        </is>
      </c>
      <c r="G1535" s="4" t="inlineStr">
        <is>
          <t>07:59</t>
        </is>
      </c>
      <c r="H1535" s="4" t="inlineStr">
        <is>
          <t>14.10.2026</t>
        </is>
      </c>
      <c r="I1535" s="4" t="inlineStr">
        <is>
          <t>17:06</t>
        </is>
      </c>
      <c r="J1535" s="8" t="n">
        <v>7.5</v>
      </c>
      <c r="K1535" s="8" t="n">
        <v>7.5</v>
      </c>
      <c r="L1535" s="8" t="n">
        <v>0</v>
      </c>
      <c r="M1535" s="29" t="inlineStr">
        <is>
          <t>BİGADİÇ</t>
        </is>
      </c>
    </row>
    <row r="1536">
      <c r="A1536" s="4" t="n">
        <v>1535</v>
      </c>
      <c r="B1536" s="4" t="inlineStr">
        <is>
          <t>00065</t>
        </is>
      </c>
      <c r="C1536" s="4" t="inlineStr">
        <is>
          <t>00065</t>
        </is>
      </c>
      <c r="D1536" s="29" t="inlineStr">
        <is>
          <t>GÜLCAN BİLGİÇ</t>
        </is>
      </c>
      <c r="E1536" s="4" t="inlineStr">
        <is>
          <t>Perşembe</t>
        </is>
      </c>
      <c r="F1536" s="4" t="inlineStr">
        <is>
          <t>15.10.2026</t>
        </is>
      </c>
      <c r="G1536" s="4" t="inlineStr">
        <is>
          <t>08:02</t>
        </is>
      </c>
      <c r="H1536" s="4" t="inlineStr">
        <is>
          <t>15.10.2026</t>
        </is>
      </c>
      <c r="I1536" s="4" t="inlineStr">
        <is>
          <t>17:21</t>
        </is>
      </c>
      <c r="J1536" s="8" t="n">
        <v>8</v>
      </c>
      <c r="K1536" s="8" t="n">
        <v>7.5</v>
      </c>
      <c r="L1536" s="8" t="n">
        <v>0.5</v>
      </c>
      <c r="M1536" s="29" t="inlineStr">
        <is>
          <t>BİGADİÇ</t>
        </is>
      </c>
    </row>
    <row r="1537">
      <c r="A1537" s="4" t="n">
        <v>1536</v>
      </c>
      <c r="B1537" s="4" t="inlineStr">
        <is>
          <t>00065</t>
        </is>
      </c>
      <c r="C1537" s="4" t="inlineStr">
        <is>
          <t>00065</t>
        </is>
      </c>
      <c r="D1537" s="29" t="inlineStr">
        <is>
          <t>GÜLCAN BİLGİÇ</t>
        </is>
      </c>
      <c r="E1537" s="4" t="inlineStr">
        <is>
          <t>Cuma</t>
        </is>
      </c>
      <c r="F1537" s="4" t="inlineStr">
        <is>
          <t>16.10.2026</t>
        </is>
      </c>
      <c r="G1537" s="4" t="inlineStr">
        <is>
          <t>07:54</t>
        </is>
      </c>
      <c r="H1537" s="4" t="inlineStr">
        <is>
          <t>16.10.2026</t>
        </is>
      </c>
      <c r="I1537" s="4" t="inlineStr">
        <is>
          <t>17:09</t>
        </is>
      </c>
      <c r="J1537" s="8" t="n">
        <v>7.5</v>
      </c>
      <c r="K1537" s="8" t="n">
        <v>7.5</v>
      </c>
      <c r="L1537" s="8" t="n">
        <v>0</v>
      </c>
      <c r="M1537" s="29" t="inlineStr">
        <is>
          <t>BİGADİÇ</t>
        </is>
      </c>
    </row>
    <row r="1538">
      <c r="A1538" s="4" t="n">
        <v>1537</v>
      </c>
      <c r="B1538" s="4" t="inlineStr">
        <is>
          <t>00065</t>
        </is>
      </c>
      <c r="C1538" s="4" t="inlineStr">
        <is>
          <t>00065</t>
        </is>
      </c>
      <c r="D1538" s="29" t="inlineStr">
        <is>
          <t>GÜLCAN BİLGİÇ</t>
        </is>
      </c>
      <c r="E1538" s="4" t="inlineStr">
        <is>
          <t>Cumartesi</t>
        </is>
      </c>
      <c r="F1538" s="4" t="inlineStr">
        <is>
          <t>17.10.2026</t>
        </is>
      </c>
      <c r="G1538" s="4" t="inlineStr">
        <is>
          <t>07:51</t>
        </is>
      </c>
      <c r="H1538" s="4" t="inlineStr">
        <is>
          <t>17.10.2026</t>
        </is>
      </c>
      <c r="I1538" s="4" t="inlineStr">
        <is>
          <t>17:06</t>
        </is>
      </c>
      <c r="J1538" s="8" t="n">
        <v>7.5</v>
      </c>
      <c r="K1538" s="8" t="n">
        <v>7.5</v>
      </c>
      <c r="L1538" s="8" t="n">
        <v>0</v>
      </c>
      <c r="M1538" s="29" t="inlineStr">
        <is>
          <t>BİGADİÇ</t>
        </is>
      </c>
    </row>
    <row r="1539">
      <c r="A1539" s="4" t="n">
        <v>1538</v>
      </c>
      <c r="B1539" s="4" t="inlineStr">
        <is>
          <t>00065</t>
        </is>
      </c>
      <c r="C1539" s="4" t="inlineStr">
        <is>
          <t>00065</t>
        </is>
      </c>
      <c r="D1539" s="29" t="inlineStr">
        <is>
          <t>GÜLCAN BİLGİÇ</t>
        </is>
      </c>
      <c r="E1539" s="4" t="inlineStr">
        <is>
          <t>Pazartesi</t>
        </is>
      </c>
      <c r="F1539" s="4" t="inlineStr">
        <is>
          <t>19.10.2026</t>
        </is>
      </c>
      <c r="G1539" s="4" t="inlineStr">
        <is>
          <t>07:54</t>
        </is>
      </c>
      <c r="H1539" s="4" t="inlineStr">
        <is>
          <t>19.10.2026</t>
        </is>
      </c>
      <c r="I1539" s="4" t="inlineStr">
        <is>
          <t>17:08</t>
        </is>
      </c>
      <c r="J1539" s="8" t="n">
        <v>7.5</v>
      </c>
      <c r="K1539" s="8" t="n">
        <v>7.5</v>
      </c>
      <c r="L1539" s="8" t="n">
        <v>0</v>
      </c>
      <c r="M1539" s="29" t="inlineStr">
        <is>
          <t>BİGADİÇ</t>
        </is>
      </c>
    </row>
    <row r="1540">
      <c r="A1540" s="4" t="n">
        <v>1539</v>
      </c>
      <c r="B1540" s="4" t="inlineStr">
        <is>
          <t>00065</t>
        </is>
      </c>
      <c r="C1540" s="4" t="inlineStr">
        <is>
          <t>00065</t>
        </is>
      </c>
      <c r="D1540" s="29" t="inlineStr">
        <is>
          <t>GÜLCAN BİLGİÇ</t>
        </is>
      </c>
      <c r="E1540" s="4" t="inlineStr">
        <is>
          <t>Salı</t>
        </is>
      </c>
      <c r="F1540" s="4" t="inlineStr">
        <is>
          <t>20.10.2026</t>
        </is>
      </c>
      <c r="G1540" s="4" t="inlineStr">
        <is>
          <t>08:18</t>
        </is>
      </c>
      <c r="H1540" s="4" t="inlineStr">
        <is>
          <t>20.10.2026</t>
        </is>
      </c>
      <c r="I1540" s="4" t="inlineStr">
        <is>
          <t>17:18</t>
        </is>
      </c>
      <c r="J1540" s="8" t="n">
        <v>7.5</v>
      </c>
      <c r="K1540" s="8" t="n">
        <v>7.5</v>
      </c>
      <c r="L1540" s="8" t="n">
        <v>0</v>
      </c>
      <c r="M1540" s="29" t="inlineStr">
        <is>
          <t>BİGADİÇ</t>
        </is>
      </c>
    </row>
    <row r="1541">
      <c r="A1541" s="4" t="n">
        <v>1540</v>
      </c>
      <c r="B1541" s="4" t="inlineStr">
        <is>
          <t>00065</t>
        </is>
      </c>
      <c r="C1541" s="4" t="inlineStr">
        <is>
          <t>00065</t>
        </is>
      </c>
      <c r="D1541" s="29" t="inlineStr">
        <is>
          <t>GÜLCAN BİLGİÇ</t>
        </is>
      </c>
      <c r="E1541" s="4" t="inlineStr">
        <is>
          <t>Çarşamba</t>
        </is>
      </c>
      <c r="F1541" s="4" t="inlineStr">
        <is>
          <t>21.10.2026</t>
        </is>
      </c>
      <c r="G1541" s="4" t="inlineStr">
        <is>
          <t>08:00</t>
        </is>
      </c>
      <c r="H1541" s="4" t="inlineStr">
        <is>
          <t>21.10.2026</t>
        </is>
      </c>
      <c r="I1541" s="4" t="inlineStr">
        <is>
          <t>17:06</t>
        </is>
      </c>
      <c r="J1541" s="8" t="n">
        <v>7.5</v>
      </c>
      <c r="K1541" s="8" t="n">
        <v>7.5</v>
      </c>
      <c r="L1541" s="8" t="n">
        <v>0</v>
      </c>
      <c r="M1541" s="29" t="inlineStr">
        <is>
          <t>BİGADİÇ</t>
        </is>
      </c>
    </row>
    <row r="1542">
      <c r="A1542" s="4" t="n">
        <v>1541</v>
      </c>
      <c r="B1542" s="4" t="inlineStr">
        <is>
          <t>00225</t>
        </is>
      </c>
      <c r="C1542" s="4" t="inlineStr">
        <is>
          <t>00225</t>
        </is>
      </c>
      <c r="D1542" s="29" t="inlineStr">
        <is>
          <t>GÜLER ÇAPKIN</t>
        </is>
      </c>
      <c r="E1542" s="4" t="inlineStr">
        <is>
          <t>Perşembe</t>
        </is>
      </c>
      <c r="F1542" s="4" t="inlineStr">
        <is>
          <t>1.10.2026</t>
        </is>
      </c>
      <c r="G1542" s="4" t="inlineStr">
        <is>
          <t>07:43</t>
        </is>
      </c>
      <c r="H1542" s="4" t="inlineStr">
        <is>
          <t>1.10.2026</t>
        </is>
      </c>
      <c r="I1542" s="4" t="inlineStr">
        <is>
          <t>17:30</t>
        </is>
      </c>
      <c r="J1542" s="8" t="n">
        <v>8</v>
      </c>
      <c r="K1542" s="8" t="n">
        <v>7.5</v>
      </c>
      <c r="L1542" s="8" t="n">
        <v>0.5</v>
      </c>
      <c r="M1542" s="29" t="inlineStr">
        <is>
          <t>KARACABEY</t>
        </is>
      </c>
    </row>
    <row r="1543">
      <c r="A1543" s="4" t="n">
        <v>1542</v>
      </c>
      <c r="B1543" s="4" t="inlineStr">
        <is>
          <t>00225</t>
        </is>
      </c>
      <c r="C1543" s="4" t="inlineStr">
        <is>
          <t>00225</t>
        </is>
      </c>
      <c r="D1543" s="29" t="inlineStr">
        <is>
          <t>GÜLER ÇAPKIN</t>
        </is>
      </c>
      <c r="E1543" s="4" t="inlineStr">
        <is>
          <t>Pazartesi</t>
        </is>
      </c>
      <c r="F1543" s="4" t="inlineStr">
        <is>
          <t>5.10.2026</t>
        </is>
      </c>
      <c r="G1543" s="4" t="inlineStr">
        <is>
          <t>07:45</t>
        </is>
      </c>
      <c r="H1543" s="4" t="inlineStr">
        <is>
          <t>5.10.2026</t>
        </is>
      </c>
      <c r="I1543" s="4" t="inlineStr">
        <is>
          <t>17:06</t>
        </is>
      </c>
      <c r="J1543" s="8" t="n">
        <v>7.5</v>
      </c>
      <c r="K1543" s="8" t="n">
        <v>7.5</v>
      </c>
      <c r="L1543" s="8" t="n">
        <v>0</v>
      </c>
      <c r="M1543" s="29" t="inlineStr">
        <is>
          <t>KARACABEY</t>
        </is>
      </c>
    </row>
    <row r="1544">
      <c r="A1544" s="4" t="n">
        <v>1543</v>
      </c>
      <c r="B1544" s="4" t="inlineStr">
        <is>
          <t>00225</t>
        </is>
      </c>
      <c r="C1544" s="4" t="inlineStr">
        <is>
          <t>00225</t>
        </is>
      </c>
      <c r="D1544" s="29" t="inlineStr">
        <is>
          <t>GÜLER ÇAPKIN</t>
        </is>
      </c>
      <c r="E1544" s="4" t="inlineStr">
        <is>
          <t>Salı</t>
        </is>
      </c>
      <c r="F1544" s="4" t="inlineStr">
        <is>
          <t>6.10.2026</t>
        </is>
      </c>
      <c r="G1544" s="4" t="inlineStr">
        <is>
          <t>07:45</t>
        </is>
      </c>
      <c r="H1544" s="4" t="inlineStr">
        <is>
          <t>6.10.2026</t>
        </is>
      </c>
      <c r="I1544" s="4" t="inlineStr">
        <is>
          <t>17:43</t>
        </is>
      </c>
      <c r="J1544" s="8" t="n">
        <v>8</v>
      </c>
      <c r="K1544" s="8" t="n">
        <v>7.5</v>
      </c>
      <c r="L1544" s="8" t="n">
        <v>0.5</v>
      </c>
      <c r="M1544" s="29" t="inlineStr">
        <is>
          <t>KARACABEY</t>
        </is>
      </c>
    </row>
    <row r="1545">
      <c r="A1545" s="4" t="n">
        <v>1544</v>
      </c>
      <c r="B1545" s="4" t="inlineStr">
        <is>
          <t>00225</t>
        </is>
      </c>
      <c r="C1545" s="4" t="inlineStr">
        <is>
          <t>00225</t>
        </is>
      </c>
      <c r="D1545" s="29" t="inlineStr">
        <is>
          <t>GÜLER ÇAPKIN</t>
        </is>
      </c>
      <c r="E1545" s="4" t="inlineStr">
        <is>
          <t>Çarşamba</t>
        </is>
      </c>
      <c r="F1545" s="4" t="inlineStr">
        <is>
          <t>7.10.2026</t>
        </is>
      </c>
      <c r="G1545" s="4" t="inlineStr">
        <is>
          <t>07:40</t>
        </is>
      </c>
      <c r="H1545" s="4" t="inlineStr">
        <is>
          <t>7.10.2026</t>
        </is>
      </c>
      <c r="I1545" s="4" t="inlineStr">
        <is>
          <t>17:26</t>
        </is>
      </c>
      <c r="J1545" s="8" t="n">
        <v>8</v>
      </c>
      <c r="K1545" s="8" t="n">
        <v>7.5</v>
      </c>
      <c r="L1545" s="8" t="n">
        <v>0.5</v>
      </c>
      <c r="M1545" s="29" t="inlineStr">
        <is>
          <t>KARACABEY</t>
        </is>
      </c>
    </row>
    <row r="1546">
      <c r="A1546" s="4" t="n">
        <v>1545</v>
      </c>
      <c r="B1546" s="4" t="inlineStr">
        <is>
          <t>00225</t>
        </is>
      </c>
      <c r="C1546" s="4" t="inlineStr">
        <is>
          <t>00225</t>
        </is>
      </c>
      <c r="D1546" s="29" t="inlineStr">
        <is>
          <t>GÜLER ÇAPKIN</t>
        </is>
      </c>
      <c r="E1546" s="4" t="inlineStr">
        <is>
          <t>Perşembe</t>
        </is>
      </c>
      <c r="F1546" s="4" t="inlineStr">
        <is>
          <t>8.10.2026</t>
        </is>
      </c>
      <c r="G1546" s="4" t="inlineStr">
        <is>
          <t>07:43</t>
        </is>
      </c>
      <c r="H1546" s="4" t="inlineStr">
        <is>
          <t>8.10.2026</t>
        </is>
      </c>
      <c r="I1546" s="4" t="inlineStr">
        <is>
          <t>17:36</t>
        </is>
      </c>
      <c r="J1546" s="8" t="n">
        <v>8</v>
      </c>
      <c r="K1546" s="8" t="n">
        <v>7.5</v>
      </c>
      <c r="L1546" s="8" t="n">
        <v>0.5</v>
      </c>
      <c r="M1546" s="29" t="inlineStr">
        <is>
          <t>KARACABEY</t>
        </is>
      </c>
    </row>
    <row r="1547">
      <c r="A1547" s="4" t="n">
        <v>1546</v>
      </c>
      <c r="B1547" s="4" t="inlineStr">
        <is>
          <t>00225</t>
        </is>
      </c>
      <c r="C1547" s="4" t="inlineStr">
        <is>
          <t>00225</t>
        </is>
      </c>
      <c r="D1547" s="29" t="inlineStr">
        <is>
          <t>GÜLER ÇAPKIN</t>
        </is>
      </c>
      <c r="E1547" s="4" t="inlineStr">
        <is>
          <t>Cuma</t>
        </is>
      </c>
      <c r="F1547" s="4" t="inlineStr">
        <is>
          <t>9.10.2026</t>
        </is>
      </c>
      <c r="G1547" s="4" t="inlineStr">
        <is>
          <t>07:39</t>
        </is>
      </c>
      <c r="H1547" s="4" t="inlineStr">
        <is>
          <t>9.10.2026</t>
        </is>
      </c>
      <c r="I1547" s="4" t="inlineStr">
        <is>
          <t>17:46</t>
        </is>
      </c>
      <c r="J1547" s="8" t="n">
        <v>8.5</v>
      </c>
      <c r="K1547" s="8" t="n">
        <v>7.5</v>
      </c>
      <c r="L1547" s="8" t="n">
        <v>1</v>
      </c>
      <c r="M1547" s="29" t="inlineStr">
        <is>
          <t>KARACABEY</t>
        </is>
      </c>
    </row>
    <row r="1548">
      <c r="A1548" s="4" t="n">
        <v>1547</v>
      </c>
      <c r="B1548" s="4" t="inlineStr">
        <is>
          <t>00225</t>
        </is>
      </c>
      <c r="C1548" s="4" t="inlineStr">
        <is>
          <t>00225</t>
        </is>
      </c>
      <c r="D1548" s="29" t="inlineStr">
        <is>
          <t>GÜLER ÇAPKIN</t>
        </is>
      </c>
      <c r="E1548" s="4" t="inlineStr">
        <is>
          <t>Cumartesi</t>
        </is>
      </c>
      <c r="F1548" s="4" t="inlineStr">
        <is>
          <t>10.10.2026</t>
        </is>
      </c>
      <c r="G1548" s="4" t="inlineStr">
        <is>
          <t>07:42</t>
        </is>
      </c>
      <c r="H1548" s="4" t="inlineStr">
        <is>
          <t>10.10.2026</t>
        </is>
      </c>
      <c r="I1548" s="4" t="inlineStr">
        <is>
          <t>18:12</t>
        </is>
      </c>
      <c r="J1548" s="8" t="n">
        <v>8.5</v>
      </c>
      <c r="K1548" s="8" t="n">
        <v>7.5</v>
      </c>
      <c r="L1548" s="8" t="n">
        <v>1</v>
      </c>
      <c r="M1548" s="29" t="inlineStr">
        <is>
          <t>KARACABEY</t>
        </is>
      </c>
    </row>
    <row r="1549">
      <c r="A1549" s="4" t="n">
        <v>1548</v>
      </c>
      <c r="B1549" s="4" t="inlineStr">
        <is>
          <t>00225</t>
        </is>
      </c>
      <c r="C1549" s="4" t="inlineStr">
        <is>
          <t>00225</t>
        </is>
      </c>
      <c r="D1549" s="29" t="inlineStr">
        <is>
          <t>GÜLER ÇAPKIN</t>
        </is>
      </c>
      <c r="E1549" s="4" t="inlineStr">
        <is>
          <t>Pazartesi</t>
        </is>
      </c>
      <c r="F1549" s="4" t="inlineStr">
        <is>
          <t>12.10.2026</t>
        </is>
      </c>
      <c r="G1549" s="4" t="inlineStr">
        <is>
          <t>07:45</t>
        </is>
      </c>
      <c r="H1549" s="4" t="inlineStr">
        <is>
          <t>12.10.2026</t>
        </is>
      </c>
      <c r="I1549" s="4" t="inlineStr">
        <is>
          <t>17:04</t>
        </is>
      </c>
      <c r="J1549" s="8" t="n">
        <v>7.5</v>
      </c>
      <c r="K1549" s="8" t="n">
        <v>7.5</v>
      </c>
      <c r="L1549" s="8" t="n">
        <v>0</v>
      </c>
      <c r="M1549" s="29" t="inlineStr">
        <is>
          <t>KARACABEY</t>
        </is>
      </c>
    </row>
    <row r="1550">
      <c r="A1550" s="4" t="n">
        <v>1549</v>
      </c>
      <c r="B1550" s="4" t="inlineStr">
        <is>
          <t>00225</t>
        </is>
      </c>
      <c r="C1550" s="4" t="inlineStr">
        <is>
          <t>00225</t>
        </is>
      </c>
      <c r="D1550" s="29" t="inlineStr">
        <is>
          <t>GÜLER ÇAPKIN</t>
        </is>
      </c>
      <c r="E1550" s="4" t="inlineStr">
        <is>
          <t>Salı</t>
        </is>
      </c>
      <c r="F1550" s="4" t="inlineStr">
        <is>
          <t>13.10.2026</t>
        </is>
      </c>
      <c r="G1550" s="4" t="inlineStr">
        <is>
          <t>07:44</t>
        </is>
      </c>
      <c r="H1550" s="4" t="inlineStr">
        <is>
          <t>13.10.2026</t>
        </is>
      </c>
      <c r="I1550" s="4" t="inlineStr">
        <is>
          <t>17:01</t>
        </is>
      </c>
      <c r="J1550" s="8" t="n">
        <v>7.5</v>
      </c>
      <c r="K1550" s="8" t="n">
        <v>7.5</v>
      </c>
      <c r="L1550" s="8" t="n">
        <v>0</v>
      </c>
      <c r="M1550" s="29" t="inlineStr">
        <is>
          <t>KARACABEY</t>
        </is>
      </c>
    </row>
    <row r="1551">
      <c r="A1551" s="4" t="n">
        <v>1550</v>
      </c>
      <c r="B1551" s="4" t="inlineStr">
        <is>
          <t>00225</t>
        </is>
      </c>
      <c r="C1551" s="4" t="inlineStr">
        <is>
          <t>00225</t>
        </is>
      </c>
      <c r="D1551" s="29" t="inlineStr">
        <is>
          <t>GÜLER ÇAPKIN</t>
        </is>
      </c>
      <c r="E1551" s="4" t="inlineStr">
        <is>
          <t>Çarşamba</t>
        </is>
      </c>
      <c r="F1551" s="4" t="inlineStr">
        <is>
          <t>14.10.2026</t>
        </is>
      </c>
      <c r="G1551" s="4" t="inlineStr">
        <is>
          <t>07:47</t>
        </is>
      </c>
      <c r="H1551" s="4" t="inlineStr">
        <is>
          <t>14.10.2026</t>
        </is>
      </c>
      <c r="I1551" s="4" t="inlineStr">
        <is>
          <t>18:08</t>
        </is>
      </c>
      <c r="J1551" s="8" t="n">
        <v>8.5</v>
      </c>
      <c r="K1551" s="8" t="n">
        <v>7.5</v>
      </c>
      <c r="L1551" s="8" t="n">
        <v>1</v>
      </c>
      <c r="M1551" s="29" t="inlineStr">
        <is>
          <t>KARACABEY</t>
        </is>
      </c>
    </row>
    <row r="1552">
      <c r="A1552" s="4" t="n">
        <v>1551</v>
      </c>
      <c r="B1552" s="4" t="inlineStr">
        <is>
          <t>00225</t>
        </is>
      </c>
      <c r="C1552" s="4" t="inlineStr">
        <is>
          <t>00225</t>
        </is>
      </c>
      <c r="D1552" s="29" t="inlineStr">
        <is>
          <t>GÜLER ÇAPKIN</t>
        </is>
      </c>
      <c r="E1552" s="4" t="inlineStr">
        <is>
          <t>Perşembe</t>
        </is>
      </c>
      <c r="F1552" s="4" t="inlineStr">
        <is>
          <t>15.10.2026</t>
        </is>
      </c>
      <c r="G1552" s="4" t="inlineStr">
        <is>
          <t>07:45</t>
        </is>
      </c>
      <c r="H1552" s="4" t="inlineStr">
        <is>
          <t>15.10.2026</t>
        </is>
      </c>
      <c r="I1552" s="4" t="inlineStr">
        <is>
          <t>17:05</t>
        </is>
      </c>
      <c r="J1552" s="8" t="n">
        <v>7.5</v>
      </c>
      <c r="K1552" s="8" t="n">
        <v>7.5</v>
      </c>
      <c r="L1552" s="8" t="n">
        <v>0</v>
      </c>
      <c r="M1552" s="29" t="inlineStr">
        <is>
          <t>KARACABEY</t>
        </is>
      </c>
    </row>
    <row r="1553">
      <c r="A1553" s="4" t="n">
        <v>1552</v>
      </c>
      <c r="B1553" s="4" t="inlineStr">
        <is>
          <t>00225</t>
        </is>
      </c>
      <c r="C1553" s="4" t="inlineStr">
        <is>
          <t>00225</t>
        </is>
      </c>
      <c r="D1553" s="29" t="inlineStr">
        <is>
          <t>GÜLER ÇAPKIN</t>
        </is>
      </c>
      <c r="E1553" s="4" t="inlineStr">
        <is>
          <t>Cuma</t>
        </is>
      </c>
      <c r="F1553" s="4" t="inlineStr">
        <is>
          <t>16.10.2026</t>
        </is>
      </c>
      <c r="G1553" s="4" t="inlineStr">
        <is>
          <t>07:41</t>
        </is>
      </c>
      <c r="H1553" s="4" t="inlineStr">
        <is>
          <t>16.10.2026</t>
        </is>
      </c>
      <c r="I1553" s="4" t="inlineStr">
        <is>
          <t>17:18</t>
        </is>
      </c>
      <c r="J1553" s="8" t="n">
        <v>7.5</v>
      </c>
      <c r="K1553" s="8" t="n">
        <v>7.5</v>
      </c>
      <c r="L1553" s="8" t="n">
        <v>0</v>
      </c>
      <c r="M1553" s="29" t="inlineStr">
        <is>
          <t>KARACABEY</t>
        </is>
      </c>
    </row>
    <row r="1554">
      <c r="A1554" s="4" t="n">
        <v>1553</v>
      </c>
      <c r="B1554" s="4" t="inlineStr">
        <is>
          <t>00225</t>
        </is>
      </c>
      <c r="C1554" s="4" t="inlineStr">
        <is>
          <t>00225</t>
        </is>
      </c>
      <c r="D1554" s="29" t="inlineStr">
        <is>
          <t>GÜLER ÇAPKIN</t>
        </is>
      </c>
      <c r="E1554" s="4" t="inlineStr">
        <is>
          <t>Cumartesi</t>
        </is>
      </c>
      <c r="F1554" s="4" t="inlineStr">
        <is>
          <t>17.10.2026</t>
        </is>
      </c>
      <c r="G1554" s="4" t="inlineStr">
        <is>
          <t>07:44</t>
        </is>
      </c>
      <c r="H1554" s="4" t="inlineStr">
        <is>
          <t>17.10.2026</t>
        </is>
      </c>
      <c r="I1554" s="4" t="inlineStr">
        <is>
          <t>17:53</t>
        </is>
      </c>
      <c r="J1554" s="8" t="n">
        <v>8.5</v>
      </c>
      <c r="K1554" s="8" t="n">
        <v>7.5</v>
      </c>
      <c r="L1554" s="8" t="n">
        <v>1</v>
      </c>
      <c r="M1554" s="29" t="inlineStr">
        <is>
          <t>KARACABEY</t>
        </is>
      </c>
    </row>
    <row r="1555">
      <c r="A1555" s="4" t="n">
        <v>1554</v>
      </c>
      <c r="B1555" s="4" t="inlineStr">
        <is>
          <t>00225</t>
        </is>
      </c>
      <c r="C1555" s="4" t="inlineStr">
        <is>
          <t>00225</t>
        </is>
      </c>
      <c r="D1555" s="29" t="inlineStr">
        <is>
          <t>GÜLER ÇAPKIN</t>
        </is>
      </c>
      <c r="E1555" s="4" t="inlineStr">
        <is>
          <t>Salı</t>
        </is>
      </c>
      <c r="F1555" s="4" t="inlineStr">
        <is>
          <t>20.10.2026</t>
        </is>
      </c>
      <c r="G1555" s="4" t="inlineStr">
        <is>
          <t>07:50</t>
        </is>
      </c>
      <c r="H1555" s="4" t="inlineStr">
        <is>
          <t>20.10.2026</t>
        </is>
      </c>
      <c r="I1555" s="4" t="inlineStr">
        <is>
          <t>17:02</t>
        </is>
      </c>
      <c r="J1555" s="8" t="n">
        <v>7.5</v>
      </c>
      <c r="K1555" s="8" t="n">
        <v>7.5</v>
      </c>
      <c r="L1555" s="8" t="n">
        <v>0</v>
      </c>
      <c r="M1555" s="29" t="inlineStr">
        <is>
          <t>KARACABEY</t>
        </is>
      </c>
    </row>
    <row r="1556">
      <c r="A1556" s="4" t="n">
        <v>1555</v>
      </c>
      <c r="B1556" s="4" t="inlineStr">
        <is>
          <t>00225</t>
        </is>
      </c>
      <c r="C1556" s="4" t="inlineStr">
        <is>
          <t>00225</t>
        </is>
      </c>
      <c r="D1556" s="29" t="inlineStr">
        <is>
          <t>GÜLER ÇAPKIN</t>
        </is>
      </c>
      <c r="E1556" s="4" t="inlineStr">
        <is>
          <t>Çarşamba</t>
        </is>
      </c>
      <c r="F1556" s="4" t="inlineStr">
        <is>
          <t>21.10.2026</t>
        </is>
      </c>
      <c r="G1556" s="4" t="inlineStr">
        <is>
          <t>07:44</t>
        </is>
      </c>
      <c r="H1556" s="4" t="inlineStr">
        <is>
          <t>21.10.2026</t>
        </is>
      </c>
      <c r="I1556" s="4" t="inlineStr">
        <is>
          <t>17:02</t>
        </is>
      </c>
      <c r="J1556" s="8" t="n">
        <v>7.5</v>
      </c>
      <c r="K1556" s="8" t="n">
        <v>7.5</v>
      </c>
      <c r="L1556" s="8" t="n">
        <v>0</v>
      </c>
      <c r="M1556" s="29" t="inlineStr">
        <is>
          <t>KARACABEY</t>
        </is>
      </c>
    </row>
    <row r="1557">
      <c r="A1557" s="4" t="n">
        <v>1556</v>
      </c>
      <c r="B1557" s="4" t="inlineStr">
        <is>
          <t>01417</t>
        </is>
      </c>
      <c r="C1557" s="4" t="inlineStr">
        <is>
          <t>01417</t>
        </is>
      </c>
      <c r="D1557" s="29" t="inlineStr">
        <is>
          <t>GÜLLÜ TOĞAÇ</t>
        </is>
      </c>
      <c r="E1557" s="4" t="inlineStr">
        <is>
          <t>Cuma</t>
        </is>
      </c>
      <c r="F1557" s="4" t="inlineStr">
        <is>
          <t>2.10.2026</t>
        </is>
      </c>
      <c r="G1557" s="4" t="inlineStr">
        <is>
          <t>20:10</t>
        </is>
      </c>
      <c r="H1557" s="4" t="inlineStr">
        <is>
          <t>2.10.2026</t>
        </is>
      </c>
      <c r="I1557" s="4" t="inlineStr">
        <is>
          <t>07:54</t>
        </is>
      </c>
      <c r="J1557" s="8" t="n">
        <v>10.5</v>
      </c>
      <c r="K1557" s="8" t="n">
        <v>7.5</v>
      </c>
      <c r="L1557" s="8" t="n">
        <v>3</v>
      </c>
      <c r="M1557" s="29" t="inlineStr">
        <is>
          <t>HALİL DİĞRENCİ</t>
        </is>
      </c>
    </row>
    <row r="1558">
      <c r="A1558" s="4" t="n">
        <v>1557</v>
      </c>
      <c r="B1558" s="4" t="inlineStr">
        <is>
          <t>01417</t>
        </is>
      </c>
      <c r="C1558" s="4" t="inlineStr">
        <is>
          <t>01417</t>
        </is>
      </c>
      <c r="D1558" s="29" t="inlineStr">
        <is>
          <t>GÜLLÜ TOĞAÇ</t>
        </is>
      </c>
      <c r="E1558" s="4" t="inlineStr">
        <is>
          <t>Cumartesi</t>
        </is>
      </c>
      <c r="F1558" s="4" t="inlineStr">
        <is>
          <t>3.10.2026</t>
        </is>
      </c>
      <c r="G1558" s="4" t="inlineStr">
        <is>
          <t>19:53</t>
        </is>
      </c>
      <c r="H1558" s="4" t="inlineStr">
        <is>
          <t>3.10.2026</t>
        </is>
      </c>
      <c r="I1558" s="4" t="inlineStr">
        <is>
          <t>07:56</t>
        </is>
      </c>
      <c r="J1558" s="8" t="n">
        <v>10.5</v>
      </c>
      <c r="K1558" s="8" t="n">
        <v>7.5</v>
      </c>
      <c r="L1558" s="8" t="n">
        <v>3</v>
      </c>
      <c r="M1558" s="29" t="inlineStr">
        <is>
          <t>HALİL DİĞRENCİ</t>
        </is>
      </c>
    </row>
    <row r="1559">
      <c r="A1559" s="4" t="n">
        <v>1558</v>
      </c>
      <c r="B1559" s="4" t="inlineStr">
        <is>
          <t>01417</t>
        </is>
      </c>
      <c r="C1559" s="4" t="inlineStr">
        <is>
          <t>01417</t>
        </is>
      </c>
      <c r="D1559" s="29" t="inlineStr">
        <is>
          <t>GÜLLÜ TOĞAÇ</t>
        </is>
      </c>
      <c r="E1559" s="4" t="inlineStr">
        <is>
          <t>Pazar</t>
        </is>
      </c>
      <c r="F1559" s="4" t="inlineStr">
        <is>
          <t>4.10.2026</t>
        </is>
      </c>
      <c r="G1559" s="4" t="inlineStr">
        <is>
          <t>19:58</t>
        </is>
      </c>
      <c r="H1559" s="4" t="inlineStr">
        <is>
          <t>4.10.2026</t>
        </is>
      </c>
      <c r="I1559" s="4" t="inlineStr">
        <is>
          <t>08:00</t>
        </is>
      </c>
      <c r="J1559" s="8" t="n">
        <v>10.5</v>
      </c>
      <c r="K1559" s="8" t="n">
        <v>7.5</v>
      </c>
      <c r="L1559" s="8" t="n">
        <v>3</v>
      </c>
      <c r="M1559" s="29" t="inlineStr">
        <is>
          <t>HALİL DİĞRENCİ</t>
        </is>
      </c>
    </row>
    <row r="1560">
      <c r="A1560" s="4" t="n">
        <v>1559</v>
      </c>
      <c r="B1560" s="4" t="inlineStr">
        <is>
          <t>01417</t>
        </is>
      </c>
      <c r="C1560" s="4" t="inlineStr">
        <is>
          <t>01417</t>
        </is>
      </c>
      <c r="D1560" s="29" t="inlineStr">
        <is>
          <t>GÜLLÜ TOĞAÇ</t>
        </is>
      </c>
      <c r="E1560" s="4" t="inlineStr">
        <is>
          <t>Pazartesi</t>
        </is>
      </c>
      <c r="F1560" s="4" t="inlineStr">
        <is>
          <t>5.10.2026</t>
        </is>
      </c>
      <c r="G1560" s="4" t="inlineStr">
        <is>
          <t>19:57</t>
        </is>
      </c>
      <c r="H1560" s="4" t="inlineStr">
        <is>
          <t>5.10.2026</t>
        </is>
      </c>
      <c r="I1560" s="4" t="inlineStr">
        <is>
          <t>07:51</t>
        </is>
      </c>
      <c r="J1560" s="8" t="n">
        <v>10.5</v>
      </c>
      <c r="K1560" s="8" t="n">
        <v>7.5</v>
      </c>
      <c r="L1560" s="8" t="n">
        <v>3</v>
      </c>
      <c r="M1560" s="29" t="inlineStr">
        <is>
          <t>HALİL DİĞRENCİ</t>
        </is>
      </c>
    </row>
    <row r="1561">
      <c r="A1561" s="4" t="n">
        <v>1560</v>
      </c>
      <c r="B1561" s="4" t="inlineStr">
        <is>
          <t>01417</t>
        </is>
      </c>
      <c r="C1561" s="4" t="inlineStr">
        <is>
          <t>01417</t>
        </is>
      </c>
      <c r="D1561" s="29" t="inlineStr">
        <is>
          <t>GÜLLÜ TOĞAÇ</t>
        </is>
      </c>
      <c r="E1561" s="4" t="inlineStr">
        <is>
          <t>Salı</t>
        </is>
      </c>
      <c r="F1561" s="4" t="inlineStr">
        <is>
          <t>6.10.2026</t>
        </is>
      </c>
      <c r="G1561" s="4" t="inlineStr">
        <is>
          <t>19:46</t>
        </is>
      </c>
      <c r="H1561" s="4" t="inlineStr">
        <is>
          <t>6.10.2026</t>
        </is>
      </c>
      <c r="I1561" s="4" t="inlineStr">
        <is>
          <t>08:01</t>
        </is>
      </c>
      <c r="J1561" s="8" t="n">
        <v>10.5</v>
      </c>
      <c r="K1561" s="8" t="n">
        <v>7.5</v>
      </c>
      <c r="L1561" s="8" t="n">
        <v>3</v>
      </c>
      <c r="M1561" s="29" t="inlineStr">
        <is>
          <t>HALİL DİĞRENCİ</t>
        </is>
      </c>
    </row>
    <row r="1562">
      <c r="A1562" s="4" t="n">
        <v>1561</v>
      </c>
      <c r="B1562" s="4" t="inlineStr">
        <is>
          <t>01417</t>
        </is>
      </c>
      <c r="C1562" s="4" t="inlineStr">
        <is>
          <t>01417</t>
        </is>
      </c>
      <c r="D1562" s="29" t="inlineStr">
        <is>
          <t>GÜLLÜ TOĞAÇ</t>
        </is>
      </c>
      <c r="E1562" s="4" t="inlineStr">
        <is>
          <t>Perşembe</t>
        </is>
      </c>
      <c r="F1562" s="4" t="inlineStr">
        <is>
          <t>8.10.2026</t>
        </is>
      </c>
      <c r="G1562" s="4" t="inlineStr">
        <is>
          <t>19:57</t>
        </is>
      </c>
      <c r="H1562" s="4" t="inlineStr">
        <is>
          <t>8.10.2026</t>
        </is>
      </c>
      <c r="I1562" s="4" t="inlineStr">
        <is>
          <t>07:58</t>
        </is>
      </c>
      <c r="J1562" s="8" t="n">
        <v>10.5</v>
      </c>
      <c r="K1562" s="8" t="n">
        <v>7.5</v>
      </c>
      <c r="L1562" s="8" t="n">
        <v>3</v>
      </c>
      <c r="M1562" s="29" t="inlineStr">
        <is>
          <t>HALİL DİĞRENCİ</t>
        </is>
      </c>
    </row>
    <row r="1563">
      <c r="A1563" s="4" t="n">
        <v>1562</v>
      </c>
      <c r="B1563" s="4" t="inlineStr">
        <is>
          <t>01417</t>
        </is>
      </c>
      <c r="C1563" s="4" t="inlineStr">
        <is>
          <t>01417</t>
        </is>
      </c>
      <c r="D1563" s="29" t="inlineStr">
        <is>
          <t>GÜLLÜ TOĞAÇ</t>
        </is>
      </c>
      <c r="E1563" s="4" t="inlineStr">
        <is>
          <t>Cuma</t>
        </is>
      </c>
      <c r="F1563" s="4" t="inlineStr">
        <is>
          <t>9.10.2026</t>
        </is>
      </c>
      <c r="G1563" s="4" t="inlineStr">
        <is>
          <t>20:02</t>
        </is>
      </c>
      <c r="H1563" s="4" t="inlineStr">
        <is>
          <t>9.10.2026</t>
        </is>
      </c>
      <c r="I1563" s="4" t="inlineStr">
        <is>
          <t>07:57</t>
        </is>
      </c>
      <c r="J1563" s="8" t="n">
        <v>10.5</v>
      </c>
      <c r="K1563" s="8" t="n">
        <v>7.5</v>
      </c>
      <c r="L1563" s="8" t="n">
        <v>3</v>
      </c>
      <c r="M1563" s="29" t="inlineStr">
        <is>
          <t>HALİL DİĞRENCİ</t>
        </is>
      </c>
    </row>
    <row r="1564">
      <c r="A1564" s="4" t="n">
        <v>1563</v>
      </c>
      <c r="B1564" s="4" t="inlineStr">
        <is>
          <t>01417</t>
        </is>
      </c>
      <c r="C1564" s="4" t="inlineStr">
        <is>
          <t>01417</t>
        </is>
      </c>
      <c r="D1564" s="29" t="inlineStr">
        <is>
          <t>GÜLLÜ TOĞAÇ</t>
        </is>
      </c>
      <c r="E1564" s="4" t="inlineStr">
        <is>
          <t>Pazartesi</t>
        </is>
      </c>
      <c r="F1564" s="4" t="inlineStr">
        <is>
          <t>12.10.2026</t>
        </is>
      </c>
      <c r="G1564" s="4" t="inlineStr">
        <is>
          <t>20:03</t>
        </is>
      </c>
      <c r="H1564" s="4" t="inlineStr">
        <is>
          <t>12.10.2026</t>
        </is>
      </c>
      <c r="I1564" s="4" t="inlineStr">
        <is>
          <t>07:53</t>
        </is>
      </c>
      <c r="J1564" s="8" t="n">
        <v>10.5</v>
      </c>
      <c r="K1564" s="8" t="n">
        <v>7.5</v>
      </c>
      <c r="L1564" s="8" t="n">
        <v>3</v>
      </c>
      <c r="M1564" s="29" t="inlineStr">
        <is>
          <t>HALİL DİĞRENCİ</t>
        </is>
      </c>
    </row>
    <row r="1565">
      <c r="A1565" s="4" t="n">
        <v>1564</v>
      </c>
      <c r="B1565" s="4" t="inlineStr">
        <is>
          <t>01417</t>
        </is>
      </c>
      <c r="C1565" s="4" t="inlineStr">
        <is>
          <t>01417</t>
        </is>
      </c>
      <c r="D1565" s="29" t="inlineStr">
        <is>
          <t>GÜLLÜ TOĞAÇ</t>
        </is>
      </c>
      <c r="E1565" s="4" t="inlineStr">
        <is>
          <t>Salı</t>
        </is>
      </c>
      <c r="F1565" s="4" t="inlineStr">
        <is>
          <t>13.10.2026</t>
        </is>
      </c>
      <c r="G1565" s="4" t="inlineStr">
        <is>
          <t>20:00</t>
        </is>
      </c>
      <c r="H1565" s="4" t="inlineStr">
        <is>
          <t>13.10.2026</t>
        </is>
      </c>
      <c r="I1565" s="4" t="inlineStr">
        <is>
          <t>07:56</t>
        </is>
      </c>
      <c r="J1565" s="8" t="n">
        <v>10.5</v>
      </c>
      <c r="K1565" s="8" t="n">
        <v>7.5</v>
      </c>
      <c r="L1565" s="8" t="n">
        <v>3</v>
      </c>
      <c r="M1565" s="29" t="inlineStr">
        <is>
          <t>HALİL DİĞRENCİ</t>
        </is>
      </c>
    </row>
    <row r="1566">
      <c r="A1566" s="4" t="n">
        <v>1565</v>
      </c>
      <c r="B1566" s="4" t="inlineStr">
        <is>
          <t>01417</t>
        </is>
      </c>
      <c r="C1566" s="4" t="inlineStr">
        <is>
          <t>01417</t>
        </is>
      </c>
      <c r="D1566" s="29" t="inlineStr">
        <is>
          <t>GÜLLÜ TOĞAÇ</t>
        </is>
      </c>
      <c r="E1566" s="4" t="inlineStr">
        <is>
          <t>Perşembe</t>
        </is>
      </c>
      <c r="F1566" s="4" t="inlineStr">
        <is>
          <t>15.10.2026</t>
        </is>
      </c>
      <c r="G1566" s="4" t="inlineStr">
        <is>
          <t>20:10</t>
        </is>
      </c>
      <c r="H1566" s="4" t="inlineStr">
        <is>
          <t>15.10.2026</t>
        </is>
      </c>
      <c r="I1566" s="4" t="inlineStr">
        <is>
          <t>07:58</t>
        </is>
      </c>
      <c r="J1566" s="8" t="n">
        <v>10.5</v>
      </c>
      <c r="K1566" s="8" t="n">
        <v>7.5</v>
      </c>
      <c r="L1566" s="8" t="n">
        <v>3</v>
      </c>
      <c r="M1566" s="29" t="inlineStr">
        <is>
          <t>HALİL DİĞRENCİ</t>
        </is>
      </c>
    </row>
    <row r="1567">
      <c r="A1567" s="4" t="n">
        <v>1566</v>
      </c>
      <c r="B1567" s="4" t="inlineStr">
        <is>
          <t>01417</t>
        </is>
      </c>
      <c r="C1567" s="4" t="inlineStr">
        <is>
          <t>01417</t>
        </is>
      </c>
      <c r="D1567" s="29" t="inlineStr">
        <is>
          <t>GÜLLÜ TOĞAÇ</t>
        </is>
      </c>
      <c r="E1567" s="4" t="inlineStr">
        <is>
          <t>Pazar</t>
        </is>
      </c>
      <c r="F1567" s="4" t="inlineStr">
        <is>
          <t>18.10.2026</t>
        </is>
      </c>
      <c r="G1567" s="4" t="inlineStr">
        <is>
          <t>08:15</t>
        </is>
      </c>
      <c r="H1567" s="4" t="inlineStr">
        <is>
          <t>18.10.2026</t>
        </is>
      </c>
      <c r="I1567" s="4" t="inlineStr">
        <is>
          <t>20:00</t>
        </is>
      </c>
      <c r="J1567" s="8" t="n">
        <v>10.5</v>
      </c>
      <c r="K1567" s="8" t="n">
        <v>7.5</v>
      </c>
      <c r="L1567" s="8" t="n">
        <v>3</v>
      </c>
      <c r="M1567" s="29" t="inlineStr">
        <is>
          <t>HALİL DİĞRENCİ</t>
        </is>
      </c>
    </row>
    <row r="1568">
      <c r="A1568" s="4" t="n">
        <v>1567</v>
      </c>
      <c r="B1568" s="4" t="inlineStr">
        <is>
          <t>01417</t>
        </is>
      </c>
      <c r="C1568" s="4" t="inlineStr">
        <is>
          <t>01417</t>
        </is>
      </c>
      <c r="D1568" s="29" t="inlineStr">
        <is>
          <t>GÜLLÜ TOĞAÇ</t>
        </is>
      </c>
      <c r="E1568" s="4" t="inlineStr">
        <is>
          <t>Pazartesi</t>
        </is>
      </c>
      <c r="F1568" s="4" t="inlineStr">
        <is>
          <t>19.10.2026</t>
        </is>
      </c>
      <c r="G1568" s="4" t="inlineStr">
        <is>
          <t>19:45</t>
        </is>
      </c>
      <c r="H1568" s="4" t="inlineStr">
        <is>
          <t>19.10.2026</t>
        </is>
      </c>
      <c r="I1568" s="4" t="inlineStr">
        <is>
          <t>07:52</t>
        </is>
      </c>
      <c r="J1568" s="8" t="n">
        <v>10.5</v>
      </c>
      <c r="K1568" s="8" t="n">
        <v>7.5</v>
      </c>
      <c r="L1568" s="8" t="n">
        <v>3</v>
      </c>
      <c r="M1568" s="29" t="inlineStr">
        <is>
          <t>HALİL DİĞRENCİ</t>
        </is>
      </c>
    </row>
    <row r="1569">
      <c r="A1569" s="4" t="n">
        <v>1568</v>
      </c>
      <c r="B1569" s="4" t="inlineStr">
        <is>
          <t>00882</t>
        </is>
      </c>
      <c r="C1569" s="4" t="inlineStr">
        <is>
          <t>00882</t>
        </is>
      </c>
      <c r="D1569" s="29" t="inlineStr">
        <is>
          <t>GÜLPERİ KALENDER</t>
        </is>
      </c>
      <c r="E1569" s="4" t="inlineStr">
        <is>
          <t>Perşembe</t>
        </is>
      </c>
      <c r="F1569" s="4" t="inlineStr">
        <is>
          <t>1.10.2026</t>
        </is>
      </c>
      <c r="G1569" s="4" t="inlineStr">
        <is>
          <t>07:44</t>
        </is>
      </c>
      <c r="H1569" s="4" t="inlineStr">
        <is>
          <t>1.10.2026</t>
        </is>
      </c>
      <c r="I1569" s="4" t="inlineStr">
        <is>
          <t>17:29</t>
        </is>
      </c>
      <c r="J1569" s="8" t="n">
        <v>8</v>
      </c>
      <c r="K1569" s="8" t="n">
        <v>7.5</v>
      </c>
      <c r="L1569" s="8" t="n">
        <v>0.5</v>
      </c>
      <c r="M1569" s="29" t="inlineStr">
        <is>
          <t>BANDIRMA</t>
        </is>
      </c>
    </row>
    <row r="1570">
      <c r="A1570" s="4" t="n">
        <v>1569</v>
      </c>
      <c r="B1570" s="4" t="inlineStr">
        <is>
          <t>00882</t>
        </is>
      </c>
      <c r="C1570" s="4" t="inlineStr">
        <is>
          <t>00882</t>
        </is>
      </c>
      <c r="D1570" s="29" t="inlineStr">
        <is>
          <t>GÜLPERİ KALENDER</t>
        </is>
      </c>
      <c r="E1570" s="4" t="inlineStr">
        <is>
          <t>Cuma</t>
        </is>
      </c>
      <c r="F1570" s="4" t="inlineStr">
        <is>
          <t>2.10.2026</t>
        </is>
      </c>
      <c r="G1570" s="4" t="inlineStr">
        <is>
          <t>07:43</t>
        </is>
      </c>
      <c r="H1570" s="4" t="inlineStr">
        <is>
          <t>2.10.2026</t>
        </is>
      </c>
      <c r="I1570" s="4" t="inlineStr">
        <is>
          <t>17:48</t>
        </is>
      </c>
      <c r="J1570" s="8" t="n">
        <v>8.5</v>
      </c>
      <c r="K1570" s="8" t="n">
        <v>7.5</v>
      </c>
      <c r="L1570" s="8" t="n">
        <v>1</v>
      </c>
      <c r="M1570" s="29" t="inlineStr">
        <is>
          <t>BANDIRMA</t>
        </is>
      </c>
    </row>
    <row r="1571">
      <c r="A1571" s="4" t="n">
        <v>1570</v>
      </c>
      <c r="B1571" s="4" t="inlineStr">
        <is>
          <t>00882</t>
        </is>
      </c>
      <c r="C1571" s="4" t="inlineStr">
        <is>
          <t>00882</t>
        </is>
      </c>
      <c r="D1571" s="29" t="inlineStr">
        <is>
          <t>GÜLPERİ KALENDER</t>
        </is>
      </c>
      <c r="E1571" s="4" t="inlineStr">
        <is>
          <t>Cumartesi</t>
        </is>
      </c>
      <c r="F1571" s="4" t="inlineStr">
        <is>
          <t>3.10.2026</t>
        </is>
      </c>
      <c r="G1571" s="4" t="inlineStr">
        <is>
          <t>07:40</t>
        </is>
      </c>
      <c r="H1571" s="4" t="inlineStr">
        <is>
          <t>3.10.2026</t>
        </is>
      </c>
      <c r="I1571" s="4" t="inlineStr">
        <is>
          <t>17:38</t>
        </is>
      </c>
      <c r="J1571" s="8" t="n">
        <v>8</v>
      </c>
      <c r="K1571" s="8" t="n">
        <v>7.5</v>
      </c>
      <c r="L1571" s="8" t="n">
        <v>0.5</v>
      </c>
      <c r="M1571" s="29" t="inlineStr">
        <is>
          <t>BANDIRMA</t>
        </is>
      </c>
    </row>
    <row r="1572">
      <c r="A1572" s="4" t="n">
        <v>1571</v>
      </c>
      <c r="B1572" s="4" t="inlineStr">
        <is>
          <t>00882</t>
        </is>
      </c>
      <c r="C1572" s="4" t="inlineStr">
        <is>
          <t>00882</t>
        </is>
      </c>
      <c r="D1572" s="29" t="inlineStr">
        <is>
          <t>GÜLPERİ KALENDER</t>
        </is>
      </c>
      <c r="E1572" s="4" t="inlineStr">
        <is>
          <t>Çarşamba</t>
        </is>
      </c>
      <c r="F1572" s="4" t="inlineStr">
        <is>
          <t>7.10.2026</t>
        </is>
      </c>
      <c r="G1572" s="4" t="inlineStr">
        <is>
          <t>07:44</t>
        </is>
      </c>
      <c r="H1572" s="4" t="inlineStr">
        <is>
          <t>7.10.2026</t>
        </is>
      </c>
      <c r="I1572" s="4" t="inlineStr">
        <is>
          <t>17:26</t>
        </is>
      </c>
      <c r="J1572" s="8" t="n">
        <v>8</v>
      </c>
      <c r="K1572" s="8" t="n">
        <v>7.5</v>
      </c>
      <c r="L1572" s="8" t="n">
        <v>0.5</v>
      </c>
      <c r="M1572" s="29" t="inlineStr">
        <is>
          <t>BANDIRMA</t>
        </is>
      </c>
    </row>
    <row r="1573">
      <c r="A1573" s="4" t="n">
        <v>1572</v>
      </c>
      <c r="B1573" s="4" t="inlineStr">
        <is>
          <t>00882</t>
        </is>
      </c>
      <c r="C1573" s="4" t="inlineStr">
        <is>
          <t>00882</t>
        </is>
      </c>
      <c r="D1573" s="29" t="inlineStr">
        <is>
          <t>GÜLPERİ KALENDER</t>
        </is>
      </c>
      <c r="E1573" s="4" t="inlineStr">
        <is>
          <t>Perşembe</t>
        </is>
      </c>
      <c r="F1573" s="4" t="inlineStr">
        <is>
          <t>8.10.2026</t>
        </is>
      </c>
      <c r="G1573" s="4" t="inlineStr">
        <is>
          <t>07:44</t>
        </is>
      </c>
      <c r="H1573" s="4" t="inlineStr">
        <is>
          <t>8.10.2026</t>
        </is>
      </c>
      <c r="I1573" s="4" t="inlineStr">
        <is>
          <t>17:37</t>
        </is>
      </c>
      <c r="J1573" s="8" t="n">
        <v>8</v>
      </c>
      <c r="K1573" s="8" t="n">
        <v>7.5</v>
      </c>
      <c r="L1573" s="8" t="n">
        <v>0.5</v>
      </c>
      <c r="M1573" s="29" t="inlineStr">
        <is>
          <t>BANDIRMA</t>
        </is>
      </c>
    </row>
    <row r="1574">
      <c r="A1574" s="4" t="n">
        <v>1573</v>
      </c>
      <c r="B1574" s="4" t="inlineStr">
        <is>
          <t>00882</t>
        </is>
      </c>
      <c r="C1574" s="4" t="inlineStr">
        <is>
          <t>00882</t>
        </is>
      </c>
      <c r="D1574" s="29" t="inlineStr">
        <is>
          <t>GÜLPERİ KALENDER</t>
        </is>
      </c>
      <c r="E1574" s="4" t="inlineStr">
        <is>
          <t>Cuma</t>
        </is>
      </c>
      <c r="F1574" s="4" t="inlineStr">
        <is>
          <t>9.10.2026</t>
        </is>
      </c>
      <c r="G1574" s="4" t="inlineStr">
        <is>
          <t>07:41</t>
        </is>
      </c>
      <c r="H1574" s="4" t="inlineStr">
        <is>
          <t>9.10.2026</t>
        </is>
      </c>
      <c r="I1574" s="4" t="inlineStr">
        <is>
          <t>17:46</t>
        </is>
      </c>
      <c r="J1574" s="8" t="n">
        <v>8.5</v>
      </c>
      <c r="K1574" s="8" t="n">
        <v>7.5</v>
      </c>
      <c r="L1574" s="8" t="n">
        <v>1</v>
      </c>
      <c r="M1574" s="29" t="inlineStr">
        <is>
          <t>BANDIRMA</t>
        </is>
      </c>
    </row>
    <row r="1575">
      <c r="A1575" s="4" t="n">
        <v>1574</v>
      </c>
      <c r="B1575" s="4" t="inlineStr">
        <is>
          <t>00882</t>
        </is>
      </c>
      <c r="C1575" s="4" t="inlineStr">
        <is>
          <t>00882</t>
        </is>
      </c>
      <c r="D1575" s="29" t="inlineStr">
        <is>
          <t>GÜLPERİ KALENDER</t>
        </is>
      </c>
      <c r="E1575" s="4" t="inlineStr">
        <is>
          <t>Pazartesi</t>
        </is>
      </c>
      <c r="F1575" s="4" t="inlineStr">
        <is>
          <t>12.10.2026</t>
        </is>
      </c>
      <c r="G1575" s="4" t="inlineStr">
        <is>
          <t>07:48</t>
        </is>
      </c>
      <c r="H1575" s="4" t="inlineStr">
        <is>
          <t>12.10.2026</t>
        </is>
      </c>
      <c r="I1575" s="4" t="inlineStr">
        <is>
          <t>17:03</t>
        </is>
      </c>
      <c r="J1575" s="8" t="n">
        <v>7.5</v>
      </c>
      <c r="K1575" s="8" t="n">
        <v>7.5</v>
      </c>
      <c r="L1575" s="8" t="n">
        <v>0</v>
      </c>
      <c r="M1575" s="29" t="inlineStr">
        <is>
          <t>BANDIRMA</t>
        </is>
      </c>
    </row>
    <row r="1576">
      <c r="A1576" s="4" t="n">
        <v>1575</v>
      </c>
      <c r="B1576" s="4" t="inlineStr">
        <is>
          <t>00882</t>
        </is>
      </c>
      <c r="C1576" s="4" t="inlineStr">
        <is>
          <t>00882</t>
        </is>
      </c>
      <c r="D1576" s="29" t="inlineStr">
        <is>
          <t>GÜLPERİ KALENDER</t>
        </is>
      </c>
      <c r="E1576" s="4" t="inlineStr">
        <is>
          <t>Salı</t>
        </is>
      </c>
      <c r="F1576" s="4" t="inlineStr">
        <is>
          <t>13.10.2026</t>
        </is>
      </c>
      <c r="G1576" s="4" t="inlineStr">
        <is>
          <t>07:46</t>
        </is>
      </c>
      <c r="H1576" s="4" t="inlineStr">
        <is>
          <t>13.10.2026</t>
        </is>
      </c>
      <c r="I1576" s="4" t="inlineStr">
        <is>
          <t>17:04</t>
        </is>
      </c>
      <c r="J1576" s="8" t="n">
        <v>7.5</v>
      </c>
      <c r="K1576" s="8" t="n">
        <v>7.5</v>
      </c>
      <c r="L1576" s="8" t="n">
        <v>0</v>
      </c>
      <c r="M1576" s="29" t="inlineStr">
        <is>
          <t>BANDIRMA</t>
        </is>
      </c>
    </row>
    <row r="1577">
      <c r="A1577" s="4" t="n">
        <v>1576</v>
      </c>
      <c r="B1577" s="4" t="inlineStr">
        <is>
          <t>00882</t>
        </is>
      </c>
      <c r="C1577" s="4" t="inlineStr">
        <is>
          <t>00882</t>
        </is>
      </c>
      <c r="D1577" s="29" t="inlineStr">
        <is>
          <t>GÜLPERİ KALENDER</t>
        </is>
      </c>
      <c r="E1577" s="4" t="inlineStr">
        <is>
          <t>Çarşamba</t>
        </is>
      </c>
      <c r="F1577" s="4" t="inlineStr">
        <is>
          <t>14.10.2026</t>
        </is>
      </c>
      <c r="G1577" s="4" t="inlineStr">
        <is>
          <t>07:48</t>
        </is>
      </c>
      <c r="H1577" s="4" t="inlineStr">
        <is>
          <t>14.10.2026</t>
        </is>
      </c>
      <c r="I1577" s="4" t="inlineStr">
        <is>
          <t>18:09</t>
        </is>
      </c>
      <c r="J1577" s="8" t="n">
        <v>8.5</v>
      </c>
      <c r="K1577" s="8" t="n">
        <v>7.5</v>
      </c>
      <c r="L1577" s="8" t="n">
        <v>1</v>
      </c>
      <c r="M1577" s="29" t="inlineStr">
        <is>
          <t>BANDIRMA</t>
        </is>
      </c>
    </row>
    <row r="1578">
      <c r="A1578" s="4" t="n">
        <v>1577</v>
      </c>
      <c r="B1578" s="4" t="inlineStr">
        <is>
          <t>00882</t>
        </is>
      </c>
      <c r="C1578" s="4" t="inlineStr">
        <is>
          <t>00882</t>
        </is>
      </c>
      <c r="D1578" s="29" t="inlineStr">
        <is>
          <t>GÜLPERİ KALENDER</t>
        </is>
      </c>
      <c r="E1578" s="4" t="inlineStr">
        <is>
          <t>Perşembe</t>
        </is>
      </c>
      <c r="F1578" s="4" t="inlineStr">
        <is>
          <t>15.10.2026</t>
        </is>
      </c>
      <c r="G1578" s="4" t="inlineStr">
        <is>
          <t>07:45</t>
        </is>
      </c>
      <c r="H1578" s="4" t="inlineStr">
        <is>
          <t>15.10.2026</t>
        </is>
      </c>
      <c r="I1578" s="4" t="inlineStr">
        <is>
          <t>17:05</t>
        </is>
      </c>
      <c r="J1578" s="8" t="n">
        <v>7.5</v>
      </c>
      <c r="K1578" s="8" t="n">
        <v>7.5</v>
      </c>
      <c r="L1578" s="8" t="n">
        <v>0</v>
      </c>
      <c r="M1578" s="29" t="inlineStr">
        <is>
          <t>BANDIRMA</t>
        </is>
      </c>
    </row>
    <row r="1579">
      <c r="A1579" s="4" t="n">
        <v>1578</v>
      </c>
      <c r="B1579" s="4" t="inlineStr">
        <is>
          <t>00882</t>
        </is>
      </c>
      <c r="C1579" s="4" t="inlineStr">
        <is>
          <t>00882</t>
        </is>
      </c>
      <c r="D1579" s="29" t="inlineStr">
        <is>
          <t>GÜLPERİ KALENDER</t>
        </is>
      </c>
      <c r="E1579" s="4" t="inlineStr">
        <is>
          <t>Cuma</t>
        </is>
      </c>
      <c r="F1579" s="4" t="inlineStr">
        <is>
          <t>16.10.2026</t>
        </is>
      </c>
      <c r="G1579" s="4" t="inlineStr">
        <is>
          <t>07:42</t>
        </is>
      </c>
      <c r="H1579" s="4" t="inlineStr">
        <is>
          <t>16.10.2026</t>
        </is>
      </c>
      <c r="I1579" s="4" t="inlineStr">
        <is>
          <t>17:21</t>
        </is>
      </c>
      <c r="J1579" s="8" t="n">
        <v>8</v>
      </c>
      <c r="K1579" s="8" t="n">
        <v>7.5</v>
      </c>
      <c r="L1579" s="8" t="n">
        <v>0.5</v>
      </c>
      <c r="M1579" s="29" t="inlineStr">
        <is>
          <t>BANDIRMA</t>
        </is>
      </c>
    </row>
    <row r="1580">
      <c r="A1580" s="4" t="n">
        <v>1579</v>
      </c>
      <c r="B1580" s="4" t="inlineStr">
        <is>
          <t>00882</t>
        </is>
      </c>
      <c r="C1580" s="4" t="inlineStr">
        <is>
          <t>00882</t>
        </is>
      </c>
      <c r="D1580" s="29" t="inlineStr">
        <is>
          <t>GÜLPERİ KALENDER</t>
        </is>
      </c>
      <c r="E1580" s="4" t="inlineStr">
        <is>
          <t>Cumartesi</t>
        </is>
      </c>
      <c r="F1580" s="4" t="inlineStr">
        <is>
          <t>17.10.2026</t>
        </is>
      </c>
      <c r="G1580" s="4" t="inlineStr">
        <is>
          <t>07:40</t>
        </is>
      </c>
      <c r="H1580" s="4" t="inlineStr">
        <is>
          <t>17.10.2026</t>
        </is>
      </c>
      <c r="I1580" s="4" t="inlineStr">
        <is>
          <t>17:55</t>
        </is>
      </c>
      <c r="J1580" s="8" t="n">
        <v>8.5</v>
      </c>
      <c r="K1580" s="8" t="n">
        <v>7.5</v>
      </c>
      <c r="L1580" s="8" t="n">
        <v>1</v>
      </c>
      <c r="M1580" s="29" t="inlineStr">
        <is>
          <t>BANDIRMA</t>
        </is>
      </c>
    </row>
    <row r="1581">
      <c r="A1581" s="4" t="n">
        <v>1580</v>
      </c>
      <c r="B1581" s="4" t="inlineStr">
        <is>
          <t>00882</t>
        </is>
      </c>
      <c r="C1581" s="4" t="inlineStr">
        <is>
          <t>00882</t>
        </is>
      </c>
      <c r="D1581" s="29" t="inlineStr">
        <is>
          <t>GÜLPERİ KALENDER</t>
        </is>
      </c>
      <c r="E1581" s="4" t="inlineStr">
        <is>
          <t>Pazartesi</t>
        </is>
      </c>
      <c r="F1581" s="4" t="inlineStr">
        <is>
          <t>19.10.2026</t>
        </is>
      </c>
      <c r="G1581" s="4" t="inlineStr">
        <is>
          <t>07:55</t>
        </is>
      </c>
      <c r="H1581" s="4" t="inlineStr">
        <is>
          <t>19.10.2026</t>
        </is>
      </c>
      <c r="I1581" s="4" t="inlineStr">
        <is>
          <t>17:47</t>
        </is>
      </c>
      <c r="J1581" s="8" t="n">
        <v>8.5</v>
      </c>
      <c r="K1581" s="8" t="n">
        <v>7.5</v>
      </c>
      <c r="L1581" s="8" t="n">
        <v>1</v>
      </c>
      <c r="M1581" s="29" t="inlineStr">
        <is>
          <t>BANDIRMA</t>
        </is>
      </c>
    </row>
    <row r="1582">
      <c r="A1582" s="4" t="n">
        <v>1581</v>
      </c>
      <c r="B1582" s="4" t="inlineStr">
        <is>
          <t>00882</t>
        </is>
      </c>
      <c r="C1582" s="4" t="inlineStr">
        <is>
          <t>00882</t>
        </is>
      </c>
      <c r="D1582" s="29" t="inlineStr">
        <is>
          <t>GÜLPERİ KALENDER</t>
        </is>
      </c>
      <c r="E1582" s="4" t="inlineStr">
        <is>
          <t>Salı</t>
        </is>
      </c>
      <c r="F1582" s="4" t="inlineStr">
        <is>
          <t>20.10.2026</t>
        </is>
      </c>
      <c r="G1582" s="4" t="inlineStr">
        <is>
          <t>07:41</t>
        </is>
      </c>
      <c r="H1582" s="4" t="inlineStr">
        <is>
          <t>20.10.2026</t>
        </is>
      </c>
      <c r="I1582" s="4" t="inlineStr">
        <is>
          <t>17:03</t>
        </is>
      </c>
      <c r="J1582" s="8" t="n">
        <v>7.5</v>
      </c>
      <c r="K1582" s="8" t="n">
        <v>7.5</v>
      </c>
      <c r="L1582" s="8" t="n">
        <v>0</v>
      </c>
      <c r="M1582" s="29" t="inlineStr">
        <is>
          <t>BANDIRMA</t>
        </is>
      </c>
    </row>
    <row r="1583">
      <c r="A1583" s="4" t="n">
        <v>1582</v>
      </c>
      <c r="B1583" s="4" t="inlineStr">
        <is>
          <t>00882</t>
        </is>
      </c>
      <c r="C1583" s="4" t="inlineStr">
        <is>
          <t>00882</t>
        </is>
      </c>
      <c r="D1583" s="29" t="inlineStr">
        <is>
          <t>GÜLPERİ KALENDER</t>
        </is>
      </c>
      <c r="E1583" s="4" t="inlineStr">
        <is>
          <t>Çarşamba</t>
        </is>
      </c>
      <c r="F1583" s="4" t="inlineStr">
        <is>
          <t>21.10.2026</t>
        </is>
      </c>
      <c r="G1583" s="4" t="inlineStr">
        <is>
          <t>07:46</t>
        </is>
      </c>
      <c r="H1583" s="4" t="inlineStr">
        <is>
          <t>21.10.2026</t>
        </is>
      </c>
      <c r="I1583" s="4" t="inlineStr">
        <is>
          <t>17:02</t>
        </is>
      </c>
      <c r="J1583" s="8" t="n">
        <v>7.5</v>
      </c>
      <c r="K1583" s="8" t="n">
        <v>7.5</v>
      </c>
      <c r="L1583" s="8" t="n">
        <v>0</v>
      </c>
      <c r="M1583" s="29" t="inlineStr">
        <is>
          <t>BANDIRMA</t>
        </is>
      </c>
    </row>
    <row r="1584">
      <c r="A1584" s="4" t="n">
        <v>1583</v>
      </c>
      <c r="B1584" s="4" t="inlineStr">
        <is>
          <t>01558</t>
        </is>
      </c>
      <c r="C1584" s="4" t="inlineStr">
        <is>
          <t>01558</t>
        </is>
      </c>
      <c r="D1584" s="29" t="inlineStr">
        <is>
          <t>GÜLPERİ KERTİK</t>
        </is>
      </c>
      <c r="E1584" s="4" t="inlineStr">
        <is>
          <t>Salı</t>
        </is>
      </c>
      <c r="F1584" s="4" t="inlineStr">
        <is>
          <t>13.10.2026</t>
        </is>
      </c>
      <c r="G1584" s="4" t="inlineStr">
        <is>
          <t>-</t>
        </is>
      </c>
      <c r="H1584" s="4" t="inlineStr">
        <is>
          <t>13.10.2026</t>
        </is>
      </c>
      <c r="I1584" s="4" t="inlineStr">
        <is>
          <t>17:08</t>
        </is>
      </c>
      <c r="J1584" s="8" t="n">
        <v>7.5</v>
      </c>
      <c r="K1584" s="8" t="n">
        <v>7.5</v>
      </c>
      <c r="L1584" s="8" t="n">
        <v>0</v>
      </c>
      <c r="M1584" s="29" t="inlineStr">
        <is>
          <t>BİGADİÇ</t>
        </is>
      </c>
    </row>
    <row r="1585">
      <c r="A1585" s="4" t="n">
        <v>1584</v>
      </c>
      <c r="B1585" s="4" t="inlineStr">
        <is>
          <t>01558</t>
        </is>
      </c>
      <c r="C1585" s="4" t="inlineStr">
        <is>
          <t>01558</t>
        </is>
      </c>
      <c r="D1585" s="29" t="inlineStr">
        <is>
          <t>GÜLPERİ KERTİK</t>
        </is>
      </c>
      <c r="E1585" s="4" t="inlineStr">
        <is>
          <t>Çarşamba</t>
        </is>
      </c>
      <c r="F1585" s="4" t="inlineStr">
        <is>
          <t>14.10.2026</t>
        </is>
      </c>
      <c r="G1585" s="4" t="inlineStr">
        <is>
          <t>08:01</t>
        </is>
      </c>
      <c r="H1585" s="4" t="inlineStr">
        <is>
          <t>14.10.2026</t>
        </is>
      </c>
      <c r="I1585" s="4" t="inlineStr">
        <is>
          <t>17:28</t>
        </is>
      </c>
      <c r="J1585" s="8" t="n">
        <v>8</v>
      </c>
      <c r="K1585" s="8" t="n">
        <v>7.5</v>
      </c>
      <c r="L1585" s="8" t="n">
        <v>0.5</v>
      </c>
      <c r="M1585" s="29" t="inlineStr">
        <is>
          <t>BİGADİÇ</t>
        </is>
      </c>
    </row>
    <row r="1586">
      <c r="A1586" s="4" t="n">
        <v>1585</v>
      </c>
      <c r="B1586" s="4" t="inlineStr">
        <is>
          <t>01558</t>
        </is>
      </c>
      <c r="C1586" s="4" t="inlineStr">
        <is>
          <t>01558</t>
        </is>
      </c>
      <c r="D1586" s="29" t="inlineStr">
        <is>
          <t>GÜLPERİ KERTİK</t>
        </is>
      </c>
      <c r="E1586" s="4" t="inlineStr">
        <is>
          <t>Perşembe</t>
        </is>
      </c>
      <c r="F1586" s="4" t="inlineStr">
        <is>
          <t>15.10.2026</t>
        </is>
      </c>
      <c r="G1586" s="4" t="inlineStr">
        <is>
          <t>07:44</t>
        </is>
      </c>
      <c r="H1586" s="4" t="inlineStr">
        <is>
          <t>15.10.2026</t>
        </is>
      </c>
      <c r="I1586" s="4" t="inlineStr">
        <is>
          <t>17:21</t>
        </is>
      </c>
      <c r="J1586" s="8" t="n">
        <v>8</v>
      </c>
      <c r="K1586" s="8" t="n">
        <v>7.5</v>
      </c>
      <c r="L1586" s="8" t="n">
        <v>0.5</v>
      </c>
      <c r="M1586" s="29" t="inlineStr">
        <is>
          <t>BİGADİÇ</t>
        </is>
      </c>
    </row>
    <row r="1587">
      <c r="A1587" s="4" t="n">
        <v>1586</v>
      </c>
      <c r="B1587" s="4" t="inlineStr">
        <is>
          <t>01558</t>
        </is>
      </c>
      <c r="C1587" s="4" t="inlineStr">
        <is>
          <t>01558</t>
        </is>
      </c>
      <c r="D1587" s="29" t="inlineStr">
        <is>
          <t>GÜLPERİ KERTİK</t>
        </is>
      </c>
      <c r="E1587" s="4" t="inlineStr">
        <is>
          <t>Cuma</t>
        </is>
      </c>
      <c r="F1587" s="4" t="inlineStr">
        <is>
          <t>16.10.2026</t>
        </is>
      </c>
      <c r="G1587" s="4" t="inlineStr">
        <is>
          <t>07:59</t>
        </is>
      </c>
      <c r="H1587" s="4" t="inlineStr">
        <is>
          <t>16.10.2026</t>
        </is>
      </c>
      <c r="I1587" s="4" t="inlineStr">
        <is>
          <t>17:16</t>
        </is>
      </c>
      <c r="J1587" s="8" t="n">
        <v>7.5</v>
      </c>
      <c r="K1587" s="8" t="n">
        <v>7.5</v>
      </c>
      <c r="L1587" s="8" t="n">
        <v>0</v>
      </c>
      <c r="M1587" s="29" t="inlineStr">
        <is>
          <t>BİGADİÇ</t>
        </is>
      </c>
    </row>
    <row r="1588">
      <c r="A1588" s="4" t="n">
        <v>1587</v>
      </c>
      <c r="B1588" s="4" t="inlineStr">
        <is>
          <t>01558</t>
        </is>
      </c>
      <c r="C1588" s="4" t="inlineStr">
        <is>
          <t>01558</t>
        </is>
      </c>
      <c r="D1588" s="29" t="inlineStr">
        <is>
          <t>GÜLPERİ KERTİK</t>
        </is>
      </c>
      <c r="E1588" s="4" t="inlineStr">
        <is>
          <t>Cumartesi</t>
        </is>
      </c>
      <c r="F1588" s="4" t="inlineStr">
        <is>
          <t>17.10.2026</t>
        </is>
      </c>
      <c r="G1588" s="4" t="inlineStr">
        <is>
          <t>08:02</t>
        </is>
      </c>
      <c r="H1588" s="4" t="inlineStr">
        <is>
          <t>17.10.2026</t>
        </is>
      </c>
      <c r="I1588" s="4" t="inlineStr">
        <is>
          <t>17:55</t>
        </is>
      </c>
      <c r="J1588" s="8" t="n">
        <v>8.5</v>
      </c>
      <c r="K1588" s="8" t="n">
        <v>7.5</v>
      </c>
      <c r="L1588" s="8" t="n">
        <v>1</v>
      </c>
      <c r="M1588" s="29" t="inlineStr">
        <is>
          <t>BİGADİÇ</t>
        </is>
      </c>
    </row>
    <row r="1589">
      <c r="A1589" s="4" t="n">
        <v>1588</v>
      </c>
      <c r="B1589" s="4" t="inlineStr">
        <is>
          <t>01558</t>
        </is>
      </c>
      <c r="C1589" s="4" t="inlineStr">
        <is>
          <t>01558</t>
        </is>
      </c>
      <c r="D1589" s="29" t="inlineStr">
        <is>
          <t>GÜLPERİ KERTİK</t>
        </is>
      </c>
      <c r="E1589" s="4" t="inlineStr">
        <is>
          <t>Pazar</t>
        </is>
      </c>
      <c r="F1589" s="4" t="inlineStr">
        <is>
          <t>18.10.2026</t>
        </is>
      </c>
      <c r="G1589" s="4" t="inlineStr">
        <is>
          <t>08:05</t>
        </is>
      </c>
      <c r="H1589" s="4" t="inlineStr">
        <is>
          <t>18.10.2026</t>
        </is>
      </c>
      <c r="I1589" s="4" t="inlineStr">
        <is>
          <t>17:06</t>
        </is>
      </c>
      <c r="J1589" s="8" t="n">
        <v>7.5</v>
      </c>
      <c r="K1589" s="8" t="n">
        <v>7.5</v>
      </c>
      <c r="L1589" s="8" t="n">
        <v>0</v>
      </c>
      <c r="M1589" s="29" t="inlineStr">
        <is>
          <t>BİGADİÇ</t>
        </is>
      </c>
    </row>
    <row r="1590">
      <c r="A1590" s="4" t="n">
        <v>1589</v>
      </c>
      <c r="B1590" s="4" t="inlineStr">
        <is>
          <t>01558</t>
        </is>
      </c>
      <c r="C1590" s="4" t="inlineStr">
        <is>
          <t>01558</t>
        </is>
      </c>
      <c r="D1590" s="29" t="inlineStr">
        <is>
          <t>GÜLPERİ KERTİK</t>
        </is>
      </c>
      <c r="E1590" s="4" t="inlineStr">
        <is>
          <t>Pazartesi</t>
        </is>
      </c>
      <c r="F1590" s="4" t="inlineStr">
        <is>
          <t>19.10.2026</t>
        </is>
      </c>
      <c r="G1590" s="4" t="inlineStr">
        <is>
          <t>07:48</t>
        </is>
      </c>
      <c r="H1590" s="4" t="inlineStr">
        <is>
          <t>19.10.2026</t>
        </is>
      </c>
      <c r="I1590" s="4" t="inlineStr">
        <is>
          <t>17:11</t>
        </is>
      </c>
      <c r="J1590" s="8" t="n">
        <v>7.5</v>
      </c>
      <c r="K1590" s="8" t="n">
        <v>7.5</v>
      </c>
      <c r="L1590" s="8" t="n">
        <v>0</v>
      </c>
      <c r="M1590" s="29" t="inlineStr">
        <is>
          <t>BİGADİÇ</t>
        </is>
      </c>
    </row>
    <row r="1591">
      <c r="A1591" s="4" t="n">
        <v>1590</v>
      </c>
      <c r="B1591" s="4" t="inlineStr">
        <is>
          <t>01558</t>
        </is>
      </c>
      <c r="C1591" s="4" t="inlineStr">
        <is>
          <t>01558</t>
        </is>
      </c>
      <c r="D1591" s="29" t="inlineStr">
        <is>
          <t>GÜLPERİ KERTİK</t>
        </is>
      </c>
      <c r="E1591" s="4" t="inlineStr">
        <is>
          <t>Salı</t>
        </is>
      </c>
      <c r="F1591" s="4" t="inlineStr">
        <is>
          <t>20.10.2026</t>
        </is>
      </c>
      <c r="G1591" s="4" t="inlineStr">
        <is>
          <t>07:50</t>
        </is>
      </c>
      <c r="H1591" s="4" t="inlineStr">
        <is>
          <t>20.10.2026</t>
        </is>
      </c>
      <c r="I1591" s="4" t="inlineStr">
        <is>
          <t>17:09</t>
        </is>
      </c>
      <c r="J1591" s="8" t="n">
        <v>7.5</v>
      </c>
      <c r="K1591" s="8" t="n">
        <v>7.5</v>
      </c>
      <c r="L1591" s="8" t="n">
        <v>0</v>
      </c>
      <c r="M1591" s="29" t="inlineStr">
        <is>
          <t>BİGADİÇ</t>
        </is>
      </c>
    </row>
    <row r="1592">
      <c r="A1592" s="4" t="n">
        <v>1591</v>
      </c>
      <c r="B1592" s="4" t="inlineStr">
        <is>
          <t>01558</t>
        </is>
      </c>
      <c r="C1592" s="4" t="inlineStr">
        <is>
          <t>01558</t>
        </is>
      </c>
      <c r="D1592" s="29" t="inlineStr">
        <is>
          <t>GÜLPERİ KERTİK</t>
        </is>
      </c>
      <c r="E1592" s="4" t="inlineStr">
        <is>
          <t>Çarşamba</t>
        </is>
      </c>
      <c r="F1592" s="4" t="inlineStr">
        <is>
          <t>21.10.2026</t>
        </is>
      </c>
      <c r="G1592" s="4" t="inlineStr">
        <is>
          <t>07:51</t>
        </is>
      </c>
      <c r="H1592" s="4" t="inlineStr">
        <is>
          <t>21.10.2026</t>
        </is>
      </c>
      <c r="I1592" s="4" t="inlineStr">
        <is>
          <t>17:12</t>
        </is>
      </c>
      <c r="J1592" s="8" t="n">
        <v>7.5</v>
      </c>
      <c r="K1592" s="8" t="n">
        <v>7.5</v>
      </c>
      <c r="L1592" s="8" t="n">
        <v>0</v>
      </c>
      <c r="M1592" s="29" t="inlineStr">
        <is>
          <t>BİGADİÇ</t>
        </is>
      </c>
    </row>
    <row r="1593">
      <c r="A1593" s="4" t="n">
        <v>1592</v>
      </c>
      <c r="B1593" s="4" t="inlineStr">
        <is>
          <t>01418</t>
        </is>
      </c>
      <c r="C1593" s="4" t="inlineStr">
        <is>
          <t>01418</t>
        </is>
      </c>
      <c r="D1593" s="29" t="inlineStr">
        <is>
          <t>GÜLSEMA POLAT</t>
        </is>
      </c>
      <c r="E1593" s="4" t="inlineStr">
        <is>
          <t>Cumartesi</t>
        </is>
      </c>
      <c r="F1593" s="4" t="inlineStr">
        <is>
          <t>3.10.2026</t>
        </is>
      </c>
      <c r="G1593" s="4" t="inlineStr">
        <is>
          <t>19:54</t>
        </is>
      </c>
      <c r="H1593" s="4" t="inlineStr">
        <is>
          <t>3.10.2026</t>
        </is>
      </c>
      <c r="I1593" s="4" t="inlineStr">
        <is>
          <t>08:01</t>
        </is>
      </c>
      <c r="J1593" s="8" t="n">
        <v>10.5</v>
      </c>
      <c r="K1593" s="8" t="n">
        <v>7.5</v>
      </c>
      <c r="L1593" s="8" t="n">
        <v>3</v>
      </c>
      <c r="M1593" s="29" t="inlineStr">
        <is>
          <t>HALİL DİĞRENCİ</t>
        </is>
      </c>
    </row>
    <row r="1594">
      <c r="A1594" s="4" t="n">
        <v>1593</v>
      </c>
      <c r="B1594" s="4" t="inlineStr">
        <is>
          <t>01418</t>
        </is>
      </c>
      <c r="C1594" s="4" t="inlineStr">
        <is>
          <t>01418</t>
        </is>
      </c>
      <c r="D1594" s="29" t="inlineStr">
        <is>
          <t>GÜLSEMA POLAT</t>
        </is>
      </c>
      <c r="E1594" s="4" t="inlineStr">
        <is>
          <t>Pazar</t>
        </is>
      </c>
      <c r="F1594" s="4" t="inlineStr">
        <is>
          <t>4.10.2026</t>
        </is>
      </c>
      <c r="G1594" s="4" t="inlineStr">
        <is>
          <t>19:58</t>
        </is>
      </c>
      <c r="H1594" s="4" t="inlineStr">
        <is>
          <t>4.10.2026</t>
        </is>
      </c>
      <c r="I1594" s="4" t="inlineStr">
        <is>
          <t>08:04</t>
        </is>
      </c>
      <c r="J1594" s="8" t="n">
        <v>10.5</v>
      </c>
      <c r="K1594" s="8" t="n">
        <v>7.5</v>
      </c>
      <c r="L1594" s="8" t="n">
        <v>3</v>
      </c>
      <c r="M1594" s="29" t="inlineStr">
        <is>
          <t>HALİL DİĞRENCİ</t>
        </is>
      </c>
    </row>
    <row r="1595">
      <c r="A1595" s="4" t="n">
        <v>1594</v>
      </c>
      <c r="B1595" s="4" t="inlineStr">
        <is>
          <t>01418</t>
        </is>
      </c>
      <c r="C1595" s="4" t="inlineStr">
        <is>
          <t>01418</t>
        </is>
      </c>
      <c r="D1595" s="29" t="inlineStr">
        <is>
          <t>GÜLSEMA POLAT</t>
        </is>
      </c>
      <c r="E1595" s="4" t="inlineStr">
        <is>
          <t>Pazartesi</t>
        </is>
      </c>
      <c r="F1595" s="4" t="inlineStr">
        <is>
          <t>5.10.2026</t>
        </is>
      </c>
      <c r="G1595" s="4" t="inlineStr">
        <is>
          <t>19:57</t>
        </is>
      </c>
      <c r="H1595" s="4" t="inlineStr">
        <is>
          <t>5.10.2026</t>
        </is>
      </c>
      <c r="I1595" s="4" t="inlineStr">
        <is>
          <t>08:02</t>
        </is>
      </c>
      <c r="J1595" s="8" t="n">
        <v>10.5</v>
      </c>
      <c r="K1595" s="8" t="n">
        <v>7.5</v>
      </c>
      <c r="L1595" s="8" t="n">
        <v>3</v>
      </c>
      <c r="M1595" s="29" t="inlineStr">
        <is>
          <t>HALİL DİĞRENCİ</t>
        </is>
      </c>
    </row>
    <row r="1596">
      <c r="A1596" s="4" t="n">
        <v>1595</v>
      </c>
      <c r="B1596" s="4" t="inlineStr">
        <is>
          <t>01418</t>
        </is>
      </c>
      <c r="C1596" s="4" t="inlineStr">
        <is>
          <t>01418</t>
        </is>
      </c>
      <c r="D1596" s="29" t="inlineStr">
        <is>
          <t>GÜLSEMA POLAT</t>
        </is>
      </c>
      <c r="E1596" s="4" t="inlineStr">
        <is>
          <t>Salı</t>
        </is>
      </c>
      <c r="F1596" s="4" t="inlineStr">
        <is>
          <t>6.10.2026</t>
        </is>
      </c>
      <c r="G1596" s="4" t="inlineStr">
        <is>
          <t>19:46</t>
        </is>
      </c>
      <c r="H1596" s="4" t="inlineStr">
        <is>
          <t>6.10.2026</t>
        </is>
      </c>
      <c r="I1596" s="4" t="inlineStr">
        <is>
          <t>08:07</t>
        </is>
      </c>
      <c r="J1596" s="8" t="n">
        <v>10.5</v>
      </c>
      <c r="K1596" s="8" t="n">
        <v>7.5</v>
      </c>
      <c r="L1596" s="8" t="n">
        <v>3</v>
      </c>
      <c r="M1596" s="29" t="inlineStr">
        <is>
          <t>HALİL DİĞRENCİ</t>
        </is>
      </c>
    </row>
    <row r="1597">
      <c r="A1597" s="4" t="n">
        <v>1596</v>
      </c>
      <c r="B1597" s="4" t="inlineStr">
        <is>
          <t>01418</t>
        </is>
      </c>
      <c r="C1597" s="4" t="inlineStr">
        <is>
          <t>01418</t>
        </is>
      </c>
      <c r="D1597" s="29" t="inlineStr">
        <is>
          <t>GÜLSEMA POLAT</t>
        </is>
      </c>
      <c r="E1597" s="4" t="inlineStr">
        <is>
          <t>Çarşamba</t>
        </is>
      </c>
      <c r="F1597" s="4" t="inlineStr">
        <is>
          <t>7.10.2026</t>
        </is>
      </c>
      <c r="G1597" s="4" t="inlineStr">
        <is>
          <t>19:55</t>
        </is>
      </c>
      <c r="H1597" s="4" t="inlineStr">
        <is>
          <t>7.10.2026</t>
        </is>
      </c>
      <c r="I1597" s="4" t="inlineStr">
        <is>
          <t>08:03</t>
        </is>
      </c>
      <c r="J1597" s="8" t="n">
        <v>10.5</v>
      </c>
      <c r="K1597" s="8" t="n">
        <v>7.5</v>
      </c>
      <c r="L1597" s="8" t="n">
        <v>3</v>
      </c>
      <c r="M1597" s="29" t="inlineStr">
        <is>
          <t>HALİL DİĞRENCİ</t>
        </is>
      </c>
    </row>
    <row r="1598">
      <c r="A1598" s="4" t="n">
        <v>1597</v>
      </c>
      <c r="B1598" s="4" t="inlineStr">
        <is>
          <t>01418</t>
        </is>
      </c>
      <c r="C1598" s="4" t="inlineStr">
        <is>
          <t>01418</t>
        </is>
      </c>
      <c r="D1598" s="29" t="inlineStr">
        <is>
          <t>GÜLSEMA POLAT</t>
        </is>
      </c>
      <c r="E1598" s="4" t="inlineStr">
        <is>
          <t>Perşembe</t>
        </is>
      </c>
      <c r="F1598" s="4" t="inlineStr">
        <is>
          <t>8.10.2026</t>
        </is>
      </c>
      <c r="G1598" s="4" t="inlineStr">
        <is>
          <t>19:57</t>
        </is>
      </c>
      <c r="H1598" s="4" t="inlineStr">
        <is>
          <t>8.10.2026</t>
        </is>
      </c>
      <c r="I1598" s="4" t="inlineStr">
        <is>
          <t>08:07</t>
        </is>
      </c>
      <c r="J1598" s="8" t="n">
        <v>10.5</v>
      </c>
      <c r="K1598" s="8" t="n">
        <v>7.5</v>
      </c>
      <c r="L1598" s="8" t="n">
        <v>3</v>
      </c>
      <c r="M1598" s="29" t="inlineStr">
        <is>
          <t>HALİL DİĞRENCİ</t>
        </is>
      </c>
    </row>
    <row r="1599">
      <c r="A1599" s="4" t="n">
        <v>1598</v>
      </c>
      <c r="B1599" s="4" t="inlineStr">
        <is>
          <t>01418</t>
        </is>
      </c>
      <c r="C1599" s="4" t="inlineStr">
        <is>
          <t>01418</t>
        </is>
      </c>
      <c r="D1599" s="29" t="inlineStr">
        <is>
          <t>GÜLSEMA POLAT</t>
        </is>
      </c>
      <c r="E1599" s="4" t="inlineStr">
        <is>
          <t>Cuma</t>
        </is>
      </c>
      <c r="F1599" s="4" t="inlineStr">
        <is>
          <t>9.10.2026</t>
        </is>
      </c>
      <c r="G1599" s="4" t="inlineStr">
        <is>
          <t>20:01</t>
        </is>
      </c>
      <c r="H1599" s="4" t="inlineStr">
        <is>
          <t>9.10.2026</t>
        </is>
      </c>
      <c r="I1599" s="4" t="inlineStr">
        <is>
          <t>08:09</t>
        </is>
      </c>
      <c r="J1599" s="8" t="n">
        <v>10.5</v>
      </c>
      <c r="K1599" s="8" t="n">
        <v>7.5</v>
      </c>
      <c r="L1599" s="8" t="n">
        <v>3</v>
      </c>
      <c r="M1599" s="29" t="inlineStr">
        <is>
          <t>HALİL DİĞRENCİ</t>
        </is>
      </c>
    </row>
    <row r="1600">
      <c r="A1600" s="4" t="n">
        <v>1599</v>
      </c>
      <c r="B1600" s="4" t="inlineStr">
        <is>
          <t>01418</t>
        </is>
      </c>
      <c r="C1600" s="4" t="inlineStr">
        <is>
          <t>01418</t>
        </is>
      </c>
      <c r="D1600" s="29" t="inlineStr">
        <is>
          <t>GÜLSEMA POLAT</t>
        </is>
      </c>
      <c r="E1600" s="4" t="inlineStr">
        <is>
          <t>Cumartesi</t>
        </is>
      </c>
      <c r="F1600" s="4" t="inlineStr">
        <is>
          <t>10.10.2026</t>
        </is>
      </c>
      <c r="G1600" s="4" t="inlineStr">
        <is>
          <t>20:12</t>
        </is>
      </c>
      <c r="H1600" s="4" t="inlineStr">
        <is>
          <t>10.10.2026</t>
        </is>
      </c>
      <c r="I1600" s="4" t="inlineStr">
        <is>
          <t>08:14</t>
        </is>
      </c>
      <c r="J1600" s="8" t="n">
        <v>10.5</v>
      </c>
      <c r="K1600" s="8" t="n">
        <v>7.5</v>
      </c>
      <c r="L1600" s="8" t="n">
        <v>3</v>
      </c>
      <c r="M1600" s="29" t="inlineStr">
        <is>
          <t>HALİL DİĞRENCİ</t>
        </is>
      </c>
    </row>
    <row r="1601">
      <c r="A1601" s="4" t="n">
        <v>1600</v>
      </c>
      <c r="B1601" s="4" t="inlineStr">
        <is>
          <t>01418</t>
        </is>
      </c>
      <c r="C1601" s="4" t="inlineStr">
        <is>
          <t>01418</t>
        </is>
      </c>
      <c r="D1601" s="29" t="inlineStr">
        <is>
          <t>GÜLSEMA POLAT</t>
        </is>
      </c>
      <c r="E1601" s="4" t="inlineStr">
        <is>
          <t>Pazar</t>
        </is>
      </c>
      <c r="F1601" s="4" t="inlineStr">
        <is>
          <t>11.10.2026</t>
        </is>
      </c>
      <c r="G1601" s="4" t="inlineStr">
        <is>
          <t>20:15</t>
        </is>
      </c>
      <c r="H1601" s="4" t="inlineStr">
        <is>
          <t>11.10.2026</t>
        </is>
      </c>
      <c r="I1601" s="4" t="inlineStr">
        <is>
          <t>08:03</t>
        </is>
      </c>
      <c r="J1601" s="8" t="n">
        <v>10.5</v>
      </c>
      <c r="K1601" s="8" t="n">
        <v>7.5</v>
      </c>
      <c r="L1601" s="8" t="n">
        <v>3</v>
      </c>
      <c r="M1601" s="29" t="inlineStr">
        <is>
          <t>HALİL DİĞRENCİ</t>
        </is>
      </c>
    </row>
    <row r="1602">
      <c r="A1602" s="4" t="n">
        <v>1601</v>
      </c>
      <c r="B1602" s="4" t="inlineStr">
        <is>
          <t>01418</t>
        </is>
      </c>
      <c r="C1602" s="4" t="inlineStr">
        <is>
          <t>01418</t>
        </is>
      </c>
      <c r="D1602" s="29" t="inlineStr">
        <is>
          <t>GÜLSEMA POLAT</t>
        </is>
      </c>
      <c r="E1602" s="4" t="inlineStr">
        <is>
          <t>Pazartesi</t>
        </is>
      </c>
      <c r="F1602" s="4" t="inlineStr">
        <is>
          <t>12.10.2026</t>
        </is>
      </c>
      <c r="G1602" s="4" t="inlineStr">
        <is>
          <t>20:02</t>
        </is>
      </c>
      <c r="H1602" s="4" t="inlineStr">
        <is>
          <t>12.10.2026</t>
        </is>
      </c>
      <c r="I1602" s="4" t="inlineStr">
        <is>
          <t>08:09</t>
        </is>
      </c>
      <c r="J1602" s="8" t="n">
        <v>10.5</v>
      </c>
      <c r="K1602" s="8" t="n">
        <v>7.5</v>
      </c>
      <c r="L1602" s="8" t="n">
        <v>3</v>
      </c>
      <c r="M1602" s="29" t="inlineStr">
        <is>
          <t>HALİL DİĞRENCİ</t>
        </is>
      </c>
    </row>
    <row r="1603">
      <c r="A1603" s="4" t="n">
        <v>1602</v>
      </c>
      <c r="B1603" s="4" t="inlineStr">
        <is>
          <t>01418</t>
        </is>
      </c>
      <c r="C1603" s="4" t="inlineStr">
        <is>
          <t>01418</t>
        </is>
      </c>
      <c r="D1603" s="29" t="inlineStr">
        <is>
          <t>GÜLSEMA POLAT</t>
        </is>
      </c>
      <c r="E1603" s="4" t="inlineStr">
        <is>
          <t>Çarşamba</t>
        </is>
      </c>
      <c r="F1603" s="4" t="inlineStr">
        <is>
          <t>14.10.2026</t>
        </is>
      </c>
      <c r="G1603" s="4" t="inlineStr">
        <is>
          <t>20:15</t>
        </is>
      </c>
      <c r="H1603" s="4" t="inlineStr">
        <is>
          <t>14.10.2026</t>
        </is>
      </c>
      <c r="I1603" s="4" t="inlineStr">
        <is>
          <t>08:06</t>
        </is>
      </c>
      <c r="J1603" s="8" t="n">
        <v>10.5</v>
      </c>
      <c r="K1603" s="8" t="n">
        <v>7.5</v>
      </c>
      <c r="L1603" s="8" t="n">
        <v>3</v>
      </c>
      <c r="M1603" s="29" t="inlineStr">
        <is>
          <t>HALİL DİĞRENCİ</t>
        </is>
      </c>
    </row>
    <row r="1604">
      <c r="A1604" s="4" t="n">
        <v>1603</v>
      </c>
      <c r="B1604" s="4" t="inlineStr">
        <is>
          <t>01418</t>
        </is>
      </c>
      <c r="C1604" s="4" t="inlineStr">
        <is>
          <t>01418</t>
        </is>
      </c>
      <c r="D1604" s="29" t="inlineStr">
        <is>
          <t>GÜLSEMA POLAT</t>
        </is>
      </c>
      <c r="E1604" s="4" t="inlineStr">
        <is>
          <t>Perşembe</t>
        </is>
      </c>
      <c r="F1604" s="4" t="inlineStr">
        <is>
          <t>15.10.2026</t>
        </is>
      </c>
      <c r="G1604" s="4" t="inlineStr">
        <is>
          <t>20:10</t>
        </is>
      </c>
      <c r="H1604" s="4" t="inlineStr">
        <is>
          <t>15.10.2026</t>
        </is>
      </c>
      <c r="I1604" s="4" t="inlineStr">
        <is>
          <t>08:07</t>
        </is>
      </c>
      <c r="J1604" s="8" t="n">
        <v>10.5</v>
      </c>
      <c r="K1604" s="8" t="n">
        <v>7.5</v>
      </c>
      <c r="L1604" s="8" t="n">
        <v>3</v>
      </c>
      <c r="M1604" s="29" t="inlineStr">
        <is>
          <t>HALİL DİĞRENCİ</t>
        </is>
      </c>
    </row>
    <row r="1605">
      <c r="A1605" s="4" t="n">
        <v>1604</v>
      </c>
      <c r="B1605" s="4" t="inlineStr">
        <is>
          <t>01418</t>
        </is>
      </c>
      <c r="C1605" s="4" t="inlineStr">
        <is>
          <t>01418</t>
        </is>
      </c>
      <c r="D1605" s="29" t="inlineStr">
        <is>
          <t>GÜLSEMA POLAT</t>
        </is>
      </c>
      <c r="E1605" s="4" t="inlineStr">
        <is>
          <t>Pazar</t>
        </is>
      </c>
      <c r="F1605" s="4" t="inlineStr">
        <is>
          <t>18.10.2026</t>
        </is>
      </c>
      <c r="G1605" s="4" t="inlineStr">
        <is>
          <t>08:15</t>
        </is>
      </c>
      <c r="H1605" s="4" t="inlineStr">
        <is>
          <t>18.10.2026</t>
        </is>
      </c>
      <c r="I1605" s="4" t="inlineStr">
        <is>
          <t>20:00</t>
        </is>
      </c>
      <c r="J1605" s="8" t="n">
        <v>10.5</v>
      </c>
      <c r="K1605" s="8" t="n">
        <v>7.5</v>
      </c>
      <c r="L1605" s="8" t="n">
        <v>3</v>
      </c>
      <c r="M1605" s="29" t="inlineStr">
        <is>
          <t>HALİL DİĞRENCİ</t>
        </is>
      </c>
    </row>
    <row r="1606">
      <c r="A1606" s="4" t="n">
        <v>1605</v>
      </c>
      <c r="B1606" s="4" t="inlineStr">
        <is>
          <t>00073</t>
        </is>
      </c>
      <c r="C1606" s="4" t="inlineStr">
        <is>
          <t>00073</t>
        </is>
      </c>
      <c r="D1606" s="29" t="inlineStr">
        <is>
          <t>GÜLSÜM GÖRGÜLÜ</t>
        </is>
      </c>
      <c r="E1606" s="4" t="inlineStr">
        <is>
          <t>Perşembe</t>
        </is>
      </c>
      <c r="F1606" s="4" t="inlineStr">
        <is>
          <t>1.10.2026</t>
        </is>
      </c>
      <c r="G1606" s="4" t="inlineStr">
        <is>
          <t>07:55</t>
        </is>
      </c>
      <c r="H1606" s="4" t="inlineStr">
        <is>
          <t>1.10.2026</t>
        </is>
      </c>
      <c r="I1606" s="4" t="inlineStr">
        <is>
          <t>17:08</t>
        </is>
      </c>
      <c r="J1606" s="8" t="n">
        <v>7.5</v>
      </c>
      <c r="K1606" s="8" t="n">
        <v>7.5</v>
      </c>
      <c r="L1606" s="8" t="n">
        <v>0</v>
      </c>
      <c r="M1606" s="29" t="inlineStr">
        <is>
          <t>BİGADİÇ</t>
        </is>
      </c>
    </row>
    <row r="1607">
      <c r="A1607" s="4" t="n">
        <v>1606</v>
      </c>
      <c r="B1607" s="4" t="inlineStr">
        <is>
          <t>00073</t>
        </is>
      </c>
      <c r="C1607" s="4" t="inlineStr">
        <is>
          <t>00073</t>
        </is>
      </c>
      <c r="D1607" s="29" t="inlineStr">
        <is>
          <t>GÜLSÜM GÖRGÜLÜ</t>
        </is>
      </c>
      <c r="E1607" s="4" t="inlineStr">
        <is>
          <t>Cuma</t>
        </is>
      </c>
      <c r="F1607" s="4" t="inlineStr">
        <is>
          <t>2.10.2026</t>
        </is>
      </c>
      <c r="G1607" s="4" t="inlineStr">
        <is>
          <t>07:54</t>
        </is>
      </c>
      <c r="H1607" s="4" t="inlineStr">
        <is>
          <t>2.10.2026</t>
        </is>
      </c>
      <c r="I1607" s="4" t="inlineStr">
        <is>
          <t>17:13</t>
        </is>
      </c>
      <c r="J1607" s="8" t="n">
        <v>7.5</v>
      </c>
      <c r="K1607" s="8" t="n">
        <v>7.5</v>
      </c>
      <c r="L1607" s="8" t="n">
        <v>0</v>
      </c>
      <c r="M1607" s="29" t="inlineStr">
        <is>
          <t>BİGADİÇ</t>
        </is>
      </c>
    </row>
    <row r="1608">
      <c r="A1608" s="4" t="n">
        <v>1607</v>
      </c>
      <c r="B1608" s="4" t="inlineStr">
        <is>
          <t>00073</t>
        </is>
      </c>
      <c r="C1608" s="4" t="inlineStr">
        <is>
          <t>00073</t>
        </is>
      </c>
      <c r="D1608" s="29" t="inlineStr">
        <is>
          <t>GÜLSÜM GÖRGÜLÜ</t>
        </is>
      </c>
      <c r="E1608" s="4" t="inlineStr">
        <is>
          <t>Cumartesi</t>
        </is>
      </c>
      <c r="F1608" s="4" t="inlineStr">
        <is>
          <t>3.10.2026</t>
        </is>
      </c>
      <c r="G1608" s="4" t="inlineStr">
        <is>
          <t>07:35</t>
        </is>
      </c>
      <c r="H1608" s="4" t="inlineStr">
        <is>
          <t>3.10.2026</t>
        </is>
      </c>
      <c r="I1608" s="4" t="inlineStr">
        <is>
          <t>17:08</t>
        </is>
      </c>
      <c r="J1608" s="8" t="n">
        <v>7.5</v>
      </c>
      <c r="K1608" s="8" t="n">
        <v>7.5</v>
      </c>
      <c r="L1608" s="8" t="n">
        <v>0</v>
      </c>
      <c r="M1608" s="29" t="inlineStr">
        <is>
          <t>BİGADİÇ</t>
        </is>
      </c>
    </row>
    <row r="1609">
      <c r="A1609" s="4" t="n">
        <v>1608</v>
      </c>
      <c r="B1609" s="4" t="inlineStr">
        <is>
          <t>00073</t>
        </is>
      </c>
      <c r="C1609" s="4" t="inlineStr">
        <is>
          <t>00073</t>
        </is>
      </c>
      <c r="D1609" s="29" t="inlineStr">
        <is>
          <t>GÜLSÜM GÖRGÜLÜ</t>
        </is>
      </c>
      <c r="E1609" s="4" t="inlineStr">
        <is>
          <t>Pazartesi</t>
        </is>
      </c>
      <c r="F1609" s="4" t="inlineStr">
        <is>
          <t>5.10.2026</t>
        </is>
      </c>
      <c r="G1609" s="4" t="inlineStr">
        <is>
          <t>07:55</t>
        </is>
      </c>
      <c r="H1609" s="4" t="inlineStr">
        <is>
          <t>5.10.2026</t>
        </is>
      </c>
      <c r="I1609" s="4" t="inlineStr">
        <is>
          <t>17:09</t>
        </is>
      </c>
      <c r="J1609" s="8" t="n">
        <v>7.5</v>
      </c>
      <c r="K1609" s="8" t="n">
        <v>7.5</v>
      </c>
      <c r="L1609" s="8" t="n">
        <v>0</v>
      </c>
      <c r="M1609" s="29" t="inlineStr">
        <is>
          <t>BİGADİÇ</t>
        </is>
      </c>
    </row>
    <row r="1610">
      <c r="A1610" s="4" t="n">
        <v>1609</v>
      </c>
      <c r="B1610" s="4" t="inlineStr">
        <is>
          <t>00073</t>
        </is>
      </c>
      <c r="C1610" s="4" t="inlineStr">
        <is>
          <t>00073</t>
        </is>
      </c>
      <c r="D1610" s="29" t="inlineStr">
        <is>
          <t>GÜLSÜM GÖRGÜLÜ</t>
        </is>
      </c>
      <c r="E1610" s="4" t="inlineStr">
        <is>
          <t>Salı</t>
        </is>
      </c>
      <c r="F1610" s="4" t="inlineStr">
        <is>
          <t>6.10.2026</t>
        </is>
      </c>
      <c r="G1610" s="4" t="inlineStr">
        <is>
          <t>07:54</t>
        </is>
      </c>
      <c r="H1610" s="4" t="inlineStr">
        <is>
          <t>6.10.2026</t>
        </is>
      </c>
      <c r="I1610" s="4" t="inlineStr">
        <is>
          <t>17:09</t>
        </is>
      </c>
      <c r="J1610" s="8" t="n">
        <v>7.5</v>
      </c>
      <c r="K1610" s="8" t="n">
        <v>7.5</v>
      </c>
      <c r="L1610" s="8" t="n">
        <v>0</v>
      </c>
      <c r="M1610" s="29" t="inlineStr">
        <is>
          <t>BİGADİÇ</t>
        </is>
      </c>
    </row>
    <row r="1611">
      <c r="A1611" s="4" t="n">
        <v>1610</v>
      </c>
      <c r="B1611" s="4" t="inlineStr">
        <is>
          <t>00073</t>
        </is>
      </c>
      <c r="C1611" s="4" t="inlineStr">
        <is>
          <t>00073</t>
        </is>
      </c>
      <c r="D1611" s="29" t="inlineStr">
        <is>
          <t>GÜLSÜM GÖRGÜLÜ</t>
        </is>
      </c>
      <c r="E1611" s="4" t="inlineStr">
        <is>
          <t>Çarşamba</t>
        </is>
      </c>
      <c r="F1611" s="4" t="inlineStr">
        <is>
          <t>7.10.2026</t>
        </is>
      </c>
      <c r="G1611" s="4" t="inlineStr">
        <is>
          <t>07:57</t>
        </is>
      </c>
      <c r="H1611" s="4" t="inlineStr">
        <is>
          <t>7.10.2026</t>
        </is>
      </c>
      <c r="I1611" s="4" t="inlineStr">
        <is>
          <t>17:11</t>
        </is>
      </c>
      <c r="J1611" s="8" t="n">
        <v>7.5</v>
      </c>
      <c r="K1611" s="8" t="n">
        <v>7.5</v>
      </c>
      <c r="L1611" s="8" t="n">
        <v>0</v>
      </c>
      <c r="M1611" s="29" t="inlineStr">
        <is>
          <t>BİGADİÇ</t>
        </is>
      </c>
    </row>
    <row r="1612">
      <c r="A1612" s="4" t="n">
        <v>1611</v>
      </c>
      <c r="B1612" s="4" t="inlineStr">
        <is>
          <t>00073</t>
        </is>
      </c>
      <c r="C1612" s="4" t="inlineStr">
        <is>
          <t>00073</t>
        </is>
      </c>
      <c r="D1612" s="29" t="inlineStr">
        <is>
          <t>GÜLSÜM GÖRGÜLÜ</t>
        </is>
      </c>
      <c r="E1612" s="4" t="inlineStr">
        <is>
          <t>Perşembe</t>
        </is>
      </c>
      <c r="F1612" s="4" t="inlineStr">
        <is>
          <t>8.10.2026</t>
        </is>
      </c>
      <c r="G1612" s="4" t="inlineStr">
        <is>
          <t>07:59</t>
        </is>
      </c>
      <c r="H1612" s="4" t="inlineStr">
        <is>
          <t>8.10.2026</t>
        </is>
      </c>
      <c r="I1612" s="4" t="inlineStr">
        <is>
          <t>17:14</t>
        </is>
      </c>
      <c r="J1612" s="8" t="n">
        <v>7.5</v>
      </c>
      <c r="K1612" s="8" t="n">
        <v>7.5</v>
      </c>
      <c r="L1612" s="8" t="n">
        <v>0</v>
      </c>
      <c r="M1612" s="29" t="inlineStr">
        <is>
          <t>BİGADİÇ</t>
        </is>
      </c>
    </row>
    <row r="1613">
      <c r="A1613" s="4" t="n">
        <v>1612</v>
      </c>
      <c r="B1613" s="4" t="inlineStr">
        <is>
          <t>00073</t>
        </is>
      </c>
      <c r="C1613" s="4" t="inlineStr">
        <is>
          <t>00073</t>
        </is>
      </c>
      <c r="D1613" s="29" t="inlineStr">
        <is>
          <t>GÜLSÜM GÖRGÜLÜ</t>
        </is>
      </c>
      <c r="E1613" s="4" t="inlineStr">
        <is>
          <t>Cuma</t>
        </is>
      </c>
      <c r="F1613" s="4" t="inlineStr">
        <is>
          <t>9.10.2026</t>
        </is>
      </c>
      <c r="G1613" s="4" t="inlineStr">
        <is>
          <t>07:53</t>
        </is>
      </c>
      <c r="H1613" s="4" t="inlineStr">
        <is>
          <t>9.10.2026</t>
        </is>
      </c>
      <c r="I1613" s="4" t="inlineStr">
        <is>
          <t>17:14</t>
        </is>
      </c>
      <c r="J1613" s="8" t="n">
        <v>7.5</v>
      </c>
      <c r="K1613" s="8" t="n">
        <v>7.5</v>
      </c>
      <c r="L1613" s="8" t="n">
        <v>0</v>
      </c>
      <c r="M1613" s="29" t="inlineStr">
        <is>
          <t>BİGADİÇ</t>
        </is>
      </c>
    </row>
    <row r="1614">
      <c r="A1614" s="4" t="n">
        <v>1613</v>
      </c>
      <c r="B1614" s="4" t="inlineStr">
        <is>
          <t>00073</t>
        </is>
      </c>
      <c r="C1614" s="4" t="inlineStr">
        <is>
          <t>00073</t>
        </is>
      </c>
      <c r="D1614" s="29" t="inlineStr">
        <is>
          <t>GÜLSÜM GÖRGÜLÜ</t>
        </is>
      </c>
      <c r="E1614" s="4" t="inlineStr">
        <is>
          <t>Cumartesi</t>
        </is>
      </c>
      <c r="F1614" s="4" t="inlineStr">
        <is>
          <t>10.10.2026</t>
        </is>
      </c>
      <c r="G1614" s="4" t="inlineStr">
        <is>
          <t>07:54</t>
        </is>
      </c>
      <c r="H1614" s="4" t="inlineStr">
        <is>
          <t>10.10.2026</t>
        </is>
      </c>
      <c r="I1614" s="4" t="inlineStr">
        <is>
          <t>17:09</t>
        </is>
      </c>
      <c r="J1614" s="8" t="n">
        <v>7.5</v>
      </c>
      <c r="K1614" s="8" t="n">
        <v>7.5</v>
      </c>
      <c r="L1614" s="8" t="n">
        <v>0</v>
      </c>
      <c r="M1614" s="29" t="inlineStr">
        <is>
          <t>BİGADİÇ</t>
        </is>
      </c>
    </row>
    <row r="1615">
      <c r="A1615" s="4" t="n">
        <v>1614</v>
      </c>
      <c r="B1615" s="4" t="inlineStr">
        <is>
          <t>00073</t>
        </is>
      </c>
      <c r="C1615" s="4" t="inlineStr">
        <is>
          <t>00073</t>
        </is>
      </c>
      <c r="D1615" s="29" t="inlineStr">
        <is>
          <t>GÜLSÜM GÖRGÜLÜ</t>
        </is>
      </c>
      <c r="E1615" s="4" t="inlineStr">
        <is>
          <t>Pazartesi</t>
        </is>
      </c>
      <c r="F1615" s="4" t="inlineStr">
        <is>
          <t>12.10.2026</t>
        </is>
      </c>
      <c r="G1615" s="4" t="inlineStr">
        <is>
          <t>07:58</t>
        </is>
      </c>
      <c r="H1615" s="4" t="inlineStr">
        <is>
          <t>12.10.2026</t>
        </is>
      </c>
      <c r="I1615" s="4" t="inlineStr">
        <is>
          <t>18:08</t>
        </is>
      </c>
      <c r="J1615" s="8" t="n">
        <v>8.5</v>
      </c>
      <c r="K1615" s="8" t="n">
        <v>7.5</v>
      </c>
      <c r="L1615" s="8" t="n">
        <v>1</v>
      </c>
      <c r="M1615" s="29" t="inlineStr">
        <is>
          <t>BİGADİÇ</t>
        </is>
      </c>
    </row>
    <row r="1616">
      <c r="A1616" s="4" t="n">
        <v>1615</v>
      </c>
      <c r="B1616" s="4" t="inlineStr">
        <is>
          <t>00073</t>
        </is>
      </c>
      <c r="C1616" s="4" t="inlineStr">
        <is>
          <t>00073</t>
        </is>
      </c>
      <c r="D1616" s="29" t="inlineStr">
        <is>
          <t>GÜLSÜM GÖRGÜLÜ</t>
        </is>
      </c>
      <c r="E1616" s="4" t="inlineStr">
        <is>
          <t>Salı</t>
        </is>
      </c>
      <c r="F1616" s="4" t="inlineStr">
        <is>
          <t>13.10.2026</t>
        </is>
      </c>
      <c r="G1616" s="4" t="inlineStr">
        <is>
          <t>07:55</t>
        </is>
      </c>
      <c r="H1616" s="4" t="inlineStr">
        <is>
          <t>13.10.2026</t>
        </is>
      </c>
      <c r="I1616" s="4" t="inlineStr">
        <is>
          <t>17:11</t>
        </is>
      </c>
      <c r="J1616" s="8" t="n">
        <v>7.5</v>
      </c>
      <c r="K1616" s="8" t="n">
        <v>7.5</v>
      </c>
      <c r="L1616" s="8" t="n">
        <v>0</v>
      </c>
      <c r="M1616" s="29" t="inlineStr">
        <is>
          <t>BİGADİÇ</t>
        </is>
      </c>
    </row>
    <row r="1617">
      <c r="A1617" s="4" t="n">
        <v>1616</v>
      </c>
      <c r="B1617" s="4" t="inlineStr">
        <is>
          <t>00073</t>
        </is>
      </c>
      <c r="C1617" s="4" t="inlineStr">
        <is>
          <t>00073</t>
        </is>
      </c>
      <c r="D1617" s="29" t="inlineStr">
        <is>
          <t>GÜLSÜM GÖRGÜLÜ</t>
        </is>
      </c>
      <c r="E1617" s="4" t="inlineStr">
        <is>
          <t>Çarşamba</t>
        </is>
      </c>
      <c r="F1617" s="4" t="inlineStr">
        <is>
          <t>14.10.2026</t>
        </is>
      </c>
      <c r="G1617" s="4" t="inlineStr">
        <is>
          <t>07:59</t>
        </is>
      </c>
      <c r="H1617" s="4" t="inlineStr">
        <is>
          <t>14.10.2026</t>
        </is>
      </c>
      <c r="I1617" s="4" t="inlineStr">
        <is>
          <t>-</t>
        </is>
      </c>
      <c r="J1617" s="8" t="n">
        <v>7.5</v>
      </c>
      <c r="K1617" s="8" t="n">
        <v>7.5</v>
      </c>
      <c r="L1617" s="8" t="n">
        <v>0</v>
      </c>
      <c r="M1617" s="29" t="inlineStr">
        <is>
          <t>BİGADİÇ</t>
        </is>
      </c>
    </row>
    <row r="1618">
      <c r="A1618" s="4" t="n">
        <v>1617</v>
      </c>
      <c r="B1618" s="4" t="inlineStr">
        <is>
          <t>00073</t>
        </is>
      </c>
      <c r="C1618" s="4" t="inlineStr">
        <is>
          <t>00073</t>
        </is>
      </c>
      <c r="D1618" s="29" t="inlineStr">
        <is>
          <t>GÜLSÜM GÖRGÜLÜ</t>
        </is>
      </c>
      <c r="E1618" s="4" t="inlineStr">
        <is>
          <t>Perşembe</t>
        </is>
      </c>
      <c r="F1618" s="4" t="inlineStr">
        <is>
          <t>15.10.2026</t>
        </is>
      </c>
      <c r="G1618" s="4" t="inlineStr">
        <is>
          <t>08:02</t>
        </is>
      </c>
      <c r="H1618" s="4" t="inlineStr">
        <is>
          <t>15.10.2026</t>
        </is>
      </c>
      <c r="I1618" s="4" t="inlineStr">
        <is>
          <t>17:21</t>
        </is>
      </c>
      <c r="J1618" s="8" t="n">
        <v>8</v>
      </c>
      <c r="K1618" s="8" t="n">
        <v>7.5</v>
      </c>
      <c r="L1618" s="8" t="n">
        <v>0.5</v>
      </c>
      <c r="M1618" s="29" t="inlineStr">
        <is>
          <t>BİGADİÇ</t>
        </is>
      </c>
    </row>
    <row r="1619">
      <c r="A1619" s="4" t="n">
        <v>1618</v>
      </c>
      <c r="B1619" s="4" t="inlineStr">
        <is>
          <t>00073</t>
        </is>
      </c>
      <c r="C1619" s="4" t="inlineStr">
        <is>
          <t>00073</t>
        </is>
      </c>
      <c r="D1619" s="29" t="inlineStr">
        <is>
          <t>GÜLSÜM GÖRGÜLÜ</t>
        </is>
      </c>
      <c r="E1619" s="4" t="inlineStr">
        <is>
          <t>Cuma</t>
        </is>
      </c>
      <c r="F1619" s="4" t="inlineStr">
        <is>
          <t>16.10.2026</t>
        </is>
      </c>
      <c r="G1619" s="4" t="inlineStr">
        <is>
          <t>07:54</t>
        </is>
      </c>
      <c r="H1619" s="4" t="inlineStr">
        <is>
          <t>16.10.2026</t>
        </is>
      </c>
      <c r="I1619" s="4" t="inlineStr">
        <is>
          <t>17:11</t>
        </is>
      </c>
      <c r="J1619" s="8" t="n">
        <v>7.5</v>
      </c>
      <c r="K1619" s="8" t="n">
        <v>7.5</v>
      </c>
      <c r="L1619" s="8" t="n">
        <v>0</v>
      </c>
      <c r="M1619" s="29" t="inlineStr">
        <is>
          <t>BİGADİÇ</t>
        </is>
      </c>
    </row>
    <row r="1620">
      <c r="A1620" s="4" t="n">
        <v>1619</v>
      </c>
      <c r="B1620" s="4" t="inlineStr">
        <is>
          <t>00073</t>
        </is>
      </c>
      <c r="C1620" s="4" t="inlineStr">
        <is>
          <t>00073</t>
        </is>
      </c>
      <c r="D1620" s="29" t="inlineStr">
        <is>
          <t>GÜLSÜM GÖRGÜLÜ</t>
        </is>
      </c>
      <c r="E1620" s="4" t="inlineStr">
        <is>
          <t>Cumartesi</t>
        </is>
      </c>
      <c r="F1620" s="4" t="inlineStr">
        <is>
          <t>17.10.2026</t>
        </is>
      </c>
      <c r="G1620" s="4" t="inlineStr">
        <is>
          <t>07:51</t>
        </is>
      </c>
      <c r="H1620" s="4" t="inlineStr">
        <is>
          <t>17.10.2026</t>
        </is>
      </c>
      <c r="I1620" s="4" t="inlineStr">
        <is>
          <t>17:12</t>
        </is>
      </c>
      <c r="J1620" s="8" t="n">
        <v>7.5</v>
      </c>
      <c r="K1620" s="8" t="n">
        <v>7.5</v>
      </c>
      <c r="L1620" s="8" t="n">
        <v>0</v>
      </c>
      <c r="M1620" s="29" t="inlineStr">
        <is>
          <t>BİGADİÇ</t>
        </is>
      </c>
    </row>
    <row r="1621">
      <c r="A1621" s="4" t="n">
        <v>1620</v>
      </c>
      <c r="B1621" s="4" t="inlineStr">
        <is>
          <t>00073</t>
        </is>
      </c>
      <c r="C1621" s="4" t="inlineStr">
        <is>
          <t>00073</t>
        </is>
      </c>
      <c r="D1621" s="29" t="inlineStr">
        <is>
          <t>GÜLSÜM GÖRGÜLÜ</t>
        </is>
      </c>
      <c r="E1621" s="4" t="inlineStr">
        <is>
          <t>Pazar</t>
        </is>
      </c>
      <c r="F1621" s="4" t="inlineStr">
        <is>
          <t>18.10.2026</t>
        </is>
      </c>
      <c r="G1621" s="4" t="inlineStr">
        <is>
          <t>08:10</t>
        </is>
      </c>
      <c r="H1621" s="4" t="inlineStr">
        <is>
          <t>18.10.2026</t>
        </is>
      </c>
      <c r="I1621" s="4" t="inlineStr">
        <is>
          <t>17:08</t>
        </is>
      </c>
      <c r="J1621" s="8" t="n">
        <v>7.5</v>
      </c>
      <c r="K1621" s="8" t="n">
        <v>7.5</v>
      </c>
      <c r="L1621" s="8" t="n">
        <v>0</v>
      </c>
      <c r="M1621" s="29" t="inlineStr">
        <is>
          <t>BİGADİÇ</t>
        </is>
      </c>
    </row>
    <row r="1622">
      <c r="A1622" s="4" t="n">
        <v>1621</v>
      </c>
      <c r="B1622" s="4" t="inlineStr">
        <is>
          <t>00073</t>
        </is>
      </c>
      <c r="C1622" s="4" t="inlineStr">
        <is>
          <t>00073</t>
        </is>
      </c>
      <c r="D1622" s="29" t="inlineStr">
        <is>
          <t>GÜLSÜM GÖRGÜLÜ</t>
        </is>
      </c>
      <c r="E1622" s="4" t="inlineStr">
        <is>
          <t>Pazartesi</t>
        </is>
      </c>
      <c r="F1622" s="4" t="inlineStr">
        <is>
          <t>19.10.2026</t>
        </is>
      </c>
      <c r="G1622" s="4" t="inlineStr">
        <is>
          <t>07:54</t>
        </is>
      </c>
      <c r="H1622" s="4" t="inlineStr">
        <is>
          <t>19.10.2026</t>
        </is>
      </c>
      <c r="I1622" s="4" t="inlineStr">
        <is>
          <t>17:13</t>
        </is>
      </c>
      <c r="J1622" s="8" t="n">
        <v>7.5</v>
      </c>
      <c r="K1622" s="8" t="n">
        <v>7.5</v>
      </c>
      <c r="L1622" s="8" t="n">
        <v>0</v>
      </c>
      <c r="M1622" s="29" t="inlineStr">
        <is>
          <t>BİGADİÇ</t>
        </is>
      </c>
    </row>
    <row r="1623">
      <c r="A1623" s="4" t="n">
        <v>1622</v>
      </c>
      <c r="B1623" s="4" t="inlineStr">
        <is>
          <t>00073</t>
        </is>
      </c>
      <c r="C1623" s="4" t="inlineStr">
        <is>
          <t>00073</t>
        </is>
      </c>
      <c r="D1623" s="29" t="inlineStr">
        <is>
          <t>GÜLSÜM GÖRGÜLÜ</t>
        </is>
      </c>
      <c r="E1623" s="4" t="inlineStr">
        <is>
          <t>Salı</t>
        </is>
      </c>
      <c r="F1623" s="4" t="inlineStr">
        <is>
          <t>20.10.2026</t>
        </is>
      </c>
      <c r="G1623" s="4" t="inlineStr">
        <is>
          <t>08:19</t>
        </is>
      </c>
      <c r="H1623" s="4" t="inlineStr">
        <is>
          <t>20.10.2026</t>
        </is>
      </c>
      <c r="I1623" s="4" t="inlineStr">
        <is>
          <t>17:18</t>
        </is>
      </c>
      <c r="J1623" s="8" t="n">
        <v>7.5</v>
      </c>
      <c r="K1623" s="8" t="n">
        <v>7.5</v>
      </c>
      <c r="L1623" s="8" t="n">
        <v>0</v>
      </c>
      <c r="M1623" s="29" t="inlineStr">
        <is>
          <t>BİGADİÇ</t>
        </is>
      </c>
    </row>
    <row r="1624">
      <c r="A1624" s="4" t="n">
        <v>1623</v>
      </c>
      <c r="B1624" s="4" t="inlineStr">
        <is>
          <t>00073</t>
        </is>
      </c>
      <c r="C1624" s="4" t="inlineStr">
        <is>
          <t>00073</t>
        </is>
      </c>
      <c r="D1624" s="29" t="inlineStr">
        <is>
          <t>GÜLSÜM GÖRGÜLÜ</t>
        </is>
      </c>
      <c r="E1624" s="4" t="inlineStr">
        <is>
          <t>Çarşamba</t>
        </is>
      </c>
      <c r="F1624" s="4" t="inlineStr">
        <is>
          <t>21.10.2026</t>
        </is>
      </c>
      <c r="G1624" s="4" t="inlineStr">
        <is>
          <t>08:00</t>
        </is>
      </c>
      <c r="H1624" s="4" t="inlineStr">
        <is>
          <t>21.10.2026</t>
        </is>
      </c>
      <c r="I1624" s="4" t="inlineStr">
        <is>
          <t>17:07</t>
        </is>
      </c>
      <c r="J1624" s="8" t="n">
        <v>7.5</v>
      </c>
      <c r="K1624" s="8" t="n">
        <v>7.5</v>
      </c>
      <c r="L1624" s="8" t="n">
        <v>0</v>
      </c>
      <c r="M1624" s="29" t="inlineStr">
        <is>
          <t>BİGADİÇ</t>
        </is>
      </c>
    </row>
    <row r="1625">
      <c r="A1625" s="4" t="n">
        <v>1624</v>
      </c>
      <c r="B1625" s="4" t="inlineStr">
        <is>
          <t>01419</t>
        </is>
      </c>
      <c r="C1625" s="4" t="inlineStr">
        <is>
          <t>01419</t>
        </is>
      </c>
      <c r="D1625" s="29" t="inlineStr">
        <is>
          <t>GÜLSÜM KARACA</t>
        </is>
      </c>
      <c r="E1625" s="4" t="inlineStr">
        <is>
          <t>Cuma</t>
        </is>
      </c>
      <c r="F1625" s="4" t="inlineStr">
        <is>
          <t>2.10.2026</t>
        </is>
      </c>
      <c r="G1625" s="4" t="inlineStr">
        <is>
          <t>19:45</t>
        </is>
      </c>
      <c r="H1625" s="4" t="inlineStr">
        <is>
          <t>2.10.2026</t>
        </is>
      </c>
      <c r="I1625" s="4" t="inlineStr">
        <is>
          <t>07:54</t>
        </is>
      </c>
      <c r="J1625" s="8" t="n">
        <v>10.5</v>
      </c>
      <c r="K1625" s="8" t="n">
        <v>7.5</v>
      </c>
      <c r="L1625" s="8" t="n">
        <v>3</v>
      </c>
      <c r="M1625" s="29" t="inlineStr">
        <is>
          <t>HALİL DİĞRENCİ</t>
        </is>
      </c>
    </row>
    <row r="1626">
      <c r="A1626" s="4" t="n">
        <v>1625</v>
      </c>
      <c r="B1626" s="4" t="inlineStr">
        <is>
          <t>01419</t>
        </is>
      </c>
      <c r="C1626" s="4" t="inlineStr">
        <is>
          <t>01419</t>
        </is>
      </c>
      <c r="D1626" s="29" t="inlineStr">
        <is>
          <t>GÜLSÜM KARACA</t>
        </is>
      </c>
      <c r="E1626" s="4" t="inlineStr">
        <is>
          <t>Cumartesi</t>
        </is>
      </c>
      <c r="F1626" s="4" t="inlineStr">
        <is>
          <t>3.10.2026</t>
        </is>
      </c>
      <c r="G1626" s="4" t="inlineStr">
        <is>
          <t>19:53</t>
        </is>
      </c>
      <c r="H1626" s="4" t="inlineStr">
        <is>
          <t>3.10.2026</t>
        </is>
      </c>
      <c r="I1626" s="4" t="inlineStr">
        <is>
          <t>07:56</t>
        </is>
      </c>
      <c r="J1626" s="8" t="n">
        <v>10.5</v>
      </c>
      <c r="K1626" s="8" t="n">
        <v>7.5</v>
      </c>
      <c r="L1626" s="8" t="n">
        <v>3</v>
      </c>
      <c r="M1626" s="29" t="inlineStr">
        <is>
          <t>HALİL DİĞRENCİ</t>
        </is>
      </c>
    </row>
    <row r="1627">
      <c r="A1627" s="4" t="n">
        <v>1626</v>
      </c>
      <c r="B1627" s="4" t="inlineStr">
        <is>
          <t>01419</t>
        </is>
      </c>
      <c r="C1627" s="4" t="inlineStr">
        <is>
          <t>01419</t>
        </is>
      </c>
      <c r="D1627" s="29" t="inlineStr">
        <is>
          <t>GÜLSÜM KARACA</t>
        </is>
      </c>
      <c r="E1627" s="4" t="inlineStr">
        <is>
          <t>Pazartesi</t>
        </is>
      </c>
      <c r="F1627" s="4" t="inlineStr">
        <is>
          <t>5.10.2026</t>
        </is>
      </c>
      <c r="G1627" s="4" t="inlineStr">
        <is>
          <t>19:57</t>
        </is>
      </c>
      <c r="H1627" s="4" t="inlineStr">
        <is>
          <t>5.10.2026</t>
        </is>
      </c>
      <c r="I1627" s="4" t="inlineStr">
        <is>
          <t>07:50</t>
        </is>
      </c>
      <c r="J1627" s="8" t="n">
        <v>10.5</v>
      </c>
      <c r="K1627" s="8" t="n">
        <v>7.5</v>
      </c>
      <c r="L1627" s="8" t="n">
        <v>3</v>
      </c>
      <c r="M1627" s="29" t="inlineStr">
        <is>
          <t>HALİL DİĞRENCİ</t>
        </is>
      </c>
    </row>
    <row r="1628">
      <c r="A1628" s="4" t="n">
        <v>1627</v>
      </c>
      <c r="B1628" s="4" t="inlineStr">
        <is>
          <t>01419</t>
        </is>
      </c>
      <c r="C1628" s="4" t="inlineStr">
        <is>
          <t>01419</t>
        </is>
      </c>
      <c r="D1628" s="29" t="inlineStr">
        <is>
          <t>GÜLSÜM KARACA</t>
        </is>
      </c>
      <c r="E1628" s="4" t="inlineStr">
        <is>
          <t>Salı</t>
        </is>
      </c>
      <c r="F1628" s="4" t="inlineStr">
        <is>
          <t>6.10.2026</t>
        </is>
      </c>
      <c r="G1628" s="4" t="inlineStr">
        <is>
          <t>19:47</t>
        </is>
      </c>
      <c r="H1628" s="4" t="inlineStr">
        <is>
          <t>6.10.2026</t>
        </is>
      </c>
      <c r="I1628" s="4" t="inlineStr">
        <is>
          <t>08:00</t>
        </is>
      </c>
      <c r="J1628" s="8" t="n">
        <v>10.5</v>
      </c>
      <c r="K1628" s="8" t="n">
        <v>7.5</v>
      </c>
      <c r="L1628" s="8" t="n">
        <v>3</v>
      </c>
      <c r="M1628" s="29" t="inlineStr">
        <is>
          <t>HALİL DİĞRENCİ</t>
        </is>
      </c>
    </row>
    <row r="1629">
      <c r="A1629" s="4" t="n">
        <v>1628</v>
      </c>
      <c r="B1629" s="4" t="inlineStr">
        <is>
          <t>01419</t>
        </is>
      </c>
      <c r="C1629" s="4" t="inlineStr">
        <is>
          <t>01419</t>
        </is>
      </c>
      <c r="D1629" s="29" t="inlineStr">
        <is>
          <t>GÜLSÜM KARACA</t>
        </is>
      </c>
      <c r="E1629" s="4" t="inlineStr">
        <is>
          <t>Çarşamba</t>
        </is>
      </c>
      <c r="F1629" s="4" t="inlineStr">
        <is>
          <t>7.10.2026</t>
        </is>
      </c>
      <c r="G1629" s="4" t="inlineStr">
        <is>
          <t>19:56</t>
        </is>
      </c>
      <c r="H1629" s="4" t="inlineStr">
        <is>
          <t>7.10.2026</t>
        </is>
      </c>
      <c r="I1629" s="4" t="inlineStr">
        <is>
          <t>07:55</t>
        </is>
      </c>
      <c r="J1629" s="8" t="n">
        <v>10.5</v>
      </c>
      <c r="K1629" s="8" t="n">
        <v>7.5</v>
      </c>
      <c r="L1629" s="8" t="n">
        <v>3</v>
      </c>
      <c r="M1629" s="29" t="inlineStr">
        <is>
          <t>HALİL DİĞRENCİ</t>
        </is>
      </c>
    </row>
    <row r="1630">
      <c r="A1630" s="4" t="n">
        <v>1629</v>
      </c>
      <c r="B1630" s="4" t="inlineStr">
        <is>
          <t>01419</t>
        </is>
      </c>
      <c r="C1630" s="4" t="inlineStr">
        <is>
          <t>01419</t>
        </is>
      </c>
      <c r="D1630" s="29" t="inlineStr">
        <is>
          <t>GÜLSÜM KARACA</t>
        </is>
      </c>
      <c r="E1630" s="4" t="inlineStr">
        <is>
          <t>Perşembe</t>
        </is>
      </c>
      <c r="F1630" s="4" t="inlineStr">
        <is>
          <t>8.10.2026</t>
        </is>
      </c>
      <c r="G1630" s="4" t="inlineStr">
        <is>
          <t>19:58</t>
        </is>
      </c>
      <c r="H1630" s="4" t="inlineStr">
        <is>
          <t>8.10.2026</t>
        </is>
      </c>
      <c r="I1630" s="4" t="inlineStr">
        <is>
          <t>07:56</t>
        </is>
      </c>
      <c r="J1630" s="8" t="n">
        <v>10.5</v>
      </c>
      <c r="K1630" s="8" t="n">
        <v>7.5</v>
      </c>
      <c r="L1630" s="8" t="n">
        <v>3</v>
      </c>
      <c r="M1630" s="29" t="inlineStr">
        <is>
          <t>HALİL DİĞRENCİ</t>
        </is>
      </c>
    </row>
    <row r="1631">
      <c r="A1631" s="4" t="n">
        <v>1630</v>
      </c>
      <c r="B1631" s="4" t="inlineStr">
        <is>
          <t>01419</t>
        </is>
      </c>
      <c r="C1631" s="4" t="inlineStr">
        <is>
          <t>01419</t>
        </is>
      </c>
      <c r="D1631" s="29" t="inlineStr">
        <is>
          <t>GÜLSÜM KARACA</t>
        </is>
      </c>
      <c r="E1631" s="4" t="inlineStr">
        <is>
          <t>Cuma</t>
        </is>
      </c>
      <c r="F1631" s="4" t="inlineStr">
        <is>
          <t>9.10.2026</t>
        </is>
      </c>
      <c r="G1631" s="4" t="inlineStr">
        <is>
          <t>20:05</t>
        </is>
      </c>
      <c r="H1631" s="4" t="inlineStr">
        <is>
          <t>9.10.2026</t>
        </is>
      </c>
      <c r="I1631" s="4" t="inlineStr">
        <is>
          <t>08:05</t>
        </is>
      </c>
      <c r="J1631" s="8" t="n">
        <v>10.5</v>
      </c>
      <c r="K1631" s="8" t="n">
        <v>7.5</v>
      </c>
      <c r="L1631" s="8" t="n">
        <v>3</v>
      </c>
      <c r="M1631" s="29" t="inlineStr">
        <is>
          <t>HALİL DİĞRENCİ</t>
        </is>
      </c>
    </row>
    <row r="1632">
      <c r="A1632" s="4" t="n">
        <v>1631</v>
      </c>
      <c r="B1632" s="4" t="inlineStr">
        <is>
          <t>01419</t>
        </is>
      </c>
      <c r="C1632" s="4" t="inlineStr">
        <is>
          <t>01419</t>
        </is>
      </c>
      <c r="D1632" s="29" t="inlineStr">
        <is>
          <t>GÜLSÜM KARACA</t>
        </is>
      </c>
      <c r="E1632" s="4" t="inlineStr">
        <is>
          <t>Cumartesi</t>
        </is>
      </c>
      <c r="F1632" s="4" t="inlineStr">
        <is>
          <t>10.10.2026</t>
        </is>
      </c>
      <c r="G1632" s="4" t="inlineStr">
        <is>
          <t>20:11</t>
        </is>
      </c>
      <c r="H1632" s="4" t="inlineStr">
        <is>
          <t>10.10.2026</t>
        </is>
      </c>
      <c r="I1632" s="4" t="inlineStr">
        <is>
          <t>08:08</t>
        </is>
      </c>
      <c r="J1632" s="8" t="n">
        <v>10.5</v>
      </c>
      <c r="K1632" s="8" t="n">
        <v>7.5</v>
      </c>
      <c r="L1632" s="8" t="n">
        <v>3</v>
      </c>
      <c r="M1632" s="29" t="inlineStr">
        <is>
          <t>HALİL DİĞRENCİ</t>
        </is>
      </c>
    </row>
    <row r="1633">
      <c r="A1633" s="4" t="n">
        <v>1632</v>
      </c>
      <c r="B1633" s="4" t="inlineStr">
        <is>
          <t>01419</t>
        </is>
      </c>
      <c r="C1633" s="4" t="inlineStr">
        <is>
          <t>01419</t>
        </is>
      </c>
      <c r="D1633" s="29" t="inlineStr">
        <is>
          <t>GÜLSÜM KARACA</t>
        </is>
      </c>
      <c r="E1633" s="4" t="inlineStr">
        <is>
          <t>Pazartesi</t>
        </is>
      </c>
      <c r="F1633" s="4" t="inlineStr">
        <is>
          <t>12.10.2026</t>
        </is>
      </c>
      <c r="G1633" s="4" t="inlineStr">
        <is>
          <t>20:01</t>
        </is>
      </c>
      <c r="H1633" s="4" t="inlineStr">
        <is>
          <t>12.10.2026</t>
        </is>
      </c>
      <c r="I1633" s="4" t="inlineStr">
        <is>
          <t>07:54</t>
        </is>
      </c>
      <c r="J1633" s="8" t="n">
        <v>10.5</v>
      </c>
      <c r="K1633" s="8" t="n">
        <v>7.5</v>
      </c>
      <c r="L1633" s="8" t="n">
        <v>3</v>
      </c>
      <c r="M1633" s="29" t="inlineStr">
        <is>
          <t>HALİL DİĞRENCİ</t>
        </is>
      </c>
    </row>
    <row r="1634">
      <c r="A1634" s="4" t="n">
        <v>1633</v>
      </c>
      <c r="B1634" s="4" t="inlineStr">
        <is>
          <t>01419</t>
        </is>
      </c>
      <c r="C1634" s="4" t="inlineStr">
        <is>
          <t>01419</t>
        </is>
      </c>
      <c r="D1634" s="29" t="inlineStr">
        <is>
          <t>GÜLSÜM KARACA</t>
        </is>
      </c>
      <c r="E1634" s="4" t="inlineStr">
        <is>
          <t>Salı</t>
        </is>
      </c>
      <c r="F1634" s="4" t="inlineStr">
        <is>
          <t>13.10.2026</t>
        </is>
      </c>
      <c r="G1634" s="4" t="inlineStr">
        <is>
          <t>19:59</t>
        </is>
      </c>
      <c r="H1634" s="4" t="inlineStr">
        <is>
          <t>13.10.2026</t>
        </is>
      </c>
      <c r="I1634" s="4" t="inlineStr">
        <is>
          <t>07:55</t>
        </is>
      </c>
      <c r="J1634" s="8" t="n">
        <v>10.5</v>
      </c>
      <c r="K1634" s="8" t="n">
        <v>7.5</v>
      </c>
      <c r="L1634" s="8" t="n">
        <v>3</v>
      </c>
      <c r="M1634" s="29" t="inlineStr">
        <is>
          <t>HALİL DİĞRENCİ</t>
        </is>
      </c>
    </row>
    <row r="1635">
      <c r="A1635" s="4" t="n">
        <v>1634</v>
      </c>
      <c r="B1635" s="4" t="inlineStr">
        <is>
          <t>01419</t>
        </is>
      </c>
      <c r="C1635" s="4" t="inlineStr">
        <is>
          <t>01419</t>
        </is>
      </c>
      <c r="D1635" s="29" t="inlineStr">
        <is>
          <t>GÜLSÜM KARACA</t>
        </is>
      </c>
      <c r="E1635" s="4" t="inlineStr">
        <is>
          <t>Çarşamba</t>
        </is>
      </c>
      <c r="F1635" s="4" t="inlineStr">
        <is>
          <t>14.10.2026</t>
        </is>
      </c>
      <c r="G1635" s="4" t="inlineStr">
        <is>
          <t>20:14</t>
        </is>
      </c>
      <c r="H1635" s="4" t="inlineStr">
        <is>
          <t>14.10.2026</t>
        </is>
      </c>
      <c r="I1635" s="4" t="inlineStr">
        <is>
          <t>07:58</t>
        </is>
      </c>
      <c r="J1635" s="8" t="n">
        <v>10.5</v>
      </c>
      <c r="K1635" s="8" t="n">
        <v>7.5</v>
      </c>
      <c r="L1635" s="8" t="n">
        <v>3</v>
      </c>
      <c r="M1635" s="29" t="inlineStr">
        <is>
          <t>HALİL DİĞRENCİ</t>
        </is>
      </c>
    </row>
    <row r="1636">
      <c r="A1636" s="4" t="n">
        <v>1635</v>
      </c>
      <c r="B1636" s="4" t="inlineStr">
        <is>
          <t>01419</t>
        </is>
      </c>
      <c r="C1636" s="4" t="inlineStr">
        <is>
          <t>01419</t>
        </is>
      </c>
      <c r="D1636" s="29" t="inlineStr">
        <is>
          <t>GÜLSÜM KARACA</t>
        </is>
      </c>
      <c r="E1636" s="4" t="inlineStr">
        <is>
          <t>Perşembe</t>
        </is>
      </c>
      <c r="F1636" s="4" t="inlineStr">
        <is>
          <t>15.10.2026</t>
        </is>
      </c>
      <c r="G1636" s="4" t="inlineStr">
        <is>
          <t>20:10</t>
        </is>
      </c>
      <c r="H1636" s="4" t="inlineStr">
        <is>
          <t>15.10.2026</t>
        </is>
      </c>
      <c r="I1636" s="4" t="inlineStr">
        <is>
          <t>07:55</t>
        </is>
      </c>
      <c r="J1636" s="8" t="n">
        <v>10.5</v>
      </c>
      <c r="K1636" s="8" t="n">
        <v>7.5</v>
      </c>
      <c r="L1636" s="8" t="n">
        <v>3</v>
      </c>
      <c r="M1636" s="29" t="inlineStr">
        <is>
          <t>HALİL DİĞRENCİ</t>
        </is>
      </c>
    </row>
    <row r="1637">
      <c r="A1637" s="4" t="n">
        <v>1636</v>
      </c>
      <c r="B1637" s="4" t="inlineStr">
        <is>
          <t>01419</t>
        </is>
      </c>
      <c r="C1637" s="4" t="inlineStr">
        <is>
          <t>01419</t>
        </is>
      </c>
      <c r="D1637" s="29" t="inlineStr">
        <is>
          <t>GÜLSÜM KARACA</t>
        </is>
      </c>
      <c r="E1637" s="4" t="inlineStr">
        <is>
          <t>Pazartesi</t>
        </is>
      </c>
      <c r="F1637" s="4" t="inlineStr">
        <is>
          <t>19.10.2026</t>
        </is>
      </c>
      <c r="G1637" s="4" t="inlineStr">
        <is>
          <t>19:45</t>
        </is>
      </c>
      <c r="H1637" s="4" t="inlineStr">
        <is>
          <t>19.10.2026</t>
        </is>
      </c>
      <c r="I1637" s="4" t="inlineStr">
        <is>
          <t>07:56</t>
        </is>
      </c>
      <c r="J1637" s="8" t="n">
        <v>10.5</v>
      </c>
      <c r="K1637" s="8" t="n">
        <v>7.5</v>
      </c>
      <c r="L1637" s="8" t="n">
        <v>3</v>
      </c>
      <c r="M1637" s="29" t="inlineStr">
        <is>
          <t>HALİL DİĞRENCİ</t>
        </is>
      </c>
    </row>
    <row r="1638">
      <c r="A1638" s="4" t="n">
        <v>1637</v>
      </c>
      <c r="B1638" s="4" t="inlineStr">
        <is>
          <t>00071</t>
        </is>
      </c>
      <c r="C1638" s="4" t="inlineStr">
        <is>
          <t>00071</t>
        </is>
      </c>
      <c r="D1638" s="29" t="inlineStr">
        <is>
          <t>GÜLTEN GİDER</t>
        </is>
      </c>
      <c r="E1638" s="4" t="inlineStr">
        <is>
          <t>Perşembe</t>
        </is>
      </c>
      <c r="F1638" s="4" t="inlineStr">
        <is>
          <t>1.10.2026</t>
        </is>
      </c>
      <c r="G1638" s="4" t="inlineStr">
        <is>
          <t>07:55</t>
        </is>
      </c>
      <c r="H1638" s="4" t="inlineStr">
        <is>
          <t>1.10.2026</t>
        </is>
      </c>
      <c r="I1638" s="4" t="inlineStr">
        <is>
          <t>17:10</t>
        </is>
      </c>
      <c r="J1638" s="8" t="n">
        <v>7.5</v>
      </c>
      <c r="K1638" s="8" t="n">
        <v>7.5</v>
      </c>
      <c r="L1638" s="8" t="n">
        <v>0</v>
      </c>
      <c r="M1638" s="29" t="inlineStr">
        <is>
          <t>BİGADİÇ</t>
        </is>
      </c>
    </row>
    <row r="1639">
      <c r="A1639" s="4" t="n">
        <v>1638</v>
      </c>
      <c r="B1639" s="4" t="inlineStr">
        <is>
          <t>00071</t>
        </is>
      </c>
      <c r="C1639" s="4" t="inlineStr">
        <is>
          <t>00071</t>
        </is>
      </c>
      <c r="D1639" s="29" t="inlineStr">
        <is>
          <t>GÜLTEN GİDER</t>
        </is>
      </c>
      <c r="E1639" s="4" t="inlineStr">
        <is>
          <t>Cuma</t>
        </is>
      </c>
      <c r="F1639" s="4" t="inlineStr">
        <is>
          <t>2.10.2026</t>
        </is>
      </c>
      <c r="G1639" s="4" t="inlineStr">
        <is>
          <t>07:55</t>
        </is>
      </c>
      <c r="H1639" s="4" t="inlineStr">
        <is>
          <t>2.10.2026</t>
        </is>
      </c>
      <c r="I1639" s="4" t="inlineStr">
        <is>
          <t>17:13</t>
        </is>
      </c>
      <c r="J1639" s="8" t="n">
        <v>7.5</v>
      </c>
      <c r="K1639" s="8" t="n">
        <v>7.5</v>
      </c>
      <c r="L1639" s="8" t="n">
        <v>0</v>
      </c>
      <c r="M1639" s="29" t="inlineStr">
        <is>
          <t>BİGADİÇ</t>
        </is>
      </c>
    </row>
    <row r="1640">
      <c r="A1640" s="4" t="n">
        <v>1639</v>
      </c>
      <c r="B1640" s="4" t="inlineStr">
        <is>
          <t>00071</t>
        </is>
      </c>
      <c r="C1640" s="4" t="inlineStr">
        <is>
          <t>00071</t>
        </is>
      </c>
      <c r="D1640" s="29" t="inlineStr">
        <is>
          <t>GÜLTEN GİDER</t>
        </is>
      </c>
      <c r="E1640" s="4" t="inlineStr">
        <is>
          <t>Cumartesi</t>
        </is>
      </c>
      <c r="F1640" s="4" t="inlineStr">
        <is>
          <t>3.10.2026</t>
        </is>
      </c>
      <c r="G1640" s="4" t="inlineStr">
        <is>
          <t>07:35</t>
        </is>
      </c>
      <c r="H1640" s="4" t="inlineStr">
        <is>
          <t>3.10.2026</t>
        </is>
      </c>
      <c r="I1640" s="4" t="inlineStr">
        <is>
          <t>17:10</t>
        </is>
      </c>
      <c r="J1640" s="8" t="n">
        <v>7.5</v>
      </c>
      <c r="K1640" s="8" t="n">
        <v>7.5</v>
      </c>
      <c r="L1640" s="8" t="n">
        <v>0</v>
      </c>
      <c r="M1640" s="29" t="inlineStr">
        <is>
          <t>BİGADİÇ</t>
        </is>
      </c>
    </row>
    <row r="1641">
      <c r="A1641" s="4" t="n">
        <v>1640</v>
      </c>
      <c r="B1641" s="4" t="inlineStr">
        <is>
          <t>00071</t>
        </is>
      </c>
      <c r="C1641" s="4" t="inlineStr">
        <is>
          <t>00071</t>
        </is>
      </c>
      <c r="D1641" s="29" t="inlineStr">
        <is>
          <t>GÜLTEN GİDER</t>
        </is>
      </c>
      <c r="E1641" s="4" t="inlineStr">
        <is>
          <t>Pazartesi</t>
        </is>
      </c>
      <c r="F1641" s="4" t="inlineStr">
        <is>
          <t>5.10.2026</t>
        </is>
      </c>
      <c r="G1641" s="4" t="inlineStr">
        <is>
          <t>07:55</t>
        </is>
      </c>
      <c r="H1641" s="4" t="inlineStr">
        <is>
          <t>5.10.2026</t>
        </is>
      </c>
      <c r="I1641" s="4" t="inlineStr">
        <is>
          <t>17:11</t>
        </is>
      </c>
      <c r="J1641" s="8" t="n">
        <v>7.5</v>
      </c>
      <c r="K1641" s="8" t="n">
        <v>7.5</v>
      </c>
      <c r="L1641" s="8" t="n">
        <v>0</v>
      </c>
      <c r="M1641" s="29" t="inlineStr">
        <is>
          <t>BİGADİÇ</t>
        </is>
      </c>
    </row>
    <row r="1642">
      <c r="A1642" s="4" t="n">
        <v>1641</v>
      </c>
      <c r="B1642" s="4" t="inlineStr">
        <is>
          <t>00071</t>
        </is>
      </c>
      <c r="C1642" s="4" t="inlineStr">
        <is>
          <t>00071</t>
        </is>
      </c>
      <c r="D1642" s="29" t="inlineStr">
        <is>
          <t>GÜLTEN GİDER</t>
        </is>
      </c>
      <c r="E1642" s="4" t="inlineStr">
        <is>
          <t>Salı</t>
        </is>
      </c>
      <c r="F1642" s="4" t="inlineStr">
        <is>
          <t>6.10.2026</t>
        </is>
      </c>
      <c r="G1642" s="4" t="inlineStr">
        <is>
          <t>07:54</t>
        </is>
      </c>
      <c r="H1642" s="4" t="inlineStr">
        <is>
          <t>6.10.2026</t>
        </is>
      </c>
      <c r="I1642" s="4" t="inlineStr">
        <is>
          <t>17:09</t>
        </is>
      </c>
      <c r="J1642" s="8" t="n">
        <v>7.5</v>
      </c>
      <c r="K1642" s="8" t="n">
        <v>7.5</v>
      </c>
      <c r="L1642" s="8" t="n">
        <v>0</v>
      </c>
      <c r="M1642" s="29" t="inlineStr">
        <is>
          <t>BİGADİÇ</t>
        </is>
      </c>
    </row>
    <row r="1643">
      <c r="A1643" s="4" t="n">
        <v>1642</v>
      </c>
      <c r="B1643" s="4" t="inlineStr">
        <is>
          <t>00071</t>
        </is>
      </c>
      <c r="C1643" s="4" t="inlineStr">
        <is>
          <t>00071</t>
        </is>
      </c>
      <c r="D1643" s="29" t="inlineStr">
        <is>
          <t>GÜLTEN GİDER</t>
        </is>
      </c>
      <c r="E1643" s="4" t="inlineStr">
        <is>
          <t>Çarşamba</t>
        </is>
      </c>
      <c r="F1643" s="4" t="inlineStr">
        <is>
          <t>7.10.2026</t>
        </is>
      </c>
      <c r="G1643" s="4" t="inlineStr">
        <is>
          <t>07:57</t>
        </is>
      </c>
      <c r="H1643" s="4" t="inlineStr">
        <is>
          <t>7.10.2026</t>
        </is>
      </c>
      <c r="I1643" s="4" t="inlineStr">
        <is>
          <t>17:11</t>
        </is>
      </c>
      <c r="J1643" s="8" t="n">
        <v>7.5</v>
      </c>
      <c r="K1643" s="8" t="n">
        <v>7.5</v>
      </c>
      <c r="L1643" s="8" t="n">
        <v>0</v>
      </c>
      <c r="M1643" s="29" t="inlineStr">
        <is>
          <t>BİGADİÇ</t>
        </is>
      </c>
    </row>
    <row r="1644">
      <c r="A1644" s="4" t="n">
        <v>1643</v>
      </c>
      <c r="B1644" s="4" t="inlineStr">
        <is>
          <t>00071</t>
        </is>
      </c>
      <c r="C1644" s="4" t="inlineStr">
        <is>
          <t>00071</t>
        </is>
      </c>
      <c r="D1644" s="29" t="inlineStr">
        <is>
          <t>GÜLTEN GİDER</t>
        </is>
      </c>
      <c r="E1644" s="4" t="inlineStr">
        <is>
          <t>Perşembe</t>
        </is>
      </c>
      <c r="F1644" s="4" t="inlineStr">
        <is>
          <t>8.10.2026</t>
        </is>
      </c>
      <c r="G1644" s="4" t="inlineStr">
        <is>
          <t>07:59</t>
        </is>
      </c>
      <c r="H1644" s="4" t="inlineStr">
        <is>
          <t>8.10.2026</t>
        </is>
      </c>
      <c r="I1644" s="4" t="inlineStr">
        <is>
          <t>17:15</t>
        </is>
      </c>
      <c r="J1644" s="8" t="n">
        <v>7.5</v>
      </c>
      <c r="K1644" s="8" t="n">
        <v>7.5</v>
      </c>
      <c r="L1644" s="8" t="n">
        <v>0</v>
      </c>
      <c r="M1644" s="29" t="inlineStr">
        <is>
          <t>BİGADİÇ</t>
        </is>
      </c>
    </row>
    <row r="1645">
      <c r="A1645" s="4" t="n">
        <v>1644</v>
      </c>
      <c r="B1645" s="4" t="inlineStr">
        <is>
          <t>00071</t>
        </is>
      </c>
      <c r="C1645" s="4" t="inlineStr">
        <is>
          <t>00071</t>
        </is>
      </c>
      <c r="D1645" s="29" t="inlineStr">
        <is>
          <t>GÜLTEN GİDER</t>
        </is>
      </c>
      <c r="E1645" s="4" t="inlineStr">
        <is>
          <t>Cuma</t>
        </is>
      </c>
      <c r="F1645" s="4" t="inlineStr">
        <is>
          <t>9.10.2026</t>
        </is>
      </c>
      <c r="G1645" s="4" t="inlineStr">
        <is>
          <t>07:54</t>
        </is>
      </c>
      <c r="H1645" s="4" t="inlineStr">
        <is>
          <t>9.10.2026</t>
        </is>
      </c>
      <c r="I1645" s="4" t="inlineStr">
        <is>
          <t>17:14</t>
        </is>
      </c>
      <c r="J1645" s="8" t="n">
        <v>7.5</v>
      </c>
      <c r="K1645" s="8" t="n">
        <v>7.5</v>
      </c>
      <c r="L1645" s="8" t="n">
        <v>0</v>
      </c>
      <c r="M1645" s="29" t="inlineStr">
        <is>
          <t>BİGADİÇ</t>
        </is>
      </c>
    </row>
    <row r="1646">
      <c r="A1646" s="4" t="n">
        <v>1645</v>
      </c>
      <c r="B1646" s="4" t="inlineStr">
        <is>
          <t>00071</t>
        </is>
      </c>
      <c r="C1646" s="4" t="inlineStr">
        <is>
          <t>00071</t>
        </is>
      </c>
      <c r="D1646" s="29" t="inlineStr">
        <is>
          <t>GÜLTEN GİDER</t>
        </is>
      </c>
      <c r="E1646" s="4" t="inlineStr">
        <is>
          <t>Cumartesi</t>
        </is>
      </c>
      <c r="F1646" s="4" t="inlineStr">
        <is>
          <t>10.10.2026</t>
        </is>
      </c>
      <c r="G1646" s="4" t="inlineStr">
        <is>
          <t>07:54</t>
        </is>
      </c>
      <c r="H1646" s="4" t="inlineStr">
        <is>
          <t>10.10.2026</t>
        </is>
      </c>
      <c r="I1646" s="4" t="inlineStr">
        <is>
          <t>17:09</t>
        </is>
      </c>
      <c r="J1646" s="8" t="n">
        <v>7.5</v>
      </c>
      <c r="K1646" s="8" t="n">
        <v>7.5</v>
      </c>
      <c r="L1646" s="8" t="n">
        <v>0</v>
      </c>
      <c r="M1646" s="29" t="inlineStr">
        <is>
          <t>BİGADİÇ</t>
        </is>
      </c>
    </row>
    <row r="1647">
      <c r="A1647" s="4" t="n">
        <v>1646</v>
      </c>
      <c r="B1647" s="4" t="inlineStr">
        <is>
          <t>00071</t>
        </is>
      </c>
      <c r="C1647" s="4" t="inlineStr">
        <is>
          <t>00071</t>
        </is>
      </c>
      <c r="D1647" s="29" t="inlineStr">
        <is>
          <t>GÜLTEN GİDER</t>
        </is>
      </c>
      <c r="E1647" s="4" t="inlineStr">
        <is>
          <t>Pazartesi</t>
        </is>
      </c>
      <c r="F1647" s="4" t="inlineStr">
        <is>
          <t>12.10.2026</t>
        </is>
      </c>
      <c r="G1647" s="4" t="inlineStr">
        <is>
          <t>07:58</t>
        </is>
      </c>
      <c r="H1647" s="4" t="inlineStr">
        <is>
          <t>12.10.2026</t>
        </is>
      </c>
      <c r="I1647" s="4" t="inlineStr">
        <is>
          <t>18:10</t>
        </is>
      </c>
      <c r="J1647" s="8" t="n">
        <v>8.5</v>
      </c>
      <c r="K1647" s="8" t="n">
        <v>7.5</v>
      </c>
      <c r="L1647" s="8" t="n">
        <v>1</v>
      </c>
      <c r="M1647" s="29" t="inlineStr">
        <is>
          <t>BİGADİÇ</t>
        </is>
      </c>
    </row>
    <row r="1648">
      <c r="A1648" s="4" t="n">
        <v>1647</v>
      </c>
      <c r="B1648" s="4" t="inlineStr">
        <is>
          <t>00071</t>
        </is>
      </c>
      <c r="C1648" s="4" t="inlineStr">
        <is>
          <t>00071</t>
        </is>
      </c>
      <c r="D1648" s="29" t="inlineStr">
        <is>
          <t>GÜLTEN GİDER</t>
        </is>
      </c>
      <c r="E1648" s="4" t="inlineStr">
        <is>
          <t>Çarşamba</t>
        </is>
      </c>
      <c r="F1648" s="4" t="inlineStr">
        <is>
          <t>14.10.2026</t>
        </is>
      </c>
      <c r="G1648" s="4" t="inlineStr">
        <is>
          <t>08:00</t>
        </is>
      </c>
      <c r="H1648" s="4" t="inlineStr">
        <is>
          <t>14.10.2026</t>
        </is>
      </c>
      <c r="I1648" s="4" t="inlineStr">
        <is>
          <t>17:09</t>
        </is>
      </c>
      <c r="J1648" s="8" t="n">
        <v>7.5</v>
      </c>
      <c r="K1648" s="8" t="n">
        <v>7.5</v>
      </c>
      <c r="L1648" s="8" t="n">
        <v>0</v>
      </c>
      <c r="M1648" s="29" t="inlineStr">
        <is>
          <t>BİGADİÇ</t>
        </is>
      </c>
    </row>
    <row r="1649">
      <c r="A1649" s="4" t="n">
        <v>1648</v>
      </c>
      <c r="B1649" s="4" t="inlineStr">
        <is>
          <t>00071</t>
        </is>
      </c>
      <c r="C1649" s="4" t="inlineStr">
        <is>
          <t>00071</t>
        </is>
      </c>
      <c r="D1649" s="29" t="inlineStr">
        <is>
          <t>GÜLTEN GİDER</t>
        </is>
      </c>
      <c r="E1649" s="4" t="inlineStr">
        <is>
          <t>Perşembe</t>
        </is>
      </c>
      <c r="F1649" s="4" t="inlineStr">
        <is>
          <t>15.10.2026</t>
        </is>
      </c>
      <c r="G1649" s="4" t="inlineStr">
        <is>
          <t>08:02</t>
        </is>
      </c>
      <c r="H1649" s="4" t="inlineStr">
        <is>
          <t>15.10.2026</t>
        </is>
      </c>
      <c r="I1649" s="4" t="inlineStr">
        <is>
          <t>17:21</t>
        </is>
      </c>
      <c r="J1649" s="8" t="n">
        <v>8</v>
      </c>
      <c r="K1649" s="8" t="n">
        <v>7.5</v>
      </c>
      <c r="L1649" s="8" t="n">
        <v>0.5</v>
      </c>
      <c r="M1649" s="29" t="inlineStr">
        <is>
          <t>BİGADİÇ</t>
        </is>
      </c>
    </row>
    <row r="1650">
      <c r="A1650" s="4" t="n">
        <v>1649</v>
      </c>
      <c r="B1650" s="4" t="inlineStr">
        <is>
          <t>00071</t>
        </is>
      </c>
      <c r="C1650" s="4" t="inlineStr">
        <is>
          <t>00071</t>
        </is>
      </c>
      <c r="D1650" s="29" t="inlineStr">
        <is>
          <t>GÜLTEN GİDER</t>
        </is>
      </c>
      <c r="E1650" s="4" t="inlineStr">
        <is>
          <t>Cuma</t>
        </is>
      </c>
      <c r="F1650" s="4" t="inlineStr">
        <is>
          <t>16.10.2026</t>
        </is>
      </c>
      <c r="G1650" s="4" t="inlineStr">
        <is>
          <t>07:54</t>
        </is>
      </c>
      <c r="H1650" s="4" t="inlineStr">
        <is>
          <t>16.10.2026</t>
        </is>
      </c>
      <c r="I1650" s="4" t="inlineStr">
        <is>
          <t>17:12</t>
        </is>
      </c>
      <c r="J1650" s="8" t="n">
        <v>7.5</v>
      </c>
      <c r="K1650" s="8" t="n">
        <v>7.5</v>
      </c>
      <c r="L1650" s="8" t="n">
        <v>0</v>
      </c>
      <c r="M1650" s="29" t="inlineStr">
        <is>
          <t>BİGADİÇ</t>
        </is>
      </c>
    </row>
    <row r="1651">
      <c r="A1651" s="4" t="n">
        <v>1650</v>
      </c>
      <c r="B1651" s="4" t="inlineStr">
        <is>
          <t>00071</t>
        </is>
      </c>
      <c r="C1651" s="4" t="inlineStr">
        <is>
          <t>00071</t>
        </is>
      </c>
      <c r="D1651" s="29" t="inlineStr">
        <is>
          <t>GÜLTEN GİDER</t>
        </is>
      </c>
      <c r="E1651" s="4" t="inlineStr">
        <is>
          <t>Cumartesi</t>
        </is>
      </c>
      <c r="F1651" s="4" t="inlineStr">
        <is>
          <t>17.10.2026</t>
        </is>
      </c>
      <c r="G1651" s="4" t="inlineStr">
        <is>
          <t>07:52</t>
        </is>
      </c>
      <c r="H1651" s="4" t="inlineStr">
        <is>
          <t>17.10.2026</t>
        </is>
      </c>
      <c r="I1651" s="4" t="inlineStr">
        <is>
          <t>17:13</t>
        </is>
      </c>
      <c r="J1651" s="8" t="n">
        <v>7.5</v>
      </c>
      <c r="K1651" s="8" t="n">
        <v>7.5</v>
      </c>
      <c r="L1651" s="8" t="n">
        <v>0</v>
      </c>
      <c r="M1651" s="29" t="inlineStr">
        <is>
          <t>BİGADİÇ</t>
        </is>
      </c>
    </row>
    <row r="1652">
      <c r="A1652" s="4" t="n">
        <v>1651</v>
      </c>
      <c r="B1652" s="4" t="inlineStr">
        <is>
          <t>00071</t>
        </is>
      </c>
      <c r="C1652" s="4" t="inlineStr">
        <is>
          <t>00071</t>
        </is>
      </c>
      <c r="D1652" s="29" t="inlineStr">
        <is>
          <t>GÜLTEN GİDER</t>
        </is>
      </c>
      <c r="E1652" s="4" t="inlineStr">
        <is>
          <t>Pazartesi</t>
        </is>
      </c>
      <c r="F1652" s="4" t="inlineStr">
        <is>
          <t>19.10.2026</t>
        </is>
      </c>
      <c r="G1652" s="4" t="inlineStr">
        <is>
          <t>07:54</t>
        </is>
      </c>
      <c r="H1652" s="4" t="inlineStr">
        <is>
          <t>19.10.2026</t>
        </is>
      </c>
      <c r="I1652" s="4" t="inlineStr">
        <is>
          <t>17:15</t>
        </is>
      </c>
      <c r="J1652" s="8" t="n">
        <v>7.5</v>
      </c>
      <c r="K1652" s="8" t="n">
        <v>7.5</v>
      </c>
      <c r="L1652" s="8" t="n">
        <v>0</v>
      </c>
      <c r="M1652" s="29" t="inlineStr">
        <is>
          <t>BİGADİÇ</t>
        </is>
      </c>
    </row>
    <row r="1653">
      <c r="A1653" s="4" t="n">
        <v>1652</v>
      </c>
      <c r="B1653" s="4" t="inlineStr">
        <is>
          <t>00071</t>
        </is>
      </c>
      <c r="C1653" s="4" t="inlineStr">
        <is>
          <t>00071</t>
        </is>
      </c>
      <c r="D1653" s="29" t="inlineStr">
        <is>
          <t>GÜLTEN GİDER</t>
        </is>
      </c>
      <c r="E1653" s="4" t="inlineStr">
        <is>
          <t>Salı</t>
        </is>
      </c>
      <c r="F1653" s="4" t="inlineStr">
        <is>
          <t>20.10.2026</t>
        </is>
      </c>
      <c r="G1653" s="4" t="inlineStr">
        <is>
          <t>08:19</t>
        </is>
      </c>
      <c r="H1653" s="4" t="inlineStr">
        <is>
          <t>20.10.2026</t>
        </is>
      </c>
      <c r="I1653" s="4" t="inlineStr">
        <is>
          <t>17:14</t>
        </is>
      </c>
      <c r="J1653" s="8" t="n">
        <v>7.5</v>
      </c>
      <c r="K1653" s="8" t="n">
        <v>7.5</v>
      </c>
      <c r="L1653" s="8" t="n">
        <v>0</v>
      </c>
      <c r="M1653" s="29" t="inlineStr">
        <is>
          <t>BİGADİÇ</t>
        </is>
      </c>
    </row>
    <row r="1654">
      <c r="A1654" s="4" t="n">
        <v>1653</v>
      </c>
      <c r="B1654" s="4" t="inlineStr">
        <is>
          <t>00071</t>
        </is>
      </c>
      <c r="C1654" s="4" t="inlineStr">
        <is>
          <t>00071</t>
        </is>
      </c>
      <c r="D1654" s="29" t="inlineStr">
        <is>
          <t>GÜLTEN GİDER</t>
        </is>
      </c>
      <c r="E1654" s="4" t="inlineStr">
        <is>
          <t>Çarşamba</t>
        </is>
      </c>
      <c r="F1654" s="4" t="inlineStr">
        <is>
          <t>21.10.2026</t>
        </is>
      </c>
      <c r="G1654" s="4" t="inlineStr">
        <is>
          <t>08:01</t>
        </is>
      </c>
      <c r="H1654" s="4" t="inlineStr">
        <is>
          <t>21.10.2026</t>
        </is>
      </c>
      <c r="I1654" s="4" t="inlineStr">
        <is>
          <t>17:08</t>
        </is>
      </c>
      <c r="J1654" s="8" t="n">
        <v>7.5</v>
      </c>
      <c r="K1654" s="8" t="n">
        <v>7.5</v>
      </c>
      <c r="L1654" s="8" t="n">
        <v>0</v>
      </c>
      <c r="M1654" s="29" t="inlineStr">
        <is>
          <t>BİGADİÇ</t>
        </is>
      </c>
    </row>
    <row r="1655">
      <c r="A1655" s="4" t="n">
        <v>1654</v>
      </c>
      <c r="B1655" s="4" t="inlineStr">
        <is>
          <t>00226</t>
        </is>
      </c>
      <c r="C1655" s="4" t="inlineStr">
        <is>
          <t>00226</t>
        </is>
      </c>
      <c r="D1655" s="29" t="inlineStr">
        <is>
          <t>GÜLTEN DURMAZ</t>
        </is>
      </c>
      <c r="E1655" s="4" t="inlineStr">
        <is>
          <t>Perşembe</t>
        </is>
      </c>
      <c r="F1655" s="4" t="inlineStr">
        <is>
          <t>1.10.2026</t>
        </is>
      </c>
      <c r="G1655" s="4" t="inlineStr">
        <is>
          <t>09:49</t>
        </is>
      </c>
      <c r="H1655" s="4" t="inlineStr">
        <is>
          <t>1.10.2026</t>
        </is>
      </c>
      <c r="I1655" s="4" t="inlineStr">
        <is>
          <t>19:21</t>
        </is>
      </c>
      <c r="J1655" s="8" t="n">
        <v>8.5</v>
      </c>
      <c r="K1655" s="8" t="n">
        <v>6</v>
      </c>
      <c r="L1655" s="8" t="n">
        <v>2.5</v>
      </c>
      <c r="M1655" s="29" t="inlineStr">
        <is>
          <t>GÖBEL</t>
        </is>
      </c>
    </row>
    <row r="1656">
      <c r="A1656" s="4" t="n">
        <v>1655</v>
      </c>
      <c r="B1656" s="4" t="inlineStr">
        <is>
          <t>00226</t>
        </is>
      </c>
      <c r="C1656" s="4" t="inlineStr">
        <is>
          <t>00226</t>
        </is>
      </c>
      <c r="D1656" s="29" t="inlineStr">
        <is>
          <t>GÜLTEN DURMAZ</t>
        </is>
      </c>
      <c r="E1656" s="4" t="inlineStr">
        <is>
          <t>Cuma</t>
        </is>
      </c>
      <c r="F1656" s="4" t="inlineStr">
        <is>
          <t>2.10.2026</t>
        </is>
      </c>
      <c r="G1656" s="4" t="inlineStr">
        <is>
          <t>09:46</t>
        </is>
      </c>
      <c r="H1656" s="4" t="inlineStr">
        <is>
          <t>2.10.2026</t>
        </is>
      </c>
      <c r="I1656" s="4" t="inlineStr">
        <is>
          <t>19:58</t>
        </is>
      </c>
      <c r="J1656" s="8" t="n">
        <v>9</v>
      </c>
      <c r="K1656" s="8" t="n">
        <v>6</v>
      </c>
      <c r="L1656" s="8" t="n">
        <v>3</v>
      </c>
      <c r="M1656" s="29" t="inlineStr">
        <is>
          <t>GÖBEL</t>
        </is>
      </c>
    </row>
    <row r="1657">
      <c r="A1657" s="4" t="n">
        <v>1656</v>
      </c>
      <c r="B1657" s="4" t="inlineStr">
        <is>
          <t>00226</t>
        </is>
      </c>
      <c r="C1657" s="4" t="inlineStr">
        <is>
          <t>00226</t>
        </is>
      </c>
      <c r="D1657" s="29" t="inlineStr">
        <is>
          <t>GÜLTEN DURMAZ</t>
        </is>
      </c>
      <c r="E1657" s="4" t="inlineStr">
        <is>
          <t>Cumartesi</t>
        </is>
      </c>
      <c r="F1657" s="4" t="inlineStr">
        <is>
          <t>3.10.2026</t>
        </is>
      </c>
      <c r="G1657" s="4" t="inlineStr">
        <is>
          <t>09:51</t>
        </is>
      </c>
      <c r="H1657" s="4" t="inlineStr">
        <is>
          <t>3.10.2026</t>
        </is>
      </c>
      <c r="I1657" s="4" t="inlineStr">
        <is>
          <t>19:53</t>
        </is>
      </c>
      <c r="J1657" s="8" t="n">
        <v>8.5</v>
      </c>
      <c r="K1657" s="8" t="n">
        <v>5.5</v>
      </c>
      <c r="L1657" s="8" t="n">
        <v>3</v>
      </c>
      <c r="M1657" s="29" t="inlineStr">
        <is>
          <t>GÖBEL</t>
        </is>
      </c>
    </row>
    <row r="1658">
      <c r="A1658" s="4" t="n">
        <v>1657</v>
      </c>
      <c r="B1658" s="4" t="inlineStr">
        <is>
          <t>00226</t>
        </is>
      </c>
      <c r="C1658" s="4" t="inlineStr">
        <is>
          <t>00226</t>
        </is>
      </c>
      <c r="D1658" s="29" t="inlineStr">
        <is>
          <t>GÜLTEN DURMAZ</t>
        </is>
      </c>
      <c r="E1658" s="4" t="inlineStr">
        <is>
          <t>Pazartesi</t>
        </is>
      </c>
      <c r="F1658" s="4" t="inlineStr">
        <is>
          <t>5.10.2026</t>
        </is>
      </c>
      <c r="G1658" s="4" t="inlineStr">
        <is>
          <t>09:45</t>
        </is>
      </c>
      <c r="H1658" s="4" t="inlineStr">
        <is>
          <t>5.10.2026</t>
        </is>
      </c>
      <c r="I1658" s="4" t="inlineStr">
        <is>
          <t>19:01</t>
        </is>
      </c>
      <c r="J1658" s="8" t="n">
        <v>8</v>
      </c>
      <c r="K1658" s="8" t="n">
        <v>6</v>
      </c>
      <c r="L1658" s="8" t="n">
        <v>2</v>
      </c>
      <c r="M1658" s="29" t="inlineStr">
        <is>
          <t>GÖBEL</t>
        </is>
      </c>
    </row>
    <row r="1659">
      <c r="A1659" s="4" t="n">
        <v>1658</v>
      </c>
      <c r="B1659" s="4" t="inlineStr">
        <is>
          <t>00226</t>
        </is>
      </c>
      <c r="C1659" s="4" t="inlineStr">
        <is>
          <t>00226</t>
        </is>
      </c>
      <c r="D1659" s="29" t="inlineStr">
        <is>
          <t>GÜLTEN DURMAZ</t>
        </is>
      </c>
      <c r="E1659" s="4" t="inlineStr">
        <is>
          <t>Salı</t>
        </is>
      </c>
      <c r="F1659" s="4" t="inlineStr">
        <is>
          <t>6.10.2026</t>
        </is>
      </c>
      <c r="G1659" s="4" t="inlineStr">
        <is>
          <t>09:43</t>
        </is>
      </c>
      <c r="H1659" s="4" t="inlineStr">
        <is>
          <t>6.10.2026</t>
        </is>
      </c>
      <c r="I1659" s="4" t="inlineStr">
        <is>
          <t>19:23</t>
        </is>
      </c>
      <c r="J1659" s="8" t="n">
        <v>8.5</v>
      </c>
      <c r="K1659" s="8" t="n">
        <v>6</v>
      </c>
      <c r="L1659" s="8" t="n">
        <v>2.5</v>
      </c>
      <c r="M1659" s="29" t="inlineStr">
        <is>
          <t>GÖBEL</t>
        </is>
      </c>
    </row>
    <row r="1660">
      <c r="A1660" s="4" t="n">
        <v>1659</v>
      </c>
      <c r="B1660" s="4" t="inlineStr">
        <is>
          <t>00226</t>
        </is>
      </c>
      <c r="C1660" s="4" t="inlineStr">
        <is>
          <t>00226</t>
        </is>
      </c>
      <c r="D1660" s="29" t="inlineStr">
        <is>
          <t>GÜLTEN DURMAZ</t>
        </is>
      </c>
      <c r="E1660" s="4" t="inlineStr">
        <is>
          <t>Çarşamba</t>
        </is>
      </c>
      <c r="F1660" s="4" t="inlineStr">
        <is>
          <t>7.10.2026</t>
        </is>
      </c>
      <c r="G1660" s="4" t="inlineStr">
        <is>
          <t>09:51</t>
        </is>
      </c>
      <c r="H1660" s="4" t="inlineStr">
        <is>
          <t>7.10.2026</t>
        </is>
      </c>
      <c r="I1660" s="4" t="inlineStr">
        <is>
          <t>17:33</t>
        </is>
      </c>
      <c r="J1660" s="8" t="n">
        <v>6</v>
      </c>
      <c r="K1660" s="8" t="n">
        <v>5.5</v>
      </c>
      <c r="L1660" s="8" t="n">
        <v>0.5</v>
      </c>
      <c r="M1660" s="29" t="inlineStr">
        <is>
          <t>GÖBEL</t>
        </is>
      </c>
    </row>
    <row r="1661">
      <c r="A1661" s="4" t="n">
        <v>1660</v>
      </c>
      <c r="B1661" s="4" t="inlineStr">
        <is>
          <t>00226</t>
        </is>
      </c>
      <c r="C1661" s="4" t="inlineStr">
        <is>
          <t>00226</t>
        </is>
      </c>
      <c r="D1661" s="29" t="inlineStr">
        <is>
          <t>GÜLTEN DURMAZ</t>
        </is>
      </c>
      <c r="E1661" s="4" t="inlineStr">
        <is>
          <t>Perşembe</t>
        </is>
      </c>
      <c r="F1661" s="4" t="inlineStr">
        <is>
          <t>8.10.2026</t>
        </is>
      </c>
      <c r="G1661" s="4" t="inlineStr">
        <is>
          <t>07:35</t>
        </is>
      </c>
      <c r="H1661" s="4" t="inlineStr">
        <is>
          <t>8.10.2026</t>
        </is>
      </c>
      <c r="I1661" s="4" t="inlineStr">
        <is>
          <t>19:26</t>
        </is>
      </c>
      <c r="J1661" s="8" t="n">
        <v>10</v>
      </c>
      <c r="K1661" s="8" t="n">
        <v>7.5</v>
      </c>
      <c r="L1661" s="8" t="n">
        <v>2.5</v>
      </c>
      <c r="M1661" s="29" t="inlineStr">
        <is>
          <t>GÖBEL</t>
        </is>
      </c>
    </row>
    <row r="1662">
      <c r="A1662" s="4" t="n">
        <v>1661</v>
      </c>
      <c r="B1662" s="4" t="inlineStr">
        <is>
          <t>00226</t>
        </is>
      </c>
      <c r="C1662" s="4" t="inlineStr">
        <is>
          <t>00226</t>
        </is>
      </c>
      <c r="D1662" s="29" t="inlineStr">
        <is>
          <t>GÜLTEN DURMAZ</t>
        </is>
      </c>
      <c r="E1662" s="4" t="inlineStr">
        <is>
          <t>Cuma</t>
        </is>
      </c>
      <c r="F1662" s="4" t="inlineStr">
        <is>
          <t>9.10.2026</t>
        </is>
      </c>
      <c r="G1662" s="4" t="inlineStr">
        <is>
          <t>07:43</t>
        </is>
      </c>
      <c r="H1662" s="4" t="inlineStr">
        <is>
          <t>9.10.2026</t>
        </is>
      </c>
      <c r="I1662" s="4" t="inlineStr">
        <is>
          <t>17:25</t>
        </is>
      </c>
      <c r="J1662" s="8" t="n">
        <v>8</v>
      </c>
      <c r="K1662" s="8" t="n">
        <v>7.5</v>
      </c>
      <c r="L1662" s="8" t="n">
        <v>0.5</v>
      </c>
      <c r="M1662" s="29" t="inlineStr">
        <is>
          <t>GÖBEL</t>
        </is>
      </c>
    </row>
    <row r="1663">
      <c r="A1663" s="4" t="n">
        <v>1662</v>
      </c>
      <c r="B1663" s="4" t="inlineStr">
        <is>
          <t>00226</t>
        </is>
      </c>
      <c r="C1663" s="4" t="inlineStr">
        <is>
          <t>00226</t>
        </is>
      </c>
      <c r="D1663" s="29" t="inlineStr">
        <is>
          <t>GÜLTEN DURMAZ</t>
        </is>
      </c>
      <c r="E1663" s="4" t="inlineStr">
        <is>
          <t>Cumartesi</t>
        </is>
      </c>
      <c r="F1663" s="4" t="inlineStr">
        <is>
          <t>10.10.2026</t>
        </is>
      </c>
      <c r="G1663" s="4" t="inlineStr">
        <is>
          <t>09:46</t>
        </is>
      </c>
      <c r="H1663" s="4" t="inlineStr">
        <is>
          <t>10.10.2026</t>
        </is>
      </c>
      <c r="I1663" s="4" t="inlineStr">
        <is>
          <t>00:38</t>
        </is>
      </c>
      <c r="J1663" s="8" t="n">
        <v>13.5</v>
      </c>
      <c r="K1663" s="8" t="n">
        <v>6</v>
      </c>
      <c r="L1663" s="8" t="n">
        <v>7.5</v>
      </c>
      <c r="M1663" s="29" t="inlineStr">
        <is>
          <t>GÖBEL</t>
        </is>
      </c>
    </row>
    <row r="1664">
      <c r="A1664" s="4" t="n">
        <v>1663</v>
      </c>
      <c r="B1664" s="4" t="inlineStr">
        <is>
          <t>00226</t>
        </is>
      </c>
      <c r="C1664" s="4" t="inlineStr">
        <is>
          <t>00226</t>
        </is>
      </c>
      <c r="D1664" s="29" t="inlineStr">
        <is>
          <t>GÜLTEN DURMAZ</t>
        </is>
      </c>
      <c r="E1664" s="4" t="inlineStr">
        <is>
          <t>Pazartesi</t>
        </is>
      </c>
      <c r="F1664" s="4" t="inlineStr">
        <is>
          <t>12.10.2026</t>
        </is>
      </c>
      <c r="G1664" s="4" t="inlineStr">
        <is>
          <t>09:52</t>
        </is>
      </c>
      <c r="H1664" s="4" t="inlineStr">
        <is>
          <t>12.10.2026</t>
        </is>
      </c>
      <c r="I1664" s="4" t="inlineStr">
        <is>
          <t>18:57</t>
        </is>
      </c>
      <c r="J1664" s="8" t="n">
        <v>7.5</v>
      </c>
      <c r="K1664" s="8" t="n">
        <v>5.5</v>
      </c>
      <c r="L1664" s="8" t="n">
        <v>2</v>
      </c>
      <c r="M1664" s="29" t="inlineStr">
        <is>
          <t>GÖBEL</t>
        </is>
      </c>
    </row>
    <row r="1665">
      <c r="A1665" s="4" t="n">
        <v>1664</v>
      </c>
      <c r="B1665" s="4" t="inlineStr">
        <is>
          <t>00226</t>
        </is>
      </c>
      <c r="C1665" s="4" t="inlineStr">
        <is>
          <t>00226</t>
        </is>
      </c>
      <c r="D1665" s="29" t="inlineStr">
        <is>
          <t>GÜLTEN DURMAZ</t>
        </is>
      </c>
      <c r="E1665" s="4" t="inlineStr">
        <is>
          <t>Salı</t>
        </is>
      </c>
      <c r="F1665" s="4" t="inlineStr">
        <is>
          <t>13.10.2026</t>
        </is>
      </c>
      <c r="G1665" s="4" t="inlineStr">
        <is>
          <t>09:54</t>
        </is>
      </c>
      <c r="H1665" s="4" t="inlineStr">
        <is>
          <t>13.10.2026</t>
        </is>
      </c>
      <c r="I1665" s="4" t="inlineStr">
        <is>
          <t>19:01</t>
        </is>
      </c>
      <c r="J1665" s="8" t="n">
        <v>7.5</v>
      </c>
      <c r="K1665" s="8" t="n">
        <v>5.5</v>
      </c>
      <c r="L1665" s="8" t="n">
        <v>2</v>
      </c>
      <c r="M1665" s="29" t="inlineStr">
        <is>
          <t>GÖBEL</t>
        </is>
      </c>
    </row>
    <row r="1666">
      <c r="A1666" s="4" t="n">
        <v>1665</v>
      </c>
      <c r="B1666" s="4" t="inlineStr">
        <is>
          <t>00226</t>
        </is>
      </c>
      <c r="C1666" s="4" t="inlineStr">
        <is>
          <t>00226</t>
        </is>
      </c>
      <c r="D1666" s="29" t="inlineStr">
        <is>
          <t>GÜLTEN DURMAZ</t>
        </is>
      </c>
      <c r="E1666" s="4" t="inlineStr">
        <is>
          <t>Çarşamba</t>
        </is>
      </c>
      <c r="F1666" s="4" t="inlineStr">
        <is>
          <t>14.10.2026</t>
        </is>
      </c>
      <c r="G1666" s="4" t="inlineStr">
        <is>
          <t>07:44</t>
        </is>
      </c>
      <c r="H1666" s="4" t="inlineStr">
        <is>
          <t>14.10.2026</t>
        </is>
      </c>
      <c r="I1666" s="4" t="inlineStr">
        <is>
          <t>18:31</t>
        </is>
      </c>
      <c r="J1666" s="8" t="n">
        <v>9</v>
      </c>
      <c r="K1666" s="8" t="n">
        <v>7.5</v>
      </c>
      <c r="L1666" s="8" t="n">
        <v>1.5</v>
      </c>
      <c r="M1666" s="29" t="inlineStr">
        <is>
          <t>GÖBEL</t>
        </is>
      </c>
    </row>
    <row r="1667">
      <c r="A1667" s="4" t="n">
        <v>1666</v>
      </c>
      <c r="B1667" s="4" t="inlineStr">
        <is>
          <t>00226</t>
        </is>
      </c>
      <c r="C1667" s="4" t="inlineStr">
        <is>
          <t>00226</t>
        </is>
      </c>
      <c r="D1667" s="29" t="inlineStr">
        <is>
          <t>GÜLTEN DURMAZ</t>
        </is>
      </c>
      <c r="E1667" s="4" t="inlineStr">
        <is>
          <t>Perşembe</t>
        </is>
      </c>
      <c r="F1667" s="4" t="inlineStr">
        <is>
          <t>15.10.2026</t>
        </is>
      </c>
      <c r="G1667" s="4" t="inlineStr">
        <is>
          <t>07:40</t>
        </is>
      </c>
      <c r="H1667" s="4" t="inlineStr">
        <is>
          <t>15.10.2026</t>
        </is>
      </c>
      <c r="I1667" s="4" t="inlineStr">
        <is>
          <t>17:07</t>
        </is>
      </c>
      <c r="J1667" s="8" t="n">
        <v>7.5</v>
      </c>
      <c r="K1667" s="8" t="n">
        <v>7.5</v>
      </c>
      <c r="L1667" s="8" t="n">
        <v>0</v>
      </c>
      <c r="M1667" s="29" t="inlineStr">
        <is>
          <t>GÖBEL</t>
        </is>
      </c>
    </row>
    <row r="1668">
      <c r="A1668" s="4" t="n">
        <v>1667</v>
      </c>
      <c r="B1668" s="4" t="inlineStr">
        <is>
          <t>00226</t>
        </is>
      </c>
      <c r="C1668" s="4" t="inlineStr">
        <is>
          <t>00226</t>
        </is>
      </c>
      <c r="D1668" s="29" t="inlineStr">
        <is>
          <t>GÜLTEN DURMAZ</t>
        </is>
      </c>
      <c r="E1668" s="4" t="inlineStr">
        <is>
          <t>Cuma</t>
        </is>
      </c>
      <c r="F1668" s="4" t="inlineStr">
        <is>
          <t>16.10.2026</t>
        </is>
      </c>
      <c r="G1668" s="4" t="inlineStr">
        <is>
          <t>09:46</t>
        </is>
      </c>
      <c r="H1668" s="4" t="inlineStr">
        <is>
          <t>16.10.2026</t>
        </is>
      </c>
      <c r="I1668" s="4" t="inlineStr">
        <is>
          <t>19:50</t>
        </is>
      </c>
      <c r="J1668" s="8" t="n">
        <v>9</v>
      </c>
      <c r="K1668" s="8" t="n">
        <v>6</v>
      </c>
      <c r="L1668" s="8" t="n">
        <v>3</v>
      </c>
      <c r="M1668" s="29" t="inlineStr">
        <is>
          <t>GÖBEL</t>
        </is>
      </c>
    </row>
    <row r="1669">
      <c r="A1669" s="4" t="n">
        <v>1668</v>
      </c>
      <c r="B1669" s="4" t="inlineStr">
        <is>
          <t>00226</t>
        </is>
      </c>
      <c r="C1669" s="4" t="inlineStr">
        <is>
          <t>00226</t>
        </is>
      </c>
      <c r="D1669" s="29" t="inlineStr">
        <is>
          <t>GÜLTEN DURMAZ</t>
        </is>
      </c>
      <c r="E1669" s="4" t="inlineStr">
        <is>
          <t>Cumartesi</t>
        </is>
      </c>
      <c r="F1669" s="4" t="inlineStr">
        <is>
          <t>17.10.2026</t>
        </is>
      </c>
      <c r="G1669" s="4" t="inlineStr">
        <is>
          <t>09:47</t>
        </is>
      </c>
      <c r="H1669" s="4" t="inlineStr">
        <is>
          <t>17.10.2026</t>
        </is>
      </c>
      <c r="I1669" s="4" t="inlineStr">
        <is>
          <t>19:53</t>
        </is>
      </c>
      <c r="J1669" s="8" t="n">
        <v>9</v>
      </c>
      <c r="K1669" s="8" t="n">
        <v>6</v>
      </c>
      <c r="L1669" s="8" t="n">
        <v>3</v>
      </c>
      <c r="M1669" s="29" t="inlineStr">
        <is>
          <t>GÖBEL</t>
        </is>
      </c>
    </row>
    <row r="1670">
      <c r="A1670" s="4" t="n">
        <v>1669</v>
      </c>
      <c r="B1670" s="4" t="inlineStr">
        <is>
          <t>00226</t>
        </is>
      </c>
      <c r="C1670" s="4" t="inlineStr">
        <is>
          <t>00226</t>
        </is>
      </c>
      <c r="D1670" s="29" t="inlineStr">
        <is>
          <t>GÜLTEN DURMAZ</t>
        </is>
      </c>
      <c r="E1670" s="4" t="inlineStr">
        <is>
          <t>Pazartesi</t>
        </is>
      </c>
      <c r="F1670" s="4" t="inlineStr">
        <is>
          <t>19.10.2026</t>
        </is>
      </c>
      <c r="G1670" s="4" t="inlineStr">
        <is>
          <t>09:44</t>
        </is>
      </c>
      <c r="H1670" s="4" t="inlineStr">
        <is>
          <t>19.10.2026</t>
        </is>
      </c>
      <c r="I1670" s="4" t="inlineStr">
        <is>
          <t>18:18</t>
        </is>
      </c>
      <c r="J1670" s="8" t="n">
        <v>7</v>
      </c>
      <c r="K1670" s="8" t="n">
        <v>6</v>
      </c>
      <c r="L1670" s="8" t="n">
        <v>1</v>
      </c>
      <c r="M1670" s="29" t="inlineStr">
        <is>
          <t>GÖBEL</t>
        </is>
      </c>
    </row>
    <row r="1671">
      <c r="A1671" s="4" t="n">
        <v>1670</v>
      </c>
      <c r="B1671" s="4" t="inlineStr">
        <is>
          <t>00226</t>
        </is>
      </c>
      <c r="C1671" s="4" t="inlineStr">
        <is>
          <t>00226</t>
        </is>
      </c>
      <c r="D1671" s="29" t="inlineStr">
        <is>
          <t>GÜLTEN DURMAZ</t>
        </is>
      </c>
      <c r="E1671" s="4" t="inlineStr">
        <is>
          <t>Salı</t>
        </is>
      </c>
      <c r="F1671" s="4" t="inlineStr">
        <is>
          <t>20.10.2026</t>
        </is>
      </c>
      <c r="G1671" s="4" t="inlineStr">
        <is>
          <t>09:49</t>
        </is>
      </c>
      <c r="H1671" s="4" t="inlineStr">
        <is>
          <t>20.10.2026</t>
        </is>
      </c>
      <c r="I1671" s="4" t="inlineStr">
        <is>
          <t>18:59</t>
        </is>
      </c>
      <c r="J1671" s="8" t="n">
        <v>8</v>
      </c>
      <c r="K1671" s="8" t="n">
        <v>6</v>
      </c>
      <c r="L1671" s="8" t="n">
        <v>2</v>
      </c>
      <c r="M1671" s="29" t="inlineStr">
        <is>
          <t>GÖBEL</t>
        </is>
      </c>
    </row>
    <row r="1672">
      <c r="A1672" s="4" t="n">
        <v>1671</v>
      </c>
      <c r="B1672" s="4" t="inlineStr">
        <is>
          <t>00226</t>
        </is>
      </c>
      <c r="C1672" s="4" t="inlineStr">
        <is>
          <t>00226</t>
        </is>
      </c>
      <c r="D1672" s="29" t="inlineStr">
        <is>
          <t>GÜLTEN DURMAZ</t>
        </is>
      </c>
      <c r="E1672" s="4" t="inlineStr">
        <is>
          <t>Çarşamba</t>
        </is>
      </c>
      <c r="F1672" s="4" t="inlineStr">
        <is>
          <t>21.10.2026</t>
        </is>
      </c>
      <c r="G1672" s="4" t="inlineStr">
        <is>
          <t>09:46</t>
        </is>
      </c>
      <c r="H1672" s="4" t="inlineStr">
        <is>
          <t>21.10.2026</t>
        </is>
      </c>
      <c r="I1672" s="4" t="inlineStr">
        <is>
          <t>19:02</t>
        </is>
      </c>
      <c r="J1672" s="8" t="n">
        <v>8</v>
      </c>
      <c r="K1672" s="8" t="n">
        <v>6</v>
      </c>
      <c r="L1672" s="8" t="n">
        <v>2</v>
      </c>
      <c r="M1672" s="29" t="inlineStr">
        <is>
          <t>GÖBEL</t>
        </is>
      </c>
    </row>
    <row r="1673">
      <c r="A1673" s="4" t="n">
        <v>1672</v>
      </c>
      <c r="B1673" s="4" t="inlineStr">
        <is>
          <t>01022</t>
        </is>
      </c>
      <c r="C1673" s="4" t="inlineStr">
        <is>
          <t>01022</t>
        </is>
      </c>
      <c r="D1673" s="29" t="inlineStr">
        <is>
          <t>GÜLÜMSER KARABIYIK</t>
        </is>
      </c>
      <c r="E1673" s="4" t="inlineStr">
        <is>
          <t>Perşembe</t>
        </is>
      </c>
      <c r="F1673" s="4" t="inlineStr">
        <is>
          <t>1.10.2026</t>
        </is>
      </c>
      <c r="G1673" s="4" t="inlineStr">
        <is>
          <t>08:04</t>
        </is>
      </c>
      <c r="H1673" s="4" t="inlineStr">
        <is>
          <t>1.10.2026</t>
        </is>
      </c>
      <c r="I1673" s="4" t="inlineStr">
        <is>
          <t>17:24</t>
        </is>
      </c>
      <c r="J1673" s="8" t="n">
        <v>8</v>
      </c>
      <c r="K1673" s="8" t="n">
        <v>7.5</v>
      </c>
      <c r="L1673" s="8" t="n">
        <v>0.5</v>
      </c>
      <c r="M1673" s="29" t="inlineStr">
        <is>
          <t>GÜVEN MUSTAFAKEMALPAŞA</t>
        </is>
      </c>
    </row>
    <row r="1674">
      <c r="A1674" s="4" t="n">
        <v>1673</v>
      </c>
      <c r="B1674" s="4" t="inlineStr">
        <is>
          <t>01022</t>
        </is>
      </c>
      <c r="C1674" s="4" t="inlineStr">
        <is>
          <t>01022</t>
        </is>
      </c>
      <c r="D1674" s="29" t="inlineStr">
        <is>
          <t>GÜLÜMSER KARABIYIK</t>
        </is>
      </c>
      <c r="E1674" s="4" t="inlineStr">
        <is>
          <t>Cumartesi</t>
        </is>
      </c>
      <c r="F1674" s="4" t="inlineStr">
        <is>
          <t>3.10.2026</t>
        </is>
      </c>
      <c r="G1674" s="4" t="inlineStr">
        <is>
          <t>07:50</t>
        </is>
      </c>
      <c r="H1674" s="4" t="inlineStr">
        <is>
          <t>3.10.2026</t>
        </is>
      </c>
      <c r="I1674" s="4" t="inlineStr">
        <is>
          <t>17:32</t>
        </is>
      </c>
      <c r="J1674" s="8" t="n">
        <v>8</v>
      </c>
      <c r="K1674" s="8" t="n">
        <v>7.5</v>
      </c>
      <c r="L1674" s="8" t="n">
        <v>0.5</v>
      </c>
      <c r="M1674" s="29" t="inlineStr">
        <is>
          <t>GÜVEN MUSTAFAKEMALPAŞA</t>
        </is>
      </c>
    </row>
    <row r="1675">
      <c r="A1675" s="4" t="n">
        <v>1674</v>
      </c>
      <c r="B1675" s="4" t="inlineStr">
        <is>
          <t>01022</t>
        </is>
      </c>
      <c r="C1675" s="4" t="inlineStr">
        <is>
          <t>01022</t>
        </is>
      </c>
      <c r="D1675" s="29" t="inlineStr">
        <is>
          <t>GÜLÜMSER KARABIYIK</t>
        </is>
      </c>
      <c r="E1675" s="4" t="inlineStr">
        <is>
          <t>Pazartesi</t>
        </is>
      </c>
      <c r="F1675" s="4" t="inlineStr">
        <is>
          <t>5.10.2026</t>
        </is>
      </c>
      <c r="G1675" s="4" t="inlineStr">
        <is>
          <t>07:49</t>
        </is>
      </c>
      <c r="H1675" s="4" t="inlineStr">
        <is>
          <t>5.10.2026</t>
        </is>
      </c>
      <c r="I1675" s="4" t="inlineStr">
        <is>
          <t>17:10</t>
        </is>
      </c>
      <c r="J1675" s="8" t="n">
        <v>7.5</v>
      </c>
      <c r="K1675" s="8" t="n">
        <v>7.5</v>
      </c>
      <c r="L1675" s="8" t="n">
        <v>0</v>
      </c>
      <c r="M1675" s="29" t="inlineStr">
        <is>
          <t>GÜVEN MUSTAFAKEMALPAŞA</t>
        </is>
      </c>
    </row>
    <row r="1676">
      <c r="A1676" s="4" t="n">
        <v>1675</v>
      </c>
      <c r="B1676" s="4" t="inlineStr">
        <is>
          <t>01022</t>
        </is>
      </c>
      <c r="C1676" s="4" t="inlineStr">
        <is>
          <t>01022</t>
        </is>
      </c>
      <c r="D1676" s="29" t="inlineStr">
        <is>
          <t>GÜLÜMSER KARABIYIK</t>
        </is>
      </c>
      <c r="E1676" s="4" t="inlineStr">
        <is>
          <t>Salı</t>
        </is>
      </c>
      <c r="F1676" s="4" t="inlineStr">
        <is>
          <t>6.10.2026</t>
        </is>
      </c>
      <c r="G1676" s="4" t="inlineStr">
        <is>
          <t>08:01</t>
        </is>
      </c>
      <c r="H1676" s="4" t="inlineStr">
        <is>
          <t>6.10.2026</t>
        </is>
      </c>
      <c r="I1676" s="4" t="inlineStr">
        <is>
          <t>17:36</t>
        </is>
      </c>
      <c r="J1676" s="8" t="n">
        <v>8</v>
      </c>
      <c r="K1676" s="8" t="n">
        <v>7.5</v>
      </c>
      <c r="L1676" s="8" t="n">
        <v>0.5</v>
      </c>
      <c r="M1676" s="29" t="inlineStr">
        <is>
          <t>GÜVEN MUSTAFAKEMALPAŞA</t>
        </is>
      </c>
    </row>
    <row r="1677">
      <c r="A1677" s="4" t="n">
        <v>1676</v>
      </c>
      <c r="B1677" s="4" t="inlineStr">
        <is>
          <t>01022</t>
        </is>
      </c>
      <c r="C1677" s="4" t="inlineStr">
        <is>
          <t>01022</t>
        </is>
      </c>
      <c r="D1677" s="29" t="inlineStr">
        <is>
          <t>GÜLÜMSER KARABIYIK</t>
        </is>
      </c>
      <c r="E1677" s="4" t="inlineStr">
        <is>
          <t>Perşembe</t>
        </is>
      </c>
      <c r="F1677" s="4" t="inlineStr">
        <is>
          <t>8.10.2026</t>
        </is>
      </c>
      <c r="G1677" s="4" t="inlineStr">
        <is>
          <t>07:55</t>
        </is>
      </c>
      <c r="H1677" s="4" t="inlineStr">
        <is>
          <t>8.10.2026</t>
        </is>
      </c>
      <c r="I1677" s="4" t="inlineStr">
        <is>
          <t>17:30</t>
        </is>
      </c>
      <c r="J1677" s="8" t="n">
        <v>8</v>
      </c>
      <c r="K1677" s="8" t="n">
        <v>7.5</v>
      </c>
      <c r="L1677" s="8" t="n">
        <v>0.5</v>
      </c>
      <c r="M1677" s="29" t="inlineStr">
        <is>
          <t>GÜVEN MUSTAFAKEMALPAŞA</t>
        </is>
      </c>
    </row>
    <row r="1678">
      <c r="A1678" s="4" t="n">
        <v>1677</v>
      </c>
      <c r="B1678" s="4" t="inlineStr">
        <is>
          <t>01022</t>
        </is>
      </c>
      <c r="C1678" s="4" t="inlineStr">
        <is>
          <t>01022</t>
        </is>
      </c>
      <c r="D1678" s="29" t="inlineStr">
        <is>
          <t>GÜLÜMSER KARABIYIK</t>
        </is>
      </c>
      <c r="E1678" s="4" t="inlineStr">
        <is>
          <t>Cuma</t>
        </is>
      </c>
      <c r="F1678" s="4" t="inlineStr">
        <is>
          <t>9.10.2026</t>
        </is>
      </c>
      <c r="G1678" s="4" t="inlineStr">
        <is>
          <t>07:52</t>
        </is>
      </c>
      <c r="H1678" s="4" t="inlineStr">
        <is>
          <t>9.10.2026</t>
        </is>
      </c>
      <c r="I1678" s="4" t="inlineStr">
        <is>
          <t>17:39</t>
        </is>
      </c>
      <c r="J1678" s="8" t="n">
        <v>8</v>
      </c>
      <c r="K1678" s="8" t="n">
        <v>7.5</v>
      </c>
      <c r="L1678" s="8" t="n">
        <v>0.5</v>
      </c>
      <c r="M1678" s="29" t="inlineStr">
        <is>
          <t>GÜVEN MUSTAFAKEMALPAŞA</t>
        </is>
      </c>
    </row>
    <row r="1679">
      <c r="A1679" s="4" t="n">
        <v>1678</v>
      </c>
      <c r="B1679" s="4" t="inlineStr">
        <is>
          <t>01022</t>
        </is>
      </c>
      <c r="C1679" s="4" t="inlineStr">
        <is>
          <t>01022</t>
        </is>
      </c>
      <c r="D1679" s="29" t="inlineStr">
        <is>
          <t>GÜLÜMSER KARABIYIK</t>
        </is>
      </c>
      <c r="E1679" s="4" t="inlineStr">
        <is>
          <t>Pazartesi</t>
        </is>
      </c>
      <c r="F1679" s="4" t="inlineStr">
        <is>
          <t>12.10.2026</t>
        </is>
      </c>
      <c r="G1679" s="4" t="inlineStr">
        <is>
          <t>07:54</t>
        </is>
      </c>
      <c r="H1679" s="4" t="inlineStr">
        <is>
          <t>12.10.2026</t>
        </is>
      </c>
      <c r="I1679" s="4" t="inlineStr">
        <is>
          <t>17:04</t>
        </is>
      </c>
      <c r="J1679" s="8" t="n">
        <v>7.5</v>
      </c>
      <c r="K1679" s="8" t="n">
        <v>7.5</v>
      </c>
      <c r="L1679" s="8" t="n">
        <v>0</v>
      </c>
      <c r="M1679" s="29" t="inlineStr">
        <is>
          <t>GÜVEN MUSTAFAKEMALPAŞA</t>
        </is>
      </c>
    </row>
    <row r="1680">
      <c r="A1680" s="4" t="n">
        <v>1679</v>
      </c>
      <c r="B1680" s="4" t="inlineStr">
        <is>
          <t>01022</t>
        </is>
      </c>
      <c r="C1680" s="4" t="inlineStr">
        <is>
          <t>01022</t>
        </is>
      </c>
      <c r="D1680" s="29" t="inlineStr">
        <is>
          <t>GÜLÜMSER KARABIYIK</t>
        </is>
      </c>
      <c r="E1680" s="4" t="inlineStr">
        <is>
          <t>Salı</t>
        </is>
      </c>
      <c r="F1680" s="4" t="inlineStr">
        <is>
          <t>13.10.2026</t>
        </is>
      </c>
      <c r="G1680" s="4" t="inlineStr">
        <is>
          <t>07:51</t>
        </is>
      </c>
      <c r="H1680" s="4" t="inlineStr">
        <is>
          <t>13.10.2026</t>
        </is>
      </c>
      <c r="I1680" s="4" t="inlineStr">
        <is>
          <t>17:06</t>
        </is>
      </c>
      <c r="J1680" s="8" t="n">
        <v>7.5</v>
      </c>
      <c r="K1680" s="8" t="n">
        <v>7.5</v>
      </c>
      <c r="L1680" s="8" t="n">
        <v>0</v>
      </c>
      <c r="M1680" s="29" t="inlineStr">
        <is>
          <t>GÜVEN MUSTAFAKEMALPAŞA</t>
        </is>
      </c>
    </row>
    <row r="1681">
      <c r="A1681" s="4" t="n">
        <v>1680</v>
      </c>
      <c r="B1681" s="4" t="inlineStr">
        <is>
          <t>01022</t>
        </is>
      </c>
      <c r="C1681" s="4" t="inlineStr">
        <is>
          <t>01022</t>
        </is>
      </c>
      <c r="D1681" s="29" t="inlineStr">
        <is>
          <t>GÜLÜMSER KARABIYIK</t>
        </is>
      </c>
      <c r="E1681" s="4" t="inlineStr">
        <is>
          <t>Çarşamba</t>
        </is>
      </c>
      <c r="F1681" s="4" t="inlineStr">
        <is>
          <t>14.10.2026</t>
        </is>
      </c>
      <c r="G1681" s="4" t="inlineStr">
        <is>
          <t>07:52</t>
        </is>
      </c>
      <c r="H1681" s="4" t="inlineStr">
        <is>
          <t>14.10.2026</t>
        </is>
      </c>
      <c r="I1681" s="4" t="inlineStr">
        <is>
          <t>18:01</t>
        </is>
      </c>
      <c r="J1681" s="8" t="n">
        <v>8.5</v>
      </c>
      <c r="K1681" s="8" t="n">
        <v>7.5</v>
      </c>
      <c r="L1681" s="8" t="n">
        <v>1</v>
      </c>
      <c r="M1681" s="29" t="inlineStr">
        <is>
          <t>GÜVEN MUSTAFAKEMALPAŞA</t>
        </is>
      </c>
    </row>
    <row r="1682">
      <c r="A1682" s="4" t="n">
        <v>1681</v>
      </c>
      <c r="B1682" s="4" t="inlineStr">
        <is>
          <t>01022</t>
        </is>
      </c>
      <c r="C1682" s="4" t="inlineStr">
        <is>
          <t>01022</t>
        </is>
      </c>
      <c r="D1682" s="29" t="inlineStr">
        <is>
          <t>GÜLÜMSER KARABIYIK</t>
        </is>
      </c>
      <c r="E1682" s="4" t="inlineStr">
        <is>
          <t>Cuma</t>
        </is>
      </c>
      <c r="F1682" s="4" t="inlineStr">
        <is>
          <t>16.10.2026</t>
        </is>
      </c>
      <c r="G1682" s="4" t="inlineStr">
        <is>
          <t>07:53</t>
        </is>
      </c>
      <c r="H1682" s="4" t="inlineStr">
        <is>
          <t>16.10.2026</t>
        </is>
      </c>
      <c r="I1682" s="4" t="inlineStr">
        <is>
          <t>17:14</t>
        </is>
      </c>
      <c r="J1682" s="8" t="n">
        <v>7.5</v>
      </c>
      <c r="K1682" s="8" t="n">
        <v>7.5</v>
      </c>
      <c r="L1682" s="8" t="n">
        <v>0</v>
      </c>
      <c r="M1682" s="29" t="inlineStr">
        <is>
          <t>GÜVEN MUSTAFAKEMALPAŞA</t>
        </is>
      </c>
    </row>
    <row r="1683">
      <c r="A1683" s="4" t="n">
        <v>1682</v>
      </c>
      <c r="B1683" s="4" t="inlineStr">
        <is>
          <t>01022</t>
        </is>
      </c>
      <c r="C1683" s="4" t="inlineStr">
        <is>
          <t>01022</t>
        </is>
      </c>
      <c r="D1683" s="29" t="inlineStr">
        <is>
          <t>GÜLÜMSER KARABIYIK</t>
        </is>
      </c>
      <c r="E1683" s="4" t="inlineStr">
        <is>
          <t>Pazartesi</t>
        </is>
      </c>
      <c r="F1683" s="4" t="inlineStr">
        <is>
          <t>19.10.2026</t>
        </is>
      </c>
      <c r="G1683" s="4" t="inlineStr">
        <is>
          <t>07:52</t>
        </is>
      </c>
      <c r="H1683" s="4" t="inlineStr">
        <is>
          <t>19.10.2026</t>
        </is>
      </c>
      <c r="I1683" s="4" t="inlineStr">
        <is>
          <t>17:40</t>
        </is>
      </c>
      <c r="J1683" s="8" t="n">
        <v>8</v>
      </c>
      <c r="K1683" s="8" t="n">
        <v>7.5</v>
      </c>
      <c r="L1683" s="8" t="n">
        <v>0.5</v>
      </c>
      <c r="M1683" s="29" t="inlineStr">
        <is>
          <t>GÜVEN MUSTAFAKEMALPAŞA</t>
        </is>
      </c>
    </row>
    <row r="1684">
      <c r="A1684" s="4" t="n">
        <v>1683</v>
      </c>
      <c r="B1684" s="4" t="inlineStr">
        <is>
          <t>01022</t>
        </is>
      </c>
      <c r="C1684" s="4" t="inlineStr">
        <is>
          <t>01022</t>
        </is>
      </c>
      <c r="D1684" s="29" t="inlineStr">
        <is>
          <t>GÜLÜMSER KARABIYIK</t>
        </is>
      </c>
      <c r="E1684" s="4" t="inlineStr">
        <is>
          <t>Salı</t>
        </is>
      </c>
      <c r="F1684" s="4" t="inlineStr">
        <is>
          <t>20.10.2026</t>
        </is>
      </c>
      <c r="G1684" s="4" t="inlineStr">
        <is>
          <t>07:53</t>
        </is>
      </c>
      <c r="H1684" s="4" t="inlineStr">
        <is>
          <t>20.10.2026</t>
        </is>
      </c>
      <c r="I1684" s="4" t="inlineStr">
        <is>
          <t>17:14</t>
        </is>
      </c>
      <c r="J1684" s="8" t="n">
        <v>7.5</v>
      </c>
      <c r="K1684" s="8" t="n">
        <v>7.5</v>
      </c>
      <c r="L1684" s="8" t="n">
        <v>0</v>
      </c>
      <c r="M1684" s="29" t="inlineStr">
        <is>
          <t>GÜVEN MUSTAFAKEMALPAŞA</t>
        </is>
      </c>
    </row>
    <row r="1685">
      <c r="A1685" s="4" t="n">
        <v>1684</v>
      </c>
      <c r="B1685" s="4" t="inlineStr">
        <is>
          <t>01022</t>
        </is>
      </c>
      <c r="C1685" s="4" t="inlineStr">
        <is>
          <t>01022</t>
        </is>
      </c>
      <c r="D1685" s="29" t="inlineStr">
        <is>
          <t>GÜLÜMSER KARABIYIK</t>
        </is>
      </c>
      <c r="E1685" s="4" t="inlineStr">
        <is>
          <t>Çarşamba</t>
        </is>
      </c>
      <c r="F1685" s="4" t="inlineStr">
        <is>
          <t>21.10.2026</t>
        </is>
      </c>
      <c r="G1685" s="4" t="inlineStr">
        <is>
          <t>07:49</t>
        </is>
      </c>
      <c r="H1685" s="4" t="inlineStr">
        <is>
          <t>21.10.2026</t>
        </is>
      </c>
      <c r="I1685" s="4" t="inlineStr">
        <is>
          <t>17:07</t>
        </is>
      </c>
      <c r="J1685" s="8" t="n">
        <v>7.5</v>
      </c>
      <c r="K1685" s="8" t="n">
        <v>7.5</v>
      </c>
      <c r="L1685" s="8" t="n">
        <v>0</v>
      </c>
      <c r="M1685" s="29" t="inlineStr">
        <is>
          <t>GÜVEN MUSTAFAKEMALPAŞA</t>
        </is>
      </c>
    </row>
    <row r="1686">
      <c r="A1686" s="4" t="n">
        <v>1685</v>
      </c>
      <c r="B1686" s="4" t="inlineStr">
        <is>
          <t>00773</t>
        </is>
      </c>
      <c r="C1686" s="4" t="inlineStr">
        <is>
          <t>00773</t>
        </is>
      </c>
      <c r="D1686" s="29" t="inlineStr">
        <is>
          <t>GÜRAY PALA</t>
        </is>
      </c>
      <c r="E1686" s="4" t="inlineStr">
        <is>
          <t>Perşembe</t>
        </is>
      </c>
      <c r="F1686" s="4" t="inlineStr">
        <is>
          <t>1.10.2026</t>
        </is>
      </c>
      <c r="G1686" s="4" t="inlineStr">
        <is>
          <t>07:48</t>
        </is>
      </c>
      <c r="H1686" s="4" t="inlineStr">
        <is>
          <t>1.10.2026</t>
        </is>
      </c>
      <c r="I1686" s="4" t="inlineStr">
        <is>
          <t>20:00</t>
        </is>
      </c>
      <c r="J1686" s="8" t="n">
        <v>10.5</v>
      </c>
      <c r="K1686" s="8" t="n">
        <v>7.5</v>
      </c>
      <c r="L1686" s="8" t="n">
        <v>3</v>
      </c>
      <c r="M1686" s="29" t="inlineStr">
        <is>
          <t>HALİL DİĞRENCİ</t>
        </is>
      </c>
    </row>
    <row r="1687">
      <c r="A1687" s="4" t="n">
        <v>1686</v>
      </c>
      <c r="B1687" s="4" t="inlineStr">
        <is>
          <t>00773</t>
        </is>
      </c>
      <c r="C1687" s="4" t="inlineStr">
        <is>
          <t>00773</t>
        </is>
      </c>
      <c r="D1687" s="29" t="inlineStr">
        <is>
          <t>GÜRAY PALA</t>
        </is>
      </c>
      <c r="E1687" s="4" t="inlineStr">
        <is>
          <t>Cuma</t>
        </is>
      </c>
      <c r="F1687" s="4" t="inlineStr">
        <is>
          <t>2.10.2026</t>
        </is>
      </c>
      <c r="G1687" s="4" t="inlineStr">
        <is>
          <t>07:44</t>
        </is>
      </c>
      <c r="H1687" s="4" t="inlineStr">
        <is>
          <t>2.10.2026</t>
        </is>
      </c>
      <c r="I1687" s="4" t="inlineStr">
        <is>
          <t>17:41</t>
        </is>
      </c>
      <c r="J1687" s="8" t="n">
        <v>8</v>
      </c>
      <c r="K1687" s="8" t="n">
        <v>7.5</v>
      </c>
      <c r="L1687" s="8" t="n">
        <v>0.5</v>
      </c>
      <c r="M1687" s="29" t="inlineStr">
        <is>
          <t>HALİL DİĞRENCİ</t>
        </is>
      </c>
    </row>
    <row r="1688">
      <c r="A1688" s="4" t="n">
        <v>1687</v>
      </c>
      <c r="B1688" s="4" t="inlineStr">
        <is>
          <t>00773</t>
        </is>
      </c>
      <c r="C1688" s="4" t="inlineStr">
        <is>
          <t>00773</t>
        </is>
      </c>
      <c r="D1688" s="29" t="inlineStr">
        <is>
          <t>GÜRAY PALA</t>
        </is>
      </c>
      <c r="E1688" s="4" t="inlineStr">
        <is>
          <t>Cumartesi</t>
        </is>
      </c>
      <c r="F1688" s="4" t="inlineStr">
        <is>
          <t>3.10.2026</t>
        </is>
      </c>
      <c r="G1688" s="4" t="inlineStr">
        <is>
          <t>07:45</t>
        </is>
      </c>
      <c r="H1688" s="4" t="inlineStr">
        <is>
          <t>3.10.2026</t>
        </is>
      </c>
      <c r="I1688" s="4" t="inlineStr">
        <is>
          <t>17:31</t>
        </is>
      </c>
      <c r="J1688" s="8" t="n">
        <v>8</v>
      </c>
      <c r="K1688" s="8" t="n">
        <v>7.5</v>
      </c>
      <c r="L1688" s="8" t="n">
        <v>0.5</v>
      </c>
      <c r="M1688" s="29" t="inlineStr">
        <is>
          <t>HALİL DİĞRENCİ</t>
        </is>
      </c>
    </row>
    <row r="1689">
      <c r="A1689" s="4" t="n">
        <v>1688</v>
      </c>
      <c r="B1689" s="4" t="inlineStr">
        <is>
          <t>00773</t>
        </is>
      </c>
      <c r="C1689" s="4" t="inlineStr">
        <is>
          <t>00773</t>
        </is>
      </c>
      <c r="D1689" s="29" t="inlineStr">
        <is>
          <t>GÜRAY PALA</t>
        </is>
      </c>
      <c r="E1689" s="4" t="inlineStr">
        <is>
          <t>Pazar</t>
        </is>
      </c>
      <c r="F1689" s="4" t="inlineStr">
        <is>
          <t>4.10.2026</t>
        </is>
      </c>
      <c r="G1689" s="4" t="inlineStr">
        <is>
          <t>07:48</t>
        </is>
      </c>
      <c r="H1689" s="4" t="inlineStr">
        <is>
          <t>4.10.2026</t>
        </is>
      </c>
      <c r="I1689" s="4" t="inlineStr">
        <is>
          <t>17:02</t>
        </is>
      </c>
      <c r="J1689" s="8" t="n">
        <v>7.5</v>
      </c>
      <c r="K1689" s="8" t="n">
        <v>7.5</v>
      </c>
      <c r="L1689" s="8" t="n">
        <v>0</v>
      </c>
      <c r="M1689" s="29" t="inlineStr">
        <is>
          <t>HALİL DİĞRENCİ</t>
        </is>
      </c>
    </row>
    <row r="1690">
      <c r="A1690" s="4" t="n">
        <v>1689</v>
      </c>
      <c r="B1690" s="4" t="inlineStr">
        <is>
          <t>00773</t>
        </is>
      </c>
      <c r="C1690" s="4" t="inlineStr">
        <is>
          <t>00773</t>
        </is>
      </c>
      <c r="D1690" s="29" t="inlineStr">
        <is>
          <t>GÜRAY PALA</t>
        </is>
      </c>
      <c r="E1690" s="4" t="inlineStr">
        <is>
          <t>Salı</t>
        </is>
      </c>
      <c r="F1690" s="4" t="inlineStr">
        <is>
          <t>6.10.2026</t>
        </is>
      </c>
      <c r="G1690" s="4" t="inlineStr">
        <is>
          <t>07:59</t>
        </is>
      </c>
      <c r="H1690" s="4" t="inlineStr">
        <is>
          <t>6.10.2026</t>
        </is>
      </c>
      <c r="I1690" s="4" t="inlineStr">
        <is>
          <t>17:10</t>
        </is>
      </c>
      <c r="J1690" s="8" t="n">
        <v>7.5</v>
      </c>
      <c r="K1690" s="8" t="n">
        <v>7.5</v>
      </c>
      <c r="L1690" s="8" t="n">
        <v>0</v>
      </c>
      <c r="M1690" s="29" t="inlineStr">
        <is>
          <t>HALİL DİĞRENCİ</t>
        </is>
      </c>
    </row>
    <row r="1691">
      <c r="A1691" s="4" t="n">
        <v>1690</v>
      </c>
      <c r="B1691" s="4" t="inlineStr">
        <is>
          <t>00773</t>
        </is>
      </c>
      <c r="C1691" s="4" t="inlineStr">
        <is>
          <t>00773</t>
        </is>
      </c>
      <c r="D1691" s="29" t="inlineStr">
        <is>
          <t>GÜRAY PALA</t>
        </is>
      </c>
      <c r="E1691" s="4" t="inlineStr">
        <is>
          <t>Çarşamba</t>
        </is>
      </c>
      <c r="F1691" s="4" t="inlineStr">
        <is>
          <t>7.10.2026</t>
        </is>
      </c>
      <c r="G1691" s="4" t="inlineStr">
        <is>
          <t>07:47</t>
        </is>
      </c>
      <c r="H1691" s="4" t="inlineStr">
        <is>
          <t>7.10.2026</t>
        </is>
      </c>
      <c r="I1691" s="4" t="inlineStr">
        <is>
          <t>08:00</t>
        </is>
      </c>
      <c r="J1691" s="8" t="n">
        <v>15</v>
      </c>
      <c r="K1691" s="8" t="n">
        <v>7.5</v>
      </c>
      <c r="L1691" s="8" t="n">
        <v>7.5</v>
      </c>
      <c r="M1691" s="29" t="inlineStr">
        <is>
          <t>HALİL DİĞRENCİ</t>
        </is>
      </c>
    </row>
    <row r="1692">
      <c r="A1692" s="4" t="n">
        <v>1691</v>
      </c>
      <c r="B1692" s="4" t="inlineStr">
        <is>
          <t>00773</t>
        </is>
      </c>
      <c r="C1692" s="4" t="inlineStr">
        <is>
          <t>00773</t>
        </is>
      </c>
      <c r="D1692" s="29" t="inlineStr">
        <is>
          <t>GÜRAY PALA</t>
        </is>
      </c>
      <c r="E1692" s="4" t="inlineStr">
        <is>
          <t>Perşembe</t>
        </is>
      </c>
      <c r="F1692" s="4" t="inlineStr">
        <is>
          <t>8.10.2026</t>
        </is>
      </c>
      <c r="G1692" s="4" t="inlineStr">
        <is>
          <t>20:06</t>
        </is>
      </c>
      <c r="H1692" s="4" t="inlineStr">
        <is>
          <t>8.10.2026</t>
        </is>
      </c>
      <c r="I1692" s="4" t="inlineStr">
        <is>
          <t>08:00</t>
        </is>
      </c>
      <c r="J1692" s="8" t="n">
        <v>10.5</v>
      </c>
      <c r="K1692" s="8" t="n">
        <v>7.5</v>
      </c>
      <c r="L1692" s="8" t="n">
        <v>3</v>
      </c>
      <c r="M1692" s="29" t="inlineStr">
        <is>
          <t>HALİL DİĞRENCİ</t>
        </is>
      </c>
    </row>
    <row r="1693">
      <c r="A1693" s="4" t="n">
        <v>1692</v>
      </c>
      <c r="B1693" s="4" t="inlineStr">
        <is>
          <t>00773</t>
        </is>
      </c>
      <c r="C1693" s="4" t="inlineStr">
        <is>
          <t>00773</t>
        </is>
      </c>
      <c r="D1693" s="29" t="inlineStr">
        <is>
          <t>GÜRAY PALA</t>
        </is>
      </c>
      <c r="E1693" s="4" t="inlineStr">
        <is>
          <t>Pazar</t>
        </is>
      </c>
      <c r="F1693" s="4" t="inlineStr">
        <is>
          <t>11.10.2026</t>
        </is>
      </c>
      <c r="G1693" s="4" t="inlineStr">
        <is>
          <t>07:51</t>
        </is>
      </c>
      <c r="H1693" s="4" t="inlineStr">
        <is>
          <t>11.10.2026</t>
        </is>
      </c>
      <c r="I1693" s="4" t="inlineStr">
        <is>
          <t>20:02</t>
        </is>
      </c>
      <c r="J1693" s="8" t="n">
        <v>10.5</v>
      </c>
      <c r="K1693" s="8" t="n">
        <v>7.5</v>
      </c>
      <c r="L1693" s="8" t="n">
        <v>3</v>
      </c>
      <c r="M1693" s="29" t="inlineStr">
        <is>
          <t>HALİL DİĞRENCİ</t>
        </is>
      </c>
    </row>
    <row r="1694">
      <c r="A1694" s="4" t="n">
        <v>1693</v>
      </c>
      <c r="B1694" s="4" t="inlineStr">
        <is>
          <t>00773</t>
        </is>
      </c>
      <c r="C1694" s="4" t="inlineStr">
        <is>
          <t>00773</t>
        </is>
      </c>
      <c r="D1694" s="29" t="inlineStr">
        <is>
          <t>GÜRAY PALA</t>
        </is>
      </c>
      <c r="E1694" s="4" t="inlineStr">
        <is>
          <t>Pazartesi</t>
        </is>
      </c>
      <c r="F1694" s="4" t="inlineStr">
        <is>
          <t>12.10.2026</t>
        </is>
      </c>
      <c r="G1694" s="4" t="inlineStr">
        <is>
          <t>22:03</t>
        </is>
      </c>
      <c r="H1694" s="4" t="inlineStr">
        <is>
          <t>12.10.2026</t>
        </is>
      </c>
      <c r="I1694" s="4" t="inlineStr">
        <is>
          <t>08:00</t>
        </is>
      </c>
      <c r="J1694" s="8" t="n">
        <v>7.5</v>
      </c>
      <c r="K1694" s="8" t="n">
        <v>5.5</v>
      </c>
      <c r="L1694" s="8" t="n">
        <v>2</v>
      </c>
      <c r="M1694" s="29" t="inlineStr">
        <is>
          <t>HALİL DİĞRENCİ</t>
        </is>
      </c>
    </row>
    <row r="1695">
      <c r="A1695" s="4" t="n">
        <v>1694</v>
      </c>
      <c r="B1695" s="4" t="inlineStr">
        <is>
          <t>00773</t>
        </is>
      </c>
      <c r="C1695" s="4" t="inlineStr">
        <is>
          <t>00773</t>
        </is>
      </c>
      <c r="D1695" s="29" t="inlineStr">
        <is>
          <t>GÜRAY PALA</t>
        </is>
      </c>
      <c r="E1695" s="4" t="inlineStr">
        <is>
          <t>Salı</t>
        </is>
      </c>
      <c r="F1695" s="4" t="inlineStr">
        <is>
          <t>13.10.2026</t>
        </is>
      </c>
      <c r="G1695" s="4" t="inlineStr">
        <is>
          <t>21:59</t>
        </is>
      </c>
      <c r="H1695" s="4" t="inlineStr">
        <is>
          <t>13.10.2026</t>
        </is>
      </c>
      <c r="I1695" s="4" t="inlineStr">
        <is>
          <t>07:55</t>
        </is>
      </c>
      <c r="J1695" s="8" t="n">
        <v>7.5</v>
      </c>
      <c r="K1695" s="8" t="n">
        <v>5.5</v>
      </c>
      <c r="L1695" s="8" t="n">
        <v>2</v>
      </c>
      <c r="M1695" s="29" t="inlineStr">
        <is>
          <t>HALİL DİĞRENCİ</t>
        </is>
      </c>
    </row>
    <row r="1696">
      <c r="A1696" s="4" t="n">
        <v>1695</v>
      </c>
      <c r="B1696" s="4" t="inlineStr">
        <is>
          <t>00773</t>
        </is>
      </c>
      <c r="C1696" s="4" t="inlineStr">
        <is>
          <t>00773</t>
        </is>
      </c>
      <c r="D1696" s="29" t="inlineStr">
        <is>
          <t>GÜRAY PALA</t>
        </is>
      </c>
      <c r="E1696" s="4" t="inlineStr">
        <is>
          <t>Çarşamba</t>
        </is>
      </c>
      <c r="F1696" s="4" t="inlineStr">
        <is>
          <t>14.10.2026</t>
        </is>
      </c>
      <c r="G1696" s="4" t="inlineStr">
        <is>
          <t>20:03</t>
        </is>
      </c>
      <c r="H1696" s="4" t="inlineStr">
        <is>
          <t>14.10.2026</t>
        </is>
      </c>
      <c r="I1696" s="4" t="inlineStr">
        <is>
          <t>08:03</t>
        </is>
      </c>
      <c r="J1696" s="8" t="n">
        <v>10.5</v>
      </c>
      <c r="K1696" s="8" t="n">
        <v>7.5</v>
      </c>
      <c r="L1696" s="8" t="n">
        <v>3</v>
      </c>
      <c r="M1696" s="29" t="inlineStr">
        <is>
          <t>HALİL DİĞRENCİ</t>
        </is>
      </c>
    </row>
    <row r="1697">
      <c r="A1697" s="4" t="n">
        <v>1696</v>
      </c>
      <c r="B1697" s="4" t="inlineStr">
        <is>
          <t>00773</t>
        </is>
      </c>
      <c r="C1697" s="4" t="inlineStr">
        <is>
          <t>00773</t>
        </is>
      </c>
      <c r="D1697" s="29" t="inlineStr">
        <is>
          <t>GÜRAY PALA</t>
        </is>
      </c>
      <c r="E1697" s="4" t="inlineStr">
        <is>
          <t>Perşembe</t>
        </is>
      </c>
      <c r="F1697" s="4" t="inlineStr">
        <is>
          <t>15.10.2026</t>
        </is>
      </c>
      <c r="G1697" s="4" t="inlineStr">
        <is>
          <t>21:53</t>
        </is>
      </c>
      <c r="H1697" s="4" t="inlineStr">
        <is>
          <t>15.10.2026</t>
        </is>
      </c>
      <c r="I1697" s="4" t="inlineStr">
        <is>
          <t>07:57</t>
        </is>
      </c>
      <c r="J1697" s="8" t="n">
        <v>7.5</v>
      </c>
      <c r="K1697" s="8" t="n">
        <v>5.5</v>
      </c>
      <c r="L1697" s="8" t="n">
        <v>2</v>
      </c>
      <c r="M1697" s="29" t="inlineStr">
        <is>
          <t>HALİL DİĞRENCİ</t>
        </is>
      </c>
    </row>
    <row r="1698">
      <c r="A1698" s="4" t="n">
        <v>1697</v>
      </c>
      <c r="B1698" s="4" t="inlineStr">
        <is>
          <t>00773</t>
        </is>
      </c>
      <c r="C1698" s="4" t="inlineStr">
        <is>
          <t>00773</t>
        </is>
      </c>
      <c r="D1698" s="29" t="inlineStr">
        <is>
          <t>GÜRAY PALA</t>
        </is>
      </c>
      <c r="E1698" s="4" t="inlineStr">
        <is>
          <t>Cuma</t>
        </is>
      </c>
      <c r="F1698" s="4" t="inlineStr">
        <is>
          <t>16.10.2026</t>
        </is>
      </c>
      <c r="G1698" s="4" t="inlineStr">
        <is>
          <t>22:30</t>
        </is>
      </c>
      <c r="H1698" s="4" t="inlineStr">
        <is>
          <t>16.10.2026</t>
        </is>
      </c>
      <c r="I1698" s="4" t="inlineStr">
        <is>
          <t>07:52</t>
        </is>
      </c>
      <c r="J1698" s="8" t="n">
        <v>7.5</v>
      </c>
      <c r="K1698" s="8" t="n">
        <v>7.5</v>
      </c>
      <c r="L1698" s="8" t="n">
        <v>0</v>
      </c>
      <c r="M1698" s="29" t="inlineStr">
        <is>
          <t>HALİL DİĞRENCİ</t>
        </is>
      </c>
    </row>
    <row r="1699">
      <c r="A1699" s="4" t="n">
        <v>1698</v>
      </c>
      <c r="B1699" s="4" t="inlineStr">
        <is>
          <t>00773</t>
        </is>
      </c>
      <c r="C1699" s="4" t="inlineStr">
        <is>
          <t>00773</t>
        </is>
      </c>
      <c r="D1699" s="29" t="inlineStr">
        <is>
          <t>GÜRAY PALA</t>
        </is>
      </c>
      <c r="E1699" s="4" t="inlineStr">
        <is>
          <t>Pazar</t>
        </is>
      </c>
      <c r="F1699" s="4" t="inlineStr">
        <is>
          <t>18.10.2026</t>
        </is>
      </c>
      <c r="G1699" s="4" t="inlineStr">
        <is>
          <t>19:52</t>
        </is>
      </c>
      <c r="H1699" s="4" t="inlineStr">
        <is>
          <t>18.10.2026</t>
        </is>
      </c>
      <c r="I1699" s="4" t="inlineStr">
        <is>
          <t>07:56</t>
        </is>
      </c>
      <c r="J1699" s="8" t="n">
        <v>10.5</v>
      </c>
      <c r="K1699" s="8" t="n">
        <v>7.5</v>
      </c>
      <c r="L1699" s="8" t="n">
        <v>3</v>
      </c>
      <c r="M1699" s="29" t="inlineStr">
        <is>
          <t>HALİL DİĞRENCİ</t>
        </is>
      </c>
    </row>
    <row r="1700">
      <c r="A1700" s="4" t="n">
        <v>1699</v>
      </c>
      <c r="B1700" s="4" t="inlineStr">
        <is>
          <t>00773</t>
        </is>
      </c>
      <c r="C1700" s="4" t="inlineStr">
        <is>
          <t>00773</t>
        </is>
      </c>
      <c r="D1700" s="29" t="inlineStr">
        <is>
          <t>GÜRAY PALA</t>
        </is>
      </c>
      <c r="E1700" s="4" t="inlineStr">
        <is>
          <t>Pazartesi</t>
        </is>
      </c>
      <c r="F1700" s="4" t="inlineStr">
        <is>
          <t>19.10.2026</t>
        </is>
      </c>
      <c r="G1700" s="4" t="inlineStr">
        <is>
          <t>20:15</t>
        </is>
      </c>
      <c r="H1700" s="4" t="inlineStr">
        <is>
          <t>19.10.2026</t>
        </is>
      </c>
      <c r="I1700" s="4" t="inlineStr">
        <is>
          <t>08:04</t>
        </is>
      </c>
      <c r="J1700" s="8" t="n">
        <v>10.5</v>
      </c>
      <c r="K1700" s="8" t="n">
        <v>7.5</v>
      </c>
      <c r="L1700" s="8" t="n">
        <v>3</v>
      </c>
      <c r="M1700" s="29" t="inlineStr">
        <is>
          <t>HALİL DİĞRENCİ</t>
        </is>
      </c>
    </row>
    <row r="1701">
      <c r="A1701" s="4" t="n">
        <v>1700</v>
      </c>
      <c r="B1701" s="4" t="inlineStr">
        <is>
          <t>00773</t>
        </is>
      </c>
      <c r="C1701" s="4" t="inlineStr">
        <is>
          <t>00773</t>
        </is>
      </c>
      <c r="D1701" s="29" t="inlineStr">
        <is>
          <t>GÜRAY PALA</t>
        </is>
      </c>
      <c r="E1701" s="4" t="inlineStr">
        <is>
          <t>Salı</t>
        </is>
      </c>
      <c r="F1701" s="4" t="inlineStr">
        <is>
          <t>20.10.2026</t>
        </is>
      </c>
      <c r="G1701" s="4" t="inlineStr">
        <is>
          <t>21:49</t>
        </is>
      </c>
      <c r="H1701" s="4" t="inlineStr">
        <is>
          <t>20.10.2026</t>
        </is>
      </c>
      <c r="I1701" s="4" t="inlineStr">
        <is>
          <t>07:57</t>
        </is>
      </c>
      <c r="J1701" s="8" t="n">
        <v>8.5</v>
      </c>
      <c r="K1701" s="8" t="n">
        <v>6</v>
      </c>
      <c r="L1701" s="8" t="n">
        <v>2.5</v>
      </c>
      <c r="M1701" s="29" t="inlineStr">
        <is>
          <t>HALİL DİĞRENCİ</t>
        </is>
      </c>
    </row>
    <row r="1702">
      <c r="A1702" s="4" t="n">
        <v>1701</v>
      </c>
      <c r="B1702" s="4" t="inlineStr">
        <is>
          <t>00773</t>
        </is>
      </c>
      <c r="C1702" s="4" t="inlineStr">
        <is>
          <t>00773</t>
        </is>
      </c>
      <c r="D1702" s="29" t="inlineStr">
        <is>
          <t>GÜRAY PALA</t>
        </is>
      </c>
      <c r="E1702" s="4" t="inlineStr">
        <is>
          <t>Çarşamba</t>
        </is>
      </c>
      <c r="F1702" s="4" t="inlineStr">
        <is>
          <t>21.10.2026</t>
        </is>
      </c>
      <c r="G1702" s="4" t="inlineStr">
        <is>
          <t>16:40</t>
        </is>
      </c>
      <c r="H1702" s="4" t="inlineStr">
        <is>
          <t>21.10.2026</t>
        </is>
      </c>
      <c r="I1702" s="4" t="inlineStr">
        <is>
          <t>-</t>
        </is>
      </c>
      <c r="J1702" s="8" t="n">
        <v>7.5</v>
      </c>
      <c r="K1702" s="8" t="n">
        <v>7.5</v>
      </c>
      <c r="L1702" s="8" t="n">
        <v>0</v>
      </c>
      <c r="M1702" s="29" t="inlineStr">
        <is>
          <t>HALİL DİĞRENCİ</t>
        </is>
      </c>
    </row>
    <row r="1703">
      <c r="A1703" s="4" t="n">
        <v>1702</v>
      </c>
      <c r="B1703" s="4" t="inlineStr">
        <is>
          <t>00075</t>
        </is>
      </c>
      <c r="C1703" s="4" t="inlineStr">
        <is>
          <t>00075</t>
        </is>
      </c>
      <c r="D1703" s="29" t="inlineStr">
        <is>
          <t>HACER BEYHAN</t>
        </is>
      </c>
      <c r="E1703" s="4" t="inlineStr">
        <is>
          <t>Pazartesi</t>
        </is>
      </c>
      <c r="F1703" s="4" t="inlineStr">
        <is>
          <t>5.10.2026</t>
        </is>
      </c>
      <c r="G1703" s="4" t="inlineStr">
        <is>
          <t>07:37</t>
        </is>
      </c>
      <c r="H1703" s="4" t="inlineStr">
        <is>
          <t>5.10.2026</t>
        </is>
      </c>
      <c r="I1703" s="4" t="inlineStr">
        <is>
          <t>17:07</t>
        </is>
      </c>
      <c r="J1703" s="8" t="n">
        <v>7.5</v>
      </c>
      <c r="K1703" s="8" t="n">
        <v>7.5</v>
      </c>
      <c r="L1703" s="8" t="n">
        <v>0</v>
      </c>
      <c r="M1703" s="29" t="inlineStr">
        <is>
          <t>HALİL DİĞRENCİ</t>
        </is>
      </c>
    </row>
    <row r="1704">
      <c r="A1704" s="4" t="n">
        <v>1703</v>
      </c>
      <c r="B1704" s="4" t="inlineStr">
        <is>
          <t>00075</t>
        </is>
      </c>
      <c r="C1704" s="4" t="inlineStr">
        <is>
          <t>00075</t>
        </is>
      </c>
      <c r="D1704" s="29" t="inlineStr">
        <is>
          <t>HACER BEYHAN</t>
        </is>
      </c>
      <c r="E1704" s="4" t="inlineStr">
        <is>
          <t>Salı</t>
        </is>
      </c>
      <c r="F1704" s="4" t="inlineStr">
        <is>
          <t>6.10.2026</t>
        </is>
      </c>
      <c r="G1704" s="4" t="inlineStr">
        <is>
          <t>07:59</t>
        </is>
      </c>
      <c r="H1704" s="4" t="inlineStr">
        <is>
          <t>6.10.2026</t>
        </is>
      </c>
      <c r="I1704" s="4" t="inlineStr">
        <is>
          <t>17:42</t>
        </is>
      </c>
      <c r="J1704" s="8" t="n">
        <v>8</v>
      </c>
      <c r="K1704" s="8" t="n">
        <v>7.5</v>
      </c>
      <c r="L1704" s="8" t="n">
        <v>0.5</v>
      </c>
      <c r="M1704" s="29" t="inlineStr">
        <is>
          <t>HALİL DİĞRENCİ</t>
        </is>
      </c>
    </row>
    <row r="1705">
      <c r="A1705" s="4" t="n">
        <v>1704</v>
      </c>
      <c r="B1705" s="4" t="inlineStr">
        <is>
          <t>00075</t>
        </is>
      </c>
      <c r="C1705" s="4" t="inlineStr">
        <is>
          <t>00075</t>
        </is>
      </c>
      <c r="D1705" s="29" t="inlineStr">
        <is>
          <t>HACER BEYHAN</t>
        </is>
      </c>
      <c r="E1705" s="4" t="inlineStr">
        <is>
          <t>Çarşamba</t>
        </is>
      </c>
      <c r="F1705" s="4" t="inlineStr">
        <is>
          <t>7.10.2026</t>
        </is>
      </c>
      <c r="G1705" s="4" t="inlineStr">
        <is>
          <t>07:48</t>
        </is>
      </c>
      <c r="H1705" s="4" t="inlineStr">
        <is>
          <t>7.10.2026</t>
        </is>
      </c>
      <c r="I1705" s="4" t="inlineStr">
        <is>
          <t>17:29</t>
        </is>
      </c>
      <c r="J1705" s="8" t="n">
        <v>8</v>
      </c>
      <c r="K1705" s="8" t="n">
        <v>7.5</v>
      </c>
      <c r="L1705" s="8" t="n">
        <v>0.5</v>
      </c>
      <c r="M1705" s="29" t="inlineStr">
        <is>
          <t>HALİL DİĞRENCİ</t>
        </is>
      </c>
    </row>
    <row r="1706">
      <c r="A1706" s="4" t="n">
        <v>1705</v>
      </c>
      <c r="B1706" s="4" t="inlineStr">
        <is>
          <t>00075</t>
        </is>
      </c>
      <c r="C1706" s="4" t="inlineStr">
        <is>
          <t>00075</t>
        </is>
      </c>
      <c r="D1706" s="29" t="inlineStr">
        <is>
          <t>HACER BEYHAN</t>
        </is>
      </c>
      <c r="E1706" s="4" t="inlineStr">
        <is>
          <t>Perşembe</t>
        </is>
      </c>
      <c r="F1706" s="4" t="inlineStr">
        <is>
          <t>8.10.2026</t>
        </is>
      </c>
      <c r="G1706" s="4" t="inlineStr">
        <is>
          <t>07:51</t>
        </is>
      </c>
      <c r="H1706" s="4" t="inlineStr">
        <is>
          <t>8.10.2026</t>
        </is>
      </c>
      <c r="I1706" s="4" t="inlineStr">
        <is>
          <t>17:36</t>
        </is>
      </c>
      <c r="J1706" s="8" t="n">
        <v>8</v>
      </c>
      <c r="K1706" s="8" t="n">
        <v>7.5</v>
      </c>
      <c r="L1706" s="8" t="n">
        <v>0.5</v>
      </c>
      <c r="M1706" s="29" t="inlineStr">
        <is>
          <t>HALİL DİĞRENCİ</t>
        </is>
      </c>
    </row>
    <row r="1707">
      <c r="A1707" s="4" t="n">
        <v>1706</v>
      </c>
      <c r="B1707" s="4" t="inlineStr">
        <is>
          <t>00075</t>
        </is>
      </c>
      <c r="C1707" s="4" t="inlineStr">
        <is>
          <t>00075</t>
        </is>
      </c>
      <c r="D1707" s="29" t="inlineStr">
        <is>
          <t>HACER BEYHAN</t>
        </is>
      </c>
      <c r="E1707" s="4" t="inlineStr">
        <is>
          <t>Cuma</t>
        </is>
      </c>
      <c r="F1707" s="4" t="inlineStr">
        <is>
          <t>9.10.2026</t>
        </is>
      </c>
      <c r="G1707" s="4" t="inlineStr">
        <is>
          <t>07:55</t>
        </is>
      </c>
      <c r="H1707" s="4" t="inlineStr">
        <is>
          <t>9.10.2026</t>
        </is>
      </c>
      <c r="I1707" s="4" t="inlineStr">
        <is>
          <t>17:46</t>
        </is>
      </c>
      <c r="J1707" s="8" t="n">
        <v>8.5</v>
      </c>
      <c r="K1707" s="8" t="n">
        <v>7.5</v>
      </c>
      <c r="L1707" s="8" t="n">
        <v>1</v>
      </c>
      <c r="M1707" s="29" t="inlineStr">
        <is>
          <t>HALİL DİĞRENCİ</t>
        </is>
      </c>
    </row>
    <row r="1708">
      <c r="A1708" s="4" t="n">
        <v>1707</v>
      </c>
      <c r="B1708" s="4" t="inlineStr">
        <is>
          <t>00075</t>
        </is>
      </c>
      <c r="C1708" s="4" t="inlineStr">
        <is>
          <t>00075</t>
        </is>
      </c>
      <c r="D1708" s="29" t="inlineStr">
        <is>
          <t>HACER BEYHAN</t>
        </is>
      </c>
      <c r="E1708" s="4" t="inlineStr">
        <is>
          <t>Cumartesi</t>
        </is>
      </c>
      <c r="F1708" s="4" t="inlineStr">
        <is>
          <t>10.10.2026</t>
        </is>
      </c>
      <c r="G1708" s="4" t="inlineStr">
        <is>
          <t>07:59</t>
        </is>
      </c>
      <c r="H1708" s="4" t="inlineStr">
        <is>
          <t>10.10.2026</t>
        </is>
      </c>
      <c r="I1708" s="4" t="inlineStr">
        <is>
          <t>18:13</t>
        </is>
      </c>
      <c r="J1708" s="8" t="n">
        <v>8.5</v>
      </c>
      <c r="K1708" s="8" t="n">
        <v>7.5</v>
      </c>
      <c r="L1708" s="8" t="n">
        <v>1</v>
      </c>
      <c r="M1708" s="29" t="inlineStr">
        <is>
          <t>HALİL DİĞRENCİ</t>
        </is>
      </c>
    </row>
    <row r="1709">
      <c r="A1709" s="4" t="n">
        <v>1708</v>
      </c>
      <c r="B1709" s="4" t="inlineStr">
        <is>
          <t>00075</t>
        </is>
      </c>
      <c r="C1709" s="4" t="inlineStr">
        <is>
          <t>00075</t>
        </is>
      </c>
      <c r="D1709" s="29" t="inlineStr">
        <is>
          <t>HACER BEYHAN</t>
        </is>
      </c>
      <c r="E1709" s="4" t="inlineStr">
        <is>
          <t>Pazartesi</t>
        </is>
      </c>
      <c r="F1709" s="4" t="inlineStr">
        <is>
          <t>12.10.2026</t>
        </is>
      </c>
      <c r="G1709" s="4" t="inlineStr">
        <is>
          <t>08:02</t>
        </is>
      </c>
      <c r="H1709" s="4" t="inlineStr">
        <is>
          <t>12.10.2026</t>
        </is>
      </c>
      <c r="I1709" s="4" t="inlineStr">
        <is>
          <t>17:03</t>
        </is>
      </c>
      <c r="J1709" s="8" t="n">
        <v>7.5</v>
      </c>
      <c r="K1709" s="8" t="n">
        <v>7.5</v>
      </c>
      <c r="L1709" s="8" t="n">
        <v>0</v>
      </c>
      <c r="M1709" s="29" t="inlineStr">
        <is>
          <t>HALİL DİĞRENCİ</t>
        </is>
      </c>
    </row>
    <row r="1710">
      <c r="A1710" s="4" t="n">
        <v>1709</v>
      </c>
      <c r="B1710" s="4" t="inlineStr">
        <is>
          <t>00075</t>
        </is>
      </c>
      <c r="C1710" s="4" t="inlineStr">
        <is>
          <t>00075</t>
        </is>
      </c>
      <c r="D1710" s="29" t="inlineStr">
        <is>
          <t>HACER BEYHAN</t>
        </is>
      </c>
      <c r="E1710" s="4" t="inlineStr">
        <is>
          <t>Salı</t>
        </is>
      </c>
      <c r="F1710" s="4" t="inlineStr">
        <is>
          <t>13.10.2026</t>
        </is>
      </c>
      <c r="G1710" s="4" t="inlineStr">
        <is>
          <t>08:01</t>
        </is>
      </c>
      <c r="H1710" s="4" t="inlineStr">
        <is>
          <t>13.10.2026</t>
        </is>
      </c>
      <c r="I1710" s="4" t="inlineStr">
        <is>
          <t>17:03</t>
        </is>
      </c>
      <c r="J1710" s="8" t="n">
        <v>7.5</v>
      </c>
      <c r="K1710" s="8" t="n">
        <v>7.5</v>
      </c>
      <c r="L1710" s="8" t="n">
        <v>0</v>
      </c>
      <c r="M1710" s="29" t="inlineStr">
        <is>
          <t>HALİL DİĞRENCİ</t>
        </is>
      </c>
    </row>
    <row r="1711">
      <c r="A1711" s="4" t="n">
        <v>1710</v>
      </c>
      <c r="B1711" s="4" t="inlineStr">
        <is>
          <t>00075</t>
        </is>
      </c>
      <c r="C1711" s="4" t="inlineStr">
        <is>
          <t>00075</t>
        </is>
      </c>
      <c r="D1711" s="29" t="inlineStr">
        <is>
          <t>HACER BEYHAN</t>
        </is>
      </c>
      <c r="E1711" s="4" t="inlineStr">
        <is>
          <t>Çarşamba</t>
        </is>
      </c>
      <c r="F1711" s="4" t="inlineStr">
        <is>
          <t>14.10.2026</t>
        </is>
      </c>
      <c r="G1711" s="4" t="inlineStr">
        <is>
          <t>07:54</t>
        </is>
      </c>
      <c r="H1711" s="4" t="inlineStr">
        <is>
          <t>14.10.2026</t>
        </is>
      </c>
      <c r="I1711" s="4" t="inlineStr">
        <is>
          <t>18:08</t>
        </is>
      </c>
      <c r="J1711" s="8" t="n">
        <v>8.5</v>
      </c>
      <c r="K1711" s="8" t="n">
        <v>7.5</v>
      </c>
      <c r="L1711" s="8" t="n">
        <v>1</v>
      </c>
      <c r="M1711" s="29" t="inlineStr">
        <is>
          <t>HALİL DİĞRENCİ</t>
        </is>
      </c>
    </row>
    <row r="1712">
      <c r="A1712" s="4" t="n">
        <v>1711</v>
      </c>
      <c r="B1712" s="4" t="inlineStr">
        <is>
          <t>00075</t>
        </is>
      </c>
      <c r="C1712" s="4" t="inlineStr">
        <is>
          <t>00075</t>
        </is>
      </c>
      <c r="D1712" s="29" t="inlineStr">
        <is>
          <t>HACER BEYHAN</t>
        </is>
      </c>
      <c r="E1712" s="4" t="inlineStr">
        <is>
          <t>Perşembe</t>
        </is>
      </c>
      <c r="F1712" s="4" t="inlineStr">
        <is>
          <t>15.10.2026</t>
        </is>
      </c>
      <c r="G1712" s="4" t="inlineStr">
        <is>
          <t>08:00</t>
        </is>
      </c>
      <c r="H1712" s="4" t="inlineStr">
        <is>
          <t>15.10.2026</t>
        </is>
      </c>
      <c r="I1712" s="4" t="inlineStr">
        <is>
          <t>17:04</t>
        </is>
      </c>
      <c r="J1712" s="8" t="n">
        <v>7.5</v>
      </c>
      <c r="K1712" s="8" t="n">
        <v>7.5</v>
      </c>
      <c r="L1712" s="8" t="n">
        <v>0</v>
      </c>
      <c r="M1712" s="29" t="inlineStr">
        <is>
          <t>HALİL DİĞRENCİ</t>
        </is>
      </c>
    </row>
    <row r="1713">
      <c r="A1713" s="4" t="n">
        <v>1712</v>
      </c>
      <c r="B1713" s="4" t="inlineStr">
        <is>
          <t>00075</t>
        </is>
      </c>
      <c r="C1713" s="4" t="inlineStr">
        <is>
          <t>00075</t>
        </is>
      </c>
      <c r="D1713" s="29" t="inlineStr">
        <is>
          <t>HACER BEYHAN</t>
        </is>
      </c>
      <c r="E1713" s="4" t="inlineStr">
        <is>
          <t>Cuma</t>
        </is>
      </c>
      <c r="F1713" s="4" t="inlineStr">
        <is>
          <t>16.10.2026</t>
        </is>
      </c>
      <c r="G1713" s="4" t="inlineStr">
        <is>
          <t>07:49</t>
        </is>
      </c>
      <c r="H1713" s="4" t="inlineStr">
        <is>
          <t>16.10.2026</t>
        </is>
      </c>
      <c r="I1713" s="4" t="inlineStr">
        <is>
          <t>17:19</t>
        </is>
      </c>
      <c r="J1713" s="8" t="n">
        <v>7.5</v>
      </c>
      <c r="K1713" s="8" t="n">
        <v>7.5</v>
      </c>
      <c r="L1713" s="8" t="n">
        <v>0</v>
      </c>
      <c r="M1713" s="29" t="inlineStr">
        <is>
          <t>HALİL DİĞRENCİ</t>
        </is>
      </c>
    </row>
    <row r="1714">
      <c r="A1714" s="4" t="n">
        <v>1713</v>
      </c>
      <c r="B1714" s="4" t="inlineStr">
        <is>
          <t>00075</t>
        </is>
      </c>
      <c r="C1714" s="4" t="inlineStr">
        <is>
          <t>00075</t>
        </is>
      </c>
      <c r="D1714" s="29" t="inlineStr">
        <is>
          <t>HACER BEYHAN</t>
        </is>
      </c>
      <c r="E1714" s="4" t="inlineStr">
        <is>
          <t>Cumartesi</t>
        </is>
      </c>
      <c r="F1714" s="4" t="inlineStr">
        <is>
          <t>17.10.2026</t>
        </is>
      </c>
      <c r="G1714" s="4" t="inlineStr">
        <is>
          <t>07:54</t>
        </is>
      </c>
      <c r="H1714" s="4" t="inlineStr">
        <is>
          <t>17.10.2026</t>
        </is>
      </c>
      <c r="I1714" s="4" t="inlineStr">
        <is>
          <t>17:49</t>
        </is>
      </c>
      <c r="J1714" s="8" t="n">
        <v>8.5</v>
      </c>
      <c r="K1714" s="8" t="n">
        <v>7.5</v>
      </c>
      <c r="L1714" s="8" t="n">
        <v>1</v>
      </c>
      <c r="M1714" s="29" t="inlineStr">
        <is>
          <t>HALİL DİĞRENCİ</t>
        </is>
      </c>
    </row>
    <row r="1715">
      <c r="A1715" s="4" t="n">
        <v>1714</v>
      </c>
      <c r="B1715" s="4" t="inlineStr">
        <is>
          <t>00075</t>
        </is>
      </c>
      <c r="C1715" s="4" t="inlineStr">
        <is>
          <t>00075</t>
        </is>
      </c>
      <c r="D1715" s="29" t="inlineStr">
        <is>
          <t>HACER BEYHAN</t>
        </is>
      </c>
      <c r="E1715" s="4" t="inlineStr">
        <is>
          <t>Pazartesi</t>
        </is>
      </c>
      <c r="F1715" s="4" t="inlineStr">
        <is>
          <t>19.10.2026</t>
        </is>
      </c>
      <c r="G1715" s="4" t="inlineStr">
        <is>
          <t>08:01</t>
        </is>
      </c>
      <c r="H1715" s="4" t="inlineStr">
        <is>
          <t>19.10.2026</t>
        </is>
      </c>
      <c r="I1715" s="4" t="inlineStr">
        <is>
          <t>17:43</t>
        </is>
      </c>
      <c r="J1715" s="8" t="n">
        <v>8</v>
      </c>
      <c r="K1715" s="8" t="n">
        <v>7.5</v>
      </c>
      <c r="L1715" s="8" t="n">
        <v>0.5</v>
      </c>
      <c r="M1715" s="29" t="inlineStr">
        <is>
          <t>HALİL DİĞRENCİ</t>
        </is>
      </c>
    </row>
    <row r="1716">
      <c r="A1716" s="4" t="n">
        <v>1715</v>
      </c>
      <c r="B1716" s="4" t="inlineStr">
        <is>
          <t>00075</t>
        </is>
      </c>
      <c r="C1716" s="4" t="inlineStr">
        <is>
          <t>00075</t>
        </is>
      </c>
      <c r="D1716" s="29" t="inlineStr">
        <is>
          <t>HACER BEYHAN</t>
        </is>
      </c>
      <c r="E1716" s="4" t="inlineStr">
        <is>
          <t>Salı</t>
        </is>
      </c>
      <c r="F1716" s="4" t="inlineStr">
        <is>
          <t>20.10.2026</t>
        </is>
      </c>
      <c r="G1716" s="4" t="inlineStr">
        <is>
          <t>07:57</t>
        </is>
      </c>
      <c r="H1716" s="4" t="inlineStr">
        <is>
          <t>20.10.2026</t>
        </is>
      </c>
      <c r="I1716" s="4" t="inlineStr">
        <is>
          <t>17:03</t>
        </is>
      </c>
      <c r="J1716" s="8" t="n">
        <v>7.5</v>
      </c>
      <c r="K1716" s="8" t="n">
        <v>7.5</v>
      </c>
      <c r="L1716" s="8" t="n">
        <v>0</v>
      </c>
      <c r="M1716" s="29" t="inlineStr">
        <is>
          <t>HALİL DİĞRENCİ</t>
        </is>
      </c>
    </row>
    <row r="1717">
      <c r="A1717" s="4" t="n">
        <v>1716</v>
      </c>
      <c r="B1717" s="4" t="inlineStr">
        <is>
          <t>00075</t>
        </is>
      </c>
      <c r="C1717" s="4" t="inlineStr">
        <is>
          <t>00075</t>
        </is>
      </c>
      <c r="D1717" s="29" t="inlineStr">
        <is>
          <t>HACER BEYHAN</t>
        </is>
      </c>
      <c r="E1717" s="4" t="inlineStr">
        <is>
          <t>Çarşamba</t>
        </is>
      </c>
      <c r="F1717" s="4" t="inlineStr">
        <is>
          <t>21.10.2026</t>
        </is>
      </c>
      <c r="G1717" s="4" t="inlineStr">
        <is>
          <t>07:55</t>
        </is>
      </c>
      <c r="H1717" s="4" t="inlineStr">
        <is>
          <t>21.10.2026</t>
        </is>
      </c>
      <c r="I1717" s="4" t="inlineStr">
        <is>
          <t>17:03</t>
        </is>
      </c>
      <c r="J1717" s="8" t="n">
        <v>7.5</v>
      </c>
      <c r="K1717" s="8" t="n">
        <v>7.5</v>
      </c>
      <c r="L1717" s="8" t="n">
        <v>0</v>
      </c>
      <c r="M1717" s="29" t="inlineStr">
        <is>
          <t>HALİL DİĞRENCİ</t>
        </is>
      </c>
    </row>
    <row r="1718">
      <c r="A1718" s="4" t="n">
        <v>1717</v>
      </c>
      <c r="B1718" s="4" t="inlineStr">
        <is>
          <t>01078</t>
        </is>
      </c>
      <c r="C1718" s="4" t="inlineStr">
        <is>
          <t>01078</t>
        </is>
      </c>
      <c r="D1718" s="29" t="inlineStr">
        <is>
          <t>HAFİZE AVCIOĞLU</t>
        </is>
      </c>
      <c r="E1718" s="4" t="inlineStr">
        <is>
          <t>Perşembe</t>
        </is>
      </c>
      <c r="F1718" s="4" t="inlineStr">
        <is>
          <t>1.10.2026</t>
        </is>
      </c>
      <c r="G1718" s="4" t="inlineStr">
        <is>
          <t>07:36</t>
        </is>
      </c>
      <c r="H1718" s="4" t="inlineStr">
        <is>
          <t>1.10.2026</t>
        </is>
      </c>
      <c r="I1718" s="4" t="inlineStr">
        <is>
          <t>17:29</t>
        </is>
      </c>
      <c r="J1718" s="8" t="n">
        <v>8</v>
      </c>
      <c r="K1718" s="8" t="n">
        <v>7.5</v>
      </c>
      <c r="L1718" s="8" t="n">
        <v>0.5</v>
      </c>
      <c r="M1718" s="29" t="inlineStr">
        <is>
          <t>GÜVEN TURİZM</t>
        </is>
      </c>
    </row>
    <row r="1719">
      <c r="A1719" s="4" t="n">
        <v>1718</v>
      </c>
      <c r="B1719" s="4" t="inlineStr">
        <is>
          <t>01078</t>
        </is>
      </c>
      <c r="C1719" s="4" t="inlineStr">
        <is>
          <t>01078</t>
        </is>
      </c>
      <c r="D1719" s="29" t="inlineStr">
        <is>
          <t>HAFİZE AVCIOĞLU</t>
        </is>
      </c>
      <c r="E1719" s="4" t="inlineStr">
        <is>
          <t>Cuma</t>
        </is>
      </c>
      <c r="F1719" s="4" t="inlineStr">
        <is>
          <t>2.10.2026</t>
        </is>
      </c>
      <c r="G1719" s="4" t="inlineStr">
        <is>
          <t>07:39</t>
        </is>
      </c>
      <c r="H1719" s="4" t="inlineStr">
        <is>
          <t>2.10.2026</t>
        </is>
      </c>
      <c r="I1719" s="4" t="inlineStr">
        <is>
          <t>17:50</t>
        </is>
      </c>
      <c r="J1719" s="8" t="n">
        <v>8.5</v>
      </c>
      <c r="K1719" s="8" t="n">
        <v>7.5</v>
      </c>
      <c r="L1719" s="8" t="n">
        <v>1</v>
      </c>
      <c r="M1719" s="29" t="inlineStr">
        <is>
          <t>GÜVEN TURİZM</t>
        </is>
      </c>
    </row>
    <row r="1720">
      <c r="A1720" s="4" t="n">
        <v>1719</v>
      </c>
      <c r="B1720" s="4" t="inlineStr">
        <is>
          <t>01078</t>
        </is>
      </c>
      <c r="C1720" s="4" t="inlineStr">
        <is>
          <t>01078</t>
        </is>
      </c>
      <c r="D1720" s="29" t="inlineStr">
        <is>
          <t>HAFİZE AVCIOĞLU</t>
        </is>
      </c>
      <c r="E1720" s="4" t="inlineStr">
        <is>
          <t>Cumartesi</t>
        </is>
      </c>
      <c r="F1720" s="4" t="inlineStr">
        <is>
          <t>3.10.2026</t>
        </is>
      </c>
      <c r="G1720" s="4" t="inlineStr">
        <is>
          <t>07:36</t>
        </is>
      </c>
      <c r="H1720" s="4" t="inlineStr">
        <is>
          <t>3.10.2026</t>
        </is>
      </c>
      <c r="I1720" s="4" t="inlineStr">
        <is>
          <t>17:39</t>
        </is>
      </c>
      <c r="J1720" s="8" t="n">
        <v>8</v>
      </c>
      <c r="K1720" s="8" t="n">
        <v>7.5</v>
      </c>
      <c r="L1720" s="8" t="n">
        <v>0.5</v>
      </c>
      <c r="M1720" s="29" t="inlineStr">
        <is>
          <t>GÜVEN TURİZM</t>
        </is>
      </c>
    </row>
    <row r="1721">
      <c r="A1721" s="4" t="n">
        <v>1720</v>
      </c>
      <c r="B1721" s="4" t="inlineStr">
        <is>
          <t>01078</t>
        </is>
      </c>
      <c r="C1721" s="4" t="inlineStr">
        <is>
          <t>01078</t>
        </is>
      </c>
      <c r="D1721" s="29" t="inlineStr">
        <is>
          <t>HAFİZE AVCIOĞLU</t>
        </is>
      </c>
      <c r="E1721" s="4" t="inlineStr">
        <is>
          <t>Pazartesi</t>
        </is>
      </c>
      <c r="F1721" s="4" t="inlineStr">
        <is>
          <t>5.10.2026</t>
        </is>
      </c>
      <c r="G1721" s="4" t="inlineStr">
        <is>
          <t>07:39</t>
        </is>
      </c>
      <c r="H1721" s="4" t="inlineStr">
        <is>
          <t>5.10.2026</t>
        </is>
      </c>
      <c r="I1721" s="4" t="inlineStr">
        <is>
          <t>17:03</t>
        </is>
      </c>
      <c r="J1721" s="8" t="n">
        <v>7.5</v>
      </c>
      <c r="K1721" s="8" t="n">
        <v>7.5</v>
      </c>
      <c r="L1721" s="8" t="n">
        <v>0</v>
      </c>
      <c r="M1721" s="29" t="inlineStr">
        <is>
          <t>GÜVEN TURİZM</t>
        </is>
      </c>
    </row>
    <row r="1722">
      <c r="A1722" s="4" t="n">
        <v>1721</v>
      </c>
      <c r="B1722" s="4" t="inlineStr">
        <is>
          <t>01078</t>
        </is>
      </c>
      <c r="C1722" s="4" t="inlineStr">
        <is>
          <t>01078</t>
        </is>
      </c>
      <c r="D1722" s="29" t="inlineStr">
        <is>
          <t>HAFİZE AVCIOĞLU</t>
        </is>
      </c>
      <c r="E1722" s="4" t="inlineStr">
        <is>
          <t>Salı</t>
        </is>
      </c>
      <c r="F1722" s="4" t="inlineStr">
        <is>
          <t>6.10.2026</t>
        </is>
      </c>
      <c r="G1722" s="4" t="inlineStr">
        <is>
          <t>07:41</t>
        </is>
      </c>
      <c r="H1722" s="4" t="inlineStr">
        <is>
          <t>6.10.2026</t>
        </is>
      </c>
      <c r="I1722" s="4" t="inlineStr">
        <is>
          <t>17:42</t>
        </is>
      </c>
      <c r="J1722" s="8" t="n">
        <v>8</v>
      </c>
      <c r="K1722" s="8" t="n">
        <v>7.5</v>
      </c>
      <c r="L1722" s="8" t="n">
        <v>0.5</v>
      </c>
      <c r="M1722" s="29" t="inlineStr">
        <is>
          <t>GÜVEN TURİZM</t>
        </is>
      </c>
    </row>
    <row r="1723">
      <c r="A1723" s="4" t="n">
        <v>1722</v>
      </c>
      <c r="B1723" s="4" t="inlineStr">
        <is>
          <t>01078</t>
        </is>
      </c>
      <c r="C1723" s="4" t="inlineStr">
        <is>
          <t>01078</t>
        </is>
      </c>
      <c r="D1723" s="29" t="inlineStr">
        <is>
          <t>HAFİZE AVCIOĞLU</t>
        </is>
      </c>
      <c r="E1723" s="4" t="inlineStr">
        <is>
          <t>Çarşamba</t>
        </is>
      </c>
      <c r="F1723" s="4" t="inlineStr">
        <is>
          <t>7.10.2026</t>
        </is>
      </c>
      <c r="G1723" s="4" t="inlineStr">
        <is>
          <t>07:36</t>
        </is>
      </c>
      <c r="H1723" s="4" t="inlineStr">
        <is>
          <t>7.10.2026</t>
        </is>
      </c>
      <c r="I1723" s="4" t="inlineStr">
        <is>
          <t>17:24</t>
        </is>
      </c>
      <c r="J1723" s="8" t="n">
        <v>8</v>
      </c>
      <c r="K1723" s="8" t="n">
        <v>7.5</v>
      </c>
      <c r="L1723" s="8" t="n">
        <v>0.5</v>
      </c>
      <c r="M1723" s="29" t="inlineStr">
        <is>
          <t>GÜVEN TURİZM</t>
        </is>
      </c>
    </row>
    <row r="1724">
      <c r="A1724" s="4" t="n">
        <v>1723</v>
      </c>
      <c r="B1724" s="4" t="inlineStr">
        <is>
          <t>01078</t>
        </is>
      </c>
      <c r="C1724" s="4" t="inlineStr">
        <is>
          <t>01078</t>
        </is>
      </c>
      <c r="D1724" s="29" t="inlineStr">
        <is>
          <t>HAFİZE AVCIOĞLU</t>
        </is>
      </c>
      <c r="E1724" s="4" t="inlineStr">
        <is>
          <t>Perşembe</t>
        </is>
      </c>
      <c r="F1724" s="4" t="inlineStr">
        <is>
          <t>8.10.2026</t>
        </is>
      </c>
      <c r="G1724" s="4" t="inlineStr">
        <is>
          <t>07:36</t>
        </is>
      </c>
      <c r="H1724" s="4" t="inlineStr">
        <is>
          <t>8.10.2026</t>
        </is>
      </c>
      <c r="I1724" s="4" t="inlineStr">
        <is>
          <t>17:35</t>
        </is>
      </c>
      <c r="J1724" s="8" t="n">
        <v>8</v>
      </c>
      <c r="K1724" s="8" t="n">
        <v>7.5</v>
      </c>
      <c r="L1724" s="8" t="n">
        <v>0.5</v>
      </c>
      <c r="M1724" s="29" t="inlineStr">
        <is>
          <t>GÜVEN TURİZM</t>
        </is>
      </c>
    </row>
    <row r="1725">
      <c r="A1725" s="4" t="n">
        <v>1724</v>
      </c>
      <c r="B1725" s="4" t="inlineStr">
        <is>
          <t>01078</t>
        </is>
      </c>
      <c r="C1725" s="4" t="inlineStr">
        <is>
          <t>01078</t>
        </is>
      </c>
      <c r="D1725" s="29" t="inlineStr">
        <is>
          <t>HAFİZE AVCIOĞLU</t>
        </is>
      </c>
      <c r="E1725" s="4" t="inlineStr">
        <is>
          <t>Cuma</t>
        </is>
      </c>
      <c r="F1725" s="4" t="inlineStr">
        <is>
          <t>9.10.2026</t>
        </is>
      </c>
      <c r="G1725" s="4" t="inlineStr">
        <is>
          <t>07:38</t>
        </is>
      </c>
      <c r="H1725" s="4" t="inlineStr">
        <is>
          <t>9.10.2026</t>
        </is>
      </c>
      <c r="I1725" s="4" t="inlineStr">
        <is>
          <t>17:43</t>
        </is>
      </c>
      <c r="J1725" s="8" t="n">
        <v>8</v>
      </c>
      <c r="K1725" s="8" t="n">
        <v>7.5</v>
      </c>
      <c r="L1725" s="8" t="n">
        <v>0.5</v>
      </c>
      <c r="M1725" s="29" t="inlineStr">
        <is>
          <t>GÜVEN TURİZM</t>
        </is>
      </c>
    </row>
    <row r="1726">
      <c r="A1726" s="4" t="n">
        <v>1725</v>
      </c>
      <c r="B1726" s="4" t="inlineStr">
        <is>
          <t>01078</t>
        </is>
      </c>
      <c r="C1726" s="4" t="inlineStr">
        <is>
          <t>01078</t>
        </is>
      </c>
      <c r="D1726" s="29" t="inlineStr">
        <is>
          <t>HAFİZE AVCIOĞLU</t>
        </is>
      </c>
      <c r="E1726" s="4" t="inlineStr">
        <is>
          <t>Cumartesi</t>
        </is>
      </c>
      <c r="F1726" s="4" t="inlineStr">
        <is>
          <t>10.10.2026</t>
        </is>
      </c>
      <c r="G1726" s="4" t="inlineStr">
        <is>
          <t>07:40</t>
        </is>
      </c>
      <c r="H1726" s="4" t="inlineStr">
        <is>
          <t>10.10.2026</t>
        </is>
      </c>
      <c r="I1726" s="4" t="inlineStr">
        <is>
          <t>18:14</t>
        </is>
      </c>
      <c r="J1726" s="8" t="n">
        <v>8.5</v>
      </c>
      <c r="K1726" s="8" t="n">
        <v>7.5</v>
      </c>
      <c r="L1726" s="8" t="n">
        <v>1</v>
      </c>
      <c r="M1726" s="29" t="inlineStr">
        <is>
          <t>GÜVEN TURİZM</t>
        </is>
      </c>
    </row>
    <row r="1727">
      <c r="A1727" s="4" t="n">
        <v>1726</v>
      </c>
      <c r="B1727" s="4" t="inlineStr">
        <is>
          <t>01078</t>
        </is>
      </c>
      <c r="C1727" s="4" t="inlineStr">
        <is>
          <t>01078</t>
        </is>
      </c>
      <c r="D1727" s="29" t="inlineStr">
        <is>
          <t>HAFİZE AVCIOĞLU</t>
        </is>
      </c>
      <c r="E1727" s="4" t="inlineStr">
        <is>
          <t>Pazartesi</t>
        </is>
      </c>
      <c r="F1727" s="4" t="inlineStr">
        <is>
          <t>12.10.2026</t>
        </is>
      </c>
      <c r="G1727" s="4" t="inlineStr">
        <is>
          <t>07:45</t>
        </is>
      </c>
      <c r="H1727" s="4" t="inlineStr">
        <is>
          <t>12.10.2026</t>
        </is>
      </c>
      <c r="I1727" s="4" t="inlineStr">
        <is>
          <t>17:01</t>
        </is>
      </c>
      <c r="J1727" s="8" t="n">
        <v>7.5</v>
      </c>
      <c r="K1727" s="8" t="n">
        <v>7.5</v>
      </c>
      <c r="L1727" s="8" t="n">
        <v>0</v>
      </c>
      <c r="M1727" s="29" t="inlineStr">
        <is>
          <t>GÜVEN TURİZM</t>
        </is>
      </c>
    </row>
    <row r="1728">
      <c r="A1728" s="4" t="n">
        <v>1727</v>
      </c>
      <c r="B1728" s="4" t="inlineStr">
        <is>
          <t>01078</t>
        </is>
      </c>
      <c r="C1728" s="4" t="inlineStr">
        <is>
          <t>01078</t>
        </is>
      </c>
      <c r="D1728" s="29" t="inlineStr">
        <is>
          <t>HAFİZE AVCIOĞLU</t>
        </is>
      </c>
      <c r="E1728" s="4" t="inlineStr">
        <is>
          <t>Salı</t>
        </is>
      </c>
      <c r="F1728" s="4" t="inlineStr">
        <is>
          <t>13.10.2026</t>
        </is>
      </c>
      <c r="G1728" s="4" t="inlineStr">
        <is>
          <t>07:41</t>
        </is>
      </c>
      <c r="H1728" s="4" t="inlineStr">
        <is>
          <t>13.10.2026</t>
        </is>
      </c>
      <c r="I1728" s="4" t="inlineStr">
        <is>
          <t>17:02</t>
        </is>
      </c>
      <c r="J1728" s="8" t="n">
        <v>7.5</v>
      </c>
      <c r="K1728" s="8" t="n">
        <v>7.5</v>
      </c>
      <c r="L1728" s="8" t="n">
        <v>0</v>
      </c>
      <c r="M1728" s="29" t="inlineStr">
        <is>
          <t>GÜVEN TURİZM</t>
        </is>
      </c>
    </row>
    <row r="1729">
      <c r="A1729" s="4" t="n">
        <v>1728</v>
      </c>
      <c r="B1729" s="4" t="inlineStr">
        <is>
          <t>01078</t>
        </is>
      </c>
      <c r="C1729" s="4" t="inlineStr">
        <is>
          <t>01078</t>
        </is>
      </c>
      <c r="D1729" s="29" t="inlineStr">
        <is>
          <t>HAFİZE AVCIOĞLU</t>
        </is>
      </c>
      <c r="E1729" s="4" t="inlineStr">
        <is>
          <t>Çarşamba</t>
        </is>
      </c>
      <c r="F1729" s="4" t="inlineStr">
        <is>
          <t>14.10.2026</t>
        </is>
      </c>
      <c r="G1729" s="4" t="inlineStr">
        <is>
          <t>07:47</t>
        </is>
      </c>
      <c r="H1729" s="4" t="inlineStr">
        <is>
          <t>14.10.2026</t>
        </is>
      </c>
      <c r="I1729" s="4" t="inlineStr">
        <is>
          <t>18:06</t>
        </is>
      </c>
      <c r="J1729" s="8" t="n">
        <v>8.5</v>
      </c>
      <c r="K1729" s="8" t="n">
        <v>7.5</v>
      </c>
      <c r="L1729" s="8" t="n">
        <v>1</v>
      </c>
      <c r="M1729" s="29" t="inlineStr">
        <is>
          <t>GÜVEN TURİZM</t>
        </is>
      </c>
    </row>
    <row r="1730">
      <c r="A1730" s="4" t="n">
        <v>1729</v>
      </c>
      <c r="B1730" s="4" t="inlineStr">
        <is>
          <t>01078</t>
        </is>
      </c>
      <c r="C1730" s="4" t="inlineStr">
        <is>
          <t>01078</t>
        </is>
      </c>
      <c r="D1730" s="29" t="inlineStr">
        <is>
          <t>HAFİZE AVCIOĞLU</t>
        </is>
      </c>
      <c r="E1730" s="4" t="inlineStr">
        <is>
          <t>Perşembe</t>
        </is>
      </c>
      <c r="F1730" s="4" t="inlineStr">
        <is>
          <t>15.10.2026</t>
        </is>
      </c>
      <c r="G1730" s="4" t="inlineStr">
        <is>
          <t>07:41</t>
        </is>
      </c>
      <c r="H1730" s="4" t="inlineStr">
        <is>
          <t>15.10.2026</t>
        </is>
      </c>
      <c r="I1730" s="4" t="inlineStr">
        <is>
          <t>17:02</t>
        </is>
      </c>
      <c r="J1730" s="8" t="n">
        <v>7.5</v>
      </c>
      <c r="K1730" s="8" t="n">
        <v>7.5</v>
      </c>
      <c r="L1730" s="8" t="n">
        <v>0</v>
      </c>
      <c r="M1730" s="29" t="inlineStr">
        <is>
          <t>GÜVEN TURİZM</t>
        </is>
      </c>
    </row>
    <row r="1731">
      <c r="A1731" s="4" t="n">
        <v>1730</v>
      </c>
      <c r="B1731" s="4" t="inlineStr">
        <is>
          <t>01078</t>
        </is>
      </c>
      <c r="C1731" s="4" t="inlineStr">
        <is>
          <t>01078</t>
        </is>
      </c>
      <c r="D1731" s="29" t="inlineStr">
        <is>
          <t>HAFİZE AVCIOĞLU</t>
        </is>
      </c>
      <c r="E1731" s="4" t="inlineStr">
        <is>
          <t>Cuma</t>
        </is>
      </c>
      <c r="F1731" s="4" t="inlineStr">
        <is>
          <t>16.10.2026</t>
        </is>
      </c>
      <c r="G1731" s="4" t="inlineStr">
        <is>
          <t>07:38</t>
        </is>
      </c>
      <c r="H1731" s="4" t="inlineStr">
        <is>
          <t>16.10.2026</t>
        </is>
      </c>
      <c r="I1731" s="4" t="inlineStr">
        <is>
          <t>17:18</t>
        </is>
      </c>
      <c r="J1731" s="8" t="n">
        <v>7.5</v>
      </c>
      <c r="K1731" s="8" t="n">
        <v>7.5</v>
      </c>
      <c r="L1731" s="8" t="n">
        <v>0</v>
      </c>
      <c r="M1731" s="29" t="inlineStr">
        <is>
          <t>GÜVEN TURİZM</t>
        </is>
      </c>
    </row>
    <row r="1732">
      <c r="A1732" s="4" t="n">
        <v>1731</v>
      </c>
      <c r="B1732" s="4" t="inlineStr">
        <is>
          <t>01078</t>
        </is>
      </c>
      <c r="C1732" s="4" t="inlineStr">
        <is>
          <t>01078</t>
        </is>
      </c>
      <c r="D1732" s="29" t="inlineStr">
        <is>
          <t>HAFİZE AVCIOĞLU</t>
        </is>
      </c>
      <c r="E1732" s="4" t="inlineStr">
        <is>
          <t>Cumartesi</t>
        </is>
      </c>
      <c r="F1732" s="4" t="inlineStr">
        <is>
          <t>17.10.2026</t>
        </is>
      </c>
      <c r="G1732" s="4" t="inlineStr">
        <is>
          <t>07:38</t>
        </is>
      </c>
      <c r="H1732" s="4" t="inlineStr">
        <is>
          <t>17.10.2026</t>
        </is>
      </c>
      <c r="I1732" s="4" t="inlineStr">
        <is>
          <t>17:53</t>
        </is>
      </c>
      <c r="J1732" s="8" t="n">
        <v>8.5</v>
      </c>
      <c r="K1732" s="8" t="n">
        <v>7.5</v>
      </c>
      <c r="L1732" s="8" t="n">
        <v>1</v>
      </c>
      <c r="M1732" s="29" t="inlineStr">
        <is>
          <t>GÜVEN TURİZM</t>
        </is>
      </c>
    </row>
    <row r="1733">
      <c r="A1733" s="4" t="n">
        <v>1732</v>
      </c>
      <c r="B1733" s="4" t="inlineStr">
        <is>
          <t>01078</t>
        </is>
      </c>
      <c r="C1733" s="4" t="inlineStr">
        <is>
          <t>01078</t>
        </is>
      </c>
      <c r="D1733" s="29" t="inlineStr">
        <is>
          <t>HAFİZE AVCIOĞLU</t>
        </is>
      </c>
      <c r="E1733" s="4" t="inlineStr">
        <is>
          <t>Pazartesi</t>
        </is>
      </c>
      <c r="F1733" s="4" t="inlineStr">
        <is>
          <t>19.10.2026</t>
        </is>
      </c>
      <c r="G1733" s="4" t="inlineStr">
        <is>
          <t>07:38</t>
        </is>
      </c>
      <c r="H1733" s="4" t="inlineStr">
        <is>
          <t>19.10.2026</t>
        </is>
      </c>
      <c r="I1733" s="4" t="inlineStr">
        <is>
          <t>17:46</t>
        </is>
      </c>
      <c r="J1733" s="8" t="n">
        <v>8.5</v>
      </c>
      <c r="K1733" s="8" t="n">
        <v>7.5</v>
      </c>
      <c r="L1733" s="8" t="n">
        <v>1</v>
      </c>
      <c r="M1733" s="29" t="inlineStr">
        <is>
          <t>GÜVEN TURİZM</t>
        </is>
      </c>
    </row>
    <row r="1734">
      <c r="A1734" s="4" t="n">
        <v>1733</v>
      </c>
      <c r="B1734" s="4" t="inlineStr">
        <is>
          <t>01078</t>
        </is>
      </c>
      <c r="C1734" s="4" t="inlineStr">
        <is>
          <t>01078</t>
        </is>
      </c>
      <c r="D1734" s="29" t="inlineStr">
        <is>
          <t>HAFİZE AVCIOĞLU</t>
        </is>
      </c>
      <c r="E1734" s="4" t="inlineStr">
        <is>
          <t>Salı</t>
        </is>
      </c>
      <c r="F1734" s="4" t="inlineStr">
        <is>
          <t>20.10.2026</t>
        </is>
      </c>
      <c r="G1734" s="4" t="inlineStr">
        <is>
          <t>07:39</t>
        </is>
      </c>
      <c r="H1734" s="4" t="inlineStr">
        <is>
          <t>20.10.2026</t>
        </is>
      </c>
      <c r="I1734" s="4" t="inlineStr">
        <is>
          <t>17:01</t>
        </is>
      </c>
      <c r="J1734" s="8" t="n">
        <v>7.5</v>
      </c>
      <c r="K1734" s="8" t="n">
        <v>7.5</v>
      </c>
      <c r="L1734" s="8" t="n">
        <v>0</v>
      </c>
      <c r="M1734" s="29" t="inlineStr">
        <is>
          <t>GÜVEN TURİZM</t>
        </is>
      </c>
    </row>
    <row r="1735">
      <c r="A1735" s="4" t="n">
        <v>1734</v>
      </c>
      <c r="B1735" s="4" t="inlineStr">
        <is>
          <t>01078</t>
        </is>
      </c>
      <c r="C1735" s="4" t="inlineStr">
        <is>
          <t>01078</t>
        </is>
      </c>
      <c r="D1735" s="29" t="inlineStr">
        <is>
          <t>HAFİZE AVCIOĞLU</t>
        </is>
      </c>
      <c r="E1735" s="4" t="inlineStr">
        <is>
          <t>Çarşamba</t>
        </is>
      </c>
      <c r="F1735" s="4" t="inlineStr">
        <is>
          <t>21.10.2026</t>
        </is>
      </c>
      <c r="G1735" s="4" t="inlineStr">
        <is>
          <t>07:48</t>
        </is>
      </c>
      <c r="H1735" s="4" t="inlineStr">
        <is>
          <t>21.10.2026</t>
        </is>
      </c>
      <c r="I1735" s="4" t="inlineStr">
        <is>
          <t>17:04</t>
        </is>
      </c>
      <c r="J1735" s="8" t="n">
        <v>7.5</v>
      </c>
      <c r="K1735" s="8" t="n">
        <v>7.5</v>
      </c>
      <c r="L1735" s="8" t="n">
        <v>0</v>
      </c>
      <c r="M1735" s="29" t="inlineStr">
        <is>
          <t>GÜVEN TURİZM</t>
        </is>
      </c>
    </row>
    <row r="1736">
      <c r="A1736" s="4" t="n">
        <v>1735</v>
      </c>
      <c r="B1736" s="4" t="inlineStr">
        <is>
          <t>01159</t>
        </is>
      </c>
      <c r="C1736" s="4" t="inlineStr">
        <is>
          <t>01159</t>
        </is>
      </c>
      <c r="D1736" s="29" t="inlineStr">
        <is>
          <t>HAMİT GİRGİN</t>
        </is>
      </c>
      <c r="E1736" s="4" t="inlineStr">
        <is>
          <t>Perşembe</t>
        </is>
      </c>
      <c r="F1736" s="4" t="inlineStr">
        <is>
          <t>1.10.2026</t>
        </is>
      </c>
      <c r="G1736" s="4" t="inlineStr">
        <is>
          <t>09:50</t>
        </is>
      </c>
      <c r="H1736" s="4" t="inlineStr">
        <is>
          <t>1.10.2026</t>
        </is>
      </c>
      <c r="I1736" s="4" t="inlineStr">
        <is>
          <t>17:30</t>
        </is>
      </c>
      <c r="J1736" s="8" t="n">
        <v>6.5</v>
      </c>
      <c r="K1736" s="8" t="n">
        <v>6</v>
      </c>
      <c r="L1736" s="8" t="n">
        <v>0.5</v>
      </c>
      <c r="M1736" s="29" t="inlineStr">
        <is>
          <t>GÜVEN MUSTAFAKEMALPAŞA</t>
        </is>
      </c>
    </row>
    <row r="1737">
      <c r="A1737" s="4" t="n">
        <v>1736</v>
      </c>
      <c r="B1737" s="4" t="inlineStr">
        <is>
          <t>01159</t>
        </is>
      </c>
      <c r="C1737" s="4" t="inlineStr">
        <is>
          <t>01159</t>
        </is>
      </c>
      <c r="D1737" s="29" t="inlineStr">
        <is>
          <t>HAMİT GİRGİN</t>
        </is>
      </c>
      <c r="E1737" s="4" t="inlineStr">
        <is>
          <t>Cuma</t>
        </is>
      </c>
      <c r="F1737" s="4" t="inlineStr">
        <is>
          <t>2.10.2026</t>
        </is>
      </c>
      <c r="G1737" s="4" t="inlineStr">
        <is>
          <t>09:46</t>
        </is>
      </c>
      <c r="H1737" s="4" t="inlineStr">
        <is>
          <t>2.10.2026</t>
        </is>
      </c>
      <c r="I1737" s="4" t="inlineStr">
        <is>
          <t>19:58</t>
        </is>
      </c>
      <c r="J1737" s="8" t="n">
        <v>9</v>
      </c>
      <c r="K1737" s="8" t="n">
        <v>6</v>
      </c>
      <c r="L1737" s="8" t="n">
        <v>3</v>
      </c>
      <c r="M1737" s="29" t="inlineStr">
        <is>
          <t>GÜVEN MUSTAFAKEMALPAŞA</t>
        </is>
      </c>
    </row>
    <row r="1738">
      <c r="A1738" s="4" t="n">
        <v>1737</v>
      </c>
      <c r="B1738" s="4" t="inlineStr">
        <is>
          <t>01159</t>
        </is>
      </c>
      <c r="C1738" s="4" t="inlineStr">
        <is>
          <t>01159</t>
        </is>
      </c>
      <c r="D1738" s="29" t="inlineStr">
        <is>
          <t>HAMİT GİRGİN</t>
        </is>
      </c>
      <c r="E1738" s="4" t="inlineStr">
        <is>
          <t>Cumartesi</t>
        </is>
      </c>
      <c r="F1738" s="4" t="inlineStr">
        <is>
          <t>3.10.2026</t>
        </is>
      </c>
      <c r="G1738" s="4" t="inlineStr">
        <is>
          <t>09:51</t>
        </is>
      </c>
      <c r="H1738" s="4" t="inlineStr">
        <is>
          <t>3.10.2026</t>
        </is>
      </c>
      <c r="I1738" s="4" t="inlineStr">
        <is>
          <t>19:53</t>
        </is>
      </c>
      <c r="J1738" s="8" t="n">
        <v>8.5</v>
      </c>
      <c r="K1738" s="8" t="n">
        <v>5.5</v>
      </c>
      <c r="L1738" s="8" t="n">
        <v>3</v>
      </c>
      <c r="M1738" s="29" t="inlineStr">
        <is>
          <t>GÜVEN MUSTAFAKEMALPAŞA</t>
        </is>
      </c>
    </row>
    <row r="1739">
      <c r="A1739" s="4" t="n">
        <v>1738</v>
      </c>
      <c r="B1739" s="4" t="inlineStr">
        <is>
          <t>01159</t>
        </is>
      </c>
      <c r="C1739" s="4" t="inlineStr">
        <is>
          <t>01159</t>
        </is>
      </c>
      <c r="D1739" s="29" t="inlineStr">
        <is>
          <t>HAMİT GİRGİN</t>
        </is>
      </c>
      <c r="E1739" s="4" t="inlineStr">
        <is>
          <t>Pazartesi</t>
        </is>
      </c>
      <c r="F1739" s="4" t="inlineStr">
        <is>
          <t>5.10.2026</t>
        </is>
      </c>
      <c r="G1739" s="4" t="inlineStr">
        <is>
          <t>09:45</t>
        </is>
      </c>
      <c r="H1739" s="4" t="inlineStr">
        <is>
          <t>5.10.2026</t>
        </is>
      </c>
      <c r="I1739" s="4" t="inlineStr">
        <is>
          <t>17:10</t>
        </is>
      </c>
      <c r="J1739" s="8" t="n">
        <v>6</v>
      </c>
      <c r="K1739" s="8" t="n">
        <v>6</v>
      </c>
      <c r="L1739" s="8" t="n">
        <v>0</v>
      </c>
      <c r="M1739" s="29" t="inlineStr">
        <is>
          <t>GÜVEN MUSTAFAKEMALPAŞA</t>
        </is>
      </c>
    </row>
    <row r="1740">
      <c r="A1740" s="4" t="n">
        <v>1739</v>
      </c>
      <c r="B1740" s="4" t="inlineStr">
        <is>
          <t>01159</t>
        </is>
      </c>
      <c r="C1740" s="4" t="inlineStr">
        <is>
          <t>01159</t>
        </is>
      </c>
      <c r="D1740" s="29" t="inlineStr">
        <is>
          <t>HAMİT GİRGİN</t>
        </is>
      </c>
      <c r="E1740" s="4" t="inlineStr">
        <is>
          <t>Salı</t>
        </is>
      </c>
      <c r="F1740" s="4" t="inlineStr">
        <is>
          <t>6.10.2026</t>
        </is>
      </c>
      <c r="G1740" s="4" t="inlineStr">
        <is>
          <t>09:42</t>
        </is>
      </c>
      <c r="H1740" s="4" t="inlineStr">
        <is>
          <t>6.10.2026</t>
        </is>
      </c>
      <c r="I1740" s="4" t="inlineStr">
        <is>
          <t>19:24</t>
        </is>
      </c>
      <c r="J1740" s="8" t="n">
        <v>8.5</v>
      </c>
      <c r="K1740" s="8" t="n">
        <v>6</v>
      </c>
      <c r="L1740" s="8" t="n">
        <v>2.5</v>
      </c>
      <c r="M1740" s="29" t="inlineStr">
        <is>
          <t>GÜVEN MUSTAFAKEMALPAŞA</t>
        </is>
      </c>
    </row>
    <row r="1741">
      <c r="A1741" s="4" t="n">
        <v>1740</v>
      </c>
      <c r="B1741" s="4" t="inlineStr">
        <is>
          <t>01159</t>
        </is>
      </c>
      <c r="C1741" s="4" t="inlineStr">
        <is>
          <t>01159</t>
        </is>
      </c>
      <c r="D1741" s="29" t="inlineStr">
        <is>
          <t>HAMİT GİRGİN</t>
        </is>
      </c>
      <c r="E1741" s="4" t="inlineStr">
        <is>
          <t>Çarşamba</t>
        </is>
      </c>
      <c r="F1741" s="4" t="inlineStr">
        <is>
          <t>7.10.2026</t>
        </is>
      </c>
      <c r="G1741" s="4" t="inlineStr">
        <is>
          <t>09:50</t>
        </is>
      </c>
      <c r="H1741" s="4" t="inlineStr">
        <is>
          <t>7.10.2026</t>
        </is>
      </c>
      <c r="I1741" s="4" t="inlineStr">
        <is>
          <t>17:19</t>
        </is>
      </c>
      <c r="J1741" s="8" t="n">
        <v>6</v>
      </c>
      <c r="K1741" s="8" t="n">
        <v>6</v>
      </c>
      <c r="L1741" s="8" t="n">
        <v>0</v>
      </c>
      <c r="M1741" s="29" t="inlineStr">
        <is>
          <t>GÜVEN MUSTAFAKEMALPAŞA</t>
        </is>
      </c>
    </row>
    <row r="1742">
      <c r="A1742" s="4" t="n">
        <v>1741</v>
      </c>
      <c r="B1742" s="4" t="inlineStr">
        <is>
          <t>01020</t>
        </is>
      </c>
      <c r="C1742" s="4" t="inlineStr">
        <is>
          <t>01020</t>
        </is>
      </c>
      <c r="D1742" s="29" t="inlineStr">
        <is>
          <t>HANDAN TOPTİK</t>
        </is>
      </c>
      <c r="E1742" s="4" t="inlineStr">
        <is>
          <t>Perşembe</t>
        </is>
      </c>
      <c r="F1742" s="4" t="inlineStr">
        <is>
          <t>1.10.2026</t>
        </is>
      </c>
      <c r="G1742" s="4" t="inlineStr">
        <is>
          <t>07:55</t>
        </is>
      </c>
      <c r="H1742" s="4" t="inlineStr">
        <is>
          <t>1.10.2026</t>
        </is>
      </c>
      <c r="I1742" s="4" t="inlineStr">
        <is>
          <t>20:08</t>
        </is>
      </c>
      <c r="J1742" s="8" t="n">
        <v>10.5</v>
      </c>
      <c r="K1742" s="8" t="n">
        <v>7.5</v>
      </c>
      <c r="L1742" s="8" t="n">
        <v>3</v>
      </c>
      <c r="M1742" s="29" t="inlineStr">
        <is>
          <t>HALİL DİĞRENCİ</t>
        </is>
      </c>
    </row>
    <row r="1743">
      <c r="A1743" s="4" t="n">
        <v>1742</v>
      </c>
      <c r="B1743" s="4" t="inlineStr">
        <is>
          <t>01020</t>
        </is>
      </c>
      <c r="C1743" s="4" t="inlineStr">
        <is>
          <t>01020</t>
        </is>
      </c>
      <c r="D1743" s="29" t="inlineStr">
        <is>
          <t>HANDAN TOPTİK</t>
        </is>
      </c>
      <c r="E1743" s="4" t="inlineStr">
        <is>
          <t>Cumartesi</t>
        </is>
      </c>
      <c r="F1743" s="4" t="inlineStr">
        <is>
          <t>3.10.2026</t>
        </is>
      </c>
      <c r="G1743" s="4" t="inlineStr">
        <is>
          <t>08:01</t>
        </is>
      </c>
      <c r="H1743" s="4" t="inlineStr">
        <is>
          <t>3.10.2026</t>
        </is>
      </c>
      <c r="I1743" s="4" t="inlineStr">
        <is>
          <t>20:04</t>
        </is>
      </c>
      <c r="J1743" s="8" t="n">
        <v>10.5</v>
      </c>
      <c r="K1743" s="8" t="n">
        <v>7.5</v>
      </c>
      <c r="L1743" s="8" t="n">
        <v>3</v>
      </c>
      <c r="M1743" s="29" t="inlineStr">
        <is>
          <t>HALİL DİĞRENCİ</t>
        </is>
      </c>
    </row>
    <row r="1744">
      <c r="A1744" s="4" t="n">
        <v>1743</v>
      </c>
      <c r="B1744" s="4" t="inlineStr">
        <is>
          <t>01020</t>
        </is>
      </c>
      <c r="C1744" s="4" t="inlineStr">
        <is>
          <t>01020</t>
        </is>
      </c>
      <c r="D1744" s="29" t="inlineStr">
        <is>
          <t>HANDAN TOPTİK</t>
        </is>
      </c>
      <c r="E1744" s="4" t="inlineStr">
        <is>
          <t>Pazartesi</t>
        </is>
      </c>
      <c r="F1744" s="4" t="inlineStr">
        <is>
          <t>5.10.2026</t>
        </is>
      </c>
      <c r="G1744" s="4" t="inlineStr">
        <is>
          <t>08:04</t>
        </is>
      </c>
      <c r="H1744" s="4" t="inlineStr">
        <is>
          <t>5.10.2026</t>
        </is>
      </c>
      <c r="I1744" s="4" t="inlineStr">
        <is>
          <t>20:02</t>
        </is>
      </c>
      <c r="J1744" s="8" t="n">
        <v>10.5</v>
      </c>
      <c r="K1744" s="8" t="n">
        <v>7.5</v>
      </c>
      <c r="L1744" s="8" t="n">
        <v>3</v>
      </c>
      <c r="M1744" s="29" t="inlineStr">
        <is>
          <t>HALİL DİĞRENCİ</t>
        </is>
      </c>
    </row>
    <row r="1745">
      <c r="A1745" s="4" t="n">
        <v>1744</v>
      </c>
      <c r="B1745" s="4" t="inlineStr">
        <is>
          <t>01020</t>
        </is>
      </c>
      <c r="C1745" s="4" t="inlineStr">
        <is>
          <t>01020</t>
        </is>
      </c>
      <c r="D1745" s="29" t="inlineStr">
        <is>
          <t>HANDAN TOPTİK</t>
        </is>
      </c>
      <c r="E1745" s="4" t="inlineStr">
        <is>
          <t>Salı</t>
        </is>
      </c>
      <c r="F1745" s="4" t="inlineStr">
        <is>
          <t>6.10.2026</t>
        </is>
      </c>
      <c r="G1745" s="4" t="inlineStr">
        <is>
          <t>07:59</t>
        </is>
      </c>
      <c r="H1745" s="4" t="inlineStr">
        <is>
          <t>6.10.2026</t>
        </is>
      </c>
      <c r="I1745" s="4" t="inlineStr">
        <is>
          <t>20:01</t>
        </is>
      </c>
      <c r="J1745" s="8" t="n">
        <v>10.5</v>
      </c>
      <c r="K1745" s="8" t="n">
        <v>7.5</v>
      </c>
      <c r="L1745" s="8" t="n">
        <v>3</v>
      </c>
      <c r="M1745" s="29" t="inlineStr">
        <is>
          <t>HALİL DİĞRENCİ</t>
        </is>
      </c>
    </row>
    <row r="1746">
      <c r="A1746" s="4" t="n">
        <v>1745</v>
      </c>
      <c r="B1746" s="4" t="inlineStr">
        <is>
          <t>01020</t>
        </is>
      </c>
      <c r="C1746" s="4" t="inlineStr">
        <is>
          <t>01020</t>
        </is>
      </c>
      <c r="D1746" s="29" t="inlineStr">
        <is>
          <t>HANDAN TOPTİK</t>
        </is>
      </c>
      <c r="E1746" s="4" t="inlineStr">
        <is>
          <t>Perşembe</t>
        </is>
      </c>
      <c r="F1746" s="4" t="inlineStr">
        <is>
          <t>8.10.2026</t>
        </is>
      </c>
      <c r="G1746" s="4" t="inlineStr">
        <is>
          <t>07:53</t>
        </is>
      </c>
      <c r="H1746" s="4" t="inlineStr">
        <is>
          <t>8.10.2026</t>
        </is>
      </c>
      <c r="I1746" s="4" t="inlineStr">
        <is>
          <t>20:01</t>
        </is>
      </c>
      <c r="J1746" s="8" t="n">
        <v>10.5</v>
      </c>
      <c r="K1746" s="8" t="n">
        <v>7.5</v>
      </c>
      <c r="L1746" s="8" t="n">
        <v>3</v>
      </c>
      <c r="M1746" s="29" t="inlineStr">
        <is>
          <t>HALİL DİĞRENCİ</t>
        </is>
      </c>
    </row>
    <row r="1747">
      <c r="A1747" s="4" t="n">
        <v>1746</v>
      </c>
      <c r="B1747" s="4" t="inlineStr">
        <is>
          <t>01020</t>
        </is>
      </c>
      <c r="C1747" s="4" t="inlineStr">
        <is>
          <t>01020</t>
        </is>
      </c>
      <c r="D1747" s="29" t="inlineStr">
        <is>
          <t>HANDAN TOPTİK</t>
        </is>
      </c>
      <c r="E1747" s="4" t="inlineStr">
        <is>
          <t>Cuma</t>
        </is>
      </c>
      <c r="F1747" s="4" t="inlineStr">
        <is>
          <t>9.10.2026</t>
        </is>
      </c>
      <c r="G1747" s="4" t="inlineStr">
        <is>
          <t>07:57</t>
        </is>
      </c>
      <c r="H1747" s="4" t="inlineStr">
        <is>
          <t>9.10.2026</t>
        </is>
      </c>
      <c r="I1747" s="4" t="inlineStr">
        <is>
          <t>20:05</t>
        </is>
      </c>
      <c r="J1747" s="8" t="n">
        <v>10.5</v>
      </c>
      <c r="K1747" s="8" t="n">
        <v>7.5</v>
      </c>
      <c r="L1747" s="8" t="n">
        <v>3</v>
      </c>
      <c r="M1747" s="29" t="inlineStr">
        <is>
          <t>HALİL DİĞRENCİ</t>
        </is>
      </c>
    </row>
    <row r="1748">
      <c r="A1748" s="4" t="n">
        <v>1747</v>
      </c>
      <c r="B1748" s="4" t="inlineStr">
        <is>
          <t>01020</t>
        </is>
      </c>
      <c r="C1748" s="4" t="inlineStr">
        <is>
          <t>01020</t>
        </is>
      </c>
      <c r="D1748" s="29" t="inlineStr">
        <is>
          <t>HANDAN TOPTİK</t>
        </is>
      </c>
      <c r="E1748" s="4" t="inlineStr">
        <is>
          <t>Cumartesi</t>
        </is>
      </c>
      <c r="F1748" s="4" t="inlineStr">
        <is>
          <t>10.10.2026</t>
        </is>
      </c>
      <c r="G1748" s="4" t="inlineStr">
        <is>
          <t>07:59</t>
        </is>
      </c>
      <c r="H1748" s="4" t="inlineStr">
        <is>
          <t>10.10.2026</t>
        </is>
      </c>
      <c r="I1748" s="4" t="inlineStr">
        <is>
          <t>20:03</t>
        </is>
      </c>
      <c r="J1748" s="8" t="n">
        <v>10.5</v>
      </c>
      <c r="K1748" s="8" t="n">
        <v>7.5</v>
      </c>
      <c r="L1748" s="8" t="n">
        <v>3</v>
      </c>
      <c r="M1748" s="29" t="inlineStr">
        <is>
          <t>HALİL DİĞRENCİ</t>
        </is>
      </c>
    </row>
    <row r="1749">
      <c r="A1749" s="4" t="n">
        <v>1748</v>
      </c>
      <c r="B1749" s="4" t="inlineStr">
        <is>
          <t>01020</t>
        </is>
      </c>
      <c r="C1749" s="4" t="inlineStr">
        <is>
          <t>01020</t>
        </is>
      </c>
      <c r="D1749" s="29" t="inlineStr">
        <is>
          <t>HANDAN TOPTİK</t>
        </is>
      </c>
      <c r="E1749" s="4" t="inlineStr">
        <is>
          <t>Pazartesi</t>
        </is>
      </c>
      <c r="F1749" s="4" t="inlineStr">
        <is>
          <t>12.10.2026</t>
        </is>
      </c>
      <c r="G1749" s="4" t="inlineStr">
        <is>
          <t>08:08</t>
        </is>
      </c>
      <c r="H1749" s="4" t="inlineStr">
        <is>
          <t>12.10.2026</t>
        </is>
      </c>
      <c r="I1749" s="4" t="inlineStr">
        <is>
          <t>20:01</t>
        </is>
      </c>
      <c r="J1749" s="8" t="n">
        <v>10.5</v>
      </c>
      <c r="K1749" s="8" t="n">
        <v>7.5</v>
      </c>
      <c r="L1749" s="8" t="n">
        <v>3</v>
      </c>
      <c r="M1749" s="29" t="inlineStr">
        <is>
          <t>HALİL DİĞRENCİ</t>
        </is>
      </c>
    </row>
    <row r="1750">
      <c r="A1750" s="4" t="n">
        <v>1749</v>
      </c>
      <c r="B1750" s="4" t="inlineStr">
        <is>
          <t>01020</t>
        </is>
      </c>
      <c r="C1750" s="4" t="inlineStr">
        <is>
          <t>01020</t>
        </is>
      </c>
      <c r="D1750" s="29" t="inlineStr">
        <is>
          <t>HANDAN TOPTİK</t>
        </is>
      </c>
      <c r="E1750" s="4" t="inlineStr">
        <is>
          <t>Çarşamba</t>
        </is>
      </c>
      <c r="F1750" s="4" t="inlineStr">
        <is>
          <t>14.10.2026</t>
        </is>
      </c>
      <c r="G1750" s="4" t="inlineStr">
        <is>
          <t>07:57</t>
        </is>
      </c>
      <c r="H1750" s="4" t="inlineStr">
        <is>
          <t>14.10.2026</t>
        </is>
      </c>
      <c r="I1750" s="4" t="inlineStr">
        <is>
          <t>20:02</t>
        </is>
      </c>
      <c r="J1750" s="8" t="n">
        <v>10.5</v>
      </c>
      <c r="K1750" s="8" t="n">
        <v>7.5</v>
      </c>
      <c r="L1750" s="8" t="n">
        <v>3</v>
      </c>
      <c r="M1750" s="29" t="inlineStr">
        <is>
          <t>HALİL DİĞRENCİ</t>
        </is>
      </c>
    </row>
    <row r="1751">
      <c r="A1751" s="4" t="n">
        <v>1750</v>
      </c>
      <c r="B1751" s="4" t="inlineStr">
        <is>
          <t>01060</t>
        </is>
      </c>
      <c r="C1751" s="4" t="inlineStr">
        <is>
          <t>01060</t>
        </is>
      </c>
      <c r="D1751" s="29" t="inlineStr">
        <is>
          <t>HANİFE YILDIRIM</t>
        </is>
      </c>
      <c r="E1751" s="4" t="inlineStr">
        <is>
          <t>Perşembe</t>
        </is>
      </c>
      <c r="F1751" s="4" t="inlineStr">
        <is>
          <t>1.10.2026</t>
        </is>
      </c>
      <c r="G1751" s="4" t="inlineStr">
        <is>
          <t>07:50</t>
        </is>
      </c>
      <c r="H1751" s="4" t="inlineStr">
        <is>
          <t>1.10.2026</t>
        </is>
      </c>
      <c r="I1751" s="4" t="inlineStr">
        <is>
          <t>17:28</t>
        </is>
      </c>
      <c r="J1751" s="8" t="n">
        <v>8</v>
      </c>
      <c r="K1751" s="8" t="n">
        <v>7.5</v>
      </c>
      <c r="L1751" s="8" t="n">
        <v>0.5</v>
      </c>
      <c r="M1751" s="29" t="inlineStr">
        <is>
          <t>BALIKESİR</t>
        </is>
      </c>
    </row>
    <row r="1752">
      <c r="A1752" s="4" t="n">
        <v>1751</v>
      </c>
      <c r="B1752" s="4" t="inlineStr">
        <is>
          <t>01060</t>
        </is>
      </c>
      <c r="C1752" s="4" t="inlineStr">
        <is>
          <t>01060</t>
        </is>
      </c>
      <c r="D1752" s="29" t="inlineStr">
        <is>
          <t>HANİFE YILDIRIM</t>
        </is>
      </c>
      <c r="E1752" s="4" t="inlineStr">
        <is>
          <t>Cuma</t>
        </is>
      </c>
      <c r="F1752" s="4" t="inlineStr">
        <is>
          <t>2.10.2026</t>
        </is>
      </c>
      <c r="G1752" s="4" t="inlineStr">
        <is>
          <t>07:56</t>
        </is>
      </c>
      <c r="H1752" s="4" t="inlineStr">
        <is>
          <t>2.10.2026</t>
        </is>
      </c>
      <c r="I1752" s="4" t="inlineStr">
        <is>
          <t>17:47</t>
        </is>
      </c>
      <c r="J1752" s="8" t="n">
        <v>8.5</v>
      </c>
      <c r="K1752" s="8" t="n">
        <v>7.5</v>
      </c>
      <c r="L1752" s="8" t="n">
        <v>1</v>
      </c>
      <c r="M1752" s="29" t="inlineStr">
        <is>
          <t>BALIKESİR</t>
        </is>
      </c>
    </row>
    <row r="1753">
      <c r="A1753" s="4" t="n">
        <v>1752</v>
      </c>
      <c r="B1753" s="4" t="inlineStr">
        <is>
          <t>01060</t>
        </is>
      </c>
      <c r="C1753" s="4" t="inlineStr">
        <is>
          <t>01060</t>
        </is>
      </c>
      <c r="D1753" s="29" t="inlineStr">
        <is>
          <t>HANİFE YILDIRIM</t>
        </is>
      </c>
      <c r="E1753" s="4" t="inlineStr">
        <is>
          <t>Cumartesi</t>
        </is>
      </c>
      <c r="F1753" s="4" t="inlineStr">
        <is>
          <t>3.10.2026</t>
        </is>
      </c>
      <c r="G1753" s="4" t="inlineStr">
        <is>
          <t>07:55</t>
        </is>
      </c>
      <c r="H1753" s="4" t="inlineStr">
        <is>
          <t>3.10.2026</t>
        </is>
      </c>
      <c r="I1753" s="4" t="inlineStr">
        <is>
          <t>17:35</t>
        </is>
      </c>
      <c r="J1753" s="8" t="n">
        <v>8</v>
      </c>
      <c r="K1753" s="8" t="n">
        <v>7.5</v>
      </c>
      <c r="L1753" s="8" t="n">
        <v>0.5</v>
      </c>
      <c r="M1753" s="29" t="inlineStr">
        <is>
          <t>BALIKESİR</t>
        </is>
      </c>
    </row>
    <row r="1754">
      <c r="A1754" s="4" t="n">
        <v>1753</v>
      </c>
      <c r="B1754" s="4" t="inlineStr">
        <is>
          <t>01060</t>
        </is>
      </c>
      <c r="C1754" s="4" t="inlineStr">
        <is>
          <t>01060</t>
        </is>
      </c>
      <c r="D1754" s="29" t="inlineStr">
        <is>
          <t>HANİFE YILDIRIM</t>
        </is>
      </c>
      <c r="E1754" s="4" t="inlineStr">
        <is>
          <t>Pazartesi</t>
        </is>
      </c>
      <c r="F1754" s="4" t="inlineStr">
        <is>
          <t>5.10.2026</t>
        </is>
      </c>
      <c r="G1754" s="4" t="inlineStr">
        <is>
          <t>07:53</t>
        </is>
      </c>
      <c r="H1754" s="4" t="inlineStr">
        <is>
          <t>5.10.2026</t>
        </is>
      </c>
      <c r="I1754" s="4" t="inlineStr">
        <is>
          <t>17:03</t>
        </is>
      </c>
      <c r="J1754" s="8" t="n">
        <v>7.5</v>
      </c>
      <c r="K1754" s="8" t="n">
        <v>7.5</v>
      </c>
      <c r="L1754" s="8" t="n">
        <v>0</v>
      </c>
      <c r="M1754" s="29" t="inlineStr">
        <is>
          <t>BALIKESİR</t>
        </is>
      </c>
    </row>
    <row r="1755">
      <c r="A1755" s="4" t="n">
        <v>1754</v>
      </c>
      <c r="B1755" s="4" t="inlineStr">
        <is>
          <t>01060</t>
        </is>
      </c>
      <c r="C1755" s="4" t="inlineStr">
        <is>
          <t>01060</t>
        </is>
      </c>
      <c r="D1755" s="29" t="inlineStr">
        <is>
          <t>HANİFE YILDIRIM</t>
        </is>
      </c>
      <c r="E1755" s="4" t="inlineStr">
        <is>
          <t>Salı</t>
        </is>
      </c>
      <c r="F1755" s="4" t="inlineStr">
        <is>
          <t>6.10.2026</t>
        </is>
      </c>
      <c r="G1755" s="4" t="inlineStr">
        <is>
          <t>07:51</t>
        </is>
      </c>
      <c r="H1755" s="4" t="inlineStr">
        <is>
          <t>6.10.2026</t>
        </is>
      </c>
      <c r="I1755" s="4" t="inlineStr">
        <is>
          <t>17:40</t>
        </is>
      </c>
      <c r="J1755" s="8" t="n">
        <v>8</v>
      </c>
      <c r="K1755" s="8" t="n">
        <v>7.5</v>
      </c>
      <c r="L1755" s="8" t="n">
        <v>0.5</v>
      </c>
      <c r="M1755" s="29" t="inlineStr">
        <is>
          <t>BALIKESİR</t>
        </is>
      </c>
    </row>
    <row r="1756">
      <c r="A1756" s="4" t="n">
        <v>1755</v>
      </c>
      <c r="B1756" s="4" t="inlineStr">
        <is>
          <t>01060</t>
        </is>
      </c>
      <c r="C1756" s="4" t="inlineStr">
        <is>
          <t>01060</t>
        </is>
      </c>
      <c r="D1756" s="29" t="inlineStr">
        <is>
          <t>HANİFE YILDIRIM</t>
        </is>
      </c>
      <c r="E1756" s="4" t="inlineStr">
        <is>
          <t>Çarşamba</t>
        </is>
      </c>
      <c r="F1756" s="4" t="inlineStr">
        <is>
          <t>7.10.2026</t>
        </is>
      </c>
      <c r="G1756" s="4" t="inlineStr">
        <is>
          <t>07:49</t>
        </is>
      </c>
      <c r="H1756" s="4" t="inlineStr">
        <is>
          <t>7.10.2026</t>
        </is>
      </c>
      <c r="I1756" s="4" t="inlineStr">
        <is>
          <t>17:23</t>
        </is>
      </c>
      <c r="J1756" s="8" t="n">
        <v>8</v>
      </c>
      <c r="K1756" s="8" t="n">
        <v>7.5</v>
      </c>
      <c r="L1756" s="8" t="n">
        <v>0.5</v>
      </c>
      <c r="M1756" s="29" t="inlineStr">
        <is>
          <t>BALIKESİR</t>
        </is>
      </c>
    </row>
    <row r="1757">
      <c r="A1757" s="4" t="n">
        <v>1756</v>
      </c>
      <c r="B1757" s="4" t="inlineStr">
        <is>
          <t>01060</t>
        </is>
      </c>
      <c r="C1757" s="4" t="inlineStr">
        <is>
          <t>01060</t>
        </is>
      </c>
      <c r="D1757" s="29" t="inlineStr">
        <is>
          <t>HANİFE YILDIRIM</t>
        </is>
      </c>
      <c r="E1757" s="4" t="inlineStr">
        <is>
          <t>Perşembe</t>
        </is>
      </c>
      <c r="F1757" s="4" t="inlineStr">
        <is>
          <t>8.10.2026</t>
        </is>
      </c>
      <c r="G1757" s="4" t="inlineStr">
        <is>
          <t>07:50</t>
        </is>
      </c>
      <c r="H1757" s="4" t="inlineStr">
        <is>
          <t>8.10.2026</t>
        </is>
      </c>
      <c r="I1757" s="4" t="inlineStr">
        <is>
          <t>17:33</t>
        </is>
      </c>
      <c r="J1757" s="8" t="n">
        <v>8</v>
      </c>
      <c r="K1757" s="8" t="n">
        <v>7.5</v>
      </c>
      <c r="L1757" s="8" t="n">
        <v>0.5</v>
      </c>
      <c r="M1757" s="29" t="inlineStr">
        <is>
          <t>BALIKESİR</t>
        </is>
      </c>
    </row>
    <row r="1758">
      <c r="A1758" s="4" t="n">
        <v>1757</v>
      </c>
      <c r="B1758" s="4" t="inlineStr">
        <is>
          <t>01060</t>
        </is>
      </c>
      <c r="C1758" s="4" t="inlineStr">
        <is>
          <t>01060</t>
        </is>
      </c>
      <c r="D1758" s="29" t="inlineStr">
        <is>
          <t>HANİFE YILDIRIM</t>
        </is>
      </c>
      <c r="E1758" s="4" t="inlineStr">
        <is>
          <t>Cuma</t>
        </is>
      </c>
      <c r="F1758" s="4" t="inlineStr">
        <is>
          <t>9.10.2026</t>
        </is>
      </c>
      <c r="G1758" s="4" t="inlineStr">
        <is>
          <t>07:50</t>
        </is>
      </c>
      <c r="H1758" s="4" t="inlineStr">
        <is>
          <t>9.10.2026</t>
        </is>
      </c>
      <c r="I1758" s="4" t="inlineStr">
        <is>
          <t>17:41</t>
        </is>
      </c>
      <c r="J1758" s="8" t="n">
        <v>8</v>
      </c>
      <c r="K1758" s="8" t="n">
        <v>7.5</v>
      </c>
      <c r="L1758" s="8" t="n">
        <v>0.5</v>
      </c>
      <c r="M1758" s="29" t="inlineStr">
        <is>
          <t>BALIKESİR</t>
        </is>
      </c>
    </row>
    <row r="1759">
      <c r="A1759" s="4" t="n">
        <v>1758</v>
      </c>
      <c r="B1759" s="4" t="inlineStr">
        <is>
          <t>01060</t>
        </is>
      </c>
      <c r="C1759" s="4" t="inlineStr">
        <is>
          <t>01060</t>
        </is>
      </c>
      <c r="D1759" s="29" t="inlineStr">
        <is>
          <t>HANİFE YILDIRIM</t>
        </is>
      </c>
      <c r="E1759" s="4" t="inlineStr">
        <is>
          <t>Cumartesi</t>
        </is>
      </c>
      <c r="F1759" s="4" t="inlineStr">
        <is>
          <t>10.10.2026</t>
        </is>
      </c>
      <c r="G1759" s="4" t="inlineStr">
        <is>
          <t>07:52</t>
        </is>
      </c>
      <c r="H1759" s="4" t="inlineStr">
        <is>
          <t>10.10.2026</t>
        </is>
      </c>
      <c r="I1759" s="4" t="inlineStr">
        <is>
          <t>18:09</t>
        </is>
      </c>
      <c r="J1759" s="8" t="n">
        <v>8.5</v>
      </c>
      <c r="K1759" s="8" t="n">
        <v>7.5</v>
      </c>
      <c r="L1759" s="8" t="n">
        <v>1</v>
      </c>
      <c r="M1759" s="29" t="inlineStr">
        <is>
          <t>BALIKESİR</t>
        </is>
      </c>
    </row>
    <row r="1760">
      <c r="A1760" s="4" t="n">
        <v>1759</v>
      </c>
      <c r="B1760" s="4" t="inlineStr">
        <is>
          <t>01060</t>
        </is>
      </c>
      <c r="C1760" s="4" t="inlineStr">
        <is>
          <t>01060</t>
        </is>
      </c>
      <c r="D1760" s="29" t="inlineStr">
        <is>
          <t>HANİFE YILDIRIM</t>
        </is>
      </c>
      <c r="E1760" s="4" t="inlineStr">
        <is>
          <t>Pazartesi</t>
        </is>
      </c>
      <c r="F1760" s="4" t="inlineStr">
        <is>
          <t>12.10.2026</t>
        </is>
      </c>
      <c r="G1760" s="4" t="inlineStr">
        <is>
          <t>07:51</t>
        </is>
      </c>
      <c r="H1760" s="4" t="inlineStr">
        <is>
          <t>12.10.2026</t>
        </is>
      </c>
      <c r="I1760" s="4" t="inlineStr">
        <is>
          <t>17:00</t>
        </is>
      </c>
      <c r="J1760" s="8" t="n">
        <v>7.5</v>
      </c>
      <c r="K1760" s="8" t="n">
        <v>7.5</v>
      </c>
      <c r="L1760" s="8" t="n">
        <v>0</v>
      </c>
      <c r="M1760" s="29" t="inlineStr">
        <is>
          <t>BALIKESİR</t>
        </is>
      </c>
    </row>
    <row r="1761">
      <c r="A1761" s="4" t="n">
        <v>1760</v>
      </c>
      <c r="B1761" s="4" t="inlineStr">
        <is>
          <t>01060</t>
        </is>
      </c>
      <c r="C1761" s="4" t="inlineStr">
        <is>
          <t>01060</t>
        </is>
      </c>
      <c r="D1761" s="29" t="inlineStr">
        <is>
          <t>HANİFE YILDIRIM</t>
        </is>
      </c>
      <c r="E1761" s="4" t="inlineStr">
        <is>
          <t>Salı</t>
        </is>
      </c>
      <c r="F1761" s="4" t="inlineStr">
        <is>
          <t>13.10.2026</t>
        </is>
      </c>
      <c r="G1761" s="4" t="inlineStr">
        <is>
          <t>07:49</t>
        </is>
      </c>
      <c r="H1761" s="4" t="inlineStr">
        <is>
          <t>13.10.2026</t>
        </is>
      </c>
      <c r="I1761" s="4" t="inlineStr">
        <is>
          <t>16:59</t>
        </is>
      </c>
      <c r="J1761" s="8" t="n">
        <v>7.5</v>
      </c>
      <c r="K1761" s="8" t="n">
        <v>7.5</v>
      </c>
      <c r="L1761" s="8" t="n">
        <v>0</v>
      </c>
      <c r="M1761" s="29" t="inlineStr">
        <is>
          <t>BALIKESİR</t>
        </is>
      </c>
    </row>
    <row r="1762">
      <c r="A1762" s="4" t="n">
        <v>1761</v>
      </c>
      <c r="B1762" s="4" t="inlineStr">
        <is>
          <t>01060</t>
        </is>
      </c>
      <c r="C1762" s="4" t="inlineStr">
        <is>
          <t>01060</t>
        </is>
      </c>
      <c r="D1762" s="29" t="inlineStr">
        <is>
          <t>HANİFE YILDIRIM</t>
        </is>
      </c>
      <c r="E1762" s="4" t="inlineStr">
        <is>
          <t>Çarşamba</t>
        </is>
      </c>
      <c r="F1762" s="4" t="inlineStr">
        <is>
          <t>14.10.2026</t>
        </is>
      </c>
      <c r="G1762" s="4" t="inlineStr">
        <is>
          <t>07:50</t>
        </is>
      </c>
      <c r="H1762" s="4" t="inlineStr">
        <is>
          <t>14.10.2026</t>
        </is>
      </c>
      <c r="I1762" s="4" t="inlineStr">
        <is>
          <t>18:06</t>
        </is>
      </c>
      <c r="J1762" s="8" t="n">
        <v>8.5</v>
      </c>
      <c r="K1762" s="8" t="n">
        <v>7.5</v>
      </c>
      <c r="L1762" s="8" t="n">
        <v>1</v>
      </c>
      <c r="M1762" s="29" t="inlineStr">
        <is>
          <t>BALIKESİR</t>
        </is>
      </c>
    </row>
    <row r="1763">
      <c r="A1763" s="4" t="n">
        <v>1762</v>
      </c>
      <c r="B1763" s="4" t="inlineStr">
        <is>
          <t>01060</t>
        </is>
      </c>
      <c r="C1763" s="4" t="inlineStr">
        <is>
          <t>01060</t>
        </is>
      </c>
      <c r="D1763" s="29" t="inlineStr">
        <is>
          <t>HANİFE YILDIRIM</t>
        </is>
      </c>
      <c r="E1763" s="4" t="inlineStr">
        <is>
          <t>Cuma</t>
        </is>
      </c>
      <c r="F1763" s="4" t="inlineStr">
        <is>
          <t>16.10.2026</t>
        </is>
      </c>
      <c r="G1763" s="4" t="inlineStr">
        <is>
          <t>07:48</t>
        </is>
      </c>
      <c r="H1763" s="4" t="inlineStr">
        <is>
          <t>16.10.2026</t>
        </is>
      </c>
      <c r="I1763" s="4" t="inlineStr">
        <is>
          <t>17:22</t>
        </is>
      </c>
      <c r="J1763" s="8" t="n">
        <v>8</v>
      </c>
      <c r="K1763" s="8" t="n">
        <v>7.5</v>
      </c>
      <c r="L1763" s="8" t="n">
        <v>0.5</v>
      </c>
      <c r="M1763" s="29" t="inlineStr">
        <is>
          <t>BALIKESİR</t>
        </is>
      </c>
    </row>
    <row r="1764">
      <c r="A1764" s="4" t="n">
        <v>1763</v>
      </c>
      <c r="B1764" s="4" t="inlineStr">
        <is>
          <t>01060</t>
        </is>
      </c>
      <c r="C1764" s="4" t="inlineStr">
        <is>
          <t>01060</t>
        </is>
      </c>
      <c r="D1764" s="29" t="inlineStr">
        <is>
          <t>HANİFE YILDIRIM</t>
        </is>
      </c>
      <c r="E1764" s="4" t="inlineStr">
        <is>
          <t>Cumartesi</t>
        </is>
      </c>
      <c r="F1764" s="4" t="inlineStr">
        <is>
          <t>17.10.2026</t>
        </is>
      </c>
      <c r="G1764" s="4" t="inlineStr">
        <is>
          <t>07:57</t>
        </is>
      </c>
      <c r="H1764" s="4" t="inlineStr">
        <is>
          <t>17.10.2026</t>
        </is>
      </c>
      <c r="I1764" s="4" t="inlineStr">
        <is>
          <t>17:49</t>
        </is>
      </c>
      <c r="J1764" s="8" t="n">
        <v>8.5</v>
      </c>
      <c r="K1764" s="8" t="n">
        <v>7.5</v>
      </c>
      <c r="L1764" s="8" t="n">
        <v>1</v>
      </c>
      <c r="M1764" s="29" t="inlineStr">
        <is>
          <t>BALIKESİR</t>
        </is>
      </c>
    </row>
    <row r="1765">
      <c r="A1765" s="4" t="n">
        <v>1764</v>
      </c>
      <c r="B1765" s="4" t="inlineStr">
        <is>
          <t>01060</t>
        </is>
      </c>
      <c r="C1765" s="4" t="inlineStr">
        <is>
          <t>01060</t>
        </is>
      </c>
      <c r="D1765" s="29" t="inlineStr">
        <is>
          <t>HANİFE YILDIRIM</t>
        </is>
      </c>
      <c r="E1765" s="4" t="inlineStr">
        <is>
          <t>Pazartesi</t>
        </is>
      </c>
      <c r="F1765" s="4" t="inlineStr">
        <is>
          <t>19.10.2026</t>
        </is>
      </c>
      <c r="G1765" s="4" t="inlineStr">
        <is>
          <t>07:50</t>
        </is>
      </c>
      <c r="H1765" s="4" t="inlineStr">
        <is>
          <t>19.10.2026</t>
        </is>
      </c>
      <c r="I1765" s="4" t="inlineStr">
        <is>
          <t>17:42</t>
        </is>
      </c>
      <c r="J1765" s="8" t="n">
        <v>8</v>
      </c>
      <c r="K1765" s="8" t="n">
        <v>7.5</v>
      </c>
      <c r="L1765" s="8" t="n">
        <v>0.5</v>
      </c>
      <c r="M1765" s="29" t="inlineStr">
        <is>
          <t>BALIKESİR</t>
        </is>
      </c>
    </row>
    <row r="1766">
      <c r="A1766" s="4" t="n">
        <v>1765</v>
      </c>
      <c r="B1766" s="4" t="inlineStr">
        <is>
          <t>01060</t>
        </is>
      </c>
      <c r="C1766" s="4" t="inlineStr">
        <is>
          <t>01060</t>
        </is>
      </c>
      <c r="D1766" s="29" t="inlineStr">
        <is>
          <t>HANİFE YILDIRIM</t>
        </is>
      </c>
      <c r="E1766" s="4" t="inlineStr">
        <is>
          <t>Salı</t>
        </is>
      </c>
      <c r="F1766" s="4" t="inlineStr">
        <is>
          <t>20.10.2026</t>
        </is>
      </c>
      <c r="G1766" s="4" t="inlineStr">
        <is>
          <t>07:48</t>
        </is>
      </c>
      <c r="H1766" s="4" t="inlineStr">
        <is>
          <t>20.10.2026</t>
        </is>
      </c>
      <c r="I1766" s="4" t="inlineStr">
        <is>
          <t>17:01</t>
        </is>
      </c>
      <c r="J1766" s="8" t="n">
        <v>7.5</v>
      </c>
      <c r="K1766" s="8" t="n">
        <v>7.5</v>
      </c>
      <c r="L1766" s="8" t="n">
        <v>0</v>
      </c>
      <c r="M1766" s="29" t="inlineStr">
        <is>
          <t>BALIKESİR</t>
        </is>
      </c>
    </row>
    <row r="1767">
      <c r="A1767" s="4" t="n">
        <v>1766</v>
      </c>
      <c r="B1767" s="4" t="inlineStr">
        <is>
          <t>01060</t>
        </is>
      </c>
      <c r="C1767" s="4" t="inlineStr">
        <is>
          <t>01060</t>
        </is>
      </c>
      <c r="D1767" s="29" t="inlineStr">
        <is>
          <t>HANİFE YILDIRIM</t>
        </is>
      </c>
      <c r="E1767" s="4" t="inlineStr">
        <is>
          <t>Çarşamba</t>
        </is>
      </c>
      <c r="F1767" s="4" t="inlineStr">
        <is>
          <t>21.10.2026</t>
        </is>
      </c>
      <c r="G1767" s="4" t="inlineStr">
        <is>
          <t>07:50</t>
        </is>
      </c>
      <c r="H1767" s="4" t="inlineStr">
        <is>
          <t>21.10.2026</t>
        </is>
      </c>
      <c r="I1767" s="4" t="inlineStr">
        <is>
          <t>17:01</t>
        </is>
      </c>
      <c r="J1767" s="8" t="n">
        <v>7.5</v>
      </c>
      <c r="K1767" s="8" t="n">
        <v>7.5</v>
      </c>
      <c r="L1767" s="8" t="n">
        <v>0</v>
      </c>
      <c r="M1767" s="29" t="inlineStr">
        <is>
          <t>BALIKESİR</t>
        </is>
      </c>
    </row>
    <row r="1768">
      <c r="A1768" s="4" t="n">
        <v>1767</v>
      </c>
      <c r="B1768" s="4" t="inlineStr">
        <is>
          <t>01421</t>
        </is>
      </c>
      <c r="C1768" s="4" t="inlineStr">
        <is>
          <t>01421</t>
        </is>
      </c>
      <c r="D1768" s="29" t="inlineStr">
        <is>
          <t>HARUN ABAKAY</t>
        </is>
      </c>
      <c r="E1768" s="4" t="inlineStr">
        <is>
          <t>Cuma</t>
        </is>
      </c>
      <c r="F1768" s="4" t="inlineStr">
        <is>
          <t>2.10.2026</t>
        </is>
      </c>
      <c r="G1768" s="4" t="inlineStr">
        <is>
          <t>20:11</t>
        </is>
      </c>
      <c r="H1768" s="4" t="inlineStr">
        <is>
          <t>2.10.2026</t>
        </is>
      </c>
      <c r="I1768" s="4" t="inlineStr">
        <is>
          <t>07:58</t>
        </is>
      </c>
      <c r="J1768" s="8" t="n">
        <v>10.5</v>
      </c>
      <c r="K1768" s="8" t="n">
        <v>7.5</v>
      </c>
      <c r="L1768" s="8" t="n">
        <v>3</v>
      </c>
      <c r="M1768" s="29" t="inlineStr">
        <is>
          <t>HALİL DİĞRENCİ</t>
        </is>
      </c>
    </row>
    <row r="1769">
      <c r="A1769" s="4" t="n">
        <v>1768</v>
      </c>
      <c r="B1769" s="4" t="inlineStr">
        <is>
          <t>01421</t>
        </is>
      </c>
      <c r="C1769" s="4" t="inlineStr">
        <is>
          <t>01421</t>
        </is>
      </c>
      <c r="D1769" s="29" t="inlineStr">
        <is>
          <t>HARUN ABAKAY</t>
        </is>
      </c>
      <c r="E1769" s="4" t="inlineStr">
        <is>
          <t>Cumartesi</t>
        </is>
      </c>
      <c r="F1769" s="4" t="inlineStr">
        <is>
          <t>3.10.2026</t>
        </is>
      </c>
      <c r="G1769" s="4" t="inlineStr">
        <is>
          <t>19:51</t>
        </is>
      </c>
      <c r="H1769" s="4" t="inlineStr">
        <is>
          <t>3.10.2026</t>
        </is>
      </c>
      <c r="I1769" s="4" t="inlineStr">
        <is>
          <t>07:59</t>
        </is>
      </c>
      <c r="J1769" s="8" t="n">
        <v>10.5</v>
      </c>
      <c r="K1769" s="8" t="n">
        <v>7.5</v>
      </c>
      <c r="L1769" s="8" t="n">
        <v>3</v>
      </c>
      <c r="M1769" s="29" t="inlineStr">
        <is>
          <t>HALİL DİĞRENCİ</t>
        </is>
      </c>
    </row>
    <row r="1770">
      <c r="A1770" s="4" t="n">
        <v>1769</v>
      </c>
      <c r="B1770" s="4" t="inlineStr">
        <is>
          <t>01421</t>
        </is>
      </c>
      <c r="C1770" s="4" t="inlineStr">
        <is>
          <t>01421</t>
        </is>
      </c>
      <c r="D1770" s="29" t="inlineStr">
        <is>
          <t>HARUN ABAKAY</t>
        </is>
      </c>
      <c r="E1770" s="4" t="inlineStr">
        <is>
          <t>Pazartesi</t>
        </is>
      </c>
      <c r="F1770" s="4" t="inlineStr">
        <is>
          <t>5.10.2026</t>
        </is>
      </c>
      <c r="G1770" s="4" t="inlineStr">
        <is>
          <t>19:46</t>
        </is>
      </c>
      <c r="H1770" s="4" t="inlineStr">
        <is>
          <t>5.10.2026</t>
        </is>
      </c>
      <c r="I1770" s="4" t="inlineStr">
        <is>
          <t>07:55</t>
        </is>
      </c>
      <c r="J1770" s="8" t="n">
        <v>10.5</v>
      </c>
      <c r="K1770" s="8" t="n">
        <v>7.5</v>
      </c>
      <c r="L1770" s="8" t="n">
        <v>3</v>
      </c>
      <c r="M1770" s="29" t="inlineStr">
        <is>
          <t>HALİL DİĞRENCİ</t>
        </is>
      </c>
    </row>
    <row r="1771">
      <c r="A1771" s="4" t="n">
        <v>1770</v>
      </c>
      <c r="B1771" s="4" t="inlineStr">
        <is>
          <t>01421</t>
        </is>
      </c>
      <c r="C1771" s="4" t="inlineStr">
        <is>
          <t>01421</t>
        </is>
      </c>
      <c r="D1771" s="29" t="inlineStr">
        <is>
          <t>HARUN ABAKAY</t>
        </is>
      </c>
      <c r="E1771" s="4" t="inlineStr">
        <is>
          <t>Salı</t>
        </is>
      </c>
      <c r="F1771" s="4" t="inlineStr">
        <is>
          <t>6.10.2026</t>
        </is>
      </c>
      <c r="G1771" s="4" t="inlineStr">
        <is>
          <t>19:53</t>
        </is>
      </c>
      <c r="H1771" s="4" t="inlineStr">
        <is>
          <t>6.10.2026</t>
        </is>
      </c>
      <c r="I1771" s="4" t="inlineStr">
        <is>
          <t>08:00</t>
        </is>
      </c>
      <c r="J1771" s="8" t="n">
        <v>10.5</v>
      </c>
      <c r="K1771" s="8" t="n">
        <v>7.5</v>
      </c>
      <c r="L1771" s="8" t="n">
        <v>3</v>
      </c>
      <c r="M1771" s="29" t="inlineStr">
        <is>
          <t>HALİL DİĞRENCİ</t>
        </is>
      </c>
    </row>
    <row r="1772">
      <c r="A1772" s="4" t="n">
        <v>1771</v>
      </c>
      <c r="B1772" s="4" t="inlineStr">
        <is>
          <t>01421</t>
        </is>
      </c>
      <c r="C1772" s="4" t="inlineStr">
        <is>
          <t>01421</t>
        </is>
      </c>
      <c r="D1772" s="29" t="inlineStr">
        <is>
          <t>HARUN ABAKAY</t>
        </is>
      </c>
      <c r="E1772" s="4" t="inlineStr">
        <is>
          <t>Çarşamba</t>
        </is>
      </c>
      <c r="F1772" s="4" t="inlineStr">
        <is>
          <t>7.10.2026</t>
        </is>
      </c>
      <c r="G1772" s="4" t="inlineStr">
        <is>
          <t>19:51</t>
        </is>
      </c>
      <c r="H1772" s="4" t="inlineStr">
        <is>
          <t>7.10.2026</t>
        </is>
      </c>
      <c r="I1772" s="4" t="inlineStr">
        <is>
          <t>08:00</t>
        </is>
      </c>
      <c r="J1772" s="8" t="n">
        <v>10.5</v>
      </c>
      <c r="K1772" s="8" t="n">
        <v>7.5</v>
      </c>
      <c r="L1772" s="8" t="n">
        <v>3</v>
      </c>
      <c r="M1772" s="29" t="inlineStr">
        <is>
          <t>HALİL DİĞRENCİ</t>
        </is>
      </c>
    </row>
    <row r="1773">
      <c r="A1773" s="4" t="n">
        <v>1772</v>
      </c>
      <c r="B1773" s="4" t="inlineStr">
        <is>
          <t>01421</t>
        </is>
      </c>
      <c r="C1773" s="4" t="inlineStr">
        <is>
          <t>01421</t>
        </is>
      </c>
      <c r="D1773" s="29" t="inlineStr">
        <is>
          <t>HARUN ABAKAY</t>
        </is>
      </c>
      <c r="E1773" s="4" t="inlineStr">
        <is>
          <t>Perşembe</t>
        </is>
      </c>
      <c r="F1773" s="4" t="inlineStr">
        <is>
          <t>8.10.2026</t>
        </is>
      </c>
      <c r="G1773" s="4" t="inlineStr">
        <is>
          <t>20:04</t>
        </is>
      </c>
      <c r="H1773" s="4" t="inlineStr">
        <is>
          <t>8.10.2026</t>
        </is>
      </c>
      <c r="I1773" s="4" t="inlineStr">
        <is>
          <t>07:59</t>
        </is>
      </c>
      <c r="J1773" s="8" t="n">
        <v>10.5</v>
      </c>
      <c r="K1773" s="8" t="n">
        <v>7.5</v>
      </c>
      <c r="L1773" s="8" t="n">
        <v>3</v>
      </c>
      <c r="M1773" s="29" t="inlineStr">
        <is>
          <t>HALİL DİĞRENCİ</t>
        </is>
      </c>
    </row>
    <row r="1774">
      <c r="A1774" s="4" t="n">
        <v>1773</v>
      </c>
      <c r="B1774" s="4" t="inlineStr">
        <is>
          <t>01421</t>
        </is>
      </c>
      <c r="C1774" s="4" t="inlineStr">
        <is>
          <t>01421</t>
        </is>
      </c>
      <c r="D1774" s="29" t="inlineStr">
        <is>
          <t>HARUN ABAKAY</t>
        </is>
      </c>
      <c r="E1774" s="4" t="inlineStr">
        <is>
          <t>Cuma</t>
        </is>
      </c>
      <c r="F1774" s="4" t="inlineStr">
        <is>
          <t>9.10.2026</t>
        </is>
      </c>
      <c r="G1774" s="4" t="inlineStr">
        <is>
          <t>19:58</t>
        </is>
      </c>
      <c r="H1774" s="4" t="inlineStr">
        <is>
          <t>9.10.2026</t>
        </is>
      </c>
      <c r="I1774" s="4" t="inlineStr">
        <is>
          <t>08:04</t>
        </is>
      </c>
      <c r="J1774" s="8" t="n">
        <v>10.5</v>
      </c>
      <c r="K1774" s="8" t="n">
        <v>7.5</v>
      </c>
      <c r="L1774" s="8" t="n">
        <v>3</v>
      </c>
      <c r="M1774" s="29" t="inlineStr">
        <is>
          <t>HALİL DİĞRENCİ</t>
        </is>
      </c>
    </row>
    <row r="1775">
      <c r="A1775" s="4" t="n">
        <v>1774</v>
      </c>
      <c r="B1775" s="4" t="inlineStr">
        <is>
          <t>01421</t>
        </is>
      </c>
      <c r="C1775" s="4" t="inlineStr">
        <is>
          <t>01421</t>
        </is>
      </c>
      <c r="D1775" s="29" t="inlineStr">
        <is>
          <t>HARUN ABAKAY</t>
        </is>
      </c>
      <c r="E1775" s="4" t="inlineStr">
        <is>
          <t>Cumartesi</t>
        </is>
      </c>
      <c r="F1775" s="4" t="inlineStr">
        <is>
          <t>10.10.2026</t>
        </is>
      </c>
      <c r="G1775" s="4" t="inlineStr">
        <is>
          <t>19:49</t>
        </is>
      </c>
      <c r="H1775" s="4" t="inlineStr">
        <is>
          <t>10.10.2026</t>
        </is>
      </c>
      <c r="I1775" s="4" t="inlineStr">
        <is>
          <t>08:06</t>
        </is>
      </c>
      <c r="J1775" s="8" t="n">
        <v>10.5</v>
      </c>
      <c r="K1775" s="8" t="n">
        <v>7.5</v>
      </c>
      <c r="L1775" s="8" t="n">
        <v>3</v>
      </c>
      <c r="M1775" s="29" t="inlineStr">
        <is>
          <t>HALİL DİĞRENCİ</t>
        </is>
      </c>
    </row>
    <row r="1776">
      <c r="A1776" s="4" t="n">
        <v>1775</v>
      </c>
      <c r="B1776" s="4" t="inlineStr">
        <is>
          <t>01421</t>
        </is>
      </c>
      <c r="C1776" s="4" t="inlineStr">
        <is>
          <t>01421</t>
        </is>
      </c>
      <c r="D1776" s="29" t="inlineStr">
        <is>
          <t>HARUN ABAKAY</t>
        </is>
      </c>
      <c r="E1776" s="4" t="inlineStr">
        <is>
          <t>Pazartesi</t>
        </is>
      </c>
      <c r="F1776" s="4" t="inlineStr">
        <is>
          <t>12.10.2026</t>
        </is>
      </c>
      <c r="G1776" s="4" t="inlineStr">
        <is>
          <t>19:57</t>
        </is>
      </c>
      <c r="H1776" s="4" t="inlineStr">
        <is>
          <t>12.10.2026</t>
        </is>
      </c>
      <c r="I1776" s="4" t="inlineStr">
        <is>
          <t>07:58</t>
        </is>
      </c>
      <c r="J1776" s="8" t="n">
        <v>10.5</v>
      </c>
      <c r="K1776" s="8" t="n">
        <v>7.5</v>
      </c>
      <c r="L1776" s="8" t="n">
        <v>3</v>
      </c>
      <c r="M1776" s="29" t="inlineStr">
        <is>
          <t>HALİL DİĞRENCİ</t>
        </is>
      </c>
    </row>
    <row r="1777">
      <c r="A1777" s="4" t="n">
        <v>1776</v>
      </c>
      <c r="B1777" s="4" t="inlineStr">
        <is>
          <t>01421</t>
        </is>
      </c>
      <c r="C1777" s="4" t="inlineStr">
        <is>
          <t>01421</t>
        </is>
      </c>
      <c r="D1777" s="29" t="inlineStr">
        <is>
          <t>HARUN ABAKAY</t>
        </is>
      </c>
      <c r="E1777" s="4" t="inlineStr">
        <is>
          <t>Çarşamba</t>
        </is>
      </c>
      <c r="F1777" s="4" t="inlineStr">
        <is>
          <t>14.10.2026</t>
        </is>
      </c>
      <c r="G1777" s="4" t="inlineStr">
        <is>
          <t>20:02</t>
        </is>
      </c>
      <c r="H1777" s="4" t="inlineStr">
        <is>
          <t>14.10.2026</t>
        </is>
      </c>
      <c r="I1777" s="4" t="inlineStr">
        <is>
          <t>08:01</t>
        </is>
      </c>
      <c r="J1777" s="8" t="n">
        <v>10.5</v>
      </c>
      <c r="K1777" s="8" t="n">
        <v>7.5</v>
      </c>
      <c r="L1777" s="8" t="n">
        <v>3</v>
      </c>
      <c r="M1777" s="29" t="inlineStr">
        <is>
          <t>HALİL DİĞRENCİ</t>
        </is>
      </c>
    </row>
    <row r="1778">
      <c r="A1778" s="4" t="n">
        <v>1777</v>
      </c>
      <c r="B1778" s="4" t="inlineStr">
        <is>
          <t>01421</t>
        </is>
      </c>
      <c r="C1778" s="4" t="inlineStr">
        <is>
          <t>01421</t>
        </is>
      </c>
      <c r="D1778" s="29" t="inlineStr">
        <is>
          <t>HARUN ABAKAY</t>
        </is>
      </c>
      <c r="E1778" s="4" t="inlineStr">
        <is>
          <t>Perşembe</t>
        </is>
      </c>
      <c r="F1778" s="4" t="inlineStr">
        <is>
          <t>15.10.2026</t>
        </is>
      </c>
      <c r="G1778" s="4" t="inlineStr">
        <is>
          <t>19:51</t>
        </is>
      </c>
      <c r="H1778" s="4" t="inlineStr">
        <is>
          <t>15.10.2026</t>
        </is>
      </c>
      <c r="I1778" s="4" t="inlineStr">
        <is>
          <t>08:00</t>
        </is>
      </c>
      <c r="J1778" s="8" t="n">
        <v>10.5</v>
      </c>
      <c r="K1778" s="8" t="n">
        <v>7.5</v>
      </c>
      <c r="L1778" s="8" t="n">
        <v>3</v>
      </c>
      <c r="M1778" s="29" t="inlineStr">
        <is>
          <t>HALİL DİĞRENCİ</t>
        </is>
      </c>
    </row>
    <row r="1779">
      <c r="A1779" s="4" t="n">
        <v>1778</v>
      </c>
      <c r="B1779" s="4" t="inlineStr">
        <is>
          <t>01421</t>
        </is>
      </c>
      <c r="C1779" s="4" t="inlineStr">
        <is>
          <t>01421</t>
        </is>
      </c>
      <c r="D1779" s="29" t="inlineStr">
        <is>
          <t>HARUN ABAKAY</t>
        </is>
      </c>
      <c r="E1779" s="4" t="inlineStr">
        <is>
          <t>Pazartesi</t>
        </is>
      </c>
      <c r="F1779" s="4" t="inlineStr">
        <is>
          <t>19.10.2026</t>
        </is>
      </c>
      <c r="G1779" s="4" t="inlineStr">
        <is>
          <t>20:13</t>
        </is>
      </c>
      <c r="H1779" s="4" t="inlineStr">
        <is>
          <t>19.10.2026</t>
        </is>
      </c>
      <c r="I1779" s="4" t="inlineStr">
        <is>
          <t>08:06</t>
        </is>
      </c>
      <c r="J1779" s="8" t="n">
        <v>10.5</v>
      </c>
      <c r="K1779" s="8" t="n">
        <v>7.5</v>
      </c>
      <c r="L1779" s="8" t="n">
        <v>3</v>
      </c>
      <c r="M1779" s="29" t="inlineStr">
        <is>
          <t>HALİL DİĞRENCİ</t>
        </is>
      </c>
    </row>
    <row r="1780">
      <c r="A1780" s="4" t="n">
        <v>1779</v>
      </c>
      <c r="B1780" s="4" t="inlineStr">
        <is>
          <t>00080</t>
        </is>
      </c>
      <c r="C1780" s="4" t="inlineStr">
        <is>
          <t>00080</t>
        </is>
      </c>
      <c r="D1780" s="29" t="inlineStr">
        <is>
          <t>HARUN YAHYA DURSUN</t>
        </is>
      </c>
      <c r="E1780" s="4" t="inlineStr">
        <is>
          <t>Perşembe</t>
        </is>
      </c>
      <c r="F1780" s="4" t="inlineStr">
        <is>
          <t>1.10.2026</t>
        </is>
      </c>
      <c r="G1780" s="4" t="inlineStr">
        <is>
          <t>08:52</t>
        </is>
      </c>
      <c r="H1780" s="4" t="inlineStr">
        <is>
          <t>1.10.2026</t>
        </is>
      </c>
      <c r="I1780" s="4" t="inlineStr">
        <is>
          <t>21:41</t>
        </is>
      </c>
      <c r="J1780" s="8" t="n">
        <v>11</v>
      </c>
      <c r="K1780" s="8" t="n">
        <v>6.5</v>
      </c>
      <c r="L1780" s="8" t="n">
        <v>4.5</v>
      </c>
      <c r="M1780" s="29" t="inlineStr">
        <is>
          <t>GÖBEL</t>
        </is>
      </c>
    </row>
    <row r="1781">
      <c r="A1781" s="4" t="n">
        <v>1780</v>
      </c>
      <c r="B1781" s="4" t="inlineStr">
        <is>
          <t>00080</t>
        </is>
      </c>
      <c r="C1781" s="4" t="inlineStr">
        <is>
          <t>00080</t>
        </is>
      </c>
      <c r="D1781" s="29" t="inlineStr">
        <is>
          <t>HARUN YAHYA DURSUN</t>
        </is>
      </c>
      <c r="E1781" s="4" t="inlineStr">
        <is>
          <t>Cuma</t>
        </is>
      </c>
      <c r="F1781" s="4" t="inlineStr">
        <is>
          <t>2.10.2026</t>
        </is>
      </c>
      <c r="G1781" s="4" t="inlineStr">
        <is>
          <t>07:41</t>
        </is>
      </c>
      <c r="H1781" s="4" t="inlineStr">
        <is>
          <t>2.10.2026</t>
        </is>
      </c>
      <c r="I1781" s="4" t="inlineStr">
        <is>
          <t>23:52</t>
        </is>
      </c>
      <c r="J1781" s="8" t="n">
        <v>14.5</v>
      </c>
      <c r="K1781" s="8" t="n">
        <v>7.5</v>
      </c>
      <c r="L1781" s="8" t="n">
        <v>7</v>
      </c>
      <c r="M1781" s="29" t="inlineStr">
        <is>
          <t>GÖBEL</t>
        </is>
      </c>
    </row>
    <row r="1782">
      <c r="A1782" s="4" t="n">
        <v>1781</v>
      </c>
      <c r="B1782" s="4" t="inlineStr">
        <is>
          <t>00080</t>
        </is>
      </c>
      <c r="C1782" s="4" t="inlineStr">
        <is>
          <t>00080</t>
        </is>
      </c>
      <c r="D1782" s="29" t="inlineStr">
        <is>
          <t>HARUN YAHYA DURSUN</t>
        </is>
      </c>
      <c r="E1782" s="4" t="inlineStr">
        <is>
          <t>Cumartesi</t>
        </is>
      </c>
      <c r="F1782" s="4" t="inlineStr">
        <is>
          <t>3.10.2026</t>
        </is>
      </c>
      <c r="G1782" s="4" t="inlineStr">
        <is>
          <t>12:15</t>
        </is>
      </c>
      <c r="H1782" s="4" t="inlineStr">
        <is>
          <t>3.10.2026</t>
        </is>
      </c>
      <c r="I1782" s="4" t="inlineStr">
        <is>
          <t>22:48</t>
        </is>
      </c>
      <c r="J1782" s="8" t="n">
        <v>8</v>
      </c>
      <c r="K1782" s="8" t="n">
        <v>7.5</v>
      </c>
      <c r="L1782" s="8" t="n">
        <v>0.5</v>
      </c>
      <c r="M1782" s="29" t="inlineStr">
        <is>
          <t>GÖBEL</t>
        </is>
      </c>
    </row>
    <row r="1783">
      <c r="A1783" s="4" t="n">
        <v>1782</v>
      </c>
      <c r="B1783" s="4" t="inlineStr">
        <is>
          <t>00080</t>
        </is>
      </c>
      <c r="C1783" s="4" t="inlineStr">
        <is>
          <t>00080</t>
        </is>
      </c>
      <c r="D1783" s="29" t="inlineStr">
        <is>
          <t>HARUN YAHYA DURSUN</t>
        </is>
      </c>
      <c r="E1783" s="4" t="inlineStr">
        <is>
          <t>Pazartesi</t>
        </is>
      </c>
      <c r="F1783" s="4" t="inlineStr">
        <is>
          <t>5.10.2026</t>
        </is>
      </c>
      <c r="G1783" s="4" t="inlineStr">
        <is>
          <t>10:14</t>
        </is>
      </c>
      <c r="H1783" s="4" t="inlineStr">
        <is>
          <t>5.10.2026</t>
        </is>
      </c>
      <c r="I1783" s="4" t="inlineStr">
        <is>
          <t>20:08</t>
        </is>
      </c>
      <c r="J1783" s="8" t="n">
        <v>8.5</v>
      </c>
      <c r="K1783" s="8" t="n">
        <v>5.5</v>
      </c>
      <c r="L1783" s="8" t="n">
        <v>3</v>
      </c>
      <c r="M1783" s="29" t="inlineStr">
        <is>
          <t>GÖBEL</t>
        </is>
      </c>
    </row>
    <row r="1784">
      <c r="A1784" s="4" t="n">
        <v>1783</v>
      </c>
      <c r="B1784" s="4" t="inlineStr">
        <is>
          <t>00080</t>
        </is>
      </c>
      <c r="C1784" s="4" t="inlineStr">
        <is>
          <t>00080</t>
        </is>
      </c>
      <c r="D1784" s="29" t="inlineStr">
        <is>
          <t>HARUN YAHYA DURSUN</t>
        </is>
      </c>
      <c r="E1784" s="4" t="inlineStr">
        <is>
          <t>Salı</t>
        </is>
      </c>
      <c r="F1784" s="4" t="inlineStr">
        <is>
          <t>6.10.2026</t>
        </is>
      </c>
      <c r="G1784" s="4" t="inlineStr">
        <is>
          <t>07:53</t>
        </is>
      </c>
      <c r="H1784" s="4" t="inlineStr">
        <is>
          <t>6.10.2026</t>
        </is>
      </c>
      <c r="I1784" s="4" t="inlineStr">
        <is>
          <t>21:41</t>
        </is>
      </c>
      <c r="J1784" s="8" t="n">
        <v>12</v>
      </c>
      <c r="K1784" s="8" t="n">
        <v>7.5</v>
      </c>
      <c r="L1784" s="8" t="n">
        <v>4.5</v>
      </c>
      <c r="M1784" s="29" t="inlineStr">
        <is>
          <t>GÖBEL</t>
        </is>
      </c>
    </row>
    <row r="1785">
      <c r="A1785" s="4" t="n">
        <v>1784</v>
      </c>
      <c r="B1785" s="4" t="inlineStr">
        <is>
          <t>00080</t>
        </is>
      </c>
      <c r="C1785" s="4" t="inlineStr">
        <is>
          <t>00080</t>
        </is>
      </c>
      <c r="D1785" s="29" t="inlineStr">
        <is>
          <t>HARUN YAHYA DURSUN</t>
        </is>
      </c>
      <c r="E1785" s="4" t="inlineStr">
        <is>
          <t>Çarşamba</t>
        </is>
      </c>
      <c r="F1785" s="4" t="inlineStr">
        <is>
          <t>7.10.2026</t>
        </is>
      </c>
      <c r="G1785" s="4" t="inlineStr">
        <is>
          <t>07:41</t>
        </is>
      </c>
      <c r="H1785" s="4" t="inlineStr">
        <is>
          <t>7.10.2026</t>
        </is>
      </c>
      <c r="I1785" s="4" t="inlineStr">
        <is>
          <t>19:18</t>
        </is>
      </c>
      <c r="J1785" s="8" t="n">
        <v>9.5</v>
      </c>
      <c r="K1785" s="8" t="n">
        <v>7.5</v>
      </c>
      <c r="L1785" s="8" t="n">
        <v>2</v>
      </c>
      <c r="M1785" s="29" t="inlineStr">
        <is>
          <t>GÖBEL</t>
        </is>
      </c>
    </row>
    <row r="1786">
      <c r="A1786" s="4" t="n">
        <v>1785</v>
      </c>
      <c r="B1786" s="4" t="inlineStr">
        <is>
          <t>00080</t>
        </is>
      </c>
      <c r="C1786" s="4" t="inlineStr">
        <is>
          <t>00080</t>
        </is>
      </c>
      <c r="D1786" s="29" t="inlineStr">
        <is>
          <t>HARUN YAHYA DURSUN</t>
        </is>
      </c>
      <c r="E1786" s="4" t="inlineStr">
        <is>
          <t>Perşembe</t>
        </is>
      </c>
      <c r="F1786" s="4" t="inlineStr">
        <is>
          <t>8.10.2026</t>
        </is>
      </c>
      <c r="G1786" s="4" t="inlineStr">
        <is>
          <t>08:15</t>
        </is>
      </c>
      <c r="H1786" s="4" t="inlineStr">
        <is>
          <t>8.10.2026</t>
        </is>
      </c>
      <c r="I1786" s="4" t="inlineStr">
        <is>
          <t>21:28</t>
        </is>
      </c>
      <c r="J1786" s="8" t="n">
        <v>12</v>
      </c>
      <c r="K1786" s="8" t="n">
        <v>7.5</v>
      </c>
      <c r="L1786" s="8" t="n">
        <v>4.5</v>
      </c>
      <c r="M1786" s="29" t="inlineStr">
        <is>
          <t>GÖBEL</t>
        </is>
      </c>
    </row>
    <row r="1787">
      <c r="A1787" s="4" t="n">
        <v>1786</v>
      </c>
      <c r="B1787" s="4" t="inlineStr">
        <is>
          <t>00080</t>
        </is>
      </c>
      <c r="C1787" s="4" t="inlineStr">
        <is>
          <t>00080</t>
        </is>
      </c>
      <c r="D1787" s="29" t="inlineStr">
        <is>
          <t>HARUN YAHYA DURSUN</t>
        </is>
      </c>
      <c r="E1787" s="4" t="inlineStr">
        <is>
          <t>Cuma</t>
        </is>
      </c>
      <c r="F1787" s="4" t="inlineStr">
        <is>
          <t>9.10.2026</t>
        </is>
      </c>
      <c r="G1787" s="4" t="inlineStr">
        <is>
          <t>07:47</t>
        </is>
      </c>
      <c r="H1787" s="4" t="inlineStr">
        <is>
          <t>9.10.2026</t>
        </is>
      </c>
      <c r="I1787" s="4" t="inlineStr">
        <is>
          <t>17:00</t>
        </is>
      </c>
      <c r="J1787" s="8" t="n">
        <v>7.5</v>
      </c>
      <c r="K1787" s="8" t="n">
        <v>7.5</v>
      </c>
      <c r="L1787" s="8" t="n">
        <v>0</v>
      </c>
      <c r="M1787" s="29" t="inlineStr">
        <is>
          <t>GÖBEL</t>
        </is>
      </c>
    </row>
    <row r="1788">
      <c r="A1788" s="4" t="n">
        <v>1787</v>
      </c>
      <c r="B1788" s="4" t="inlineStr">
        <is>
          <t>00080</t>
        </is>
      </c>
      <c r="C1788" s="4" t="inlineStr">
        <is>
          <t>00080</t>
        </is>
      </c>
      <c r="D1788" s="29" t="inlineStr">
        <is>
          <t>HARUN YAHYA DURSUN</t>
        </is>
      </c>
      <c r="E1788" s="4" t="inlineStr">
        <is>
          <t>Cumartesi</t>
        </is>
      </c>
      <c r="F1788" s="4" t="inlineStr">
        <is>
          <t>10.10.2026</t>
        </is>
      </c>
      <c r="G1788" s="4" t="inlineStr">
        <is>
          <t>10:15</t>
        </is>
      </c>
      <c r="H1788" s="4" t="inlineStr">
        <is>
          <t>10.10.2026</t>
        </is>
      </c>
      <c r="I1788" s="4" t="inlineStr">
        <is>
          <t>02:20</t>
        </is>
      </c>
      <c r="J1788" s="8" t="n">
        <v>14.5</v>
      </c>
      <c r="K1788" s="8" t="n">
        <v>5.5</v>
      </c>
      <c r="L1788" s="8" t="n">
        <v>9</v>
      </c>
      <c r="M1788" s="29" t="inlineStr">
        <is>
          <t>GÖBEL</t>
        </is>
      </c>
    </row>
    <row r="1789">
      <c r="A1789" s="4" t="n">
        <v>1788</v>
      </c>
      <c r="B1789" s="4" t="inlineStr">
        <is>
          <t>00080</t>
        </is>
      </c>
      <c r="C1789" s="4" t="inlineStr">
        <is>
          <t>00080</t>
        </is>
      </c>
      <c r="D1789" s="29" t="inlineStr">
        <is>
          <t>HARUN YAHYA DURSUN</t>
        </is>
      </c>
      <c r="E1789" s="4" t="inlineStr">
        <is>
          <t>Pazartesi</t>
        </is>
      </c>
      <c r="F1789" s="4" t="inlineStr">
        <is>
          <t>12.10.2026</t>
        </is>
      </c>
      <c r="G1789" s="4" t="inlineStr">
        <is>
          <t>09:14</t>
        </is>
      </c>
      <c r="H1789" s="4" t="inlineStr">
        <is>
          <t>12.10.2026</t>
        </is>
      </c>
      <c r="I1789" s="4" t="inlineStr">
        <is>
          <t>22:22</t>
        </is>
      </c>
      <c r="J1789" s="8" t="n">
        <v>12</v>
      </c>
      <c r="K1789" s="8" t="n">
        <v>6.5</v>
      </c>
      <c r="L1789" s="8" t="n">
        <v>5.5</v>
      </c>
      <c r="M1789" s="29" t="inlineStr">
        <is>
          <t>GÖBEL</t>
        </is>
      </c>
    </row>
    <row r="1790">
      <c r="A1790" s="4" t="n">
        <v>1789</v>
      </c>
      <c r="B1790" s="4" t="inlineStr">
        <is>
          <t>00080</t>
        </is>
      </c>
      <c r="C1790" s="4" t="inlineStr">
        <is>
          <t>00080</t>
        </is>
      </c>
      <c r="D1790" s="29" t="inlineStr">
        <is>
          <t>HARUN YAHYA DURSUN</t>
        </is>
      </c>
      <c r="E1790" s="4" t="inlineStr">
        <is>
          <t>Salı</t>
        </is>
      </c>
      <c r="F1790" s="4" t="inlineStr">
        <is>
          <t>13.10.2026</t>
        </is>
      </c>
      <c r="G1790" s="4" t="inlineStr">
        <is>
          <t>09:53</t>
        </is>
      </c>
      <c r="H1790" s="4" t="inlineStr">
        <is>
          <t>13.10.2026</t>
        </is>
      </c>
      <c r="I1790" s="4" t="inlineStr">
        <is>
          <t>21:12</t>
        </is>
      </c>
      <c r="J1790" s="8" t="n">
        <v>9.5</v>
      </c>
      <c r="K1790" s="8" t="n">
        <v>5.5</v>
      </c>
      <c r="L1790" s="8" t="n">
        <v>4</v>
      </c>
      <c r="M1790" s="29" t="inlineStr">
        <is>
          <t>GÖBEL</t>
        </is>
      </c>
    </row>
    <row r="1791">
      <c r="A1791" s="4" t="n">
        <v>1790</v>
      </c>
      <c r="B1791" s="4" t="inlineStr">
        <is>
          <t>00080</t>
        </is>
      </c>
      <c r="C1791" s="4" t="inlineStr">
        <is>
          <t>00080</t>
        </is>
      </c>
      <c r="D1791" s="29" t="inlineStr">
        <is>
          <t>HARUN YAHYA DURSUN</t>
        </is>
      </c>
      <c r="E1791" s="4" t="inlineStr">
        <is>
          <t>Çarşamba</t>
        </is>
      </c>
      <c r="F1791" s="4" t="inlineStr">
        <is>
          <t>14.10.2026</t>
        </is>
      </c>
      <c r="G1791" s="4" t="inlineStr">
        <is>
          <t>07:46</t>
        </is>
      </c>
      <c r="H1791" s="4" t="inlineStr">
        <is>
          <t>14.10.2026</t>
        </is>
      </c>
      <c r="I1791" s="4" t="inlineStr">
        <is>
          <t>20:10</t>
        </is>
      </c>
      <c r="J1791" s="8" t="n">
        <v>10.5</v>
      </c>
      <c r="K1791" s="8" t="n">
        <v>7.5</v>
      </c>
      <c r="L1791" s="8" t="n">
        <v>3</v>
      </c>
      <c r="M1791" s="29" t="inlineStr">
        <is>
          <t>GÖBEL</t>
        </is>
      </c>
    </row>
    <row r="1792">
      <c r="A1792" s="4" t="n">
        <v>1791</v>
      </c>
      <c r="B1792" s="4" t="inlineStr">
        <is>
          <t>00080</t>
        </is>
      </c>
      <c r="C1792" s="4" t="inlineStr">
        <is>
          <t>00080</t>
        </is>
      </c>
      <c r="D1792" s="29" t="inlineStr">
        <is>
          <t>HARUN YAHYA DURSUN</t>
        </is>
      </c>
      <c r="E1792" s="4" t="inlineStr">
        <is>
          <t>Perşembe</t>
        </is>
      </c>
      <c r="F1792" s="4" t="inlineStr">
        <is>
          <t>15.10.2026</t>
        </is>
      </c>
      <c r="G1792" s="4" t="inlineStr">
        <is>
          <t>07:50</t>
        </is>
      </c>
      <c r="H1792" s="4" t="inlineStr">
        <is>
          <t>15.10.2026</t>
        </is>
      </c>
      <c r="I1792" s="4" t="inlineStr">
        <is>
          <t>17:11</t>
        </is>
      </c>
      <c r="J1792" s="8" t="n">
        <v>7.5</v>
      </c>
      <c r="K1792" s="8" t="n">
        <v>7.5</v>
      </c>
      <c r="L1792" s="8" t="n">
        <v>0</v>
      </c>
      <c r="M1792" s="29" t="inlineStr">
        <is>
          <t>GÖBEL</t>
        </is>
      </c>
    </row>
    <row r="1793">
      <c r="A1793" s="4" t="n">
        <v>1792</v>
      </c>
      <c r="B1793" s="4" t="inlineStr">
        <is>
          <t>00080</t>
        </is>
      </c>
      <c r="C1793" s="4" t="inlineStr">
        <is>
          <t>00080</t>
        </is>
      </c>
      <c r="D1793" s="29" t="inlineStr">
        <is>
          <t>HARUN YAHYA DURSUN</t>
        </is>
      </c>
      <c r="E1793" s="4" t="inlineStr">
        <is>
          <t>Cuma</t>
        </is>
      </c>
      <c r="F1793" s="4" t="inlineStr">
        <is>
          <t>16.10.2026</t>
        </is>
      </c>
      <c r="G1793" s="4" t="inlineStr">
        <is>
          <t>08:04</t>
        </is>
      </c>
      <c r="H1793" s="4" t="inlineStr">
        <is>
          <t>16.10.2026</t>
        </is>
      </c>
      <c r="I1793" s="4" t="inlineStr">
        <is>
          <t>21:29</t>
        </is>
      </c>
      <c r="J1793" s="8" t="n">
        <v>12</v>
      </c>
      <c r="K1793" s="8" t="n">
        <v>7.5</v>
      </c>
      <c r="L1793" s="8" t="n">
        <v>4.5</v>
      </c>
      <c r="M1793" s="29" t="inlineStr">
        <is>
          <t>GÖBEL</t>
        </is>
      </c>
    </row>
    <row r="1794">
      <c r="A1794" s="4" t="n">
        <v>1793</v>
      </c>
      <c r="B1794" s="4" t="inlineStr">
        <is>
          <t>00080</t>
        </is>
      </c>
      <c r="C1794" s="4" t="inlineStr">
        <is>
          <t>00080</t>
        </is>
      </c>
      <c r="D1794" s="29" t="inlineStr">
        <is>
          <t>HARUN YAHYA DURSUN</t>
        </is>
      </c>
      <c r="E1794" s="4" t="inlineStr">
        <is>
          <t>Cumartesi</t>
        </is>
      </c>
      <c r="F1794" s="4" t="inlineStr">
        <is>
          <t>17.10.2026</t>
        </is>
      </c>
      <c r="G1794" s="4" t="inlineStr">
        <is>
          <t>12:16</t>
        </is>
      </c>
      <c r="H1794" s="4" t="inlineStr">
        <is>
          <t>17.10.2026</t>
        </is>
      </c>
      <c r="I1794" s="4" t="inlineStr">
        <is>
          <t>20:58</t>
        </is>
      </c>
      <c r="J1794" s="8" t="n">
        <v>8</v>
      </c>
      <c r="K1794" s="8" t="n">
        <v>8</v>
      </c>
      <c r="L1794" s="8" t="n">
        <v>0</v>
      </c>
      <c r="M1794" s="29" t="inlineStr">
        <is>
          <t>GÖBEL</t>
        </is>
      </c>
    </row>
    <row r="1795">
      <c r="A1795" s="4" t="n">
        <v>1794</v>
      </c>
      <c r="B1795" s="4" t="inlineStr">
        <is>
          <t>00080</t>
        </is>
      </c>
      <c r="C1795" s="4" t="inlineStr">
        <is>
          <t>00080</t>
        </is>
      </c>
      <c r="D1795" s="29" t="inlineStr">
        <is>
          <t>HARUN YAHYA DURSUN</t>
        </is>
      </c>
      <c r="E1795" s="4" t="inlineStr">
        <is>
          <t>Pazartesi</t>
        </is>
      </c>
      <c r="F1795" s="4" t="inlineStr">
        <is>
          <t>19.10.2026</t>
        </is>
      </c>
      <c r="G1795" s="4" t="inlineStr">
        <is>
          <t>10:21</t>
        </is>
      </c>
      <c r="H1795" s="4" t="inlineStr">
        <is>
          <t>19.10.2026</t>
        </is>
      </c>
      <c r="I1795" s="4" t="inlineStr">
        <is>
          <t>20:00</t>
        </is>
      </c>
      <c r="J1795" s="8" t="n">
        <v>8</v>
      </c>
      <c r="K1795" s="8" t="n">
        <v>5</v>
      </c>
      <c r="L1795" s="8" t="n">
        <v>3</v>
      </c>
      <c r="M1795" s="29" t="inlineStr">
        <is>
          <t>GÖBEL</t>
        </is>
      </c>
    </row>
    <row r="1796">
      <c r="A1796" s="4" t="n">
        <v>1795</v>
      </c>
      <c r="B1796" s="4" t="inlineStr">
        <is>
          <t>00080</t>
        </is>
      </c>
      <c r="C1796" s="4" t="inlineStr">
        <is>
          <t>00080</t>
        </is>
      </c>
      <c r="D1796" s="29" t="inlineStr">
        <is>
          <t>HARUN YAHYA DURSUN</t>
        </is>
      </c>
      <c r="E1796" s="4" t="inlineStr">
        <is>
          <t>Salı</t>
        </is>
      </c>
      <c r="F1796" s="4" t="inlineStr">
        <is>
          <t>20.10.2026</t>
        </is>
      </c>
      <c r="G1796" s="4" t="inlineStr">
        <is>
          <t>07:41</t>
        </is>
      </c>
      <c r="H1796" s="4" t="inlineStr">
        <is>
          <t>20.10.2026</t>
        </is>
      </c>
      <c r="I1796" s="4" t="inlineStr">
        <is>
          <t>19:55</t>
        </is>
      </c>
      <c r="J1796" s="8" t="n">
        <v>10.5</v>
      </c>
      <c r="K1796" s="8" t="n">
        <v>7.5</v>
      </c>
      <c r="L1796" s="8" t="n">
        <v>3</v>
      </c>
      <c r="M1796" s="29" t="inlineStr">
        <is>
          <t>GÖBEL</t>
        </is>
      </c>
    </row>
    <row r="1797">
      <c r="A1797" s="4" t="n">
        <v>1796</v>
      </c>
      <c r="B1797" s="4" t="inlineStr">
        <is>
          <t>00080</t>
        </is>
      </c>
      <c r="C1797" s="4" t="inlineStr">
        <is>
          <t>00080</t>
        </is>
      </c>
      <c r="D1797" s="29" t="inlineStr">
        <is>
          <t>HARUN YAHYA DURSUN</t>
        </is>
      </c>
      <c r="E1797" s="4" t="inlineStr">
        <is>
          <t>Çarşamba</t>
        </is>
      </c>
      <c r="F1797" s="4" t="inlineStr">
        <is>
          <t>21.10.2026</t>
        </is>
      </c>
      <c r="G1797" s="4" t="inlineStr">
        <is>
          <t>07:39</t>
        </is>
      </c>
      <c r="H1797" s="4" t="inlineStr">
        <is>
          <t>21.10.2026</t>
        </is>
      </c>
      <c r="I1797" s="4" t="inlineStr">
        <is>
          <t>-</t>
        </is>
      </c>
      <c r="J1797" s="8" t="n">
        <v>7.5</v>
      </c>
      <c r="K1797" s="8" t="n">
        <v>7.5</v>
      </c>
      <c r="L1797" s="8" t="n">
        <v>0</v>
      </c>
      <c r="M1797" s="29" t="inlineStr">
        <is>
          <t>GÖBEL</t>
        </is>
      </c>
    </row>
    <row r="1798">
      <c r="A1798" s="4" t="n">
        <v>1797</v>
      </c>
      <c r="B1798" s="4" t="inlineStr">
        <is>
          <t>00084</t>
        </is>
      </c>
      <c r="C1798" s="4" t="inlineStr">
        <is>
          <t>00084</t>
        </is>
      </c>
      <c r="D1798" s="29" t="inlineStr">
        <is>
          <t>HATİCE KURT</t>
        </is>
      </c>
      <c r="E1798" s="4" t="inlineStr">
        <is>
          <t>Perşembe</t>
        </is>
      </c>
      <c r="F1798" s="4" t="inlineStr">
        <is>
          <t>1.10.2026</t>
        </is>
      </c>
      <c r="G1798" s="4" t="inlineStr">
        <is>
          <t>15:49</t>
        </is>
      </c>
      <c r="H1798" s="4" t="inlineStr">
        <is>
          <t>1.10.2026</t>
        </is>
      </c>
      <c r="I1798" s="4" t="inlineStr">
        <is>
          <t>00:01</t>
        </is>
      </c>
      <c r="J1798" s="8" t="n">
        <v>7.5</v>
      </c>
      <c r="K1798" s="8" t="n">
        <v>7.5</v>
      </c>
      <c r="L1798" s="8" t="n">
        <v>0</v>
      </c>
      <c r="M1798" s="29" t="inlineStr">
        <is>
          <t>BİGADİÇ</t>
        </is>
      </c>
    </row>
    <row r="1799">
      <c r="A1799" s="4" t="n">
        <v>1798</v>
      </c>
      <c r="B1799" s="4" t="inlineStr">
        <is>
          <t>00084</t>
        </is>
      </c>
      <c r="C1799" s="4" t="inlineStr">
        <is>
          <t>00084</t>
        </is>
      </c>
      <c r="D1799" s="29" t="inlineStr">
        <is>
          <t>HATİCE KURT</t>
        </is>
      </c>
      <c r="E1799" s="4" t="inlineStr">
        <is>
          <t>Cuma</t>
        </is>
      </c>
      <c r="F1799" s="4" t="inlineStr">
        <is>
          <t>2.10.2026</t>
        </is>
      </c>
      <c r="G1799" s="4" t="inlineStr">
        <is>
          <t>15:45</t>
        </is>
      </c>
      <c r="H1799" s="4" t="inlineStr">
        <is>
          <t>2.10.2026</t>
        </is>
      </c>
      <c r="I1799" s="4" t="inlineStr">
        <is>
          <t>00:05</t>
        </is>
      </c>
      <c r="J1799" s="8" t="n">
        <v>7.5</v>
      </c>
      <c r="K1799" s="8" t="n">
        <v>7.5</v>
      </c>
      <c r="L1799" s="8" t="n">
        <v>0</v>
      </c>
      <c r="M1799" s="29" t="inlineStr">
        <is>
          <t>BİGADİÇ</t>
        </is>
      </c>
    </row>
    <row r="1800">
      <c r="A1800" s="4" t="n">
        <v>1799</v>
      </c>
      <c r="B1800" s="4" t="inlineStr">
        <is>
          <t>00084</t>
        </is>
      </c>
      <c r="C1800" s="4" t="inlineStr">
        <is>
          <t>00084</t>
        </is>
      </c>
      <c r="D1800" s="29" t="inlineStr">
        <is>
          <t>HATİCE KURT</t>
        </is>
      </c>
      <c r="E1800" s="4" t="inlineStr">
        <is>
          <t>Cumartesi</t>
        </is>
      </c>
      <c r="F1800" s="4" t="inlineStr">
        <is>
          <t>3.10.2026</t>
        </is>
      </c>
      <c r="G1800" s="4" t="inlineStr">
        <is>
          <t>16:05</t>
        </is>
      </c>
      <c r="H1800" s="4" t="inlineStr">
        <is>
          <t>3.10.2026</t>
        </is>
      </c>
      <c r="I1800" s="4" t="inlineStr">
        <is>
          <t>00:03</t>
        </is>
      </c>
      <c r="J1800" s="8" t="n">
        <v>7.5</v>
      </c>
      <c r="K1800" s="8" t="n">
        <v>7.5</v>
      </c>
      <c r="L1800" s="8" t="n">
        <v>0</v>
      </c>
      <c r="M1800" s="29" t="inlineStr">
        <is>
          <t>BİGADİÇ</t>
        </is>
      </c>
    </row>
    <row r="1801">
      <c r="A1801" s="4" t="n">
        <v>1800</v>
      </c>
      <c r="B1801" s="4" t="inlineStr">
        <is>
          <t>00084</t>
        </is>
      </c>
      <c r="C1801" s="4" t="inlineStr">
        <is>
          <t>00084</t>
        </is>
      </c>
      <c r="D1801" s="29" t="inlineStr">
        <is>
          <t>HATİCE KURT</t>
        </is>
      </c>
      <c r="E1801" s="4" t="inlineStr">
        <is>
          <t>Pazartesi</t>
        </is>
      </c>
      <c r="F1801" s="4" t="inlineStr">
        <is>
          <t>5.10.2026</t>
        </is>
      </c>
      <c r="G1801" s="4" t="inlineStr">
        <is>
          <t>16:04</t>
        </is>
      </c>
      <c r="H1801" s="4" t="inlineStr">
        <is>
          <t>5.10.2026</t>
        </is>
      </c>
      <c r="I1801" s="4" t="inlineStr">
        <is>
          <t>00:07</t>
        </is>
      </c>
      <c r="J1801" s="8" t="n">
        <v>7.5</v>
      </c>
      <c r="K1801" s="8" t="n">
        <v>7.5</v>
      </c>
      <c r="L1801" s="8" t="n">
        <v>0</v>
      </c>
      <c r="M1801" s="29" t="inlineStr">
        <is>
          <t>BİGADİÇ</t>
        </is>
      </c>
    </row>
    <row r="1802">
      <c r="A1802" s="4" t="n">
        <v>1801</v>
      </c>
      <c r="B1802" s="4" t="inlineStr">
        <is>
          <t>00084</t>
        </is>
      </c>
      <c r="C1802" s="4" t="inlineStr">
        <is>
          <t>00084</t>
        </is>
      </c>
      <c r="D1802" s="29" t="inlineStr">
        <is>
          <t>HATİCE KURT</t>
        </is>
      </c>
      <c r="E1802" s="4" t="inlineStr">
        <is>
          <t>Salı</t>
        </is>
      </c>
      <c r="F1802" s="4" t="inlineStr">
        <is>
          <t>6.10.2026</t>
        </is>
      </c>
      <c r="G1802" s="4" t="inlineStr">
        <is>
          <t>15:45</t>
        </is>
      </c>
      <c r="H1802" s="4" t="inlineStr">
        <is>
          <t>6.10.2026</t>
        </is>
      </c>
      <c r="I1802" s="4" t="inlineStr">
        <is>
          <t>00:07</t>
        </is>
      </c>
      <c r="J1802" s="8" t="n">
        <v>7.5</v>
      </c>
      <c r="K1802" s="8" t="n">
        <v>7.5</v>
      </c>
      <c r="L1802" s="8" t="n">
        <v>0</v>
      </c>
      <c r="M1802" s="29" t="inlineStr">
        <is>
          <t>BİGADİÇ</t>
        </is>
      </c>
    </row>
    <row r="1803">
      <c r="A1803" s="4" t="n">
        <v>1802</v>
      </c>
      <c r="B1803" s="4" t="inlineStr">
        <is>
          <t>00084</t>
        </is>
      </c>
      <c r="C1803" s="4" t="inlineStr">
        <is>
          <t>00084</t>
        </is>
      </c>
      <c r="D1803" s="29" t="inlineStr">
        <is>
          <t>HATİCE KURT</t>
        </is>
      </c>
      <c r="E1803" s="4" t="inlineStr">
        <is>
          <t>Çarşamba</t>
        </is>
      </c>
      <c r="F1803" s="4" t="inlineStr">
        <is>
          <t>7.10.2026</t>
        </is>
      </c>
      <c r="G1803" s="4" t="inlineStr">
        <is>
          <t>15:54</t>
        </is>
      </c>
      <c r="H1803" s="4" t="inlineStr">
        <is>
          <t>7.10.2026</t>
        </is>
      </c>
      <c r="I1803" s="4" t="inlineStr">
        <is>
          <t>00:04</t>
        </is>
      </c>
      <c r="J1803" s="8" t="n">
        <v>7.5</v>
      </c>
      <c r="K1803" s="8" t="n">
        <v>7.5</v>
      </c>
      <c r="L1803" s="8" t="n">
        <v>0</v>
      </c>
      <c r="M1803" s="29" t="inlineStr">
        <is>
          <t>BİGADİÇ</t>
        </is>
      </c>
    </row>
    <row r="1804">
      <c r="A1804" s="4" t="n">
        <v>1803</v>
      </c>
      <c r="B1804" s="4" t="inlineStr">
        <is>
          <t>00084</t>
        </is>
      </c>
      <c r="C1804" s="4" t="inlineStr">
        <is>
          <t>00084</t>
        </is>
      </c>
      <c r="D1804" s="29" t="inlineStr">
        <is>
          <t>HATİCE KURT</t>
        </is>
      </c>
      <c r="E1804" s="4" t="inlineStr">
        <is>
          <t>Perşembe</t>
        </is>
      </c>
      <c r="F1804" s="4" t="inlineStr">
        <is>
          <t>8.10.2026</t>
        </is>
      </c>
      <c r="G1804" s="4" t="inlineStr">
        <is>
          <t>15:53</t>
        </is>
      </c>
      <c r="H1804" s="4" t="inlineStr">
        <is>
          <t>8.10.2026</t>
        </is>
      </c>
      <c r="I1804" s="4" t="inlineStr">
        <is>
          <t>00:03</t>
        </is>
      </c>
      <c r="J1804" s="8" t="n">
        <v>7.5</v>
      </c>
      <c r="K1804" s="8" t="n">
        <v>7.5</v>
      </c>
      <c r="L1804" s="8" t="n">
        <v>0</v>
      </c>
      <c r="M1804" s="29" t="inlineStr">
        <is>
          <t>BİGADİÇ</t>
        </is>
      </c>
    </row>
    <row r="1805">
      <c r="A1805" s="4" t="n">
        <v>1804</v>
      </c>
      <c r="B1805" s="4" t="inlineStr">
        <is>
          <t>00084</t>
        </is>
      </c>
      <c r="C1805" s="4" t="inlineStr">
        <is>
          <t>00084</t>
        </is>
      </c>
      <c r="D1805" s="29" t="inlineStr">
        <is>
          <t>HATİCE KURT</t>
        </is>
      </c>
      <c r="E1805" s="4" t="inlineStr">
        <is>
          <t>Cuma</t>
        </is>
      </c>
      <c r="F1805" s="4" t="inlineStr">
        <is>
          <t>9.10.2026</t>
        </is>
      </c>
      <c r="G1805" s="4" t="inlineStr">
        <is>
          <t>15:51</t>
        </is>
      </c>
      <c r="H1805" s="4" t="inlineStr">
        <is>
          <t>9.10.2026</t>
        </is>
      </c>
      <c r="I1805" s="4" t="inlineStr">
        <is>
          <t>00:06</t>
        </is>
      </c>
      <c r="J1805" s="8" t="n">
        <v>7.5</v>
      </c>
      <c r="K1805" s="8" t="n">
        <v>7.5</v>
      </c>
      <c r="L1805" s="8" t="n">
        <v>0</v>
      </c>
      <c r="M1805" s="29" t="inlineStr">
        <is>
          <t>BİGADİÇ</t>
        </is>
      </c>
    </row>
    <row r="1806">
      <c r="A1806" s="4" t="n">
        <v>1805</v>
      </c>
      <c r="B1806" s="4" t="inlineStr">
        <is>
          <t>00084</t>
        </is>
      </c>
      <c r="C1806" s="4" t="inlineStr">
        <is>
          <t>00084</t>
        </is>
      </c>
      <c r="D1806" s="29" t="inlineStr">
        <is>
          <t>HATİCE KURT</t>
        </is>
      </c>
      <c r="E1806" s="4" t="inlineStr">
        <is>
          <t>Cumartesi</t>
        </is>
      </c>
      <c r="F1806" s="4" t="inlineStr">
        <is>
          <t>10.10.2026</t>
        </is>
      </c>
      <c r="G1806" s="4" t="inlineStr">
        <is>
          <t>15:54</t>
        </is>
      </c>
      <c r="H1806" s="4" t="inlineStr">
        <is>
          <t>10.10.2026</t>
        </is>
      </c>
      <c r="I1806" s="4" t="inlineStr">
        <is>
          <t>00:06</t>
        </is>
      </c>
      <c r="J1806" s="8" t="n">
        <v>7.5</v>
      </c>
      <c r="K1806" s="8" t="n">
        <v>7.5</v>
      </c>
      <c r="L1806" s="8" t="n">
        <v>0</v>
      </c>
      <c r="M1806" s="29" t="inlineStr">
        <is>
          <t>BİGADİÇ</t>
        </is>
      </c>
    </row>
    <row r="1807">
      <c r="A1807" s="4" t="n">
        <v>1806</v>
      </c>
      <c r="B1807" s="4" t="inlineStr">
        <is>
          <t>00084</t>
        </is>
      </c>
      <c r="C1807" s="4" t="inlineStr">
        <is>
          <t>00084</t>
        </is>
      </c>
      <c r="D1807" s="29" t="inlineStr">
        <is>
          <t>HATİCE KURT</t>
        </is>
      </c>
      <c r="E1807" s="4" t="inlineStr">
        <is>
          <t>Pazartesi</t>
        </is>
      </c>
      <c r="F1807" s="4" t="inlineStr">
        <is>
          <t>12.10.2026</t>
        </is>
      </c>
      <c r="G1807" s="4" t="inlineStr">
        <is>
          <t>15:44</t>
        </is>
      </c>
      <c r="H1807" s="4" t="inlineStr">
        <is>
          <t>12.10.2026</t>
        </is>
      </c>
      <c r="I1807" s="4" t="inlineStr">
        <is>
          <t>00:03</t>
        </is>
      </c>
      <c r="J1807" s="8" t="n">
        <v>7.5</v>
      </c>
      <c r="K1807" s="8" t="n">
        <v>7.5</v>
      </c>
      <c r="L1807" s="8" t="n">
        <v>0</v>
      </c>
      <c r="M1807" s="29" t="inlineStr">
        <is>
          <t>BİGADİÇ</t>
        </is>
      </c>
    </row>
    <row r="1808">
      <c r="A1808" s="4" t="n">
        <v>1807</v>
      </c>
      <c r="B1808" s="4" t="inlineStr">
        <is>
          <t>00084</t>
        </is>
      </c>
      <c r="C1808" s="4" t="inlineStr">
        <is>
          <t>00084</t>
        </is>
      </c>
      <c r="D1808" s="29" t="inlineStr">
        <is>
          <t>HATİCE KURT</t>
        </is>
      </c>
      <c r="E1808" s="4" t="inlineStr">
        <is>
          <t>Salı</t>
        </is>
      </c>
      <c r="F1808" s="4" t="inlineStr">
        <is>
          <t>13.10.2026</t>
        </is>
      </c>
      <c r="G1808" s="4" t="inlineStr">
        <is>
          <t>15:54</t>
        </is>
      </c>
      <c r="H1808" s="4" t="inlineStr">
        <is>
          <t>13.10.2026</t>
        </is>
      </c>
      <c r="I1808" s="4" t="inlineStr">
        <is>
          <t>00:05</t>
        </is>
      </c>
      <c r="J1808" s="8" t="n">
        <v>7.5</v>
      </c>
      <c r="K1808" s="8" t="n">
        <v>7.5</v>
      </c>
      <c r="L1808" s="8" t="n">
        <v>0</v>
      </c>
      <c r="M1808" s="29" t="inlineStr">
        <is>
          <t>BİGADİÇ</t>
        </is>
      </c>
    </row>
    <row r="1809">
      <c r="A1809" s="4" t="n">
        <v>1808</v>
      </c>
      <c r="B1809" s="4" t="inlineStr">
        <is>
          <t>00084</t>
        </is>
      </c>
      <c r="C1809" s="4" t="inlineStr">
        <is>
          <t>00084</t>
        </is>
      </c>
      <c r="D1809" s="29" t="inlineStr">
        <is>
          <t>HATİCE KURT</t>
        </is>
      </c>
      <c r="E1809" s="4" t="inlineStr">
        <is>
          <t>Çarşamba</t>
        </is>
      </c>
      <c r="F1809" s="4" t="inlineStr">
        <is>
          <t>14.10.2026</t>
        </is>
      </c>
      <c r="G1809" s="4" t="inlineStr">
        <is>
          <t>15:56</t>
        </is>
      </c>
      <c r="H1809" s="4" t="inlineStr">
        <is>
          <t>14.10.2026</t>
        </is>
      </c>
      <c r="I1809" s="4" t="inlineStr">
        <is>
          <t>00:30</t>
        </is>
      </c>
      <c r="J1809" s="8" t="n">
        <v>8</v>
      </c>
      <c r="K1809" s="8" t="n">
        <v>7.5</v>
      </c>
      <c r="L1809" s="8" t="n">
        <v>0.5</v>
      </c>
      <c r="M1809" s="29" t="inlineStr">
        <is>
          <t>BİGADİÇ</t>
        </is>
      </c>
    </row>
    <row r="1810">
      <c r="A1810" s="4" t="n">
        <v>1809</v>
      </c>
      <c r="B1810" s="4" t="inlineStr">
        <is>
          <t>00084</t>
        </is>
      </c>
      <c r="C1810" s="4" t="inlineStr">
        <is>
          <t>00084</t>
        </is>
      </c>
      <c r="D1810" s="29" t="inlineStr">
        <is>
          <t>HATİCE KURT</t>
        </is>
      </c>
      <c r="E1810" s="4" t="inlineStr">
        <is>
          <t>Perşembe</t>
        </is>
      </c>
      <c r="F1810" s="4" t="inlineStr">
        <is>
          <t>15.10.2026</t>
        </is>
      </c>
      <c r="G1810" s="4" t="inlineStr">
        <is>
          <t>15:57</t>
        </is>
      </c>
      <c r="H1810" s="4" t="inlineStr">
        <is>
          <t>15.10.2026</t>
        </is>
      </c>
      <c r="I1810" s="4" t="inlineStr">
        <is>
          <t>00:00</t>
        </is>
      </c>
      <c r="J1810" s="8" t="n">
        <v>7.5</v>
      </c>
      <c r="K1810" s="8" t="n">
        <v>7.5</v>
      </c>
      <c r="L1810" s="8" t="n">
        <v>0</v>
      </c>
      <c r="M1810" s="29" t="inlineStr">
        <is>
          <t>BİGADİÇ</t>
        </is>
      </c>
    </row>
    <row r="1811">
      <c r="A1811" s="4" t="n">
        <v>1810</v>
      </c>
      <c r="B1811" s="4" t="inlineStr">
        <is>
          <t>00084</t>
        </is>
      </c>
      <c r="C1811" s="4" t="inlineStr">
        <is>
          <t>00084</t>
        </is>
      </c>
      <c r="D1811" s="29" t="inlineStr">
        <is>
          <t>HATİCE KURT</t>
        </is>
      </c>
      <c r="E1811" s="4" t="inlineStr">
        <is>
          <t>Cuma</t>
        </is>
      </c>
      <c r="F1811" s="4" t="inlineStr">
        <is>
          <t>16.10.2026</t>
        </is>
      </c>
      <c r="G1811" s="4" t="inlineStr">
        <is>
          <t>15:57</t>
        </is>
      </c>
      <c r="H1811" s="4" t="inlineStr">
        <is>
          <t>16.10.2026</t>
        </is>
      </c>
      <c r="I1811" s="4" t="inlineStr">
        <is>
          <t>23:59</t>
        </is>
      </c>
      <c r="J1811" s="8" t="n">
        <v>7.5</v>
      </c>
      <c r="K1811" s="8" t="n">
        <v>7.5</v>
      </c>
      <c r="L1811" s="8" t="n">
        <v>0</v>
      </c>
      <c r="M1811" s="29" t="inlineStr">
        <is>
          <t>BİGADİÇ</t>
        </is>
      </c>
    </row>
    <row r="1812">
      <c r="A1812" s="4" t="n">
        <v>1811</v>
      </c>
      <c r="B1812" s="4" t="inlineStr">
        <is>
          <t>00084</t>
        </is>
      </c>
      <c r="C1812" s="4" t="inlineStr">
        <is>
          <t>00084</t>
        </is>
      </c>
      <c r="D1812" s="29" t="inlineStr">
        <is>
          <t>HATİCE KURT</t>
        </is>
      </c>
      <c r="E1812" s="4" t="inlineStr">
        <is>
          <t>Cumartesi</t>
        </is>
      </c>
      <c r="F1812" s="4" t="inlineStr">
        <is>
          <t>17.10.2026</t>
        </is>
      </c>
      <c r="G1812" s="4" t="inlineStr">
        <is>
          <t>15:53</t>
        </is>
      </c>
      <c r="H1812" s="4" t="inlineStr">
        <is>
          <t>17.10.2026</t>
        </is>
      </c>
      <c r="I1812" s="4" t="inlineStr">
        <is>
          <t>00:00</t>
        </is>
      </c>
      <c r="J1812" s="8" t="n">
        <v>7.5</v>
      </c>
      <c r="K1812" s="8" t="n">
        <v>7.5</v>
      </c>
      <c r="L1812" s="8" t="n">
        <v>0</v>
      </c>
      <c r="M1812" s="29" t="inlineStr">
        <is>
          <t>BİGADİÇ</t>
        </is>
      </c>
    </row>
    <row r="1813">
      <c r="A1813" s="4" t="n">
        <v>1812</v>
      </c>
      <c r="B1813" s="4" t="inlineStr">
        <is>
          <t>00084</t>
        </is>
      </c>
      <c r="C1813" s="4" t="inlineStr">
        <is>
          <t>00084</t>
        </is>
      </c>
      <c r="D1813" s="29" t="inlineStr">
        <is>
          <t>HATİCE KURT</t>
        </is>
      </c>
      <c r="E1813" s="4" t="inlineStr">
        <is>
          <t>Pazartesi</t>
        </is>
      </c>
      <c r="F1813" s="4" t="inlineStr">
        <is>
          <t>19.10.2026</t>
        </is>
      </c>
      <c r="G1813" s="4" t="inlineStr">
        <is>
          <t>15:52</t>
        </is>
      </c>
      <c r="H1813" s="4" t="inlineStr">
        <is>
          <t>19.10.2026</t>
        </is>
      </c>
      <c r="I1813" s="4" t="inlineStr">
        <is>
          <t>00:01</t>
        </is>
      </c>
      <c r="J1813" s="8" t="n">
        <v>7.5</v>
      </c>
      <c r="K1813" s="8" t="n">
        <v>7.5</v>
      </c>
      <c r="L1813" s="8" t="n">
        <v>0</v>
      </c>
      <c r="M1813" s="29" t="inlineStr">
        <is>
          <t>BİGADİÇ</t>
        </is>
      </c>
    </row>
    <row r="1814">
      <c r="A1814" s="4" t="n">
        <v>1813</v>
      </c>
      <c r="B1814" s="4" t="inlineStr">
        <is>
          <t>00084</t>
        </is>
      </c>
      <c r="C1814" s="4" t="inlineStr">
        <is>
          <t>00084</t>
        </is>
      </c>
      <c r="D1814" s="29" t="inlineStr">
        <is>
          <t>HATİCE KURT</t>
        </is>
      </c>
      <c r="E1814" s="4" t="inlineStr">
        <is>
          <t>Salı</t>
        </is>
      </c>
      <c r="F1814" s="4" t="inlineStr">
        <is>
          <t>20.10.2026</t>
        </is>
      </c>
      <c r="G1814" s="4" t="inlineStr">
        <is>
          <t>16:04</t>
        </is>
      </c>
      <c r="H1814" s="4" t="inlineStr">
        <is>
          <t>20.10.2026</t>
        </is>
      </c>
      <c r="I1814" s="4" t="inlineStr">
        <is>
          <t>00:01</t>
        </is>
      </c>
      <c r="J1814" s="8" t="n">
        <v>7.5</v>
      </c>
      <c r="K1814" s="8" t="n">
        <v>7.5</v>
      </c>
      <c r="L1814" s="8" t="n">
        <v>0</v>
      </c>
      <c r="M1814" s="29" t="inlineStr">
        <is>
          <t>BİGADİÇ</t>
        </is>
      </c>
    </row>
    <row r="1815">
      <c r="A1815" s="4" t="n">
        <v>1814</v>
      </c>
      <c r="B1815" s="4" t="inlineStr">
        <is>
          <t>00084</t>
        </is>
      </c>
      <c r="C1815" s="4" t="inlineStr">
        <is>
          <t>00084</t>
        </is>
      </c>
      <c r="D1815" s="29" t="inlineStr">
        <is>
          <t>HATİCE KURT</t>
        </is>
      </c>
      <c r="E1815" s="4" t="inlineStr">
        <is>
          <t>Çarşamba</t>
        </is>
      </c>
      <c r="F1815" s="4" t="inlineStr">
        <is>
          <t>21.10.2026</t>
        </is>
      </c>
      <c r="G1815" s="4" t="inlineStr">
        <is>
          <t>15:52</t>
        </is>
      </c>
      <c r="H1815" s="4" t="inlineStr">
        <is>
          <t>21.10.2026</t>
        </is>
      </c>
      <c r="I1815" s="4" t="inlineStr">
        <is>
          <t>-</t>
        </is>
      </c>
      <c r="J1815" s="8" t="n">
        <v>7.5</v>
      </c>
      <c r="K1815" s="8" t="n">
        <v>7.5</v>
      </c>
      <c r="L1815" s="8" t="n">
        <v>0</v>
      </c>
      <c r="M1815" s="29" t="inlineStr">
        <is>
          <t>BİGADİÇ</t>
        </is>
      </c>
    </row>
    <row r="1816">
      <c r="A1816" s="4" t="n">
        <v>1815</v>
      </c>
      <c r="B1816" s="4" t="inlineStr">
        <is>
          <t>00574</t>
        </is>
      </c>
      <c r="C1816" s="4" t="inlineStr">
        <is>
          <t>00574</t>
        </is>
      </c>
      <c r="D1816" s="29" t="inlineStr">
        <is>
          <t>HATİCE ERBAŞ</t>
        </is>
      </c>
      <c r="E1816" s="4" t="inlineStr">
        <is>
          <t>Perşembe</t>
        </is>
      </c>
      <c r="F1816" s="4" t="inlineStr">
        <is>
          <t>1.10.2026</t>
        </is>
      </c>
      <c r="G1816" s="4" t="inlineStr">
        <is>
          <t>07:54</t>
        </is>
      </c>
      <c r="H1816" s="4" t="inlineStr">
        <is>
          <t>1.10.2026</t>
        </is>
      </c>
      <c r="I1816" s="4" t="inlineStr">
        <is>
          <t>17:10</t>
        </is>
      </c>
      <c r="J1816" s="8" t="n">
        <v>7.5</v>
      </c>
      <c r="K1816" s="8" t="n">
        <v>7.5</v>
      </c>
      <c r="L1816" s="8" t="n">
        <v>0</v>
      </c>
      <c r="M1816" s="29" t="inlineStr">
        <is>
          <t>BİGADİÇ</t>
        </is>
      </c>
    </row>
    <row r="1817">
      <c r="A1817" s="4" t="n">
        <v>1816</v>
      </c>
      <c r="B1817" s="4" t="inlineStr">
        <is>
          <t>00574</t>
        </is>
      </c>
      <c r="C1817" s="4" t="inlineStr">
        <is>
          <t>00574</t>
        </is>
      </c>
      <c r="D1817" s="29" t="inlineStr">
        <is>
          <t>HATİCE ERBAŞ</t>
        </is>
      </c>
      <c r="E1817" s="4" t="inlineStr">
        <is>
          <t>Cuma</t>
        </is>
      </c>
      <c r="F1817" s="4" t="inlineStr">
        <is>
          <t>2.10.2026</t>
        </is>
      </c>
      <c r="G1817" s="4" t="inlineStr">
        <is>
          <t>07:53</t>
        </is>
      </c>
      <c r="H1817" s="4" t="inlineStr">
        <is>
          <t>2.10.2026</t>
        </is>
      </c>
      <c r="I1817" s="4" t="inlineStr">
        <is>
          <t>17:13</t>
        </is>
      </c>
      <c r="J1817" s="8" t="n">
        <v>7.5</v>
      </c>
      <c r="K1817" s="8" t="n">
        <v>7.5</v>
      </c>
      <c r="L1817" s="8" t="n">
        <v>0</v>
      </c>
      <c r="M1817" s="29" t="inlineStr">
        <is>
          <t>BİGADİÇ</t>
        </is>
      </c>
    </row>
    <row r="1818">
      <c r="A1818" s="4" t="n">
        <v>1817</v>
      </c>
      <c r="B1818" s="4" t="inlineStr">
        <is>
          <t>00574</t>
        </is>
      </c>
      <c r="C1818" s="4" t="inlineStr">
        <is>
          <t>00574</t>
        </is>
      </c>
      <c r="D1818" s="29" t="inlineStr">
        <is>
          <t>HATİCE ERBAŞ</t>
        </is>
      </c>
      <c r="E1818" s="4" t="inlineStr">
        <is>
          <t>Pazartesi</t>
        </is>
      </c>
      <c r="F1818" s="4" t="inlineStr">
        <is>
          <t>5.10.2026</t>
        </is>
      </c>
      <c r="G1818" s="4" t="inlineStr">
        <is>
          <t>07:55</t>
        </is>
      </c>
      <c r="H1818" s="4" t="inlineStr">
        <is>
          <t>5.10.2026</t>
        </is>
      </c>
      <c r="I1818" s="4" t="inlineStr">
        <is>
          <t>17:11</t>
        </is>
      </c>
      <c r="J1818" s="8" t="n">
        <v>7.5</v>
      </c>
      <c r="K1818" s="8" t="n">
        <v>7.5</v>
      </c>
      <c r="L1818" s="8" t="n">
        <v>0</v>
      </c>
      <c r="M1818" s="29" t="inlineStr">
        <is>
          <t>BİGADİÇ</t>
        </is>
      </c>
    </row>
    <row r="1819">
      <c r="A1819" s="4" t="n">
        <v>1818</v>
      </c>
      <c r="B1819" s="4" t="inlineStr">
        <is>
          <t>00574</t>
        </is>
      </c>
      <c r="C1819" s="4" t="inlineStr">
        <is>
          <t>00574</t>
        </is>
      </c>
      <c r="D1819" s="29" t="inlineStr">
        <is>
          <t>HATİCE ERBAŞ</t>
        </is>
      </c>
      <c r="E1819" s="4" t="inlineStr">
        <is>
          <t>Salı</t>
        </is>
      </c>
      <c r="F1819" s="4" t="inlineStr">
        <is>
          <t>6.10.2026</t>
        </is>
      </c>
      <c r="G1819" s="4" t="inlineStr">
        <is>
          <t>07:53</t>
        </is>
      </c>
      <c r="H1819" s="4" t="inlineStr">
        <is>
          <t>6.10.2026</t>
        </is>
      </c>
      <c r="I1819" s="4" t="inlineStr">
        <is>
          <t>17:09</t>
        </is>
      </c>
      <c r="J1819" s="8" t="n">
        <v>7.5</v>
      </c>
      <c r="K1819" s="8" t="n">
        <v>7.5</v>
      </c>
      <c r="L1819" s="8" t="n">
        <v>0</v>
      </c>
      <c r="M1819" s="29" t="inlineStr">
        <is>
          <t>BİGADİÇ</t>
        </is>
      </c>
    </row>
    <row r="1820">
      <c r="A1820" s="4" t="n">
        <v>1819</v>
      </c>
      <c r="B1820" s="4" t="inlineStr">
        <is>
          <t>00574</t>
        </is>
      </c>
      <c r="C1820" s="4" t="inlineStr">
        <is>
          <t>00574</t>
        </is>
      </c>
      <c r="D1820" s="29" t="inlineStr">
        <is>
          <t>HATİCE ERBAŞ</t>
        </is>
      </c>
      <c r="E1820" s="4" t="inlineStr">
        <is>
          <t>Çarşamba</t>
        </is>
      </c>
      <c r="F1820" s="4" t="inlineStr">
        <is>
          <t>7.10.2026</t>
        </is>
      </c>
      <c r="G1820" s="4" t="inlineStr">
        <is>
          <t>07:56</t>
        </is>
      </c>
      <c r="H1820" s="4" t="inlineStr">
        <is>
          <t>7.10.2026</t>
        </is>
      </c>
      <c r="I1820" s="4" t="inlineStr">
        <is>
          <t>17:11</t>
        </is>
      </c>
      <c r="J1820" s="8" t="n">
        <v>7.5</v>
      </c>
      <c r="K1820" s="8" t="n">
        <v>7.5</v>
      </c>
      <c r="L1820" s="8" t="n">
        <v>0</v>
      </c>
      <c r="M1820" s="29" t="inlineStr">
        <is>
          <t>BİGADİÇ</t>
        </is>
      </c>
    </row>
    <row r="1821">
      <c r="A1821" s="4" t="n">
        <v>1820</v>
      </c>
      <c r="B1821" s="4" t="inlineStr">
        <is>
          <t>00574</t>
        </is>
      </c>
      <c r="C1821" s="4" t="inlineStr">
        <is>
          <t>00574</t>
        </is>
      </c>
      <c r="D1821" s="29" t="inlineStr">
        <is>
          <t>HATİCE ERBAŞ</t>
        </is>
      </c>
      <c r="E1821" s="4" t="inlineStr">
        <is>
          <t>Perşembe</t>
        </is>
      </c>
      <c r="F1821" s="4" t="inlineStr">
        <is>
          <t>8.10.2026</t>
        </is>
      </c>
      <c r="G1821" s="4" t="inlineStr">
        <is>
          <t>07:59</t>
        </is>
      </c>
      <c r="H1821" s="4" t="inlineStr">
        <is>
          <t>8.10.2026</t>
        </is>
      </c>
      <c r="I1821" s="4" t="inlineStr">
        <is>
          <t>17:13</t>
        </is>
      </c>
      <c r="J1821" s="8" t="n">
        <v>7.5</v>
      </c>
      <c r="K1821" s="8" t="n">
        <v>7.5</v>
      </c>
      <c r="L1821" s="8" t="n">
        <v>0</v>
      </c>
      <c r="M1821" s="29" t="inlineStr">
        <is>
          <t>BİGADİÇ</t>
        </is>
      </c>
    </row>
    <row r="1822">
      <c r="A1822" s="4" t="n">
        <v>1821</v>
      </c>
      <c r="B1822" s="4" t="inlineStr">
        <is>
          <t>00574</t>
        </is>
      </c>
      <c r="C1822" s="4" t="inlineStr">
        <is>
          <t>00574</t>
        </is>
      </c>
      <c r="D1822" s="29" t="inlineStr">
        <is>
          <t>HATİCE ERBAŞ</t>
        </is>
      </c>
      <c r="E1822" s="4" t="inlineStr">
        <is>
          <t>Cuma</t>
        </is>
      </c>
      <c r="F1822" s="4" t="inlineStr">
        <is>
          <t>9.10.2026</t>
        </is>
      </c>
      <c r="G1822" s="4" t="inlineStr">
        <is>
          <t>07:53</t>
        </is>
      </c>
      <c r="H1822" s="4" t="inlineStr">
        <is>
          <t>9.10.2026</t>
        </is>
      </c>
      <c r="I1822" s="4" t="inlineStr">
        <is>
          <t>17:10</t>
        </is>
      </c>
      <c r="J1822" s="8" t="n">
        <v>7.5</v>
      </c>
      <c r="K1822" s="8" t="n">
        <v>7.5</v>
      </c>
      <c r="L1822" s="8" t="n">
        <v>0</v>
      </c>
      <c r="M1822" s="29" t="inlineStr">
        <is>
          <t>BİGADİÇ</t>
        </is>
      </c>
    </row>
    <row r="1823">
      <c r="A1823" s="4" t="n">
        <v>1822</v>
      </c>
      <c r="B1823" s="4" t="inlineStr">
        <is>
          <t>00574</t>
        </is>
      </c>
      <c r="C1823" s="4" t="inlineStr">
        <is>
          <t>00574</t>
        </is>
      </c>
      <c r="D1823" s="29" t="inlineStr">
        <is>
          <t>HATİCE ERBAŞ</t>
        </is>
      </c>
      <c r="E1823" s="4" t="inlineStr">
        <is>
          <t>Cumartesi</t>
        </is>
      </c>
      <c r="F1823" s="4" t="inlineStr">
        <is>
          <t>10.10.2026</t>
        </is>
      </c>
      <c r="G1823" s="4" t="inlineStr">
        <is>
          <t>07:53</t>
        </is>
      </c>
      <c r="H1823" s="4" t="inlineStr">
        <is>
          <t>10.10.2026</t>
        </is>
      </c>
      <c r="I1823" s="4" t="inlineStr">
        <is>
          <t>17:11</t>
        </is>
      </c>
      <c r="J1823" s="8" t="n">
        <v>7.5</v>
      </c>
      <c r="K1823" s="8" t="n">
        <v>7.5</v>
      </c>
      <c r="L1823" s="8" t="n">
        <v>0</v>
      </c>
      <c r="M1823" s="29" t="inlineStr">
        <is>
          <t>BİGADİÇ</t>
        </is>
      </c>
    </row>
    <row r="1824">
      <c r="A1824" s="4" t="n">
        <v>1823</v>
      </c>
      <c r="B1824" s="4" t="inlineStr">
        <is>
          <t>00574</t>
        </is>
      </c>
      <c r="C1824" s="4" t="inlineStr">
        <is>
          <t>00574</t>
        </is>
      </c>
      <c r="D1824" s="29" t="inlineStr">
        <is>
          <t>HATİCE ERBAŞ</t>
        </is>
      </c>
      <c r="E1824" s="4" t="inlineStr">
        <is>
          <t>Pazar</t>
        </is>
      </c>
      <c r="F1824" s="4" t="inlineStr">
        <is>
          <t>18.10.2026</t>
        </is>
      </c>
      <c r="G1824" s="4" t="inlineStr">
        <is>
          <t>08:09</t>
        </is>
      </c>
      <c r="H1824" s="4" t="inlineStr">
        <is>
          <t>18.10.2026</t>
        </is>
      </c>
      <c r="I1824" s="4" t="inlineStr">
        <is>
          <t>17:11</t>
        </is>
      </c>
      <c r="J1824" s="8" t="n">
        <v>7.5</v>
      </c>
      <c r="K1824" s="8" t="n">
        <v>7.5</v>
      </c>
      <c r="L1824" s="8" t="n">
        <v>0</v>
      </c>
      <c r="M1824" s="29" t="inlineStr">
        <is>
          <t>BİGADİÇ</t>
        </is>
      </c>
    </row>
    <row r="1825">
      <c r="A1825" s="4" t="n">
        <v>1824</v>
      </c>
      <c r="B1825" s="4" t="inlineStr">
        <is>
          <t>00574</t>
        </is>
      </c>
      <c r="C1825" s="4" t="inlineStr">
        <is>
          <t>00574</t>
        </is>
      </c>
      <c r="D1825" s="29" t="inlineStr">
        <is>
          <t>HATİCE ERBAŞ</t>
        </is>
      </c>
      <c r="E1825" s="4" t="inlineStr">
        <is>
          <t>Pazartesi</t>
        </is>
      </c>
      <c r="F1825" s="4" t="inlineStr">
        <is>
          <t>19.10.2026</t>
        </is>
      </c>
      <c r="G1825" s="4" t="inlineStr">
        <is>
          <t>07:54</t>
        </is>
      </c>
      <c r="H1825" s="4" t="inlineStr">
        <is>
          <t>19.10.2026</t>
        </is>
      </c>
      <c r="I1825" s="4" t="inlineStr">
        <is>
          <t>17:12</t>
        </is>
      </c>
      <c r="J1825" s="8" t="n">
        <v>7.5</v>
      </c>
      <c r="K1825" s="8" t="n">
        <v>7.5</v>
      </c>
      <c r="L1825" s="8" t="n">
        <v>0</v>
      </c>
      <c r="M1825" s="29" t="inlineStr">
        <is>
          <t>BİGADİÇ</t>
        </is>
      </c>
    </row>
    <row r="1826">
      <c r="A1826" s="4" t="n">
        <v>1825</v>
      </c>
      <c r="B1826" s="4" t="inlineStr">
        <is>
          <t>00574</t>
        </is>
      </c>
      <c r="C1826" s="4" t="inlineStr">
        <is>
          <t>00574</t>
        </is>
      </c>
      <c r="D1826" s="29" t="inlineStr">
        <is>
          <t>HATİCE ERBAŞ</t>
        </is>
      </c>
      <c r="E1826" s="4" t="inlineStr">
        <is>
          <t>Salı</t>
        </is>
      </c>
      <c r="F1826" s="4" t="inlineStr">
        <is>
          <t>20.10.2026</t>
        </is>
      </c>
      <c r="G1826" s="4" t="inlineStr">
        <is>
          <t>08:19</t>
        </is>
      </c>
      <c r="H1826" s="4" t="inlineStr">
        <is>
          <t>20.10.2026</t>
        </is>
      </c>
      <c r="I1826" s="4" t="inlineStr">
        <is>
          <t>17:18</t>
        </is>
      </c>
      <c r="J1826" s="8" t="n">
        <v>7.5</v>
      </c>
      <c r="K1826" s="8" t="n">
        <v>7.5</v>
      </c>
      <c r="L1826" s="8" t="n">
        <v>0</v>
      </c>
      <c r="M1826" s="29" t="inlineStr">
        <is>
          <t>BİGADİÇ</t>
        </is>
      </c>
    </row>
    <row r="1827">
      <c r="A1827" s="4" t="n">
        <v>1826</v>
      </c>
      <c r="B1827" s="4" t="inlineStr">
        <is>
          <t>00574</t>
        </is>
      </c>
      <c r="C1827" s="4" t="inlineStr">
        <is>
          <t>00574</t>
        </is>
      </c>
      <c r="D1827" s="29" t="inlineStr">
        <is>
          <t>HATİCE ERBAŞ</t>
        </is>
      </c>
      <c r="E1827" s="4" t="inlineStr">
        <is>
          <t>Çarşamba</t>
        </is>
      </c>
      <c r="F1827" s="4" t="inlineStr">
        <is>
          <t>21.10.2026</t>
        </is>
      </c>
      <c r="G1827" s="4" t="inlineStr">
        <is>
          <t>08:00</t>
        </is>
      </c>
      <c r="H1827" s="4" t="inlineStr">
        <is>
          <t>21.10.2026</t>
        </is>
      </c>
      <c r="I1827" s="4" t="inlineStr">
        <is>
          <t>17:10</t>
        </is>
      </c>
      <c r="J1827" s="8" t="n">
        <v>7.5</v>
      </c>
      <c r="K1827" s="8" t="n">
        <v>7.5</v>
      </c>
      <c r="L1827" s="8" t="n">
        <v>0</v>
      </c>
      <c r="M1827" s="29" t="inlineStr">
        <is>
          <t>BİGADİÇ</t>
        </is>
      </c>
    </row>
    <row r="1828">
      <c r="A1828" s="4" t="n">
        <v>1827</v>
      </c>
      <c r="B1828" s="4" t="inlineStr">
        <is>
          <t>00577</t>
        </is>
      </c>
      <c r="C1828" s="4" t="inlineStr">
        <is>
          <t>00577</t>
        </is>
      </c>
      <c r="D1828" s="29" t="inlineStr">
        <is>
          <t>HATİCE SAVAŞÇI</t>
        </is>
      </c>
      <c r="E1828" s="4" t="inlineStr">
        <is>
          <t>Perşembe</t>
        </is>
      </c>
      <c r="F1828" s="4" t="inlineStr">
        <is>
          <t>1.10.2026</t>
        </is>
      </c>
      <c r="G1828" s="4" t="inlineStr">
        <is>
          <t>07:51</t>
        </is>
      </c>
      <c r="H1828" s="4" t="inlineStr">
        <is>
          <t>1.10.2026</t>
        </is>
      </c>
      <c r="I1828" s="4" t="inlineStr">
        <is>
          <t>17:25</t>
        </is>
      </c>
      <c r="J1828" s="8" t="n">
        <v>8</v>
      </c>
      <c r="K1828" s="8" t="n">
        <v>7.5</v>
      </c>
      <c r="L1828" s="8" t="n">
        <v>0.5</v>
      </c>
      <c r="M1828" s="29" t="inlineStr">
        <is>
          <t>BALIKESİR</t>
        </is>
      </c>
    </row>
    <row r="1829">
      <c r="A1829" s="4" t="n">
        <v>1828</v>
      </c>
      <c r="B1829" s="4" t="inlineStr">
        <is>
          <t>00577</t>
        </is>
      </c>
      <c r="C1829" s="4" t="inlineStr">
        <is>
          <t>00577</t>
        </is>
      </c>
      <c r="D1829" s="29" t="inlineStr">
        <is>
          <t>HATİCE SAVAŞÇI</t>
        </is>
      </c>
      <c r="E1829" s="4" t="inlineStr">
        <is>
          <t>Cuma</t>
        </is>
      </c>
      <c r="F1829" s="4" t="inlineStr">
        <is>
          <t>2.10.2026</t>
        </is>
      </c>
      <c r="G1829" s="4" t="inlineStr">
        <is>
          <t>07:56</t>
        </is>
      </c>
      <c r="H1829" s="4" t="inlineStr">
        <is>
          <t>2.10.2026</t>
        </is>
      </c>
      <c r="I1829" s="4" t="inlineStr">
        <is>
          <t>17:43</t>
        </is>
      </c>
      <c r="J1829" s="8" t="n">
        <v>8</v>
      </c>
      <c r="K1829" s="8" t="n">
        <v>7.5</v>
      </c>
      <c r="L1829" s="8" t="n">
        <v>0.5</v>
      </c>
      <c r="M1829" s="29" t="inlineStr">
        <is>
          <t>BALIKESİR</t>
        </is>
      </c>
    </row>
    <row r="1830">
      <c r="A1830" s="4" t="n">
        <v>1829</v>
      </c>
      <c r="B1830" s="4" t="inlineStr">
        <is>
          <t>00577</t>
        </is>
      </c>
      <c r="C1830" s="4" t="inlineStr">
        <is>
          <t>00577</t>
        </is>
      </c>
      <c r="D1830" s="29" t="inlineStr">
        <is>
          <t>HATİCE SAVAŞÇI</t>
        </is>
      </c>
      <c r="E1830" s="4" t="inlineStr">
        <is>
          <t>Cumartesi</t>
        </is>
      </c>
      <c r="F1830" s="4" t="inlineStr">
        <is>
          <t>3.10.2026</t>
        </is>
      </c>
      <c r="G1830" s="4" t="inlineStr">
        <is>
          <t>07:56</t>
        </is>
      </c>
      <c r="H1830" s="4" t="inlineStr">
        <is>
          <t>3.10.2026</t>
        </is>
      </c>
      <c r="I1830" s="4" t="inlineStr">
        <is>
          <t>17:34</t>
        </is>
      </c>
      <c r="J1830" s="8" t="n">
        <v>8</v>
      </c>
      <c r="K1830" s="8" t="n">
        <v>7.5</v>
      </c>
      <c r="L1830" s="8" t="n">
        <v>0.5</v>
      </c>
      <c r="M1830" s="29" t="inlineStr">
        <is>
          <t>BALIKESİR</t>
        </is>
      </c>
    </row>
    <row r="1831">
      <c r="A1831" s="4" t="n">
        <v>1830</v>
      </c>
      <c r="B1831" s="4" t="inlineStr">
        <is>
          <t>00577</t>
        </is>
      </c>
      <c r="C1831" s="4" t="inlineStr">
        <is>
          <t>00577</t>
        </is>
      </c>
      <c r="D1831" s="29" t="inlineStr">
        <is>
          <t>HATİCE SAVAŞÇI</t>
        </is>
      </c>
      <c r="E1831" s="4" t="inlineStr">
        <is>
          <t>Pazartesi</t>
        </is>
      </c>
      <c r="F1831" s="4" t="inlineStr">
        <is>
          <t>5.10.2026</t>
        </is>
      </c>
      <c r="G1831" s="4" t="inlineStr">
        <is>
          <t>07:54</t>
        </is>
      </c>
      <c r="H1831" s="4" t="inlineStr">
        <is>
          <t>5.10.2026</t>
        </is>
      </c>
      <c r="I1831" s="4" t="inlineStr">
        <is>
          <t>17:02</t>
        </is>
      </c>
      <c r="J1831" s="8" t="n">
        <v>7.5</v>
      </c>
      <c r="K1831" s="8" t="n">
        <v>7.5</v>
      </c>
      <c r="L1831" s="8" t="n">
        <v>0</v>
      </c>
      <c r="M1831" s="29" t="inlineStr">
        <is>
          <t>BALIKESİR</t>
        </is>
      </c>
    </row>
    <row r="1832">
      <c r="A1832" s="4" t="n">
        <v>1831</v>
      </c>
      <c r="B1832" s="4" t="inlineStr">
        <is>
          <t>00577</t>
        </is>
      </c>
      <c r="C1832" s="4" t="inlineStr">
        <is>
          <t>00577</t>
        </is>
      </c>
      <c r="D1832" s="29" t="inlineStr">
        <is>
          <t>HATİCE SAVAŞÇI</t>
        </is>
      </c>
      <c r="E1832" s="4" t="inlineStr">
        <is>
          <t>Salı</t>
        </is>
      </c>
      <c r="F1832" s="4" t="inlineStr">
        <is>
          <t>6.10.2026</t>
        </is>
      </c>
      <c r="G1832" s="4" t="inlineStr">
        <is>
          <t>07:51</t>
        </is>
      </c>
      <c r="H1832" s="4" t="inlineStr">
        <is>
          <t>6.10.2026</t>
        </is>
      </c>
      <c r="I1832" s="4" t="inlineStr">
        <is>
          <t>17:37</t>
        </is>
      </c>
      <c r="J1832" s="8" t="n">
        <v>8</v>
      </c>
      <c r="K1832" s="8" t="n">
        <v>7.5</v>
      </c>
      <c r="L1832" s="8" t="n">
        <v>0.5</v>
      </c>
      <c r="M1832" s="29" t="inlineStr">
        <is>
          <t>BALIKESİR</t>
        </is>
      </c>
    </row>
    <row r="1833">
      <c r="A1833" s="4" t="n">
        <v>1832</v>
      </c>
      <c r="B1833" s="4" t="inlineStr">
        <is>
          <t>00577</t>
        </is>
      </c>
      <c r="C1833" s="4" t="inlineStr">
        <is>
          <t>00577</t>
        </is>
      </c>
      <c r="D1833" s="29" t="inlineStr">
        <is>
          <t>HATİCE SAVAŞÇI</t>
        </is>
      </c>
      <c r="E1833" s="4" t="inlineStr">
        <is>
          <t>Çarşamba</t>
        </is>
      </c>
      <c r="F1833" s="4" t="inlineStr">
        <is>
          <t>7.10.2026</t>
        </is>
      </c>
      <c r="G1833" s="4" t="inlineStr">
        <is>
          <t>07:49</t>
        </is>
      </c>
      <c r="H1833" s="4" t="inlineStr">
        <is>
          <t>7.10.2026</t>
        </is>
      </c>
      <c r="I1833" s="4" t="inlineStr">
        <is>
          <t>17:22</t>
        </is>
      </c>
      <c r="J1833" s="8" t="n">
        <v>8</v>
      </c>
      <c r="K1833" s="8" t="n">
        <v>7.5</v>
      </c>
      <c r="L1833" s="8" t="n">
        <v>0.5</v>
      </c>
      <c r="M1833" s="29" t="inlineStr">
        <is>
          <t>BALIKESİR</t>
        </is>
      </c>
    </row>
    <row r="1834">
      <c r="A1834" s="4" t="n">
        <v>1833</v>
      </c>
      <c r="B1834" s="4" t="inlineStr">
        <is>
          <t>00577</t>
        </is>
      </c>
      <c r="C1834" s="4" t="inlineStr">
        <is>
          <t>00577</t>
        </is>
      </c>
      <c r="D1834" s="29" t="inlineStr">
        <is>
          <t>HATİCE SAVAŞÇI</t>
        </is>
      </c>
      <c r="E1834" s="4" t="inlineStr">
        <is>
          <t>Perşembe</t>
        </is>
      </c>
      <c r="F1834" s="4" t="inlineStr">
        <is>
          <t>8.10.2026</t>
        </is>
      </c>
      <c r="G1834" s="4" t="inlineStr">
        <is>
          <t>07:51</t>
        </is>
      </c>
      <c r="H1834" s="4" t="inlineStr">
        <is>
          <t>8.10.2026</t>
        </is>
      </c>
      <c r="I1834" s="4" t="inlineStr">
        <is>
          <t>17:31</t>
        </is>
      </c>
      <c r="J1834" s="8" t="n">
        <v>8</v>
      </c>
      <c r="K1834" s="8" t="n">
        <v>7.5</v>
      </c>
      <c r="L1834" s="8" t="n">
        <v>0.5</v>
      </c>
      <c r="M1834" s="29" t="inlineStr">
        <is>
          <t>BALIKESİR</t>
        </is>
      </c>
    </row>
    <row r="1835">
      <c r="A1835" s="4" t="n">
        <v>1834</v>
      </c>
      <c r="B1835" s="4" t="inlineStr">
        <is>
          <t>00577</t>
        </is>
      </c>
      <c r="C1835" s="4" t="inlineStr">
        <is>
          <t>00577</t>
        </is>
      </c>
      <c r="D1835" s="29" t="inlineStr">
        <is>
          <t>HATİCE SAVAŞÇI</t>
        </is>
      </c>
      <c r="E1835" s="4" t="inlineStr">
        <is>
          <t>Cuma</t>
        </is>
      </c>
      <c r="F1835" s="4" t="inlineStr">
        <is>
          <t>9.10.2026</t>
        </is>
      </c>
      <c r="G1835" s="4" t="inlineStr">
        <is>
          <t>07:51</t>
        </is>
      </c>
      <c r="H1835" s="4" t="inlineStr">
        <is>
          <t>9.10.2026</t>
        </is>
      </c>
      <c r="I1835" s="4" t="inlineStr">
        <is>
          <t>17:40</t>
        </is>
      </c>
      <c r="J1835" s="8" t="n">
        <v>8</v>
      </c>
      <c r="K1835" s="8" t="n">
        <v>7.5</v>
      </c>
      <c r="L1835" s="8" t="n">
        <v>0.5</v>
      </c>
      <c r="M1835" s="29" t="inlineStr">
        <is>
          <t>BALIKESİR</t>
        </is>
      </c>
    </row>
    <row r="1836">
      <c r="A1836" s="4" t="n">
        <v>1835</v>
      </c>
      <c r="B1836" s="4" t="inlineStr">
        <is>
          <t>00577</t>
        </is>
      </c>
      <c r="C1836" s="4" t="inlineStr">
        <is>
          <t>00577</t>
        </is>
      </c>
      <c r="D1836" s="29" t="inlineStr">
        <is>
          <t>HATİCE SAVAŞÇI</t>
        </is>
      </c>
      <c r="E1836" s="4" t="inlineStr">
        <is>
          <t>Cumartesi</t>
        </is>
      </c>
      <c r="F1836" s="4" t="inlineStr">
        <is>
          <t>10.10.2026</t>
        </is>
      </c>
      <c r="G1836" s="4" t="inlineStr">
        <is>
          <t>07:54</t>
        </is>
      </c>
      <c r="H1836" s="4" t="inlineStr">
        <is>
          <t>10.10.2026</t>
        </is>
      </c>
      <c r="I1836" s="4" t="inlineStr">
        <is>
          <t>18:08</t>
        </is>
      </c>
      <c r="J1836" s="8" t="n">
        <v>8.5</v>
      </c>
      <c r="K1836" s="8" t="n">
        <v>7.5</v>
      </c>
      <c r="L1836" s="8" t="n">
        <v>1</v>
      </c>
      <c r="M1836" s="29" t="inlineStr">
        <is>
          <t>BALIKESİR</t>
        </is>
      </c>
    </row>
    <row r="1837">
      <c r="A1837" s="4" t="n">
        <v>1836</v>
      </c>
      <c r="B1837" s="4" t="inlineStr">
        <is>
          <t>00577</t>
        </is>
      </c>
      <c r="C1837" s="4" t="inlineStr">
        <is>
          <t>00577</t>
        </is>
      </c>
      <c r="D1837" s="29" t="inlineStr">
        <is>
          <t>HATİCE SAVAŞÇI</t>
        </is>
      </c>
      <c r="E1837" s="4" t="inlineStr">
        <is>
          <t>Pazartesi</t>
        </is>
      </c>
      <c r="F1837" s="4" t="inlineStr">
        <is>
          <t>12.10.2026</t>
        </is>
      </c>
      <c r="G1837" s="4" t="inlineStr">
        <is>
          <t>07:51</t>
        </is>
      </c>
      <c r="H1837" s="4" t="inlineStr">
        <is>
          <t>12.10.2026</t>
        </is>
      </c>
      <c r="I1837" s="4" t="inlineStr">
        <is>
          <t>17:00</t>
        </is>
      </c>
      <c r="J1837" s="8" t="n">
        <v>7.5</v>
      </c>
      <c r="K1837" s="8" t="n">
        <v>7.5</v>
      </c>
      <c r="L1837" s="8" t="n">
        <v>0</v>
      </c>
      <c r="M1837" s="29" t="inlineStr">
        <is>
          <t>BALIKESİR</t>
        </is>
      </c>
    </row>
    <row r="1838">
      <c r="A1838" s="4" t="n">
        <v>1837</v>
      </c>
      <c r="B1838" s="4" t="inlineStr">
        <is>
          <t>00577</t>
        </is>
      </c>
      <c r="C1838" s="4" t="inlineStr">
        <is>
          <t>00577</t>
        </is>
      </c>
      <c r="D1838" s="29" t="inlineStr">
        <is>
          <t>HATİCE SAVAŞÇI</t>
        </is>
      </c>
      <c r="E1838" s="4" t="inlineStr">
        <is>
          <t>Salı</t>
        </is>
      </c>
      <c r="F1838" s="4" t="inlineStr">
        <is>
          <t>13.10.2026</t>
        </is>
      </c>
      <c r="G1838" s="4" t="inlineStr">
        <is>
          <t>07:50</t>
        </is>
      </c>
      <c r="H1838" s="4" t="inlineStr">
        <is>
          <t>13.10.2026</t>
        </is>
      </c>
      <c r="I1838" s="4" t="inlineStr">
        <is>
          <t>17:00</t>
        </is>
      </c>
      <c r="J1838" s="8" t="n">
        <v>7.5</v>
      </c>
      <c r="K1838" s="8" t="n">
        <v>7.5</v>
      </c>
      <c r="L1838" s="8" t="n">
        <v>0</v>
      </c>
      <c r="M1838" s="29" t="inlineStr">
        <is>
          <t>BALIKESİR</t>
        </is>
      </c>
    </row>
    <row r="1839">
      <c r="A1839" s="4" t="n">
        <v>1838</v>
      </c>
      <c r="B1839" s="4" t="inlineStr">
        <is>
          <t>00577</t>
        </is>
      </c>
      <c r="C1839" s="4" t="inlineStr">
        <is>
          <t>00577</t>
        </is>
      </c>
      <c r="D1839" s="29" t="inlineStr">
        <is>
          <t>HATİCE SAVAŞÇI</t>
        </is>
      </c>
      <c r="E1839" s="4" t="inlineStr">
        <is>
          <t>Çarşamba</t>
        </is>
      </c>
      <c r="F1839" s="4" t="inlineStr">
        <is>
          <t>14.10.2026</t>
        </is>
      </c>
      <c r="G1839" s="4" t="inlineStr">
        <is>
          <t>07:51</t>
        </is>
      </c>
      <c r="H1839" s="4" t="inlineStr">
        <is>
          <t>14.10.2026</t>
        </is>
      </c>
      <c r="I1839" s="4" t="inlineStr">
        <is>
          <t>18:04</t>
        </is>
      </c>
      <c r="J1839" s="8" t="n">
        <v>8.5</v>
      </c>
      <c r="K1839" s="8" t="n">
        <v>7.5</v>
      </c>
      <c r="L1839" s="8" t="n">
        <v>1</v>
      </c>
      <c r="M1839" s="29" t="inlineStr">
        <is>
          <t>BALIKESİR</t>
        </is>
      </c>
    </row>
    <row r="1840">
      <c r="A1840" s="4" t="n">
        <v>1839</v>
      </c>
      <c r="B1840" s="4" t="inlineStr">
        <is>
          <t>00577</t>
        </is>
      </c>
      <c r="C1840" s="4" t="inlineStr">
        <is>
          <t>00577</t>
        </is>
      </c>
      <c r="D1840" s="29" t="inlineStr">
        <is>
          <t>HATİCE SAVAŞÇI</t>
        </is>
      </c>
      <c r="E1840" s="4" t="inlineStr">
        <is>
          <t>Perşembe</t>
        </is>
      </c>
      <c r="F1840" s="4" t="inlineStr">
        <is>
          <t>15.10.2026</t>
        </is>
      </c>
      <c r="G1840" s="4" t="inlineStr">
        <is>
          <t>07:53</t>
        </is>
      </c>
      <c r="H1840" s="4" t="inlineStr">
        <is>
          <t>15.10.2026</t>
        </is>
      </c>
      <c r="I1840" s="4" t="inlineStr">
        <is>
          <t>17:02</t>
        </is>
      </c>
      <c r="J1840" s="8" t="n">
        <v>7.5</v>
      </c>
      <c r="K1840" s="8" t="n">
        <v>7.5</v>
      </c>
      <c r="L1840" s="8" t="n">
        <v>0</v>
      </c>
      <c r="M1840" s="29" t="inlineStr">
        <is>
          <t>BALIKESİR</t>
        </is>
      </c>
    </row>
    <row r="1841">
      <c r="A1841" s="4" t="n">
        <v>1840</v>
      </c>
      <c r="B1841" s="4" t="inlineStr">
        <is>
          <t>00577</t>
        </is>
      </c>
      <c r="C1841" s="4" t="inlineStr">
        <is>
          <t>00577</t>
        </is>
      </c>
      <c r="D1841" s="29" t="inlineStr">
        <is>
          <t>HATİCE SAVAŞÇI</t>
        </is>
      </c>
      <c r="E1841" s="4" t="inlineStr">
        <is>
          <t>Cuma</t>
        </is>
      </c>
      <c r="F1841" s="4" t="inlineStr">
        <is>
          <t>16.10.2026</t>
        </is>
      </c>
      <c r="G1841" s="4" t="inlineStr">
        <is>
          <t>07:49</t>
        </is>
      </c>
      <c r="H1841" s="4" t="inlineStr">
        <is>
          <t>16.10.2026</t>
        </is>
      </c>
      <c r="I1841" s="4" t="inlineStr">
        <is>
          <t>17:14</t>
        </is>
      </c>
      <c r="J1841" s="8" t="n">
        <v>7.5</v>
      </c>
      <c r="K1841" s="8" t="n">
        <v>7.5</v>
      </c>
      <c r="L1841" s="8" t="n">
        <v>0</v>
      </c>
      <c r="M1841" s="29" t="inlineStr">
        <is>
          <t>BALIKESİR</t>
        </is>
      </c>
    </row>
    <row r="1842">
      <c r="A1842" s="4" t="n">
        <v>1841</v>
      </c>
      <c r="B1842" s="4" t="inlineStr">
        <is>
          <t>00577</t>
        </is>
      </c>
      <c r="C1842" s="4" t="inlineStr">
        <is>
          <t>00577</t>
        </is>
      </c>
      <c r="D1842" s="29" t="inlineStr">
        <is>
          <t>HATİCE SAVAŞÇI</t>
        </is>
      </c>
      <c r="E1842" s="4" t="inlineStr">
        <is>
          <t>Cumartesi</t>
        </is>
      </c>
      <c r="F1842" s="4" t="inlineStr">
        <is>
          <t>17.10.2026</t>
        </is>
      </c>
      <c r="G1842" s="4" t="inlineStr">
        <is>
          <t>07:58</t>
        </is>
      </c>
      <c r="H1842" s="4" t="inlineStr">
        <is>
          <t>17.10.2026</t>
        </is>
      </c>
      <c r="I1842" s="4" t="inlineStr">
        <is>
          <t>17:48</t>
        </is>
      </c>
      <c r="J1842" s="8" t="n">
        <v>8.5</v>
      </c>
      <c r="K1842" s="8" t="n">
        <v>7.5</v>
      </c>
      <c r="L1842" s="8" t="n">
        <v>1</v>
      </c>
      <c r="M1842" s="29" t="inlineStr">
        <is>
          <t>BALIKESİR</t>
        </is>
      </c>
    </row>
    <row r="1843">
      <c r="A1843" s="4" t="n">
        <v>1842</v>
      </c>
      <c r="B1843" s="4" t="inlineStr">
        <is>
          <t>00577</t>
        </is>
      </c>
      <c r="C1843" s="4" t="inlineStr">
        <is>
          <t>00577</t>
        </is>
      </c>
      <c r="D1843" s="29" t="inlineStr">
        <is>
          <t>HATİCE SAVAŞÇI</t>
        </is>
      </c>
      <c r="E1843" s="4" t="inlineStr">
        <is>
          <t>Pazartesi</t>
        </is>
      </c>
      <c r="F1843" s="4" t="inlineStr">
        <is>
          <t>19.10.2026</t>
        </is>
      </c>
      <c r="G1843" s="4" t="inlineStr">
        <is>
          <t>07:51</t>
        </is>
      </c>
      <c r="H1843" s="4" t="inlineStr">
        <is>
          <t>19.10.2026</t>
        </is>
      </c>
      <c r="I1843" s="4" t="inlineStr">
        <is>
          <t>17:41</t>
        </is>
      </c>
      <c r="J1843" s="8" t="n">
        <v>8</v>
      </c>
      <c r="K1843" s="8" t="n">
        <v>7.5</v>
      </c>
      <c r="L1843" s="8" t="n">
        <v>0.5</v>
      </c>
      <c r="M1843" s="29" t="inlineStr">
        <is>
          <t>BALIKESİR</t>
        </is>
      </c>
    </row>
    <row r="1844">
      <c r="A1844" s="4" t="n">
        <v>1843</v>
      </c>
      <c r="B1844" s="4" t="inlineStr">
        <is>
          <t>00577</t>
        </is>
      </c>
      <c r="C1844" s="4" t="inlineStr">
        <is>
          <t>00577</t>
        </is>
      </c>
      <c r="D1844" s="29" t="inlineStr">
        <is>
          <t>HATİCE SAVAŞÇI</t>
        </is>
      </c>
      <c r="E1844" s="4" t="inlineStr">
        <is>
          <t>Salı</t>
        </is>
      </c>
      <c r="F1844" s="4" t="inlineStr">
        <is>
          <t>20.10.2026</t>
        </is>
      </c>
      <c r="G1844" s="4" t="inlineStr">
        <is>
          <t>07:49</t>
        </is>
      </c>
      <c r="H1844" s="4" t="inlineStr">
        <is>
          <t>20.10.2026</t>
        </is>
      </c>
      <c r="I1844" s="4" t="inlineStr">
        <is>
          <t>17:00</t>
        </is>
      </c>
      <c r="J1844" s="8" t="n">
        <v>7.5</v>
      </c>
      <c r="K1844" s="8" t="n">
        <v>7.5</v>
      </c>
      <c r="L1844" s="8" t="n">
        <v>0</v>
      </c>
      <c r="M1844" s="29" t="inlineStr">
        <is>
          <t>BALIKESİR</t>
        </is>
      </c>
    </row>
    <row r="1845">
      <c r="A1845" s="4" t="n">
        <v>1844</v>
      </c>
      <c r="B1845" s="4" t="inlineStr">
        <is>
          <t>00577</t>
        </is>
      </c>
      <c r="C1845" s="4" t="inlineStr">
        <is>
          <t>00577</t>
        </is>
      </c>
      <c r="D1845" s="29" t="inlineStr">
        <is>
          <t>HATİCE SAVAŞÇI</t>
        </is>
      </c>
      <c r="E1845" s="4" t="inlineStr">
        <is>
          <t>Çarşamba</t>
        </is>
      </c>
      <c r="F1845" s="4" t="inlineStr">
        <is>
          <t>21.10.2026</t>
        </is>
      </c>
      <c r="G1845" s="4" t="inlineStr">
        <is>
          <t>07:50</t>
        </is>
      </c>
      <c r="H1845" s="4" t="inlineStr">
        <is>
          <t>21.10.2026</t>
        </is>
      </c>
      <c r="I1845" s="4" t="inlineStr">
        <is>
          <t>17:00</t>
        </is>
      </c>
      <c r="J1845" s="8" t="n">
        <v>7.5</v>
      </c>
      <c r="K1845" s="8" t="n">
        <v>7.5</v>
      </c>
      <c r="L1845" s="8" t="n">
        <v>0</v>
      </c>
      <c r="M1845" s="29" t="inlineStr">
        <is>
          <t>BALIKESİR</t>
        </is>
      </c>
    </row>
    <row r="1846">
      <c r="A1846" s="4" t="n">
        <v>1845</v>
      </c>
      <c r="B1846" s="4" t="inlineStr">
        <is>
          <t>01096</t>
        </is>
      </c>
      <c r="C1846" s="4" t="inlineStr">
        <is>
          <t>01096</t>
        </is>
      </c>
      <c r="D1846" s="29" t="inlineStr">
        <is>
          <t>HATİCE ONUK</t>
        </is>
      </c>
      <c r="E1846" s="4" t="inlineStr">
        <is>
          <t>Perşembe</t>
        </is>
      </c>
      <c r="F1846" s="4" t="inlineStr">
        <is>
          <t>1.10.2026</t>
        </is>
      </c>
      <c r="G1846" s="4" t="inlineStr">
        <is>
          <t>07:50</t>
        </is>
      </c>
      <c r="H1846" s="4" t="inlineStr">
        <is>
          <t>1.10.2026</t>
        </is>
      </c>
      <c r="I1846" s="4" t="inlineStr">
        <is>
          <t>17:17</t>
        </is>
      </c>
      <c r="J1846" s="8" t="n">
        <v>7.5</v>
      </c>
      <c r="K1846" s="8" t="n">
        <v>7.5</v>
      </c>
      <c r="L1846" s="8" t="n">
        <v>0</v>
      </c>
      <c r="M1846" s="29" t="inlineStr">
        <is>
          <t>HALİL DİĞRENCİ</t>
        </is>
      </c>
    </row>
    <row r="1847">
      <c r="A1847" s="4" t="n">
        <v>1846</v>
      </c>
      <c r="B1847" s="4" t="inlineStr">
        <is>
          <t>01096</t>
        </is>
      </c>
      <c r="C1847" s="4" t="inlineStr">
        <is>
          <t>01096</t>
        </is>
      </c>
      <c r="D1847" s="29" t="inlineStr">
        <is>
          <t>HATİCE ONUK</t>
        </is>
      </c>
      <c r="E1847" s="4" t="inlineStr">
        <is>
          <t>Cuma</t>
        </is>
      </c>
      <c r="F1847" s="4" t="inlineStr">
        <is>
          <t>2.10.2026</t>
        </is>
      </c>
      <c r="G1847" s="4" t="inlineStr">
        <is>
          <t>07:46</t>
        </is>
      </c>
      <c r="H1847" s="4" t="inlineStr">
        <is>
          <t>2.10.2026</t>
        </is>
      </c>
      <c r="I1847" s="4" t="inlineStr">
        <is>
          <t>17:54</t>
        </is>
      </c>
      <c r="J1847" s="8" t="n">
        <v>8.5</v>
      </c>
      <c r="K1847" s="8" t="n">
        <v>7.5</v>
      </c>
      <c r="L1847" s="8" t="n">
        <v>1</v>
      </c>
      <c r="M1847" s="29" t="inlineStr">
        <is>
          <t>HALİL DİĞRENCİ</t>
        </is>
      </c>
    </row>
    <row r="1848">
      <c r="A1848" s="4" t="n">
        <v>1847</v>
      </c>
      <c r="B1848" s="4" t="inlineStr">
        <is>
          <t>01096</t>
        </is>
      </c>
      <c r="C1848" s="4" t="inlineStr">
        <is>
          <t>01096</t>
        </is>
      </c>
      <c r="D1848" s="29" t="inlineStr">
        <is>
          <t>HATİCE ONUK</t>
        </is>
      </c>
      <c r="E1848" s="4" t="inlineStr">
        <is>
          <t>Cumartesi</t>
        </is>
      </c>
      <c r="F1848" s="4" t="inlineStr">
        <is>
          <t>3.10.2026</t>
        </is>
      </c>
      <c r="G1848" s="4" t="inlineStr">
        <is>
          <t>07:47</t>
        </is>
      </c>
      <c r="H1848" s="4" t="inlineStr">
        <is>
          <t>3.10.2026</t>
        </is>
      </c>
      <c r="I1848" s="4" t="inlineStr">
        <is>
          <t>-</t>
        </is>
      </c>
      <c r="J1848" s="8" t="n">
        <v>7.5</v>
      </c>
      <c r="K1848" s="8" t="n">
        <v>7.5</v>
      </c>
      <c r="L1848" s="8" t="n">
        <v>0</v>
      </c>
      <c r="M1848" s="29" t="inlineStr">
        <is>
          <t>HALİL DİĞRENCİ</t>
        </is>
      </c>
    </row>
    <row r="1849">
      <c r="A1849" s="4" t="n">
        <v>1848</v>
      </c>
      <c r="B1849" s="4" t="inlineStr">
        <is>
          <t>01096</t>
        </is>
      </c>
      <c r="C1849" s="4" t="inlineStr">
        <is>
          <t>01096</t>
        </is>
      </c>
      <c r="D1849" s="29" t="inlineStr">
        <is>
          <t>HATİCE ONUK</t>
        </is>
      </c>
      <c r="E1849" s="4" t="inlineStr">
        <is>
          <t>Pazartesi</t>
        </is>
      </c>
      <c r="F1849" s="4" t="inlineStr">
        <is>
          <t>5.10.2026</t>
        </is>
      </c>
      <c r="G1849" s="4" t="inlineStr">
        <is>
          <t>07:36</t>
        </is>
      </c>
      <c r="H1849" s="4" t="inlineStr">
        <is>
          <t>5.10.2026</t>
        </is>
      </c>
      <c r="I1849" s="4" t="inlineStr">
        <is>
          <t>17:08</t>
        </is>
      </c>
      <c r="J1849" s="8" t="n">
        <v>7.5</v>
      </c>
      <c r="K1849" s="8" t="n">
        <v>7.5</v>
      </c>
      <c r="L1849" s="8" t="n">
        <v>0</v>
      </c>
      <c r="M1849" s="29" t="inlineStr">
        <is>
          <t>HALİL DİĞRENCİ</t>
        </is>
      </c>
    </row>
    <row r="1850">
      <c r="A1850" s="4" t="n">
        <v>1849</v>
      </c>
      <c r="B1850" s="4" t="inlineStr">
        <is>
          <t>01096</t>
        </is>
      </c>
      <c r="C1850" s="4" t="inlineStr">
        <is>
          <t>01096</t>
        </is>
      </c>
      <c r="D1850" s="29" t="inlineStr">
        <is>
          <t>HATİCE ONUK</t>
        </is>
      </c>
      <c r="E1850" s="4" t="inlineStr">
        <is>
          <t>Salı</t>
        </is>
      </c>
      <c r="F1850" s="4" t="inlineStr">
        <is>
          <t>6.10.2026</t>
        </is>
      </c>
      <c r="G1850" s="4" t="inlineStr">
        <is>
          <t>07:34</t>
        </is>
      </c>
      <c r="H1850" s="4" t="inlineStr">
        <is>
          <t>6.10.2026</t>
        </is>
      </c>
      <c r="I1850" s="4" t="inlineStr">
        <is>
          <t>17:46</t>
        </is>
      </c>
      <c r="J1850" s="8" t="n">
        <v>8.5</v>
      </c>
      <c r="K1850" s="8" t="n">
        <v>7.5</v>
      </c>
      <c r="L1850" s="8" t="n">
        <v>1</v>
      </c>
      <c r="M1850" s="29" t="inlineStr">
        <is>
          <t>HALİL DİĞRENCİ</t>
        </is>
      </c>
    </row>
    <row r="1851">
      <c r="A1851" s="4" t="n">
        <v>1850</v>
      </c>
      <c r="B1851" s="4" t="inlineStr">
        <is>
          <t>01096</t>
        </is>
      </c>
      <c r="C1851" s="4" t="inlineStr">
        <is>
          <t>01096</t>
        </is>
      </c>
      <c r="D1851" s="29" t="inlineStr">
        <is>
          <t>HATİCE ONUK</t>
        </is>
      </c>
      <c r="E1851" s="4" t="inlineStr">
        <is>
          <t>Çarşamba</t>
        </is>
      </c>
      <c r="F1851" s="4" t="inlineStr">
        <is>
          <t>7.10.2026</t>
        </is>
      </c>
      <c r="G1851" s="4" t="inlineStr">
        <is>
          <t>07:32</t>
        </is>
      </c>
      <c r="H1851" s="4" t="inlineStr">
        <is>
          <t>7.10.2026</t>
        </is>
      </c>
      <c r="I1851" s="4" t="inlineStr">
        <is>
          <t>17:20</t>
        </is>
      </c>
      <c r="J1851" s="8" t="n">
        <v>7.5</v>
      </c>
      <c r="K1851" s="8" t="n">
        <v>7.5</v>
      </c>
      <c r="L1851" s="8" t="n">
        <v>0</v>
      </c>
      <c r="M1851" s="29" t="inlineStr">
        <is>
          <t>HALİL DİĞRENCİ</t>
        </is>
      </c>
    </row>
    <row r="1852">
      <c r="A1852" s="4" t="n">
        <v>1851</v>
      </c>
      <c r="B1852" s="4" t="inlineStr">
        <is>
          <t>01096</t>
        </is>
      </c>
      <c r="C1852" s="4" t="inlineStr">
        <is>
          <t>01096</t>
        </is>
      </c>
      <c r="D1852" s="29" t="inlineStr">
        <is>
          <t>HATİCE ONUK</t>
        </is>
      </c>
      <c r="E1852" s="4" t="inlineStr">
        <is>
          <t>Perşembe</t>
        </is>
      </c>
      <c r="F1852" s="4" t="inlineStr">
        <is>
          <t>8.10.2026</t>
        </is>
      </c>
      <c r="G1852" s="4" t="inlineStr">
        <is>
          <t>07:32</t>
        </is>
      </c>
      <c r="H1852" s="4" t="inlineStr">
        <is>
          <t>8.10.2026</t>
        </is>
      </c>
      <c r="I1852" s="4" t="inlineStr">
        <is>
          <t>17:22</t>
        </is>
      </c>
      <c r="J1852" s="8" t="n">
        <v>8</v>
      </c>
      <c r="K1852" s="8" t="n">
        <v>7.5</v>
      </c>
      <c r="L1852" s="8" t="n">
        <v>0.5</v>
      </c>
      <c r="M1852" s="29" t="inlineStr">
        <is>
          <t>HALİL DİĞRENCİ</t>
        </is>
      </c>
    </row>
    <row r="1853">
      <c r="A1853" s="4" t="n">
        <v>1852</v>
      </c>
      <c r="B1853" s="4" t="inlineStr">
        <is>
          <t>01096</t>
        </is>
      </c>
      <c r="C1853" s="4" t="inlineStr">
        <is>
          <t>01096</t>
        </is>
      </c>
      <c r="D1853" s="29" t="inlineStr">
        <is>
          <t>HATİCE ONUK</t>
        </is>
      </c>
      <c r="E1853" s="4" t="inlineStr">
        <is>
          <t>Cuma</t>
        </is>
      </c>
      <c r="F1853" s="4" t="inlineStr">
        <is>
          <t>9.10.2026</t>
        </is>
      </c>
      <c r="G1853" s="4" t="inlineStr">
        <is>
          <t>07:28</t>
        </is>
      </c>
      <c r="H1853" s="4" t="inlineStr">
        <is>
          <t>9.10.2026</t>
        </is>
      </c>
      <c r="I1853" s="4" t="inlineStr">
        <is>
          <t>17:24</t>
        </is>
      </c>
      <c r="J1853" s="8" t="n">
        <v>8</v>
      </c>
      <c r="K1853" s="8" t="n">
        <v>7.5</v>
      </c>
      <c r="L1853" s="8" t="n">
        <v>0.5</v>
      </c>
      <c r="M1853" s="29" t="inlineStr">
        <is>
          <t>HALİL DİĞRENCİ</t>
        </is>
      </c>
    </row>
    <row r="1854">
      <c r="A1854" s="4" t="n">
        <v>1853</v>
      </c>
      <c r="B1854" s="4" t="inlineStr">
        <is>
          <t>01096</t>
        </is>
      </c>
      <c r="C1854" s="4" t="inlineStr">
        <is>
          <t>01096</t>
        </is>
      </c>
      <c r="D1854" s="29" t="inlineStr">
        <is>
          <t>HATİCE ONUK</t>
        </is>
      </c>
      <c r="E1854" s="4" t="inlineStr">
        <is>
          <t>Cumartesi</t>
        </is>
      </c>
      <c r="F1854" s="4" t="inlineStr">
        <is>
          <t>10.10.2026</t>
        </is>
      </c>
      <c r="G1854" s="4" t="inlineStr">
        <is>
          <t>07:36</t>
        </is>
      </c>
      <c r="H1854" s="4" t="inlineStr">
        <is>
          <t>10.10.2026</t>
        </is>
      </c>
      <c r="I1854" s="4" t="inlineStr">
        <is>
          <t>18:08</t>
        </is>
      </c>
      <c r="J1854" s="8" t="n">
        <v>8.5</v>
      </c>
      <c r="K1854" s="8" t="n">
        <v>7.5</v>
      </c>
      <c r="L1854" s="8" t="n">
        <v>1</v>
      </c>
      <c r="M1854" s="29" t="inlineStr">
        <is>
          <t>HALİL DİĞRENCİ</t>
        </is>
      </c>
    </row>
    <row r="1855">
      <c r="A1855" s="4" t="n">
        <v>1854</v>
      </c>
      <c r="B1855" s="4" t="inlineStr">
        <is>
          <t>01096</t>
        </is>
      </c>
      <c r="C1855" s="4" t="inlineStr">
        <is>
          <t>01096</t>
        </is>
      </c>
      <c r="D1855" s="29" t="inlineStr">
        <is>
          <t>HATİCE ONUK</t>
        </is>
      </c>
      <c r="E1855" s="4" t="inlineStr">
        <is>
          <t>Pazar</t>
        </is>
      </c>
      <c r="F1855" s="4" t="inlineStr">
        <is>
          <t>11.10.2026</t>
        </is>
      </c>
      <c r="G1855" s="4" t="inlineStr">
        <is>
          <t>07:55</t>
        </is>
      </c>
      <c r="H1855" s="4" t="inlineStr">
        <is>
          <t>11.10.2026</t>
        </is>
      </c>
      <c r="I1855" s="4" t="inlineStr">
        <is>
          <t>16:37</t>
        </is>
      </c>
      <c r="J1855" s="8" t="n">
        <v>7</v>
      </c>
      <c r="K1855" s="8" t="n">
        <v>7</v>
      </c>
      <c r="L1855" s="8" t="n">
        <v>0</v>
      </c>
      <c r="M1855" s="29" t="inlineStr">
        <is>
          <t>HALİL DİĞRENCİ</t>
        </is>
      </c>
    </row>
    <row r="1856">
      <c r="A1856" s="4" t="n">
        <v>1855</v>
      </c>
      <c r="B1856" s="4" t="inlineStr">
        <is>
          <t>01096</t>
        </is>
      </c>
      <c r="C1856" s="4" t="inlineStr">
        <is>
          <t>01096</t>
        </is>
      </c>
      <c r="D1856" s="29" t="inlineStr">
        <is>
          <t>HATİCE ONUK</t>
        </is>
      </c>
      <c r="E1856" s="4" t="inlineStr">
        <is>
          <t>Salı</t>
        </is>
      </c>
      <c r="F1856" s="4" t="inlineStr">
        <is>
          <t>13.10.2026</t>
        </is>
      </c>
      <c r="G1856" s="4" t="inlineStr">
        <is>
          <t>07:34</t>
        </is>
      </c>
      <c r="H1856" s="4" t="inlineStr">
        <is>
          <t>13.10.2026</t>
        </is>
      </c>
      <c r="I1856" s="4" t="inlineStr">
        <is>
          <t>17:07</t>
        </is>
      </c>
      <c r="J1856" s="8" t="n">
        <v>7.5</v>
      </c>
      <c r="K1856" s="8" t="n">
        <v>7.5</v>
      </c>
      <c r="L1856" s="8" t="n">
        <v>0</v>
      </c>
      <c r="M1856" s="29" t="inlineStr">
        <is>
          <t>HALİL DİĞRENCİ</t>
        </is>
      </c>
    </row>
    <row r="1857">
      <c r="A1857" s="4" t="n">
        <v>1856</v>
      </c>
      <c r="B1857" s="4" t="inlineStr">
        <is>
          <t>01096</t>
        </is>
      </c>
      <c r="C1857" s="4" t="inlineStr">
        <is>
          <t>01096</t>
        </is>
      </c>
      <c r="D1857" s="29" t="inlineStr">
        <is>
          <t>HATİCE ONUK</t>
        </is>
      </c>
      <c r="E1857" s="4" t="inlineStr">
        <is>
          <t>Çarşamba</t>
        </is>
      </c>
      <c r="F1857" s="4" t="inlineStr">
        <is>
          <t>14.10.2026</t>
        </is>
      </c>
      <c r="G1857" s="4" t="inlineStr">
        <is>
          <t>07:37</t>
        </is>
      </c>
      <c r="H1857" s="4" t="inlineStr">
        <is>
          <t>14.10.2026</t>
        </is>
      </c>
      <c r="I1857" s="4" t="inlineStr">
        <is>
          <t>17:03</t>
        </is>
      </c>
      <c r="J1857" s="8" t="n">
        <v>7.5</v>
      </c>
      <c r="K1857" s="8" t="n">
        <v>7.5</v>
      </c>
      <c r="L1857" s="8" t="n">
        <v>0</v>
      </c>
      <c r="M1857" s="29" t="inlineStr">
        <is>
          <t>HALİL DİĞRENCİ</t>
        </is>
      </c>
    </row>
    <row r="1858">
      <c r="A1858" s="4" t="n">
        <v>1857</v>
      </c>
      <c r="B1858" s="4" t="inlineStr">
        <is>
          <t>01096</t>
        </is>
      </c>
      <c r="C1858" s="4" t="inlineStr">
        <is>
          <t>01096</t>
        </is>
      </c>
      <c r="D1858" s="29" t="inlineStr">
        <is>
          <t>HATİCE ONUK</t>
        </is>
      </c>
      <c r="E1858" s="4" t="inlineStr">
        <is>
          <t>Perşembe</t>
        </is>
      </c>
      <c r="F1858" s="4" t="inlineStr">
        <is>
          <t>15.10.2026</t>
        </is>
      </c>
      <c r="G1858" s="4" t="inlineStr">
        <is>
          <t>07:35</t>
        </is>
      </c>
      <c r="H1858" s="4" t="inlineStr">
        <is>
          <t>15.10.2026</t>
        </is>
      </c>
      <c r="I1858" s="4" t="inlineStr">
        <is>
          <t>17:10</t>
        </is>
      </c>
      <c r="J1858" s="8" t="n">
        <v>7.5</v>
      </c>
      <c r="K1858" s="8" t="n">
        <v>7.5</v>
      </c>
      <c r="L1858" s="8" t="n">
        <v>0</v>
      </c>
      <c r="M1858" s="29" t="inlineStr">
        <is>
          <t>HALİL DİĞRENCİ</t>
        </is>
      </c>
    </row>
    <row r="1859">
      <c r="A1859" s="4" t="n">
        <v>1858</v>
      </c>
      <c r="B1859" s="4" t="inlineStr">
        <is>
          <t>01096</t>
        </is>
      </c>
      <c r="C1859" s="4" t="inlineStr">
        <is>
          <t>01096</t>
        </is>
      </c>
      <c r="D1859" s="29" t="inlineStr">
        <is>
          <t>HATİCE ONUK</t>
        </is>
      </c>
      <c r="E1859" s="4" t="inlineStr">
        <is>
          <t>Cuma</t>
        </is>
      </c>
      <c r="F1859" s="4" t="inlineStr">
        <is>
          <t>16.10.2026</t>
        </is>
      </c>
      <c r="G1859" s="4" t="inlineStr">
        <is>
          <t>07:52</t>
        </is>
      </c>
      <c r="H1859" s="4" t="inlineStr">
        <is>
          <t>16.10.2026</t>
        </is>
      </c>
      <c r="I1859" s="4" t="inlineStr">
        <is>
          <t>17:12</t>
        </is>
      </c>
      <c r="J1859" s="8" t="n">
        <v>7.5</v>
      </c>
      <c r="K1859" s="8" t="n">
        <v>7.5</v>
      </c>
      <c r="L1859" s="8" t="n">
        <v>0</v>
      </c>
      <c r="M1859" s="29" t="inlineStr">
        <is>
          <t>HALİL DİĞRENCİ</t>
        </is>
      </c>
    </row>
    <row r="1860">
      <c r="A1860" s="4" t="n">
        <v>1859</v>
      </c>
      <c r="B1860" s="4" t="inlineStr">
        <is>
          <t>01096</t>
        </is>
      </c>
      <c r="C1860" s="4" t="inlineStr">
        <is>
          <t>01096</t>
        </is>
      </c>
      <c r="D1860" s="29" t="inlineStr">
        <is>
          <t>HATİCE ONUK</t>
        </is>
      </c>
      <c r="E1860" s="4" t="inlineStr">
        <is>
          <t>Cumartesi</t>
        </is>
      </c>
      <c r="F1860" s="4" t="inlineStr">
        <is>
          <t>17.10.2026</t>
        </is>
      </c>
      <c r="G1860" s="4" t="inlineStr">
        <is>
          <t>07:58</t>
        </is>
      </c>
      <c r="H1860" s="4" t="inlineStr">
        <is>
          <t>17.10.2026</t>
        </is>
      </c>
      <c r="I1860" s="4" t="inlineStr">
        <is>
          <t>17:52</t>
        </is>
      </c>
      <c r="J1860" s="8" t="n">
        <v>8.5</v>
      </c>
      <c r="K1860" s="8" t="n">
        <v>7.5</v>
      </c>
      <c r="L1860" s="8" t="n">
        <v>1</v>
      </c>
      <c r="M1860" s="29" t="inlineStr">
        <is>
          <t>HALİL DİĞRENCİ</t>
        </is>
      </c>
    </row>
    <row r="1861">
      <c r="A1861" s="4" t="n">
        <v>1860</v>
      </c>
      <c r="B1861" s="4" t="inlineStr">
        <is>
          <t>01096</t>
        </is>
      </c>
      <c r="C1861" s="4" t="inlineStr">
        <is>
          <t>01096</t>
        </is>
      </c>
      <c r="D1861" s="29" t="inlineStr">
        <is>
          <t>HATİCE ONUK</t>
        </is>
      </c>
      <c r="E1861" s="4" t="inlineStr">
        <is>
          <t>Pazartesi</t>
        </is>
      </c>
      <c r="F1861" s="4" t="inlineStr">
        <is>
          <t>19.10.2026</t>
        </is>
      </c>
      <c r="G1861" s="4" t="inlineStr">
        <is>
          <t>07:36</t>
        </is>
      </c>
      <c r="H1861" s="4" t="inlineStr">
        <is>
          <t>19.10.2026</t>
        </is>
      </c>
      <c r="I1861" s="4" t="inlineStr">
        <is>
          <t>17:16</t>
        </is>
      </c>
      <c r="J1861" s="8" t="n">
        <v>7.5</v>
      </c>
      <c r="K1861" s="8" t="n">
        <v>7.5</v>
      </c>
      <c r="L1861" s="8" t="n">
        <v>0</v>
      </c>
      <c r="M1861" s="29" t="inlineStr">
        <is>
          <t>HALİL DİĞRENCİ</t>
        </is>
      </c>
    </row>
    <row r="1862">
      <c r="A1862" s="4" t="n">
        <v>1861</v>
      </c>
      <c r="B1862" s="4" t="inlineStr">
        <is>
          <t>01096</t>
        </is>
      </c>
      <c r="C1862" s="4" t="inlineStr">
        <is>
          <t>01096</t>
        </is>
      </c>
      <c r="D1862" s="29" t="inlineStr">
        <is>
          <t>HATİCE ONUK</t>
        </is>
      </c>
      <c r="E1862" s="4" t="inlineStr">
        <is>
          <t>Salı</t>
        </is>
      </c>
      <c r="F1862" s="4" t="inlineStr">
        <is>
          <t>20.10.2026</t>
        </is>
      </c>
      <c r="G1862" s="4" t="inlineStr">
        <is>
          <t>07:32</t>
        </is>
      </c>
      <c r="H1862" s="4" t="inlineStr">
        <is>
          <t>20.10.2026</t>
        </is>
      </c>
      <c r="I1862" s="4" t="inlineStr">
        <is>
          <t>17:13</t>
        </is>
      </c>
      <c r="J1862" s="8" t="n">
        <v>7.5</v>
      </c>
      <c r="K1862" s="8" t="n">
        <v>7.5</v>
      </c>
      <c r="L1862" s="8" t="n">
        <v>0</v>
      </c>
      <c r="M1862" s="29" t="inlineStr">
        <is>
          <t>HALİL DİĞRENCİ</t>
        </is>
      </c>
    </row>
    <row r="1863">
      <c r="A1863" s="4" t="n">
        <v>1862</v>
      </c>
      <c r="B1863" s="4" t="inlineStr">
        <is>
          <t>01096</t>
        </is>
      </c>
      <c r="C1863" s="4" t="inlineStr">
        <is>
          <t>01096</t>
        </is>
      </c>
      <c r="D1863" s="29" t="inlineStr">
        <is>
          <t>HATİCE ONUK</t>
        </is>
      </c>
      <c r="E1863" s="4" t="inlineStr">
        <is>
          <t>Çarşamba</t>
        </is>
      </c>
      <c r="F1863" s="4" t="inlineStr">
        <is>
          <t>21.10.2026</t>
        </is>
      </c>
      <c r="G1863" s="4" t="inlineStr">
        <is>
          <t>07:43</t>
        </is>
      </c>
      <c r="H1863" s="4" t="inlineStr">
        <is>
          <t>21.10.2026</t>
        </is>
      </c>
      <c r="I1863" s="4" t="inlineStr">
        <is>
          <t>17:02</t>
        </is>
      </c>
      <c r="J1863" s="8" t="n">
        <v>7.5</v>
      </c>
      <c r="K1863" s="8" t="n">
        <v>7.5</v>
      </c>
      <c r="L1863" s="8" t="n">
        <v>0</v>
      </c>
      <c r="M1863" s="29" t="inlineStr">
        <is>
          <t>HALİL DİĞRENCİ</t>
        </is>
      </c>
    </row>
    <row r="1864">
      <c r="A1864" s="4" t="n">
        <v>1863</v>
      </c>
      <c r="B1864" s="4" t="inlineStr">
        <is>
          <t>01212</t>
        </is>
      </c>
      <c r="C1864" s="4" t="inlineStr">
        <is>
          <t>01212</t>
        </is>
      </c>
      <c r="D1864" s="29" t="inlineStr">
        <is>
          <t>HATİCE BUSE POLAT</t>
        </is>
      </c>
      <c r="E1864" s="4" t="inlineStr">
        <is>
          <t>Pazar</t>
        </is>
      </c>
      <c r="F1864" s="4" t="inlineStr">
        <is>
          <t>4.10.2026</t>
        </is>
      </c>
      <c r="G1864" s="4" t="inlineStr">
        <is>
          <t>-</t>
        </is>
      </c>
      <c r="H1864" s="4" t="inlineStr">
        <is>
          <t>4.10.2026</t>
        </is>
      </c>
      <c r="I1864" s="4" t="inlineStr">
        <is>
          <t>08:00</t>
        </is>
      </c>
      <c r="J1864" s="8" t="n">
        <v>7.5</v>
      </c>
      <c r="K1864" s="8" t="n">
        <v>7.5</v>
      </c>
      <c r="L1864" s="8" t="n">
        <v>0</v>
      </c>
      <c r="M1864" s="29" t="inlineStr">
        <is>
          <t>GÜVEN TURİZM</t>
        </is>
      </c>
    </row>
    <row r="1865">
      <c r="A1865" s="4" t="n">
        <v>1864</v>
      </c>
      <c r="B1865" s="4" t="inlineStr">
        <is>
          <t>01212</t>
        </is>
      </c>
      <c r="C1865" s="4" t="inlineStr">
        <is>
          <t>01212</t>
        </is>
      </c>
      <c r="D1865" s="29" t="inlineStr">
        <is>
          <t>HATİCE BUSE POLAT</t>
        </is>
      </c>
      <c r="E1865" s="4" t="inlineStr">
        <is>
          <t>Pazartesi</t>
        </is>
      </c>
      <c r="F1865" s="4" t="inlineStr">
        <is>
          <t>5.10.2026</t>
        </is>
      </c>
      <c r="G1865" s="4" t="inlineStr">
        <is>
          <t>19:48</t>
        </is>
      </c>
      <c r="H1865" s="4" t="inlineStr">
        <is>
          <t>5.10.2026</t>
        </is>
      </c>
      <c r="I1865" s="4" t="inlineStr">
        <is>
          <t>08:01</t>
        </is>
      </c>
      <c r="J1865" s="8" t="n">
        <v>10.5</v>
      </c>
      <c r="K1865" s="8" t="n">
        <v>7.5</v>
      </c>
      <c r="L1865" s="8" t="n">
        <v>3</v>
      </c>
      <c r="M1865" s="29" t="inlineStr">
        <is>
          <t>GÜVEN TURİZM</t>
        </is>
      </c>
    </row>
    <row r="1866">
      <c r="A1866" s="4" t="n">
        <v>1865</v>
      </c>
      <c r="B1866" s="4" t="inlineStr">
        <is>
          <t>01212</t>
        </is>
      </c>
      <c r="C1866" s="4" t="inlineStr">
        <is>
          <t>01212</t>
        </is>
      </c>
      <c r="D1866" s="29" t="inlineStr">
        <is>
          <t>HATİCE BUSE POLAT</t>
        </is>
      </c>
      <c r="E1866" s="4" t="inlineStr">
        <is>
          <t>Pazartesi</t>
        </is>
      </c>
      <c r="F1866" s="4" t="inlineStr">
        <is>
          <t>12.10.2026</t>
        </is>
      </c>
      <c r="G1866" s="4" t="inlineStr">
        <is>
          <t>20:04</t>
        </is>
      </c>
      <c r="H1866" s="4" t="inlineStr">
        <is>
          <t>12.10.2026</t>
        </is>
      </c>
      <c r="I1866" s="4" t="inlineStr">
        <is>
          <t>08:07</t>
        </is>
      </c>
      <c r="J1866" s="8" t="n">
        <v>10.5</v>
      </c>
      <c r="K1866" s="8" t="n">
        <v>7.5</v>
      </c>
      <c r="L1866" s="8" t="n">
        <v>3</v>
      </c>
      <c r="M1866" s="29" t="inlineStr">
        <is>
          <t>GÜVEN TURİZM</t>
        </is>
      </c>
    </row>
    <row r="1867">
      <c r="A1867" s="4" t="n">
        <v>1866</v>
      </c>
      <c r="B1867" s="4" t="inlineStr">
        <is>
          <t>01212</t>
        </is>
      </c>
      <c r="C1867" s="4" t="inlineStr">
        <is>
          <t>01212</t>
        </is>
      </c>
      <c r="D1867" s="29" t="inlineStr">
        <is>
          <t>HATİCE BUSE POLAT</t>
        </is>
      </c>
      <c r="E1867" s="4" t="inlineStr">
        <is>
          <t>Salı</t>
        </is>
      </c>
      <c r="F1867" s="4" t="inlineStr">
        <is>
          <t>13.10.2026</t>
        </is>
      </c>
      <c r="G1867" s="4" t="inlineStr">
        <is>
          <t>19:54</t>
        </is>
      </c>
      <c r="H1867" s="4" t="inlineStr">
        <is>
          <t>13.10.2026</t>
        </is>
      </c>
      <c r="I1867" s="4" t="inlineStr">
        <is>
          <t>08:03</t>
        </is>
      </c>
      <c r="J1867" s="8" t="n">
        <v>10.5</v>
      </c>
      <c r="K1867" s="8" t="n">
        <v>7.5</v>
      </c>
      <c r="L1867" s="8" t="n">
        <v>3</v>
      </c>
      <c r="M1867" s="29" t="inlineStr">
        <is>
          <t>GÜVEN TURİZM</t>
        </is>
      </c>
    </row>
    <row r="1868">
      <c r="A1868" s="4" t="n">
        <v>1867</v>
      </c>
      <c r="B1868" s="4" t="inlineStr">
        <is>
          <t>01212</t>
        </is>
      </c>
      <c r="C1868" s="4" t="inlineStr">
        <is>
          <t>01212</t>
        </is>
      </c>
      <c r="D1868" s="29" t="inlineStr">
        <is>
          <t>HATİCE BUSE POLAT</t>
        </is>
      </c>
      <c r="E1868" s="4" t="inlineStr">
        <is>
          <t>Çarşamba</t>
        </is>
      </c>
      <c r="F1868" s="4" t="inlineStr">
        <is>
          <t>14.10.2026</t>
        </is>
      </c>
      <c r="G1868" s="4" t="inlineStr">
        <is>
          <t>20:07</t>
        </is>
      </c>
      <c r="H1868" s="4" t="inlineStr">
        <is>
          <t>14.10.2026</t>
        </is>
      </c>
      <c r="I1868" s="4" t="inlineStr">
        <is>
          <t>08:05</t>
        </is>
      </c>
      <c r="J1868" s="8" t="n">
        <v>10.5</v>
      </c>
      <c r="K1868" s="8" t="n">
        <v>7.5</v>
      </c>
      <c r="L1868" s="8" t="n">
        <v>3</v>
      </c>
      <c r="M1868" s="29" t="inlineStr">
        <is>
          <t>GÜVEN TURİZM</t>
        </is>
      </c>
    </row>
    <row r="1869">
      <c r="A1869" s="4" t="n">
        <v>1868</v>
      </c>
      <c r="B1869" s="4" t="inlineStr">
        <is>
          <t>01212</t>
        </is>
      </c>
      <c r="C1869" s="4" t="inlineStr">
        <is>
          <t>01212</t>
        </is>
      </c>
      <c r="D1869" s="29" t="inlineStr">
        <is>
          <t>HATİCE BUSE POLAT</t>
        </is>
      </c>
      <c r="E1869" s="4" t="inlineStr">
        <is>
          <t>Perşembe</t>
        </is>
      </c>
      <c r="F1869" s="4" t="inlineStr">
        <is>
          <t>15.10.2026</t>
        </is>
      </c>
      <c r="G1869" s="4" t="inlineStr">
        <is>
          <t>19:52</t>
        </is>
      </c>
      <c r="H1869" s="4" t="inlineStr">
        <is>
          <t>15.10.2026</t>
        </is>
      </c>
      <c r="I1869" s="4" t="inlineStr">
        <is>
          <t>08:06</t>
        </is>
      </c>
      <c r="J1869" s="8" t="n">
        <v>10.5</v>
      </c>
      <c r="K1869" s="8" t="n">
        <v>7.5</v>
      </c>
      <c r="L1869" s="8" t="n">
        <v>3</v>
      </c>
      <c r="M1869" s="29" t="inlineStr">
        <is>
          <t>GÜVEN TURİZM</t>
        </is>
      </c>
    </row>
    <row r="1870">
      <c r="A1870" s="4" t="n">
        <v>1869</v>
      </c>
      <c r="B1870" s="4" t="inlineStr">
        <is>
          <t>01212</t>
        </is>
      </c>
      <c r="C1870" s="4" t="inlineStr">
        <is>
          <t>01212</t>
        </is>
      </c>
      <c r="D1870" s="29" t="inlineStr">
        <is>
          <t>HATİCE BUSE POLAT</t>
        </is>
      </c>
      <c r="E1870" s="4" t="inlineStr">
        <is>
          <t>Pazartesi</t>
        </is>
      </c>
      <c r="F1870" s="4" t="inlineStr">
        <is>
          <t>19.10.2026</t>
        </is>
      </c>
      <c r="G1870" s="4" t="inlineStr">
        <is>
          <t>20:14</t>
        </is>
      </c>
      <c r="H1870" s="4" t="inlineStr">
        <is>
          <t>19.10.2026</t>
        </is>
      </c>
      <c r="I1870" s="4" t="inlineStr">
        <is>
          <t>08:04</t>
        </is>
      </c>
      <c r="J1870" s="8" t="n">
        <v>10.5</v>
      </c>
      <c r="K1870" s="8" t="n">
        <v>7.5</v>
      </c>
      <c r="L1870" s="8" t="n">
        <v>3</v>
      </c>
      <c r="M1870" s="29" t="inlineStr">
        <is>
          <t>GÜVEN TURİZM</t>
        </is>
      </c>
    </row>
    <row r="1871">
      <c r="A1871" s="4" t="n">
        <v>1870</v>
      </c>
      <c r="B1871" s="4" t="inlineStr">
        <is>
          <t>01123</t>
        </is>
      </c>
      <c r="C1871" s="4" t="inlineStr">
        <is>
          <t>01123</t>
        </is>
      </c>
      <c r="D1871" s="29" t="inlineStr">
        <is>
          <t>HAVİN BATIBEY</t>
        </is>
      </c>
      <c r="E1871" s="4" t="inlineStr">
        <is>
          <t>Çarşamba</t>
        </is>
      </c>
      <c r="F1871" s="4" t="inlineStr">
        <is>
          <t>7.10.2026</t>
        </is>
      </c>
      <c r="G1871" s="4" t="inlineStr">
        <is>
          <t>19:41</t>
        </is>
      </c>
      <c r="H1871" s="4" t="inlineStr">
        <is>
          <t>7.10.2026</t>
        </is>
      </c>
      <c r="I1871" s="4" t="inlineStr">
        <is>
          <t>03:37</t>
        </is>
      </c>
      <c r="J1871" s="8" t="n">
        <v>7</v>
      </c>
      <c r="K1871" s="8" t="n">
        <v>7</v>
      </c>
      <c r="L1871" s="8" t="n">
        <v>0</v>
      </c>
      <c r="M1871" s="29" t="inlineStr">
        <is>
          <t>SÇEVİKAT ÇELİK</t>
        </is>
      </c>
    </row>
    <row r="1872">
      <c r="A1872" s="4" t="n">
        <v>1871</v>
      </c>
      <c r="B1872" s="4" t="inlineStr">
        <is>
          <t>00227</t>
        </is>
      </c>
      <c r="C1872" s="4" t="inlineStr">
        <is>
          <t>00227</t>
        </is>
      </c>
      <c r="D1872" s="29" t="inlineStr">
        <is>
          <t>HAVVA ALPER</t>
        </is>
      </c>
      <c r="E1872" s="4" t="inlineStr">
        <is>
          <t>Perşembe</t>
        </is>
      </c>
      <c r="F1872" s="4" t="inlineStr">
        <is>
          <t>1.10.2026</t>
        </is>
      </c>
      <c r="G1872" s="4" t="inlineStr">
        <is>
          <t>09:50</t>
        </is>
      </c>
      <c r="H1872" s="4" t="inlineStr">
        <is>
          <t>1.10.2026</t>
        </is>
      </c>
      <c r="I1872" s="4" t="inlineStr">
        <is>
          <t>19:26</t>
        </is>
      </c>
      <c r="J1872" s="8" t="n">
        <v>8.5</v>
      </c>
      <c r="K1872" s="8" t="n">
        <v>6</v>
      </c>
      <c r="L1872" s="8" t="n">
        <v>2.5</v>
      </c>
      <c r="M1872" s="29" t="inlineStr">
        <is>
          <t>MKP</t>
        </is>
      </c>
    </row>
    <row r="1873">
      <c r="A1873" s="4" t="n">
        <v>1872</v>
      </c>
      <c r="B1873" s="4" t="inlineStr">
        <is>
          <t>00227</t>
        </is>
      </c>
      <c r="C1873" s="4" t="inlineStr">
        <is>
          <t>00227</t>
        </is>
      </c>
      <c r="D1873" s="29" t="inlineStr">
        <is>
          <t>HAVVA ALPER</t>
        </is>
      </c>
      <c r="E1873" s="4" t="inlineStr">
        <is>
          <t>Cuma</t>
        </is>
      </c>
      <c r="F1873" s="4" t="inlineStr">
        <is>
          <t>2.10.2026</t>
        </is>
      </c>
      <c r="G1873" s="4" t="inlineStr">
        <is>
          <t>09:45</t>
        </is>
      </c>
      <c r="H1873" s="4" t="inlineStr">
        <is>
          <t>2.10.2026</t>
        </is>
      </c>
      <c r="I1873" s="4" t="inlineStr">
        <is>
          <t>20:01</t>
        </is>
      </c>
      <c r="J1873" s="8" t="n">
        <v>9</v>
      </c>
      <c r="K1873" s="8" t="n">
        <v>6</v>
      </c>
      <c r="L1873" s="8" t="n">
        <v>3</v>
      </c>
      <c r="M1873" s="29" t="inlineStr">
        <is>
          <t>MKP</t>
        </is>
      </c>
    </row>
    <row r="1874">
      <c r="A1874" s="4" t="n">
        <v>1873</v>
      </c>
      <c r="B1874" s="4" t="inlineStr">
        <is>
          <t>00227</t>
        </is>
      </c>
      <c r="C1874" s="4" t="inlineStr">
        <is>
          <t>00227</t>
        </is>
      </c>
      <c r="D1874" s="29" t="inlineStr">
        <is>
          <t>HAVVA ALPER</t>
        </is>
      </c>
      <c r="E1874" s="4" t="inlineStr">
        <is>
          <t>Cumartesi</t>
        </is>
      </c>
      <c r="F1874" s="4" t="inlineStr">
        <is>
          <t>3.10.2026</t>
        </is>
      </c>
      <c r="G1874" s="4" t="inlineStr">
        <is>
          <t>09:51</t>
        </is>
      </c>
      <c r="H1874" s="4" t="inlineStr">
        <is>
          <t>3.10.2026</t>
        </is>
      </c>
      <c r="I1874" s="4" t="inlineStr">
        <is>
          <t>20:00</t>
        </is>
      </c>
      <c r="J1874" s="8" t="n">
        <v>8.5</v>
      </c>
      <c r="K1874" s="8" t="n">
        <v>5.5</v>
      </c>
      <c r="L1874" s="8" t="n">
        <v>3</v>
      </c>
      <c r="M1874" s="29" t="inlineStr">
        <is>
          <t>MKP</t>
        </is>
      </c>
    </row>
    <row r="1875">
      <c r="A1875" s="4" t="n">
        <v>1874</v>
      </c>
      <c r="B1875" s="4" t="inlineStr">
        <is>
          <t>00227</t>
        </is>
      </c>
      <c r="C1875" s="4" t="inlineStr">
        <is>
          <t>00227</t>
        </is>
      </c>
      <c r="D1875" s="29" t="inlineStr">
        <is>
          <t>HAVVA ALPER</t>
        </is>
      </c>
      <c r="E1875" s="4" t="inlineStr">
        <is>
          <t>Pazartesi</t>
        </is>
      </c>
      <c r="F1875" s="4" t="inlineStr">
        <is>
          <t>5.10.2026</t>
        </is>
      </c>
      <c r="G1875" s="4" t="inlineStr">
        <is>
          <t>09:45</t>
        </is>
      </c>
      <c r="H1875" s="4" t="inlineStr">
        <is>
          <t>5.10.2026</t>
        </is>
      </c>
      <c r="I1875" s="4" t="inlineStr">
        <is>
          <t>19:01</t>
        </is>
      </c>
      <c r="J1875" s="8" t="n">
        <v>8</v>
      </c>
      <c r="K1875" s="8" t="n">
        <v>6</v>
      </c>
      <c r="L1875" s="8" t="n">
        <v>2</v>
      </c>
      <c r="M1875" s="29" t="inlineStr">
        <is>
          <t>MKP</t>
        </is>
      </c>
    </row>
    <row r="1876">
      <c r="A1876" s="4" t="n">
        <v>1875</v>
      </c>
      <c r="B1876" s="4" t="inlineStr">
        <is>
          <t>00227</t>
        </is>
      </c>
      <c r="C1876" s="4" t="inlineStr">
        <is>
          <t>00227</t>
        </is>
      </c>
      <c r="D1876" s="29" t="inlineStr">
        <is>
          <t>HAVVA ALPER</t>
        </is>
      </c>
      <c r="E1876" s="4" t="inlineStr">
        <is>
          <t>Salı</t>
        </is>
      </c>
      <c r="F1876" s="4" t="inlineStr">
        <is>
          <t>6.10.2026</t>
        </is>
      </c>
      <c r="G1876" s="4" t="inlineStr">
        <is>
          <t>09:43</t>
        </is>
      </c>
      <c r="H1876" s="4" t="inlineStr">
        <is>
          <t>6.10.2026</t>
        </is>
      </c>
      <c r="I1876" s="4" t="inlineStr">
        <is>
          <t>19:24</t>
        </is>
      </c>
      <c r="J1876" s="8" t="n">
        <v>8.5</v>
      </c>
      <c r="K1876" s="8" t="n">
        <v>6</v>
      </c>
      <c r="L1876" s="8" t="n">
        <v>2.5</v>
      </c>
      <c r="M1876" s="29" t="inlineStr">
        <is>
          <t>MKP</t>
        </is>
      </c>
    </row>
    <row r="1877">
      <c r="A1877" s="4" t="n">
        <v>1876</v>
      </c>
      <c r="B1877" s="4" t="inlineStr">
        <is>
          <t>00227</t>
        </is>
      </c>
      <c r="C1877" s="4" t="inlineStr">
        <is>
          <t>00227</t>
        </is>
      </c>
      <c r="D1877" s="29" t="inlineStr">
        <is>
          <t>HAVVA ALPER</t>
        </is>
      </c>
      <c r="E1877" s="4" t="inlineStr">
        <is>
          <t>Çarşamba</t>
        </is>
      </c>
      <c r="F1877" s="4" t="inlineStr">
        <is>
          <t>7.10.2026</t>
        </is>
      </c>
      <c r="G1877" s="4" t="inlineStr">
        <is>
          <t>09:51</t>
        </is>
      </c>
      <c r="H1877" s="4" t="inlineStr">
        <is>
          <t>7.10.2026</t>
        </is>
      </c>
      <c r="I1877" s="4" t="inlineStr">
        <is>
          <t>17:32</t>
        </is>
      </c>
      <c r="J1877" s="8" t="n">
        <v>6</v>
      </c>
      <c r="K1877" s="8" t="n">
        <v>5.5</v>
      </c>
      <c r="L1877" s="8" t="n">
        <v>0.5</v>
      </c>
      <c r="M1877" s="29" t="inlineStr">
        <is>
          <t>MKP</t>
        </is>
      </c>
    </row>
    <row r="1878">
      <c r="A1878" s="4" t="n">
        <v>1877</v>
      </c>
      <c r="B1878" s="4" t="inlineStr">
        <is>
          <t>00227</t>
        </is>
      </c>
      <c r="C1878" s="4" t="inlineStr">
        <is>
          <t>00227</t>
        </is>
      </c>
      <c r="D1878" s="29" t="inlineStr">
        <is>
          <t>HAVVA ALPER</t>
        </is>
      </c>
      <c r="E1878" s="4" t="inlineStr">
        <is>
          <t>Perşembe</t>
        </is>
      </c>
      <c r="F1878" s="4" t="inlineStr">
        <is>
          <t>8.10.2026</t>
        </is>
      </c>
      <c r="G1878" s="4" t="inlineStr">
        <is>
          <t>07:58</t>
        </is>
      </c>
      <c r="H1878" s="4" t="inlineStr">
        <is>
          <t>8.10.2026</t>
        </is>
      </c>
      <c r="I1878" s="4" t="inlineStr">
        <is>
          <t>19:26</t>
        </is>
      </c>
      <c r="J1878" s="8" t="n">
        <v>10</v>
      </c>
      <c r="K1878" s="8" t="n">
        <v>7.5</v>
      </c>
      <c r="L1878" s="8" t="n">
        <v>2.5</v>
      </c>
      <c r="M1878" s="29" t="inlineStr">
        <is>
          <t>MKP</t>
        </is>
      </c>
    </row>
    <row r="1879">
      <c r="A1879" s="4" t="n">
        <v>1878</v>
      </c>
      <c r="B1879" s="4" t="inlineStr">
        <is>
          <t>00227</t>
        </is>
      </c>
      <c r="C1879" s="4" t="inlineStr">
        <is>
          <t>00227</t>
        </is>
      </c>
      <c r="D1879" s="29" t="inlineStr">
        <is>
          <t>HAVVA ALPER</t>
        </is>
      </c>
      <c r="E1879" s="4" t="inlineStr">
        <is>
          <t>Cuma</t>
        </is>
      </c>
      <c r="F1879" s="4" t="inlineStr">
        <is>
          <t>9.10.2026</t>
        </is>
      </c>
      <c r="G1879" s="4" t="inlineStr">
        <is>
          <t>07:55</t>
        </is>
      </c>
      <c r="H1879" s="4" t="inlineStr">
        <is>
          <t>9.10.2026</t>
        </is>
      </c>
      <c r="I1879" s="4" t="inlineStr">
        <is>
          <t>17:48</t>
        </is>
      </c>
      <c r="J1879" s="8" t="n">
        <v>8.5</v>
      </c>
      <c r="K1879" s="8" t="n">
        <v>7.5</v>
      </c>
      <c r="L1879" s="8" t="n">
        <v>1</v>
      </c>
      <c r="M1879" s="29" t="inlineStr">
        <is>
          <t>MKP</t>
        </is>
      </c>
    </row>
    <row r="1880">
      <c r="A1880" s="4" t="n">
        <v>1879</v>
      </c>
      <c r="B1880" s="4" t="inlineStr">
        <is>
          <t>00227</t>
        </is>
      </c>
      <c r="C1880" s="4" t="inlineStr">
        <is>
          <t>00227</t>
        </is>
      </c>
      <c r="D1880" s="29" t="inlineStr">
        <is>
          <t>HAVVA ALPER</t>
        </is>
      </c>
      <c r="E1880" s="4" t="inlineStr">
        <is>
          <t>Cumartesi</t>
        </is>
      </c>
      <c r="F1880" s="4" t="inlineStr">
        <is>
          <t>10.10.2026</t>
        </is>
      </c>
      <c r="G1880" s="4" t="inlineStr">
        <is>
          <t>09:46</t>
        </is>
      </c>
      <c r="H1880" s="4" t="inlineStr">
        <is>
          <t>10.10.2026</t>
        </is>
      </c>
      <c r="I1880" s="4" t="inlineStr">
        <is>
          <t>00:39</t>
        </is>
      </c>
      <c r="J1880" s="8" t="n">
        <v>13.5</v>
      </c>
      <c r="K1880" s="8" t="n">
        <v>6</v>
      </c>
      <c r="L1880" s="8" t="n">
        <v>7.5</v>
      </c>
      <c r="M1880" s="29" t="inlineStr">
        <is>
          <t>MKP</t>
        </is>
      </c>
    </row>
    <row r="1881">
      <c r="A1881" s="4" t="n">
        <v>1880</v>
      </c>
      <c r="B1881" s="4" t="inlineStr">
        <is>
          <t>00227</t>
        </is>
      </c>
      <c r="C1881" s="4" t="inlineStr">
        <is>
          <t>00227</t>
        </is>
      </c>
      <c r="D1881" s="29" t="inlineStr">
        <is>
          <t>HAVVA ALPER</t>
        </is>
      </c>
      <c r="E1881" s="4" t="inlineStr">
        <is>
          <t>Pazartesi</t>
        </is>
      </c>
      <c r="F1881" s="4" t="inlineStr">
        <is>
          <t>12.10.2026</t>
        </is>
      </c>
      <c r="G1881" s="4" t="inlineStr">
        <is>
          <t>09:52</t>
        </is>
      </c>
      <c r="H1881" s="4" t="inlineStr">
        <is>
          <t>12.10.2026</t>
        </is>
      </c>
      <c r="I1881" s="4" t="inlineStr">
        <is>
          <t>19:03</t>
        </is>
      </c>
      <c r="J1881" s="8" t="n">
        <v>7.5</v>
      </c>
      <c r="K1881" s="8" t="n">
        <v>5.5</v>
      </c>
      <c r="L1881" s="8" t="n">
        <v>2</v>
      </c>
      <c r="M1881" s="29" t="inlineStr">
        <is>
          <t>MKP</t>
        </is>
      </c>
    </row>
    <row r="1882">
      <c r="A1882" s="4" t="n">
        <v>1881</v>
      </c>
      <c r="B1882" s="4" t="inlineStr">
        <is>
          <t>00227</t>
        </is>
      </c>
      <c r="C1882" s="4" t="inlineStr">
        <is>
          <t>00227</t>
        </is>
      </c>
      <c r="D1882" s="29" t="inlineStr">
        <is>
          <t>HAVVA ALPER</t>
        </is>
      </c>
      <c r="E1882" s="4" t="inlineStr">
        <is>
          <t>Salı</t>
        </is>
      </c>
      <c r="F1882" s="4" t="inlineStr">
        <is>
          <t>13.10.2026</t>
        </is>
      </c>
      <c r="G1882" s="4" t="inlineStr">
        <is>
          <t>09:54</t>
        </is>
      </c>
      <c r="H1882" s="4" t="inlineStr">
        <is>
          <t>13.10.2026</t>
        </is>
      </c>
      <c r="I1882" s="4" t="inlineStr">
        <is>
          <t>19:06</t>
        </is>
      </c>
      <c r="J1882" s="8" t="n">
        <v>7.5</v>
      </c>
      <c r="K1882" s="8" t="n">
        <v>5.5</v>
      </c>
      <c r="L1882" s="8" t="n">
        <v>2</v>
      </c>
      <c r="M1882" s="29" t="inlineStr">
        <is>
          <t>MKP</t>
        </is>
      </c>
    </row>
    <row r="1883">
      <c r="A1883" s="4" t="n">
        <v>1882</v>
      </c>
      <c r="B1883" s="4" t="inlineStr">
        <is>
          <t>00227</t>
        </is>
      </c>
      <c r="C1883" s="4" t="inlineStr">
        <is>
          <t>00227</t>
        </is>
      </c>
      <c r="D1883" s="29" t="inlineStr">
        <is>
          <t>HAVVA ALPER</t>
        </is>
      </c>
      <c r="E1883" s="4" t="inlineStr">
        <is>
          <t>Çarşamba</t>
        </is>
      </c>
      <c r="F1883" s="4" t="inlineStr">
        <is>
          <t>14.10.2026</t>
        </is>
      </c>
      <c r="G1883" s="4" t="inlineStr">
        <is>
          <t>07:59</t>
        </is>
      </c>
      <c r="H1883" s="4" t="inlineStr">
        <is>
          <t>14.10.2026</t>
        </is>
      </c>
      <c r="I1883" s="4" t="inlineStr">
        <is>
          <t>18:22</t>
        </is>
      </c>
      <c r="J1883" s="8" t="n">
        <v>9</v>
      </c>
      <c r="K1883" s="8" t="n">
        <v>7.5</v>
      </c>
      <c r="L1883" s="8" t="n">
        <v>1.5</v>
      </c>
      <c r="M1883" s="29" t="inlineStr">
        <is>
          <t>MKP</t>
        </is>
      </c>
    </row>
    <row r="1884">
      <c r="A1884" s="4" t="n">
        <v>1883</v>
      </c>
      <c r="B1884" s="4" t="inlineStr">
        <is>
          <t>00227</t>
        </is>
      </c>
      <c r="C1884" s="4" t="inlineStr">
        <is>
          <t>00227</t>
        </is>
      </c>
      <c r="D1884" s="29" t="inlineStr">
        <is>
          <t>HAVVA ALPER</t>
        </is>
      </c>
      <c r="E1884" s="4" t="inlineStr">
        <is>
          <t>Perşembe</t>
        </is>
      </c>
      <c r="F1884" s="4" t="inlineStr">
        <is>
          <t>15.10.2026</t>
        </is>
      </c>
      <c r="G1884" s="4" t="inlineStr">
        <is>
          <t>08:03</t>
        </is>
      </c>
      <c r="H1884" s="4" t="inlineStr">
        <is>
          <t>15.10.2026</t>
        </is>
      </c>
      <c r="I1884" s="4" t="inlineStr">
        <is>
          <t>17:07</t>
        </is>
      </c>
      <c r="J1884" s="8" t="n">
        <v>7.5</v>
      </c>
      <c r="K1884" s="8" t="n">
        <v>7.5</v>
      </c>
      <c r="L1884" s="8" t="n">
        <v>0</v>
      </c>
      <c r="M1884" s="29" t="inlineStr">
        <is>
          <t>MKP</t>
        </is>
      </c>
    </row>
    <row r="1885">
      <c r="A1885" s="4" t="n">
        <v>1884</v>
      </c>
      <c r="B1885" s="4" t="inlineStr">
        <is>
          <t>00227</t>
        </is>
      </c>
      <c r="C1885" s="4" t="inlineStr">
        <is>
          <t>00227</t>
        </is>
      </c>
      <c r="D1885" s="29" t="inlineStr">
        <is>
          <t>HAVVA ALPER</t>
        </is>
      </c>
      <c r="E1885" s="4" t="inlineStr">
        <is>
          <t>Cuma</t>
        </is>
      </c>
      <c r="F1885" s="4" t="inlineStr">
        <is>
          <t>16.10.2026</t>
        </is>
      </c>
      <c r="G1885" s="4" t="inlineStr">
        <is>
          <t>09:46</t>
        </is>
      </c>
      <c r="H1885" s="4" t="inlineStr">
        <is>
          <t>16.10.2026</t>
        </is>
      </c>
      <c r="I1885" s="4" t="inlineStr">
        <is>
          <t>19:54</t>
        </is>
      </c>
      <c r="J1885" s="8" t="n">
        <v>9</v>
      </c>
      <c r="K1885" s="8" t="n">
        <v>6</v>
      </c>
      <c r="L1885" s="8" t="n">
        <v>3</v>
      </c>
      <c r="M1885" s="29" t="inlineStr">
        <is>
          <t>MKP</t>
        </is>
      </c>
    </row>
    <row r="1886">
      <c r="A1886" s="4" t="n">
        <v>1885</v>
      </c>
      <c r="B1886" s="4" t="inlineStr">
        <is>
          <t>00227</t>
        </is>
      </c>
      <c r="C1886" s="4" t="inlineStr">
        <is>
          <t>00227</t>
        </is>
      </c>
      <c r="D1886" s="29" t="inlineStr">
        <is>
          <t>HAVVA ALPER</t>
        </is>
      </c>
      <c r="E1886" s="4" t="inlineStr">
        <is>
          <t>Cumartesi</t>
        </is>
      </c>
      <c r="F1886" s="4" t="inlineStr">
        <is>
          <t>17.10.2026</t>
        </is>
      </c>
      <c r="G1886" s="4" t="inlineStr">
        <is>
          <t>09:47</t>
        </is>
      </c>
      <c r="H1886" s="4" t="inlineStr">
        <is>
          <t>17.10.2026</t>
        </is>
      </c>
      <c r="I1886" s="4" t="inlineStr">
        <is>
          <t>19:54</t>
        </is>
      </c>
      <c r="J1886" s="8" t="n">
        <v>9</v>
      </c>
      <c r="K1886" s="8" t="n">
        <v>6</v>
      </c>
      <c r="L1886" s="8" t="n">
        <v>3</v>
      </c>
      <c r="M1886" s="29" t="inlineStr">
        <is>
          <t>MKP</t>
        </is>
      </c>
    </row>
    <row r="1887">
      <c r="A1887" s="4" t="n">
        <v>1886</v>
      </c>
      <c r="B1887" s="4" t="inlineStr">
        <is>
          <t>00227</t>
        </is>
      </c>
      <c r="C1887" s="4" t="inlineStr">
        <is>
          <t>00227</t>
        </is>
      </c>
      <c r="D1887" s="29" t="inlineStr">
        <is>
          <t>HAVVA ALPER</t>
        </is>
      </c>
      <c r="E1887" s="4" t="inlineStr">
        <is>
          <t>Pazartesi</t>
        </is>
      </c>
      <c r="F1887" s="4" t="inlineStr">
        <is>
          <t>19.10.2026</t>
        </is>
      </c>
      <c r="G1887" s="4" t="inlineStr">
        <is>
          <t>09:44</t>
        </is>
      </c>
      <c r="H1887" s="4" t="inlineStr">
        <is>
          <t>19.10.2026</t>
        </is>
      </c>
      <c r="I1887" s="4" t="inlineStr">
        <is>
          <t>18:18</t>
        </is>
      </c>
      <c r="J1887" s="8" t="n">
        <v>7</v>
      </c>
      <c r="K1887" s="8" t="n">
        <v>6</v>
      </c>
      <c r="L1887" s="8" t="n">
        <v>1</v>
      </c>
      <c r="M1887" s="29" t="inlineStr">
        <is>
          <t>MKP</t>
        </is>
      </c>
    </row>
    <row r="1888">
      <c r="A1888" s="4" t="n">
        <v>1887</v>
      </c>
      <c r="B1888" s="4" t="inlineStr">
        <is>
          <t>00227</t>
        </is>
      </c>
      <c r="C1888" s="4" t="inlineStr">
        <is>
          <t>00227</t>
        </is>
      </c>
      <c r="D1888" s="29" t="inlineStr">
        <is>
          <t>HAVVA ALPER</t>
        </is>
      </c>
      <c r="E1888" s="4" t="inlineStr">
        <is>
          <t>Salı</t>
        </is>
      </c>
      <c r="F1888" s="4" t="inlineStr">
        <is>
          <t>20.10.2026</t>
        </is>
      </c>
      <c r="G1888" s="4" t="inlineStr">
        <is>
          <t>09:49</t>
        </is>
      </c>
      <c r="H1888" s="4" t="inlineStr">
        <is>
          <t>20.10.2026</t>
        </is>
      </c>
      <c r="I1888" s="4" t="inlineStr">
        <is>
          <t>19:02</t>
        </is>
      </c>
      <c r="J1888" s="8" t="n">
        <v>8</v>
      </c>
      <c r="K1888" s="8" t="n">
        <v>6</v>
      </c>
      <c r="L1888" s="8" t="n">
        <v>2</v>
      </c>
      <c r="M1888" s="29" t="inlineStr">
        <is>
          <t>MKP</t>
        </is>
      </c>
    </row>
    <row r="1889">
      <c r="A1889" s="4" t="n">
        <v>1888</v>
      </c>
      <c r="B1889" s="4" t="inlineStr">
        <is>
          <t>00227</t>
        </is>
      </c>
      <c r="C1889" s="4" t="inlineStr">
        <is>
          <t>00227</t>
        </is>
      </c>
      <c r="D1889" s="29" t="inlineStr">
        <is>
          <t>HAVVA ALPER</t>
        </is>
      </c>
      <c r="E1889" s="4" t="inlineStr">
        <is>
          <t>Çarşamba</t>
        </is>
      </c>
      <c r="F1889" s="4" t="inlineStr">
        <is>
          <t>21.10.2026</t>
        </is>
      </c>
      <c r="G1889" s="4" t="inlineStr">
        <is>
          <t>09:46</t>
        </is>
      </c>
      <c r="H1889" s="4" t="inlineStr">
        <is>
          <t>21.10.2026</t>
        </is>
      </c>
      <c r="I1889" s="4" t="inlineStr">
        <is>
          <t>19:02</t>
        </is>
      </c>
      <c r="J1889" s="8" t="n">
        <v>8</v>
      </c>
      <c r="K1889" s="8" t="n">
        <v>6</v>
      </c>
      <c r="L1889" s="8" t="n">
        <v>2</v>
      </c>
      <c r="M1889" s="29" t="inlineStr">
        <is>
          <t>MKP</t>
        </is>
      </c>
    </row>
    <row r="1890">
      <c r="A1890" s="4" t="n">
        <v>1889</v>
      </c>
      <c r="B1890" s="4" t="inlineStr">
        <is>
          <t>00228</t>
        </is>
      </c>
      <c r="C1890" s="4" t="inlineStr">
        <is>
          <t>00228</t>
        </is>
      </c>
      <c r="D1890" s="29" t="inlineStr">
        <is>
          <t>HAVVA BAYRAM</t>
        </is>
      </c>
      <c r="E1890" s="4" t="inlineStr">
        <is>
          <t>Perşembe</t>
        </is>
      </c>
      <c r="F1890" s="4" t="inlineStr">
        <is>
          <t>1.10.2026</t>
        </is>
      </c>
      <c r="G1890" s="4" t="inlineStr">
        <is>
          <t>07:50</t>
        </is>
      </c>
      <c r="H1890" s="4" t="inlineStr">
        <is>
          <t>1.10.2026</t>
        </is>
      </c>
      <c r="I1890" s="4" t="inlineStr">
        <is>
          <t>17:24</t>
        </is>
      </c>
      <c r="J1890" s="8" t="n">
        <v>8</v>
      </c>
      <c r="K1890" s="8" t="n">
        <v>7.5</v>
      </c>
      <c r="L1890" s="8" t="n">
        <v>0.5</v>
      </c>
      <c r="M1890" s="29" t="inlineStr">
        <is>
          <t>BALIKESİR</t>
        </is>
      </c>
    </row>
    <row r="1891">
      <c r="A1891" s="4" t="n">
        <v>1890</v>
      </c>
      <c r="B1891" s="4" t="inlineStr">
        <is>
          <t>00228</t>
        </is>
      </c>
      <c r="C1891" s="4" t="inlineStr">
        <is>
          <t>00228</t>
        </is>
      </c>
      <c r="D1891" s="29" t="inlineStr">
        <is>
          <t>HAVVA BAYRAM</t>
        </is>
      </c>
      <c r="E1891" s="4" t="inlineStr">
        <is>
          <t>Cumartesi</t>
        </is>
      </c>
      <c r="F1891" s="4" t="inlineStr">
        <is>
          <t>3.10.2026</t>
        </is>
      </c>
      <c r="G1891" s="4" t="inlineStr">
        <is>
          <t>07:55</t>
        </is>
      </c>
      <c r="H1891" s="4" t="inlineStr">
        <is>
          <t>3.10.2026</t>
        </is>
      </c>
      <c r="I1891" s="4" t="inlineStr">
        <is>
          <t>17:33</t>
        </is>
      </c>
      <c r="J1891" s="8" t="n">
        <v>0</v>
      </c>
      <c r="K1891" s="8" t="n">
        <v>0</v>
      </c>
      <c r="L1891" s="8" t="n">
        <v>0</v>
      </c>
      <c r="M1891" s="29" t="inlineStr">
        <is>
          <t>BALIKESİR</t>
        </is>
      </c>
    </row>
    <row r="1892">
      <c r="A1892" s="4" t="n">
        <v>1891</v>
      </c>
      <c r="B1892" s="4" t="inlineStr">
        <is>
          <t>00228</t>
        </is>
      </c>
      <c r="C1892" s="4" t="inlineStr">
        <is>
          <t>00228</t>
        </is>
      </c>
      <c r="D1892" s="29" t="inlineStr">
        <is>
          <t>HAVVA BAYRAM</t>
        </is>
      </c>
      <c r="E1892" s="4" t="inlineStr">
        <is>
          <t>Pazartesi</t>
        </is>
      </c>
      <c r="F1892" s="4" t="inlineStr">
        <is>
          <t>5.10.2026</t>
        </is>
      </c>
      <c r="G1892" s="4" t="inlineStr">
        <is>
          <t>07:53</t>
        </is>
      </c>
      <c r="H1892" s="4" t="inlineStr">
        <is>
          <t>5.10.2026</t>
        </is>
      </c>
      <c r="I1892" s="4" t="inlineStr">
        <is>
          <t>17:01</t>
        </is>
      </c>
      <c r="J1892" s="8" t="n">
        <v>7.5</v>
      </c>
      <c r="K1892" s="8" t="n">
        <v>7.5</v>
      </c>
      <c r="L1892" s="8" t="n">
        <v>0</v>
      </c>
      <c r="M1892" s="29" t="inlineStr">
        <is>
          <t>BALIKESİR</t>
        </is>
      </c>
    </row>
    <row r="1893">
      <c r="A1893" s="4" t="n">
        <v>1892</v>
      </c>
      <c r="B1893" s="4" t="inlineStr">
        <is>
          <t>00228</t>
        </is>
      </c>
      <c r="C1893" s="4" t="inlineStr">
        <is>
          <t>00228</t>
        </is>
      </c>
      <c r="D1893" s="29" t="inlineStr">
        <is>
          <t>HAVVA BAYRAM</t>
        </is>
      </c>
      <c r="E1893" s="4" t="inlineStr">
        <is>
          <t>Salı</t>
        </is>
      </c>
      <c r="F1893" s="4" t="inlineStr">
        <is>
          <t>6.10.2026</t>
        </is>
      </c>
      <c r="G1893" s="4" t="inlineStr">
        <is>
          <t>07:51</t>
        </is>
      </c>
      <c r="H1893" s="4" t="inlineStr">
        <is>
          <t>6.10.2026</t>
        </is>
      </c>
      <c r="I1893" s="4" t="inlineStr">
        <is>
          <t>17:37</t>
        </is>
      </c>
      <c r="J1893" s="8" t="n">
        <v>8</v>
      </c>
      <c r="K1893" s="8" t="n">
        <v>7.5</v>
      </c>
      <c r="L1893" s="8" t="n">
        <v>0.5</v>
      </c>
      <c r="M1893" s="29" t="inlineStr">
        <is>
          <t>BALIKESİR</t>
        </is>
      </c>
    </row>
    <row r="1894">
      <c r="A1894" s="4" t="n">
        <v>1893</v>
      </c>
      <c r="B1894" s="4" t="inlineStr">
        <is>
          <t>00228</t>
        </is>
      </c>
      <c r="C1894" s="4" t="inlineStr">
        <is>
          <t>00228</t>
        </is>
      </c>
      <c r="D1894" s="29" t="inlineStr">
        <is>
          <t>HAVVA BAYRAM</t>
        </is>
      </c>
      <c r="E1894" s="4" t="inlineStr">
        <is>
          <t>Çarşamba</t>
        </is>
      </c>
      <c r="F1894" s="4" t="inlineStr">
        <is>
          <t>7.10.2026</t>
        </is>
      </c>
      <c r="G1894" s="4" t="inlineStr">
        <is>
          <t>07:49</t>
        </is>
      </c>
      <c r="H1894" s="4" t="inlineStr">
        <is>
          <t>7.10.2026</t>
        </is>
      </c>
      <c r="I1894" s="4" t="inlineStr">
        <is>
          <t>17:20</t>
        </is>
      </c>
      <c r="J1894" s="8" t="n">
        <v>7.5</v>
      </c>
      <c r="K1894" s="8" t="n">
        <v>7.5</v>
      </c>
      <c r="L1894" s="8" t="n">
        <v>0</v>
      </c>
      <c r="M1894" s="29" t="inlineStr">
        <is>
          <t>BALIKESİR</t>
        </is>
      </c>
    </row>
    <row r="1895">
      <c r="A1895" s="4" t="n">
        <v>1894</v>
      </c>
      <c r="B1895" s="4" t="inlineStr">
        <is>
          <t>00228</t>
        </is>
      </c>
      <c r="C1895" s="4" t="inlineStr">
        <is>
          <t>00228</t>
        </is>
      </c>
      <c r="D1895" s="29" t="inlineStr">
        <is>
          <t>HAVVA BAYRAM</t>
        </is>
      </c>
      <c r="E1895" s="4" t="inlineStr">
        <is>
          <t>Perşembe</t>
        </is>
      </c>
      <c r="F1895" s="4" t="inlineStr">
        <is>
          <t>8.10.2026</t>
        </is>
      </c>
      <c r="G1895" s="4" t="inlineStr">
        <is>
          <t>07:50</t>
        </is>
      </c>
      <c r="H1895" s="4" t="inlineStr">
        <is>
          <t>8.10.2026</t>
        </is>
      </c>
      <c r="I1895" s="4" t="inlineStr">
        <is>
          <t>17:31</t>
        </is>
      </c>
      <c r="J1895" s="8" t="n">
        <v>8</v>
      </c>
      <c r="K1895" s="8" t="n">
        <v>7.5</v>
      </c>
      <c r="L1895" s="8" t="n">
        <v>0.5</v>
      </c>
      <c r="M1895" s="29" t="inlineStr">
        <is>
          <t>BALIKESİR</t>
        </is>
      </c>
    </row>
    <row r="1896">
      <c r="A1896" s="4" t="n">
        <v>1895</v>
      </c>
      <c r="B1896" s="4" t="inlineStr">
        <is>
          <t>00228</t>
        </is>
      </c>
      <c r="C1896" s="4" t="inlineStr">
        <is>
          <t>00228</t>
        </is>
      </c>
      <c r="D1896" s="29" t="inlineStr">
        <is>
          <t>HAVVA BAYRAM</t>
        </is>
      </c>
      <c r="E1896" s="4" t="inlineStr">
        <is>
          <t>Cuma</t>
        </is>
      </c>
      <c r="F1896" s="4" t="inlineStr">
        <is>
          <t>9.10.2026</t>
        </is>
      </c>
      <c r="G1896" s="4" t="inlineStr">
        <is>
          <t>07:50</t>
        </is>
      </c>
      <c r="H1896" s="4" t="inlineStr">
        <is>
          <t>9.10.2026</t>
        </is>
      </c>
      <c r="I1896" s="4" t="inlineStr">
        <is>
          <t>17:39</t>
        </is>
      </c>
      <c r="J1896" s="8" t="n">
        <v>8</v>
      </c>
      <c r="K1896" s="8" t="n">
        <v>7.5</v>
      </c>
      <c r="L1896" s="8" t="n">
        <v>0.5</v>
      </c>
      <c r="M1896" s="29" t="inlineStr">
        <is>
          <t>BALIKESİR</t>
        </is>
      </c>
    </row>
    <row r="1897">
      <c r="A1897" s="4" t="n">
        <v>1896</v>
      </c>
      <c r="B1897" s="4" t="inlineStr">
        <is>
          <t>00228</t>
        </is>
      </c>
      <c r="C1897" s="4" t="inlineStr">
        <is>
          <t>00228</t>
        </is>
      </c>
      <c r="D1897" s="29" t="inlineStr">
        <is>
          <t>HAVVA BAYRAM</t>
        </is>
      </c>
      <c r="E1897" s="4" t="inlineStr">
        <is>
          <t>Cumartesi</t>
        </is>
      </c>
      <c r="F1897" s="4" t="inlineStr">
        <is>
          <t>10.10.2026</t>
        </is>
      </c>
      <c r="G1897" s="4" t="inlineStr">
        <is>
          <t>07:53</t>
        </is>
      </c>
      <c r="H1897" s="4" t="inlineStr">
        <is>
          <t>10.10.2026</t>
        </is>
      </c>
      <c r="I1897" s="4" t="inlineStr">
        <is>
          <t>18:07</t>
        </is>
      </c>
      <c r="J1897" s="8" t="n">
        <v>8.5</v>
      </c>
      <c r="K1897" s="8" t="n">
        <v>7.5</v>
      </c>
      <c r="L1897" s="8" t="n">
        <v>1</v>
      </c>
      <c r="M1897" s="29" t="inlineStr">
        <is>
          <t>BALIKESİR</t>
        </is>
      </c>
    </row>
    <row r="1898">
      <c r="A1898" s="4" t="n">
        <v>1897</v>
      </c>
      <c r="B1898" s="4" t="inlineStr">
        <is>
          <t>00228</t>
        </is>
      </c>
      <c r="C1898" s="4" t="inlineStr">
        <is>
          <t>00228</t>
        </is>
      </c>
      <c r="D1898" s="29" t="inlineStr">
        <is>
          <t>HAVVA BAYRAM</t>
        </is>
      </c>
      <c r="E1898" s="4" t="inlineStr">
        <is>
          <t>Pazartesi</t>
        </is>
      </c>
      <c r="F1898" s="4" t="inlineStr">
        <is>
          <t>12.10.2026</t>
        </is>
      </c>
      <c r="G1898" s="4" t="inlineStr">
        <is>
          <t>07:51</t>
        </is>
      </c>
      <c r="H1898" s="4" t="inlineStr">
        <is>
          <t>12.10.2026</t>
        </is>
      </c>
      <c r="I1898" s="4" t="inlineStr">
        <is>
          <t>17:00</t>
        </is>
      </c>
      <c r="J1898" s="8" t="n">
        <v>7.5</v>
      </c>
      <c r="K1898" s="8" t="n">
        <v>7.5</v>
      </c>
      <c r="L1898" s="8" t="n">
        <v>0</v>
      </c>
      <c r="M1898" s="29" t="inlineStr">
        <is>
          <t>BALIKESİR</t>
        </is>
      </c>
    </row>
    <row r="1899">
      <c r="A1899" s="4" t="n">
        <v>1898</v>
      </c>
      <c r="B1899" s="4" t="inlineStr">
        <is>
          <t>00228</t>
        </is>
      </c>
      <c r="C1899" s="4" t="inlineStr">
        <is>
          <t>00228</t>
        </is>
      </c>
      <c r="D1899" s="29" t="inlineStr">
        <is>
          <t>HAVVA BAYRAM</t>
        </is>
      </c>
      <c r="E1899" s="4" t="inlineStr">
        <is>
          <t>Salı</t>
        </is>
      </c>
      <c r="F1899" s="4" t="inlineStr">
        <is>
          <t>13.10.2026</t>
        </is>
      </c>
      <c r="G1899" s="4" t="inlineStr">
        <is>
          <t>07:49</t>
        </is>
      </c>
      <c r="H1899" s="4" t="inlineStr">
        <is>
          <t>13.10.2026</t>
        </is>
      </c>
      <c r="I1899" s="4" t="inlineStr">
        <is>
          <t>-</t>
        </is>
      </c>
      <c r="J1899" s="8" t="n">
        <v>7.5</v>
      </c>
      <c r="K1899" s="8" t="n">
        <v>7.5</v>
      </c>
      <c r="L1899" s="8" t="n">
        <v>0</v>
      </c>
      <c r="M1899" s="29" t="inlineStr">
        <is>
          <t>BALIKESİR</t>
        </is>
      </c>
    </row>
    <row r="1900">
      <c r="A1900" s="4" t="n">
        <v>1899</v>
      </c>
      <c r="B1900" s="4" t="inlineStr">
        <is>
          <t>00228</t>
        </is>
      </c>
      <c r="C1900" s="4" t="inlineStr">
        <is>
          <t>00228</t>
        </is>
      </c>
      <c r="D1900" s="29" t="inlineStr">
        <is>
          <t>HAVVA BAYRAM</t>
        </is>
      </c>
      <c r="E1900" s="4" t="inlineStr">
        <is>
          <t>Çarşamba</t>
        </is>
      </c>
      <c r="F1900" s="4" t="inlineStr">
        <is>
          <t>14.10.2026</t>
        </is>
      </c>
      <c r="G1900" s="4" t="inlineStr">
        <is>
          <t>07:50</t>
        </is>
      </c>
      <c r="H1900" s="4" t="inlineStr">
        <is>
          <t>14.10.2026</t>
        </is>
      </c>
      <c r="I1900" s="4" t="inlineStr">
        <is>
          <t>18:03</t>
        </is>
      </c>
      <c r="J1900" s="8" t="n">
        <v>8.5</v>
      </c>
      <c r="K1900" s="8" t="n">
        <v>7.5</v>
      </c>
      <c r="L1900" s="8" t="n">
        <v>1</v>
      </c>
      <c r="M1900" s="29" t="inlineStr">
        <is>
          <t>BALIKESİR</t>
        </is>
      </c>
    </row>
    <row r="1901">
      <c r="A1901" s="4" t="n">
        <v>1900</v>
      </c>
      <c r="B1901" s="4" t="inlineStr">
        <is>
          <t>00228</t>
        </is>
      </c>
      <c r="C1901" s="4" t="inlineStr">
        <is>
          <t>00228</t>
        </is>
      </c>
      <c r="D1901" s="29" t="inlineStr">
        <is>
          <t>HAVVA BAYRAM</t>
        </is>
      </c>
      <c r="E1901" s="4" t="inlineStr">
        <is>
          <t>Perşembe</t>
        </is>
      </c>
      <c r="F1901" s="4" t="inlineStr">
        <is>
          <t>15.10.2026</t>
        </is>
      </c>
      <c r="G1901" s="4" t="inlineStr">
        <is>
          <t>07:52</t>
        </is>
      </c>
      <c r="H1901" s="4" t="inlineStr">
        <is>
          <t>15.10.2026</t>
        </is>
      </c>
      <c r="I1901" s="4" t="inlineStr">
        <is>
          <t>17:02</t>
        </is>
      </c>
      <c r="J1901" s="8" t="n">
        <v>7.5</v>
      </c>
      <c r="K1901" s="8" t="n">
        <v>7.5</v>
      </c>
      <c r="L1901" s="8" t="n">
        <v>0</v>
      </c>
      <c r="M1901" s="29" t="inlineStr">
        <is>
          <t>BALIKESİR</t>
        </is>
      </c>
    </row>
    <row r="1902">
      <c r="A1902" s="4" t="n">
        <v>1901</v>
      </c>
      <c r="B1902" s="4" t="inlineStr">
        <is>
          <t>00228</t>
        </is>
      </c>
      <c r="C1902" s="4" t="inlineStr">
        <is>
          <t>00228</t>
        </is>
      </c>
      <c r="D1902" s="29" t="inlineStr">
        <is>
          <t>HAVVA BAYRAM</t>
        </is>
      </c>
      <c r="E1902" s="4" t="inlineStr">
        <is>
          <t>Pazartesi</t>
        </is>
      </c>
      <c r="F1902" s="4" t="inlineStr">
        <is>
          <t>19.10.2026</t>
        </is>
      </c>
      <c r="G1902" s="4" t="inlineStr">
        <is>
          <t>07:50</t>
        </is>
      </c>
      <c r="H1902" s="4" t="inlineStr">
        <is>
          <t>19.10.2026</t>
        </is>
      </c>
      <c r="I1902" s="4" t="inlineStr">
        <is>
          <t>17:41</t>
        </is>
      </c>
      <c r="J1902" s="8" t="n">
        <v>8</v>
      </c>
      <c r="K1902" s="8" t="n">
        <v>7.5</v>
      </c>
      <c r="L1902" s="8" t="n">
        <v>0.5</v>
      </c>
      <c r="M1902" s="29" t="inlineStr">
        <is>
          <t>BALIKESİR</t>
        </is>
      </c>
    </row>
    <row r="1903">
      <c r="A1903" s="4" t="n">
        <v>1902</v>
      </c>
      <c r="B1903" s="4" t="inlineStr">
        <is>
          <t>00228</t>
        </is>
      </c>
      <c r="C1903" s="4" t="inlineStr">
        <is>
          <t>00228</t>
        </is>
      </c>
      <c r="D1903" s="29" t="inlineStr">
        <is>
          <t>HAVVA BAYRAM</t>
        </is>
      </c>
      <c r="E1903" s="4" t="inlineStr">
        <is>
          <t>Salı</t>
        </is>
      </c>
      <c r="F1903" s="4" t="inlineStr">
        <is>
          <t>20.10.2026</t>
        </is>
      </c>
      <c r="G1903" s="4" t="inlineStr">
        <is>
          <t>07:49</t>
        </is>
      </c>
      <c r="H1903" s="4" t="inlineStr">
        <is>
          <t>20.10.2026</t>
        </is>
      </c>
      <c r="I1903" s="4" t="inlineStr">
        <is>
          <t>17:00</t>
        </is>
      </c>
      <c r="J1903" s="8" t="n">
        <v>7.5</v>
      </c>
      <c r="K1903" s="8" t="n">
        <v>7.5</v>
      </c>
      <c r="L1903" s="8" t="n">
        <v>0</v>
      </c>
      <c r="M1903" s="29" t="inlineStr">
        <is>
          <t>BALIKESİR</t>
        </is>
      </c>
    </row>
    <row r="1904">
      <c r="A1904" s="4" t="n">
        <v>1903</v>
      </c>
      <c r="B1904" s="4" t="inlineStr">
        <is>
          <t>00228</t>
        </is>
      </c>
      <c r="C1904" s="4" t="inlineStr">
        <is>
          <t>00228</t>
        </is>
      </c>
      <c r="D1904" s="29" t="inlineStr">
        <is>
          <t>HAVVA BAYRAM</t>
        </is>
      </c>
      <c r="E1904" s="4" t="inlineStr">
        <is>
          <t>Çarşamba</t>
        </is>
      </c>
      <c r="F1904" s="4" t="inlineStr">
        <is>
          <t>21.10.2026</t>
        </is>
      </c>
      <c r="G1904" s="4" t="inlineStr">
        <is>
          <t>07:50</t>
        </is>
      </c>
      <c r="H1904" s="4" t="inlineStr">
        <is>
          <t>21.10.2026</t>
        </is>
      </c>
      <c r="I1904" s="4" t="inlineStr">
        <is>
          <t>17:00</t>
        </is>
      </c>
      <c r="J1904" s="8" t="n">
        <v>7.5</v>
      </c>
      <c r="K1904" s="8" t="n">
        <v>7.5</v>
      </c>
      <c r="L1904" s="8" t="n">
        <v>0</v>
      </c>
      <c r="M1904" s="29" t="inlineStr">
        <is>
          <t>BALIKESİR</t>
        </is>
      </c>
    </row>
    <row r="1905">
      <c r="A1905" s="4" t="n">
        <v>1904</v>
      </c>
      <c r="B1905" s="4" t="inlineStr">
        <is>
          <t>01270</t>
        </is>
      </c>
      <c r="C1905" s="4" t="inlineStr">
        <is>
          <t>01270</t>
        </is>
      </c>
      <c r="D1905" s="29" t="inlineStr">
        <is>
          <t>HAYRİYE BEYİRKEN</t>
        </is>
      </c>
      <c r="E1905" s="4" t="inlineStr">
        <is>
          <t>Perşembe</t>
        </is>
      </c>
      <c r="F1905" s="4" t="inlineStr">
        <is>
          <t>1.10.2026</t>
        </is>
      </c>
      <c r="G1905" s="4" t="inlineStr">
        <is>
          <t>07:57</t>
        </is>
      </c>
      <c r="H1905" s="4" t="inlineStr">
        <is>
          <t>1.10.2026</t>
        </is>
      </c>
      <c r="I1905" s="4" t="inlineStr">
        <is>
          <t>17:08</t>
        </is>
      </c>
      <c r="J1905" s="8" t="n">
        <v>7.5</v>
      </c>
      <c r="K1905" s="8" t="n">
        <v>7.5</v>
      </c>
      <c r="L1905" s="8" t="n">
        <v>0</v>
      </c>
      <c r="M1905" s="29" t="inlineStr">
        <is>
          <t>HALİL DİĞRENCİ</t>
        </is>
      </c>
    </row>
    <row r="1906">
      <c r="A1906" s="4" t="n">
        <v>1905</v>
      </c>
      <c r="B1906" s="4" t="inlineStr">
        <is>
          <t>01270</t>
        </is>
      </c>
      <c r="C1906" s="4" t="inlineStr">
        <is>
          <t>01270</t>
        </is>
      </c>
      <c r="D1906" s="29" t="inlineStr">
        <is>
          <t>HAYRİYE BEYİRKEN</t>
        </is>
      </c>
      <c r="E1906" s="4" t="inlineStr">
        <is>
          <t>Cuma</t>
        </is>
      </c>
      <c r="F1906" s="4" t="inlineStr">
        <is>
          <t>2.10.2026</t>
        </is>
      </c>
      <c r="G1906" s="4" t="inlineStr">
        <is>
          <t>08:01</t>
        </is>
      </c>
      <c r="H1906" s="4" t="inlineStr">
        <is>
          <t>2.10.2026</t>
        </is>
      </c>
      <c r="I1906" s="4" t="inlineStr">
        <is>
          <t>20:02</t>
        </is>
      </c>
      <c r="J1906" s="8" t="n">
        <v>10.5</v>
      </c>
      <c r="K1906" s="8" t="n">
        <v>7.5</v>
      </c>
      <c r="L1906" s="8" t="n">
        <v>3</v>
      </c>
      <c r="M1906" s="29" t="inlineStr">
        <is>
          <t>HALİL DİĞRENCİ</t>
        </is>
      </c>
    </row>
    <row r="1907">
      <c r="A1907" s="4" t="n">
        <v>1906</v>
      </c>
      <c r="B1907" s="4" t="inlineStr">
        <is>
          <t>01270</t>
        </is>
      </c>
      <c r="C1907" s="4" t="inlineStr">
        <is>
          <t>01270</t>
        </is>
      </c>
      <c r="D1907" s="29" t="inlineStr">
        <is>
          <t>HAYRİYE BEYİRKEN</t>
        </is>
      </c>
      <c r="E1907" s="4" t="inlineStr">
        <is>
          <t>Cumartesi</t>
        </is>
      </c>
      <c r="F1907" s="4" t="inlineStr">
        <is>
          <t>3.10.2026</t>
        </is>
      </c>
      <c r="G1907" s="4" t="inlineStr">
        <is>
          <t>08:02</t>
        </is>
      </c>
      <c r="H1907" s="4" t="inlineStr">
        <is>
          <t>3.10.2026</t>
        </is>
      </c>
      <c r="I1907" s="4" t="inlineStr">
        <is>
          <t>17:20</t>
        </is>
      </c>
      <c r="J1907" s="8" t="n">
        <v>7.5</v>
      </c>
      <c r="K1907" s="8" t="n">
        <v>7.5</v>
      </c>
      <c r="L1907" s="8" t="n">
        <v>0</v>
      </c>
      <c r="M1907" s="29" t="inlineStr">
        <is>
          <t>HALİL DİĞRENCİ</t>
        </is>
      </c>
    </row>
    <row r="1908">
      <c r="A1908" s="4" t="n">
        <v>1907</v>
      </c>
      <c r="B1908" s="4" t="inlineStr">
        <is>
          <t>01270</t>
        </is>
      </c>
      <c r="C1908" s="4" t="inlineStr">
        <is>
          <t>01270</t>
        </is>
      </c>
      <c r="D1908" s="29" t="inlineStr">
        <is>
          <t>HAYRİYE BEYİRKEN</t>
        </is>
      </c>
      <c r="E1908" s="4" t="inlineStr">
        <is>
          <t>Pazartesi</t>
        </is>
      </c>
      <c r="F1908" s="4" t="inlineStr">
        <is>
          <t>5.10.2026</t>
        </is>
      </c>
      <c r="G1908" s="4" t="inlineStr">
        <is>
          <t>08:01</t>
        </is>
      </c>
      <c r="H1908" s="4" t="inlineStr">
        <is>
          <t>5.10.2026</t>
        </is>
      </c>
      <c r="I1908" s="4" t="inlineStr">
        <is>
          <t>20:00</t>
        </is>
      </c>
      <c r="J1908" s="8" t="n">
        <v>10.5</v>
      </c>
      <c r="K1908" s="8" t="n">
        <v>7.5</v>
      </c>
      <c r="L1908" s="8" t="n">
        <v>3</v>
      </c>
      <c r="M1908" s="29" t="inlineStr">
        <is>
          <t>HALİL DİĞRENCİ</t>
        </is>
      </c>
    </row>
    <row r="1909">
      <c r="A1909" s="4" t="n">
        <v>1908</v>
      </c>
      <c r="B1909" s="4" t="inlineStr">
        <is>
          <t>01270</t>
        </is>
      </c>
      <c r="C1909" s="4" t="inlineStr">
        <is>
          <t>01270</t>
        </is>
      </c>
      <c r="D1909" s="29" t="inlineStr">
        <is>
          <t>HAYRİYE BEYİRKEN</t>
        </is>
      </c>
      <c r="E1909" s="4" t="inlineStr">
        <is>
          <t>Salı</t>
        </is>
      </c>
      <c r="F1909" s="4" t="inlineStr">
        <is>
          <t>6.10.2026</t>
        </is>
      </c>
      <c r="G1909" s="4" t="inlineStr">
        <is>
          <t>07:59</t>
        </is>
      </c>
      <c r="H1909" s="4" t="inlineStr">
        <is>
          <t>6.10.2026</t>
        </is>
      </c>
      <c r="I1909" s="4" t="inlineStr">
        <is>
          <t>20:02</t>
        </is>
      </c>
      <c r="J1909" s="8" t="n">
        <v>10.5</v>
      </c>
      <c r="K1909" s="8" t="n">
        <v>7.5</v>
      </c>
      <c r="L1909" s="8" t="n">
        <v>3</v>
      </c>
      <c r="M1909" s="29" t="inlineStr">
        <is>
          <t>HALİL DİĞRENCİ</t>
        </is>
      </c>
    </row>
    <row r="1910">
      <c r="A1910" s="4" t="n">
        <v>1909</v>
      </c>
      <c r="B1910" s="4" t="inlineStr">
        <is>
          <t>01270</t>
        </is>
      </c>
      <c r="C1910" s="4" t="inlineStr">
        <is>
          <t>01270</t>
        </is>
      </c>
      <c r="D1910" s="29" t="inlineStr">
        <is>
          <t>HAYRİYE BEYİRKEN</t>
        </is>
      </c>
      <c r="E1910" s="4" t="inlineStr">
        <is>
          <t>Çarşamba</t>
        </is>
      </c>
      <c r="F1910" s="4" t="inlineStr">
        <is>
          <t>7.10.2026</t>
        </is>
      </c>
      <c r="G1910" s="4" t="inlineStr">
        <is>
          <t>07:50</t>
        </is>
      </c>
      <c r="H1910" s="4" t="inlineStr">
        <is>
          <t>7.10.2026</t>
        </is>
      </c>
      <c r="I1910" s="4" t="inlineStr">
        <is>
          <t>20:00</t>
        </is>
      </c>
      <c r="J1910" s="8" t="n">
        <v>10.5</v>
      </c>
      <c r="K1910" s="8" t="n">
        <v>7.5</v>
      </c>
      <c r="L1910" s="8" t="n">
        <v>3</v>
      </c>
      <c r="M1910" s="29" t="inlineStr">
        <is>
          <t>HALİL DİĞRENCİ</t>
        </is>
      </c>
    </row>
    <row r="1911">
      <c r="A1911" s="4" t="n">
        <v>1910</v>
      </c>
      <c r="B1911" s="4" t="inlineStr">
        <is>
          <t>01270</t>
        </is>
      </c>
      <c r="C1911" s="4" t="inlineStr">
        <is>
          <t>01270</t>
        </is>
      </c>
      <c r="D1911" s="29" t="inlineStr">
        <is>
          <t>HAYRİYE BEYİRKEN</t>
        </is>
      </c>
      <c r="E1911" s="4" t="inlineStr">
        <is>
          <t>Perşembe</t>
        </is>
      </c>
      <c r="F1911" s="4" t="inlineStr">
        <is>
          <t>8.10.2026</t>
        </is>
      </c>
      <c r="G1911" s="4" t="inlineStr">
        <is>
          <t>07:52</t>
        </is>
      </c>
      <c r="H1911" s="4" t="inlineStr">
        <is>
          <t>8.10.2026</t>
        </is>
      </c>
      <c r="I1911" s="4" t="inlineStr">
        <is>
          <t>19:59</t>
        </is>
      </c>
      <c r="J1911" s="8" t="n">
        <v>10.5</v>
      </c>
      <c r="K1911" s="8" t="n">
        <v>7.5</v>
      </c>
      <c r="L1911" s="8" t="n">
        <v>3</v>
      </c>
      <c r="M1911" s="29" t="inlineStr">
        <is>
          <t>HALİL DİĞRENCİ</t>
        </is>
      </c>
    </row>
    <row r="1912">
      <c r="A1912" s="4" t="n">
        <v>1911</v>
      </c>
      <c r="B1912" s="4" t="inlineStr">
        <is>
          <t>01270</t>
        </is>
      </c>
      <c r="C1912" s="4" t="inlineStr">
        <is>
          <t>01270</t>
        </is>
      </c>
      <c r="D1912" s="29" t="inlineStr">
        <is>
          <t>HAYRİYE BEYİRKEN</t>
        </is>
      </c>
      <c r="E1912" s="4" t="inlineStr">
        <is>
          <t>Cuma</t>
        </is>
      </c>
      <c r="F1912" s="4" t="inlineStr">
        <is>
          <t>9.10.2026</t>
        </is>
      </c>
      <c r="G1912" s="4" t="inlineStr">
        <is>
          <t>07:58</t>
        </is>
      </c>
      <c r="H1912" s="4" t="inlineStr">
        <is>
          <t>9.10.2026</t>
        </is>
      </c>
      <c r="I1912" s="4" t="inlineStr">
        <is>
          <t>20:01</t>
        </is>
      </c>
      <c r="J1912" s="8" t="n">
        <v>10.5</v>
      </c>
      <c r="K1912" s="8" t="n">
        <v>7.5</v>
      </c>
      <c r="L1912" s="8" t="n">
        <v>3</v>
      </c>
      <c r="M1912" s="29" t="inlineStr">
        <is>
          <t>HALİL DİĞRENCİ</t>
        </is>
      </c>
    </row>
    <row r="1913">
      <c r="A1913" s="4" t="n">
        <v>1912</v>
      </c>
      <c r="B1913" s="4" t="inlineStr">
        <is>
          <t>01270</t>
        </is>
      </c>
      <c r="C1913" s="4" t="inlineStr">
        <is>
          <t>01270</t>
        </is>
      </c>
      <c r="D1913" s="29" t="inlineStr">
        <is>
          <t>HAYRİYE BEYİRKEN</t>
        </is>
      </c>
      <c r="E1913" s="4" t="inlineStr">
        <is>
          <t>Cumartesi</t>
        </is>
      </c>
      <c r="F1913" s="4" t="inlineStr">
        <is>
          <t>10.10.2026</t>
        </is>
      </c>
      <c r="G1913" s="4" t="inlineStr">
        <is>
          <t>08:06</t>
        </is>
      </c>
      <c r="H1913" s="4" t="inlineStr">
        <is>
          <t>10.10.2026</t>
        </is>
      </c>
      <c r="I1913" s="4" t="inlineStr">
        <is>
          <t>20:02</t>
        </is>
      </c>
      <c r="J1913" s="8" t="n">
        <v>10.5</v>
      </c>
      <c r="K1913" s="8" t="n">
        <v>7.5</v>
      </c>
      <c r="L1913" s="8" t="n">
        <v>3</v>
      </c>
      <c r="M1913" s="29" t="inlineStr">
        <is>
          <t>HALİL DİĞRENCİ</t>
        </is>
      </c>
    </row>
    <row r="1914">
      <c r="A1914" s="4" t="n">
        <v>1913</v>
      </c>
      <c r="B1914" s="4" t="inlineStr">
        <is>
          <t>01270</t>
        </is>
      </c>
      <c r="C1914" s="4" t="inlineStr">
        <is>
          <t>01270</t>
        </is>
      </c>
      <c r="D1914" s="29" t="inlineStr">
        <is>
          <t>HAYRİYE BEYİRKEN</t>
        </is>
      </c>
      <c r="E1914" s="4" t="inlineStr">
        <is>
          <t>Pazartesi</t>
        </is>
      </c>
      <c r="F1914" s="4" t="inlineStr">
        <is>
          <t>12.10.2026</t>
        </is>
      </c>
      <c r="G1914" s="4" t="inlineStr">
        <is>
          <t>08:03</t>
        </is>
      </c>
      <c r="H1914" s="4" t="inlineStr">
        <is>
          <t>12.10.2026</t>
        </is>
      </c>
      <c r="I1914" s="4" t="inlineStr">
        <is>
          <t>20:06</t>
        </is>
      </c>
      <c r="J1914" s="8" t="n">
        <v>10.5</v>
      </c>
      <c r="K1914" s="8" t="n">
        <v>7.5</v>
      </c>
      <c r="L1914" s="8" t="n">
        <v>3</v>
      </c>
      <c r="M1914" s="29" t="inlineStr">
        <is>
          <t>HALİL DİĞRENCİ</t>
        </is>
      </c>
    </row>
    <row r="1915">
      <c r="A1915" s="4" t="n">
        <v>1914</v>
      </c>
      <c r="B1915" s="4" t="inlineStr">
        <is>
          <t>01270</t>
        </is>
      </c>
      <c r="C1915" s="4" t="inlineStr">
        <is>
          <t>01270</t>
        </is>
      </c>
      <c r="D1915" s="29" t="inlineStr">
        <is>
          <t>HAYRİYE BEYİRKEN</t>
        </is>
      </c>
      <c r="E1915" s="4" t="inlineStr">
        <is>
          <t>Salı</t>
        </is>
      </c>
      <c r="F1915" s="4" t="inlineStr">
        <is>
          <t>13.10.2026</t>
        </is>
      </c>
      <c r="G1915" s="4" t="inlineStr">
        <is>
          <t>08:00</t>
        </is>
      </c>
      <c r="H1915" s="4" t="inlineStr">
        <is>
          <t>13.10.2026</t>
        </is>
      </c>
      <c r="I1915" s="4" t="inlineStr">
        <is>
          <t>19:57</t>
        </is>
      </c>
      <c r="J1915" s="8" t="n">
        <v>10.5</v>
      </c>
      <c r="K1915" s="8" t="n">
        <v>7.5</v>
      </c>
      <c r="L1915" s="8" t="n">
        <v>3</v>
      </c>
      <c r="M1915" s="29" t="inlineStr">
        <is>
          <t>HALİL DİĞRENCİ</t>
        </is>
      </c>
    </row>
    <row r="1916">
      <c r="A1916" s="4" t="n">
        <v>1915</v>
      </c>
      <c r="B1916" s="4" t="inlineStr">
        <is>
          <t>01270</t>
        </is>
      </c>
      <c r="C1916" s="4" t="inlineStr">
        <is>
          <t>01270</t>
        </is>
      </c>
      <c r="D1916" s="29" t="inlineStr">
        <is>
          <t>HAYRİYE BEYİRKEN</t>
        </is>
      </c>
      <c r="E1916" s="4" t="inlineStr">
        <is>
          <t>Çarşamba</t>
        </is>
      </c>
      <c r="F1916" s="4" t="inlineStr">
        <is>
          <t>14.10.2026</t>
        </is>
      </c>
      <c r="G1916" s="4" t="inlineStr">
        <is>
          <t>07:57</t>
        </is>
      </c>
      <c r="H1916" s="4" t="inlineStr">
        <is>
          <t>14.10.2026</t>
        </is>
      </c>
      <c r="I1916" s="4" t="inlineStr">
        <is>
          <t>20:06</t>
        </is>
      </c>
      <c r="J1916" s="8" t="n">
        <v>10.5</v>
      </c>
      <c r="K1916" s="8" t="n">
        <v>7.5</v>
      </c>
      <c r="L1916" s="8" t="n">
        <v>3</v>
      </c>
      <c r="M1916" s="29" t="inlineStr">
        <is>
          <t>HALİL DİĞRENCİ</t>
        </is>
      </c>
    </row>
    <row r="1917">
      <c r="A1917" s="4" t="n">
        <v>1916</v>
      </c>
      <c r="B1917" s="4" t="inlineStr">
        <is>
          <t>01270</t>
        </is>
      </c>
      <c r="C1917" s="4" t="inlineStr">
        <is>
          <t>01270</t>
        </is>
      </c>
      <c r="D1917" s="29" t="inlineStr">
        <is>
          <t>HAYRİYE BEYİRKEN</t>
        </is>
      </c>
      <c r="E1917" s="4" t="inlineStr">
        <is>
          <t>Perşembe</t>
        </is>
      </c>
      <c r="F1917" s="4" t="inlineStr">
        <is>
          <t>15.10.2026</t>
        </is>
      </c>
      <c r="G1917" s="4" t="inlineStr">
        <is>
          <t>08:04</t>
        </is>
      </c>
      <c r="H1917" s="4" t="inlineStr">
        <is>
          <t>15.10.2026</t>
        </is>
      </c>
      <c r="I1917" s="4" t="inlineStr">
        <is>
          <t>19:59</t>
        </is>
      </c>
      <c r="J1917" s="8" t="n">
        <v>10.5</v>
      </c>
      <c r="K1917" s="8" t="n">
        <v>7.5</v>
      </c>
      <c r="L1917" s="8" t="n">
        <v>3</v>
      </c>
      <c r="M1917" s="29" t="inlineStr">
        <is>
          <t>HALİL DİĞRENCİ</t>
        </is>
      </c>
    </row>
    <row r="1918">
      <c r="A1918" s="4" t="n">
        <v>1917</v>
      </c>
      <c r="B1918" s="4" t="inlineStr">
        <is>
          <t>01270</t>
        </is>
      </c>
      <c r="C1918" s="4" t="inlineStr">
        <is>
          <t>01270</t>
        </is>
      </c>
      <c r="D1918" s="29" t="inlineStr">
        <is>
          <t>HAYRİYE BEYİRKEN</t>
        </is>
      </c>
      <c r="E1918" s="4" t="inlineStr">
        <is>
          <t>Pazartesi</t>
        </is>
      </c>
      <c r="F1918" s="4" t="inlineStr">
        <is>
          <t>19.10.2026</t>
        </is>
      </c>
      <c r="G1918" s="4" t="inlineStr">
        <is>
          <t>08:02</t>
        </is>
      </c>
      <c r="H1918" s="4" t="inlineStr">
        <is>
          <t>19.10.2026</t>
        </is>
      </c>
      <c r="I1918" s="4" t="inlineStr">
        <is>
          <t>19:58</t>
        </is>
      </c>
      <c r="J1918" s="8" t="n">
        <v>10.5</v>
      </c>
      <c r="K1918" s="8" t="n">
        <v>7.5</v>
      </c>
      <c r="L1918" s="8" t="n">
        <v>3</v>
      </c>
      <c r="M1918" s="29" t="inlineStr">
        <is>
          <t>HALİL DİĞRENCİ</t>
        </is>
      </c>
    </row>
    <row r="1919">
      <c r="A1919" s="4" t="n">
        <v>1918</v>
      </c>
      <c r="B1919" s="4" t="inlineStr">
        <is>
          <t>01270</t>
        </is>
      </c>
      <c r="C1919" s="4" t="inlineStr">
        <is>
          <t>01270</t>
        </is>
      </c>
      <c r="D1919" s="29" t="inlineStr">
        <is>
          <t>HAYRİYE BEYİRKEN</t>
        </is>
      </c>
      <c r="E1919" s="4" t="inlineStr">
        <is>
          <t>Çarşamba</t>
        </is>
      </c>
      <c r="F1919" s="4" t="inlineStr">
        <is>
          <t>21.10.2026</t>
        </is>
      </c>
      <c r="G1919" s="4" t="inlineStr">
        <is>
          <t>07:55</t>
        </is>
      </c>
      <c r="H1919" s="4" t="inlineStr">
        <is>
          <t>21.10.2026</t>
        </is>
      </c>
      <c r="I1919" s="4" t="inlineStr">
        <is>
          <t>16:58</t>
        </is>
      </c>
      <c r="J1919" s="8" t="n">
        <v>7.5</v>
      </c>
      <c r="K1919" s="8" t="n">
        <v>7.5</v>
      </c>
      <c r="L1919" s="8" t="n">
        <v>0</v>
      </c>
      <c r="M1919" s="29" t="inlineStr">
        <is>
          <t>HALİL DİĞRENCİ</t>
        </is>
      </c>
    </row>
    <row r="1920">
      <c r="A1920" s="4" t="n">
        <v>1919</v>
      </c>
      <c r="B1920" s="4" t="inlineStr">
        <is>
          <t>00852</t>
        </is>
      </c>
      <c r="C1920" s="4" t="inlineStr">
        <is>
          <t>00852</t>
        </is>
      </c>
      <c r="D1920" s="29" t="inlineStr">
        <is>
          <t>HAYRULLAH TOPRAK</t>
        </is>
      </c>
      <c r="E1920" s="4" t="inlineStr">
        <is>
          <t>Perşembe</t>
        </is>
      </c>
      <c r="F1920" s="4" t="inlineStr">
        <is>
          <t>1.10.2026</t>
        </is>
      </c>
      <c r="G1920" s="4" t="inlineStr">
        <is>
          <t>08:14</t>
        </is>
      </c>
      <c r="H1920" s="4" t="inlineStr">
        <is>
          <t>1.10.2026</t>
        </is>
      </c>
      <c r="I1920" s="4" t="inlineStr">
        <is>
          <t>17:07</t>
        </is>
      </c>
      <c r="J1920" s="8" t="n">
        <v>7.5</v>
      </c>
      <c r="K1920" s="8" t="n">
        <v>7.5</v>
      </c>
      <c r="L1920" s="8" t="n">
        <v>0</v>
      </c>
      <c r="M1920" s="29" t="inlineStr">
        <is>
          <t>GÜVEN TURİZM</t>
        </is>
      </c>
    </row>
    <row r="1921">
      <c r="A1921" s="4" t="n">
        <v>1920</v>
      </c>
      <c r="B1921" s="4" t="inlineStr">
        <is>
          <t>00852</t>
        </is>
      </c>
      <c r="C1921" s="4" t="inlineStr">
        <is>
          <t>00852</t>
        </is>
      </c>
      <c r="D1921" s="29" t="inlineStr">
        <is>
          <t>HAYRULLAH TOPRAK</t>
        </is>
      </c>
      <c r="E1921" s="4" t="inlineStr">
        <is>
          <t>Cuma</t>
        </is>
      </c>
      <c r="F1921" s="4" t="inlineStr">
        <is>
          <t>2.10.2026</t>
        </is>
      </c>
      <c r="G1921" s="4" t="inlineStr">
        <is>
          <t>07:42</t>
        </is>
      </c>
      <c r="H1921" s="4" t="inlineStr">
        <is>
          <t>2.10.2026</t>
        </is>
      </c>
      <c r="I1921" s="4" t="inlineStr">
        <is>
          <t>17:10</t>
        </is>
      </c>
      <c r="J1921" s="8" t="n">
        <v>7.5</v>
      </c>
      <c r="K1921" s="8" t="n">
        <v>7.5</v>
      </c>
      <c r="L1921" s="8" t="n">
        <v>0</v>
      </c>
      <c r="M1921" s="29" t="inlineStr">
        <is>
          <t>GÜVEN TURİZM</t>
        </is>
      </c>
    </row>
    <row r="1922">
      <c r="A1922" s="4" t="n">
        <v>1921</v>
      </c>
      <c r="B1922" s="4" t="inlineStr">
        <is>
          <t>00852</t>
        </is>
      </c>
      <c r="C1922" s="4" t="inlineStr">
        <is>
          <t>00852</t>
        </is>
      </c>
      <c r="D1922" s="29" t="inlineStr">
        <is>
          <t>HAYRULLAH TOPRAK</t>
        </is>
      </c>
      <c r="E1922" s="4" t="inlineStr">
        <is>
          <t>Cumartesi</t>
        </is>
      </c>
      <c r="F1922" s="4" t="inlineStr">
        <is>
          <t>3.10.2026</t>
        </is>
      </c>
      <c r="G1922" s="4" t="inlineStr">
        <is>
          <t>07:56</t>
        </is>
      </c>
      <c r="H1922" s="4" t="inlineStr">
        <is>
          <t>3.10.2026</t>
        </is>
      </c>
      <c r="I1922" s="4" t="inlineStr">
        <is>
          <t>17:08</t>
        </is>
      </c>
      <c r="J1922" s="8" t="n">
        <v>7.5</v>
      </c>
      <c r="K1922" s="8" t="n">
        <v>7.5</v>
      </c>
      <c r="L1922" s="8" t="n">
        <v>0</v>
      </c>
      <c r="M1922" s="29" t="inlineStr">
        <is>
          <t>GÜVEN TURİZM</t>
        </is>
      </c>
    </row>
    <row r="1923">
      <c r="A1923" s="4" t="n">
        <v>1922</v>
      </c>
      <c r="B1923" s="4" t="inlineStr">
        <is>
          <t>00852</t>
        </is>
      </c>
      <c r="C1923" s="4" t="inlineStr">
        <is>
          <t>00852</t>
        </is>
      </c>
      <c r="D1923" s="29" t="inlineStr">
        <is>
          <t>HAYRULLAH TOPRAK</t>
        </is>
      </c>
      <c r="E1923" s="4" t="inlineStr">
        <is>
          <t>Pazartesi</t>
        </is>
      </c>
      <c r="F1923" s="4" t="inlineStr">
        <is>
          <t>5.10.2026</t>
        </is>
      </c>
      <c r="G1923" s="4" t="inlineStr">
        <is>
          <t>07:56</t>
        </is>
      </c>
      <c r="H1923" s="4" t="inlineStr">
        <is>
          <t>5.10.2026</t>
        </is>
      </c>
      <c r="I1923" s="4" t="inlineStr">
        <is>
          <t>17:06</t>
        </is>
      </c>
      <c r="J1923" s="8" t="n">
        <v>7.5</v>
      </c>
      <c r="K1923" s="8" t="n">
        <v>7.5</v>
      </c>
      <c r="L1923" s="8" t="n">
        <v>0</v>
      </c>
      <c r="M1923" s="29" t="inlineStr">
        <is>
          <t>GÜVEN TURİZM</t>
        </is>
      </c>
    </row>
    <row r="1924">
      <c r="A1924" s="4" t="n">
        <v>1923</v>
      </c>
      <c r="B1924" s="4" t="inlineStr">
        <is>
          <t>00852</t>
        </is>
      </c>
      <c r="C1924" s="4" t="inlineStr">
        <is>
          <t>00852</t>
        </is>
      </c>
      <c r="D1924" s="29" t="inlineStr">
        <is>
          <t>HAYRULLAH TOPRAK</t>
        </is>
      </c>
      <c r="E1924" s="4" t="inlineStr">
        <is>
          <t>Salı</t>
        </is>
      </c>
      <c r="F1924" s="4" t="inlineStr">
        <is>
          <t>6.10.2026</t>
        </is>
      </c>
      <c r="G1924" s="4" t="inlineStr">
        <is>
          <t>07:55</t>
        </is>
      </c>
      <c r="H1924" s="4" t="inlineStr">
        <is>
          <t>6.10.2026</t>
        </is>
      </c>
      <c r="I1924" s="4" t="inlineStr">
        <is>
          <t>17:06</t>
        </is>
      </c>
      <c r="J1924" s="8" t="n">
        <v>7.5</v>
      </c>
      <c r="K1924" s="8" t="n">
        <v>7.5</v>
      </c>
      <c r="L1924" s="8" t="n">
        <v>0</v>
      </c>
      <c r="M1924" s="29" t="inlineStr">
        <is>
          <t>GÜVEN TURİZM</t>
        </is>
      </c>
    </row>
    <row r="1925">
      <c r="A1925" s="4" t="n">
        <v>1924</v>
      </c>
      <c r="B1925" s="4" t="inlineStr">
        <is>
          <t>00852</t>
        </is>
      </c>
      <c r="C1925" s="4" t="inlineStr">
        <is>
          <t>00852</t>
        </is>
      </c>
      <c r="D1925" s="29" t="inlineStr">
        <is>
          <t>HAYRULLAH TOPRAK</t>
        </is>
      </c>
      <c r="E1925" s="4" t="inlineStr">
        <is>
          <t>Çarşamba</t>
        </is>
      </c>
      <c r="F1925" s="4" t="inlineStr">
        <is>
          <t>7.10.2026</t>
        </is>
      </c>
      <c r="G1925" s="4" t="inlineStr">
        <is>
          <t>07:59</t>
        </is>
      </c>
      <c r="H1925" s="4" t="inlineStr">
        <is>
          <t>7.10.2026</t>
        </is>
      </c>
      <c r="I1925" s="4" t="inlineStr">
        <is>
          <t>17:04</t>
        </is>
      </c>
      <c r="J1925" s="8" t="n">
        <v>7.5</v>
      </c>
      <c r="K1925" s="8" t="n">
        <v>7.5</v>
      </c>
      <c r="L1925" s="8" t="n">
        <v>0</v>
      </c>
      <c r="M1925" s="29" t="inlineStr">
        <is>
          <t>GÜVEN TURİZM</t>
        </is>
      </c>
    </row>
    <row r="1926">
      <c r="A1926" s="4" t="n">
        <v>1925</v>
      </c>
      <c r="B1926" s="4" t="inlineStr">
        <is>
          <t>00852</t>
        </is>
      </c>
      <c r="C1926" s="4" t="inlineStr">
        <is>
          <t>00852</t>
        </is>
      </c>
      <c r="D1926" s="29" t="inlineStr">
        <is>
          <t>HAYRULLAH TOPRAK</t>
        </is>
      </c>
      <c r="E1926" s="4" t="inlineStr">
        <is>
          <t>Perşembe</t>
        </is>
      </c>
      <c r="F1926" s="4" t="inlineStr">
        <is>
          <t>8.10.2026</t>
        </is>
      </c>
      <c r="G1926" s="4" t="inlineStr">
        <is>
          <t>08:05</t>
        </is>
      </c>
      <c r="H1926" s="4" t="inlineStr">
        <is>
          <t>8.10.2026</t>
        </is>
      </c>
      <c r="I1926" s="4" t="inlineStr">
        <is>
          <t>17:07</t>
        </is>
      </c>
      <c r="J1926" s="8" t="n">
        <v>7.5</v>
      </c>
      <c r="K1926" s="8" t="n">
        <v>7.5</v>
      </c>
      <c r="L1926" s="8" t="n">
        <v>0</v>
      </c>
      <c r="M1926" s="29" t="inlineStr">
        <is>
          <t>GÜVEN TURİZM</t>
        </is>
      </c>
    </row>
    <row r="1927">
      <c r="A1927" s="4" t="n">
        <v>1926</v>
      </c>
      <c r="B1927" s="4" t="inlineStr">
        <is>
          <t>00852</t>
        </is>
      </c>
      <c r="C1927" s="4" t="inlineStr">
        <is>
          <t>00852</t>
        </is>
      </c>
      <c r="D1927" s="29" t="inlineStr">
        <is>
          <t>HAYRULLAH TOPRAK</t>
        </is>
      </c>
      <c r="E1927" s="4" t="inlineStr">
        <is>
          <t>Cuma</t>
        </is>
      </c>
      <c r="F1927" s="4" t="inlineStr">
        <is>
          <t>9.10.2026</t>
        </is>
      </c>
      <c r="G1927" s="4" t="inlineStr">
        <is>
          <t>08:01</t>
        </is>
      </c>
      <c r="H1927" s="4" t="inlineStr">
        <is>
          <t>9.10.2026</t>
        </is>
      </c>
      <c r="I1927" s="4" t="inlineStr">
        <is>
          <t>17:07</t>
        </is>
      </c>
      <c r="J1927" s="8" t="n">
        <v>7.5</v>
      </c>
      <c r="K1927" s="8" t="n">
        <v>7.5</v>
      </c>
      <c r="L1927" s="8" t="n">
        <v>0</v>
      </c>
      <c r="M1927" s="29" t="inlineStr">
        <is>
          <t>GÜVEN TURİZM</t>
        </is>
      </c>
    </row>
    <row r="1928">
      <c r="A1928" s="4" t="n">
        <v>1927</v>
      </c>
      <c r="B1928" s="4" t="inlineStr">
        <is>
          <t>00852</t>
        </is>
      </c>
      <c r="C1928" s="4" t="inlineStr">
        <is>
          <t>00852</t>
        </is>
      </c>
      <c r="D1928" s="29" t="inlineStr">
        <is>
          <t>HAYRULLAH TOPRAK</t>
        </is>
      </c>
      <c r="E1928" s="4" t="inlineStr">
        <is>
          <t>Cumartesi</t>
        </is>
      </c>
      <c r="F1928" s="4" t="inlineStr">
        <is>
          <t>10.10.2026</t>
        </is>
      </c>
      <c r="G1928" s="4" t="inlineStr">
        <is>
          <t>07:57</t>
        </is>
      </c>
      <c r="H1928" s="4" t="inlineStr">
        <is>
          <t>10.10.2026</t>
        </is>
      </c>
      <c r="I1928" s="4" t="inlineStr">
        <is>
          <t>17:08</t>
        </is>
      </c>
      <c r="J1928" s="8" t="n">
        <v>7.5</v>
      </c>
      <c r="K1928" s="8" t="n">
        <v>7.5</v>
      </c>
      <c r="L1928" s="8" t="n">
        <v>0</v>
      </c>
      <c r="M1928" s="29" t="inlineStr">
        <is>
          <t>GÜVEN TURİZM</t>
        </is>
      </c>
    </row>
    <row r="1929">
      <c r="A1929" s="4" t="n">
        <v>1928</v>
      </c>
      <c r="B1929" s="4" t="inlineStr">
        <is>
          <t>00852</t>
        </is>
      </c>
      <c r="C1929" s="4" t="inlineStr">
        <is>
          <t>00852</t>
        </is>
      </c>
      <c r="D1929" s="29" t="inlineStr">
        <is>
          <t>HAYRULLAH TOPRAK</t>
        </is>
      </c>
      <c r="E1929" s="4" t="inlineStr">
        <is>
          <t>Pazartesi</t>
        </is>
      </c>
      <c r="F1929" s="4" t="inlineStr">
        <is>
          <t>12.10.2026</t>
        </is>
      </c>
      <c r="G1929" s="4" t="inlineStr">
        <is>
          <t>08:01</t>
        </is>
      </c>
      <c r="H1929" s="4" t="inlineStr">
        <is>
          <t>12.10.2026</t>
        </is>
      </c>
      <c r="I1929" s="4" t="inlineStr">
        <is>
          <t>17:05</t>
        </is>
      </c>
      <c r="J1929" s="8" t="n">
        <v>7.5</v>
      </c>
      <c r="K1929" s="8" t="n">
        <v>7.5</v>
      </c>
      <c r="L1929" s="8" t="n">
        <v>0</v>
      </c>
      <c r="M1929" s="29" t="inlineStr">
        <is>
          <t>GÜVEN TURİZM</t>
        </is>
      </c>
    </row>
    <row r="1930">
      <c r="A1930" s="4" t="n">
        <v>1929</v>
      </c>
      <c r="B1930" s="4" t="inlineStr">
        <is>
          <t>00852</t>
        </is>
      </c>
      <c r="C1930" s="4" t="inlineStr">
        <is>
          <t>00852</t>
        </is>
      </c>
      <c r="D1930" s="29" t="inlineStr">
        <is>
          <t>HAYRULLAH TOPRAK</t>
        </is>
      </c>
      <c r="E1930" s="4" t="inlineStr">
        <is>
          <t>Salı</t>
        </is>
      </c>
      <c r="F1930" s="4" t="inlineStr">
        <is>
          <t>13.10.2026</t>
        </is>
      </c>
      <c r="G1930" s="4" t="inlineStr">
        <is>
          <t>07:55</t>
        </is>
      </c>
      <c r="H1930" s="4" t="inlineStr">
        <is>
          <t>13.10.2026</t>
        </is>
      </c>
      <c r="I1930" s="4" t="inlineStr">
        <is>
          <t>17:06</t>
        </is>
      </c>
      <c r="J1930" s="8" t="n">
        <v>7.5</v>
      </c>
      <c r="K1930" s="8" t="n">
        <v>7.5</v>
      </c>
      <c r="L1930" s="8" t="n">
        <v>0</v>
      </c>
      <c r="M1930" s="29" t="inlineStr">
        <is>
          <t>GÜVEN TURİZM</t>
        </is>
      </c>
    </row>
    <row r="1931">
      <c r="A1931" s="4" t="n">
        <v>1930</v>
      </c>
      <c r="B1931" s="4" t="inlineStr">
        <is>
          <t>00852</t>
        </is>
      </c>
      <c r="C1931" s="4" t="inlineStr">
        <is>
          <t>00852</t>
        </is>
      </c>
      <c r="D1931" s="29" t="inlineStr">
        <is>
          <t>HAYRULLAH TOPRAK</t>
        </is>
      </c>
      <c r="E1931" s="4" t="inlineStr">
        <is>
          <t>Çarşamba</t>
        </is>
      </c>
      <c r="F1931" s="4" t="inlineStr">
        <is>
          <t>14.10.2026</t>
        </is>
      </c>
      <c r="G1931" s="4" t="inlineStr">
        <is>
          <t>08:08</t>
        </is>
      </c>
      <c r="H1931" s="4" t="inlineStr">
        <is>
          <t>14.10.2026</t>
        </is>
      </c>
      <c r="I1931" s="4" t="inlineStr">
        <is>
          <t>17:27</t>
        </is>
      </c>
      <c r="J1931" s="8" t="n">
        <v>8</v>
      </c>
      <c r="K1931" s="8" t="n">
        <v>7.5</v>
      </c>
      <c r="L1931" s="8" t="n">
        <v>0.5</v>
      </c>
      <c r="M1931" s="29" t="inlineStr">
        <is>
          <t>GÜVEN TURİZM</t>
        </is>
      </c>
    </row>
    <row r="1932">
      <c r="A1932" s="4" t="n">
        <v>1931</v>
      </c>
      <c r="B1932" s="4" t="inlineStr">
        <is>
          <t>00852</t>
        </is>
      </c>
      <c r="C1932" s="4" t="inlineStr">
        <is>
          <t>00852</t>
        </is>
      </c>
      <c r="D1932" s="29" t="inlineStr">
        <is>
          <t>HAYRULLAH TOPRAK</t>
        </is>
      </c>
      <c r="E1932" s="4" t="inlineStr">
        <is>
          <t>Perşembe</t>
        </is>
      </c>
      <c r="F1932" s="4" t="inlineStr">
        <is>
          <t>15.10.2026</t>
        </is>
      </c>
      <c r="G1932" s="4" t="inlineStr">
        <is>
          <t>07:55</t>
        </is>
      </c>
      <c r="H1932" s="4" t="inlineStr">
        <is>
          <t>15.10.2026</t>
        </is>
      </c>
      <c r="I1932" s="4" t="inlineStr">
        <is>
          <t>17:33</t>
        </is>
      </c>
      <c r="J1932" s="8" t="n">
        <v>8</v>
      </c>
      <c r="K1932" s="8" t="n">
        <v>7.5</v>
      </c>
      <c r="L1932" s="8" t="n">
        <v>0.5</v>
      </c>
      <c r="M1932" s="29" t="inlineStr">
        <is>
          <t>GÜVEN TURİZM</t>
        </is>
      </c>
    </row>
    <row r="1933">
      <c r="A1933" s="4" t="n">
        <v>1932</v>
      </c>
      <c r="B1933" s="4" t="inlineStr">
        <is>
          <t>00852</t>
        </is>
      </c>
      <c r="C1933" s="4" t="inlineStr">
        <is>
          <t>00852</t>
        </is>
      </c>
      <c r="D1933" s="29" t="inlineStr">
        <is>
          <t>HAYRULLAH TOPRAK</t>
        </is>
      </c>
      <c r="E1933" s="4" t="inlineStr">
        <is>
          <t>Cuma</t>
        </is>
      </c>
      <c r="F1933" s="4" t="inlineStr">
        <is>
          <t>16.10.2026</t>
        </is>
      </c>
      <c r="G1933" s="4" t="inlineStr">
        <is>
          <t>08:00</t>
        </is>
      </c>
      <c r="H1933" s="4" t="inlineStr">
        <is>
          <t>16.10.2026</t>
        </is>
      </c>
      <c r="I1933" s="4" t="inlineStr">
        <is>
          <t>17:20</t>
        </is>
      </c>
      <c r="J1933" s="8" t="n">
        <v>7.5</v>
      </c>
      <c r="K1933" s="8" t="n">
        <v>7.5</v>
      </c>
      <c r="L1933" s="8" t="n">
        <v>0</v>
      </c>
      <c r="M1933" s="29" t="inlineStr">
        <is>
          <t>GÜVEN TURİZM</t>
        </is>
      </c>
    </row>
    <row r="1934">
      <c r="A1934" s="4" t="n">
        <v>1933</v>
      </c>
      <c r="B1934" s="4" t="inlineStr">
        <is>
          <t>00852</t>
        </is>
      </c>
      <c r="C1934" s="4" t="inlineStr">
        <is>
          <t>00852</t>
        </is>
      </c>
      <c r="D1934" s="29" t="inlineStr">
        <is>
          <t>HAYRULLAH TOPRAK</t>
        </is>
      </c>
      <c r="E1934" s="4" t="inlineStr">
        <is>
          <t>Cumartesi</t>
        </is>
      </c>
      <c r="F1934" s="4" t="inlineStr">
        <is>
          <t>17.10.2026</t>
        </is>
      </c>
      <c r="G1934" s="4" t="inlineStr">
        <is>
          <t>07:51</t>
        </is>
      </c>
      <c r="H1934" s="4" t="inlineStr">
        <is>
          <t>17.10.2026</t>
        </is>
      </c>
      <c r="I1934" s="4" t="inlineStr">
        <is>
          <t>17:10</t>
        </is>
      </c>
      <c r="J1934" s="8" t="n">
        <v>7.5</v>
      </c>
      <c r="K1934" s="8" t="n">
        <v>7.5</v>
      </c>
      <c r="L1934" s="8" t="n">
        <v>0</v>
      </c>
      <c r="M1934" s="29" t="inlineStr">
        <is>
          <t>GÜVEN TURİZM</t>
        </is>
      </c>
    </row>
    <row r="1935">
      <c r="A1935" s="4" t="n">
        <v>1934</v>
      </c>
      <c r="B1935" s="4" t="inlineStr">
        <is>
          <t>00852</t>
        </is>
      </c>
      <c r="C1935" s="4" t="inlineStr">
        <is>
          <t>00852</t>
        </is>
      </c>
      <c r="D1935" s="29" t="inlineStr">
        <is>
          <t>HAYRULLAH TOPRAK</t>
        </is>
      </c>
      <c r="E1935" s="4" t="inlineStr">
        <is>
          <t>Pazar</t>
        </is>
      </c>
      <c r="F1935" s="4" t="inlineStr">
        <is>
          <t>18.10.2026</t>
        </is>
      </c>
      <c r="G1935" s="4" t="inlineStr">
        <is>
          <t>08:08</t>
        </is>
      </c>
      <c r="H1935" s="4" t="inlineStr">
        <is>
          <t>18.10.2026</t>
        </is>
      </c>
      <c r="I1935" s="4" t="inlineStr">
        <is>
          <t>17:27</t>
        </is>
      </c>
      <c r="J1935" s="8" t="n">
        <v>8</v>
      </c>
      <c r="K1935" s="8" t="n">
        <v>7.5</v>
      </c>
      <c r="L1935" s="8" t="n">
        <v>0.5</v>
      </c>
      <c r="M1935" s="29" t="inlineStr">
        <is>
          <t>GÜVEN TURİZM</t>
        </is>
      </c>
    </row>
    <row r="1936">
      <c r="A1936" s="4" t="n">
        <v>1935</v>
      </c>
      <c r="B1936" s="4" t="inlineStr">
        <is>
          <t>00852</t>
        </is>
      </c>
      <c r="C1936" s="4" t="inlineStr">
        <is>
          <t>00852</t>
        </is>
      </c>
      <c r="D1936" s="29" t="inlineStr">
        <is>
          <t>HAYRULLAH TOPRAK</t>
        </is>
      </c>
      <c r="E1936" s="4" t="inlineStr">
        <is>
          <t>Pazartesi</t>
        </is>
      </c>
      <c r="F1936" s="4" t="inlineStr">
        <is>
          <t>19.10.2026</t>
        </is>
      </c>
      <c r="G1936" s="4" t="inlineStr">
        <is>
          <t>07:49</t>
        </is>
      </c>
      <c r="H1936" s="4" t="inlineStr">
        <is>
          <t>19.10.2026</t>
        </is>
      </c>
      <c r="I1936" s="4" t="inlineStr">
        <is>
          <t>17:25</t>
        </is>
      </c>
      <c r="J1936" s="8" t="n">
        <v>8</v>
      </c>
      <c r="K1936" s="8" t="n">
        <v>7.5</v>
      </c>
      <c r="L1936" s="8" t="n">
        <v>0.5</v>
      </c>
      <c r="M1936" s="29" t="inlineStr">
        <is>
          <t>GÜVEN TURİZM</t>
        </is>
      </c>
    </row>
    <row r="1937">
      <c r="A1937" s="4" t="n">
        <v>1936</v>
      </c>
      <c r="B1937" s="4" t="inlineStr">
        <is>
          <t>00852</t>
        </is>
      </c>
      <c r="C1937" s="4" t="inlineStr">
        <is>
          <t>00852</t>
        </is>
      </c>
      <c r="D1937" s="29" t="inlineStr">
        <is>
          <t>HAYRULLAH TOPRAK</t>
        </is>
      </c>
      <c r="E1937" s="4" t="inlineStr">
        <is>
          <t>Salı</t>
        </is>
      </c>
      <c r="F1937" s="4" t="inlineStr">
        <is>
          <t>20.10.2026</t>
        </is>
      </c>
      <c r="G1937" s="4" t="inlineStr">
        <is>
          <t>07:48</t>
        </is>
      </c>
      <c r="H1937" s="4" t="inlineStr">
        <is>
          <t>20.10.2026</t>
        </is>
      </c>
      <c r="I1937" s="4" t="inlineStr">
        <is>
          <t>17:06</t>
        </is>
      </c>
      <c r="J1937" s="8" t="n">
        <v>7.5</v>
      </c>
      <c r="K1937" s="8" t="n">
        <v>7.5</v>
      </c>
      <c r="L1937" s="8" t="n">
        <v>0</v>
      </c>
      <c r="M1937" s="29" t="inlineStr">
        <is>
          <t>GÜVEN TURİZM</t>
        </is>
      </c>
    </row>
    <row r="1938">
      <c r="A1938" s="4" t="n">
        <v>1937</v>
      </c>
      <c r="B1938" s="4" t="inlineStr">
        <is>
          <t>00852</t>
        </is>
      </c>
      <c r="C1938" s="4" t="inlineStr">
        <is>
          <t>00852</t>
        </is>
      </c>
      <c r="D1938" s="29" t="inlineStr">
        <is>
          <t>HAYRULLAH TOPRAK</t>
        </is>
      </c>
      <c r="E1938" s="4" t="inlineStr">
        <is>
          <t>Çarşamba</t>
        </is>
      </c>
      <c r="F1938" s="4" t="inlineStr">
        <is>
          <t>21.10.2026</t>
        </is>
      </c>
      <c r="G1938" s="4" t="inlineStr">
        <is>
          <t>07:58</t>
        </is>
      </c>
      <c r="H1938" s="4" t="inlineStr">
        <is>
          <t>21.10.2026</t>
        </is>
      </c>
      <c r="I1938" s="4" t="inlineStr">
        <is>
          <t>17:07</t>
        </is>
      </c>
      <c r="J1938" s="8" t="n">
        <v>7.5</v>
      </c>
      <c r="K1938" s="8" t="n">
        <v>7.5</v>
      </c>
      <c r="L1938" s="8" t="n">
        <v>0</v>
      </c>
      <c r="M1938" s="29" t="inlineStr">
        <is>
          <t>GÜVEN TURİZM</t>
        </is>
      </c>
    </row>
    <row r="1939">
      <c r="A1939" s="4" t="n">
        <v>1938</v>
      </c>
      <c r="B1939" s="4" t="inlineStr">
        <is>
          <t>01484</t>
        </is>
      </c>
      <c r="C1939" s="4" t="inlineStr">
        <is>
          <t>01484</t>
        </is>
      </c>
      <c r="D1939" s="29" t="inlineStr">
        <is>
          <t>HİLAL KARAKOÇ</t>
        </is>
      </c>
      <c r="E1939" s="4" t="inlineStr">
        <is>
          <t>Cumartesi</t>
        </is>
      </c>
      <c r="F1939" s="4" t="inlineStr">
        <is>
          <t>3.10.2026</t>
        </is>
      </c>
      <c r="G1939" s="4" t="inlineStr">
        <is>
          <t>08:10</t>
        </is>
      </c>
      <c r="H1939" s="4" t="inlineStr">
        <is>
          <t>3.10.2026</t>
        </is>
      </c>
      <c r="I1939" s="4" t="inlineStr">
        <is>
          <t>17:37</t>
        </is>
      </c>
      <c r="J1939" s="8" t="n">
        <v>8</v>
      </c>
      <c r="K1939" s="8" t="n">
        <v>7.5</v>
      </c>
      <c r="L1939" s="8" t="n">
        <v>0.5</v>
      </c>
      <c r="M1939" s="29" t="inlineStr">
        <is>
          <t>GÜVEN TURİZM</t>
        </is>
      </c>
    </row>
    <row r="1940">
      <c r="A1940" s="4" t="n">
        <v>1939</v>
      </c>
      <c r="B1940" s="4" t="inlineStr">
        <is>
          <t>01484</t>
        </is>
      </c>
      <c r="C1940" s="4" t="inlineStr">
        <is>
          <t>01484</t>
        </is>
      </c>
      <c r="D1940" s="29" t="inlineStr">
        <is>
          <t>HİLAL KARAKOÇ</t>
        </is>
      </c>
      <c r="E1940" s="4" t="inlineStr">
        <is>
          <t>Pazartesi</t>
        </is>
      </c>
      <c r="F1940" s="4" t="inlineStr">
        <is>
          <t>5.10.2026</t>
        </is>
      </c>
      <c r="G1940" s="4" t="inlineStr">
        <is>
          <t>07:50</t>
        </is>
      </c>
      <c r="H1940" s="4" t="inlineStr">
        <is>
          <t>5.10.2026</t>
        </is>
      </c>
      <c r="I1940" s="4" t="inlineStr">
        <is>
          <t>17:06</t>
        </is>
      </c>
      <c r="J1940" s="8" t="n">
        <v>7.5</v>
      </c>
      <c r="K1940" s="8" t="n">
        <v>7.5</v>
      </c>
      <c r="L1940" s="8" t="n">
        <v>0</v>
      </c>
      <c r="M1940" s="29" t="inlineStr">
        <is>
          <t>GÜVEN TURİZM</t>
        </is>
      </c>
    </row>
    <row r="1941">
      <c r="A1941" s="4" t="n">
        <v>1940</v>
      </c>
      <c r="B1941" s="4" t="inlineStr">
        <is>
          <t>01484</t>
        </is>
      </c>
      <c r="C1941" s="4" t="inlineStr">
        <is>
          <t>01484</t>
        </is>
      </c>
      <c r="D1941" s="29" t="inlineStr">
        <is>
          <t>HİLAL KARAKOÇ</t>
        </is>
      </c>
      <c r="E1941" s="4" t="inlineStr">
        <is>
          <t>Salı</t>
        </is>
      </c>
      <c r="F1941" s="4" t="inlineStr">
        <is>
          <t>6.10.2026</t>
        </is>
      </c>
      <c r="G1941" s="4" t="inlineStr">
        <is>
          <t>08:00</t>
        </is>
      </c>
      <c r="H1941" s="4" t="inlineStr">
        <is>
          <t>6.10.2026</t>
        </is>
      </c>
      <c r="I1941" s="4" t="inlineStr">
        <is>
          <t>17:43</t>
        </is>
      </c>
      <c r="J1941" s="8" t="n">
        <v>8</v>
      </c>
      <c r="K1941" s="8" t="n">
        <v>7.5</v>
      </c>
      <c r="L1941" s="8" t="n">
        <v>0.5</v>
      </c>
      <c r="M1941" s="29" t="inlineStr">
        <is>
          <t>GÜVEN TURİZM</t>
        </is>
      </c>
    </row>
    <row r="1942">
      <c r="A1942" s="4" t="n">
        <v>1941</v>
      </c>
      <c r="B1942" s="4" t="inlineStr">
        <is>
          <t>01484</t>
        </is>
      </c>
      <c r="C1942" s="4" t="inlineStr">
        <is>
          <t>01484</t>
        </is>
      </c>
      <c r="D1942" s="29" t="inlineStr">
        <is>
          <t>HİLAL KARAKOÇ</t>
        </is>
      </c>
      <c r="E1942" s="4" t="inlineStr">
        <is>
          <t>Çarşamba</t>
        </is>
      </c>
      <c r="F1942" s="4" t="inlineStr">
        <is>
          <t>7.10.2026</t>
        </is>
      </c>
      <c r="G1942" s="4" t="inlineStr">
        <is>
          <t>07:54</t>
        </is>
      </c>
      <c r="H1942" s="4" t="inlineStr">
        <is>
          <t>7.10.2026</t>
        </is>
      </c>
      <c r="I1942" s="4" t="inlineStr">
        <is>
          <t>17:26</t>
        </is>
      </c>
      <c r="J1942" s="8" t="n">
        <v>8</v>
      </c>
      <c r="K1942" s="8" t="n">
        <v>7.5</v>
      </c>
      <c r="L1942" s="8" t="n">
        <v>0.5</v>
      </c>
      <c r="M1942" s="29" t="inlineStr">
        <is>
          <t>GÜVEN TURİZM</t>
        </is>
      </c>
    </row>
    <row r="1943">
      <c r="A1943" s="4" t="n">
        <v>1942</v>
      </c>
      <c r="B1943" s="4" t="inlineStr">
        <is>
          <t>01484</t>
        </is>
      </c>
      <c r="C1943" s="4" t="inlineStr">
        <is>
          <t>01484</t>
        </is>
      </c>
      <c r="D1943" s="29" t="inlineStr">
        <is>
          <t>HİLAL KARAKOÇ</t>
        </is>
      </c>
      <c r="E1943" s="4" t="inlineStr">
        <is>
          <t>Perşembe</t>
        </is>
      </c>
      <c r="F1943" s="4" t="inlineStr">
        <is>
          <t>8.10.2026</t>
        </is>
      </c>
      <c r="G1943" s="4" t="inlineStr">
        <is>
          <t>07:55</t>
        </is>
      </c>
      <c r="H1943" s="4" t="inlineStr">
        <is>
          <t>8.10.2026</t>
        </is>
      </c>
      <c r="I1943" s="4" t="inlineStr">
        <is>
          <t>17:36</t>
        </is>
      </c>
      <c r="J1943" s="8" t="n">
        <v>8</v>
      </c>
      <c r="K1943" s="8" t="n">
        <v>7.5</v>
      </c>
      <c r="L1943" s="8" t="n">
        <v>0.5</v>
      </c>
      <c r="M1943" s="29" t="inlineStr">
        <is>
          <t>GÜVEN TURİZM</t>
        </is>
      </c>
    </row>
    <row r="1944">
      <c r="A1944" s="4" t="n">
        <v>1943</v>
      </c>
      <c r="B1944" s="4" t="inlineStr">
        <is>
          <t>01484</t>
        </is>
      </c>
      <c r="C1944" s="4" t="inlineStr">
        <is>
          <t>01484</t>
        </is>
      </c>
      <c r="D1944" s="29" t="inlineStr">
        <is>
          <t>HİLAL KARAKOÇ</t>
        </is>
      </c>
      <c r="E1944" s="4" t="inlineStr">
        <is>
          <t>Cuma</t>
        </is>
      </c>
      <c r="F1944" s="4" t="inlineStr">
        <is>
          <t>9.10.2026</t>
        </is>
      </c>
      <c r="G1944" s="4" t="inlineStr">
        <is>
          <t>07:51</t>
        </is>
      </c>
      <c r="H1944" s="4" t="inlineStr">
        <is>
          <t>9.10.2026</t>
        </is>
      </c>
      <c r="I1944" s="4" t="inlineStr">
        <is>
          <t>17:44</t>
        </is>
      </c>
      <c r="J1944" s="8" t="n">
        <v>8</v>
      </c>
      <c r="K1944" s="8" t="n">
        <v>7.5</v>
      </c>
      <c r="L1944" s="8" t="n">
        <v>0.5</v>
      </c>
      <c r="M1944" s="29" t="inlineStr">
        <is>
          <t>GÜVEN TURİZM</t>
        </is>
      </c>
    </row>
    <row r="1945">
      <c r="A1945" s="4" t="n">
        <v>1944</v>
      </c>
      <c r="B1945" s="4" t="inlineStr">
        <is>
          <t>01484</t>
        </is>
      </c>
      <c r="C1945" s="4" t="inlineStr">
        <is>
          <t>01484</t>
        </is>
      </c>
      <c r="D1945" s="29" t="inlineStr">
        <is>
          <t>HİLAL KARAKOÇ</t>
        </is>
      </c>
      <c r="E1945" s="4" t="inlineStr">
        <is>
          <t>Cumartesi</t>
        </is>
      </c>
      <c r="F1945" s="4" t="inlineStr">
        <is>
          <t>10.10.2026</t>
        </is>
      </c>
      <c r="G1945" s="4" t="inlineStr">
        <is>
          <t>07:49</t>
        </is>
      </c>
      <c r="H1945" s="4" t="inlineStr">
        <is>
          <t>10.10.2026</t>
        </is>
      </c>
      <c r="I1945" s="4" t="inlineStr">
        <is>
          <t>18:12</t>
        </is>
      </c>
      <c r="J1945" s="8" t="n">
        <v>8.5</v>
      </c>
      <c r="K1945" s="8" t="n">
        <v>7.5</v>
      </c>
      <c r="L1945" s="8" t="n">
        <v>1</v>
      </c>
      <c r="M1945" s="29" t="inlineStr">
        <is>
          <t>GÜVEN TURİZM</t>
        </is>
      </c>
    </row>
    <row r="1946">
      <c r="A1946" s="4" t="n">
        <v>1945</v>
      </c>
      <c r="B1946" s="4" t="inlineStr">
        <is>
          <t>01484</t>
        </is>
      </c>
      <c r="C1946" s="4" t="inlineStr">
        <is>
          <t>01484</t>
        </is>
      </c>
      <c r="D1946" s="29" t="inlineStr">
        <is>
          <t>HİLAL KARAKOÇ</t>
        </is>
      </c>
      <c r="E1946" s="4" t="inlineStr">
        <is>
          <t>Salı</t>
        </is>
      </c>
      <c r="F1946" s="4" t="inlineStr">
        <is>
          <t>13.10.2026</t>
        </is>
      </c>
      <c r="G1946" s="4" t="inlineStr">
        <is>
          <t>07:51</t>
        </is>
      </c>
      <c r="H1946" s="4" t="inlineStr">
        <is>
          <t>13.10.2026</t>
        </is>
      </c>
      <c r="I1946" s="4" t="inlineStr">
        <is>
          <t>17:03</t>
        </is>
      </c>
      <c r="J1946" s="8" t="n">
        <v>7.5</v>
      </c>
      <c r="K1946" s="8" t="n">
        <v>7.5</v>
      </c>
      <c r="L1946" s="8" t="n">
        <v>0</v>
      </c>
      <c r="M1946" s="29" t="inlineStr">
        <is>
          <t>GÜVEN TURİZM</t>
        </is>
      </c>
    </row>
    <row r="1947">
      <c r="A1947" s="4" t="n">
        <v>1946</v>
      </c>
      <c r="B1947" s="4" t="inlineStr">
        <is>
          <t>01484</t>
        </is>
      </c>
      <c r="C1947" s="4" t="inlineStr">
        <is>
          <t>01484</t>
        </is>
      </c>
      <c r="D1947" s="29" t="inlineStr">
        <is>
          <t>HİLAL KARAKOÇ</t>
        </is>
      </c>
      <c r="E1947" s="4" t="inlineStr">
        <is>
          <t>Perşembe</t>
        </is>
      </c>
      <c r="F1947" s="4" t="inlineStr">
        <is>
          <t>15.10.2026</t>
        </is>
      </c>
      <c r="G1947" s="4" t="inlineStr">
        <is>
          <t>07:55</t>
        </is>
      </c>
      <c r="H1947" s="4" t="inlineStr">
        <is>
          <t>15.10.2026</t>
        </is>
      </c>
      <c r="I1947" s="4" t="inlineStr">
        <is>
          <t>17:04</t>
        </is>
      </c>
      <c r="J1947" s="8" t="n">
        <v>7.5</v>
      </c>
      <c r="K1947" s="8" t="n">
        <v>7.5</v>
      </c>
      <c r="L1947" s="8" t="n">
        <v>0</v>
      </c>
      <c r="M1947" s="29" t="inlineStr">
        <is>
          <t>GÜVEN TURİZM</t>
        </is>
      </c>
    </row>
    <row r="1948">
      <c r="A1948" s="4" t="n">
        <v>1947</v>
      </c>
      <c r="B1948" s="4" t="inlineStr">
        <is>
          <t>01484</t>
        </is>
      </c>
      <c r="C1948" s="4" t="inlineStr">
        <is>
          <t>01484</t>
        </is>
      </c>
      <c r="D1948" s="29" t="inlineStr">
        <is>
          <t>HİLAL KARAKOÇ</t>
        </is>
      </c>
      <c r="E1948" s="4" t="inlineStr">
        <is>
          <t>Cuma</t>
        </is>
      </c>
      <c r="F1948" s="4" t="inlineStr">
        <is>
          <t>16.10.2026</t>
        </is>
      </c>
      <c r="G1948" s="4" t="inlineStr">
        <is>
          <t>07:53</t>
        </is>
      </c>
      <c r="H1948" s="4" t="inlineStr">
        <is>
          <t>16.10.2026</t>
        </is>
      </c>
      <c r="I1948" s="4" t="inlineStr">
        <is>
          <t>17:17</t>
        </is>
      </c>
      <c r="J1948" s="8" t="n">
        <v>7.5</v>
      </c>
      <c r="K1948" s="8" t="n">
        <v>7.5</v>
      </c>
      <c r="L1948" s="8" t="n">
        <v>0</v>
      </c>
      <c r="M1948" s="29" t="inlineStr">
        <is>
          <t>GÜVEN TURİZM</t>
        </is>
      </c>
    </row>
    <row r="1949">
      <c r="A1949" s="4" t="n">
        <v>1948</v>
      </c>
      <c r="B1949" s="4" t="inlineStr">
        <is>
          <t>01484</t>
        </is>
      </c>
      <c r="C1949" s="4" t="inlineStr">
        <is>
          <t>01484</t>
        </is>
      </c>
      <c r="D1949" s="29" t="inlineStr">
        <is>
          <t>HİLAL KARAKOÇ</t>
        </is>
      </c>
      <c r="E1949" s="4" t="inlineStr">
        <is>
          <t>Cumartesi</t>
        </is>
      </c>
      <c r="F1949" s="4" t="inlineStr">
        <is>
          <t>17.10.2026</t>
        </is>
      </c>
      <c r="G1949" s="4" t="inlineStr">
        <is>
          <t>07:54</t>
        </is>
      </c>
      <c r="H1949" s="4" t="inlineStr">
        <is>
          <t>17.10.2026</t>
        </is>
      </c>
      <c r="I1949" s="4" t="inlineStr">
        <is>
          <t>17:53</t>
        </is>
      </c>
      <c r="J1949" s="8" t="n">
        <v>8.5</v>
      </c>
      <c r="K1949" s="8" t="n">
        <v>7.5</v>
      </c>
      <c r="L1949" s="8" t="n">
        <v>1</v>
      </c>
      <c r="M1949" s="29" t="inlineStr">
        <is>
          <t>GÜVEN TURİZM</t>
        </is>
      </c>
    </row>
    <row r="1950">
      <c r="A1950" s="4" t="n">
        <v>1949</v>
      </c>
      <c r="B1950" s="4" t="inlineStr">
        <is>
          <t>01484</t>
        </is>
      </c>
      <c r="C1950" s="4" t="inlineStr">
        <is>
          <t>01484</t>
        </is>
      </c>
      <c r="D1950" s="29" t="inlineStr">
        <is>
          <t>HİLAL KARAKOÇ</t>
        </is>
      </c>
      <c r="E1950" s="4" t="inlineStr">
        <is>
          <t>Pazartesi</t>
        </is>
      </c>
      <c r="F1950" s="4" t="inlineStr">
        <is>
          <t>19.10.2026</t>
        </is>
      </c>
      <c r="G1950" s="4" t="inlineStr">
        <is>
          <t>07:52</t>
        </is>
      </c>
      <c r="H1950" s="4" t="inlineStr">
        <is>
          <t>19.10.2026</t>
        </is>
      </c>
      <c r="I1950" s="4" t="inlineStr">
        <is>
          <t>17:48</t>
        </is>
      </c>
      <c r="J1950" s="8" t="n">
        <v>8.5</v>
      </c>
      <c r="K1950" s="8" t="n">
        <v>7.5</v>
      </c>
      <c r="L1950" s="8" t="n">
        <v>1</v>
      </c>
      <c r="M1950" s="29" t="inlineStr">
        <is>
          <t>GÜVEN TURİZM</t>
        </is>
      </c>
    </row>
    <row r="1951">
      <c r="A1951" s="4" t="n">
        <v>1950</v>
      </c>
      <c r="B1951" s="4" t="inlineStr">
        <is>
          <t>01484</t>
        </is>
      </c>
      <c r="C1951" s="4" t="inlineStr">
        <is>
          <t>01484</t>
        </is>
      </c>
      <c r="D1951" s="29" t="inlineStr">
        <is>
          <t>HİLAL KARAKOÇ</t>
        </is>
      </c>
      <c r="E1951" s="4" t="inlineStr">
        <is>
          <t>Salı</t>
        </is>
      </c>
      <c r="F1951" s="4" t="inlineStr">
        <is>
          <t>20.10.2026</t>
        </is>
      </c>
      <c r="G1951" s="4" t="inlineStr">
        <is>
          <t>07:52</t>
        </is>
      </c>
      <c r="H1951" s="4" t="inlineStr">
        <is>
          <t>20.10.2026</t>
        </is>
      </c>
      <c r="I1951" s="4" t="inlineStr">
        <is>
          <t>17:02</t>
        </is>
      </c>
      <c r="J1951" s="8" t="n">
        <v>7.5</v>
      </c>
      <c r="K1951" s="8" t="n">
        <v>7.5</v>
      </c>
      <c r="L1951" s="8" t="n">
        <v>0</v>
      </c>
      <c r="M1951" s="29" t="inlineStr">
        <is>
          <t>GÜVEN TURİZM</t>
        </is>
      </c>
    </row>
    <row r="1952">
      <c r="A1952" s="4" t="n">
        <v>1951</v>
      </c>
      <c r="B1952" s="4" t="inlineStr">
        <is>
          <t>01484</t>
        </is>
      </c>
      <c r="C1952" s="4" t="inlineStr">
        <is>
          <t>01484</t>
        </is>
      </c>
      <c r="D1952" s="29" t="inlineStr">
        <is>
          <t>HİLAL KARAKOÇ</t>
        </is>
      </c>
      <c r="E1952" s="4" t="inlineStr">
        <is>
          <t>Çarşamba</t>
        </is>
      </c>
      <c r="F1952" s="4" t="inlineStr">
        <is>
          <t>21.10.2026</t>
        </is>
      </c>
      <c r="G1952" s="4" t="inlineStr">
        <is>
          <t>07:48</t>
        </is>
      </c>
      <c r="H1952" s="4" t="inlineStr">
        <is>
          <t>21.10.2026</t>
        </is>
      </c>
      <c r="I1952" s="4" t="inlineStr">
        <is>
          <t>17:03</t>
        </is>
      </c>
      <c r="J1952" s="8" t="n">
        <v>7.5</v>
      </c>
      <c r="K1952" s="8" t="n">
        <v>7.5</v>
      </c>
      <c r="L1952" s="8" t="n">
        <v>0</v>
      </c>
      <c r="M1952" s="29" t="inlineStr">
        <is>
          <t>GÜVEN TURİZM</t>
        </is>
      </c>
    </row>
    <row r="1953">
      <c r="A1953" s="4" t="n">
        <v>1952</v>
      </c>
      <c r="B1953" s="4" t="inlineStr">
        <is>
          <t>00091</t>
        </is>
      </c>
      <c r="C1953" s="4" t="inlineStr">
        <is>
          <t>00091</t>
        </is>
      </c>
      <c r="D1953" s="29" t="inlineStr">
        <is>
          <t>HÜLYA ÜÜNAL</t>
        </is>
      </c>
      <c r="E1953" s="4" t="inlineStr">
        <is>
          <t>Perşembe</t>
        </is>
      </c>
      <c r="F1953" s="4" t="inlineStr">
        <is>
          <t>1.10.2026</t>
        </is>
      </c>
      <c r="G1953" s="4" t="inlineStr">
        <is>
          <t>07:54</t>
        </is>
      </c>
      <c r="H1953" s="4" t="inlineStr">
        <is>
          <t>1.10.2026</t>
        </is>
      </c>
      <c r="I1953" s="4" t="inlineStr">
        <is>
          <t>17:10</t>
        </is>
      </c>
      <c r="J1953" s="8" t="n">
        <v>7.5</v>
      </c>
      <c r="K1953" s="8" t="n">
        <v>7.5</v>
      </c>
      <c r="L1953" s="8" t="n">
        <v>0</v>
      </c>
      <c r="M1953" s="29" t="inlineStr">
        <is>
          <t>BİGADİÇ</t>
        </is>
      </c>
    </row>
    <row r="1954">
      <c r="A1954" s="4" t="n">
        <v>1953</v>
      </c>
      <c r="B1954" s="4" t="inlineStr">
        <is>
          <t>00091</t>
        </is>
      </c>
      <c r="C1954" s="4" t="inlineStr">
        <is>
          <t>00091</t>
        </is>
      </c>
      <c r="D1954" s="29" t="inlineStr">
        <is>
          <t>HÜLYA ÜÜNAL</t>
        </is>
      </c>
      <c r="E1954" s="4" t="inlineStr">
        <is>
          <t>Cuma</t>
        </is>
      </c>
      <c r="F1954" s="4" t="inlineStr">
        <is>
          <t>2.10.2026</t>
        </is>
      </c>
      <c r="G1954" s="4" t="inlineStr">
        <is>
          <t>07:54</t>
        </is>
      </c>
      <c r="H1954" s="4" t="inlineStr">
        <is>
          <t>2.10.2026</t>
        </is>
      </c>
      <c r="I1954" s="4" t="inlineStr">
        <is>
          <t>17:13</t>
        </is>
      </c>
      <c r="J1954" s="8" t="n">
        <v>7.5</v>
      </c>
      <c r="K1954" s="8" t="n">
        <v>7.5</v>
      </c>
      <c r="L1954" s="8" t="n">
        <v>0</v>
      </c>
      <c r="M1954" s="29" t="inlineStr">
        <is>
          <t>BİGADİÇ</t>
        </is>
      </c>
    </row>
    <row r="1955">
      <c r="A1955" s="4" t="n">
        <v>1954</v>
      </c>
      <c r="B1955" s="4" t="inlineStr">
        <is>
          <t>00091</t>
        </is>
      </c>
      <c r="C1955" s="4" t="inlineStr">
        <is>
          <t>00091</t>
        </is>
      </c>
      <c r="D1955" s="29" t="inlineStr">
        <is>
          <t>HÜLYA ÜÜNAL</t>
        </is>
      </c>
      <c r="E1955" s="4" t="inlineStr">
        <is>
          <t>Pazartesi</t>
        </is>
      </c>
      <c r="F1955" s="4" t="inlineStr">
        <is>
          <t>5.10.2026</t>
        </is>
      </c>
      <c r="G1955" s="4" t="inlineStr">
        <is>
          <t>07:54</t>
        </is>
      </c>
      <c r="H1955" s="4" t="inlineStr">
        <is>
          <t>5.10.2026</t>
        </is>
      </c>
      <c r="I1955" s="4" t="inlineStr">
        <is>
          <t>17:11</t>
        </is>
      </c>
      <c r="J1955" s="8" t="n">
        <v>7.5</v>
      </c>
      <c r="K1955" s="8" t="n">
        <v>7.5</v>
      </c>
      <c r="L1955" s="8" t="n">
        <v>0</v>
      </c>
      <c r="M1955" s="29" t="inlineStr">
        <is>
          <t>BİGADİÇ</t>
        </is>
      </c>
    </row>
    <row r="1956">
      <c r="A1956" s="4" t="n">
        <v>1955</v>
      </c>
      <c r="B1956" s="4" t="inlineStr">
        <is>
          <t>00091</t>
        </is>
      </c>
      <c r="C1956" s="4" t="inlineStr">
        <is>
          <t>00091</t>
        </is>
      </c>
      <c r="D1956" s="29" t="inlineStr">
        <is>
          <t>HÜLYA ÜÜNAL</t>
        </is>
      </c>
      <c r="E1956" s="4" t="inlineStr">
        <is>
          <t>Salı</t>
        </is>
      </c>
      <c r="F1956" s="4" t="inlineStr">
        <is>
          <t>6.10.2026</t>
        </is>
      </c>
      <c r="G1956" s="4" t="inlineStr">
        <is>
          <t>07:53</t>
        </is>
      </c>
      <c r="H1956" s="4" t="inlineStr">
        <is>
          <t>6.10.2026</t>
        </is>
      </c>
      <c r="I1956" s="4" t="inlineStr">
        <is>
          <t>17:09</t>
        </is>
      </c>
      <c r="J1956" s="8" t="n">
        <v>7.5</v>
      </c>
      <c r="K1956" s="8" t="n">
        <v>7.5</v>
      </c>
      <c r="L1956" s="8" t="n">
        <v>0</v>
      </c>
      <c r="M1956" s="29" t="inlineStr">
        <is>
          <t>BİGADİÇ</t>
        </is>
      </c>
    </row>
    <row r="1957">
      <c r="A1957" s="4" t="n">
        <v>1956</v>
      </c>
      <c r="B1957" s="4" t="inlineStr">
        <is>
          <t>00091</t>
        </is>
      </c>
      <c r="C1957" s="4" t="inlineStr">
        <is>
          <t>00091</t>
        </is>
      </c>
      <c r="D1957" s="29" t="inlineStr">
        <is>
          <t>HÜLYA ÜÜNAL</t>
        </is>
      </c>
      <c r="E1957" s="4" t="inlineStr">
        <is>
          <t>Çarşamba</t>
        </is>
      </c>
      <c r="F1957" s="4" t="inlineStr">
        <is>
          <t>7.10.2026</t>
        </is>
      </c>
      <c r="G1957" s="4" t="inlineStr">
        <is>
          <t>07:57</t>
        </is>
      </c>
      <c r="H1957" s="4" t="inlineStr">
        <is>
          <t>7.10.2026</t>
        </is>
      </c>
      <c r="I1957" s="4" t="inlineStr">
        <is>
          <t>17:11</t>
        </is>
      </c>
      <c r="J1957" s="8" t="n">
        <v>7.5</v>
      </c>
      <c r="K1957" s="8" t="n">
        <v>7.5</v>
      </c>
      <c r="L1957" s="8" t="n">
        <v>0</v>
      </c>
      <c r="M1957" s="29" t="inlineStr">
        <is>
          <t>BİGADİÇ</t>
        </is>
      </c>
    </row>
    <row r="1958">
      <c r="A1958" s="4" t="n">
        <v>1957</v>
      </c>
      <c r="B1958" s="4" t="inlineStr">
        <is>
          <t>00091</t>
        </is>
      </c>
      <c r="C1958" s="4" t="inlineStr">
        <is>
          <t>00091</t>
        </is>
      </c>
      <c r="D1958" s="29" t="inlineStr">
        <is>
          <t>HÜLYA ÜÜNAL</t>
        </is>
      </c>
      <c r="E1958" s="4" t="inlineStr">
        <is>
          <t>Perşembe</t>
        </is>
      </c>
      <c r="F1958" s="4" t="inlineStr">
        <is>
          <t>8.10.2026</t>
        </is>
      </c>
      <c r="G1958" s="4" t="inlineStr">
        <is>
          <t>07:59</t>
        </is>
      </c>
      <c r="H1958" s="4" t="inlineStr">
        <is>
          <t>8.10.2026</t>
        </is>
      </c>
      <c r="I1958" s="4" t="inlineStr">
        <is>
          <t>17:13</t>
        </is>
      </c>
      <c r="J1958" s="8" t="n">
        <v>7.5</v>
      </c>
      <c r="K1958" s="8" t="n">
        <v>7.5</v>
      </c>
      <c r="L1958" s="8" t="n">
        <v>0</v>
      </c>
      <c r="M1958" s="29" t="inlineStr">
        <is>
          <t>BİGADİÇ</t>
        </is>
      </c>
    </row>
    <row r="1959">
      <c r="A1959" s="4" t="n">
        <v>1958</v>
      </c>
      <c r="B1959" s="4" t="inlineStr">
        <is>
          <t>00091</t>
        </is>
      </c>
      <c r="C1959" s="4" t="inlineStr">
        <is>
          <t>00091</t>
        </is>
      </c>
      <c r="D1959" s="29" t="inlineStr">
        <is>
          <t>HÜLYA ÜÜNAL</t>
        </is>
      </c>
      <c r="E1959" s="4" t="inlineStr">
        <is>
          <t>Cuma</t>
        </is>
      </c>
      <c r="F1959" s="4" t="inlineStr">
        <is>
          <t>9.10.2026</t>
        </is>
      </c>
      <c r="G1959" s="4" t="inlineStr">
        <is>
          <t>07:53</t>
        </is>
      </c>
      <c r="H1959" s="4" t="inlineStr">
        <is>
          <t>9.10.2026</t>
        </is>
      </c>
      <c r="I1959" s="4" t="inlineStr">
        <is>
          <t>17:10</t>
        </is>
      </c>
      <c r="J1959" s="8" t="n">
        <v>7.5</v>
      </c>
      <c r="K1959" s="8" t="n">
        <v>7.5</v>
      </c>
      <c r="L1959" s="8" t="n">
        <v>0</v>
      </c>
      <c r="M1959" s="29" t="inlineStr">
        <is>
          <t>BİGADİÇ</t>
        </is>
      </c>
    </row>
    <row r="1960">
      <c r="A1960" s="4" t="n">
        <v>1959</v>
      </c>
      <c r="B1960" s="4" t="inlineStr">
        <is>
          <t>00091</t>
        </is>
      </c>
      <c r="C1960" s="4" t="inlineStr">
        <is>
          <t>00091</t>
        </is>
      </c>
      <c r="D1960" s="29" t="inlineStr">
        <is>
          <t>HÜLYA ÜÜNAL</t>
        </is>
      </c>
      <c r="E1960" s="4" t="inlineStr">
        <is>
          <t>Cumartesi</t>
        </is>
      </c>
      <c r="F1960" s="4" t="inlineStr">
        <is>
          <t>10.10.2026</t>
        </is>
      </c>
      <c r="G1960" s="4" t="inlineStr">
        <is>
          <t>07:53</t>
        </is>
      </c>
      <c r="H1960" s="4" t="inlineStr">
        <is>
          <t>10.10.2026</t>
        </is>
      </c>
      <c r="I1960" s="4" t="inlineStr">
        <is>
          <t>17:10</t>
        </is>
      </c>
      <c r="J1960" s="8" t="n">
        <v>7.5</v>
      </c>
      <c r="K1960" s="8" t="n">
        <v>7.5</v>
      </c>
      <c r="L1960" s="8" t="n">
        <v>0</v>
      </c>
      <c r="M1960" s="29" t="inlineStr">
        <is>
          <t>BİGADİÇ</t>
        </is>
      </c>
    </row>
    <row r="1961">
      <c r="A1961" s="4" t="n">
        <v>1960</v>
      </c>
      <c r="B1961" s="4" t="inlineStr">
        <is>
          <t>00091</t>
        </is>
      </c>
      <c r="C1961" s="4" t="inlineStr">
        <is>
          <t>00091</t>
        </is>
      </c>
      <c r="D1961" s="29" t="inlineStr">
        <is>
          <t>HÜLYA ÜÜNAL</t>
        </is>
      </c>
      <c r="E1961" s="4" t="inlineStr">
        <is>
          <t>Pazartesi</t>
        </is>
      </c>
      <c r="F1961" s="4" t="inlineStr">
        <is>
          <t>12.10.2026</t>
        </is>
      </c>
      <c r="G1961" s="4" t="inlineStr">
        <is>
          <t>07:57</t>
        </is>
      </c>
      <c r="H1961" s="4" t="inlineStr">
        <is>
          <t>12.10.2026</t>
        </is>
      </c>
      <c r="I1961" s="4" t="inlineStr">
        <is>
          <t>18:09</t>
        </is>
      </c>
      <c r="J1961" s="8" t="n">
        <v>8.5</v>
      </c>
      <c r="K1961" s="8" t="n">
        <v>7.5</v>
      </c>
      <c r="L1961" s="8" t="n">
        <v>1</v>
      </c>
      <c r="M1961" s="29" t="inlineStr">
        <is>
          <t>BİGADİÇ</t>
        </is>
      </c>
    </row>
    <row r="1962">
      <c r="A1962" s="4" t="n">
        <v>1961</v>
      </c>
      <c r="B1962" s="4" t="inlineStr">
        <is>
          <t>00091</t>
        </is>
      </c>
      <c r="C1962" s="4" t="inlineStr">
        <is>
          <t>00091</t>
        </is>
      </c>
      <c r="D1962" s="29" t="inlineStr">
        <is>
          <t>HÜLYA ÜÜNAL</t>
        </is>
      </c>
      <c r="E1962" s="4" t="inlineStr">
        <is>
          <t>Salı</t>
        </is>
      </c>
      <c r="F1962" s="4" t="inlineStr">
        <is>
          <t>13.10.2026</t>
        </is>
      </c>
      <c r="G1962" s="4" t="inlineStr">
        <is>
          <t>07:55</t>
        </is>
      </c>
      <c r="H1962" s="4" t="inlineStr">
        <is>
          <t>13.10.2026</t>
        </is>
      </c>
      <c r="I1962" s="4" t="inlineStr">
        <is>
          <t>17:08</t>
        </is>
      </c>
      <c r="J1962" s="8" t="n">
        <v>7.5</v>
      </c>
      <c r="K1962" s="8" t="n">
        <v>7.5</v>
      </c>
      <c r="L1962" s="8" t="n">
        <v>0</v>
      </c>
      <c r="M1962" s="29" t="inlineStr">
        <is>
          <t>BİGADİÇ</t>
        </is>
      </c>
    </row>
    <row r="1963">
      <c r="A1963" s="4" t="n">
        <v>1962</v>
      </c>
      <c r="B1963" s="4" t="inlineStr">
        <is>
          <t>00091</t>
        </is>
      </c>
      <c r="C1963" s="4" t="inlineStr">
        <is>
          <t>00091</t>
        </is>
      </c>
      <c r="D1963" s="29" t="inlineStr">
        <is>
          <t>HÜLYA ÜÜNAL</t>
        </is>
      </c>
      <c r="E1963" s="4" t="inlineStr">
        <is>
          <t>Çarşamba</t>
        </is>
      </c>
      <c r="F1963" s="4" t="inlineStr">
        <is>
          <t>14.10.2026</t>
        </is>
      </c>
      <c r="G1963" s="4" t="inlineStr">
        <is>
          <t>07:58</t>
        </is>
      </c>
      <c r="H1963" s="4" t="inlineStr">
        <is>
          <t>14.10.2026</t>
        </is>
      </c>
      <c r="I1963" s="4" t="inlineStr">
        <is>
          <t>17:12</t>
        </is>
      </c>
      <c r="J1963" s="8" t="n">
        <v>7.5</v>
      </c>
      <c r="K1963" s="8" t="n">
        <v>7.5</v>
      </c>
      <c r="L1963" s="8" t="n">
        <v>0</v>
      </c>
      <c r="M1963" s="29" t="inlineStr">
        <is>
          <t>BİGADİÇ</t>
        </is>
      </c>
    </row>
    <row r="1964">
      <c r="A1964" s="4" t="n">
        <v>1963</v>
      </c>
      <c r="B1964" s="4" t="inlineStr">
        <is>
          <t>00091</t>
        </is>
      </c>
      <c r="C1964" s="4" t="inlineStr">
        <is>
          <t>00091</t>
        </is>
      </c>
      <c r="D1964" s="29" t="inlineStr">
        <is>
          <t>HÜLYA ÜÜNAL</t>
        </is>
      </c>
      <c r="E1964" s="4" t="inlineStr">
        <is>
          <t>Perşembe</t>
        </is>
      </c>
      <c r="F1964" s="4" t="inlineStr">
        <is>
          <t>15.10.2026</t>
        </is>
      </c>
      <c r="G1964" s="4" t="inlineStr">
        <is>
          <t>08:01</t>
        </is>
      </c>
      <c r="H1964" s="4" t="inlineStr">
        <is>
          <t>15.10.2026</t>
        </is>
      </c>
      <c r="I1964" s="4" t="inlineStr">
        <is>
          <t>17:25</t>
        </is>
      </c>
      <c r="J1964" s="8" t="n">
        <v>8</v>
      </c>
      <c r="K1964" s="8" t="n">
        <v>7.5</v>
      </c>
      <c r="L1964" s="8" t="n">
        <v>0.5</v>
      </c>
      <c r="M1964" s="29" t="inlineStr">
        <is>
          <t>BİGADİÇ</t>
        </is>
      </c>
    </row>
    <row r="1965">
      <c r="A1965" s="4" t="n">
        <v>1964</v>
      </c>
      <c r="B1965" s="4" t="inlineStr">
        <is>
          <t>00091</t>
        </is>
      </c>
      <c r="C1965" s="4" t="inlineStr">
        <is>
          <t>00091</t>
        </is>
      </c>
      <c r="D1965" s="29" t="inlineStr">
        <is>
          <t>HÜLYA ÜÜNAL</t>
        </is>
      </c>
      <c r="E1965" s="4" t="inlineStr">
        <is>
          <t>Cuma</t>
        </is>
      </c>
      <c r="F1965" s="4" t="inlineStr">
        <is>
          <t>16.10.2026</t>
        </is>
      </c>
      <c r="G1965" s="4" t="inlineStr">
        <is>
          <t>07:53</t>
        </is>
      </c>
      <c r="H1965" s="4" t="inlineStr">
        <is>
          <t>16.10.2026</t>
        </is>
      </c>
      <c r="I1965" s="4" t="inlineStr">
        <is>
          <t>17:11</t>
        </is>
      </c>
      <c r="J1965" s="8" t="n">
        <v>7.5</v>
      </c>
      <c r="K1965" s="8" t="n">
        <v>7.5</v>
      </c>
      <c r="L1965" s="8" t="n">
        <v>0</v>
      </c>
      <c r="M1965" s="29" t="inlineStr">
        <is>
          <t>BİGADİÇ</t>
        </is>
      </c>
    </row>
    <row r="1966">
      <c r="A1966" s="4" t="n">
        <v>1965</v>
      </c>
      <c r="B1966" s="4" t="inlineStr">
        <is>
          <t>00091</t>
        </is>
      </c>
      <c r="C1966" s="4" t="inlineStr">
        <is>
          <t>00091</t>
        </is>
      </c>
      <c r="D1966" s="29" t="inlineStr">
        <is>
          <t>HÜLYA ÜÜNAL</t>
        </is>
      </c>
      <c r="E1966" s="4" t="inlineStr">
        <is>
          <t>Cumartesi</t>
        </is>
      </c>
      <c r="F1966" s="4" t="inlineStr">
        <is>
          <t>17.10.2026</t>
        </is>
      </c>
      <c r="G1966" s="4" t="inlineStr">
        <is>
          <t>07:51</t>
        </is>
      </c>
      <c r="H1966" s="4" t="inlineStr">
        <is>
          <t>17.10.2026</t>
        </is>
      </c>
      <c r="I1966" s="4" t="inlineStr">
        <is>
          <t>17:16</t>
        </is>
      </c>
      <c r="J1966" s="8" t="n">
        <v>7.5</v>
      </c>
      <c r="K1966" s="8" t="n">
        <v>7.5</v>
      </c>
      <c r="L1966" s="8" t="n">
        <v>0</v>
      </c>
      <c r="M1966" s="29" t="inlineStr">
        <is>
          <t>BİGADİÇ</t>
        </is>
      </c>
    </row>
    <row r="1967">
      <c r="A1967" s="4" t="n">
        <v>1966</v>
      </c>
      <c r="B1967" s="4" t="inlineStr">
        <is>
          <t>00091</t>
        </is>
      </c>
      <c r="C1967" s="4" t="inlineStr">
        <is>
          <t>00091</t>
        </is>
      </c>
      <c r="D1967" s="29" t="inlineStr">
        <is>
          <t>HÜLYA ÜÜNAL</t>
        </is>
      </c>
      <c r="E1967" s="4" t="inlineStr">
        <is>
          <t>Pazar</t>
        </is>
      </c>
      <c r="F1967" s="4" t="inlineStr">
        <is>
          <t>18.10.2026</t>
        </is>
      </c>
      <c r="G1967" s="4" t="inlineStr">
        <is>
          <t>08:09</t>
        </is>
      </c>
      <c r="H1967" s="4" t="inlineStr">
        <is>
          <t>18.10.2026</t>
        </is>
      </c>
      <c r="I1967" s="4" t="inlineStr">
        <is>
          <t>17:11</t>
        </is>
      </c>
      <c r="J1967" s="8" t="n">
        <v>7.5</v>
      </c>
      <c r="K1967" s="8" t="n">
        <v>7.5</v>
      </c>
      <c r="L1967" s="8" t="n">
        <v>0</v>
      </c>
      <c r="M1967" s="29" t="inlineStr">
        <is>
          <t>BİGADİÇ</t>
        </is>
      </c>
    </row>
    <row r="1968">
      <c r="A1968" s="4" t="n">
        <v>1967</v>
      </c>
      <c r="B1968" s="4" t="inlineStr">
        <is>
          <t>00091</t>
        </is>
      </c>
      <c r="C1968" s="4" t="inlineStr">
        <is>
          <t>00091</t>
        </is>
      </c>
      <c r="D1968" s="29" t="inlineStr">
        <is>
          <t>HÜLYA ÜÜNAL</t>
        </is>
      </c>
      <c r="E1968" s="4" t="inlineStr">
        <is>
          <t>Pazartesi</t>
        </is>
      </c>
      <c r="F1968" s="4" t="inlineStr">
        <is>
          <t>19.10.2026</t>
        </is>
      </c>
      <c r="G1968" s="4" t="inlineStr">
        <is>
          <t>07:54</t>
        </is>
      </c>
      <c r="H1968" s="4" t="inlineStr">
        <is>
          <t>19.10.2026</t>
        </is>
      </c>
      <c r="I1968" s="4" t="inlineStr">
        <is>
          <t>17:13</t>
        </is>
      </c>
      <c r="J1968" s="8" t="n">
        <v>7.5</v>
      </c>
      <c r="K1968" s="8" t="n">
        <v>7.5</v>
      </c>
      <c r="L1968" s="8" t="n">
        <v>0</v>
      </c>
      <c r="M1968" s="29" t="inlineStr">
        <is>
          <t>BİGADİÇ</t>
        </is>
      </c>
    </row>
    <row r="1969">
      <c r="A1969" s="4" t="n">
        <v>1968</v>
      </c>
      <c r="B1969" s="4" t="inlineStr">
        <is>
          <t>00091</t>
        </is>
      </c>
      <c r="C1969" s="4" t="inlineStr">
        <is>
          <t>00091</t>
        </is>
      </c>
      <c r="D1969" s="29" t="inlineStr">
        <is>
          <t>HÜLYA ÜÜNAL</t>
        </is>
      </c>
      <c r="E1969" s="4" t="inlineStr">
        <is>
          <t>Salı</t>
        </is>
      </c>
      <c r="F1969" s="4" t="inlineStr">
        <is>
          <t>20.10.2026</t>
        </is>
      </c>
      <c r="G1969" s="4" t="inlineStr">
        <is>
          <t>08:18</t>
        </is>
      </c>
      <c r="H1969" s="4" t="inlineStr">
        <is>
          <t>20.10.2026</t>
        </is>
      </c>
      <c r="I1969" s="4" t="inlineStr">
        <is>
          <t>17:18</t>
        </is>
      </c>
      <c r="J1969" s="8" t="n">
        <v>7.5</v>
      </c>
      <c r="K1969" s="8" t="n">
        <v>7.5</v>
      </c>
      <c r="L1969" s="8" t="n">
        <v>0</v>
      </c>
      <c r="M1969" s="29" t="inlineStr">
        <is>
          <t>BİGADİÇ</t>
        </is>
      </c>
    </row>
    <row r="1970">
      <c r="A1970" s="4" t="n">
        <v>1969</v>
      </c>
      <c r="B1970" s="4" t="inlineStr">
        <is>
          <t>00091</t>
        </is>
      </c>
      <c r="C1970" s="4" t="inlineStr">
        <is>
          <t>00091</t>
        </is>
      </c>
      <c r="D1970" s="29" t="inlineStr">
        <is>
          <t>HÜLYA ÜÜNAL</t>
        </is>
      </c>
      <c r="E1970" s="4" t="inlineStr">
        <is>
          <t>Çarşamba</t>
        </is>
      </c>
      <c r="F1970" s="4" t="inlineStr">
        <is>
          <t>21.10.2026</t>
        </is>
      </c>
      <c r="G1970" s="4" t="inlineStr">
        <is>
          <t>08:00</t>
        </is>
      </c>
      <c r="H1970" s="4" t="inlineStr">
        <is>
          <t>21.10.2026</t>
        </is>
      </c>
      <c r="I1970" s="4" t="inlineStr">
        <is>
          <t>17:09</t>
        </is>
      </c>
      <c r="J1970" s="8" t="n">
        <v>7.5</v>
      </c>
      <c r="K1970" s="8" t="n">
        <v>7.5</v>
      </c>
      <c r="L1970" s="8" t="n">
        <v>0</v>
      </c>
      <c r="M1970" s="29" t="inlineStr">
        <is>
          <t>BİGADİÇ</t>
        </is>
      </c>
    </row>
    <row r="1971">
      <c r="A1971" s="4" t="n">
        <v>1970</v>
      </c>
      <c r="B1971" s="4" t="inlineStr">
        <is>
          <t>00480</t>
        </is>
      </c>
      <c r="C1971" s="4" t="inlineStr">
        <is>
          <t>00480</t>
        </is>
      </c>
      <c r="D1971" s="29" t="inlineStr">
        <is>
          <t>HÜLYA TOPAL</t>
        </is>
      </c>
      <c r="E1971" s="4" t="inlineStr">
        <is>
          <t>Perşembe</t>
        </is>
      </c>
      <c r="F1971" s="4" t="inlineStr">
        <is>
          <t>1.10.2026</t>
        </is>
      </c>
      <c r="G1971" s="4" t="inlineStr">
        <is>
          <t>07:54</t>
        </is>
      </c>
      <c r="H1971" s="4" t="inlineStr">
        <is>
          <t>1.10.2026</t>
        </is>
      </c>
      <c r="I1971" s="4" t="inlineStr">
        <is>
          <t>17:10</t>
        </is>
      </c>
      <c r="J1971" s="8" t="n">
        <v>7.5</v>
      </c>
      <c r="K1971" s="8" t="n">
        <v>7.5</v>
      </c>
      <c r="L1971" s="8" t="n">
        <v>0</v>
      </c>
      <c r="M1971" s="29" t="inlineStr">
        <is>
          <t>BİGADİÇ</t>
        </is>
      </c>
    </row>
    <row r="1972">
      <c r="A1972" s="4" t="n">
        <v>1971</v>
      </c>
      <c r="B1972" s="4" t="inlineStr">
        <is>
          <t>00480</t>
        </is>
      </c>
      <c r="C1972" s="4" t="inlineStr">
        <is>
          <t>00480</t>
        </is>
      </c>
      <c r="D1972" s="29" t="inlineStr">
        <is>
          <t>HÜLYA TOPAL</t>
        </is>
      </c>
      <c r="E1972" s="4" t="inlineStr">
        <is>
          <t>Cuma</t>
        </is>
      </c>
      <c r="F1972" s="4" t="inlineStr">
        <is>
          <t>2.10.2026</t>
        </is>
      </c>
      <c r="G1972" s="4" t="inlineStr">
        <is>
          <t>07:53</t>
        </is>
      </c>
      <c r="H1972" s="4" t="inlineStr">
        <is>
          <t>2.10.2026</t>
        </is>
      </c>
      <c r="I1972" s="4" t="inlineStr">
        <is>
          <t>17:13</t>
        </is>
      </c>
      <c r="J1972" s="8" t="n">
        <v>7.5</v>
      </c>
      <c r="K1972" s="8" t="n">
        <v>7.5</v>
      </c>
      <c r="L1972" s="8" t="n">
        <v>0</v>
      </c>
      <c r="M1972" s="29" t="inlineStr">
        <is>
          <t>BİGADİÇ</t>
        </is>
      </c>
    </row>
    <row r="1973">
      <c r="A1973" s="4" t="n">
        <v>1972</v>
      </c>
      <c r="B1973" s="4" t="inlineStr">
        <is>
          <t>00480</t>
        </is>
      </c>
      <c r="C1973" s="4" t="inlineStr">
        <is>
          <t>00480</t>
        </is>
      </c>
      <c r="D1973" s="29" t="inlineStr">
        <is>
          <t>HÜLYA TOPAL</t>
        </is>
      </c>
      <c r="E1973" s="4" t="inlineStr">
        <is>
          <t>Cumartesi</t>
        </is>
      </c>
      <c r="F1973" s="4" t="inlineStr">
        <is>
          <t>3.10.2026</t>
        </is>
      </c>
      <c r="G1973" s="4" t="inlineStr">
        <is>
          <t>07:35</t>
        </is>
      </c>
      <c r="H1973" s="4" t="inlineStr">
        <is>
          <t>3.10.2026</t>
        </is>
      </c>
      <c r="I1973" s="4" t="inlineStr">
        <is>
          <t>17:10</t>
        </is>
      </c>
      <c r="J1973" s="8" t="n">
        <v>7.5</v>
      </c>
      <c r="K1973" s="8" t="n">
        <v>7.5</v>
      </c>
      <c r="L1973" s="8" t="n">
        <v>0</v>
      </c>
      <c r="M1973" s="29" t="inlineStr">
        <is>
          <t>BİGADİÇ</t>
        </is>
      </c>
    </row>
    <row r="1974">
      <c r="A1974" s="4" t="n">
        <v>1973</v>
      </c>
      <c r="B1974" s="4" t="inlineStr">
        <is>
          <t>00480</t>
        </is>
      </c>
      <c r="C1974" s="4" t="inlineStr">
        <is>
          <t>00480</t>
        </is>
      </c>
      <c r="D1974" s="29" t="inlineStr">
        <is>
          <t>HÜLYA TOPAL</t>
        </is>
      </c>
      <c r="E1974" s="4" t="inlineStr">
        <is>
          <t>Pazartesi</t>
        </is>
      </c>
      <c r="F1974" s="4" t="inlineStr">
        <is>
          <t>5.10.2026</t>
        </is>
      </c>
      <c r="G1974" s="4" t="inlineStr">
        <is>
          <t>07:55</t>
        </is>
      </c>
      <c r="H1974" s="4" t="inlineStr">
        <is>
          <t>5.10.2026</t>
        </is>
      </c>
      <c r="I1974" s="4" t="inlineStr">
        <is>
          <t>17:11</t>
        </is>
      </c>
      <c r="J1974" s="8" t="n">
        <v>7.5</v>
      </c>
      <c r="K1974" s="8" t="n">
        <v>7.5</v>
      </c>
      <c r="L1974" s="8" t="n">
        <v>0</v>
      </c>
      <c r="M1974" s="29" t="inlineStr">
        <is>
          <t>BİGADİÇ</t>
        </is>
      </c>
    </row>
    <row r="1975">
      <c r="A1975" s="4" t="n">
        <v>1974</v>
      </c>
      <c r="B1975" s="4" t="inlineStr">
        <is>
          <t>00480</t>
        </is>
      </c>
      <c r="C1975" s="4" t="inlineStr">
        <is>
          <t>00480</t>
        </is>
      </c>
      <c r="D1975" s="29" t="inlineStr">
        <is>
          <t>HÜLYA TOPAL</t>
        </is>
      </c>
      <c r="E1975" s="4" t="inlineStr">
        <is>
          <t>Salı</t>
        </is>
      </c>
      <c r="F1975" s="4" t="inlineStr">
        <is>
          <t>6.10.2026</t>
        </is>
      </c>
      <c r="G1975" s="4" t="inlineStr">
        <is>
          <t>07:53</t>
        </is>
      </c>
      <c r="H1975" s="4" t="inlineStr">
        <is>
          <t>6.10.2026</t>
        </is>
      </c>
      <c r="I1975" s="4" t="inlineStr">
        <is>
          <t>17:09</t>
        </is>
      </c>
      <c r="J1975" s="8" t="n">
        <v>7.5</v>
      </c>
      <c r="K1975" s="8" t="n">
        <v>7.5</v>
      </c>
      <c r="L1975" s="8" t="n">
        <v>0</v>
      </c>
      <c r="M1975" s="29" t="inlineStr">
        <is>
          <t>BİGADİÇ</t>
        </is>
      </c>
    </row>
    <row r="1976">
      <c r="A1976" s="4" t="n">
        <v>1975</v>
      </c>
      <c r="B1976" s="4" t="inlineStr">
        <is>
          <t>00480</t>
        </is>
      </c>
      <c r="C1976" s="4" t="inlineStr">
        <is>
          <t>00480</t>
        </is>
      </c>
      <c r="D1976" s="29" t="inlineStr">
        <is>
          <t>HÜLYA TOPAL</t>
        </is>
      </c>
      <c r="E1976" s="4" t="inlineStr">
        <is>
          <t>Çarşamba</t>
        </is>
      </c>
      <c r="F1976" s="4" t="inlineStr">
        <is>
          <t>7.10.2026</t>
        </is>
      </c>
      <c r="G1976" s="4" t="inlineStr">
        <is>
          <t>07:56</t>
        </is>
      </c>
      <c r="H1976" s="4" t="inlineStr">
        <is>
          <t>7.10.2026</t>
        </is>
      </c>
      <c r="I1976" s="4" t="inlineStr">
        <is>
          <t>17:11</t>
        </is>
      </c>
      <c r="J1976" s="8" t="n">
        <v>7.5</v>
      </c>
      <c r="K1976" s="8" t="n">
        <v>7.5</v>
      </c>
      <c r="L1976" s="8" t="n">
        <v>0</v>
      </c>
      <c r="M1976" s="29" t="inlineStr">
        <is>
          <t>BİGADİÇ</t>
        </is>
      </c>
    </row>
    <row r="1977">
      <c r="A1977" s="4" t="n">
        <v>1976</v>
      </c>
      <c r="B1977" s="4" t="inlineStr">
        <is>
          <t>00480</t>
        </is>
      </c>
      <c r="C1977" s="4" t="inlineStr">
        <is>
          <t>00480</t>
        </is>
      </c>
      <c r="D1977" s="29" t="inlineStr">
        <is>
          <t>HÜLYA TOPAL</t>
        </is>
      </c>
      <c r="E1977" s="4" t="inlineStr">
        <is>
          <t>Perşembe</t>
        </is>
      </c>
      <c r="F1977" s="4" t="inlineStr">
        <is>
          <t>8.10.2026</t>
        </is>
      </c>
      <c r="G1977" s="4" t="inlineStr">
        <is>
          <t>07:59</t>
        </is>
      </c>
      <c r="H1977" s="4" t="inlineStr">
        <is>
          <t>8.10.2026</t>
        </is>
      </c>
      <c r="I1977" s="4" t="inlineStr">
        <is>
          <t>17:13</t>
        </is>
      </c>
      <c r="J1977" s="8" t="n">
        <v>7.5</v>
      </c>
      <c r="K1977" s="8" t="n">
        <v>7.5</v>
      </c>
      <c r="L1977" s="8" t="n">
        <v>0</v>
      </c>
      <c r="M1977" s="29" t="inlineStr">
        <is>
          <t>BİGADİÇ</t>
        </is>
      </c>
    </row>
    <row r="1978">
      <c r="A1978" s="4" t="n">
        <v>1977</v>
      </c>
      <c r="B1978" s="4" t="inlineStr">
        <is>
          <t>00480</t>
        </is>
      </c>
      <c r="C1978" s="4" t="inlineStr">
        <is>
          <t>00480</t>
        </is>
      </c>
      <c r="D1978" s="29" t="inlineStr">
        <is>
          <t>HÜLYA TOPAL</t>
        </is>
      </c>
      <c r="E1978" s="4" t="inlineStr">
        <is>
          <t>Cuma</t>
        </is>
      </c>
      <c r="F1978" s="4" t="inlineStr">
        <is>
          <t>9.10.2026</t>
        </is>
      </c>
      <c r="G1978" s="4" t="inlineStr">
        <is>
          <t>07:53</t>
        </is>
      </c>
      <c r="H1978" s="4" t="inlineStr">
        <is>
          <t>9.10.2026</t>
        </is>
      </c>
      <c r="I1978" s="4" t="inlineStr">
        <is>
          <t>17:10</t>
        </is>
      </c>
      <c r="J1978" s="8" t="n">
        <v>7.5</v>
      </c>
      <c r="K1978" s="8" t="n">
        <v>7.5</v>
      </c>
      <c r="L1978" s="8" t="n">
        <v>0</v>
      </c>
      <c r="M1978" s="29" t="inlineStr">
        <is>
          <t>BİGADİÇ</t>
        </is>
      </c>
    </row>
    <row r="1979">
      <c r="A1979" s="4" t="n">
        <v>1978</v>
      </c>
      <c r="B1979" s="4" t="inlineStr">
        <is>
          <t>00480</t>
        </is>
      </c>
      <c r="C1979" s="4" t="inlineStr">
        <is>
          <t>00480</t>
        </is>
      </c>
      <c r="D1979" s="29" t="inlineStr">
        <is>
          <t>HÜLYA TOPAL</t>
        </is>
      </c>
      <c r="E1979" s="4" t="inlineStr">
        <is>
          <t>Pazartesi</t>
        </is>
      </c>
      <c r="F1979" s="4" t="inlineStr">
        <is>
          <t>12.10.2026</t>
        </is>
      </c>
      <c r="G1979" s="4" t="inlineStr">
        <is>
          <t>07:57</t>
        </is>
      </c>
      <c r="H1979" s="4" t="inlineStr">
        <is>
          <t>12.10.2026</t>
        </is>
      </c>
      <c r="I1979" s="4" t="inlineStr">
        <is>
          <t>18:09</t>
        </is>
      </c>
      <c r="J1979" s="8" t="n">
        <v>8.5</v>
      </c>
      <c r="K1979" s="8" t="n">
        <v>7.5</v>
      </c>
      <c r="L1979" s="8" t="n">
        <v>1</v>
      </c>
      <c r="M1979" s="29" t="inlineStr">
        <is>
          <t>BİGADİÇ</t>
        </is>
      </c>
    </row>
    <row r="1980">
      <c r="A1980" s="4" t="n">
        <v>1979</v>
      </c>
      <c r="B1980" s="4" t="inlineStr">
        <is>
          <t>00480</t>
        </is>
      </c>
      <c r="C1980" s="4" t="inlineStr">
        <is>
          <t>00480</t>
        </is>
      </c>
      <c r="D1980" s="29" t="inlineStr">
        <is>
          <t>HÜLYA TOPAL</t>
        </is>
      </c>
      <c r="E1980" s="4" t="inlineStr">
        <is>
          <t>Salı</t>
        </is>
      </c>
      <c r="F1980" s="4" t="inlineStr">
        <is>
          <t>13.10.2026</t>
        </is>
      </c>
      <c r="G1980" s="4" t="inlineStr">
        <is>
          <t>07:54</t>
        </is>
      </c>
      <c r="H1980" s="4" t="inlineStr">
        <is>
          <t>13.10.2026</t>
        </is>
      </c>
      <c r="I1980" s="4" t="inlineStr">
        <is>
          <t>17:08</t>
        </is>
      </c>
      <c r="J1980" s="8" t="n">
        <v>7.5</v>
      </c>
      <c r="K1980" s="8" t="n">
        <v>7.5</v>
      </c>
      <c r="L1980" s="8" t="n">
        <v>0</v>
      </c>
      <c r="M1980" s="29" t="inlineStr">
        <is>
          <t>BİGADİÇ</t>
        </is>
      </c>
    </row>
    <row r="1981">
      <c r="A1981" s="4" t="n">
        <v>1980</v>
      </c>
      <c r="B1981" s="4" t="inlineStr">
        <is>
          <t>00480</t>
        </is>
      </c>
      <c r="C1981" s="4" t="inlineStr">
        <is>
          <t>00480</t>
        </is>
      </c>
      <c r="D1981" s="29" t="inlineStr">
        <is>
          <t>HÜLYA TOPAL</t>
        </is>
      </c>
      <c r="E1981" s="4" t="inlineStr">
        <is>
          <t>Çarşamba</t>
        </is>
      </c>
      <c r="F1981" s="4" t="inlineStr">
        <is>
          <t>14.10.2026</t>
        </is>
      </c>
      <c r="G1981" s="4" t="inlineStr">
        <is>
          <t>07:58</t>
        </is>
      </c>
      <c r="H1981" s="4" t="inlineStr">
        <is>
          <t>14.10.2026</t>
        </is>
      </c>
      <c r="I1981" s="4" t="inlineStr">
        <is>
          <t>17:12</t>
        </is>
      </c>
      <c r="J1981" s="8" t="n">
        <v>7.5</v>
      </c>
      <c r="K1981" s="8" t="n">
        <v>7.5</v>
      </c>
      <c r="L1981" s="8" t="n">
        <v>0</v>
      </c>
      <c r="M1981" s="29" t="inlineStr">
        <is>
          <t>BİGADİÇ</t>
        </is>
      </c>
    </row>
    <row r="1982">
      <c r="A1982" s="4" t="n">
        <v>1981</v>
      </c>
      <c r="B1982" s="4" t="inlineStr">
        <is>
          <t>00480</t>
        </is>
      </c>
      <c r="C1982" s="4" t="inlineStr">
        <is>
          <t>00480</t>
        </is>
      </c>
      <c r="D1982" s="29" t="inlineStr">
        <is>
          <t>HÜLYA TOPAL</t>
        </is>
      </c>
      <c r="E1982" s="4" t="inlineStr">
        <is>
          <t>Perşembe</t>
        </is>
      </c>
      <c r="F1982" s="4" t="inlineStr">
        <is>
          <t>15.10.2026</t>
        </is>
      </c>
      <c r="G1982" s="4" t="inlineStr">
        <is>
          <t>08:01</t>
        </is>
      </c>
      <c r="H1982" s="4" t="inlineStr">
        <is>
          <t>15.10.2026</t>
        </is>
      </c>
      <c r="I1982" s="4" t="inlineStr">
        <is>
          <t>-</t>
        </is>
      </c>
      <c r="J1982" s="8" t="n">
        <v>7.5</v>
      </c>
      <c r="K1982" s="8" t="n">
        <v>7.5</v>
      </c>
      <c r="L1982" s="8" t="n">
        <v>0</v>
      </c>
      <c r="M1982" s="29" t="inlineStr">
        <is>
          <t>BİGADİÇ</t>
        </is>
      </c>
    </row>
    <row r="1983">
      <c r="A1983" s="4" t="n">
        <v>1982</v>
      </c>
      <c r="B1983" s="4" t="inlineStr">
        <is>
          <t>00480</t>
        </is>
      </c>
      <c r="C1983" s="4" t="inlineStr">
        <is>
          <t>00480</t>
        </is>
      </c>
      <c r="D1983" s="29" t="inlineStr">
        <is>
          <t>HÜLYA TOPAL</t>
        </is>
      </c>
      <c r="E1983" s="4" t="inlineStr">
        <is>
          <t>Cuma</t>
        </is>
      </c>
      <c r="F1983" s="4" t="inlineStr">
        <is>
          <t>16.10.2026</t>
        </is>
      </c>
      <c r="G1983" s="4" t="inlineStr">
        <is>
          <t>07:53</t>
        </is>
      </c>
      <c r="H1983" s="4" t="inlineStr">
        <is>
          <t>16.10.2026</t>
        </is>
      </c>
      <c r="I1983" s="4" t="inlineStr">
        <is>
          <t>17:11</t>
        </is>
      </c>
      <c r="J1983" s="8" t="n">
        <v>7.5</v>
      </c>
      <c r="K1983" s="8" t="n">
        <v>7.5</v>
      </c>
      <c r="L1983" s="8" t="n">
        <v>0</v>
      </c>
      <c r="M1983" s="29" t="inlineStr">
        <is>
          <t>BİGADİÇ</t>
        </is>
      </c>
    </row>
    <row r="1984">
      <c r="A1984" s="4" t="n">
        <v>1983</v>
      </c>
      <c r="B1984" s="4" t="inlineStr">
        <is>
          <t>00480</t>
        </is>
      </c>
      <c r="C1984" s="4" t="inlineStr">
        <is>
          <t>00480</t>
        </is>
      </c>
      <c r="D1984" s="29" t="inlineStr">
        <is>
          <t>HÜLYA TOPAL</t>
        </is>
      </c>
      <c r="E1984" s="4" t="inlineStr">
        <is>
          <t>Cumartesi</t>
        </is>
      </c>
      <c r="F1984" s="4" t="inlineStr">
        <is>
          <t>17.10.2026</t>
        </is>
      </c>
      <c r="G1984" s="4" t="inlineStr">
        <is>
          <t>07:51</t>
        </is>
      </c>
      <c r="H1984" s="4" t="inlineStr">
        <is>
          <t>17.10.2026</t>
        </is>
      </c>
      <c r="I1984" s="4" t="inlineStr">
        <is>
          <t>17:16</t>
        </is>
      </c>
      <c r="J1984" s="8" t="n">
        <v>0</v>
      </c>
      <c r="K1984" s="8" t="n">
        <v>0</v>
      </c>
      <c r="L1984" s="8" t="n">
        <v>0</v>
      </c>
      <c r="M1984" s="29" t="inlineStr">
        <is>
          <t>BİGADİÇ</t>
        </is>
      </c>
    </row>
    <row r="1985">
      <c r="A1985" s="4" t="n">
        <v>1984</v>
      </c>
      <c r="B1985" s="4" t="inlineStr">
        <is>
          <t>00480</t>
        </is>
      </c>
      <c r="C1985" s="4" t="inlineStr">
        <is>
          <t>00480</t>
        </is>
      </c>
      <c r="D1985" s="29" t="inlineStr">
        <is>
          <t>HÜLYA TOPAL</t>
        </is>
      </c>
      <c r="E1985" s="4" t="inlineStr">
        <is>
          <t>Pazar</t>
        </is>
      </c>
      <c r="F1985" s="4" t="inlineStr">
        <is>
          <t>18.10.2026</t>
        </is>
      </c>
      <c r="G1985" s="4" t="inlineStr">
        <is>
          <t>08:09</t>
        </is>
      </c>
      <c r="H1985" s="4" t="inlineStr">
        <is>
          <t>18.10.2026</t>
        </is>
      </c>
      <c r="I1985" s="4" t="inlineStr">
        <is>
          <t>17:11</t>
        </is>
      </c>
      <c r="J1985" s="8" t="n">
        <v>7.5</v>
      </c>
      <c r="K1985" s="8" t="n">
        <v>7.5</v>
      </c>
      <c r="L1985" s="8" t="n">
        <v>0</v>
      </c>
      <c r="M1985" s="29" t="inlineStr">
        <is>
          <t>BİGADİÇ</t>
        </is>
      </c>
    </row>
    <row r="1986">
      <c r="A1986" s="4" t="n">
        <v>1985</v>
      </c>
      <c r="B1986" s="4" t="inlineStr">
        <is>
          <t>00480</t>
        </is>
      </c>
      <c r="C1986" s="4" t="inlineStr">
        <is>
          <t>00480</t>
        </is>
      </c>
      <c r="D1986" s="29" t="inlineStr">
        <is>
          <t>HÜLYA TOPAL</t>
        </is>
      </c>
      <c r="E1986" s="4" t="inlineStr">
        <is>
          <t>Pazartesi</t>
        </is>
      </c>
      <c r="F1986" s="4" t="inlineStr">
        <is>
          <t>19.10.2026</t>
        </is>
      </c>
      <c r="G1986" s="4" t="inlineStr">
        <is>
          <t>07:53</t>
        </is>
      </c>
      <c r="H1986" s="4" t="inlineStr">
        <is>
          <t>19.10.2026</t>
        </is>
      </c>
      <c r="I1986" s="4" t="inlineStr">
        <is>
          <t>17:12</t>
        </is>
      </c>
      <c r="J1986" s="8" t="n">
        <v>7.5</v>
      </c>
      <c r="K1986" s="8" t="n">
        <v>7.5</v>
      </c>
      <c r="L1986" s="8" t="n">
        <v>0</v>
      </c>
      <c r="M1986" s="29" t="inlineStr">
        <is>
          <t>BİGADİÇ</t>
        </is>
      </c>
    </row>
    <row r="1987">
      <c r="A1987" s="4" t="n">
        <v>1986</v>
      </c>
      <c r="B1987" s="4" t="inlineStr">
        <is>
          <t>00480</t>
        </is>
      </c>
      <c r="C1987" s="4" t="inlineStr">
        <is>
          <t>00480</t>
        </is>
      </c>
      <c r="D1987" s="29" t="inlineStr">
        <is>
          <t>HÜLYA TOPAL</t>
        </is>
      </c>
      <c r="E1987" s="4" t="inlineStr">
        <is>
          <t>Salı</t>
        </is>
      </c>
      <c r="F1987" s="4" t="inlineStr">
        <is>
          <t>20.10.2026</t>
        </is>
      </c>
      <c r="G1987" s="4" t="inlineStr">
        <is>
          <t>08:19</t>
        </is>
      </c>
      <c r="H1987" s="4" t="inlineStr">
        <is>
          <t>20.10.2026</t>
        </is>
      </c>
      <c r="I1987" s="4" t="inlineStr">
        <is>
          <t>17:18</t>
        </is>
      </c>
      <c r="J1987" s="8" t="n">
        <v>7.5</v>
      </c>
      <c r="K1987" s="8" t="n">
        <v>7.5</v>
      </c>
      <c r="L1987" s="8" t="n">
        <v>0</v>
      </c>
      <c r="M1987" s="29" t="inlineStr">
        <is>
          <t>BİGADİÇ</t>
        </is>
      </c>
    </row>
    <row r="1988">
      <c r="A1988" s="4" t="n">
        <v>1987</v>
      </c>
      <c r="B1988" s="4" t="inlineStr">
        <is>
          <t>00480</t>
        </is>
      </c>
      <c r="C1988" s="4" t="inlineStr">
        <is>
          <t>00480</t>
        </is>
      </c>
      <c r="D1988" s="29" t="inlineStr">
        <is>
          <t>HÜLYA TOPAL</t>
        </is>
      </c>
      <c r="E1988" s="4" t="inlineStr">
        <is>
          <t>Çarşamba</t>
        </is>
      </c>
      <c r="F1988" s="4" t="inlineStr">
        <is>
          <t>21.10.2026</t>
        </is>
      </c>
      <c r="G1988" s="4" t="inlineStr">
        <is>
          <t>08:00</t>
        </is>
      </c>
      <c r="H1988" s="4" t="inlineStr">
        <is>
          <t>21.10.2026</t>
        </is>
      </c>
      <c r="I1988" s="4" t="inlineStr">
        <is>
          <t>17:10</t>
        </is>
      </c>
      <c r="J1988" s="8" t="n">
        <v>7.5</v>
      </c>
      <c r="K1988" s="8" t="n">
        <v>7.5</v>
      </c>
      <c r="L1988" s="8" t="n">
        <v>0</v>
      </c>
      <c r="M1988" s="29" t="inlineStr">
        <is>
          <t>BİGADİÇ</t>
        </is>
      </c>
    </row>
    <row r="1989">
      <c r="A1989" s="4" t="n">
        <v>1988</v>
      </c>
      <c r="B1989" s="4" t="inlineStr">
        <is>
          <t>00092</t>
        </is>
      </c>
      <c r="C1989" s="4" t="inlineStr">
        <is>
          <t>00092</t>
        </is>
      </c>
      <c r="D1989" s="29" t="inlineStr">
        <is>
          <t>İBÜŞRAHİM YILDIRIM</t>
        </is>
      </c>
      <c r="E1989" s="4" t="inlineStr">
        <is>
          <t>Perşembe</t>
        </is>
      </c>
      <c r="F1989" s="4" t="inlineStr">
        <is>
          <t>1.10.2026</t>
        </is>
      </c>
      <c r="G1989" s="4" t="inlineStr">
        <is>
          <t>07:41</t>
        </is>
      </c>
      <c r="H1989" s="4" t="inlineStr">
        <is>
          <t>1.10.2026</t>
        </is>
      </c>
      <c r="I1989" s="4" t="inlineStr">
        <is>
          <t>19:26</t>
        </is>
      </c>
      <c r="J1989" s="8" t="n">
        <v>10</v>
      </c>
      <c r="K1989" s="8" t="n">
        <v>7.5</v>
      </c>
      <c r="L1989" s="8" t="n">
        <v>2.5</v>
      </c>
      <c r="M1989" s="29" t="inlineStr">
        <is>
          <t>MKP</t>
        </is>
      </c>
    </row>
    <row r="1990">
      <c r="A1990" s="4" t="n">
        <v>1989</v>
      </c>
      <c r="B1990" s="4" t="inlineStr">
        <is>
          <t>00092</t>
        </is>
      </c>
      <c r="C1990" s="4" t="inlineStr">
        <is>
          <t>00092</t>
        </is>
      </c>
      <c r="D1990" s="29" t="inlineStr">
        <is>
          <t>İBÜŞRAHİM YILDIRIM</t>
        </is>
      </c>
      <c r="E1990" s="4" t="inlineStr">
        <is>
          <t>Cuma</t>
        </is>
      </c>
      <c r="F1990" s="4" t="inlineStr">
        <is>
          <t>2.10.2026</t>
        </is>
      </c>
      <c r="G1990" s="4" t="inlineStr">
        <is>
          <t>07:45</t>
        </is>
      </c>
      <c r="H1990" s="4" t="inlineStr">
        <is>
          <t>2.10.2026</t>
        </is>
      </c>
      <c r="I1990" s="4" t="inlineStr">
        <is>
          <t>19:04</t>
        </is>
      </c>
      <c r="J1990" s="8" t="n">
        <v>9.5</v>
      </c>
      <c r="K1990" s="8" t="n">
        <v>7.5</v>
      </c>
      <c r="L1990" s="8" t="n">
        <v>2</v>
      </c>
      <c r="M1990" s="29" t="inlineStr">
        <is>
          <t>MKP</t>
        </is>
      </c>
    </row>
    <row r="1991">
      <c r="A1991" s="4" t="n">
        <v>1990</v>
      </c>
      <c r="B1991" s="4" t="inlineStr">
        <is>
          <t>00092</t>
        </is>
      </c>
      <c r="C1991" s="4" t="inlineStr">
        <is>
          <t>00092</t>
        </is>
      </c>
      <c r="D1991" s="29" t="inlineStr">
        <is>
          <t>İBÜŞRAHİM YILDIRIM</t>
        </is>
      </c>
      <c r="E1991" s="4" t="inlineStr">
        <is>
          <t>Cumartesi</t>
        </is>
      </c>
      <c r="F1991" s="4" t="inlineStr">
        <is>
          <t>3.10.2026</t>
        </is>
      </c>
      <c r="G1991" s="4" t="inlineStr">
        <is>
          <t>07:43</t>
        </is>
      </c>
      <c r="H1991" s="4" t="inlineStr">
        <is>
          <t>3.10.2026</t>
        </is>
      </c>
      <c r="I1991" s="4" t="inlineStr">
        <is>
          <t>17:31</t>
        </is>
      </c>
      <c r="J1991" s="8" t="n">
        <v>8</v>
      </c>
      <c r="K1991" s="8" t="n">
        <v>7.5</v>
      </c>
      <c r="L1991" s="8" t="n">
        <v>0.5</v>
      </c>
      <c r="M1991" s="29" t="inlineStr">
        <is>
          <t>MKP</t>
        </is>
      </c>
    </row>
    <row r="1992">
      <c r="A1992" s="4" t="n">
        <v>1991</v>
      </c>
      <c r="B1992" s="4" t="inlineStr">
        <is>
          <t>00092</t>
        </is>
      </c>
      <c r="C1992" s="4" t="inlineStr">
        <is>
          <t>00092</t>
        </is>
      </c>
      <c r="D1992" s="29" t="inlineStr">
        <is>
          <t>İBÜŞRAHİM YILDIRIM</t>
        </is>
      </c>
      <c r="E1992" s="4" t="inlineStr">
        <is>
          <t>Pazar</t>
        </is>
      </c>
      <c r="F1992" s="4" t="inlineStr">
        <is>
          <t>4.10.2026</t>
        </is>
      </c>
      <c r="G1992" s="4" t="inlineStr">
        <is>
          <t>07:58</t>
        </is>
      </c>
      <c r="H1992" s="4" t="inlineStr">
        <is>
          <t>4.10.2026</t>
        </is>
      </c>
      <c r="I1992" s="4" t="inlineStr">
        <is>
          <t>17:07</t>
        </is>
      </c>
      <c r="J1992" s="8" t="n">
        <v>7.5</v>
      </c>
      <c r="K1992" s="8" t="n">
        <v>7.5</v>
      </c>
      <c r="L1992" s="8" t="n">
        <v>0</v>
      </c>
      <c r="M1992" s="29" t="inlineStr">
        <is>
          <t>MKP</t>
        </is>
      </c>
    </row>
    <row r="1993">
      <c r="A1993" s="4" t="n">
        <v>1992</v>
      </c>
      <c r="B1993" s="4" t="inlineStr">
        <is>
          <t>00092</t>
        </is>
      </c>
      <c r="C1993" s="4" t="inlineStr">
        <is>
          <t>00092</t>
        </is>
      </c>
      <c r="D1993" s="29" t="inlineStr">
        <is>
          <t>İBÜŞRAHİM YILDIRIM</t>
        </is>
      </c>
      <c r="E1993" s="4" t="inlineStr">
        <is>
          <t>Pazartesi</t>
        </is>
      </c>
      <c r="F1993" s="4" t="inlineStr">
        <is>
          <t>5.10.2026</t>
        </is>
      </c>
      <c r="G1993" s="4" t="inlineStr">
        <is>
          <t>07:39</t>
        </is>
      </c>
      <c r="H1993" s="4" t="inlineStr">
        <is>
          <t>5.10.2026</t>
        </is>
      </c>
      <c r="I1993" s="4" t="inlineStr">
        <is>
          <t>19:02</t>
        </is>
      </c>
      <c r="J1993" s="8" t="n">
        <v>9.5</v>
      </c>
      <c r="K1993" s="8" t="n">
        <v>7.5</v>
      </c>
      <c r="L1993" s="8" t="n">
        <v>2</v>
      </c>
      <c r="M1993" s="29" t="inlineStr">
        <is>
          <t>MKP</t>
        </is>
      </c>
    </row>
    <row r="1994">
      <c r="A1994" s="4" t="n">
        <v>1993</v>
      </c>
      <c r="B1994" s="4" t="inlineStr">
        <is>
          <t>00092</t>
        </is>
      </c>
      <c r="C1994" s="4" t="inlineStr">
        <is>
          <t>00092</t>
        </is>
      </c>
      <c r="D1994" s="29" t="inlineStr">
        <is>
          <t>İBÜŞRAHİM YILDIRIM</t>
        </is>
      </c>
      <c r="E1994" s="4" t="inlineStr">
        <is>
          <t>Salı</t>
        </is>
      </c>
      <c r="F1994" s="4" t="inlineStr">
        <is>
          <t>6.10.2026</t>
        </is>
      </c>
      <c r="G1994" s="4" t="inlineStr">
        <is>
          <t>07:47</t>
        </is>
      </c>
      <c r="H1994" s="4" t="inlineStr">
        <is>
          <t>6.10.2026</t>
        </is>
      </c>
      <c r="I1994" s="4" t="inlineStr">
        <is>
          <t>17:43</t>
        </is>
      </c>
      <c r="J1994" s="8" t="n">
        <v>8</v>
      </c>
      <c r="K1994" s="8" t="n">
        <v>7.5</v>
      </c>
      <c r="L1994" s="8" t="n">
        <v>0.5</v>
      </c>
      <c r="M1994" s="29" t="inlineStr">
        <is>
          <t>MKP</t>
        </is>
      </c>
    </row>
    <row r="1995">
      <c r="A1995" s="4" t="n">
        <v>1994</v>
      </c>
      <c r="B1995" s="4" t="inlineStr">
        <is>
          <t>00092</t>
        </is>
      </c>
      <c r="C1995" s="4" t="inlineStr">
        <is>
          <t>00092</t>
        </is>
      </c>
      <c r="D1995" s="29" t="inlineStr">
        <is>
          <t>İBÜŞRAHİM YILDIRIM</t>
        </is>
      </c>
      <c r="E1995" s="4" t="inlineStr">
        <is>
          <t>Çarşamba</t>
        </is>
      </c>
      <c r="F1995" s="4" t="inlineStr">
        <is>
          <t>7.10.2026</t>
        </is>
      </c>
      <c r="G1995" s="4" t="inlineStr">
        <is>
          <t>07:46</t>
        </is>
      </c>
      <c r="H1995" s="4" t="inlineStr">
        <is>
          <t>7.10.2026</t>
        </is>
      </c>
      <c r="I1995" s="4" t="inlineStr">
        <is>
          <t>17:29</t>
        </is>
      </c>
      <c r="J1995" s="8" t="n">
        <v>8</v>
      </c>
      <c r="K1995" s="8" t="n">
        <v>7.5</v>
      </c>
      <c r="L1995" s="8" t="n">
        <v>0.5</v>
      </c>
      <c r="M1995" s="29" t="inlineStr">
        <is>
          <t>MKP</t>
        </is>
      </c>
    </row>
    <row r="1996">
      <c r="A1996" s="4" t="n">
        <v>1995</v>
      </c>
      <c r="B1996" s="4" t="inlineStr">
        <is>
          <t>00092</t>
        </is>
      </c>
      <c r="C1996" s="4" t="inlineStr">
        <is>
          <t>00092</t>
        </is>
      </c>
      <c r="D1996" s="29" t="inlineStr">
        <is>
          <t>İBÜŞRAHİM YILDIRIM</t>
        </is>
      </c>
      <c r="E1996" s="4" t="inlineStr">
        <is>
          <t>Perşembe</t>
        </is>
      </c>
      <c r="F1996" s="4" t="inlineStr">
        <is>
          <t>8.10.2026</t>
        </is>
      </c>
      <c r="G1996" s="4" t="inlineStr">
        <is>
          <t>07:43</t>
        </is>
      </c>
      <c r="H1996" s="4" t="inlineStr">
        <is>
          <t>8.10.2026</t>
        </is>
      </c>
      <c r="I1996" s="4" t="inlineStr">
        <is>
          <t>-</t>
        </is>
      </c>
      <c r="J1996" s="8" t="n">
        <v>7.5</v>
      </c>
      <c r="K1996" s="8" t="n">
        <v>7.5</v>
      </c>
      <c r="L1996" s="8" t="n">
        <v>0</v>
      </c>
      <c r="M1996" s="29" t="inlineStr">
        <is>
          <t>MKP</t>
        </is>
      </c>
    </row>
    <row r="1997">
      <c r="A1997" s="4" t="n">
        <v>1996</v>
      </c>
      <c r="B1997" s="4" t="inlineStr">
        <is>
          <t>00092</t>
        </is>
      </c>
      <c r="C1997" s="4" t="inlineStr">
        <is>
          <t>00092</t>
        </is>
      </c>
      <c r="D1997" s="29" t="inlineStr">
        <is>
          <t>İBÜŞRAHİM YILDIRIM</t>
        </is>
      </c>
      <c r="E1997" s="4" t="inlineStr">
        <is>
          <t>Cuma</t>
        </is>
      </c>
      <c r="F1997" s="4" t="inlineStr">
        <is>
          <t>9.10.2026</t>
        </is>
      </c>
      <c r="G1997" s="4" t="inlineStr">
        <is>
          <t>07:30</t>
        </is>
      </c>
      <c r="H1997" s="4" t="inlineStr">
        <is>
          <t>9.10.2026</t>
        </is>
      </c>
      <c r="I1997" s="4" t="inlineStr">
        <is>
          <t>15:58</t>
        </is>
      </c>
      <c r="J1997" s="8" t="n">
        <v>7.5</v>
      </c>
      <c r="K1997" s="8" t="n">
        <v>7.5</v>
      </c>
      <c r="L1997" s="8" t="n">
        <v>0</v>
      </c>
      <c r="M1997" s="29" t="inlineStr">
        <is>
          <t>MKP</t>
        </is>
      </c>
    </row>
    <row r="1998">
      <c r="A1998" s="4" t="n">
        <v>1997</v>
      </c>
      <c r="B1998" s="4" t="inlineStr">
        <is>
          <t>00092</t>
        </is>
      </c>
      <c r="C1998" s="4" t="inlineStr">
        <is>
          <t>00092</t>
        </is>
      </c>
      <c r="D1998" s="29" t="inlineStr">
        <is>
          <t>İBÜŞRAHİM YILDIRIM</t>
        </is>
      </c>
      <c r="E1998" s="4" t="inlineStr">
        <is>
          <t>Cumartesi</t>
        </is>
      </c>
      <c r="F1998" s="4" t="inlineStr">
        <is>
          <t>10.10.2026</t>
        </is>
      </c>
      <c r="G1998" s="4" t="inlineStr">
        <is>
          <t>07:46</t>
        </is>
      </c>
      <c r="H1998" s="4" t="inlineStr">
        <is>
          <t>10.10.2026</t>
        </is>
      </c>
      <c r="I1998" s="4" t="inlineStr">
        <is>
          <t>20:10</t>
        </is>
      </c>
      <c r="J1998" s="8" t="n">
        <v>10.5</v>
      </c>
      <c r="K1998" s="8" t="n">
        <v>7.5</v>
      </c>
      <c r="L1998" s="8" t="n">
        <v>3</v>
      </c>
      <c r="M1998" s="29" t="inlineStr">
        <is>
          <t>MKP</t>
        </is>
      </c>
    </row>
    <row r="1999">
      <c r="A1999" s="4" t="n">
        <v>1998</v>
      </c>
      <c r="B1999" s="4" t="inlineStr">
        <is>
          <t>00092</t>
        </is>
      </c>
      <c r="C1999" s="4" t="inlineStr">
        <is>
          <t>00092</t>
        </is>
      </c>
      <c r="D1999" s="29" t="inlineStr">
        <is>
          <t>İBÜŞRAHİM YILDIRIM</t>
        </is>
      </c>
      <c r="E1999" s="4" t="inlineStr">
        <is>
          <t>Pazar</t>
        </is>
      </c>
      <c r="F1999" s="4" t="inlineStr">
        <is>
          <t>11.10.2026</t>
        </is>
      </c>
      <c r="G1999" s="4" t="inlineStr">
        <is>
          <t>08:54</t>
        </is>
      </c>
      <c r="H1999" s="4" t="inlineStr">
        <is>
          <t>11.10.2026</t>
        </is>
      </c>
      <c r="I1999" s="4" t="inlineStr">
        <is>
          <t>20:03</t>
        </is>
      </c>
      <c r="J1999" s="8" t="n">
        <v>9.5</v>
      </c>
      <c r="K1999" s="8" t="n">
        <v>6.5</v>
      </c>
      <c r="L1999" s="8" t="n">
        <v>3</v>
      </c>
      <c r="M1999" s="29" t="inlineStr">
        <is>
          <t>MKP</t>
        </is>
      </c>
    </row>
    <row r="2000">
      <c r="A2000" s="4" t="n">
        <v>1999</v>
      </c>
      <c r="B2000" s="4" t="inlineStr">
        <is>
          <t>00092</t>
        </is>
      </c>
      <c r="C2000" s="4" t="inlineStr">
        <is>
          <t>00092</t>
        </is>
      </c>
      <c r="D2000" s="29" t="inlineStr">
        <is>
          <t>İBÜŞRAHİM YILDIRIM</t>
        </is>
      </c>
      <c r="E2000" s="4" t="inlineStr">
        <is>
          <t>Pazartesi</t>
        </is>
      </c>
      <c r="F2000" s="4" t="inlineStr">
        <is>
          <t>12.10.2026</t>
        </is>
      </c>
      <c r="G2000" s="4" t="inlineStr">
        <is>
          <t>07:46</t>
        </is>
      </c>
      <c r="H2000" s="4" t="inlineStr">
        <is>
          <t>12.10.2026</t>
        </is>
      </c>
      <c r="I2000" s="4" t="inlineStr">
        <is>
          <t>17:24</t>
        </is>
      </c>
      <c r="J2000" s="8" t="n">
        <v>8</v>
      </c>
      <c r="K2000" s="8" t="n">
        <v>7.5</v>
      </c>
      <c r="L2000" s="8" t="n">
        <v>0.5</v>
      </c>
      <c r="M2000" s="29" t="inlineStr">
        <is>
          <t>MKP</t>
        </is>
      </c>
    </row>
    <row r="2001">
      <c r="A2001" s="4" t="n">
        <v>2000</v>
      </c>
      <c r="B2001" s="4" t="inlineStr">
        <is>
          <t>00092</t>
        </is>
      </c>
      <c r="C2001" s="4" t="inlineStr">
        <is>
          <t>00092</t>
        </is>
      </c>
      <c r="D2001" s="29" t="inlineStr">
        <is>
          <t>İBÜŞRAHİM YILDIRIM</t>
        </is>
      </c>
      <c r="E2001" s="4" t="inlineStr">
        <is>
          <t>Salı</t>
        </is>
      </c>
      <c r="F2001" s="4" t="inlineStr">
        <is>
          <t>13.10.2026</t>
        </is>
      </c>
      <c r="G2001" s="4" t="inlineStr">
        <is>
          <t>07:46</t>
        </is>
      </c>
      <c r="H2001" s="4" t="inlineStr">
        <is>
          <t>13.10.2026</t>
        </is>
      </c>
      <c r="I2001" s="4" t="inlineStr">
        <is>
          <t>19:01</t>
        </is>
      </c>
      <c r="J2001" s="8" t="n">
        <v>9.5</v>
      </c>
      <c r="K2001" s="8" t="n">
        <v>7.5</v>
      </c>
      <c r="L2001" s="8" t="n">
        <v>2</v>
      </c>
      <c r="M2001" s="29" t="inlineStr">
        <is>
          <t>MKP</t>
        </is>
      </c>
    </row>
    <row r="2002">
      <c r="A2002" s="4" t="n">
        <v>2001</v>
      </c>
      <c r="B2002" s="4" t="inlineStr">
        <is>
          <t>00092</t>
        </is>
      </c>
      <c r="C2002" s="4" t="inlineStr">
        <is>
          <t>00092</t>
        </is>
      </c>
      <c r="D2002" s="29" t="inlineStr">
        <is>
          <t>İBÜŞRAHİM YILDIRIM</t>
        </is>
      </c>
      <c r="E2002" s="4" t="inlineStr">
        <is>
          <t>Çarşamba</t>
        </is>
      </c>
      <c r="F2002" s="4" t="inlineStr">
        <is>
          <t>14.10.2026</t>
        </is>
      </c>
      <c r="G2002" s="4" t="inlineStr">
        <is>
          <t>07:57</t>
        </is>
      </c>
      <c r="H2002" s="4" t="inlineStr">
        <is>
          <t>14.10.2026</t>
        </is>
      </c>
      <c r="I2002" s="4" t="inlineStr">
        <is>
          <t>18:01</t>
        </is>
      </c>
      <c r="J2002" s="8" t="n">
        <v>8.5</v>
      </c>
      <c r="K2002" s="8" t="n">
        <v>7.5</v>
      </c>
      <c r="L2002" s="8" t="n">
        <v>1</v>
      </c>
      <c r="M2002" s="29" t="inlineStr">
        <is>
          <t>MKP</t>
        </is>
      </c>
    </row>
    <row r="2003">
      <c r="A2003" s="4" t="n">
        <v>2002</v>
      </c>
      <c r="B2003" s="4" t="inlineStr">
        <is>
          <t>00092</t>
        </is>
      </c>
      <c r="C2003" s="4" t="inlineStr">
        <is>
          <t>00092</t>
        </is>
      </c>
      <c r="D2003" s="29" t="inlineStr">
        <is>
          <t>İBÜŞRAHİM YILDIRIM</t>
        </is>
      </c>
      <c r="E2003" s="4" t="inlineStr">
        <is>
          <t>Perşembe</t>
        </is>
      </c>
      <c r="F2003" s="4" t="inlineStr">
        <is>
          <t>15.10.2026</t>
        </is>
      </c>
      <c r="G2003" s="4" t="inlineStr">
        <is>
          <t>08:00</t>
        </is>
      </c>
      <c r="H2003" s="4" t="inlineStr">
        <is>
          <t>15.10.2026</t>
        </is>
      </c>
      <c r="I2003" s="4" t="inlineStr">
        <is>
          <t>19:15</t>
        </is>
      </c>
      <c r="J2003" s="8" t="n">
        <v>9.5</v>
      </c>
      <c r="K2003" s="8" t="n">
        <v>7.5</v>
      </c>
      <c r="L2003" s="8" t="n">
        <v>2</v>
      </c>
      <c r="M2003" s="29" t="inlineStr">
        <is>
          <t>MKP</t>
        </is>
      </c>
    </row>
    <row r="2004">
      <c r="A2004" s="4" t="n">
        <v>2003</v>
      </c>
      <c r="B2004" s="4" t="inlineStr">
        <is>
          <t>00092</t>
        </is>
      </c>
      <c r="C2004" s="4" t="inlineStr">
        <is>
          <t>00092</t>
        </is>
      </c>
      <c r="D2004" s="29" t="inlineStr">
        <is>
          <t>İBÜŞRAHİM YILDIRIM</t>
        </is>
      </c>
      <c r="E2004" s="4" t="inlineStr">
        <is>
          <t>Cuma</t>
        </is>
      </c>
      <c r="F2004" s="4" t="inlineStr">
        <is>
          <t>16.10.2026</t>
        </is>
      </c>
      <c r="G2004" s="4" t="inlineStr">
        <is>
          <t>07:34</t>
        </is>
      </c>
      <c r="H2004" s="4" t="inlineStr">
        <is>
          <t>16.10.2026</t>
        </is>
      </c>
      <c r="I2004" s="4" t="inlineStr">
        <is>
          <t>18:19</t>
        </is>
      </c>
      <c r="J2004" s="8" t="n">
        <v>8.5</v>
      </c>
      <c r="K2004" s="8" t="n">
        <v>7.5</v>
      </c>
      <c r="L2004" s="8" t="n">
        <v>1</v>
      </c>
      <c r="M2004" s="29" t="inlineStr">
        <is>
          <t>MKP</t>
        </is>
      </c>
    </row>
    <row r="2005">
      <c r="A2005" s="4" t="n">
        <v>2004</v>
      </c>
      <c r="B2005" s="4" t="inlineStr">
        <is>
          <t>00092</t>
        </is>
      </c>
      <c r="C2005" s="4" t="inlineStr">
        <is>
          <t>00092</t>
        </is>
      </c>
      <c r="D2005" s="29" t="inlineStr">
        <is>
          <t>İBÜŞRAHİM YILDIRIM</t>
        </is>
      </c>
      <c r="E2005" s="4" t="inlineStr">
        <is>
          <t>Cumartesi</t>
        </is>
      </c>
      <c r="F2005" s="4" t="inlineStr">
        <is>
          <t>17.10.2026</t>
        </is>
      </c>
      <c r="G2005" s="4" t="inlineStr">
        <is>
          <t>07:41</t>
        </is>
      </c>
      <c r="H2005" s="4" t="inlineStr">
        <is>
          <t>17.10.2026</t>
        </is>
      </c>
      <c r="I2005" s="4" t="inlineStr">
        <is>
          <t>17:52</t>
        </is>
      </c>
      <c r="J2005" s="8" t="n">
        <v>8.5</v>
      </c>
      <c r="K2005" s="8" t="n">
        <v>7.5</v>
      </c>
      <c r="L2005" s="8" t="n">
        <v>1</v>
      </c>
      <c r="M2005" s="29" t="inlineStr">
        <is>
          <t>MKP</t>
        </is>
      </c>
    </row>
    <row r="2006">
      <c r="A2006" s="4" t="n">
        <v>2005</v>
      </c>
      <c r="B2006" s="4" t="inlineStr">
        <is>
          <t>00092</t>
        </is>
      </c>
      <c r="C2006" s="4" t="inlineStr">
        <is>
          <t>00092</t>
        </is>
      </c>
      <c r="D2006" s="29" t="inlineStr">
        <is>
          <t>İBÜŞRAHİM YILDIRIM</t>
        </is>
      </c>
      <c r="E2006" s="4" t="inlineStr">
        <is>
          <t>Pazar</t>
        </is>
      </c>
      <c r="F2006" s="4" t="inlineStr">
        <is>
          <t>18.10.2026</t>
        </is>
      </c>
      <c r="G2006" s="4" t="inlineStr">
        <is>
          <t>08:08</t>
        </is>
      </c>
      <c r="H2006" s="4" t="inlineStr">
        <is>
          <t>18.10.2026</t>
        </is>
      </c>
      <c r="I2006" s="4" t="inlineStr">
        <is>
          <t>17:27</t>
        </is>
      </c>
      <c r="J2006" s="8" t="n">
        <v>8</v>
      </c>
      <c r="K2006" s="8" t="n">
        <v>7.5</v>
      </c>
      <c r="L2006" s="8" t="n">
        <v>0.5</v>
      </c>
      <c r="M2006" s="29" t="inlineStr">
        <is>
          <t>MKP</t>
        </is>
      </c>
    </row>
    <row r="2007">
      <c r="A2007" s="4" t="n">
        <v>2006</v>
      </c>
      <c r="B2007" s="4" t="inlineStr">
        <is>
          <t>00092</t>
        </is>
      </c>
      <c r="C2007" s="4" t="inlineStr">
        <is>
          <t>00092</t>
        </is>
      </c>
      <c r="D2007" s="29" t="inlineStr">
        <is>
          <t>İBÜŞRAHİM YILDIRIM</t>
        </is>
      </c>
      <c r="E2007" s="4" t="inlineStr">
        <is>
          <t>Pazartesi</t>
        </is>
      </c>
      <c r="F2007" s="4" t="inlineStr">
        <is>
          <t>19.10.2026</t>
        </is>
      </c>
      <c r="G2007" s="4" t="inlineStr">
        <is>
          <t>07:46</t>
        </is>
      </c>
      <c r="H2007" s="4" t="inlineStr">
        <is>
          <t>19.10.2026</t>
        </is>
      </c>
      <c r="I2007" s="4" t="inlineStr">
        <is>
          <t>16:56</t>
        </is>
      </c>
      <c r="J2007" s="8" t="n">
        <v>7.5</v>
      </c>
      <c r="K2007" s="8" t="n">
        <v>7.5</v>
      </c>
      <c r="L2007" s="8" t="n">
        <v>0</v>
      </c>
      <c r="M2007" s="29" t="inlineStr">
        <is>
          <t>MKP</t>
        </is>
      </c>
    </row>
    <row r="2008">
      <c r="A2008" s="4" t="n">
        <v>2007</v>
      </c>
      <c r="B2008" s="4" t="inlineStr">
        <is>
          <t>00092</t>
        </is>
      </c>
      <c r="C2008" s="4" t="inlineStr">
        <is>
          <t>00092</t>
        </is>
      </c>
      <c r="D2008" s="29" t="inlineStr">
        <is>
          <t>İBÜŞRAHİM YILDIRIM</t>
        </is>
      </c>
      <c r="E2008" s="4" t="inlineStr">
        <is>
          <t>Salı</t>
        </is>
      </c>
      <c r="F2008" s="4" t="inlineStr">
        <is>
          <t>20.10.2026</t>
        </is>
      </c>
      <c r="G2008" s="4" t="inlineStr">
        <is>
          <t>07:40</t>
        </is>
      </c>
      <c r="H2008" s="4" t="inlineStr">
        <is>
          <t>20.10.2026</t>
        </is>
      </c>
      <c r="I2008" s="4" t="inlineStr">
        <is>
          <t>16:51</t>
        </is>
      </c>
      <c r="J2008" s="8" t="n">
        <v>7.5</v>
      </c>
      <c r="K2008" s="8" t="n">
        <v>7.5</v>
      </c>
      <c r="L2008" s="8" t="n">
        <v>0</v>
      </c>
      <c r="M2008" s="29" t="inlineStr">
        <is>
          <t>MKP</t>
        </is>
      </c>
    </row>
    <row r="2009">
      <c r="A2009" s="4" t="n">
        <v>2008</v>
      </c>
      <c r="B2009" s="4" t="inlineStr">
        <is>
          <t>00092</t>
        </is>
      </c>
      <c r="C2009" s="4" t="inlineStr">
        <is>
          <t>00092</t>
        </is>
      </c>
      <c r="D2009" s="29" t="inlineStr">
        <is>
          <t>İBÜŞRAHİM YILDIRIM</t>
        </is>
      </c>
      <c r="E2009" s="4" t="inlineStr">
        <is>
          <t>Çarşamba</t>
        </is>
      </c>
      <c r="F2009" s="4" t="inlineStr">
        <is>
          <t>21.10.2026</t>
        </is>
      </c>
      <c r="G2009" s="4" t="inlineStr">
        <is>
          <t>07:46</t>
        </is>
      </c>
      <c r="H2009" s="4" t="inlineStr">
        <is>
          <t>21.10.2026</t>
        </is>
      </c>
      <c r="I2009" s="4" t="inlineStr">
        <is>
          <t>18:55</t>
        </is>
      </c>
      <c r="J2009" s="8" t="n">
        <v>9.5</v>
      </c>
      <c r="K2009" s="8" t="n">
        <v>7.5</v>
      </c>
      <c r="L2009" s="8" t="n">
        <v>2</v>
      </c>
      <c r="M2009" s="29" t="inlineStr">
        <is>
          <t>MKP</t>
        </is>
      </c>
    </row>
    <row r="2010">
      <c r="A2010" s="4" t="n">
        <v>2009</v>
      </c>
      <c r="B2010" s="4" t="inlineStr">
        <is>
          <t>01424</t>
        </is>
      </c>
      <c r="C2010" s="4" t="inlineStr">
        <is>
          <t>01424</t>
        </is>
      </c>
      <c r="D2010" s="29" t="inlineStr">
        <is>
          <t>İBÜŞRAHİM İMRE</t>
        </is>
      </c>
      <c r="E2010" s="4" t="inlineStr">
        <is>
          <t>Cuma</t>
        </is>
      </c>
      <c r="F2010" s="4" t="inlineStr">
        <is>
          <t>2.10.2026</t>
        </is>
      </c>
      <c r="G2010" s="4" t="inlineStr">
        <is>
          <t>20:10</t>
        </is>
      </c>
      <c r="H2010" s="4" t="inlineStr">
        <is>
          <t>2.10.2026</t>
        </is>
      </c>
      <c r="I2010" s="4" t="inlineStr">
        <is>
          <t>07:55</t>
        </is>
      </c>
      <c r="J2010" s="8" t="n">
        <v>10.5</v>
      </c>
      <c r="K2010" s="8" t="n">
        <v>7.5</v>
      </c>
      <c r="L2010" s="8" t="n">
        <v>3</v>
      </c>
      <c r="M2010" s="29" t="inlineStr">
        <is>
          <t>HALİL DİĞRENCİ</t>
        </is>
      </c>
    </row>
    <row r="2011">
      <c r="A2011" s="4" t="n">
        <v>2010</v>
      </c>
      <c r="B2011" s="4" t="inlineStr">
        <is>
          <t>01424</t>
        </is>
      </c>
      <c r="C2011" s="4" t="inlineStr">
        <is>
          <t>01424</t>
        </is>
      </c>
      <c r="D2011" s="29" t="inlineStr">
        <is>
          <t>İBÜŞRAHİM İMRE</t>
        </is>
      </c>
      <c r="E2011" s="4" t="inlineStr">
        <is>
          <t>Cumartesi</t>
        </is>
      </c>
      <c r="F2011" s="4" t="inlineStr">
        <is>
          <t>3.10.2026</t>
        </is>
      </c>
      <c r="G2011" s="4" t="inlineStr">
        <is>
          <t>19:54</t>
        </is>
      </c>
      <c r="H2011" s="4" t="inlineStr">
        <is>
          <t>3.10.2026</t>
        </is>
      </c>
      <c r="I2011" s="4" t="inlineStr">
        <is>
          <t>07:57</t>
        </is>
      </c>
      <c r="J2011" s="8" t="n">
        <v>10.5</v>
      </c>
      <c r="K2011" s="8" t="n">
        <v>7.5</v>
      </c>
      <c r="L2011" s="8" t="n">
        <v>3</v>
      </c>
      <c r="M2011" s="29" t="inlineStr">
        <is>
          <t>HALİL DİĞRENCİ</t>
        </is>
      </c>
    </row>
    <row r="2012">
      <c r="A2012" s="4" t="n">
        <v>2011</v>
      </c>
      <c r="B2012" s="4" t="inlineStr">
        <is>
          <t>01424</t>
        </is>
      </c>
      <c r="C2012" s="4" t="inlineStr">
        <is>
          <t>01424</t>
        </is>
      </c>
      <c r="D2012" s="29" t="inlineStr">
        <is>
          <t>İBÜŞRAHİM İMRE</t>
        </is>
      </c>
      <c r="E2012" s="4" t="inlineStr">
        <is>
          <t>Pazar</t>
        </is>
      </c>
      <c r="F2012" s="4" t="inlineStr">
        <is>
          <t>4.10.2026</t>
        </is>
      </c>
      <c r="G2012" s="4" t="inlineStr">
        <is>
          <t>20:00</t>
        </is>
      </c>
      <c r="H2012" s="4" t="inlineStr">
        <is>
          <t>4.10.2026</t>
        </is>
      </c>
      <c r="I2012" s="4" t="inlineStr">
        <is>
          <t>08:01</t>
        </is>
      </c>
      <c r="J2012" s="8" t="n">
        <v>10.5</v>
      </c>
      <c r="K2012" s="8" t="n">
        <v>7.5</v>
      </c>
      <c r="L2012" s="8" t="n">
        <v>3</v>
      </c>
      <c r="M2012" s="29" t="inlineStr">
        <is>
          <t>HALİL DİĞRENCİ</t>
        </is>
      </c>
    </row>
    <row r="2013">
      <c r="A2013" s="4" t="n">
        <v>2012</v>
      </c>
      <c r="B2013" s="4" t="inlineStr">
        <is>
          <t>01424</t>
        </is>
      </c>
      <c r="C2013" s="4" t="inlineStr">
        <is>
          <t>01424</t>
        </is>
      </c>
      <c r="D2013" s="29" t="inlineStr">
        <is>
          <t>İBÜŞRAHİM İMRE</t>
        </is>
      </c>
      <c r="E2013" s="4" t="inlineStr">
        <is>
          <t>Salı</t>
        </is>
      </c>
      <c r="F2013" s="4" t="inlineStr">
        <is>
          <t>6.10.2026</t>
        </is>
      </c>
      <c r="G2013" s="4" t="inlineStr">
        <is>
          <t>19:52</t>
        </is>
      </c>
      <c r="H2013" s="4" t="inlineStr">
        <is>
          <t>6.10.2026</t>
        </is>
      </c>
      <c r="I2013" s="4" t="inlineStr">
        <is>
          <t>08:01</t>
        </is>
      </c>
      <c r="J2013" s="8" t="n">
        <v>10.5</v>
      </c>
      <c r="K2013" s="8" t="n">
        <v>7.5</v>
      </c>
      <c r="L2013" s="8" t="n">
        <v>3</v>
      </c>
      <c r="M2013" s="29" t="inlineStr">
        <is>
          <t>HALİL DİĞRENCİ</t>
        </is>
      </c>
    </row>
    <row r="2014">
      <c r="A2014" s="4" t="n">
        <v>2013</v>
      </c>
      <c r="B2014" s="4" t="inlineStr">
        <is>
          <t>01424</t>
        </is>
      </c>
      <c r="C2014" s="4" t="inlineStr">
        <is>
          <t>01424</t>
        </is>
      </c>
      <c r="D2014" s="29" t="inlineStr">
        <is>
          <t>İBÜŞRAHİM İMRE</t>
        </is>
      </c>
      <c r="E2014" s="4" t="inlineStr">
        <is>
          <t>Çarşamba</t>
        </is>
      </c>
      <c r="F2014" s="4" t="inlineStr">
        <is>
          <t>7.10.2026</t>
        </is>
      </c>
      <c r="G2014" s="4" t="inlineStr">
        <is>
          <t>19:59</t>
        </is>
      </c>
      <c r="H2014" s="4" t="inlineStr">
        <is>
          <t>7.10.2026</t>
        </is>
      </c>
      <c r="I2014" s="4" t="inlineStr">
        <is>
          <t>07:56</t>
        </is>
      </c>
      <c r="J2014" s="8" t="n">
        <v>10.5</v>
      </c>
      <c r="K2014" s="8" t="n">
        <v>7.5</v>
      </c>
      <c r="L2014" s="8" t="n">
        <v>3</v>
      </c>
      <c r="M2014" s="29" t="inlineStr">
        <is>
          <t>HALİL DİĞRENCİ</t>
        </is>
      </c>
    </row>
    <row r="2015">
      <c r="A2015" s="4" t="n">
        <v>2014</v>
      </c>
      <c r="B2015" s="4" t="inlineStr">
        <is>
          <t>01424</t>
        </is>
      </c>
      <c r="C2015" s="4" t="inlineStr">
        <is>
          <t>01424</t>
        </is>
      </c>
      <c r="D2015" s="29" t="inlineStr">
        <is>
          <t>İBÜŞRAHİM İMRE</t>
        </is>
      </c>
      <c r="E2015" s="4" t="inlineStr">
        <is>
          <t>Perşembe</t>
        </is>
      </c>
      <c r="F2015" s="4" t="inlineStr">
        <is>
          <t>8.10.2026</t>
        </is>
      </c>
      <c r="G2015" s="4" t="inlineStr">
        <is>
          <t>19:59</t>
        </is>
      </c>
      <c r="H2015" s="4" t="inlineStr">
        <is>
          <t>8.10.2026</t>
        </is>
      </c>
      <c r="I2015" s="4" t="inlineStr">
        <is>
          <t>08:02</t>
        </is>
      </c>
      <c r="J2015" s="8" t="n">
        <v>10.5</v>
      </c>
      <c r="K2015" s="8" t="n">
        <v>7.5</v>
      </c>
      <c r="L2015" s="8" t="n">
        <v>3</v>
      </c>
      <c r="M2015" s="29" t="inlineStr">
        <is>
          <t>HALİL DİĞRENCİ</t>
        </is>
      </c>
    </row>
    <row r="2016">
      <c r="A2016" s="4" t="n">
        <v>2015</v>
      </c>
      <c r="B2016" s="4" t="inlineStr">
        <is>
          <t>01424</t>
        </is>
      </c>
      <c r="C2016" s="4" t="inlineStr">
        <is>
          <t>01424</t>
        </is>
      </c>
      <c r="D2016" s="29" t="inlineStr">
        <is>
          <t>İBÜŞRAHİM İMRE</t>
        </is>
      </c>
      <c r="E2016" s="4" t="inlineStr">
        <is>
          <t>Cuma</t>
        </is>
      </c>
      <c r="F2016" s="4" t="inlineStr">
        <is>
          <t>9.10.2026</t>
        </is>
      </c>
      <c r="G2016" s="4" t="inlineStr">
        <is>
          <t>20:06</t>
        </is>
      </c>
      <c r="H2016" s="4" t="inlineStr">
        <is>
          <t>9.10.2026</t>
        </is>
      </c>
      <c r="I2016" s="4" t="inlineStr">
        <is>
          <t>08:00</t>
        </is>
      </c>
      <c r="J2016" s="8" t="n">
        <v>10.5</v>
      </c>
      <c r="K2016" s="8" t="n">
        <v>7.5</v>
      </c>
      <c r="L2016" s="8" t="n">
        <v>3</v>
      </c>
      <c r="M2016" s="29" t="inlineStr">
        <is>
          <t>HALİL DİĞRENCİ</t>
        </is>
      </c>
    </row>
    <row r="2017">
      <c r="A2017" s="4" t="n">
        <v>2016</v>
      </c>
      <c r="B2017" s="4" t="inlineStr">
        <is>
          <t>01424</t>
        </is>
      </c>
      <c r="C2017" s="4" t="inlineStr">
        <is>
          <t>01424</t>
        </is>
      </c>
      <c r="D2017" s="29" t="inlineStr">
        <is>
          <t>İBÜŞRAHİM İMRE</t>
        </is>
      </c>
      <c r="E2017" s="4" t="inlineStr">
        <is>
          <t>Cumartesi</t>
        </is>
      </c>
      <c r="F2017" s="4" t="inlineStr">
        <is>
          <t>10.10.2026</t>
        </is>
      </c>
      <c r="G2017" s="4" t="inlineStr">
        <is>
          <t>20:13</t>
        </is>
      </c>
      <c r="H2017" s="4" t="inlineStr">
        <is>
          <t>10.10.2026</t>
        </is>
      </c>
      <c r="I2017" s="4" t="inlineStr">
        <is>
          <t>08:05</t>
        </is>
      </c>
      <c r="J2017" s="8" t="n">
        <v>10.5</v>
      </c>
      <c r="K2017" s="8" t="n">
        <v>7.5</v>
      </c>
      <c r="L2017" s="8" t="n">
        <v>3</v>
      </c>
      <c r="M2017" s="29" t="inlineStr">
        <is>
          <t>HALİL DİĞRENCİ</t>
        </is>
      </c>
    </row>
    <row r="2018">
      <c r="A2018" s="4" t="n">
        <v>2017</v>
      </c>
      <c r="B2018" s="4" t="inlineStr">
        <is>
          <t>01424</t>
        </is>
      </c>
      <c r="C2018" s="4" t="inlineStr">
        <is>
          <t>01424</t>
        </is>
      </c>
      <c r="D2018" s="29" t="inlineStr">
        <is>
          <t>İBÜŞRAHİM İMRE</t>
        </is>
      </c>
      <c r="E2018" s="4" t="inlineStr">
        <is>
          <t>Pazar</t>
        </is>
      </c>
      <c r="F2018" s="4" t="inlineStr">
        <is>
          <t>11.10.2026</t>
        </is>
      </c>
      <c r="G2018" s="4" t="inlineStr">
        <is>
          <t>20:18</t>
        </is>
      </c>
      <c r="H2018" s="4" t="inlineStr">
        <is>
          <t>11.10.2026</t>
        </is>
      </c>
      <c r="I2018" s="4" t="inlineStr">
        <is>
          <t>08:02</t>
        </is>
      </c>
      <c r="J2018" s="8" t="n">
        <v>10.5</v>
      </c>
      <c r="K2018" s="8" t="n">
        <v>7.5</v>
      </c>
      <c r="L2018" s="8" t="n">
        <v>3</v>
      </c>
      <c r="M2018" s="29" t="inlineStr">
        <is>
          <t>HALİL DİĞRENCİ</t>
        </is>
      </c>
    </row>
    <row r="2019">
      <c r="A2019" s="4" t="n">
        <v>2018</v>
      </c>
      <c r="B2019" s="4" t="inlineStr">
        <is>
          <t>01424</t>
        </is>
      </c>
      <c r="C2019" s="4" t="inlineStr">
        <is>
          <t>01424</t>
        </is>
      </c>
      <c r="D2019" s="29" t="inlineStr">
        <is>
          <t>İBÜŞRAHİM İMRE</t>
        </is>
      </c>
      <c r="E2019" s="4" t="inlineStr">
        <is>
          <t>Salı</t>
        </is>
      </c>
      <c r="F2019" s="4" t="inlineStr">
        <is>
          <t>13.10.2026</t>
        </is>
      </c>
      <c r="G2019" s="4" t="inlineStr">
        <is>
          <t>20:01</t>
        </is>
      </c>
      <c r="H2019" s="4" t="inlineStr">
        <is>
          <t>13.10.2026</t>
        </is>
      </c>
      <c r="I2019" s="4" t="inlineStr">
        <is>
          <t>07:58</t>
        </is>
      </c>
      <c r="J2019" s="8" t="n">
        <v>10.5</v>
      </c>
      <c r="K2019" s="8" t="n">
        <v>7.5</v>
      </c>
      <c r="L2019" s="8" t="n">
        <v>3</v>
      </c>
      <c r="M2019" s="29" t="inlineStr">
        <is>
          <t>HALİL DİĞRENCİ</t>
        </is>
      </c>
    </row>
    <row r="2020">
      <c r="A2020" s="4" t="n">
        <v>2019</v>
      </c>
      <c r="B2020" s="4" t="inlineStr">
        <is>
          <t>01424</t>
        </is>
      </c>
      <c r="C2020" s="4" t="inlineStr">
        <is>
          <t>01424</t>
        </is>
      </c>
      <c r="D2020" s="29" t="inlineStr">
        <is>
          <t>İBÜŞRAHİM İMRE</t>
        </is>
      </c>
      <c r="E2020" s="4" t="inlineStr">
        <is>
          <t>Çarşamba</t>
        </is>
      </c>
      <c r="F2020" s="4" t="inlineStr">
        <is>
          <t>14.10.2026</t>
        </is>
      </c>
      <c r="G2020" s="4" t="inlineStr">
        <is>
          <t>20:17</t>
        </is>
      </c>
      <c r="H2020" s="4" t="inlineStr">
        <is>
          <t>14.10.2026</t>
        </is>
      </c>
      <c r="I2020" s="4" t="inlineStr">
        <is>
          <t>08:03</t>
        </is>
      </c>
      <c r="J2020" s="8" t="n">
        <v>10.5</v>
      </c>
      <c r="K2020" s="8" t="n">
        <v>7.5</v>
      </c>
      <c r="L2020" s="8" t="n">
        <v>3</v>
      </c>
      <c r="M2020" s="29" t="inlineStr">
        <is>
          <t>HALİL DİĞRENCİ</t>
        </is>
      </c>
    </row>
    <row r="2021">
      <c r="A2021" s="4" t="n">
        <v>2020</v>
      </c>
      <c r="B2021" s="4" t="inlineStr">
        <is>
          <t>01424</t>
        </is>
      </c>
      <c r="C2021" s="4" t="inlineStr">
        <is>
          <t>01424</t>
        </is>
      </c>
      <c r="D2021" s="29" t="inlineStr">
        <is>
          <t>İBÜŞRAHİM İMRE</t>
        </is>
      </c>
      <c r="E2021" s="4" t="inlineStr">
        <is>
          <t>Perşembe</t>
        </is>
      </c>
      <c r="F2021" s="4" t="inlineStr">
        <is>
          <t>15.10.2026</t>
        </is>
      </c>
      <c r="G2021" s="4" t="inlineStr">
        <is>
          <t>20:12</t>
        </is>
      </c>
      <c r="H2021" s="4" t="inlineStr">
        <is>
          <t>15.10.2026</t>
        </is>
      </c>
      <c r="I2021" s="4" t="inlineStr">
        <is>
          <t>08:01</t>
        </is>
      </c>
      <c r="J2021" s="8" t="n">
        <v>10.5</v>
      </c>
      <c r="K2021" s="8" t="n">
        <v>7.5</v>
      </c>
      <c r="L2021" s="8" t="n">
        <v>3</v>
      </c>
      <c r="M2021" s="29" t="inlineStr">
        <is>
          <t>HALİL DİĞRENCİ</t>
        </is>
      </c>
    </row>
    <row r="2022">
      <c r="A2022" s="4" t="n">
        <v>2021</v>
      </c>
      <c r="B2022" s="4" t="inlineStr">
        <is>
          <t>01424</t>
        </is>
      </c>
      <c r="C2022" s="4" t="inlineStr">
        <is>
          <t>01424</t>
        </is>
      </c>
      <c r="D2022" s="29" t="inlineStr">
        <is>
          <t>İBÜŞRAHİM İMRE</t>
        </is>
      </c>
      <c r="E2022" s="4" t="inlineStr">
        <is>
          <t>Pazar</t>
        </is>
      </c>
      <c r="F2022" s="4" t="inlineStr">
        <is>
          <t>18.10.2026</t>
        </is>
      </c>
      <c r="G2022" s="4" t="inlineStr">
        <is>
          <t>08:17</t>
        </is>
      </c>
      <c r="H2022" s="4" t="inlineStr">
        <is>
          <t>18.10.2026</t>
        </is>
      </c>
      <c r="I2022" s="4" t="inlineStr">
        <is>
          <t>20:01</t>
        </is>
      </c>
      <c r="J2022" s="8" t="n">
        <v>10.5</v>
      </c>
      <c r="K2022" s="8" t="n">
        <v>7.5</v>
      </c>
      <c r="L2022" s="8" t="n">
        <v>3</v>
      </c>
      <c r="M2022" s="29" t="inlineStr">
        <is>
          <t>HALİL DİĞRENCİ</t>
        </is>
      </c>
    </row>
    <row r="2023">
      <c r="A2023" s="4" t="n">
        <v>2022</v>
      </c>
      <c r="B2023" s="4" t="inlineStr">
        <is>
          <t>01424</t>
        </is>
      </c>
      <c r="C2023" s="4" t="inlineStr">
        <is>
          <t>01424</t>
        </is>
      </c>
      <c r="D2023" s="29" t="inlineStr">
        <is>
          <t>İBÜŞRAHİM İMRE</t>
        </is>
      </c>
      <c r="E2023" s="4" t="inlineStr">
        <is>
          <t>Pazartesi</t>
        </is>
      </c>
      <c r="F2023" s="4" t="inlineStr">
        <is>
          <t>19.10.2026</t>
        </is>
      </c>
      <c r="G2023" s="4" t="inlineStr">
        <is>
          <t>19:51</t>
        </is>
      </c>
      <c r="H2023" s="4" t="inlineStr">
        <is>
          <t>19.10.2026</t>
        </is>
      </c>
      <c r="I2023" s="4" t="inlineStr">
        <is>
          <t>08:01</t>
        </is>
      </c>
      <c r="J2023" s="8" t="n">
        <v>10.5</v>
      </c>
      <c r="K2023" s="8" t="n">
        <v>7.5</v>
      </c>
      <c r="L2023" s="8" t="n">
        <v>3</v>
      </c>
      <c r="M2023" s="29" t="inlineStr">
        <is>
          <t>HALİL DİĞRENCİ</t>
        </is>
      </c>
    </row>
    <row r="2024">
      <c r="A2024" s="4" t="n">
        <v>2023</v>
      </c>
      <c r="B2024" s="4" t="inlineStr">
        <is>
          <t>01423</t>
        </is>
      </c>
      <c r="C2024" s="4" t="inlineStr">
        <is>
          <t>01423</t>
        </is>
      </c>
      <c r="D2024" s="29" t="inlineStr">
        <is>
          <t>İBÜŞRAHİM HALİL ALPAN</t>
        </is>
      </c>
      <c r="E2024" s="4" t="inlineStr">
        <is>
          <t>Cumartesi</t>
        </is>
      </c>
      <c r="F2024" s="4" t="inlineStr">
        <is>
          <t>3.10.2026</t>
        </is>
      </c>
      <c r="G2024" s="4" t="inlineStr">
        <is>
          <t>-</t>
        </is>
      </c>
      <c r="H2024" s="4" t="inlineStr">
        <is>
          <t>3.10.2026</t>
        </is>
      </c>
      <c r="I2024" s="4" t="inlineStr">
        <is>
          <t>17:42</t>
        </is>
      </c>
      <c r="J2024" s="8" t="n">
        <v>8</v>
      </c>
      <c r="K2024" s="8" t="n">
        <v>7.5</v>
      </c>
      <c r="L2024" s="8" t="n">
        <v>0.5</v>
      </c>
      <c r="M2024" s="29" t="inlineStr">
        <is>
          <t>HALİL DİĞRENCİ</t>
        </is>
      </c>
    </row>
    <row r="2025">
      <c r="A2025" s="4" t="n">
        <v>2024</v>
      </c>
      <c r="B2025" s="4" t="inlineStr">
        <is>
          <t>01423</t>
        </is>
      </c>
      <c r="C2025" s="4" t="inlineStr">
        <is>
          <t>01423</t>
        </is>
      </c>
      <c r="D2025" s="29" t="inlineStr">
        <is>
          <t>İBÜŞRAHİM HALİL ALPAN</t>
        </is>
      </c>
      <c r="E2025" s="4" t="inlineStr">
        <is>
          <t>Pazartesi</t>
        </is>
      </c>
      <c r="F2025" s="4" t="inlineStr">
        <is>
          <t>5.10.2026</t>
        </is>
      </c>
      <c r="G2025" s="4" t="inlineStr">
        <is>
          <t>07:50</t>
        </is>
      </c>
      <c r="H2025" s="4" t="inlineStr">
        <is>
          <t>5.10.2026</t>
        </is>
      </c>
      <c r="I2025" s="4" t="inlineStr">
        <is>
          <t>17:06</t>
        </is>
      </c>
      <c r="J2025" s="8" t="n">
        <v>0</v>
      </c>
      <c r="K2025" s="8" t="n">
        <v>0</v>
      </c>
      <c r="L2025" s="8" t="n">
        <v>0</v>
      </c>
      <c r="M2025" s="29" t="inlineStr">
        <is>
          <t>HALİL DİĞRENCİ</t>
        </is>
      </c>
    </row>
    <row r="2026">
      <c r="A2026" s="4" t="n">
        <v>2025</v>
      </c>
      <c r="B2026" s="4" t="inlineStr">
        <is>
          <t>01423</t>
        </is>
      </c>
      <c r="C2026" s="4" t="inlineStr">
        <is>
          <t>01423</t>
        </is>
      </c>
      <c r="D2026" s="29" t="inlineStr">
        <is>
          <t>İBÜŞRAHİM HALİL ALPAN</t>
        </is>
      </c>
      <c r="E2026" s="4" t="inlineStr">
        <is>
          <t>Salı</t>
        </is>
      </c>
      <c r="F2026" s="4" t="inlineStr">
        <is>
          <t>6.10.2026</t>
        </is>
      </c>
      <c r="G2026" s="4" t="inlineStr">
        <is>
          <t>08:02</t>
        </is>
      </c>
      <c r="H2026" s="4" t="inlineStr">
        <is>
          <t>6.10.2026</t>
        </is>
      </c>
      <c r="I2026" s="4" t="inlineStr">
        <is>
          <t>17:43</t>
        </is>
      </c>
      <c r="J2026" s="8" t="n">
        <v>8</v>
      </c>
      <c r="K2026" s="8" t="n">
        <v>7.5</v>
      </c>
      <c r="L2026" s="8" t="n">
        <v>0.5</v>
      </c>
      <c r="M2026" s="29" t="inlineStr">
        <is>
          <t>HALİL DİĞRENCİ</t>
        </is>
      </c>
    </row>
    <row r="2027">
      <c r="A2027" s="4" t="n">
        <v>2026</v>
      </c>
      <c r="B2027" s="4" t="inlineStr">
        <is>
          <t>01423</t>
        </is>
      </c>
      <c r="C2027" s="4" t="inlineStr">
        <is>
          <t>01423</t>
        </is>
      </c>
      <c r="D2027" s="29" t="inlineStr">
        <is>
          <t>İBÜŞRAHİM HALİL ALPAN</t>
        </is>
      </c>
      <c r="E2027" s="4" t="inlineStr">
        <is>
          <t>Çarşamba</t>
        </is>
      </c>
      <c r="F2027" s="4" t="inlineStr">
        <is>
          <t>7.10.2026</t>
        </is>
      </c>
      <c r="G2027" s="4" t="inlineStr">
        <is>
          <t>07:54</t>
        </is>
      </c>
      <c r="H2027" s="4" t="inlineStr">
        <is>
          <t>7.10.2026</t>
        </is>
      </c>
      <c r="I2027" s="4" t="inlineStr">
        <is>
          <t>17:26</t>
        </is>
      </c>
      <c r="J2027" s="8" t="n">
        <v>8</v>
      </c>
      <c r="K2027" s="8" t="n">
        <v>7.5</v>
      </c>
      <c r="L2027" s="8" t="n">
        <v>0.5</v>
      </c>
      <c r="M2027" s="29" t="inlineStr">
        <is>
          <t>HALİL DİĞRENCİ</t>
        </is>
      </c>
    </row>
    <row r="2028">
      <c r="A2028" s="4" t="n">
        <v>2027</v>
      </c>
      <c r="B2028" s="4" t="inlineStr">
        <is>
          <t>01423</t>
        </is>
      </c>
      <c r="C2028" s="4" t="inlineStr">
        <is>
          <t>01423</t>
        </is>
      </c>
      <c r="D2028" s="29" t="inlineStr">
        <is>
          <t>İBÜŞRAHİM HALİL ALPAN</t>
        </is>
      </c>
      <c r="E2028" s="4" t="inlineStr">
        <is>
          <t>Perşembe</t>
        </is>
      </c>
      <c r="F2028" s="4" t="inlineStr">
        <is>
          <t>8.10.2026</t>
        </is>
      </c>
      <c r="G2028" s="4" t="inlineStr">
        <is>
          <t>07:55</t>
        </is>
      </c>
      <c r="H2028" s="4" t="inlineStr">
        <is>
          <t>8.10.2026</t>
        </is>
      </c>
      <c r="I2028" s="4" t="inlineStr">
        <is>
          <t>17:31</t>
        </is>
      </c>
      <c r="J2028" s="8" t="n">
        <v>8</v>
      </c>
      <c r="K2028" s="8" t="n">
        <v>7.5</v>
      </c>
      <c r="L2028" s="8" t="n">
        <v>0.5</v>
      </c>
      <c r="M2028" s="29" t="inlineStr">
        <is>
          <t>HALİL DİĞRENCİ</t>
        </is>
      </c>
    </row>
    <row r="2029">
      <c r="A2029" s="4" t="n">
        <v>2028</v>
      </c>
      <c r="B2029" s="4" t="inlineStr">
        <is>
          <t>01423</t>
        </is>
      </c>
      <c r="C2029" s="4" t="inlineStr">
        <is>
          <t>01423</t>
        </is>
      </c>
      <c r="D2029" s="29" t="inlineStr">
        <is>
          <t>İBÜŞRAHİM HALİL ALPAN</t>
        </is>
      </c>
      <c r="E2029" s="4" t="inlineStr">
        <is>
          <t>Cuma</t>
        </is>
      </c>
      <c r="F2029" s="4" t="inlineStr">
        <is>
          <t>9.10.2026</t>
        </is>
      </c>
      <c r="G2029" s="4" t="inlineStr">
        <is>
          <t>07:51</t>
        </is>
      </c>
      <c r="H2029" s="4" t="inlineStr">
        <is>
          <t>9.10.2026</t>
        </is>
      </c>
      <c r="I2029" s="4" t="inlineStr">
        <is>
          <t>17:40</t>
        </is>
      </c>
      <c r="J2029" s="8" t="n">
        <v>8</v>
      </c>
      <c r="K2029" s="8" t="n">
        <v>7.5</v>
      </c>
      <c r="L2029" s="8" t="n">
        <v>0.5</v>
      </c>
      <c r="M2029" s="29" t="inlineStr">
        <is>
          <t>HALİL DİĞRENCİ</t>
        </is>
      </c>
    </row>
    <row r="2030">
      <c r="A2030" s="4" t="n">
        <v>2029</v>
      </c>
      <c r="B2030" s="4" t="inlineStr">
        <is>
          <t>01423</t>
        </is>
      </c>
      <c r="C2030" s="4" t="inlineStr">
        <is>
          <t>01423</t>
        </is>
      </c>
      <c r="D2030" s="29" t="inlineStr">
        <is>
          <t>İBÜŞRAHİM HALİL ALPAN</t>
        </is>
      </c>
      <c r="E2030" s="4" t="inlineStr">
        <is>
          <t>Cumartesi</t>
        </is>
      </c>
      <c r="F2030" s="4" t="inlineStr">
        <is>
          <t>10.10.2026</t>
        </is>
      </c>
      <c r="G2030" s="4" t="inlineStr">
        <is>
          <t>07:50</t>
        </is>
      </c>
      <c r="H2030" s="4" t="inlineStr">
        <is>
          <t>10.10.2026</t>
        </is>
      </c>
      <c r="I2030" s="4" t="inlineStr">
        <is>
          <t>18:11</t>
        </is>
      </c>
      <c r="J2030" s="8" t="n">
        <v>8.5</v>
      </c>
      <c r="K2030" s="8" t="n">
        <v>7.5</v>
      </c>
      <c r="L2030" s="8" t="n">
        <v>1</v>
      </c>
      <c r="M2030" s="29" t="inlineStr">
        <is>
          <t>HALİL DİĞRENCİ</t>
        </is>
      </c>
    </row>
    <row r="2031">
      <c r="A2031" s="4" t="n">
        <v>2030</v>
      </c>
      <c r="B2031" s="4" t="inlineStr">
        <is>
          <t>01423</t>
        </is>
      </c>
      <c r="C2031" s="4" t="inlineStr">
        <is>
          <t>01423</t>
        </is>
      </c>
      <c r="D2031" s="29" t="inlineStr">
        <is>
          <t>İBÜŞRAHİM HALİL ALPAN</t>
        </is>
      </c>
      <c r="E2031" s="4" t="inlineStr">
        <is>
          <t>Salı</t>
        </is>
      </c>
      <c r="F2031" s="4" t="inlineStr">
        <is>
          <t>13.10.2026</t>
        </is>
      </c>
      <c r="G2031" s="4" t="inlineStr">
        <is>
          <t>07:51</t>
        </is>
      </c>
      <c r="H2031" s="4" t="inlineStr">
        <is>
          <t>13.10.2026</t>
        </is>
      </c>
      <c r="I2031" s="4" t="inlineStr">
        <is>
          <t>17:03</t>
        </is>
      </c>
      <c r="J2031" s="8" t="n">
        <v>7.5</v>
      </c>
      <c r="K2031" s="8" t="n">
        <v>7.5</v>
      </c>
      <c r="L2031" s="8" t="n">
        <v>0</v>
      </c>
      <c r="M2031" s="29" t="inlineStr">
        <is>
          <t>HALİL DİĞRENCİ</t>
        </is>
      </c>
    </row>
    <row r="2032">
      <c r="A2032" s="4" t="n">
        <v>2031</v>
      </c>
      <c r="B2032" s="4" t="inlineStr">
        <is>
          <t>01423</t>
        </is>
      </c>
      <c r="C2032" s="4" t="inlineStr">
        <is>
          <t>01423</t>
        </is>
      </c>
      <c r="D2032" s="29" t="inlineStr">
        <is>
          <t>İBÜŞRAHİM HALİL ALPAN</t>
        </is>
      </c>
      <c r="E2032" s="4" t="inlineStr">
        <is>
          <t>Perşembe</t>
        </is>
      </c>
      <c r="F2032" s="4" t="inlineStr">
        <is>
          <t>15.10.2026</t>
        </is>
      </c>
      <c r="G2032" s="4" t="inlineStr">
        <is>
          <t>07:55</t>
        </is>
      </c>
      <c r="H2032" s="4" t="inlineStr">
        <is>
          <t>15.10.2026</t>
        </is>
      </c>
      <c r="I2032" s="4" t="inlineStr">
        <is>
          <t>17:04</t>
        </is>
      </c>
      <c r="J2032" s="8" t="n">
        <v>7.5</v>
      </c>
      <c r="K2032" s="8" t="n">
        <v>7.5</v>
      </c>
      <c r="L2032" s="8" t="n">
        <v>0</v>
      </c>
      <c r="M2032" s="29" t="inlineStr">
        <is>
          <t>HALİL DİĞRENCİ</t>
        </is>
      </c>
    </row>
    <row r="2033">
      <c r="A2033" s="4" t="n">
        <v>2032</v>
      </c>
      <c r="B2033" s="4" t="inlineStr">
        <is>
          <t>01423</t>
        </is>
      </c>
      <c r="C2033" s="4" t="inlineStr">
        <is>
          <t>01423</t>
        </is>
      </c>
      <c r="D2033" s="29" t="inlineStr">
        <is>
          <t>İBÜŞRAHİM HALİL ALPAN</t>
        </is>
      </c>
      <c r="E2033" s="4" t="inlineStr">
        <is>
          <t>Cuma</t>
        </is>
      </c>
      <c r="F2033" s="4" t="inlineStr">
        <is>
          <t>16.10.2026</t>
        </is>
      </c>
      <c r="G2033" s="4" t="inlineStr">
        <is>
          <t>07:53</t>
        </is>
      </c>
      <c r="H2033" s="4" t="inlineStr">
        <is>
          <t>16.10.2026</t>
        </is>
      </c>
      <c r="I2033" s="4" t="inlineStr">
        <is>
          <t>17:17</t>
        </is>
      </c>
      <c r="J2033" s="8" t="n">
        <v>7.5</v>
      </c>
      <c r="K2033" s="8" t="n">
        <v>7.5</v>
      </c>
      <c r="L2033" s="8" t="n">
        <v>0</v>
      </c>
      <c r="M2033" s="29" t="inlineStr">
        <is>
          <t>HALİL DİĞRENCİ</t>
        </is>
      </c>
    </row>
    <row r="2034">
      <c r="A2034" s="4" t="n">
        <v>2033</v>
      </c>
      <c r="B2034" s="4" t="inlineStr">
        <is>
          <t>01423</t>
        </is>
      </c>
      <c r="C2034" s="4" t="inlineStr">
        <is>
          <t>01423</t>
        </is>
      </c>
      <c r="D2034" s="29" t="inlineStr">
        <is>
          <t>İBÜŞRAHİM HALİL ALPAN</t>
        </is>
      </c>
      <c r="E2034" s="4" t="inlineStr">
        <is>
          <t>Cumartesi</t>
        </is>
      </c>
      <c r="F2034" s="4" t="inlineStr">
        <is>
          <t>17.10.2026</t>
        </is>
      </c>
      <c r="G2034" s="4" t="inlineStr">
        <is>
          <t>07:53</t>
        </is>
      </c>
      <c r="H2034" s="4" t="inlineStr">
        <is>
          <t>17.10.2026</t>
        </is>
      </c>
      <c r="I2034" s="4" t="inlineStr">
        <is>
          <t>17:47</t>
        </is>
      </c>
      <c r="J2034" s="8" t="n">
        <v>8.5</v>
      </c>
      <c r="K2034" s="8" t="n">
        <v>7.5</v>
      </c>
      <c r="L2034" s="8" t="n">
        <v>1</v>
      </c>
      <c r="M2034" s="29" t="inlineStr">
        <is>
          <t>HALİL DİĞRENCİ</t>
        </is>
      </c>
    </row>
    <row r="2035">
      <c r="A2035" s="4" t="n">
        <v>2034</v>
      </c>
      <c r="B2035" s="4" t="inlineStr">
        <is>
          <t>01423</t>
        </is>
      </c>
      <c r="C2035" s="4" t="inlineStr">
        <is>
          <t>01423</t>
        </is>
      </c>
      <c r="D2035" s="29" t="inlineStr">
        <is>
          <t>İBÜŞRAHİM HALİL ALPAN</t>
        </is>
      </c>
      <c r="E2035" s="4" t="inlineStr">
        <is>
          <t>Pazartesi</t>
        </is>
      </c>
      <c r="F2035" s="4" t="inlineStr">
        <is>
          <t>19.10.2026</t>
        </is>
      </c>
      <c r="G2035" s="4" t="inlineStr">
        <is>
          <t>07:52</t>
        </is>
      </c>
      <c r="H2035" s="4" t="inlineStr">
        <is>
          <t>19.10.2026</t>
        </is>
      </c>
      <c r="I2035" s="4" t="inlineStr">
        <is>
          <t>17:42</t>
        </is>
      </c>
      <c r="J2035" s="8" t="n">
        <v>8</v>
      </c>
      <c r="K2035" s="8" t="n">
        <v>7.5</v>
      </c>
      <c r="L2035" s="8" t="n">
        <v>0.5</v>
      </c>
      <c r="M2035" s="29" t="inlineStr">
        <is>
          <t>HALİL DİĞRENCİ</t>
        </is>
      </c>
    </row>
    <row r="2036">
      <c r="A2036" s="4" t="n">
        <v>2035</v>
      </c>
      <c r="B2036" s="4" t="inlineStr">
        <is>
          <t>01423</t>
        </is>
      </c>
      <c r="C2036" s="4" t="inlineStr">
        <is>
          <t>01423</t>
        </is>
      </c>
      <c r="D2036" s="29" t="inlineStr">
        <is>
          <t>İBÜŞRAHİM HALİL ALPAN</t>
        </is>
      </c>
      <c r="E2036" s="4" t="inlineStr">
        <is>
          <t>Salı</t>
        </is>
      </c>
      <c r="F2036" s="4" t="inlineStr">
        <is>
          <t>20.10.2026</t>
        </is>
      </c>
      <c r="G2036" s="4" t="inlineStr">
        <is>
          <t>07:52</t>
        </is>
      </c>
      <c r="H2036" s="4" t="inlineStr">
        <is>
          <t>20.10.2026</t>
        </is>
      </c>
      <c r="I2036" s="4" t="inlineStr">
        <is>
          <t>16:59</t>
        </is>
      </c>
      <c r="J2036" s="8" t="n">
        <v>0</v>
      </c>
      <c r="K2036" s="8" t="n">
        <v>0</v>
      </c>
      <c r="L2036" s="8" t="n">
        <v>0</v>
      </c>
      <c r="M2036" s="29" t="inlineStr">
        <is>
          <t>HALİL DİĞRENCİ</t>
        </is>
      </c>
    </row>
    <row r="2037">
      <c r="A2037" s="4" t="n">
        <v>2036</v>
      </c>
      <c r="B2037" s="4" t="inlineStr">
        <is>
          <t>01539</t>
        </is>
      </c>
      <c r="C2037" s="4" t="inlineStr">
        <is>
          <t>01539</t>
        </is>
      </c>
      <c r="D2037" s="29" t="inlineStr">
        <is>
          <t>İDAL DÖNER</t>
        </is>
      </c>
      <c r="E2037" s="4" t="inlineStr">
        <is>
          <t>Cuma</t>
        </is>
      </c>
      <c r="F2037" s="4" t="inlineStr">
        <is>
          <t>9.10.2026</t>
        </is>
      </c>
      <c r="G2037" s="4" t="inlineStr">
        <is>
          <t>15:05</t>
        </is>
      </c>
      <c r="H2037" s="4" t="inlineStr">
        <is>
          <t>9.10.2026</t>
        </is>
      </c>
      <c r="I2037" s="4" t="inlineStr">
        <is>
          <t>20:01</t>
        </is>
      </c>
      <c r="J2037" s="8" t="n">
        <v>4.5</v>
      </c>
      <c r="K2037" s="8" t="n">
        <v>4.5</v>
      </c>
      <c r="L2037" s="8" t="n">
        <v>0</v>
      </c>
      <c r="M2037" s="29" t="inlineStr">
        <is>
          <t>HALİL DİĞRENCİ</t>
        </is>
      </c>
    </row>
    <row r="2038">
      <c r="A2038" s="4" t="n">
        <v>2037</v>
      </c>
      <c r="B2038" s="4" t="inlineStr">
        <is>
          <t>01539</t>
        </is>
      </c>
      <c r="C2038" s="4" t="inlineStr">
        <is>
          <t>01539</t>
        </is>
      </c>
      <c r="D2038" s="29" t="inlineStr">
        <is>
          <t>İDAL DÖNER</t>
        </is>
      </c>
      <c r="E2038" s="4" t="inlineStr">
        <is>
          <t>Cumartesi</t>
        </is>
      </c>
      <c r="F2038" s="4" t="inlineStr">
        <is>
          <t>10.10.2026</t>
        </is>
      </c>
      <c r="G2038" s="4" t="inlineStr">
        <is>
          <t>07:39</t>
        </is>
      </c>
      <c r="H2038" s="4" t="inlineStr">
        <is>
          <t>10.10.2026</t>
        </is>
      </c>
      <c r="I2038" s="4" t="inlineStr">
        <is>
          <t>19:57</t>
        </is>
      </c>
      <c r="J2038" s="8" t="n">
        <v>10.5</v>
      </c>
      <c r="K2038" s="8" t="n">
        <v>7.5</v>
      </c>
      <c r="L2038" s="8" t="n">
        <v>3</v>
      </c>
      <c r="M2038" s="29" t="inlineStr">
        <is>
          <t>HALİL DİĞRENCİ</t>
        </is>
      </c>
    </row>
    <row r="2039">
      <c r="A2039" s="4" t="n">
        <v>2038</v>
      </c>
      <c r="B2039" s="4" t="inlineStr">
        <is>
          <t>01539</t>
        </is>
      </c>
      <c r="C2039" s="4" t="inlineStr">
        <is>
          <t>01539</t>
        </is>
      </c>
      <c r="D2039" s="29" t="inlineStr">
        <is>
          <t>İDAL DÖNER</t>
        </is>
      </c>
      <c r="E2039" s="4" t="inlineStr">
        <is>
          <t>Pazar</t>
        </is>
      </c>
      <c r="F2039" s="4" t="inlineStr">
        <is>
          <t>11.10.2026</t>
        </is>
      </c>
      <c r="G2039" s="4" t="inlineStr">
        <is>
          <t>07:55</t>
        </is>
      </c>
      <c r="H2039" s="4" t="inlineStr">
        <is>
          <t>11.10.2026</t>
        </is>
      </c>
      <c r="I2039" s="4" t="inlineStr">
        <is>
          <t>20:01</t>
        </is>
      </c>
      <c r="J2039" s="8" t="n">
        <v>10.5</v>
      </c>
      <c r="K2039" s="8" t="n">
        <v>7.5</v>
      </c>
      <c r="L2039" s="8" t="n">
        <v>3</v>
      </c>
      <c r="M2039" s="29" t="inlineStr">
        <is>
          <t>HALİL DİĞRENCİ</t>
        </is>
      </c>
    </row>
    <row r="2040">
      <c r="A2040" s="4" t="n">
        <v>2039</v>
      </c>
      <c r="B2040" s="4" t="inlineStr">
        <is>
          <t>01539</t>
        </is>
      </c>
      <c r="C2040" s="4" t="inlineStr">
        <is>
          <t>01539</t>
        </is>
      </c>
      <c r="D2040" s="29" t="inlineStr">
        <is>
          <t>İDAL DÖNER</t>
        </is>
      </c>
      <c r="E2040" s="4" t="inlineStr">
        <is>
          <t>Pazartesi</t>
        </is>
      </c>
      <c r="F2040" s="4" t="inlineStr">
        <is>
          <t>12.10.2026</t>
        </is>
      </c>
      <c r="G2040" s="4" t="inlineStr">
        <is>
          <t>07:40</t>
        </is>
      </c>
      <c r="H2040" s="4" t="inlineStr">
        <is>
          <t>12.10.2026</t>
        </is>
      </c>
      <c r="I2040" s="4" t="inlineStr">
        <is>
          <t>20:02</t>
        </is>
      </c>
      <c r="J2040" s="8" t="n">
        <v>10.5</v>
      </c>
      <c r="K2040" s="8" t="n">
        <v>7.5</v>
      </c>
      <c r="L2040" s="8" t="n">
        <v>3</v>
      </c>
      <c r="M2040" s="29" t="inlineStr">
        <is>
          <t>HALİL DİĞRENCİ</t>
        </is>
      </c>
    </row>
    <row r="2041">
      <c r="A2041" s="4" t="n">
        <v>2040</v>
      </c>
      <c r="B2041" s="4" t="inlineStr">
        <is>
          <t>01539</t>
        </is>
      </c>
      <c r="C2041" s="4" t="inlineStr">
        <is>
          <t>01539</t>
        </is>
      </c>
      <c r="D2041" s="29" t="inlineStr">
        <is>
          <t>İDAL DÖNER</t>
        </is>
      </c>
      <c r="E2041" s="4" t="inlineStr">
        <is>
          <t>Salı</t>
        </is>
      </c>
      <c r="F2041" s="4" t="inlineStr">
        <is>
          <t>13.10.2026</t>
        </is>
      </c>
      <c r="G2041" s="4" t="inlineStr">
        <is>
          <t>07:34</t>
        </is>
      </c>
      <c r="H2041" s="4" t="inlineStr">
        <is>
          <t>13.10.2026</t>
        </is>
      </c>
      <c r="I2041" s="4" t="inlineStr">
        <is>
          <t>17:02</t>
        </is>
      </c>
      <c r="J2041" s="8" t="n">
        <v>7.5</v>
      </c>
      <c r="K2041" s="8" t="n">
        <v>7.5</v>
      </c>
      <c r="L2041" s="8" t="n">
        <v>0</v>
      </c>
      <c r="M2041" s="29" t="inlineStr">
        <is>
          <t>HALİL DİĞRENCİ</t>
        </is>
      </c>
    </row>
    <row r="2042">
      <c r="A2042" s="4" t="n">
        <v>2041</v>
      </c>
      <c r="B2042" s="4" t="inlineStr">
        <is>
          <t>01539</t>
        </is>
      </c>
      <c r="C2042" s="4" t="inlineStr">
        <is>
          <t>01539</t>
        </is>
      </c>
      <c r="D2042" s="29" t="inlineStr">
        <is>
          <t>İDAL DÖNER</t>
        </is>
      </c>
      <c r="E2042" s="4" t="inlineStr">
        <is>
          <t>Çarşamba</t>
        </is>
      </c>
      <c r="F2042" s="4" t="inlineStr">
        <is>
          <t>14.10.2026</t>
        </is>
      </c>
      <c r="G2042" s="4" t="inlineStr">
        <is>
          <t>07:39</t>
        </is>
      </c>
      <c r="H2042" s="4" t="inlineStr">
        <is>
          <t>14.10.2026</t>
        </is>
      </c>
      <c r="I2042" s="4" t="inlineStr">
        <is>
          <t>20:01</t>
        </is>
      </c>
      <c r="J2042" s="8" t="n">
        <v>10.5</v>
      </c>
      <c r="K2042" s="8" t="n">
        <v>7.5</v>
      </c>
      <c r="L2042" s="8" t="n">
        <v>3</v>
      </c>
      <c r="M2042" s="29" t="inlineStr">
        <is>
          <t>HALİL DİĞRENCİ</t>
        </is>
      </c>
    </row>
    <row r="2043">
      <c r="A2043" s="4" t="n">
        <v>2042</v>
      </c>
      <c r="B2043" s="4" t="inlineStr">
        <is>
          <t>01539</t>
        </is>
      </c>
      <c r="C2043" s="4" t="inlineStr">
        <is>
          <t>01539</t>
        </is>
      </c>
      <c r="D2043" s="29" t="inlineStr">
        <is>
          <t>İDAL DÖNER</t>
        </is>
      </c>
      <c r="E2043" s="4" t="inlineStr">
        <is>
          <t>Perşembe</t>
        </is>
      </c>
      <c r="F2043" s="4" t="inlineStr">
        <is>
          <t>15.10.2026</t>
        </is>
      </c>
      <c r="G2043" s="4" t="inlineStr">
        <is>
          <t>07:35</t>
        </is>
      </c>
      <c r="H2043" s="4" t="inlineStr">
        <is>
          <t>15.10.2026</t>
        </is>
      </c>
      <c r="I2043" s="4" t="inlineStr">
        <is>
          <t>20:00</t>
        </is>
      </c>
      <c r="J2043" s="8" t="n">
        <v>10.5</v>
      </c>
      <c r="K2043" s="8" t="n">
        <v>7.5</v>
      </c>
      <c r="L2043" s="8" t="n">
        <v>3</v>
      </c>
      <c r="M2043" s="29" t="inlineStr">
        <is>
          <t>HALİL DİĞRENCİ</t>
        </is>
      </c>
    </row>
    <row r="2044">
      <c r="A2044" s="4" t="n">
        <v>2043</v>
      </c>
      <c r="B2044" s="4" t="inlineStr">
        <is>
          <t>01539</t>
        </is>
      </c>
      <c r="C2044" s="4" t="inlineStr">
        <is>
          <t>01539</t>
        </is>
      </c>
      <c r="D2044" s="29" t="inlineStr">
        <is>
          <t>İDAL DÖNER</t>
        </is>
      </c>
      <c r="E2044" s="4" t="inlineStr">
        <is>
          <t>Pazartesi</t>
        </is>
      </c>
      <c r="F2044" s="4" t="inlineStr">
        <is>
          <t>19.10.2026</t>
        </is>
      </c>
      <c r="G2044" s="4" t="inlineStr">
        <is>
          <t>07:36</t>
        </is>
      </c>
      <c r="H2044" s="4" t="inlineStr">
        <is>
          <t>19.10.2026</t>
        </is>
      </c>
      <c r="I2044" s="4" t="inlineStr">
        <is>
          <t>19:59</t>
        </is>
      </c>
      <c r="J2044" s="8" t="n">
        <v>10.5</v>
      </c>
      <c r="K2044" s="8" t="n">
        <v>7.5</v>
      </c>
      <c r="L2044" s="8" t="n">
        <v>3</v>
      </c>
      <c r="M2044" s="29" t="inlineStr">
        <is>
          <t>HALİL DİĞRENCİ</t>
        </is>
      </c>
    </row>
    <row r="2045">
      <c r="A2045" s="4" t="n">
        <v>2044</v>
      </c>
      <c r="B2045" s="4" t="inlineStr">
        <is>
          <t>01539</t>
        </is>
      </c>
      <c r="C2045" s="4" t="inlineStr">
        <is>
          <t>01539</t>
        </is>
      </c>
      <c r="D2045" s="29" t="inlineStr">
        <is>
          <t>İDAL DÖNER</t>
        </is>
      </c>
      <c r="E2045" s="4" t="inlineStr">
        <is>
          <t>Çarşamba</t>
        </is>
      </c>
      <c r="F2045" s="4" t="inlineStr">
        <is>
          <t>21.10.2026</t>
        </is>
      </c>
      <c r="G2045" s="4" t="inlineStr">
        <is>
          <t>07:38</t>
        </is>
      </c>
      <c r="H2045" s="4" t="inlineStr">
        <is>
          <t>21.10.2026</t>
        </is>
      </c>
      <c r="I2045" s="4" t="inlineStr">
        <is>
          <t>17:04</t>
        </is>
      </c>
      <c r="J2045" s="8" t="n">
        <v>7.5</v>
      </c>
      <c r="K2045" s="8" t="n">
        <v>7.5</v>
      </c>
      <c r="L2045" s="8" t="n">
        <v>0</v>
      </c>
      <c r="M2045" s="29" t="inlineStr">
        <is>
          <t>HALİL DİĞRENCİ</t>
        </is>
      </c>
    </row>
    <row r="2046">
      <c r="A2046" s="4" t="n">
        <v>2045</v>
      </c>
      <c r="B2046" s="4" t="inlineStr">
        <is>
          <t>00426</t>
        </is>
      </c>
      <c r="C2046" s="4" t="inlineStr">
        <is>
          <t>00426</t>
        </is>
      </c>
      <c r="D2046" s="29" t="inlineStr">
        <is>
          <t>İİLKNUR KURDEŞ</t>
        </is>
      </c>
      <c r="E2046" s="4" t="inlineStr">
        <is>
          <t>Perşembe</t>
        </is>
      </c>
      <c r="F2046" s="4" t="inlineStr">
        <is>
          <t>1.10.2026</t>
        </is>
      </c>
      <c r="G2046" s="4" t="inlineStr">
        <is>
          <t>07:50</t>
        </is>
      </c>
      <c r="H2046" s="4" t="inlineStr">
        <is>
          <t>1.10.2026</t>
        </is>
      </c>
      <c r="I2046" s="4" t="inlineStr">
        <is>
          <t>17:31</t>
        </is>
      </c>
      <c r="J2046" s="8" t="n">
        <v>8</v>
      </c>
      <c r="K2046" s="8" t="n">
        <v>7.5</v>
      </c>
      <c r="L2046" s="8" t="n">
        <v>0.5</v>
      </c>
      <c r="M2046" s="29" t="inlineStr">
        <is>
          <t>HALİL DİĞRENCİ</t>
        </is>
      </c>
    </row>
    <row r="2047">
      <c r="A2047" s="4" t="n">
        <v>2046</v>
      </c>
      <c r="B2047" s="4" t="inlineStr">
        <is>
          <t>00426</t>
        </is>
      </c>
      <c r="C2047" s="4" t="inlineStr">
        <is>
          <t>00426</t>
        </is>
      </c>
      <c r="D2047" s="29" t="inlineStr">
        <is>
          <t>İİLKNUR KURDEŞ</t>
        </is>
      </c>
      <c r="E2047" s="4" t="inlineStr">
        <is>
          <t>Cuma</t>
        </is>
      </c>
      <c r="F2047" s="4" t="inlineStr">
        <is>
          <t>2.10.2026</t>
        </is>
      </c>
      <c r="G2047" s="4" t="inlineStr">
        <is>
          <t>07:47</t>
        </is>
      </c>
      <c r="H2047" s="4" t="inlineStr">
        <is>
          <t>2.10.2026</t>
        </is>
      </c>
      <c r="I2047" s="4" t="inlineStr">
        <is>
          <t>17:48</t>
        </is>
      </c>
      <c r="J2047" s="8" t="n">
        <v>8.5</v>
      </c>
      <c r="K2047" s="8" t="n">
        <v>7.5</v>
      </c>
      <c r="L2047" s="8" t="n">
        <v>1</v>
      </c>
      <c r="M2047" s="29" t="inlineStr">
        <is>
          <t>HALİL DİĞRENCİ</t>
        </is>
      </c>
    </row>
    <row r="2048">
      <c r="A2048" s="4" t="n">
        <v>2047</v>
      </c>
      <c r="B2048" s="4" t="inlineStr">
        <is>
          <t>00426</t>
        </is>
      </c>
      <c r="C2048" s="4" t="inlineStr">
        <is>
          <t>00426</t>
        </is>
      </c>
      <c r="D2048" s="29" t="inlineStr">
        <is>
          <t>İİLKNUR KURDEŞ</t>
        </is>
      </c>
      <c r="E2048" s="4" t="inlineStr">
        <is>
          <t>Cumartesi</t>
        </is>
      </c>
      <c r="F2048" s="4" t="inlineStr">
        <is>
          <t>3.10.2026</t>
        </is>
      </c>
      <c r="G2048" s="4" t="inlineStr">
        <is>
          <t>07:47</t>
        </is>
      </c>
      <c r="H2048" s="4" t="inlineStr">
        <is>
          <t>3.10.2026</t>
        </is>
      </c>
      <c r="I2048" s="4" t="inlineStr">
        <is>
          <t>17:39</t>
        </is>
      </c>
      <c r="J2048" s="8" t="n">
        <v>8</v>
      </c>
      <c r="K2048" s="8" t="n">
        <v>7.5</v>
      </c>
      <c r="L2048" s="8" t="n">
        <v>0.5</v>
      </c>
      <c r="M2048" s="29" t="inlineStr">
        <is>
          <t>HALİL DİĞRENCİ</t>
        </is>
      </c>
    </row>
    <row r="2049">
      <c r="A2049" s="4" t="n">
        <v>2048</v>
      </c>
      <c r="B2049" s="4" t="inlineStr">
        <is>
          <t>00426</t>
        </is>
      </c>
      <c r="C2049" s="4" t="inlineStr">
        <is>
          <t>00426</t>
        </is>
      </c>
      <c r="D2049" s="29" t="inlineStr">
        <is>
          <t>İİLKNUR KURDEŞ</t>
        </is>
      </c>
      <c r="E2049" s="4" t="inlineStr">
        <is>
          <t>Pazartesi</t>
        </is>
      </c>
      <c r="F2049" s="4" t="inlineStr">
        <is>
          <t>5.10.2026</t>
        </is>
      </c>
      <c r="G2049" s="4" t="inlineStr">
        <is>
          <t>08:00</t>
        </is>
      </c>
      <c r="H2049" s="4" t="inlineStr">
        <is>
          <t>5.10.2026</t>
        </is>
      </c>
      <c r="I2049" s="4" t="inlineStr">
        <is>
          <t>17:07</t>
        </is>
      </c>
      <c r="J2049" s="8" t="n">
        <v>7.5</v>
      </c>
      <c r="K2049" s="8" t="n">
        <v>7.5</v>
      </c>
      <c r="L2049" s="8" t="n">
        <v>0</v>
      </c>
      <c r="M2049" s="29" t="inlineStr">
        <is>
          <t>HALİL DİĞRENCİ</t>
        </is>
      </c>
    </row>
    <row r="2050">
      <c r="A2050" s="4" t="n">
        <v>2049</v>
      </c>
      <c r="B2050" s="4" t="inlineStr">
        <is>
          <t>00426</t>
        </is>
      </c>
      <c r="C2050" s="4" t="inlineStr">
        <is>
          <t>00426</t>
        </is>
      </c>
      <c r="D2050" s="29" t="inlineStr">
        <is>
          <t>İİLKNUR KURDEŞ</t>
        </is>
      </c>
      <c r="E2050" s="4" t="inlineStr">
        <is>
          <t>Salı</t>
        </is>
      </c>
      <c r="F2050" s="4" t="inlineStr">
        <is>
          <t>6.10.2026</t>
        </is>
      </c>
      <c r="G2050" s="4" t="inlineStr">
        <is>
          <t>07:59</t>
        </is>
      </c>
      <c r="H2050" s="4" t="inlineStr">
        <is>
          <t>6.10.2026</t>
        </is>
      </c>
      <c r="I2050" s="4" t="inlineStr">
        <is>
          <t>17:44</t>
        </is>
      </c>
      <c r="J2050" s="8" t="n">
        <v>8</v>
      </c>
      <c r="K2050" s="8" t="n">
        <v>7.5</v>
      </c>
      <c r="L2050" s="8" t="n">
        <v>0.5</v>
      </c>
      <c r="M2050" s="29" t="inlineStr">
        <is>
          <t>HALİL DİĞRENCİ</t>
        </is>
      </c>
    </row>
    <row r="2051">
      <c r="A2051" s="4" t="n">
        <v>2050</v>
      </c>
      <c r="B2051" s="4" t="inlineStr">
        <is>
          <t>00426</t>
        </is>
      </c>
      <c r="C2051" s="4" t="inlineStr">
        <is>
          <t>00426</t>
        </is>
      </c>
      <c r="D2051" s="29" t="inlineStr">
        <is>
          <t>İİLKNUR KURDEŞ</t>
        </is>
      </c>
      <c r="E2051" s="4" t="inlineStr">
        <is>
          <t>Çarşamba</t>
        </is>
      </c>
      <c r="F2051" s="4" t="inlineStr">
        <is>
          <t>7.10.2026</t>
        </is>
      </c>
      <c r="G2051" s="4" t="inlineStr">
        <is>
          <t>07:50</t>
        </is>
      </c>
      <c r="H2051" s="4" t="inlineStr">
        <is>
          <t>7.10.2026</t>
        </is>
      </c>
      <c r="I2051" s="4" t="inlineStr">
        <is>
          <t>17:26</t>
        </is>
      </c>
      <c r="J2051" s="8" t="n">
        <v>8</v>
      </c>
      <c r="K2051" s="8" t="n">
        <v>7.5</v>
      </c>
      <c r="L2051" s="8" t="n">
        <v>0.5</v>
      </c>
      <c r="M2051" s="29" t="inlineStr">
        <is>
          <t>HALİL DİĞRENCİ</t>
        </is>
      </c>
    </row>
    <row r="2052">
      <c r="A2052" s="4" t="n">
        <v>2051</v>
      </c>
      <c r="B2052" s="4" t="inlineStr">
        <is>
          <t>00426</t>
        </is>
      </c>
      <c r="C2052" s="4" t="inlineStr">
        <is>
          <t>00426</t>
        </is>
      </c>
      <c r="D2052" s="29" t="inlineStr">
        <is>
          <t>İİLKNUR KURDEŞ</t>
        </is>
      </c>
      <c r="E2052" s="4" t="inlineStr">
        <is>
          <t>Perşembe</t>
        </is>
      </c>
      <c r="F2052" s="4" t="inlineStr">
        <is>
          <t>8.10.2026</t>
        </is>
      </c>
      <c r="G2052" s="4" t="inlineStr">
        <is>
          <t>07:52</t>
        </is>
      </c>
      <c r="H2052" s="4" t="inlineStr">
        <is>
          <t>8.10.2026</t>
        </is>
      </c>
      <c r="I2052" s="4" t="inlineStr">
        <is>
          <t>-</t>
        </is>
      </c>
      <c r="J2052" s="8" t="n">
        <v>7.5</v>
      </c>
      <c r="K2052" s="8" t="n">
        <v>7.5</v>
      </c>
      <c r="L2052" s="8" t="n">
        <v>0</v>
      </c>
      <c r="M2052" s="29" t="inlineStr">
        <is>
          <t>HALİL DİĞRENCİ</t>
        </is>
      </c>
    </row>
    <row r="2053">
      <c r="A2053" s="4" t="n">
        <v>2052</v>
      </c>
      <c r="B2053" s="4" t="inlineStr">
        <is>
          <t>00426</t>
        </is>
      </c>
      <c r="C2053" s="4" t="inlineStr">
        <is>
          <t>00426</t>
        </is>
      </c>
      <c r="D2053" s="29" t="inlineStr">
        <is>
          <t>İİLKNUR KURDEŞ</t>
        </is>
      </c>
      <c r="E2053" s="4" t="inlineStr">
        <is>
          <t>Cuma</t>
        </is>
      </c>
      <c r="F2053" s="4" t="inlineStr">
        <is>
          <t>9.10.2026</t>
        </is>
      </c>
      <c r="G2053" s="4" t="inlineStr">
        <is>
          <t>07:56</t>
        </is>
      </c>
      <c r="H2053" s="4" t="inlineStr">
        <is>
          <t>9.10.2026</t>
        </is>
      </c>
      <c r="I2053" s="4" t="inlineStr">
        <is>
          <t>17:47</t>
        </is>
      </c>
      <c r="J2053" s="8" t="n">
        <v>8.5</v>
      </c>
      <c r="K2053" s="8" t="n">
        <v>7.5</v>
      </c>
      <c r="L2053" s="8" t="n">
        <v>1</v>
      </c>
      <c r="M2053" s="29" t="inlineStr">
        <is>
          <t>HALİL DİĞRENCİ</t>
        </is>
      </c>
    </row>
    <row r="2054">
      <c r="A2054" s="4" t="n">
        <v>2053</v>
      </c>
      <c r="B2054" s="4" t="inlineStr">
        <is>
          <t>00426</t>
        </is>
      </c>
      <c r="C2054" s="4" t="inlineStr">
        <is>
          <t>00426</t>
        </is>
      </c>
      <c r="D2054" s="29" t="inlineStr">
        <is>
          <t>İİLKNUR KURDEŞ</t>
        </is>
      </c>
      <c r="E2054" s="4" t="inlineStr">
        <is>
          <t>Cumartesi</t>
        </is>
      </c>
      <c r="F2054" s="4" t="inlineStr">
        <is>
          <t>10.10.2026</t>
        </is>
      </c>
      <c r="G2054" s="4" t="inlineStr">
        <is>
          <t>07:58</t>
        </is>
      </c>
      <c r="H2054" s="4" t="inlineStr">
        <is>
          <t>10.10.2026</t>
        </is>
      </c>
      <c r="I2054" s="4" t="inlineStr">
        <is>
          <t>18:12</t>
        </is>
      </c>
      <c r="J2054" s="8" t="n">
        <v>8.5</v>
      </c>
      <c r="K2054" s="8" t="n">
        <v>7.5</v>
      </c>
      <c r="L2054" s="8" t="n">
        <v>1</v>
      </c>
      <c r="M2054" s="29" t="inlineStr">
        <is>
          <t>HALİL DİĞRENCİ</t>
        </is>
      </c>
    </row>
    <row r="2055">
      <c r="A2055" s="4" t="n">
        <v>2054</v>
      </c>
      <c r="B2055" s="4" t="inlineStr">
        <is>
          <t>00426</t>
        </is>
      </c>
      <c r="C2055" s="4" t="inlineStr">
        <is>
          <t>00426</t>
        </is>
      </c>
      <c r="D2055" s="29" t="inlineStr">
        <is>
          <t>İİLKNUR KURDEŞ</t>
        </is>
      </c>
      <c r="E2055" s="4" t="inlineStr">
        <is>
          <t>Pazartesi</t>
        </is>
      </c>
      <c r="F2055" s="4" t="inlineStr">
        <is>
          <t>12.10.2026</t>
        </is>
      </c>
      <c r="G2055" s="4" t="inlineStr">
        <is>
          <t>08:02</t>
        </is>
      </c>
      <c r="H2055" s="4" t="inlineStr">
        <is>
          <t>12.10.2026</t>
        </is>
      </c>
      <c r="I2055" s="4" t="inlineStr">
        <is>
          <t>17:05</t>
        </is>
      </c>
      <c r="J2055" s="8" t="n">
        <v>7.5</v>
      </c>
      <c r="K2055" s="8" t="n">
        <v>7.5</v>
      </c>
      <c r="L2055" s="8" t="n">
        <v>0</v>
      </c>
      <c r="M2055" s="29" t="inlineStr">
        <is>
          <t>HALİL DİĞRENCİ</t>
        </is>
      </c>
    </row>
    <row r="2056">
      <c r="A2056" s="4" t="n">
        <v>2055</v>
      </c>
      <c r="B2056" s="4" t="inlineStr">
        <is>
          <t>00426</t>
        </is>
      </c>
      <c r="C2056" s="4" t="inlineStr">
        <is>
          <t>00426</t>
        </is>
      </c>
      <c r="D2056" s="29" t="inlineStr">
        <is>
          <t>İİLKNUR KURDEŞ</t>
        </is>
      </c>
      <c r="E2056" s="4" t="inlineStr">
        <is>
          <t>Salı</t>
        </is>
      </c>
      <c r="F2056" s="4" t="inlineStr">
        <is>
          <t>13.10.2026</t>
        </is>
      </c>
      <c r="G2056" s="4" t="inlineStr">
        <is>
          <t>08:01</t>
        </is>
      </c>
      <c r="H2056" s="4" t="inlineStr">
        <is>
          <t>13.10.2026</t>
        </is>
      </c>
      <c r="I2056" s="4" t="inlineStr">
        <is>
          <t>17:01</t>
        </is>
      </c>
      <c r="J2056" s="8" t="n">
        <v>7.5</v>
      </c>
      <c r="K2056" s="8" t="n">
        <v>7.5</v>
      </c>
      <c r="L2056" s="8" t="n">
        <v>0</v>
      </c>
      <c r="M2056" s="29" t="inlineStr">
        <is>
          <t>HALİL DİĞRENCİ</t>
        </is>
      </c>
    </row>
    <row r="2057">
      <c r="A2057" s="4" t="n">
        <v>2056</v>
      </c>
      <c r="B2057" s="4" t="inlineStr">
        <is>
          <t>00426</t>
        </is>
      </c>
      <c r="C2057" s="4" t="inlineStr">
        <is>
          <t>00426</t>
        </is>
      </c>
      <c r="D2057" s="29" t="inlineStr">
        <is>
          <t>İİLKNUR KURDEŞ</t>
        </is>
      </c>
      <c r="E2057" s="4" t="inlineStr">
        <is>
          <t>Çarşamba</t>
        </is>
      </c>
      <c r="F2057" s="4" t="inlineStr">
        <is>
          <t>14.10.2026</t>
        </is>
      </c>
      <c r="G2057" s="4" t="inlineStr">
        <is>
          <t>07:54</t>
        </is>
      </c>
      <c r="H2057" s="4" t="inlineStr">
        <is>
          <t>14.10.2026</t>
        </is>
      </c>
      <c r="I2057" s="4" t="inlineStr">
        <is>
          <t>18:07</t>
        </is>
      </c>
      <c r="J2057" s="8" t="n">
        <v>8.5</v>
      </c>
      <c r="K2057" s="8" t="n">
        <v>7.5</v>
      </c>
      <c r="L2057" s="8" t="n">
        <v>1</v>
      </c>
      <c r="M2057" s="29" t="inlineStr">
        <is>
          <t>HALİL DİĞRENCİ</t>
        </is>
      </c>
    </row>
    <row r="2058">
      <c r="A2058" s="4" t="n">
        <v>2057</v>
      </c>
      <c r="B2058" s="4" t="inlineStr">
        <is>
          <t>00426</t>
        </is>
      </c>
      <c r="C2058" s="4" t="inlineStr">
        <is>
          <t>00426</t>
        </is>
      </c>
      <c r="D2058" s="29" t="inlineStr">
        <is>
          <t>İİLKNUR KURDEŞ</t>
        </is>
      </c>
      <c r="E2058" s="4" t="inlineStr">
        <is>
          <t>Perşembe</t>
        </is>
      </c>
      <c r="F2058" s="4" t="inlineStr">
        <is>
          <t>15.10.2026</t>
        </is>
      </c>
      <c r="G2058" s="4" t="inlineStr">
        <is>
          <t>08:03</t>
        </is>
      </c>
      <c r="H2058" s="4" t="inlineStr">
        <is>
          <t>15.10.2026</t>
        </is>
      </c>
      <c r="I2058" s="4" t="inlineStr">
        <is>
          <t>17:05</t>
        </is>
      </c>
      <c r="J2058" s="8" t="n">
        <v>7.5</v>
      </c>
      <c r="K2058" s="8" t="n">
        <v>7.5</v>
      </c>
      <c r="L2058" s="8" t="n">
        <v>0</v>
      </c>
      <c r="M2058" s="29" t="inlineStr">
        <is>
          <t>HALİL DİĞRENCİ</t>
        </is>
      </c>
    </row>
    <row r="2059">
      <c r="A2059" s="4" t="n">
        <v>2058</v>
      </c>
      <c r="B2059" s="4" t="inlineStr">
        <is>
          <t>00426</t>
        </is>
      </c>
      <c r="C2059" s="4" t="inlineStr">
        <is>
          <t>00426</t>
        </is>
      </c>
      <c r="D2059" s="29" t="inlineStr">
        <is>
          <t>İİLKNUR KURDEŞ</t>
        </is>
      </c>
      <c r="E2059" s="4" t="inlineStr">
        <is>
          <t>Cuma</t>
        </is>
      </c>
      <c r="F2059" s="4" t="inlineStr">
        <is>
          <t>16.10.2026</t>
        </is>
      </c>
      <c r="G2059" s="4" t="inlineStr">
        <is>
          <t>07:52</t>
        </is>
      </c>
      <c r="H2059" s="4" t="inlineStr">
        <is>
          <t>16.10.2026</t>
        </is>
      </c>
      <c r="I2059" s="4" t="inlineStr">
        <is>
          <t>17:21</t>
        </is>
      </c>
      <c r="J2059" s="8" t="n">
        <v>8</v>
      </c>
      <c r="K2059" s="8" t="n">
        <v>7.5</v>
      </c>
      <c r="L2059" s="8" t="n">
        <v>0.5</v>
      </c>
      <c r="M2059" s="29" t="inlineStr">
        <is>
          <t>HALİL DİĞRENCİ</t>
        </is>
      </c>
    </row>
    <row r="2060">
      <c r="A2060" s="4" t="n">
        <v>2059</v>
      </c>
      <c r="B2060" s="4" t="inlineStr">
        <is>
          <t>00426</t>
        </is>
      </c>
      <c r="C2060" s="4" t="inlineStr">
        <is>
          <t>00426</t>
        </is>
      </c>
      <c r="D2060" s="29" t="inlineStr">
        <is>
          <t>İİLKNUR KURDEŞ</t>
        </is>
      </c>
      <c r="E2060" s="4" t="inlineStr">
        <is>
          <t>Salı</t>
        </is>
      </c>
      <c r="F2060" s="4" t="inlineStr">
        <is>
          <t>20.10.2026</t>
        </is>
      </c>
      <c r="G2060" s="4" t="inlineStr">
        <is>
          <t>07:56</t>
        </is>
      </c>
      <c r="H2060" s="4" t="inlineStr">
        <is>
          <t>20.10.2026</t>
        </is>
      </c>
      <c r="I2060" s="4" t="inlineStr">
        <is>
          <t>17:05</t>
        </is>
      </c>
      <c r="J2060" s="8" t="n">
        <v>7.5</v>
      </c>
      <c r="K2060" s="8" t="n">
        <v>7.5</v>
      </c>
      <c r="L2060" s="8" t="n">
        <v>0</v>
      </c>
      <c r="M2060" s="29" t="inlineStr">
        <is>
          <t>HALİL DİĞRENCİ</t>
        </is>
      </c>
    </row>
    <row r="2061">
      <c r="A2061" s="4" t="n">
        <v>2060</v>
      </c>
      <c r="B2061" s="4" t="inlineStr">
        <is>
          <t>01425</t>
        </is>
      </c>
      <c r="C2061" s="4" t="inlineStr">
        <is>
          <t>01425</t>
        </is>
      </c>
      <c r="D2061" s="29" t="inlineStr">
        <is>
          <t>İİPEK GÜNDOĞAN</t>
        </is>
      </c>
      <c r="E2061" s="4" t="inlineStr">
        <is>
          <t>Cuma</t>
        </is>
      </c>
      <c r="F2061" s="4" t="inlineStr">
        <is>
          <t>2.10.2026</t>
        </is>
      </c>
      <c r="G2061" s="4" t="inlineStr">
        <is>
          <t>-</t>
        </is>
      </c>
      <c r="H2061" s="4" t="inlineStr">
        <is>
          <t>2.10.2026</t>
        </is>
      </c>
      <c r="I2061" s="4" t="inlineStr">
        <is>
          <t>17:52</t>
        </is>
      </c>
      <c r="J2061" s="8" t="n">
        <v>8.5</v>
      </c>
      <c r="K2061" s="8" t="n">
        <v>7.5</v>
      </c>
      <c r="L2061" s="8" t="n">
        <v>1</v>
      </c>
      <c r="M2061" s="29" t="inlineStr">
        <is>
          <t>HALİL DİĞRENCİ</t>
        </is>
      </c>
    </row>
    <row r="2062">
      <c r="A2062" s="4" t="n">
        <v>2061</v>
      </c>
      <c r="B2062" s="4" t="inlineStr">
        <is>
          <t>01425</t>
        </is>
      </c>
      <c r="C2062" s="4" t="inlineStr">
        <is>
          <t>01425</t>
        </is>
      </c>
      <c r="D2062" s="29" t="inlineStr">
        <is>
          <t>İİPEK GÜNDOĞAN</t>
        </is>
      </c>
      <c r="E2062" s="4" t="inlineStr">
        <is>
          <t>Cumartesi</t>
        </is>
      </c>
      <c r="F2062" s="4" t="inlineStr">
        <is>
          <t>3.10.2026</t>
        </is>
      </c>
      <c r="G2062" s="4" t="inlineStr">
        <is>
          <t>07:37</t>
        </is>
      </c>
      <c r="H2062" s="4" t="inlineStr">
        <is>
          <t>3.10.2026</t>
        </is>
      </c>
      <c r="I2062" s="4" t="inlineStr">
        <is>
          <t>17:41</t>
        </is>
      </c>
      <c r="J2062" s="8" t="n">
        <v>0</v>
      </c>
      <c r="K2062" s="8" t="n">
        <v>0</v>
      </c>
      <c r="L2062" s="8" t="n">
        <v>0</v>
      </c>
      <c r="M2062" s="29" t="inlineStr">
        <is>
          <t>HALİL DİĞRENCİ</t>
        </is>
      </c>
    </row>
    <row r="2063">
      <c r="A2063" s="4" t="n">
        <v>2062</v>
      </c>
      <c r="B2063" s="4" t="inlineStr">
        <is>
          <t>01425</t>
        </is>
      </c>
      <c r="C2063" s="4" t="inlineStr">
        <is>
          <t>01425</t>
        </is>
      </c>
      <c r="D2063" s="29" t="inlineStr">
        <is>
          <t>İİPEK GÜNDOĞAN</t>
        </is>
      </c>
      <c r="E2063" s="4" t="inlineStr">
        <is>
          <t>Çarşamba</t>
        </is>
      </c>
      <c r="F2063" s="4" t="inlineStr">
        <is>
          <t>7.10.2026</t>
        </is>
      </c>
      <c r="G2063" s="4" t="inlineStr">
        <is>
          <t>07:36</t>
        </is>
      </c>
      <c r="H2063" s="4" t="inlineStr">
        <is>
          <t>7.10.2026</t>
        </is>
      </c>
      <c r="I2063" s="4" t="inlineStr">
        <is>
          <t>17:29</t>
        </is>
      </c>
      <c r="J2063" s="8" t="n">
        <v>8</v>
      </c>
      <c r="K2063" s="8" t="n">
        <v>7.5</v>
      </c>
      <c r="L2063" s="8" t="n">
        <v>0.5</v>
      </c>
      <c r="M2063" s="29" t="inlineStr">
        <is>
          <t>HALİL DİĞRENCİ</t>
        </is>
      </c>
    </row>
    <row r="2064">
      <c r="A2064" s="4" t="n">
        <v>2063</v>
      </c>
      <c r="B2064" s="4" t="inlineStr">
        <is>
          <t>01425</t>
        </is>
      </c>
      <c r="C2064" s="4" t="inlineStr">
        <is>
          <t>01425</t>
        </is>
      </c>
      <c r="D2064" s="29" t="inlineStr">
        <is>
          <t>İİPEK GÜNDOĞAN</t>
        </is>
      </c>
      <c r="E2064" s="4" t="inlineStr">
        <is>
          <t>Perşembe</t>
        </is>
      </c>
      <c r="F2064" s="4" t="inlineStr">
        <is>
          <t>8.10.2026</t>
        </is>
      </c>
      <c r="G2064" s="4" t="inlineStr">
        <is>
          <t>07:36</t>
        </is>
      </c>
      <c r="H2064" s="4" t="inlineStr">
        <is>
          <t>8.10.2026</t>
        </is>
      </c>
      <c r="I2064" s="4" t="inlineStr">
        <is>
          <t>17:39</t>
        </is>
      </c>
      <c r="J2064" s="8" t="n">
        <v>8</v>
      </c>
      <c r="K2064" s="8" t="n">
        <v>7.5</v>
      </c>
      <c r="L2064" s="8" t="n">
        <v>0.5</v>
      </c>
      <c r="M2064" s="29" t="inlineStr">
        <is>
          <t>HALİL DİĞRENCİ</t>
        </is>
      </c>
    </row>
    <row r="2065">
      <c r="A2065" s="4" t="n">
        <v>2064</v>
      </c>
      <c r="B2065" s="4" t="inlineStr">
        <is>
          <t>01425</t>
        </is>
      </c>
      <c r="C2065" s="4" t="inlineStr">
        <is>
          <t>01425</t>
        </is>
      </c>
      <c r="D2065" s="29" t="inlineStr">
        <is>
          <t>İİPEK GÜNDOĞAN</t>
        </is>
      </c>
      <c r="E2065" s="4" t="inlineStr">
        <is>
          <t>Cuma</t>
        </is>
      </c>
      <c r="F2065" s="4" t="inlineStr">
        <is>
          <t>9.10.2026</t>
        </is>
      </c>
      <c r="G2065" s="4" t="inlineStr">
        <is>
          <t>07:38</t>
        </is>
      </c>
      <c r="H2065" s="4" t="inlineStr">
        <is>
          <t>9.10.2026</t>
        </is>
      </c>
      <c r="I2065" s="4" t="inlineStr">
        <is>
          <t>17:44</t>
        </is>
      </c>
      <c r="J2065" s="8" t="n">
        <v>8</v>
      </c>
      <c r="K2065" s="8" t="n">
        <v>7.5</v>
      </c>
      <c r="L2065" s="8" t="n">
        <v>0.5</v>
      </c>
      <c r="M2065" s="29" t="inlineStr">
        <is>
          <t>HALİL DİĞRENCİ</t>
        </is>
      </c>
    </row>
    <row r="2066">
      <c r="A2066" s="4" t="n">
        <v>2065</v>
      </c>
      <c r="B2066" s="4" t="inlineStr">
        <is>
          <t>01425</t>
        </is>
      </c>
      <c r="C2066" s="4" t="inlineStr">
        <is>
          <t>01425</t>
        </is>
      </c>
      <c r="D2066" s="29" t="inlineStr">
        <is>
          <t>İİPEK GÜNDOĞAN</t>
        </is>
      </c>
      <c r="E2066" s="4" t="inlineStr">
        <is>
          <t>Cumartesi</t>
        </is>
      </c>
      <c r="F2066" s="4" t="inlineStr">
        <is>
          <t>10.10.2026</t>
        </is>
      </c>
      <c r="G2066" s="4" t="inlineStr">
        <is>
          <t>07:40</t>
        </is>
      </c>
      <c r="H2066" s="4" t="inlineStr">
        <is>
          <t>10.10.2026</t>
        </is>
      </c>
      <c r="I2066" s="4" t="inlineStr">
        <is>
          <t>19:57</t>
        </is>
      </c>
      <c r="J2066" s="8" t="n">
        <v>10.5</v>
      </c>
      <c r="K2066" s="8" t="n">
        <v>7.5</v>
      </c>
      <c r="L2066" s="8" t="n">
        <v>3</v>
      </c>
      <c r="M2066" s="29" t="inlineStr">
        <is>
          <t>HALİL DİĞRENCİ</t>
        </is>
      </c>
    </row>
    <row r="2067">
      <c r="A2067" s="4" t="n">
        <v>2066</v>
      </c>
      <c r="B2067" s="4" t="inlineStr">
        <is>
          <t>01425</t>
        </is>
      </c>
      <c r="C2067" s="4" t="inlineStr">
        <is>
          <t>01425</t>
        </is>
      </c>
      <c r="D2067" s="29" t="inlineStr">
        <is>
          <t>İİPEK GÜNDOĞAN</t>
        </is>
      </c>
      <c r="E2067" s="4" t="inlineStr">
        <is>
          <t>Pazartesi</t>
        </is>
      </c>
      <c r="F2067" s="4" t="inlineStr">
        <is>
          <t>12.10.2026</t>
        </is>
      </c>
      <c r="G2067" s="4" t="inlineStr">
        <is>
          <t>07:45</t>
        </is>
      </c>
      <c r="H2067" s="4" t="inlineStr">
        <is>
          <t>12.10.2026</t>
        </is>
      </c>
      <c r="I2067" s="4" t="inlineStr">
        <is>
          <t>17:06</t>
        </is>
      </c>
      <c r="J2067" s="8" t="n">
        <v>7.5</v>
      </c>
      <c r="K2067" s="8" t="n">
        <v>7.5</v>
      </c>
      <c r="L2067" s="8" t="n">
        <v>0</v>
      </c>
      <c r="M2067" s="29" t="inlineStr">
        <is>
          <t>HALİL DİĞRENCİ</t>
        </is>
      </c>
    </row>
    <row r="2068">
      <c r="A2068" s="4" t="n">
        <v>2067</v>
      </c>
      <c r="B2068" s="4" t="inlineStr">
        <is>
          <t>01425</t>
        </is>
      </c>
      <c r="C2068" s="4" t="inlineStr">
        <is>
          <t>01425</t>
        </is>
      </c>
      <c r="D2068" s="29" t="inlineStr">
        <is>
          <t>İİPEK GÜNDOĞAN</t>
        </is>
      </c>
      <c r="E2068" s="4" t="inlineStr">
        <is>
          <t>Çarşamba</t>
        </is>
      </c>
      <c r="F2068" s="4" t="inlineStr">
        <is>
          <t>14.10.2026</t>
        </is>
      </c>
      <c r="G2068" s="4" t="inlineStr">
        <is>
          <t>07:47</t>
        </is>
      </c>
      <c r="H2068" s="4" t="inlineStr">
        <is>
          <t>14.10.2026</t>
        </is>
      </c>
      <c r="I2068" s="4" t="inlineStr">
        <is>
          <t>18:13</t>
        </is>
      </c>
      <c r="J2068" s="8" t="n">
        <v>8.5</v>
      </c>
      <c r="K2068" s="8" t="n">
        <v>7.5</v>
      </c>
      <c r="L2068" s="8" t="n">
        <v>1</v>
      </c>
      <c r="M2068" s="29" t="inlineStr">
        <is>
          <t>HALİL DİĞRENCİ</t>
        </is>
      </c>
    </row>
    <row r="2069">
      <c r="A2069" s="4" t="n">
        <v>2068</v>
      </c>
      <c r="B2069" s="4" t="inlineStr">
        <is>
          <t>01425</t>
        </is>
      </c>
      <c r="C2069" s="4" t="inlineStr">
        <is>
          <t>01425</t>
        </is>
      </c>
      <c r="D2069" s="29" t="inlineStr">
        <is>
          <t>İİPEK GÜNDOĞAN</t>
        </is>
      </c>
      <c r="E2069" s="4" t="inlineStr">
        <is>
          <t>Perşembe</t>
        </is>
      </c>
      <c r="F2069" s="4" t="inlineStr">
        <is>
          <t>15.10.2026</t>
        </is>
      </c>
      <c r="G2069" s="4" t="inlineStr">
        <is>
          <t>07:41</t>
        </is>
      </c>
      <c r="H2069" s="4" t="inlineStr">
        <is>
          <t>15.10.2026</t>
        </is>
      </c>
      <c r="I2069" s="4" t="inlineStr">
        <is>
          <t>17:07</t>
        </is>
      </c>
      <c r="J2069" s="8" t="n">
        <v>7.5</v>
      </c>
      <c r="K2069" s="8" t="n">
        <v>7.5</v>
      </c>
      <c r="L2069" s="8" t="n">
        <v>0</v>
      </c>
      <c r="M2069" s="29" t="inlineStr">
        <is>
          <t>HALİL DİĞRENCİ</t>
        </is>
      </c>
    </row>
    <row r="2070">
      <c r="A2070" s="4" t="n">
        <v>2069</v>
      </c>
      <c r="B2070" s="4" t="inlineStr">
        <is>
          <t>01426</t>
        </is>
      </c>
      <c r="C2070" s="4" t="inlineStr">
        <is>
          <t>01426</t>
        </is>
      </c>
      <c r="D2070" s="29" t="inlineStr">
        <is>
          <t>İSLAM TALAN</t>
        </is>
      </c>
      <c r="E2070" s="4" t="inlineStr">
        <is>
          <t>Cumartesi</t>
        </is>
      </c>
      <c r="F2070" s="4" t="inlineStr">
        <is>
          <t>3.10.2026</t>
        </is>
      </c>
      <c r="G2070" s="4" t="inlineStr">
        <is>
          <t>19:52</t>
        </is>
      </c>
      <c r="H2070" s="4" t="inlineStr">
        <is>
          <t>3.10.2026</t>
        </is>
      </c>
      <c r="I2070" s="4" t="inlineStr">
        <is>
          <t>07:56</t>
        </is>
      </c>
      <c r="J2070" s="8" t="n">
        <v>10.5</v>
      </c>
      <c r="K2070" s="8" t="n">
        <v>7.5</v>
      </c>
      <c r="L2070" s="8" t="n">
        <v>3</v>
      </c>
      <c r="M2070" s="29" t="inlineStr">
        <is>
          <t>HALİL DİĞRENCİ</t>
        </is>
      </c>
    </row>
    <row r="2071">
      <c r="A2071" s="4" t="n">
        <v>2070</v>
      </c>
      <c r="B2071" s="4" t="inlineStr">
        <is>
          <t>01426</t>
        </is>
      </c>
      <c r="C2071" s="4" t="inlineStr">
        <is>
          <t>01426</t>
        </is>
      </c>
      <c r="D2071" s="29" t="inlineStr">
        <is>
          <t>İSLAM TALAN</t>
        </is>
      </c>
      <c r="E2071" s="4" t="inlineStr">
        <is>
          <t>Pazartesi</t>
        </is>
      </c>
      <c r="F2071" s="4" t="inlineStr">
        <is>
          <t>5.10.2026</t>
        </is>
      </c>
      <c r="G2071" s="4" t="inlineStr">
        <is>
          <t>19:47</t>
        </is>
      </c>
      <c r="H2071" s="4" t="inlineStr">
        <is>
          <t>5.10.2026</t>
        </is>
      </c>
      <c r="I2071" s="4" t="inlineStr">
        <is>
          <t>07:50</t>
        </is>
      </c>
      <c r="J2071" s="8" t="n">
        <v>10.5</v>
      </c>
      <c r="K2071" s="8" t="n">
        <v>7.5</v>
      </c>
      <c r="L2071" s="8" t="n">
        <v>3</v>
      </c>
      <c r="M2071" s="29" t="inlineStr">
        <is>
          <t>HALİL DİĞRENCİ</t>
        </is>
      </c>
    </row>
    <row r="2072">
      <c r="A2072" s="4" t="n">
        <v>2071</v>
      </c>
      <c r="B2072" s="4" t="inlineStr">
        <is>
          <t>01426</t>
        </is>
      </c>
      <c r="C2072" s="4" t="inlineStr">
        <is>
          <t>01426</t>
        </is>
      </c>
      <c r="D2072" s="29" t="inlineStr">
        <is>
          <t>İSLAM TALAN</t>
        </is>
      </c>
      <c r="E2072" s="4" t="inlineStr">
        <is>
          <t>Salı</t>
        </is>
      </c>
      <c r="F2072" s="4" t="inlineStr">
        <is>
          <t>6.10.2026</t>
        </is>
      </c>
      <c r="G2072" s="4" t="inlineStr">
        <is>
          <t>19:53</t>
        </is>
      </c>
      <c r="H2072" s="4" t="inlineStr">
        <is>
          <t>6.10.2026</t>
        </is>
      </c>
      <c r="I2072" s="4" t="inlineStr">
        <is>
          <t>07:59</t>
        </is>
      </c>
      <c r="J2072" s="8" t="n">
        <v>10.5</v>
      </c>
      <c r="K2072" s="8" t="n">
        <v>7.5</v>
      </c>
      <c r="L2072" s="8" t="n">
        <v>3</v>
      </c>
      <c r="M2072" s="29" t="inlineStr">
        <is>
          <t>HALİL DİĞRENCİ</t>
        </is>
      </c>
    </row>
    <row r="2073">
      <c r="A2073" s="4" t="n">
        <v>2072</v>
      </c>
      <c r="B2073" s="4" t="inlineStr">
        <is>
          <t>01426</t>
        </is>
      </c>
      <c r="C2073" s="4" t="inlineStr">
        <is>
          <t>01426</t>
        </is>
      </c>
      <c r="D2073" s="29" t="inlineStr">
        <is>
          <t>İSLAM TALAN</t>
        </is>
      </c>
      <c r="E2073" s="4" t="inlineStr">
        <is>
          <t>Çarşamba</t>
        </is>
      </c>
      <c r="F2073" s="4" t="inlineStr">
        <is>
          <t>7.10.2026</t>
        </is>
      </c>
      <c r="G2073" s="4" t="inlineStr">
        <is>
          <t>19:51</t>
        </is>
      </c>
      <c r="H2073" s="4" t="inlineStr">
        <is>
          <t>7.10.2026</t>
        </is>
      </c>
      <c r="I2073" s="4" t="inlineStr">
        <is>
          <t>07:54</t>
        </is>
      </c>
      <c r="J2073" s="8" t="n">
        <v>10.5</v>
      </c>
      <c r="K2073" s="8" t="n">
        <v>7.5</v>
      </c>
      <c r="L2073" s="8" t="n">
        <v>3</v>
      </c>
      <c r="M2073" s="29" t="inlineStr">
        <is>
          <t>HALİL DİĞRENCİ</t>
        </is>
      </c>
    </row>
    <row r="2074">
      <c r="A2074" s="4" t="n">
        <v>2073</v>
      </c>
      <c r="B2074" s="4" t="inlineStr">
        <is>
          <t>01426</t>
        </is>
      </c>
      <c r="C2074" s="4" t="inlineStr">
        <is>
          <t>01426</t>
        </is>
      </c>
      <c r="D2074" s="29" t="inlineStr">
        <is>
          <t>İSLAM TALAN</t>
        </is>
      </c>
      <c r="E2074" s="4" t="inlineStr">
        <is>
          <t>Perşembe</t>
        </is>
      </c>
      <c r="F2074" s="4" t="inlineStr">
        <is>
          <t>8.10.2026</t>
        </is>
      </c>
      <c r="G2074" s="4" t="inlineStr">
        <is>
          <t>20:02</t>
        </is>
      </c>
      <c r="H2074" s="4" t="inlineStr">
        <is>
          <t>8.10.2026</t>
        </is>
      </c>
      <c r="I2074" s="4" t="inlineStr">
        <is>
          <t>07:53</t>
        </is>
      </c>
      <c r="J2074" s="8" t="n">
        <v>10.5</v>
      </c>
      <c r="K2074" s="8" t="n">
        <v>7.5</v>
      </c>
      <c r="L2074" s="8" t="n">
        <v>3</v>
      </c>
      <c r="M2074" s="29" t="inlineStr">
        <is>
          <t>HALİL DİĞRENCİ</t>
        </is>
      </c>
    </row>
    <row r="2075">
      <c r="A2075" s="4" t="n">
        <v>2074</v>
      </c>
      <c r="B2075" s="4" t="inlineStr">
        <is>
          <t>01426</t>
        </is>
      </c>
      <c r="C2075" s="4" t="inlineStr">
        <is>
          <t>01426</t>
        </is>
      </c>
      <c r="D2075" s="29" t="inlineStr">
        <is>
          <t>İSLAM TALAN</t>
        </is>
      </c>
      <c r="E2075" s="4" t="inlineStr">
        <is>
          <t>Cuma</t>
        </is>
      </c>
      <c r="F2075" s="4" t="inlineStr">
        <is>
          <t>9.10.2026</t>
        </is>
      </c>
      <c r="G2075" s="4" t="inlineStr">
        <is>
          <t>19:58</t>
        </is>
      </c>
      <c r="H2075" s="4" t="inlineStr">
        <is>
          <t>9.10.2026</t>
        </is>
      </c>
      <c r="I2075" s="4" t="inlineStr">
        <is>
          <t>07:50</t>
        </is>
      </c>
      <c r="J2075" s="8" t="n">
        <v>10.5</v>
      </c>
      <c r="K2075" s="8" t="n">
        <v>7.5</v>
      </c>
      <c r="L2075" s="8" t="n">
        <v>3</v>
      </c>
      <c r="M2075" s="29" t="inlineStr">
        <is>
          <t>HALİL DİĞRENCİ</t>
        </is>
      </c>
    </row>
    <row r="2076">
      <c r="A2076" s="4" t="n">
        <v>2075</v>
      </c>
      <c r="B2076" s="4" t="inlineStr">
        <is>
          <t>01426</t>
        </is>
      </c>
      <c r="C2076" s="4" t="inlineStr">
        <is>
          <t>01426</t>
        </is>
      </c>
      <c r="D2076" s="29" t="inlineStr">
        <is>
          <t>İSLAM TALAN</t>
        </is>
      </c>
      <c r="E2076" s="4" t="inlineStr">
        <is>
          <t>Cumartesi</t>
        </is>
      </c>
      <c r="F2076" s="4" t="inlineStr">
        <is>
          <t>10.10.2026</t>
        </is>
      </c>
      <c r="G2076" s="4" t="inlineStr">
        <is>
          <t>19:50</t>
        </is>
      </c>
      <c r="H2076" s="4" t="inlineStr">
        <is>
          <t>10.10.2026</t>
        </is>
      </c>
      <c r="I2076" s="4" t="inlineStr">
        <is>
          <t>07:53</t>
        </is>
      </c>
      <c r="J2076" s="8" t="n">
        <v>10.5</v>
      </c>
      <c r="K2076" s="8" t="n">
        <v>7.5</v>
      </c>
      <c r="L2076" s="8" t="n">
        <v>3</v>
      </c>
      <c r="M2076" s="29" t="inlineStr">
        <is>
          <t>HALİL DİĞRENCİ</t>
        </is>
      </c>
    </row>
    <row r="2077">
      <c r="A2077" s="4" t="n">
        <v>2076</v>
      </c>
      <c r="B2077" s="4" t="inlineStr">
        <is>
          <t>01426</t>
        </is>
      </c>
      <c r="C2077" s="4" t="inlineStr">
        <is>
          <t>01426</t>
        </is>
      </c>
      <c r="D2077" s="29" t="inlineStr">
        <is>
          <t>İSLAM TALAN</t>
        </is>
      </c>
      <c r="E2077" s="4" t="inlineStr">
        <is>
          <t>Pazar</t>
        </is>
      </c>
      <c r="F2077" s="4" t="inlineStr">
        <is>
          <t>11.10.2026</t>
        </is>
      </c>
      <c r="G2077" s="4" t="inlineStr">
        <is>
          <t>20:10</t>
        </is>
      </c>
      <c r="H2077" s="4" t="inlineStr">
        <is>
          <t>11.10.2026</t>
        </is>
      </c>
      <c r="I2077" s="4" t="inlineStr">
        <is>
          <t>08:00</t>
        </is>
      </c>
      <c r="J2077" s="8" t="n">
        <v>10.5</v>
      </c>
      <c r="K2077" s="8" t="n">
        <v>7.5</v>
      </c>
      <c r="L2077" s="8" t="n">
        <v>3</v>
      </c>
      <c r="M2077" s="29" t="inlineStr">
        <is>
          <t>HALİL DİĞRENCİ</t>
        </is>
      </c>
    </row>
    <row r="2078">
      <c r="A2078" s="4" t="n">
        <v>2077</v>
      </c>
      <c r="B2078" s="4" t="inlineStr">
        <is>
          <t>01426</t>
        </is>
      </c>
      <c r="C2078" s="4" t="inlineStr">
        <is>
          <t>01426</t>
        </is>
      </c>
      <c r="D2078" s="29" t="inlineStr">
        <is>
          <t>İSLAM TALAN</t>
        </is>
      </c>
      <c r="E2078" s="4" t="inlineStr">
        <is>
          <t>Pazartesi</t>
        </is>
      </c>
      <c r="F2078" s="4" t="inlineStr">
        <is>
          <t>12.10.2026</t>
        </is>
      </c>
      <c r="G2078" s="4" t="inlineStr">
        <is>
          <t>20:00</t>
        </is>
      </c>
      <c r="H2078" s="4" t="inlineStr">
        <is>
          <t>12.10.2026</t>
        </is>
      </c>
      <c r="I2078" s="4" t="inlineStr">
        <is>
          <t>07:53</t>
        </is>
      </c>
      <c r="J2078" s="8" t="n">
        <v>10.5</v>
      </c>
      <c r="K2078" s="8" t="n">
        <v>7.5</v>
      </c>
      <c r="L2078" s="8" t="n">
        <v>3</v>
      </c>
      <c r="M2078" s="29" t="inlineStr">
        <is>
          <t>HALİL DİĞRENCİ</t>
        </is>
      </c>
    </row>
    <row r="2079">
      <c r="A2079" s="4" t="n">
        <v>2078</v>
      </c>
      <c r="B2079" s="4" t="inlineStr">
        <is>
          <t>01426</t>
        </is>
      </c>
      <c r="C2079" s="4" t="inlineStr">
        <is>
          <t>01426</t>
        </is>
      </c>
      <c r="D2079" s="29" t="inlineStr">
        <is>
          <t>İSLAM TALAN</t>
        </is>
      </c>
      <c r="E2079" s="4" t="inlineStr">
        <is>
          <t>Çarşamba</t>
        </is>
      </c>
      <c r="F2079" s="4" t="inlineStr">
        <is>
          <t>14.10.2026</t>
        </is>
      </c>
      <c r="G2079" s="4" t="inlineStr">
        <is>
          <t>20:02</t>
        </is>
      </c>
      <c r="H2079" s="4" t="inlineStr">
        <is>
          <t>14.10.2026</t>
        </is>
      </c>
      <c r="I2079" s="4" t="inlineStr">
        <is>
          <t>07:57</t>
        </is>
      </c>
      <c r="J2079" s="8" t="n">
        <v>10.5</v>
      </c>
      <c r="K2079" s="8" t="n">
        <v>7.5</v>
      </c>
      <c r="L2079" s="8" t="n">
        <v>3</v>
      </c>
      <c r="M2079" s="29" t="inlineStr">
        <is>
          <t>HALİL DİĞRENCİ</t>
        </is>
      </c>
    </row>
    <row r="2080">
      <c r="A2080" s="4" t="n">
        <v>2079</v>
      </c>
      <c r="B2080" s="4" t="inlineStr">
        <is>
          <t>01426</t>
        </is>
      </c>
      <c r="C2080" s="4" t="inlineStr">
        <is>
          <t>01426</t>
        </is>
      </c>
      <c r="D2080" s="29" t="inlineStr">
        <is>
          <t>İSLAM TALAN</t>
        </is>
      </c>
      <c r="E2080" s="4" t="inlineStr">
        <is>
          <t>Perşembe</t>
        </is>
      </c>
      <c r="F2080" s="4" t="inlineStr">
        <is>
          <t>15.10.2026</t>
        </is>
      </c>
      <c r="G2080" s="4" t="inlineStr">
        <is>
          <t>19:52</t>
        </is>
      </c>
      <c r="H2080" s="4" t="inlineStr">
        <is>
          <t>15.10.2026</t>
        </is>
      </c>
      <c r="I2080" s="4" t="inlineStr">
        <is>
          <t>07:55</t>
        </is>
      </c>
      <c r="J2080" s="8" t="n">
        <v>10.5</v>
      </c>
      <c r="K2080" s="8" t="n">
        <v>7.5</v>
      </c>
      <c r="L2080" s="8" t="n">
        <v>3</v>
      </c>
      <c r="M2080" s="29" t="inlineStr">
        <is>
          <t>HALİL DİĞRENCİ</t>
        </is>
      </c>
    </row>
    <row r="2081">
      <c r="A2081" s="4" t="n">
        <v>2080</v>
      </c>
      <c r="B2081" s="4" t="inlineStr">
        <is>
          <t>01426</t>
        </is>
      </c>
      <c r="C2081" s="4" t="inlineStr">
        <is>
          <t>01426</t>
        </is>
      </c>
      <c r="D2081" s="29" t="inlineStr">
        <is>
          <t>İSLAM TALAN</t>
        </is>
      </c>
      <c r="E2081" s="4" t="inlineStr">
        <is>
          <t>Pazartesi</t>
        </is>
      </c>
      <c r="F2081" s="4" t="inlineStr">
        <is>
          <t>19.10.2026</t>
        </is>
      </c>
      <c r="G2081" s="4" t="inlineStr">
        <is>
          <t>20:14</t>
        </is>
      </c>
      <c r="H2081" s="4" t="inlineStr">
        <is>
          <t>19.10.2026</t>
        </is>
      </c>
      <c r="I2081" s="4" t="inlineStr">
        <is>
          <t>07:56</t>
        </is>
      </c>
      <c r="J2081" s="8" t="n">
        <v>10.5</v>
      </c>
      <c r="K2081" s="8" t="n">
        <v>7.5</v>
      </c>
      <c r="L2081" s="8" t="n">
        <v>3</v>
      </c>
      <c r="M2081" s="29" t="inlineStr">
        <is>
          <t>HALİL DİĞRENCİ</t>
        </is>
      </c>
    </row>
    <row r="2082">
      <c r="A2082" s="4" t="n">
        <v>2081</v>
      </c>
      <c r="B2082" s="4" t="inlineStr">
        <is>
          <t>00230</t>
        </is>
      </c>
      <c r="C2082" s="4" t="inlineStr">
        <is>
          <t>00230</t>
        </is>
      </c>
      <c r="D2082" s="29" t="inlineStr">
        <is>
          <t>İSMAİL İMİR</t>
        </is>
      </c>
      <c r="E2082" s="4" t="inlineStr">
        <is>
          <t>Perşembe</t>
        </is>
      </c>
      <c r="F2082" s="4" t="inlineStr">
        <is>
          <t>1.10.2026</t>
        </is>
      </c>
      <c r="G2082" s="4" t="inlineStr">
        <is>
          <t>15:58</t>
        </is>
      </c>
      <c r="H2082" s="4" t="inlineStr">
        <is>
          <t>1.10.2026</t>
        </is>
      </c>
      <c r="I2082" s="4" t="inlineStr">
        <is>
          <t>10:18</t>
        </is>
      </c>
      <c r="J2082" s="8" t="n">
        <v>16.5</v>
      </c>
      <c r="K2082" s="8" t="n">
        <v>7.5</v>
      </c>
      <c r="L2082" s="8" t="n">
        <v>9</v>
      </c>
      <c r="M2082" s="29" t="inlineStr">
        <is>
          <t>SUSURLUK</t>
        </is>
      </c>
    </row>
    <row r="2083">
      <c r="A2083" s="4" t="n">
        <v>2082</v>
      </c>
      <c r="B2083" s="4" t="inlineStr">
        <is>
          <t>00230</t>
        </is>
      </c>
      <c r="C2083" s="4" t="inlineStr">
        <is>
          <t>00230</t>
        </is>
      </c>
      <c r="D2083" s="29" t="inlineStr">
        <is>
          <t>İSMAİL İMİR</t>
        </is>
      </c>
      <c r="E2083" s="4" t="inlineStr">
        <is>
          <t>Cuma</t>
        </is>
      </c>
      <c r="F2083" s="4" t="inlineStr">
        <is>
          <t>2.10.2026</t>
        </is>
      </c>
      <c r="G2083" s="4" t="inlineStr">
        <is>
          <t>07:52</t>
        </is>
      </c>
      <c r="H2083" s="4" t="inlineStr">
        <is>
          <t>2.10.2026</t>
        </is>
      </c>
      <c r="I2083" s="4" t="inlineStr">
        <is>
          <t>18:18</t>
        </is>
      </c>
      <c r="J2083" s="8" t="n">
        <v>8.5</v>
      </c>
      <c r="K2083" s="8" t="n">
        <v>7.5</v>
      </c>
      <c r="L2083" s="8" t="n">
        <v>1</v>
      </c>
      <c r="M2083" s="29" t="inlineStr">
        <is>
          <t>SUSURLUK</t>
        </is>
      </c>
    </row>
    <row r="2084">
      <c r="A2084" s="4" t="n">
        <v>2083</v>
      </c>
      <c r="B2084" s="4" t="inlineStr">
        <is>
          <t>00230</t>
        </is>
      </c>
      <c r="C2084" s="4" t="inlineStr">
        <is>
          <t>00230</t>
        </is>
      </c>
      <c r="D2084" s="29" t="inlineStr">
        <is>
          <t>İSMAİL İMİR</t>
        </is>
      </c>
      <c r="E2084" s="4" t="inlineStr">
        <is>
          <t>Cumartesi</t>
        </is>
      </c>
      <c r="F2084" s="4" t="inlineStr">
        <is>
          <t>3.10.2026</t>
        </is>
      </c>
      <c r="G2084" s="4" t="inlineStr">
        <is>
          <t>08:00</t>
        </is>
      </c>
      <c r="H2084" s="4" t="inlineStr">
        <is>
          <t>3.10.2026</t>
        </is>
      </c>
      <c r="I2084" s="4" t="inlineStr">
        <is>
          <t>-</t>
        </is>
      </c>
      <c r="J2084" s="8" t="n">
        <v>7.5</v>
      </c>
      <c r="K2084" s="8" t="n">
        <v>7.5</v>
      </c>
      <c r="L2084" s="8" t="n">
        <v>0</v>
      </c>
      <c r="M2084" s="29" t="inlineStr">
        <is>
          <t>SUSURLUK</t>
        </is>
      </c>
    </row>
    <row r="2085">
      <c r="A2085" s="4" t="n">
        <v>2084</v>
      </c>
      <c r="B2085" s="4" t="inlineStr">
        <is>
          <t>00230</t>
        </is>
      </c>
      <c r="C2085" s="4" t="inlineStr">
        <is>
          <t>00230</t>
        </is>
      </c>
      <c r="D2085" s="29" t="inlineStr">
        <is>
          <t>İSMAİL İMİR</t>
        </is>
      </c>
      <c r="E2085" s="4" t="inlineStr">
        <is>
          <t>Pazar</t>
        </is>
      </c>
      <c r="F2085" s="4" t="inlineStr">
        <is>
          <t>4.10.2026</t>
        </is>
      </c>
      <c r="G2085" s="4" t="inlineStr">
        <is>
          <t>-</t>
        </is>
      </c>
      <c r="H2085" s="4" t="inlineStr">
        <is>
          <t>4.10.2026</t>
        </is>
      </c>
      <c r="I2085" s="4" t="inlineStr">
        <is>
          <t>03:03</t>
        </is>
      </c>
      <c r="J2085" s="8" t="n">
        <v>17.5</v>
      </c>
      <c r="K2085" s="8" t="n">
        <v>7.5</v>
      </c>
      <c r="L2085" s="8" t="n">
        <v>10</v>
      </c>
      <c r="M2085" s="29" t="inlineStr">
        <is>
          <t>SUSURLUK</t>
        </is>
      </c>
    </row>
    <row r="2086">
      <c r="A2086" s="4" t="n">
        <v>2085</v>
      </c>
      <c r="B2086" s="4" t="inlineStr">
        <is>
          <t>00230</t>
        </is>
      </c>
      <c r="C2086" s="4" t="inlineStr">
        <is>
          <t>00230</t>
        </is>
      </c>
      <c r="D2086" s="29" t="inlineStr">
        <is>
          <t>İSMAİL İMİR</t>
        </is>
      </c>
      <c r="E2086" s="4" t="inlineStr">
        <is>
          <t>Pazartesi</t>
        </is>
      </c>
      <c r="F2086" s="4" t="inlineStr">
        <is>
          <t>5.10.2026</t>
        </is>
      </c>
      <c r="G2086" s="4" t="inlineStr">
        <is>
          <t>08:14</t>
        </is>
      </c>
      <c r="H2086" s="4" t="inlineStr">
        <is>
          <t>5.10.2026</t>
        </is>
      </c>
      <c r="I2086" s="4" t="inlineStr">
        <is>
          <t>17:00</t>
        </is>
      </c>
      <c r="J2086" s="8" t="n">
        <v>7.5</v>
      </c>
      <c r="K2086" s="8" t="n">
        <v>7.5</v>
      </c>
      <c r="L2086" s="8" t="n">
        <v>0</v>
      </c>
      <c r="M2086" s="29" t="inlineStr">
        <is>
          <t>SUSURLUK</t>
        </is>
      </c>
    </row>
    <row r="2087">
      <c r="A2087" s="4" t="n">
        <v>2086</v>
      </c>
      <c r="B2087" s="4" t="inlineStr">
        <is>
          <t>00230</t>
        </is>
      </c>
      <c r="C2087" s="4" t="inlineStr">
        <is>
          <t>00230</t>
        </is>
      </c>
      <c r="D2087" s="29" t="inlineStr">
        <is>
          <t>İSMAİL İMİR</t>
        </is>
      </c>
      <c r="E2087" s="4" t="inlineStr">
        <is>
          <t>Salı</t>
        </is>
      </c>
      <c r="F2087" s="4" t="inlineStr">
        <is>
          <t>6.10.2026</t>
        </is>
      </c>
      <c r="G2087" s="4" t="inlineStr">
        <is>
          <t>08:10</t>
        </is>
      </c>
      <c r="H2087" s="4" t="inlineStr">
        <is>
          <t>6.10.2026</t>
        </is>
      </c>
      <c r="I2087" s="4" t="inlineStr">
        <is>
          <t>17:03</t>
        </is>
      </c>
      <c r="J2087" s="8" t="n">
        <v>7.5</v>
      </c>
      <c r="K2087" s="8" t="n">
        <v>7.5</v>
      </c>
      <c r="L2087" s="8" t="n">
        <v>0</v>
      </c>
      <c r="M2087" s="29" t="inlineStr">
        <is>
          <t>SUSURLUK</t>
        </is>
      </c>
    </row>
    <row r="2088">
      <c r="A2088" s="4" t="n">
        <v>2087</v>
      </c>
      <c r="B2088" s="4" t="inlineStr">
        <is>
          <t>00230</t>
        </is>
      </c>
      <c r="C2088" s="4" t="inlineStr">
        <is>
          <t>00230</t>
        </is>
      </c>
      <c r="D2088" s="29" t="inlineStr">
        <is>
          <t>İSMAİL İMİR</t>
        </is>
      </c>
      <c r="E2088" s="4" t="inlineStr">
        <is>
          <t>Çarşamba</t>
        </is>
      </c>
      <c r="F2088" s="4" t="inlineStr">
        <is>
          <t>7.10.2026</t>
        </is>
      </c>
      <c r="G2088" s="4" t="inlineStr">
        <is>
          <t>08:08</t>
        </is>
      </c>
      <c r="H2088" s="4" t="inlineStr">
        <is>
          <t>7.10.2026</t>
        </is>
      </c>
      <c r="I2088" s="4" t="inlineStr">
        <is>
          <t>18:09</t>
        </is>
      </c>
      <c r="J2088" s="8" t="n">
        <v>8.5</v>
      </c>
      <c r="K2088" s="8" t="n">
        <v>7.5</v>
      </c>
      <c r="L2088" s="8" t="n">
        <v>1</v>
      </c>
      <c r="M2088" s="29" t="inlineStr">
        <is>
          <t>SUSURLUK</t>
        </is>
      </c>
    </row>
    <row r="2089">
      <c r="A2089" s="4" t="n">
        <v>2088</v>
      </c>
      <c r="B2089" s="4" t="inlineStr">
        <is>
          <t>00230</t>
        </is>
      </c>
      <c r="C2089" s="4" t="inlineStr">
        <is>
          <t>00230</t>
        </is>
      </c>
      <c r="D2089" s="29" t="inlineStr">
        <is>
          <t>İSMAİL İMİR</t>
        </is>
      </c>
      <c r="E2089" s="4" t="inlineStr">
        <is>
          <t>Perşembe</t>
        </is>
      </c>
      <c r="F2089" s="4" t="inlineStr">
        <is>
          <t>8.10.2026</t>
        </is>
      </c>
      <c r="G2089" s="4" t="inlineStr">
        <is>
          <t>08:13</t>
        </is>
      </c>
      <c r="H2089" s="4" t="inlineStr">
        <is>
          <t>8.10.2026</t>
        </is>
      </c>
      <c r="I2089" s="4" t="inlineStr">
        <is>
          <t>19:59</t>
        </is>
      </c>
      <c r="J2089" s="8" t="n">
        <v>10.5</v>
      </c>
      <c r="K2089" s="8" t="n">
        <v>7.5</v>
      </c>
      <c r="L2089" s="8" t="n">
        <v>3</v>
      </c>
      <c r="M2089" s="29" t="inlineStr">
        <is>
          <t>SUSURLUK</t>
        </is>
      </c>
    </row>
    <row r="2090">
      <c r="A2090" s="4" t="n">
        <v>2089</v>
      </c>
      <c r="B2090" s="4" t="inlineStr">
        <is>
          <t>00230</t>
        </is>
      </c>
      <c r="C2090" s="4" t="inlineStr">
        <is>
          <t>00230</t>
        </is>
      </c>
      <c r="D2090" s="29" t="inlineStr">
        <is>
          <t>İSMAİL İMİR</t>
        </is>
      </c>
      <c r="E2090" s="4" t="inlineStr">
        <is>
          <t>Cuma</t>
        </is>
      </c>
      <c r="F2090" s="4" t="inlineStr">
        <is>
          <t>9.10.2026</t>
        </is>
      </c>
      <c r="G2090" s="4" t="inlineStr">
        <is>
          <t>08:02</t>
        </is>
      </c>
      <c r="H2090" s="4" t="inlineStr">
        <is>
          <t>9.10.2026</t>
        </is>
      </c>
      <c r="I2090" s="4" t="inlineStr">
        <is>
          <t>19:58</t>
        </is>
      </c>
      <c r="J2090" s="8" t="n">
        <v>10.5</v>
      </c>
      <c r="K2090" s="8" t="n">
        <v>7.5</v>
      </c>
      <c r="L2090" s="8" t="n">
        <v>3</v>
      </c>
      <c r="M2090" s="29" t="inlineStr">
        <is>
          <t>SUSURLUK</t>
        </is>
      </c>
    </row>
    <row r="2091">
      <c r="A2091" s="4" t="n">
        <v>2090</v>
      </c>
      <c r="B2091" s="4" t="inlineStr">
        <is>
          <t>00230</t>
        </is>
      </c>
      <c r="C2091" s="4" t="inlineStr">
        <is>
          <t>00230</t>
        </is>
      </c>
      <c r="D2091" s="29" t="inlineStr">
        <is>
          <t>İSMAİL İMİR</t>
        </is>
      </c>
      <c r="E2091" s="4" t="inlineStr">
        <is>
          <t>Cumartesi</t>
        </is>
      </c>
      <c r="F2091" s="4" t="inlineStr">
        <is>
          <t>10.10.2026</t>
        </is>
      </c>
      <c r="G2091" s="4" t="inlineStr">
        <is>
          <t>08:12</t>
        </is>
      </c>
      <c r="H2091" s="4" t="inlineStr">
        <is>
          <t>10.10.2026</t>
        </is>
      </c>
      <c r="I2091" s="4" t="inlineStr">
        <is>
          <t>19:10</t>
        </is>
      </c>
      <c r="J2091" s="8" t="n">
        <v>9.5</v>
      </c>
      <c r="K2091" s="8" t="n">
        <v>7.5</v>
      </c>
      <c r="L2091" s="8" t="n">
        <v>2</v>
      </c>
      <c r="M2091" s="29" t="inlineStr">
        <is>
          <t>SUSURLUK</t>
        </is>
      </c>
    </row>
    <row r="2092">
      <c r="A2092" s="4" t="n">
        <v>2091</v>
      </c>
      <c r="B2092" s="4" t="inlineStr">
        <is>
          <t>00230</t>
        </is>
      </c>
      <c r="C2092" s="4" t="inlineStr">
        <is>
          <t>00230</t>
        </is>
      </c>
      <c r="D2092" s="29" t="inlineStr">
        <is>
          <t>İSMAİL İMİR</t>
        </is>
      </c>
      <c r="E2092" s="4" t="inlineStr">
        <is>
          <t>Pazartesi</t>
        </is>
      </c>
      <c r="F2092" s="4" t="inlineStr">
        <is>
          <t>12.10.2026</t>
        </is>
      </c>
      <c r="G2092" s="4" t="inlineStr">
        <is>
          <t>07:45</t>
        </is>
      </c>
      <c r="H2092" s="4" t="inlineStr">
        <is>
          <t>12.10.2026</t>
        </is>
      </c>
      <c r="I2092" s="4" t="inlineStr">
        <is>
          <t>19:00</t>
        </is>
      </c>
      <c r="J2092" s="8" t="n">
        <v>9.5</v>
      </c>
      <c r="K2092" s="8" t="n">
        <v>7.5</v>
      </c>
      <c r="L2092" s="8" t="n">
        <v>2</v>
      </c>
      <c r="M2092" s="29" t="inlineStr">
        <is>
          <t>SUSURLUK</t>
        </is>
      </c>
    </row>
    <row r="2093">
      <c r="A2093" s="4" t="n">
        <v>2092</v>
      </c>
      <c r="B2093" s="4" t="inlineStr">
        <is>
          <t>00230</t>
        </is>
      </c>
      <c r="C2093" s="4" t="inlineStr">
        <is>
          <t>00230</t>
        </is>
      </c>
      <c r="D2093" s="29" t="inlineStr">
        <is>
          <t>İSMAİL İMİR</t>
        </is>
      </c>
      <c r="E2093" s="4" t="inlineStr">
        <is>
          <t>Salı</t>
        </is>
      </c>
      <c r="F2093" s="4" t="inlineStr">
        <is>
          <t>13.10.2026</t>
        </is>
      </c>
      <c r="G2093" s="4" t="inlineStr">
        <is>
          <t>08:04</t>
        </is>
      </c>
      <c r="H2093" s="4" t="inlineStr">
        <is>
          <t>13.10.2026</t>
        </is>
      </c>
      <c r="I2093" s="4" t="inlineStr">
        <is>
          <t>17:18</t>
        </is>
      </c>
      <c r="J2093" s="8" t="n">
        <v>7.5</v>
      </c>
      <c r="K2093" s="8" t="n">
        <v>7.5</v>
      </c>
      <c r="L2093" s="8" t="n">
        <v>0</v>
      </c>
      <c r="M2093" s="29" t="inlineStr">
        <is>
          <t>SUSURLUK</t>
        </is>
      </c>
    </row>
    <row r="2094">
      <c r="A2094" s="4" t="n">
        <v>2093</v>
      </c>
      <c r="B2094" s="4" t="inlineStr">
        <is>
          <t>00230</t>
        </is>
      </c>
      <c r="C2094" s="4" t="inlineStr">
        <is>
          <t>00230</t>
        </is>
      </c>
      <c r="D2094" s="29" t="inlineStr">
        <is>
          <t>İSMAİL İMİR</t>
        </is>
      </c>
      <c r="E2094" s="4" t="inlineStr">
        <is>
          <t>Çarşamba</t>
        </is>
      </c>
      <c r="F2094" s="4" t="inlineStr">
        <is>
          <t>14.10.2026</t>
        </is>
      </c>
      <c r="G2094" s="4" t="inlineStr">
        <is>
          <t>07:44</t>
        </is>
      </c>
      <c r="H2094" s="4" t="inlineStr">
        <is>
          <t>14.10.2026</t>
        </is>
      </c>
      <c r="I2094" s="4" t="inlineStr">
        <is>
          <t>-</t>
        </is>
      </c>
      <c r="J2094" s="8" t="n">
        <v>7.5</v>
      </c>
      <c r="K2094" s="8" t="n">
        <v>7.5</v>
      </c>
      <c r="L2094" s="8" t="n">
        <v>0</v>
      </c>
      <c r="M2094" s="29" t="inlineStr">
        <is>
          <t>SUSURLUK</t>
        </is>
      </c>
    </row>
    <row r="2095">
      <c r="A2095" s="4" t="n">
        <v>2094</v>
      </c>
      <c r="B2095" s="4" t="inlineStr">
        <is>
          <t>00230</t>
        </is>
      </c>
      <c r="C2095" s="4" t="inlineStr">
        <is>
          <t>00230</t>
        </is>
      </c>
      <c r="D2095" s="29" t="inlineStr">
        <is>
          <t>İSMAİL İMİR</t>
        </is>
      </c>
      <c r="E2095" s="4" t="inlineStr">
        <is>
          <t>Perşembe</t>
        </is>
      </c>
      <c r="F2095" s="4" t="inlineStr">
        <is>
          <t>15.10.2026</t>
        </is>
      </c>
      <c r="G2095" s="4" t="inlineStr">
        <is>
          <t>-</t>
        </is>
      </c>
      <c r="H2095" s="4" t="inlineStr">
        <is>
          <t>15.10.2026</t>
        </is>
      </c>
      <c r="I2095" s="4" t="inlineStr">
        <is>
          <t>04:07</t>
        </is>
      </c>
      <c r="J2095" s="8" t="n">
        <v>18.5</v>
      </c>
      <c r="K2095" s="8" t="n">
        <v>7.5</v>
      </c>
      <c r="L2095" s="8" t="n">
        <v>11</v>
      </c>
      <c r="M2095" s="29" t="inlineStr">
        <is>
          <t>SUSURLUK</t>
        </is>
      </c>
    </row>
    <row r="2096">
      <c r="A2096" s="4" t="n">
        <v>2095</v>
      </c>
      <c r="B2096" s="4" t="inlineStr">
        <is>
          <t>00230</t>
        </is>
      </c>
      <c r="C2096" s="4" t="inlineStr">
        <is>
          <t>00230</t>
        </is>
      </c>
      <c r="D2096" s="29" t="inlineStr">
        <is>
          <t>İSMAİL İMİR</t>
        </is>
      </c>
      <c r="E2096" s="4" t="inlineStr">
        <is>
          <t>Cuma</t>
        </is>
      </c>
      <c r="F2096" s="4" t="inlineStr">
        <is>
          <t>16.10.2026</t>
        </is>
      </c>
      <c r="G2096" s="4" t="inlineStr">
        <is>
          <t>09:32</t>
        </is>
      </c>
      <c r="H2096" s="4" t="inlineStr">
        <is>
          <t>16.10.2026</t>
        </is>
      </c>
      <c r="I2096" s="4" t="inlineStr">
        <is>
          <t>20:03</t>
        </is>
      </c>
      <c r="J2096" s="8" t="n">
        <v>9</v>
      </c>
      <c r="K2096" s="8" t="n">
        <v>6</v>
      </c>
      <c r="L2096" s="8" t="n">
        <v>3</v>
      </c>
      <c r="M2096" s="29" t="inlineStr">
        <is>
          <t>SUSURLUK</t>
        </is>
      </c>
    </row>
    <row r="2097">
      <c r="A2097" s="4" t="n">
        <v>2096</v>
      </c>
      <c r="B2097" s="4" t="inlineStr">
        <is>
          <t>00230</t>
        </is>
      </c>
      <c r="C2097" s="4" t="inlineStr">
        <is>
          <t>00230</t>
        </is>
      </c>
      <c r="D2097" s="29" t="inlineStr">
        <is>
          <t>İSMAİL İMİR</t>
        </is>
      </c>
      <c r="E2097" s="4" t="inlineStr">
        <is>
          <t>Cumartesi</t>
        </is>
      </c>
      <c r="F2097" s="4" t="inlineStr">
        <is>
          <t>17.10.2026</t>
        </is>
      </c>
      <c r="G2097" s="4" t="inlineStr">
        <is>
          <t>07:41</t>
        </is>
      </c>
      <c r="H2097" s="4" t="inlineStr">
        <is>
          <t>17.10.2026</t>
        </is>
      </c>
      <c r="I2097" s="4" t="inlineStr">
        <is>
          <t>-</t>
        </is>
      </c>
      <c r="J2097" s="8" t="n">
        <v>7.5</v>
      </c>
      <c r="K2097" s="8" t="n">
        <v>7.5</v>
      </c>
      <c r="L2097" s="8" t="n">
        <v>0</v>
      </c>
      <c r="M2097" s="29" t="inlineStr">
        <is>
          <t>SUSURLUK</t>
        </is>
      </c>
    </row>
    <row r="2098">
      <c r="A2098" s="4" t="n">
        <v>2097</v>
      </c>
      <c r="B2098" s="4" t="inlineStr">
        <is>
          <t>00230</t>
        </is>
      </c>
      <c r="C2098" s="4" t="inlineStr">
        <is>
          <t>00230</t>
        </is>
      </c>
      <c r="D2098" s="29" t="inlineStr">
        <is>
          <t>İSMAİL İMİR</t>
        </is>
      </c>
      <c r="E2098" s="4" t="inlineStr">
        <is>
          <t>Pazar</t>
        </is>
      </c>
      <c r="F2098" s="4" t="inlineStr">
        <is>
          <t>18.10.2026</t>
        </is>
      </c>
      <c r="G2098" s="4" t="inlineStr">
        <is>
          <t>-</t>
        </is>
      </c>
      <c r="H2098" s="4" t="inlineStr">
        <is>
          <t>18.10.2026</t>
        </is>
      </c>
      <c r="I2098" s="4" t="inlineStr">
        <is>
          <t>02:31</t>
        </is>
      </c>
      <c r="J2098" s="8" t="n">
        <v>17</v>
      </c>
      <c r="K2098" s="8" t="n">
        <v>7.5</v>
      </c>
      <c r="L2098" s="8" t="n">
        <v>9.5</v>
      </c>
      <c r="M2098" s="29" t="inlineStr">
        <is>
          <t>SUSURLUK</t>
        </is>
      </c>
    </row>
    <row r="2099">
      <c r="A2099" s="4" t="n">
        <v>2098</v>
      </c>
      <c r="B2099" s="4" t="inlineStr">
        <is>
          <t>00230</t>
        </is>
      </c>
      <c r="C2099" s="4" t="inlineStr">
        <is>
          <t>00230</t>
        </is>
      </c>
      <c r="D2099" s="29" t="inlineStr">
        <is>
          <t>İSMAİL İMİR</t>
        </is>
      </c>
      <c r="E2099" s="4" t="inlineStr">
        <is>
          <t>Pazartesi</t>
        </is>
      </c>
      <c r="F2099" s="4" t="inlineStr">
        <is>
          <t>19.10.2026</t>
        </is>
      </c>
      <c r="G2099" s="4" t="inlineStr">
        <is>
          <t>08:07</t>
        </is>
      </c>
      <c r="H2099" s="4" t="inlineStr">
        <is>
          <t>19.10.2026</t>
        </is>
      </c>
      <c r="I2099" s="4" t="inlineStr">
        <is>
          <t>17:01</t>
        </is>
      </c>
      <c r="J2099" s="8" t="n">
        <v>7.5</v>
      </c>
      <c r="K2099" s="8" t="n">
        <v>7.5</v>
      </c>
      <c r="L2099" s="8" t="n">
        <v>0</v>
      </c>
      <c r="M2099" s="29" t="inlineStr">
        <is>
          <t>SUSURLUK</t>
        </is>
      </c>
    </row>
    <row r="2100">
      <c r="A2100" s="4" t="n">
        <v>2099</v>
      </c>
      <c r="B2100" s="4" t="inlineStr">
        <is>
          <t>00230</t>
        </is>
      </c>
      <c r="C2100" s="4" t="inlineStr">
        <is>
          <t>00230</t>
        </is>
      </c>
      <c r="D2100" s="29" t="inlineStr">
        <is>
          <t>İSMAİL İMİR</t>
        </is>
      </c>
      <c r="E2100" s="4" t="inlineStr">
        <is>
          <t>Salı</t>
        </is>
      </c>
      <c r="F2100" s="4" t="inlineStr">
        <is>
          <t>20.10.2026</t>
        </is>
      </c>
      <c r="G2100" s="4" t="inlineStr">
        <is>
          <t>08:06</t>
        </is>
      </c>
      <c r="H2100" s="4" t="inlineStr">
        <is>
          <t>20.10.2026</t>
        </is>
      </c>
      <c r="I2100" s="4" t="inlineStr">
        <is>
          <t>17:03</t>
        </is>
      </c>
      <c r="J2100" s="8" t="n">
        <v>7.5</v>
      </c>
      <c r="K2100" s="8" t="n">
        <v>7.5</v>
      </c>
      <c r="L2100" s="8" t="n">
        <v>0</v>
      </c>
      <c r="M2100" s="29" t="inlineStr">
        <is>
          <t>SUSURLUK</t>
        </is>
      </c>
    </row>
    <row r="2101">
      <c r="A2101" s="4" t="n">
        <v>2100</v>
      </c>
      <c r="B2101" s="4" t="inlineStr">
        <is>
          <t>00230</t>
        </is>
      </c>
      <c r="C2101" s="4" t="inlineStr">
        <is>
          <t>00230</t>
        </is>
      </c>
      <c r="D2101" s="29" t="inlineStr">
        <is>
          <t>İSMAİL İMİR</t>
        </is>
      </c>
      <c r="E2101" s="4" t="inlineStr">
        <is>
          <t>Çarşamba</t>
        </is>
      </c>
      <c r="F2101" s="4" t="inlineStr">
        <is>
          <t>21.10.2026</t>
        </is>
      </c>
      <c r="G2101" s="4" t="inlineStr">
        <is>
          <t>07:38</t>
        </is>
      </c>
      <c r="H2101" s="4" t="inlineStr">
        <is>
          <t>21.10.2026</t>
        </is>
      </c>
      <c r="I2101" s="4" t="inlineStr">
        <is>
          <t>-</t>
        </is>
      </c>
      <c r="J2101" s="8" t="n">
        <v>7.5</v>
      </c>
      <c r="K2101" s="8" t="n">
        <v>7.5</v>
      </c>
      <c r="L2101" s="8" t="n">
        <v>0</v>
      </c>
      <c r="M2101" s="29" t="inlineStr">
        <is>
          <t>SUSURLUK</t>
        </is>
      </c>
    </row>
    <row r="2102">
      <c r="A2102" s="4" t="n">
        <v>2101</v>
      </c>
      <c r="B2102" s="4" t="inlineStr">
        <is>
          <t>00783</t>
        </is>
      </c>
      <c r="C2102" s="4" t="inlineStr">
        <is>
          <t>00783</t>
        </is>
      </c>
      <c r="D2102" s="29" t="inlineStr">
        <is>
          <t>İSMAİL BARAK</t>
        </is>
      </c>
      <c r="E2102" s="4" t="inlineStr">
        <is>
          <t>Perşembe</t>
        </is>
      </c>
      <c r="F2102" s="4" t="inlineStr">
        <is>
          <t>1.10.2026</t>
        </is>
      </c>
      <c r="G2102" s="4" t="inlineStr">
        <is>
          <t>07:56</t>
        </is>
      </c>
      <c r="H2102" s="4" t="inlineStr">
        <is>
          <t>1.10.2026</t>
        </is>
      </c>
      <c r="I2102" s="4" t="inlineStr">
        <is>
          <t>20:00</t>
        </is>
      </c>
      <c r="J2102" s="8" t="n">
        <v>10.5</v>
      </c>
      <c r="K2102" s="8" t="n">
        <v>7.5</v>
      </c>
      <c r="L2102" s="8" t="n">
        <v>3</v>
      </c>
      <c r="M2102" s="29" t="inlineStr">
        <is>
          <t>HALİL DİĞRENCİ</t>
        </is>
      </c>
    </row>
    <row r="2103">
      <c r="A2103" s="4" t="n">
        <v>2102</v>
      </c>
      <c r="B2103" s="4" t="inlineStr">
        <is>
          <t>00783</t>
        </is>
      </c>
      <c r="C2103" s="4" t="inlineStr">
        <is>
          <t>00783</t>
        </is>
      </c>
      <c r="D2103" s="29" t="inlineStr">
        <is>
          <t>İSMAİL BARAK</t>
        </is>
      </c>
      <c r="E2103" s="4" t="inlineStr">
        <is>
          <t>Cuma</t>
        </is>
      </c>
      <c r="F2103" s="4" t="inlineStr">
        <is>
          <t>2.10.2026</t>
        </is>
      </c>
      <c r="G2103" s="4" t="inlineStr">
        <is>
          <t>07:59</t>
        </is>
      </c>
      <c r="H2103" s="4" t="inlineStr">
        <is>
          <t>2.10.2026</t>
        </is>
      </c>
      <c r="I2103" s="4" t="inlineStr">
        <is>
          <t>17:41</t>
        </is>
      </c>
      <c r="J2103" s="8" t="n">
        <v>8</v>
      </c>
      <c r="K2103" s="8" t="n">
        <v>7.5</v>
      </c>
      <c r="L2103" s="8" t="n">
        <v>0.5</v>
      </c>
      <c r="M2103" s="29" t="inlineStr">
        <is>
          <t>HALİL DİĞRENCİ</t>
        </is>
      </c>
    </row>
    <row r="2104">
      <c r="A2104" s="4" t="n">
        <v>2103</v>
      </c>
      <c r="B2104" s="4" t="inlineStr">
        <is>
          <t>00783</t>
        </is>
      </c>
      <c r="C2104" s="4" t="inlineStr">
        <is>
          <t>00783</t>
        </is>
      </c>
      <c r="D2104" s="29" t="inlineStr">
        <is>
          <t>İSMAİL BARAK</t>
        </is>
      </c>
      <c r="E2104" s="4" t="inlineStr">
        <is>
          <t>Pazar</t>
        </is>
      </c>
      <c r="F2104" s="4" t="inlineStr">
        <is>
          <t>4.10.2026</t>
        </is>
      </c>
      <c r="G2104" s="4" t="inlineStr">
        <is>
          <t>07:48</t>
        </is>
      </c>
      <c r="H2104" s="4" t="inlineStr">
        <is>
          <t>4.10.2026</t>
        </is>
      </c>
      <c r="I2104" s="4" t="inlineStr">
        <is>
          <t>17:02</t>
        </is>
      </c>
      <c r="J2104" s="8" t="n">
        <v>7.5</v>
      </c>
      <c r="K2104" s="8" t="n">
        <v>7.5</v>
      </c>
      <c r="L2104" s="8" t="n">
        <v>0</v>
      </c>
      <c r="M2104" s="29" t="inlineStr">
        <is>
          <t>HALİL DİĞRENCİ</t>
        </is>
      </c>
    </row>
    <row r="2105">
      <c r="A2105" s="4" t="n">
        <v>2104</v>
      </c>
      <c r="B2105" s="4" t="inlineStr">
        <is>
          <t>00783</t>
        </is>
      </c>
      <c r="C2105" s="4" t="inlineStr">
        <is>
          <t>00783</t>
        </is>
      </c>
      <c r="D2105" s="29" t="inlineStr">
        <is>
          <t>İSMAİL BARAK</t>
        </is>
      </c>
      <c r="E2105" s="4" t="inlineStr">
        <is>
          <t>Pazartesi</t>
        </is>
      </c>
      <c r="F2105" s="4" t="inlineStr">
        <is>
          <t>5.10.2026</t>
        </is>
      </c>
      <c r="G2105" s="4" t="inlineStr">
        <is>
          <t>08:00</t>
        </is>
      </c>
      <c r="H2105" s="4" t="inlineStr">
        <is>
          <t>5.10.2026</t>
        </is>
      </c>
      <c r="I2105" s="4" t="inlineStr">
        <is>
          <t>17:00</t>
        </is>
      </c>
      <c r="J2105" s="8" t="n">
        <v>7.5</v>
      </c>
      <c r="K2105" s="8" t="n">
        <v>7.5</v>
      </c>
      <c r="L2105" s="8" t="n">
        <v>0</v>
      </c>
      <c r="M2105" s="29" t="inlineStr">
        <is>
          <t>HALİL DİĞRENCİ</t>
        </is>
      </c>
    </row>
    <row r="2106">
      <c r="A2106" s="4" t="n">
        <v>2105</v>
      </c>
      <c r="B2106" s="4" t="inlineStr">
        <is>
          <t>00783</t>
        </is>
      </c>
      <c r="C2106" s="4" t="inlineStr">
        <is>
          <t>00783</t>
        </is>
      </c>
      <c r="D2106" s="29" t="inlineStr">
        <is>
          <t>İSMAİL BARAK</t>
        </is>
      </c>
      <c r="E2106" s="4" t="inlineStr">
        <is>
          <t>Salı</t>
        </is>
      </c>
      <c r="F2106" s="4" t="inlineStr">
        <is>
          <t>6.10.2026</t>
        </is>
      </c>
      <c r="G2106" s="4" t="inlineStr">
        <is>
          <t>07:59</t>
        </is>
      </c>
      <c r="H2106" s="4" t="inlineStr">
        <is>
          <t>6.10.2026</t>
        </is>
      </c>
      <c r="I2106" s="4" t="inlineStr">
        <is>
          <t>08:01</t>
        </is>
      </c>
      <c r="J2106" s="8" t="n">
        <v>15</v>
      </c>
      <c r="K2106" s="8" t="n">
        <v>7.5</v>
      </c>
      <c r="L2106" s="8" t="n">
        <v>7.5</v>
      </c>
      <c r="M2106" s="29" t="inlineStr">
        <is>
          <t>HALİL DİĞRENCİ</t>
        </is>
      </c>
    </row>
    <row r="2107">
      <c r="A2107" s="4" t="n">
        <v>2106</v>
      </c>
      <c r="B2107" s="4" t="inlineStr">
        <is>
          <t>00783</t>
        </is>
      </c>
      <c r="C2107" s="4" t="inlineStr">
        <is>
          <t>00783</t>
        </is>
      </c>
      <c r="D2107" s="29" t="inlineStr">
        <is>
          <t>İSMAİL BARAK</t>
        </is>
      </c>
      <c r="E2107" s="4" t="inlineStr">
        <is>
          <t>Çarşamba</t>
        </is>
      </c>
      <c r="F2107" s="4" t="inlineStr">
        <is>
          <t>7.10.2026</t>
        </is>
      </c>
      <c r="G2107" s="4" t="inlineStr">
        <is>
          <t>21:55</t>
        </is>
      </c>
      <c r="H2107" s="4" t="inlineStr">
        <is>
          <t>7.10.2026</t>
        </is>
      </c>
      <c r="I2107" s="4" t="inlineStr">
        <is>
          <t>08:00</t>
        </is>
      </c>
      <c r="J2107" s="8" t="n">
        <v>7.5</v>
      </c>
      <c r="K2107" s="8" t="n">
        <v>5.5</v>
      </c>
      <c r="L2107" s="8" t="n">
        <v>2</v>
      </c>
      <c r="M2107" s="29" t="inlineStr">
        <is>
          <t>HALİL DİĞRENCİ</t>
        </is>
      </c>
    </row>
    <row r="2108">
      <c r="A2108" s="4" t="n">
        <v>2107</v>
      </c>
      <c r="B2108" s="4" t="inlineStr">
        <is>
          <t>00783</t>
        </is>
      </c>
      <c r="C2108" s="4" t="inlineStr">
        <is>
          <t>00783</t>
        </is>
      </c>
      <c r="D2108" s="29" t="inlineStr">
        <is>
          <t>İSMAİL BARAK</t>
        </is>
      </c>
      <c r="E2108" s="4" t="inlineStr">
        <is>
          <t>Perşembe</t>
        </is>
      </c>
      <c r="F2108" s="4" t="inlineStr">
        <is>
          <t>8.10.2026</t>
        </is>
      </c>
      <c r="G2108" s="4" t="inlineStr">
        <is>
          <t>20:07</t>
        </is>
      </c>
      <c r="H2108" s="4" t="inlineStr">
        <is>
          <t>8.10.2026</t>
        </is>
      </c>
      <c r="I2108" s="4" t="inlineStr">
        <is>
          <t>08:00</t>
        </is>
      </c>
      <c r="J2108" s="8" t="n">
        <v>10.5</v>
      </c>
      <c r="K2108" s="8" t="n">
        <v>7.5</v>
      </c>
      <c r="L2108" s="8" t="n">
        <v>3</v>
      </c>
      <c r="M2108" s="29" t="inlineStr">
        <is>
          <t>HALİL DİĞRENCİ</t>
        </is>
      </c>
    </row>
    <row r="2109">
      <c r="A2109" s="4" t="n">
        <v>2108</v>
      </c>
      <c r="B2109" s="4" t="inlineStr">
        <is>
          <t>00783</t>
        </is>
      </c>
      <c r="C2109" s="4" t="inlineStr">
        <is>
          <t>00783</t>
        </is>
      </c>
      <c r="D2109" s="29" t="inlineStr">
        <is>
          <t>İSMAİL BARAK</t>
        </is>
      </c>
      <c r="E2109" s="4" t="inlineStr">
        <is>
          <t>Cuma</t>
        </is>
      </c>
      <c r="F2109" s="4" t="inlineStr">
        <is>
          <t>9.10.2026</t>
        </is>
      </c>
      <c r="G2109" s="4" t="inlineStr">
        <is>
          <t>22:16</t>
        </is>
      </c>
      <c r="H2109" s="4" t="inlineStr">
        <is>
          <t>9.10.2026</t>
        </is>
      </c>
      <c r="I2109" s="4" t="inlineStr">
        <is>
          <t>08:01</t>
        </is>
      </c>
      <c r="J2109" s="8" t="n">
        <v>7.5</v>
      </c>
      <c r="K2109" s="8" t="n">
        <v>5.5</v>
      </c>
      <c r="L2109" s="8" t="n">
        <v>2</v>
      </c>
      <c r="M2109" s="29" t="inlineStr">
        <is>
          <t>HALİL DİĞRENCİ</t>
        </is>
      </c>
    </row>
    <row r="2110">
      <c r="A2110" s="4" t="n">
        <v>2109</v>
      </c>
      <c r="B2110" s="4" t="inlineStr">
        <is>
          <t>00783</t>
        </is>
      </c>
      <c r="C2110" s="4" t="inlineStr">
        <is>
          <t>00783</t>
        </is>
      </c>
      <c r="D2110" s="29" t="inlineStr">
        <is>
          <t>İSMAİL BARAK</t>
        </is>
      </c>
      <c r="E2110" s="4" t="inlineStr">
        <is>
          <t>Pazar</t>
        </is>
      </c>
      <c r="F2110" s="4" t="inlineStr">
        <is>
          <t>11.10.2026</t>
        </is>
      </c>
      <c r="G2110" s="4" t="inlineStr">
        <is>
          <t>07:54</t>
        </is>
      </c>
      <c r="H2110" s="4" t="inlineStr">
        <is>
          <t>11.10.2026</t>
        </is>
      </c>
      <c r="I2110" s="4" t="inlineStr">
        <is>
          <t>20:10</t>
        </is>
      </c>
      <c r="J2110" s="8" t="n">
        <v>10.5</v>
      </c>
      <c r="K2110" s="8" t="n">
        <v>7.5</v>
      </c>
      <c r="L2110" s="8" t="n">
        <v>3</v>
      </c>
      <c r="M2110" s="29" t="inlineStr">
        <is>
          <t>HALİL DİĞRENCİ</t>
        </is>
      </c>
    </row>
    <row r="2111">
      <c r="A2111" s="4" t="n">
        <v>2110</v>
      </c>
      <c r="B2111" s="4" t="inlineStr">
        <is>
          <t>00783</t>
        </is>
      </c>
      <c r="C2111" s="4" t="inlineStr">
        <is>
          <t>00783</t>
        </is>
      </c>
      <c r="D2111" s="29" t="inlineStr">
        <is>
          <t>İSMAİL BARAK</t>
        </is>
      </c>
      <c r="E2111" s="4" t="inlineStr">
        <is>
          <t>Pazartesi</t>
        </is>
      </c>
      <c r="F2111" s="4" t="inlineStr">
        <is>
          <t>12.10.2026</t>
        </is>
      </c>
      <c r="G2111" s="4" t="inlineStr">
        <is>
          <t>22:03</t>
        </is>
      </c>
      <c r="H2111" s="4" t="inlineStr">
        <is>
          <t>12.10.2026</t>
        </is>
      </c>
      <c r="I2111" s="4" t="inlineStr">
        <is>
          <t>08:00</t>
        </is>
      </c>
      <c r="J2111" s="8" t="n">
        <v>7.5</v>
      </c>
      <c r="K2111" s="8" t="n">
        <v>5.5</v>
      </c>
      <c r="L2111" s="8" t="n">
        <v>2</v>
      </c>
      <c r="M2111" s="29" t="inlineStr">
        <is>
          <t>HALİL DİĞRENCİ</t>
        </is>
      </c>
    </row>
    <row r="2112">
      <c r="A2112" s="4" t="n">
        <v>2111</v>
      </c>
      <c r="B2112" s="4" t="inlineStr">
        <is>
          <t>00783</t>
        </is>
      </c>
      <c r="C2112" s="4" t="inlineStr">
        <is>
          <t>00783</t>
        </is>
      </c>
      <c r="D2112" s="29" t="inlineStr">
        <is>
          <t>İSMAİL BARAK</t>
        </is>
      </c>
      <c r="E2112" s="4" t="inlineStr">
        <is>
          <t>Salı</t>
        </is>
      </c>
      <c r="F2112" s="4" t="inlineStr">
        <is>
          <t>13.10.2026</t>
        </is>
      </c>
      <c r="G2112" s="4" t="inlineStr">
        <is>
          <t>21:59</t>
        </is>
      </c>
      <c r="H2112" s="4" t="inlineStr">
        <is>
          <t>13.10.2026</t>
        </is>
      </c>
      <c r="I2112" s="4" t="inlineStr">
        <is>
          <t>08:02</t>
        </is>
      </c>
      <c r="J2112" s="8" t="n">
        <v>7.5</v>
      </c>
      <c r="K2112" s="8" t="n">
        <v>5.5</v>
      </c>
      <c r="L2112" s="8" t="n">
        <v>2</v>
      </c>
      <c r="M2112" s="29" t="inlineStr">
        <is>
          <t>HALİL DİĞRENCİ</t>
        </is>
      </c>
    </row>
    <row r="2113">
      <c r="A2113" s="4" t="n">
        <v>2112</v>
      </c>
      <c r="B2113" s="4" t="inlineStr">
        <is>
          <t>00783</t>
        </is>
      </c>
      <c r="C2113" s="4" t="inlineStr">
        <is>
          <t>00783</t>
        </is>
      </c>
      <c r="D2113" s="29" t="inlineStr">
        <is>
          <t>İSMAİL BARAK</t>
        </is>
      </c>
      <c r="E2113" s="4" t="inlineStr">
        <is>
          <t>Perşembe</t>
        </is>
      </c>
      <c r="F2113" s="4" t="inlineStr">
        <is>
          <t>15.10.2026</t>
        </is>
      </c>
      <c r="G2113" s="4" t="inlineStr">
        <is>
          <t>21:53</t>
        </is>
      </c>
      <c r="H2113" s="4" t="inlineStr">
        <is>
          <t>15.10.2026</t>
        </is>
      </c>
      <c r="I2113" s="4" t="inlineStr">
        <is>
          <t>07:59</t>
        </is>
      </c>
      <c r="J2113" s="8" t="n">
        <v>7.5</v>
      </c>
      <c r="K2113" s="8" t="n">
        <v>5.5</v>
      </c>
      <c r="L2113" s="8" t="n">
        <v>2</v>
      </c>
      <c r="M2113" s="29" t="inlineStr">
        <is>
          <t>HALİL DİĞRENCİ</t>
        </is>
      </c>
    </row>
    <row r="2114">
      <c r="A2114" s="4" t="n">
        <v>2113</v>
      </c>
      <c r="B2114" s="4" t="inlineStr">
        <is>
          <t>00783</t>
        </is>
      </c>
      <c r="C2114" s="4" t="inlineStr">
        <is>
          <t>00783</t>
        </is>
      </c>
      <c r="D2114" s="29" t="inlineStr">
        <is>
          <t>İSMAİL BARAK</t>
        </is>
      </c>
      <c r="E2114" s="4" t="inlineStr">
        <is>
          <t>Cuma</t>
        </is>
      </c>
      <c r="F2114" s="4" t="inlineStr">
        <is>
          <t>16.10.2026</t>
        </is>
      </c>
      <c r="G2114" s="4" t="inlineStr">
        <is>
          <t>22:30</t>
        </is>
      </c>
      <c r="H2114" s="4" t="inlineStr">
        <is>
          <t>16.10.2026</t>
        </is>
      </c>
      <c r="I2114" s="4" t="inlineStr">
        <is>
          <t>08:14</t>
        </is>
      </c>
      <c r="J2114" s="8" t="n">
        <v>7.5</v>
      </c>
      <c r="K2114" s="8" t="n">
        <v>7.5</v>
      </c>
      <c r="L2114" s="8" t="n">
        <v>0</v>
      </c>
      <c r="M2114" s="29" t="inlineStr">
        <is>
          <t>HALİL DİĞRENCİ</t>
        </is>
      </c>
    </row>
    <row r="2115">
      <c r="A2115" s="4" t="n">
        <v>2114</v>
      </c>
      <c r="B2115" s="4" t="inlineStr">
        <is>
          <t>00783</t>
        </is>
      </c>
      <c r="C2115" s="4" t="inlineStr">
        <is>
          <t>00783</t>
        </is>
      </c>
      <c r="D2115" s="29" t="inlineStr">
        <is>
          <t>İSMAİL BARAK</t>
        </is>
      </c>
      <c r="E2115" s="4" t="inlineStr">
        <is>
          <t>Pazar</t>
        </is>
      </c>
      <c r="F2115" s="4" t="inlineStr">
        <is>
          <t>18.10.2026</t>
        </is>
      </c>
      <c r="G2115" s="4" t="inlineStr">
        <is>
          <t>19:52</t>
        </is>
      </c>
      <c r="H2115" s="4" t="inlineStr">
        <is>
          <t>18.10.2026</t>
        </is>
      </c>
      <c r="I2115" s="4" t="inlineStr">
        <is>
          <t>08:00</t>
        </is>
      </c>
      <c r="J2115" s="8" t="n">
        <v>10.5</v>
      </c>
      <c r="K2115" s="8" t="n">
        <v>7.5</v>
      </c>
      <c r="L2115" s="8" t="n">
        <v>3</v>
      </c>
      <c r="M2115" s="29" t="inlineStr">
        <is>
          <t>HALİL DİĞRENCİ</t>
        </is>
      </c>
    </row>
    <row r="2116">
      <c r="A2116" s="4" t="n">
        <v>2115</v>
      </c>
      <c r="B2116" s="4" t="inlineStr">
        <is>
          <t>00783</t>
        </is>
      </c>
      <c r="C2116" s="4" t="inlineStr">
        <is>
          <t>00783</t>
        </is>
      </c>
      <c r="D2116" s="29" t="inlineStr">
        <is>
          <t>İSMAİL BARAK</t>
        </is>
      </c>
      <c r="E2116" s="4" t="inlineStr">
        <is>
          <t>Pazartesi</t>
        </is>
      </c>
      <c r="F2116" s="4" t="inlineStr">
        <is>
          <t>19.10.2026</t>
        </is>
      </c>
      <c r="G2116" s="4" t="inlineStr">
        <is>
          <t>20:15</t>
        </is>
      </c>
      <c r="H2116" s="4" t="inlineStr">
        <is>
          <t>19.10.2026</t>
        </is>
      </c>
      <c r="I2116" s="4" t="inlineStr">
        <is>
          <t>08:08</t>
        </is>
      </c>
      <c r="J2116" s="8" t="n">
        <v>10.5</v>
      </c>
      <c r="K2116" s="8" t="n">
        <v>7.5</v>
      </c>
      <c r="L2116" s="8" t="n">
        <v>3</v>
      </c>
      <c r="M2116" s="29" t="inlineStr">
        <is>
          <t>HALİL DİĞRENCİ</t>
        </is>
      </c>
    </row>
    <row r="2117">
      <c r="A2117" s="4" t="n">
        <v>2116</v>
      </c>
      <c r="B2117" s="4" t="inlineStr">
        <is>
          <t>00783</t>
        </is>
      </c>
      <c r="C2117" s="4" t="inlineStr">
        <is>
          <t>00783</t>
        </is>
      </c>
      <c r="D2117" s="29" t="inlineStr">
        <is>
          <t>İSMAİL BARAK</t>
        </is>
      </c>
      <c r="E2117" s="4" t="inlineStr">
        <is>
          <t>Salı</t>
        </is>
      </c>
      <c r="F2117" s="4" t="inlineStr">
        <is>
          <t>20.10.2026</t>
        </is>
      </c>
      <c r="G2117" s="4" t="inlineStr">
        <is>
          <t>21:50</t>
        </is>
      </c>
      <c r="H2117" s="4" t="inlineStr">
        <is>
          <t>20.10.2026</t>
        </is>
      </c>
      <c r="I2117" s="4" t="inlineStr">
        <is>
          <t>07:57</t>
        </is>
      </c>
      <c r="J2117" s="8" t="n">
        <v>8.5</v>
      </c>
      <c r="K2117" s="8" t="n">
        <v>6</v>
      </c>
      <c r="L2117" s="8" t="n">
        <v>2.5</v>
      </c>
      <c r="M2117" s="29" t="inlineStr">
        <is>
          <t>HALİL DİĞRENCİ</t>
        </is>
      </c>
    </row>
    <row r="2118">
      <c r="A2118" s="4" t="n">
        <v>2117</v>
      </c>
      <c r="B2118" s="4" t="inlineStr">
        <is>
          <t>00783</t>
        </is>
      </c>
      <c r="C2118" s="4" t="inlineStr">
        <is>
          <t>00783</t>
        </is>
      </c>
      <c r="D2118" s="29" t="inlineStr">
        <is>
          <t>İSMAİL BARAK</t>
        </is>
      </c>
      <c r="E2118" s="4" t="inlineStr">
        <is>
          <t>Çarşamba</t>
        </is>
      </c>
      <c r="F2118" s="4" t="inlineStr">
        <is>
          <t>21.10.2026</t>
        </is>
      </c>
      <c r="G2118" s="4" t="inlineStr">
        <is>
          <t>16:40</t>
        </is>
      </c>
      <c r="H2118" s="4" t="inlineStr">
        <is>
          <t>21.10.2026</t>
        </is>
      </c>
      <c r="I2118" s="4" t="inlineStr">
        <is>
          <t>-</t>
        </is>
      </c>
      <c r="J2118" s="8" t="n">
        <v>7.5</v>
      </c>
      <c r="K2118" s="8" t="n">
        <v>7.5</v>
      </c>
      <c r="L2118" s="8" t="n">
        <v>0</v>
      </c>
      <c r="M2118" s="29" t="inlineStr">
        <is>
          <t>HALİL DİĞRENCİ</t>
        </is>
      </c>
    </row>
    <row r="2119">
      <c r="A2119" s="4" t="n">
        <v>2118</v>
      </c>
      <c r="B2119" s="4" t="inlineStr">
        <is>
          <t>00093</t>
        </is>
      </c>
      <c r="C2119" s="4" t="inlineStr">
        <is>
          <t>00093</t>
        </is>
      </c>
      <c r="D2119" s="29" t="inlineStr">
        <is>
          <t>KADİR AZAR</t>
        </is>
      </c>
      <c r="E2119" s="4" t="inlineStr">
        <is>
          <t>Perşembe</t>
        </is>
      </c>
      <c r="F2119" s="4" t="inlineStr">
        <is>
          <t>1.10.2026</t>
        </is>
      </c>
      <c r="G2119" s="4" t="inlineStr">
        <is>
          <t>07:43</t>
        </is>
      </c>
      <c r="H2119" s="4" t="inlineStr">
        <is>
          <t>1.10.2026</t>
        </is>
      </c>
      <c r="I2119" s="4" t="inlineStr">
        <is>
          <t>17:31</t>
        </is>
      </c>
      <c r="J2119" s="8" t="n">
        <v>8</v>
      </c>
      <c r="K2119" s="8" t="n">
        <v>7.5</v>
      </c>
      <c r="L2119" s="8" t="n">
        <v>0.5</v>
      </c>
      <c r="M2119" s="29" t="inlineStr">
        <is>
          <t>KARACABEY</t>
        </is>
      </c>
    </row>
    <row r="2120">
      <c r="A2120" s="4" t="n">
        <v>2119</v>
      </c>
      <c r="B2120" s="4" t="inlineStr">
        <is>
          <t>00093</t>
        </is>
      </c>
      <c r="C2120" s="4" t="inlineStr">
        <is>
          <t>00093</t>
        </is>
      </c>
      <c r="D2120" s="29" t="inlineStr">
        <is>
          <t>KADİR AZAR</t>
        </is>
      </c>
      <c r="E2120" s="4" t="inlineStr">
        <is>
          <t>Cuma</t>
        </is>
      </c>
      <c r="F2120" s="4" t="inlineStr">
        <is>
          <t>2.10.2026</t>
        </is>
      </c>
      <c r="G2120" s="4" t="inlineStr">
        <is>
          <t>07:40</t>
        </is>
      </c>
      <c r="H2120" s="4" t="inlineStr">
        <is>
          <t>2.10.2026</t>
        </is>
      </c>
      <c r="I2120" s="4" t="inlineStr">
        <is>
          <t>17:22</t>
        </is>
      </c>
      <c r="J2120" s="8" t="n">
        <v>8</v>
      </c>
      <c r="K2120" s="8" t="n">
        <v>7.5</v>
      </c>
      <c r="L2120" s="8" t="n">
        <v>0.5</v>
      </c>
      <c r="M2120" s="29" t="inlineStr">
        <is>
          <t>KARACABEY</t>
        </is>
      </c>
    </row>
    <row r="2121">
      <c r="A2121" s="4" t="n">
        <v>2120</v>
      </c>
      <c r="B2121" s="4" t="inlineStr">
        <is>
          <t>00093</t>
        </is>
      </c>
      <c r="C2121" s="4" t="inlineStr">
        <is>
          <t>00093</t>
        </is>
      </c>
      <c r="D2121" s="29" t="inlineStr">
        <is>
          <t>KADİR AZAR</t>
        </is>
      </c>
      <c r="E2121" s="4" t="inlineStr">
        <is>
          <t>Cumartesi</t>
        </is>
      </c>
      <c r="F2121" s="4" t="inlineStr">
        <is>
          <t>3.10.2026</t>
        </is>
      </c>
      <c r="G2121" s="4" t="inlineStr">
        <is>
          <t>07:42</t>
        </is>
      </c>
      <c r="H2121" s="4" t="inlineStr">
        <is>
          <t>3.10.2026</t>
        </is>
      </c>
      <c r="I2121" s="4" t="inlineStr">
        <is>
          <t>19:53</t>
        </is>
      </c>
      <c r="J2121" s="8" t="n">
        <v>10.5</v>
      </c>
      <c r="K2121" s="8" t="n">
        <v>7.5</v>
      </c>
      <c r="L2121" s="8" t="n">
        <v>3</v>
      </c>
      <c r="M2121" s="29" t="inlineStr">
        <is>
          <t>KARACABEY</t>
        </is>
      </c>
    </row>
    <row r="2122">
      <c r="A2122" s="4" t="n">
        <v>2121</v>
      </c>
      <c r="B2122" s="4" t="inlineStr">
        <is>
          <t>00093</t>
        </is>
      </c>
      <c r="C2122" s="4" t="inlineStr">
        <is>
          <t>00093</t>
        </is>
      </c>
      <c r="D2122" s="29" t="inlineStr">
        <is>
          <t>KADİR AZAR</t>
        </is>
      </c>
      <c r="E2122" s="4" t="inlineStr">
        <is>
          <t>Pazartesi</t>
        </is>
      </c>
      <c r="F2122" s="4" t="inlineStr">
        <is>
          <t>5.10.2026</t>
        </is>
      </c>
      <c r="G2122" s="4" t="inlineStr">
        <is>
          <t>07:45</t>
        </is>
      </c>
      <c r="H2122" s="4" t="inlineStr">
        <is>
          <t>5.10.2026</t>
        </is>
      </c>
      <c r="I2122" s="4" t="inlineStr">
        <is>
          <t>17:10</t>
        </is>
      </c>
      <c r="J2122" s="8" t="n">
        <v>7.5</v>
      </c>
      <c r="K2122" s="8" t="n">
        <v>7.5</v>
      </c>
      <c r="L2122" s="8" t="n">
        <v>0</v>
      </c>
      <c r="M2122" s="29" t="inlineStr">
        <is>
          <t>KARACABEY</t>
        </is>
      </c>
    </row>
    <row r="2123">
      <c r="A2123" s="4" t="n">
        <v>2122</v>
      </c>
      <c r="B2123" s="4" t="inlineStr">
        <is>
          <t>00093</t>
        </is>
      </c>
      <c r="C2123" s="4" t="inlineStr">
        <is>
          <t>00093</t>
        </is>
      </c>
      <c r="D2123" s="29" t="inlineStr">
        <is>
          <t>KADİR AZAR</t>
        </is>
      </c>
      <c r="E2123" s="4" t="inlineStr">
        <is>
          <t>Salı</t>
        </is>
      </c>
      <c r="F2123" s="4" t="inlineStr">
        <is>
          <t>6.10.2026</t>
        </is>
      </c>
      <c r="G2123" s="4" t="inlineStr">
        <is>
          <t>07:44</t>
        </is>
      </c>
      <c r="H2123" s="4" t="inlineStr">
        <is>
          <t>6.10.2026</t>
        </is>
      </c>
      <c r="I2123" s="4" t="inlineStr">
        <is>
          <t>17:39</t>
        </is>
      </c>
      <c r="J2123" s="8" t="n">
        <v>8</v>
      </c>
      <c r="K2123" s="8" t="n">
        <v>7.5</v>
      </c>
      <c r="L2123" s="8" t="n">
        <v>0.5</v>
      </c>
      <c r="M2123" s="29" t="inlineStr">
        <is>
          <t>KARACABEY</t>
        </is>
      </c>
    </row>
    <row r="2124">
      <c r="A2124" s="4" t="n">
        <v>2123</v>
      </c>
      <c r="B2124" s="4" t="inlineStr">
        <is>
          <t>00093</t>
        </is>
      </c>
      <c r="C2124" s="4" t="inlineStr">
        <is>
          <t>00093</t>
        </is>
      </c>
      <c r="D2124" s="29" t="inlineStr">
        <is>
          <t>KADİR AZAR</t>
        </is>
      </c>
      <c r="E2124" s="4" t="inlineStr">
        <is>
          <t>Çarşamba</t>
        </is>
      </c>
      <c r="F2124" s="4" t="inlineStr">
        <is>
          <t>7.10.2026</t>
        </is>
      </c>
      <c r="G2124" s="4" t="inlineStr">
        <is>
          <t>07:39</t>
        </is>
      </c>
      <c r="H2124" s="4" t="inlineStr">
        <is>
          <t>7.10.2026</t>
        </is>
      </c>
      <c r="I2124" s="4" t="inlineStr">
        <is>
          <t>17:11</t>
        </is>
      </c>
      <c r="J2124" s="8" t="n">
        <v>7.5</v>
      </c>
      <c r="K2124" s="8" t="n">
        <v>7.5</v>
      </c>
      <c r="L2124" s="8" t="n">
        <v>0</v>
      </c>
      <c r="M2124" s="29" t="inlineStr">
        <is>
          <t>KARACABEY</t>
        </is>
      </c>
    </row>
    <row r="2125">
      <c r="A2125" s="4" t="n">
        <v>2124</v>
      </c>
      <c r="B2125" s="4" t="inlineStr">
        <is>
          <t>00093</t>
        </is>
      </c>
      <c r="C2125" s="4" t="inlineStr">
        <is>
          <t>00093</t>
        </is>
      </c>
      <c r="D2125" s="29" t="inlineStr">
        <is>
          <t>KADİR AZAR</t>
        </is>
      </c>
      <c r="E2125" s="4" t="inlineStr">
        <is>
          <t>Perşembe</t>
        </is>
      </c>
      <c r="F2125" s="4" t="inlineStr">
        <is>
          <t>8.10.2026</t>
        </is>
      </c>
      <c r="G2125" s="4" t="inlineStr">
        <is>
          <t>07:43</t>
        </is>
      </c>
      <c r="H2125" s="4" t="inlineStr">
        <is>
          <t>8.10.2026</t>
        </is>
      </c>
      <c r="I2125" s="4" t="inlineStr">
        <is>
          <t>17:18</t>
        </is>
      </c>
      <c r="J2125" s="8" t="n">
        <v>7.5</v>
      </c>
      <c r="K2125" s="8" t="n">
        <v>7.5</v>
      </c>
      <c r="L2125" s="8" t="n">
        <v>0</v>
      </c>
      <c r="M2125" s="29" t="inlineStr">
        <is>
          <t>KARACABEY</t>
        </is>
      </c>
    </row>
    <row r="2126">
      <c r="A2126" s="4" t="n">
        <v>2125</v>
      </c>
      <c r="B2126" s="4" t="inlineStr">
        <is>
          <t>00093</t>
        </is>
      </c>
      <c r="C2126" s="4" t="inlineStr">
        <is>
          <t>00093</t>
        </is>
      </c>
      <c r="D2126" s="29" t="inlineStr">
        <is>
          <t>KADİR AZAR</t>
        </is>
      </c>
      <c r="E2126" s="4" t="inlineStr">
        <is>
          <t>Cuma</t>
        </is>
      </c>
      <c r="F2126" s="4" t="inlineStr">
        <is>
          <t>9.10.2026</t>
        </is>
      </c>
      <c r="G2126" s="4" t="inlineStr">
        <is>
          <t>07:39</t>
        </is>
      </c>
      <c r="H2126" s="4" t="inlineStr">
        <is>
          <t>9.10.2026</t>
        </is>
      </c>
      <c r="I2126" s="4" t="inlineStr">
        <is>
          <t>17:09</t>
        </is>
      </c>
      <c r="J2126" s="8" t="n">
        <v>7.5</v>
      </c>
      <c r="K2126" s="8" t="n">
        <v>7.5</v>
      </c>
      <c r="L2126" s="8" t="n">
        <v>0</v>
      </c>
      <c r="M2126" s="29" t="inlineStr">
        <is>
          <t>KARACABEY</t>
        </is>
      </c>
    </row>
    <row r="2127">
      <c r="A2127" s="4" t="n">
        <v>2126</v>
      </c>
      <c r="B2127" s="4" t="inlineStr">
        <is>
          <t>00093</t>
        </is>
      </c>
      <c r="C2127" s="4" t="inlineStr">
        <is>
          <t>00093</t>
        </is>
      </c>
      <c r="D2127" s="29" t="inlineStr">
        <is>
          <t>KADİR AZAR</t>
        </is>
      </c>
      <c r="E2127" s="4" t="inlineStr">
        <is>
          <t>Cumartesi</t>
        </is>
      </c>
      <c r="F2127" s="4" t="inlineStr">
        <is>
          <t>10.10.2026</t>
        </is>
      </c>
      <c r="G2127" s="4" t="inlineStr">
        <is>
          <t>07:42</t>
        </is>
      </c>
      <c r="H2127" s="4" t="inlineStr">
        <is>
          <t>10.10.2026</t>
        </is>
      </c>
      <c r="I2127" s="4" t="inlineStr">
        <is>
          <t>16:12</t>
        </is>
      </c>
      <c r="J2127" s="8" t="n">
        <v>7.5</v>
      </c>
      <c r="K2127" s="8" t="n">
        <v>7.5</v>
      </c>
      <c r="L2127" s="8" t="n">
        <v>0</v>
      </c>
      <c r="M2127" s="29" t="inlineStr">
        <is>
          <t>KARACABEY</t>
        </is>
      </c>
    </row>
    <row r="2128">
      <c r="A2128" s="4" t="n">
        <v>2127</v>
      </c>
      <c r="B2128" s="4" t="inlineStr">
        <is>
          <t>00093</t>
        </is>
      </c>
      <c r="C2128" s="4" t="inlineStr">
        <is>
          <t>00093</t>
        </is>
      </c>
      <c r="D2128" s="29" t="inlineStr">
        <is>
          <t>KADİR AZAR</t>
        </is>
      </c>
      <c r="E2128" s="4" t="inlineStr">
        <is>
          <t>Pazartesi</t>
        </is>
      </c>
      <c r="F2128" s="4" t="inlineStr">
        <is>
          <t>12.10.2026</t>
        </is>
      </c>
      <c r="G2128" s="4" t="inlineStr">
        <is>
          <t>07:41</t>
        </is>
      </c>
      <c r="H2128" s="4" t="inlineStr">
        <is>
          <t>12.10.2026</t>
        </is>
      </c>
      <c r="I2128" s="4" t="inlineStr">
        <is>
          <t>17:07</t>
        </is>
      </c>
      <c r="J2128" s="8" t="n">
        <v>7.5</v>
      </c>
      <c r="K2128" s="8" t="n">
        <v>7.5</v>
      </c>
      <c r="L2128" s="8" t="n">
        <v>0</v>
      </c>
      <c r="M2128" s="29" t="inlineStr">
        <is>
          <t>KARACABEY</t>
        </is>
      </c>
    </row>
    <row r="2129">
      <c r="A2129" s="4" t="n">
        <v>2128</v>
      </c>
      <c r="B2129" s="4" t="inlineStr">
        <is>
          <t>00093</t>
        </is>
      </c>
      <c r="C2129" s="4" t="inlineStr">
        <is>
          <t>00093</t>
        </is>
      </c>
      <c r="D2129" s="29" t="inlineStr">
        <is>
          <t>KADİR AZAR</t>
        </is>
      </c>
      <c r="E2129" s="4" t="inlineStr">
        <is>
          <t>Salı</t>
        </is>
      </c>
      <c r="F2129" s="4" t="inlineStr">
        <is>
          <t>13.10.2026</t>
        </is>
      </c>
      <c r="G2129" s="4" t="inlineStr">
        <is>
          <t>07:41</t>
        </is>
      </c>
      <c r="H2129" s="4" t="inlineStr">
        <is>
          <t>13.10.2026</t>
        </is>
      </c>
      <c r="I2129" s="4" t="inlineStr">
        <is>
          <t>17:04</t>
        </is>
      </c>
      <c r="J2129" s="8" t="n">
        <v>7.5</v>
      </c>
      <c r="K2129" s="8" t="n">
        <v>7.5</v>
      </c>
      <c r="L2129" s="8" t="n">
        <v>0</v>
      </c>
      <c r="M2129" s="29" t="inlineStr">
        <is>
          <t>KARACABEY</t>
        </is>
      </c>
    </row>
    <row r="2130">
      <c r="A2130" s="4" t="n">
        <v>2129</v>
      </c>
      <c r="B2130" s="4" t="inlineStr">
        <is>
          <t>00093</t>
        </is>
      </c>
      <c r="C2130" s="4" t="inlineStr">
        <is>
          <t>00093</t>
        </is>
      </c>
      <c r="D2130" s="29" t="inlineStr">
        <is>
          <t>KADİR AZAR</t>
        </is>
      </c>
      <c r="E2130" s="4" t="inlineStr">
        <is>
          <t>Çarşamba</t>
        </is>
      </c>
      <c r="F2130" s="4" t="inlineStr">
        <is>
          <t>14.10.2026</t>
        </is>
      </c>
      <c r="G2130" s="4" t="inlineStr">
        <is>
          <t>07:44</t>
        </is>
      </c>
      <c r="H2130" s="4" t="inlineStr">
        <is>
          <t>14.10.2026</t>
        </is>
      </c>
      <c r="I2130" s="4" t="inlineStr">
        <is>
          <t>18:06</t>
        </is>
      </c>
      <c r="J2130" s="8" t="n">
        <v>8.5</v>
      </c>
      <c r="K2130" s="8" t="n">
        <v>7.5</v>
      </c>
      <c r="L2130" s="8" t="n">
        <v>1</v>
      </c>
      <c r="M2130" s="29" t="inlineStr">
        <is>
          <t>KARACABEY</t>
        </is>
      </c>
    </row>
    <row r="2131">
      <c r="A2131" s="4" t="n">
        <v>2130</v>
      </c>
      <c r="B2131" s="4" t="inlineStr">
        <is>
          <t>00093</t>
        </is>
      </c>
      <c r="C2131" s="4" t="inlineStr">
        <is>
          <t>00093</t>
        </is>
      </c>
      <c r="D2131" s="29" t="inlineStr">
        <is>
          <t>KADİR AZAR</t>
        </is>
      </c>
      <c r="E2131" s="4" t="inlineStr">
        <is>
          <t>Pazartesi</t>
        </is>
      </c>
      <c r="F2131" s="4" t="inlineStr">
        <is>
          <t>19.10.2026</t>
        </is>
      </c>
      <c r="G2131" s="4" t="inlineStr">
        <is>
          <t>07:47</t>
        </is>
      </c>
      <c r="H2131" s="4" t="inlineStr">
        <is>
          <t>19.10.2026</t>
        </is>
      </c>
      <c r="I2131" s="4" t="inlineStr">
        <is>
          <t>17:26</t>
        </is>
      </c>
      <c r="J2131" s="8" t="n">
        <v>8</v>
      </c>
      <c r="K2131" s="8" t="n">
        <v>7.5</v>
      </c>
      <c r="L2131" s="8" t="n">
        <v>0.5</v>
      </c>
      <c r="M2131" s="29" t="inlineStr">
        <is>
          <t>KARACABEY</t>
        </is>
      </c>
    </row>
    <row r="2132">
      <c r="A2132" s="4" t="n">
        <v>2131</v>
      </c>
      <c r="B2132" s="4" t="inlineStr">
        <is>
          <t>00093</t>
        </is>
      </c>
      <c r="C2132" s="4" t="inlineStr">
        <is>
          <t>00093</t>
        </is>
      </c>
      <c r="D2132" s="29" t="inlineStr">
        <is>
          <t>KADİR AZAR</t>
        </is>
      </c>
      <c r="E2132" s="4" t="inlineStr">
        <is>
          <t>Salı</t>
        </is>
      </c>
      <c r="F2132" s="4" t="inlineStr">
        <is>
          <t>20.10.2026</t>
        </is>
      </c>
      <c r="G2132" s="4" t="inlineStr">
        <is>
          <t>07:50</t>
        </is>
      </c>
      <c r="H2132" s="4" t="inlineStr">
        <is>
          <t>20.10.2026</t>
        </is>
      </c>
      <c r="I2132" s="4" t="inlineStr">
        <is>
          <t>17:13</t>
        </is>
      </c>
      <c r="J2132" s="8" t="n">
        <v>7.5</v>
      </c>
      <c r="K2132" s="8" t="n">
        <v>7.5</v>
      </c>
      <c r="L2132" s="8" t="n">
        <v>0</v>
      </c>
      <c r="M2132" s="29" t="inlineStr">
        <is>
          <t>KARACABEY</t>
        </is>
      </c>
    </row>
    <row r="2133">
      <c r="A2133" s="4" t="n">
        <v>2132</v>
      </c>
      <c r="B2133" s="4" t="inlineStr">
        <is>
          <t>00093</t>
        </is>
      </c>
      <c r="C2133" s="4" t="inlineStr">
        <is>
          <t>00093</t>
        </is>
      </c>
      <c r="D2133" s="29" t="inlineStr">
        <is>
          <t>KADİR AZAR</t>
        </is>
      </c>
      <c r="E2133" s="4" t="inlineStr">
        <is>
          <t>Çarşamba</t>
        </is>
      </c>
      <c r="F2133" s="4" t="inlineStr">
        <is>
          <t>21.10.2026</t>
        </is>
      </c>
      <c r="G2133" s="4" t="inlineStr">
        <is>
          <t>07:44</t>
        </is>
      </c>
      <c r="H2133" s="4" t="inlineStr">
        <is>
          <t>21.10.2026</t>
        </is>
      </c>
      <c r="I2133" s="4" t="inlineStr">
        <is>
          <t>17:25</t>
        </is>
      </c>
      <c r="J2133" s="8" t="n">
        <v>8</v>
      </c>
      <c r="K2133" s="8" t="n">
        <v>7.5</v>
      </c>
      <c r="L2133" s="8" t="n">
        <v>0.5</v>
      </c>
      <c r="M2133" s="29" t="inlineStr">
        <is>
          <t>KARACABEY</t>
        </is>
      </c>
    </row>
    <row r="2134">
      <c r="A2134" s="4" t="n">
        <v>2133</v>
      </c>
      <c r="B2134" s="4" t="inlineStr">
        <is>
          <t>01427</t>
        </is>
      </c>
      <c r="C2134" s="4" t="inlineStr">
        <is>
          <t>01427</t>
        </is>
      </c>
      <c r="D2134" s="29" t="inlineStr">
        <is>
          <t>KADİR KOÇ</t>
        </is>
      </c>
      <c r="E2134" s="4" t="inlineStr">
        <is>
          <t>Cuma</t>
        </is>
      </c>
      <c r="F2134" s="4" t="inlineStr">
        <is>
          <t>2.10.2026</t>
        </is>
      </c>
      <c r="G2134" s="4" t="inlineStr">
        <is>
          <t>19:46</t>
        </is>
      </c>
      <c r="H2134" s="4" t="inlineStr">
        <is>
          <t>2.10.2026</t>
        </is>
      </c>
      <c r="I2134" s="4" t="inlineStr">
        <is>
          <t>07:53</t>
        </is>
      </c>
      <c r="J2134" s="8" t="n">
        <v>10.5</v>
      </c>
      <c r="K2134" s="8" t="n">
        <v>7.5</v>
      </c>
      <c r="L2134" s="8" t="n">
        <v>3</v>
      </c>
      <c r="M2134" s="29" t="inlineStr">
        <is>
          <t>HALİL DİĞRENCİ</t>
        </is>
      </c>
    </row>
    <row r="2135">
      <c r="A2135" s="4" t="n">
        <v>2134</v>
      </c>
      <c r="B2135" s="4" t="inlineStr">
        <is>
          <t>01427</t>
        </is>
      </c>
      <c r="C2135" s="4" t="inlineStr">
        <is>
          <t>01427</t>
        </is>
      </c>
      <c r="D2135" s="29" t="inlineStr">
        <is>
          <t>KADİR KOÇ</t>
        </is>
      </c>
      <c r="E2135" s="4" t="inlineStr">
        <is>
          <t>Cumartesi</t>
        </is>
      </c>
      <c r="F2135" s="4" t="inlineStr">
        <is>
          <t>3.10.2026</t>
        </is>
      </c>
      <c r="G2135" s="4" t="inlineStr">
        <is>
          <t>19:54</t>
        </is>
      </c>
      <c r="H2135" s="4" t="inlineStr">
        <is>
          <t>3.10.2026</t>
        </is>
      </c>
      <c r="I2135" s="4" t="inlineStr">
        <is>
          <t>07:53</t>
        </is>
      </c>
      <c r="J2135" s="8" t="n">
        <v>10.5</v>
      </c>
      <c r="K2135" s="8" t="n">
        <v>7.5</v>
      </c>
      <c r="L2135" s="8" t="n">
        <v>3</v>
      </c>
      <c r="M2135" s="29" t="inlineStr">
        <is>
          <t>HALİL DİĞRENCİ</t>
        </is>
      </c>
    </row>
    <row r="2136">
      <c r="A2136" s="4" t="n">
        <v>2135</v>
      </c>
      <c r="B2136" s="4" t="inlineStr">
        <is>
          <t>01427</t>
        </is>
      </c>
      <c r="C2136" s="4" t="inlineStr">
        <is>
          <t>01427</t>
        </is>
      </c>
      <c r="D2136" s="29" t="inlineStr">
        <is>
          <t>KADİR KOÇ</t>
        </is>
      </c>
      <c r="E2136" s="4" t="inlineStr">
        <is>
          <t>Pazar</t>
        </is>
      </c>
      <c r="F2136" s="4" t="inlineStr">
        <is>
          <t>4.10.2026</t>
        </is>
      </c>
      <c r="G2136" s="4" t="inlineStr">
        <is>
          <t>19:59</t>
        </is>
      </c>
      <c r="H2136" s="4" t="inlineStr">
        <is>
          <t>4.10.2026</t>
        </is>
      </c>
      <c r="I2136" s="4" t="inlineStr">
        <is>
          <t>07:57</t>
        </is>
      </c>
      <c r="J2136" s="8" t="n">
        <v>10.5</v>
      </c>
      <c r="K2136" s="8" t="n">
        <v>7.5</v>
      </c>
      <c r="L2136" s="8" t="n">
        <v>3</v>
      </c>
      <c r="M2136" s="29" t="inlineStr">
        <is>
          <t>HALİL DİĞRENCİ</t>
        </is>
      </c>
    </row>
    <row r="2137">
      <c r="A2137" s="4" t="n">
        <v>2136</v>
      </c>
      <c r="B2137" s="4" t="inlineStr">
        <is>
          <t>01427</t>
        </is>
      </c>
      <c r="C2137" s="4" t="inlineStr">
        <is>
          <t>01427</t>
        </is>
      </c>
      <c r="D2137" s="29" t="inlineStr">
        <is>
          <t>KADİR KOÇ</t>
        </is>
      </c>
      <c r="E2137" s="4" t="inlineStr">
        <is>
          <t>Pazartesi</t>
        </is>
      </c>
      <c r="F2137" s="4" t="inlineStr">
        <is>
          <t>5.10.2026</t>
        </is>
      </c>
      <c r="G2137" s="4" t="inlineStr">
        <is>
          <t>19:56</t>
        </is>
      </c>
      <c r="H2137" s="4" t="inlineStr">
        <is>
          <t>5.10.2026</t>
        </is>
      </c>
      <c r="I2137" s="4" t="inlineStr">
        <is>
          <t>07:50</t>
        </is>
      </c>
      <c r="J2137" s="8" t="n">
        <v>10.5</v>
      </c>
      <c r="K2137" s="8" t="n">
        <v>7.5</v>
      </c>
      <c r="L2137" s="8" t="n">
        <v>3</v>
      </c>
      <c r="M2137" s="29" t="inlineStr">
        <is>
          <t>HALİL DİĞRENCİ</t>
        </is>
      </c>
    </row>
    <row r="2138">
      <c r="A2138" s="4" t="n">
        <v>2137</v>
      </c>
      <c r="B2138" s="4" t="inlineStr">
        <is>
          <t>01427</t>
        </is>
      </c>
      <c r="C2138" s="4" t="inlineStr">
        <is>
          <t>01427</t>
        </is>
      </c>
      <c r="D2138" s="29" t="inlineStr">
        <is>
          <t>KADİR KOÇ</t>
        </is>
      </c>
      <c r="E2138" s="4" t="inlineStr">
        <is>
          <t>Çarşamba</t>
        </is>
      </c>
      <c r="F2138" s="4" t="inlineStr">
        <is>
          <t>7.10.2026</t>
        </is>
      </c>
      <c r="G2138" s="4" t="inlineStr">
        <is>
          <t>19:58</t>
        </is>
      </c>
      <c r="H2138" s="4" t="inlineStr">
        <is>
          <t>7.10.2026</t>
        </is>
      </c>
      <c r="I2138" s="4" t="inlineStr">
        <is>
          <t>07:55</t>
        </is>
      </c>
      <c r="J2138" s="8" t="n">
        <v>10.5</v>
      </c>
      <c r="K2138" s="8" t="n">
        <v>7.5</v>
      </c>
      <c r="L2138" s="8" t="n">
        <v>3</v>
      </c>
      <c r="M2138" s="29" t="inlineStr">
        <is>
          <t>HALİL DİĞRENCİ</t>
        </is>
      </c>
    </row>
    <row r="2139">
      <c r="A2139" s="4" t="n">
        <v>2138</v>
      </c>
      <c r="B2139" s="4" t="inlineStr">
        <is>
          <t>01427</t>
        </is>
      </c>
      <c r="C2139" s="4" t="inlineStr">
        <is>
          <t>01427</t>
        </is>
      </c>
      <c r="D2139" s="29" t="inlineStr">
        <is>
          <t>KADİR KOÇ</t>
        </is>
      </c>
      <c r="E2139" s="4" t="inlineStr">
        <is>
          <t>Perşembe</t>
        </is>
      </c>
      <c r="F2139" s="4" t="inlineStr">
        <is>
          <t>8.10.2026</t>
        </is>
      </c>
      <c r="G2139" s="4" t="inlineStr">
        <is>
          <t>19:57</t>
        </is>
      </c>
      <c r="H2139" s="4" t="inlineStr">
        <is>
          <t>8.10.2026</t>
        </is>
      </c>
      <c r="I2139" s="4" t="inlineStr">
        <is>
          <t>07:58</t>
        </is>
      </c>
      <c r="J2139" s="8" t="n">
        <v>10.5</v>
      </c>
      <c r="K2139" s="8" t="n">
        <v>7.5</v>
      </c>
      <c r="L2139" s="8" t="n">
        <v>3</v>
      </c>
      <c r="M2139" s="29" t="inlineStr">
        <is>
          <t>HALİL DİĞRENCİ</t>
        </is>
      </c>
    </row>
    <row r="2140">
      <c r="A2140" s="4" t="n">
        <v>2139</v>
      </c>
      <c r="B2140" s="4" t="inlineStr">
        <is>
          <t>01427</t>
        </is>
      </c>
      <c r="C2140" s="4" t="inlineStr">
        <is>
          <t>01427</t>
        </is>
      </c>
      <c r="D2140" s="29" t="inlineStr">
        <is>
          <t>KADİR KOÇ</t>
        </is>
      </c>
      <c r="E2140" s="4" t="inlineStr">
        <is>
          <t>Cuma</t>
        </is>
      </c>
      <c r="F2140" s="4" t="inlineStr">
        <is>
          <t>9.10.2026</t>
        </is>
      </c>
      <c r="G2140" s="4" t="inlineStr">
        <is>
          <t>20:05</t>
        </is>
      </c>
      <c r="H2140" s="4" t="inlineStr">
        <is>
          <t>9.10.2026</t>
        </is>
      </c>
      <c r="I2140" s="4" t="inlineStr">
        <is>
          <t>07:56</t>
        </is>
      </c>
      <c r="J2140" s="8" t="n">
        <v>10.5</v>
      </c>
      <c r="K2140" s="8" t="n">
        <v>7.5</v>
      </c>
      <c r="L2140" s="8" t="n">
        <v>3</v>
      </c>
      <c r="M2140" s="29" t="inlineStr">
        <is>
          <t>HALİL DİĞRENCİ</t>
        </is>
      </c>
    </row>
    <row r="2141">
      <c r="A2141" s="4" t="n">
        <v>2140</v>
      </c>
      <c r="B2141" s="4" t="inlineStr">
        <is>
          <t>01427</t>
        </is>
      </c>
      <c r="C2141" s="4" t="inlineStr">
        <is>
          <t>01427</t>
        </is>
      </c>
      <c r="D2141" s="29" t="inlineStr">
        <is>
          <t>KADİR KOÇ</t>
        </is>
      </c>
      <c r="E2141" s="4" t="inlineStr">
        <is>
          <t>Pazartesi</t>
        </is>
      </c>
      <c r="F2141" s="4" t="inlineStr">
        <is>
          <t>12.10.2026</t>
        </is>
      </c>
      <c r="G2141" s="4" t="inlineStr">
        <is>
          <t>08:10</t>
        </is>
      </c>
      <c r="H2141" s="4" t="inlineStr">
        <is>
          <t>12.10.2026</t>
        </is>
      </c>
      <c r="I2141" s="4" t="inlineStr">
        <is>
          <t>07:53</t>
        </is>
      </c>
      <c r="J2141" s="8" t="n">
        <v>21</v>
      </c>
      <c r="K2141" s="8" t="n">
        <v>7.5</v>
      </c>
      <c r="L2141" s="8" t="n">
        <v>13.5</v>
      </c>
      <c r="M2141" s="29" t="inlineStr">
        <is>
          <t>HALİL DİĞRENCİ</t>
        </is>
      </c>
    </row>
    <row r="2142">
      <c r="A2142" s="4" t="n">
        <v>2141</v>
      </c>
      <c r="B2142" s="4" t="inlineStr">
        <is>
          <t>01427</t>
        </is>
      </c>
      <c r="C2142" s="4" t="inlineStr">
        <is>
          <t>01427</t>
        </is>
      </c>
      <c r="D2142" s="29" t="inlineStr">
        <is>
          <t>KADİR KOÇ</t>
        </is>
      </c>
      <c r="E2142" s="4" t="inlineStr">
        <is>
          <t>Salı</t>
        </is>
      </c>
      <c r="F2142" s="4" t="inlineStr">
        <is>
          <t>13.10.2026</t>
        </is>
      </c>
      <c r="G2142" s="4" t="inlineStr">
        <is>
          <t>20:01</t>
        </is>
      </c>
      <c r="H2142" s="4" t="inlineStr">
        <is>
          <t>13.10.2026</t>
        </is>
      </c>
      <c r="I2142" s="4" t="inlineStr">
        <is>
          <t>07:54</t>
        </is>
      </c>
      <c r="J2142" s="8" t="n">
        <v>10.5</v>
      </c>
      <c r="K2142" s="8" t="n">
        <v>7.5</v>
      </c>
      <c r="L2142" s="8" t="n">
        <v>3</v>
      </c>
      <c r="M2142" s="29" t="inlineStr">
        <is>
          <t>HALİL DİĞRENCİ</t>
        </is>
      </c>
    </row>
    <row r="2143">
      <c r="A2143" s="4" t="n">
        <v>2142</v>
      </c>
      <c r="B2143" s="4" t="inlineStr">
        <is>
          <t>01481</t>
        </is>
      </c>
      <c r="C2143" s="4" t="inlineStr">
        <is>
          <t>01481</t>
        </is>
      </c>
      <c r="D2143" s="29" t="inlineStr">
        <is>
          <t>KADİR PIRILTI</t>
        </is>
      </c>
      <c r="E2143" s="4" t="inlineStr">
        <is>
          <t>Cumartesi</t>
        </is>
      </c>
      <c r="F2143" s="4" t="inlineStr">
        <is>
          <t>3.10.2026</t>
        </is>
      </c>
      <c r="G2143" s="4" t="inlineStr">
        <is>
          <t>19:58</t>
        </is>
      </c>
      <c r="H2143" s="4" t="inlineStr">
        <is>
          <t>3.10.2026</t>
        </is>
      </c>
      <c r="I2143" s="4" t="inlineStr">
        <is>
          <t>07:56</t>
        </is>
      </c>
      <c r="J2143" s="8" t="n">
        <v>10.5</v>
      </c>
      <c r="K2143" s="8" t="n">
        <v>7.5</v>
      </c>
      <c r="L2143" s="8" t="n">
        <v>3</v>
      </c>
      <c r="M2143" s="29" t="inlineStr">
        <is>
          <t>HALİL DİĞRENCİ</t>
        </is>
      </c>
    </row>
    <row r="2144">
      <c r="A2144" s="4" t="n">
        <v>2143</v>
      </c>
      <c r="B2144" s="4" t="inlineStr">
        <is>
          <t>01481</t>
        </is>
      </c>
      <c r="C2144" s="4" t="inlineStr">
        <is>
          <t>01481</t>
        </is>
      </c>
      <c r="D2144" s="29" t="inlineStr">
        <is>
          <t>KADİR PIRILTI</t>
        </is>
      </c>
      <c r="E2144" s="4" t="inlineStr">
        <is>
          <t>Pazartesi</t>
        </is>
      </c>
      <c r="F2144" s="4" t="inlineStr">
        <is>
          <t>5.10.2026</t>
        </is>
      </c>
      <c r="G2144" s="4" t="inlineStr">
        <is>
          <t>19:53</t>
        </is>
      </c>
      <c r="H2144" s="4" t="inlineStr">
        <is>
          <t>5.10.2026</t>
        </is>
      </c>
      <c r="I2144" s="4" t="inlineStr">
        <is>
          <t>08:03</t>
        </is>
      </c>
      <c r="J2144" s="8" t="n">
        <v>10.5</v>
      </c>
      <c r="K2144" s="8" t="n">
        <v>7.5</v>
      </c>
      <c r="L2144" s="8" t="n">
        <v>3</v>
      </c>
      <c r="M2144" s="29" t="inlineStr">
        <is>
          <t>HALİL DİĞRENCİ</t>
        </is>
      </c>
    </row>
    <row r="2145">
      <c r="A2145" s="4" t="n">
        <v>2144</v>
      </c>
      <c r="B2145" s="4" t="inlineStr">
        <is>
          <t>01481</t>
        </is>
      </c>
      <c r="C2145" s="4" t="inlineStr">
        <is>
          <t>01481</t>
        </is>
      </c>
      <c r="D2145" s="29" t="inlineStr">
        <is>
          <t>KADİR PIRILTI</t>
        </is>
      </c>
      <c r="E2145" s="4" t="inlineStr">
        <is>
          <t>Salı</t>
        </is>
      </c>
      <c r="F2145" s="4" t="inlineStr">
        <is>
          <t>6.10.2026</t>
        </is>
      </c>
      <c r="G2145" s="4" t="inlineStr">
        <is>
          <t>19:53</t>
        </is>
      </c>
      <c r="H2145" s="4" t="inlineStr">
        <is>
          <t>6.10.2026</t>
        </is>
      </c>
      <c r="I2145" s="4" t="inlineStr">
        <is>
          <t>08:03</t>
        </is>
      </c>
      <c r="J2145" s="8" t="n">
        <v>10.5</v>
      </c>
      <c r="K2145" s="8" t="n">
        <v>7.5</v>
      </c>
      <c r="L2145" s="8" t="n">
        <v>3</v>
      </c>
      <c r="M2145" s="29" t="inlineStr">
        <is>
          <t>HALİL DİĞRENCİ</t>
        </is>
      </c>
    </row>
    <row r="2146">
      <c r="A2146" s="4" t="n">
        <v>2145</v>
      </c>
      <c r="B2146" s="4" t="inlineStr">
        <is>
          <t>01481</t>
        </is>
      </c>
      <c r="C2146" s="4" t="inlineStr">
        <is>
          <t>01481</t>
        </is>
      </c>
      <c r="D2146" s="29" t="inlineStr">
        <is>
          <t>KADİR PIRILTI</t>
        </is>
      </c>
      <c r="E2146" s="4" t="inlineStr">
        <is>
          <t>Çarşamba</t>
        </is>
      </c>
      <c r="F2146" s="4" t="inlineStr">
        <is>
          <t>7.10.2026</t>
        </is>
      </c>
      <c r="G2146" s="4" t="inlineStr">
        <is>
          <t>19:56</t>
        </is>
      </c>
      <c r="H2146" s="4" t="inlineStr">
        <is>
          <t>7.10.2026</t>
        </is>
      </c>
      <c r="I2146" s="4" t="inlineStr">
        <is>
          <t>08:00</t>
        </is>
      </c>
      <c r="J2146" s="8" t="n">
        <v>10.5</v>
      </c>
      <c r="K2146" s="8" t="n">
        <v>7.5</v>
      </c>
      <c r="L2146" s="8" t="n">
        <v>3</v>
      </c>
      <c r="M2146" s="29" t="inlineStr">
        <is>
          <t>HALİL DİĞRENCİ</t>
        </is>
      </c>
    </row>
    <row r="2147">
      <c r="A2147" s="4" t="n">
        <v>2146</v>
      </c>
      <c r="B2147" s="4" t="inlineStr">
        <is>
          <t>01481</t>
        </is>
      </c>
      <c r="C2147" s="4" t="inlineStr">
        <is>
          <t>01481</t>
        </is>
      </c>
      <c r="D2147" s="29" t="inlineStr">
        <is>
          <t>KADİR PIRILTI</t>
        </is>
      </c>
      <c r="E2147" s="4" t="inlineStr">
        <is>
          <t>Perşembe</t>
        </is>
      </c>
      <c r="F2147" s="4" t="inlineStr">
        <is>
          <t>8.10.2026</t>
        </is>
      </c>
      <c r="G2147" s="4" t="inlineStr">
        <is>
          <t>20:03</t>
        </is>
      </c>
      <c r="H2147" s="4" t="inlineStr">
        <is>
          <t>8.10.2026</t>
        </is>
      </c>
      <c r="I2147" s="4" t="inlineStr">
        <is>
          <t>08:01</t>
        </is>
      </c>
      <c r="J2147" s="8" t="n">
        <v>10.5</v>
      </c>
      <c r="K2147" s="8" t="n">
        <v>7.5</v>
      </c>
      <c r="L2147" s="8" t="n">
        <v>3</v>
      </c>
      <c r="M2147" s="29" t="inlineStr">
        <is>
          <t>HALİL DİĞRENCİ</t>
        </is>
      </c>
    </row>
    <row r="2148">
      <c r="A2148" s="4" t="n">
        <v>2147</v>
      </c>
      <c r="B2148" s="4" t="inlineStr">
        <is>
          <t>01481</t>
        </is>
      </c>
      <c r="C2148" s="4" t="inlineStr">
        <is>
          <t>01481</t>
        </is>
      </c>
      <c r="D2148" s="29" t="inlineStr">
        <is>
          <t>KADİR PIRILTI</t>
        </is>
      </c>
      <c r="E2148" s="4" t="inlineStr">
        <is>
          <t>Cuma</t>
        </is>
      </c>
      <c r="F2148" s="4" t="inlineStr">
        <is>
          <t>9.10.2026</t>
        </is>
      </c>
      <c r="G2148" s="4" t="inlineStr">
        <is>
          <t>20:01</t>
        </is>
      </c>
      <c r="H2148" s="4" t="inlineStr">
        <is>
          <t>9.10.2026</t>
        </is>
      </c>
      <c r="I2148" s="4" t="inlineStr">
        <is>
          <t>08:02</t>
        </is>
      </c>
      <c r="J2148" s="8" t="n">
        <v>10.5</v>
      </c>
      <c r="K2148" s="8" t="n">
        <v>7.5</v>
      </c>
      <c r="L2148" s="8" t="n">
        <v>3</v>
      </c>
      <c r="M2148" s="29" t="inlineStr">
        <is>
          <t>HALİL DİĞRENCİ</t>
        </is>
      </c>
    </row>
    <row r="2149">
      <c r="A2149" s="4" t="n">
        <v>2148</v>
      </c>
      <c r="B2149" s="4" t="inlineStr">
        <is>
          <t>00231</t>
        </is>
      </c>
      <c r="C2149" s="4" t="inlineStr">
        <is>
          <t>00231</t>
        </is>
      </c>
      <c r="D2149" s="29" t="inlineStr">
        <is>
          <t>KADRİYE BEYHAN</t>
        </is>
      </c>
      <c r="E2149" s="4" t="inlineStr">
        <is>
          <t>Perşembe</t>
        </is>
      </c>
      <c r="F2149" s="4" t="inlineStr">
        <is>
          <t>1.10.2026</t>
        </is>
      </c>
      <c r="G2149" s="4" t="inlineStr">
        <is>
          <t>07:51</t>
        </is>
      </c>
      <c r="H2149" s="4" t="inlineStr">
        <is>
          <t>1.10.2026</t>
        </is>
      </c>
      <c r="I2149" s="4" t="inlineStr">
        <is>
          <t>17:31</t>
        </is>
      </c>
      <c r="J2149" s="8" t="n">
        <v>8</v>
      </c>
      <c r="K2149" s="8" t="n">
        <v>7.5</v>
      </c>
      <c r="L2149" s="8" t="n">
        <v>0.5</v>
      </c>
      <c r="M2149" s="29" t="inlineStr">
        <is>
          <t>HALİL DİĞRENCİ</t>
        </is>
      </c>
    </row>
    <row r="2150">
      <c r="A2150" s="4" t="n">
        <v>2149</v>
      </c>
      <c r="B2150" s="4" t="inlineStr">
        <is>
          <t>00231</t>
        </is>
      </c>
      <c r="C2150" s="4" t="inlineStr">
        <is>
          <t>00231</t>
        </is>
      </c>
      <c r="D2150" s="29" t="inlineStr">
        <is>
          <t>KADRİYE BEYHAN</t>
        </is>
      </c>
      <c r="E2150" s="4" t="inlineStr">
        <is>
          <t>Cuma</t>
        </is>
      </c>
      <c r="F2150" s="4" t="inlineStr">
        <is>
          <t>2.10.2026</t>
        </is>
      </c>
      <c r="G2150" s="4" t="inlineStr">
        <is>
          <t>07:44</t>
        </is>
      </c>
      <c r="H2150" s="4" t="inlineStr">
        <is>
          <t>2.10.2026</t>
        </is>
      </c>
      <c r="I2150" s="4" t="inlineStr">
        <is>
          <t>17:46</t>
        </is>
      </c>
      <c r="J2150" s="8" t="n">
        <v>8.5</v>
      </c>
      <c r="K2150" s="8" t="n">
        <v>7.5</v>
      </c>
      <c r="L2150" s="8" t="n">
        <v>1</v>
      </c>
      <c r="M2150" s="29" t="inlineStr">
        <is>
          <t>HALİL DİĞRENCİ</t>
        </is>
      </c>
    </row>
    <row r="2151">
      <c r="A2151" s="4" t="n">
        <v>2150</v>
      </c>
      <c r="B2151" s="4" t="inlineStr">
        <is>
          <t>00231</t>
        </is>
      </c>
      <c r="C2151" s="4" t="inlineStr">
        <is>
          <t>00231</t>
        </is>
      </c>
      <c r="D2151" s="29" t="inlineStr">
        <is>
          <t>KADRİYE BEYHAN</t>
        </is>
      </c>
      <c r="E2151" s="4" t="inlineStr">
        <is>
          <t>Cumartesi</t>
        </is>
      </c>
      <c r="F2151" s="4" t="inlineStr">
        <is>
          <t>3.10.2026</t>
        </is>
      </c>
      <c r="G2151" s="4" t="inlineStr">
        <is>
          <t>07:46</t>
        </is>
      </c>
      <c r="H2151" s="4" t="inlineStr">
        <is>
          <t>3.10.2026</t>
        </is>
      </c>
      <c r="I2151" s="4" t="inlineStr">
        <is>
          <t>17:38</t>
        </is>
      </c>
      <c r="J2151" s="8" t="n">
        <v>8</v>
      </c>
      <c r="K2151" s="8" t="n">
        <v>7.5</v>
      </c>
      <c r="L2151" s="8" t="n">
        <v>0.5</v>
      </c>
      <c r="M2151" s="29" t="inlineStr">
        <is>
          <t>HALİL DİĞRENCİ</t>
        </is>
      </c>
    </row>
    <row r="2152">
      <c r="A2152" s="4" t="n">
        <v>2151</v>
      </c>
      <c r="B2152" s="4" t="inlineStr">
        <is>
          <t>00231</t>
        </is>
      </c>
      <c r="C2152" s="4" t="inlineStr">
        <is>
          <t>00231</t>
        </is>
      </c>
      <c r="D2152" s="29" t="inlineStr">
        <is>
          <t>KADRİYE BEYHAN</t>
        </is>
      </c>
      <c r="E2152" s="4" t="inlineStr">
        <is>
          <t>Pazartesi</t>
        </is>
      </c>
      <c r="F2152" s="4" t="inlineStr">
        <is>
          <t>5.10.2026</t>
        </is>
      </c>
      <c r="G2152" s="4" t="inlineStr">
        <is>
          <t>08:04</t>
        </is>
      </c>
      <c r="H2152" s="4" t="inlineStr">
        <is>
          <t>5.10.2026</t>
        </is>
      </c>
      <c r="I2152" s="4" t="inlineStr">
        <is>
          <t>17:06</t>
        </is>
      </c>
      <c r="J2152" s="8" t="n">
        <v>7.5</v>
      </c>
      <c r="K2152" s="8" t="n">
        <v>7.5</v>
      </c>
      <c r="L2152" s="8" t="n">
        <v>0</v>
      </c>
      <c r="M2152" s="29" t="inlineStr">
        <is>
          <t>HALİL DİĞRENCİ</t>
        </is>
      </c>
    </row>
    <row r="2153">
      <c r="A2153" s="4" t="n">
        <v>2152</v>
      </c>
      <c r="B2153" s="4" t="inlineStr">
        <is>
          <t>00231</t>
        </is>
      </c>
      <c r="C2153" s="4" t="inlineStr">
        <is>
          <t>00231</t>
        </is>
      </c>
      <c r="D2153" s="29" t="inlineStr">
        <is>
          <t>KADRİYE BEYHAN</t>
        </is>
      </c>
      <c r="E2153" s="4" t="inlineStr">
        <is>
          <t>Salı</t>
        </is>
      </c>
      <c r="F2153" s="4" t="inlineStr">
        <is>
          <t>6.10.2026</t>
        </is>
      </c>
      <c r="G2153" s="4" t="inlineStr">
        <is>
          <t>07:59</t>
        </is>
      </c>
      <c r="H2153" s="4" t="inlineStr">
        <is>
          <t>6.10.2026</t>
        </is>
      </c>
      <c r="I2153" s="4" t="inlineStr">
        <is>
          <t>17:42</t>
        </is>
      </c>
      <c r="J2153" s="8" t="n">
        <v>8</v>
      </c>
      <c r="K2153" s="8" t="n">
        <v>7.5</v>
      </c>
      <c r="L2153" s="8" t="n">
        <v>0.5</v>
      </c>
      <c r="M2153" s="29" t="inlineStr">
        <is>
          <t>HALİL DİĞRENCİ</t>
        </is>
      </c>
    </row>
    <row r="2154">
      <c r="A2154" s="4" t="n">
        <v>2153</v>
      </c>
      <c r="B2154" s="4" t="inlineStr">
        <is>
          <t>00231</t>
        </is>
      </c>
      <c r="C2154" s="4" t="inlineStr">
        <is>
          <t>00231</t>
        </is>
      </c>
      <c r="D2154" s="29" t="inlineStr">
        <is>
          <t>KADRİYE BEYHAN</t>
        </is>
      </c>
      <c r="E2154" s="4" t="inlineStr">
        <is>
          <t>Perşembe</t>
        </is>
      </c>
      <c r="F2154" s="4" t="inlineStr">
        <is>
          <t>8.10.2026</t>
        </is>
      </c>
      <c r="G2154" s="4" t="inlineStr">
        <is>
          <t>07:51</t>
        </is>
      </c>
      <c r="H2154" s="4" t="inlineStr">
        <is>
          <t>8.10.2026</t>
        </is>
      </c>
      <c r="I2154" s="4" t="inlineStr">
        <is>
          <t>17:35</t>
        </is>
      </c>
      <c r="J2154" s="8" t="n">
        <v>8</v>
      </c>
      <c r="K2154" s="8" t="n">
        <v>7.5</v>
      </c>
      <c r="L2154" s="8" t="n">
        <v>0.5</v>
      </c>
      <c r="M2154" s="29" t="inlineStr">
        <is>
          <t>HALİL DİĞRENCİ</t>
        </is>
      </c>
    </row>
    <row r="2155">
      <c r="A2155" s="4" t="n">
        <v>2154</v>
      </c>
      <c r="B2155" s="4" t="inlineStr">
        <is>
          <t>00231</t>
        </is>
      </c>
      <c r="C2155" s="4" t="inlineStr">
        <is>
          <t>00231</t>
        </is>
      </c>
      <c r="D2155" s="29" t="inlineStr">
        <is>
          <t>KADRİYE BEYHAN</t>
        </is>
      </c>
      <c r="E2155" s="4" t="inlineStr">
        <is>
          <t>Cuma</t>
        </is>
      </c>
      <c r="F2155" s="4" t="inlineStr">
        <is>
          <t>9.10.2026</t>
        </is>
      </c>
      <c r="G2155" s="4" t="inlineStr">
        <is>
          <t>07:55</t>
        </is>
      </c>
      <c r="H2155" s="4" t="inlineStr">
        <is>
          <t>9.10.2026</t>
        </is>
      </c>
      <c r="I2155" s="4" t="inlineStr">
        <is>
          <t>17:43</t>
        </is>
      </c>
      <c r="J2155" s="8" t="n">
        <v>8</v>
      </c>
      <c r="K2155" s="8" t="n">
        <v>7.5</v>
      </c>
      <c r="L2155" s="8" t="n">
        <v>0.5</v>
      </c>
      <c r="M2155" s="29" t="inlineStr">
        <is>
          <t>HALİL DİĞRENCİ</t>
        </is>
      </c>
    </row>
    <row r="2156">
      <c r="A2156" s="4" t="n">
        <v>2155</v>
      </c>
      <c r="B2156" s="4" t="inlineStr">
        <is>
          <t>00231</t>
        </is>
      </c>
      <c r="C2156" s="4" t="inlineStr">
        <is>
          <t>00231</t>
        </is>
      </c>
      <c r="D2156" s="29" t="inlineStr">
        <is>
          <t>KADRİYE BEYHAN</t>
        </is>
      </c>
      <c r="E2156" s="4" t="inlineStr">
        <is>
          <t>Cumartesi</t>
        </is>
      </c>
      <c r="F2156" s="4" t="inlineStr">
        <is>
          <t>10.10.2026</t>
        </is>
      </c>
      <c r="G2156" s="4" t="inlineStr">
        <is>
          <t>07:59</t>
        </is>
      </c>
      <c r="H2156" s="4" t="inlineStr">
        <is>
          <t>10.10.2026</t>
        </is>
      </c>
      <c r="I2156" s="4" t="inlineStr">
        <is>
          <t>18:13</t>
        </is>
      </c>
      <c r="J2156" s="8" t="n">
        <v>8.5</v>
      </c>
      <c r="K2156" s="8" t="n">
        <v>7.5</v>
      </c>
      <c r="L2156" s="8" t="n">
        <v>1</v>
      </c>
      <c r="M2156" s="29" t="inlineStr">
        <is>
          <t>HALİL DİĞRENCİ</t>
        </is>
      </c>
    </row>
    <row r="2157">
      <c r="A2157" s="4" t="n">
        <v>2156</v>
      </c>
      <c r="B2157" s="4" t="inlineStr">
        <is>
          <t>00231</t>
        </is>
      </c>
      <c r="C2157" s="4" t="inlineStr">
        <is>
          <t>00231</t>
        </is>
      </c>
      <c r="D2157" s="29" t="inlineStr">
        <is>
          <t>KADRİYE BEYHAN</t>
        </is>
      </c>
      <c r="E2157" s="4" t="inlineStr">
        <is>
          <t>Pazartesi</t>
        </is>
      </c>
      <c r="F2157" s="4" t="inlineStr">
        <is>
          <t>12.10.2026</t>
        </is>
      </c>
      <c r="G2157" s="4" t="inlineStr">
        <is>
          <t>08:03</t>
        </is>
      </c>
      <c r="H2157" s="4" t="inlineStr">
        <is>
          <t>12.10.2026</t>
        </is>
      </c>
      <c r="I2157" s="4" t="inlineStr">
        <is>
          <t>17:01</t>
        </is>
      </c>
      <c r="J2157" s="8" t="n">
        <v>7.5</v>
      </c>
      <c r="K2157" s="8" t="n">
        <v>7.5</v>
      </c>
      <c r="L2157" s="8" t="n">
        <v>0</v>
      </c>
      <c r="M2157" s="29" t="inlineStr">
        <is>
          <t>HALİL DİĞRENCİ</t>
        </is>
      </c>
    </row>
    <row r="2158">
      <c r="A2158" s="4" t="n">
        <v>2157</v>
      </c>
      <c r="B2158" s="4" t="inlineStr">
        <is>
          <t>00231</t>
        </is>
      </c>
      <c r="C2158" s="4" t="inlineStr">
        <is>
          <t>00231</t>
        </is>
      </c>
      <c r="D2158" s="29" t="inlineStr">
        <is>
          <t>KADRİYE BEYHAN</t>
        </is>
      </c>
      <c r="E2158" s="4" t="inlineStr">
        <is>
          <t>Salı</t>
        </is>
      </c>
      <c r="F2158" s="4" t="inlineStr">
        <is>
          <t>13.10.2026</t>
        </is>
      </c>
      <c r="G2158" s="4" t="inlineStr">
        <is>
          <t>07:50</t>
        </is>
      </c>
      <c r="H2158" s="4" t="inlineStr">
        <is>
          <t>13.10.2026</t>
        </is>
      </c>
      <c r="I2158" s="4" t="inlineStr">
        <is>
          <t>17:02</t>
        </is>
      </c>
      <c r="J2158" s="8" t="n">
        <v>7.5</v>
      </c>
      <c r="K2158" s="8" t="n">
        <v>7.5</v>
      </c>
      <c r="L2158" s="8" t="n">
        <v>0</v>
      </c>
      <c r="M2158" s="29" t="inlineStr">
        <is>
          <t>HALİL DİĞRENCİ</t>
        </is>
      </c>
    </row>
    <row r="2159">
      <c r="A2159" s="4" t="n">
        <v>2158</v>
      </c>
      <c r="B2159" s="4" t="inlineStr">
        <is>
          <t>00231</t>
        </is>
      </c>
      <c r="C2159" s="4" t="inlineStr">
        <is>
          <t>00231</t>
        </is>
      </c>
      <c r="D2159" s="29" t="inlineStr">
        <is>
          <t>KADRİYE BEYHAN</t>
        </is>
      </c>
      <c r="E2159" s="4" t="inlineStr">
        <is>
          <t>Çarşamba</t>
        </is>
      </c>
      <c r="F2159" s="4" t="inlineStr">
        <is>
          <t>14.10.2026</t>
        </is>
      </c>
      <c r="G2159" s="4" t="inlineStr">
        <is>
          <t>07:55</t>
        </is>
      </c>
      <c r="H2159" s="4" t="inlineStr">
        <is>
          <t>14.10.2026</t>
        </is>
      </c>
      <c r="I2159" s="4" t="inlineStr">
        <is>
          <t>18:08</t>
        </is>
      </c>
      <c r="J2159" s="8" t="n">
        <v>8.5</v>
      </c>
      <c r="K2159" s="8" t="n">
        <v>7.5</v>
      </c>
      <c r="L2159" s="8" t="n">
        <v>1</v>
      </c>
      <c r="M2159" s="29" t="inlineStr">
        <is>
          <t>HALİL DİĞRENCİ</t>
        </is>
      </c>
    </row>
    <row r="2160">
      <c r="A2160" s="4" t="n">
        <v>2159</v>
      </c>
      <c r="B2160" s="4" t="inlineStr">
        <is>
          <t>00231</t>
        </is>
      </c>
      <c r="C2160" s="4" t="inlineStr">
        <is>
          <t>00231</t>
        </is>
      </c>
      <c r="D2160" s="29" t="inlineStr">
        <is>
          <t>KADRİYE BEYHAN</t>
        </is>
      </c>
      <c r="E2160" s="4" t="inlineStr">
        <is>
          <t>Perşembe</t>
        </is>
      </c>
      <c r="F2160" s="4" t="inlineStr">
        <is>
          <t>15.10.2026</t>
        </is>
      </c>
      <c r="G2160" s="4" t="inlineStr">
        <is>
          <t>08:00</t>
        </is>
      </c>
      <c r="H2160" s="4" t="inlineStr">
        <is>
          <t>15.10.2026</t>
        </is>
      </c>
      <c r="I2160" s="4" t="inlineStr">
        <is>
          <t>17:04</t>
        </is>
      </c>
      <c r="J2160" s="8" t="n">
        <v>7.5</v>
      </c>
      <c r="K2160" s="8" t="n">
        <v>7.5</v>
      </c>
      <c r="L2160" s="8" t="n">
        <v>0</v>
      </c>
      <c r="M2160" s="29" t="inlineStr">
        <is>
          <t>HALİL DİĞRENCİ</t>
        </is>
      </c>
    </row>
    <row r="2161">
      <c r="A2161" s="4" t="n">
        <v>2160</v>
      </c>
      <c r="B2161" s="4" t="inlineStr">
        <is>
          <t>00231</t>
        </is>
      </c>
      <c r="C2161" s="4" t="inlineStr">
        <is>
          <t>00231</t>
        </is>
      </c>
      <c r="D2161" s="29" t="inlineStr">
        <is>
          <t>KADRİYE BEYHAN</t>
        </is>
      </c>
      <c r="E2161" s="4" t="inlineStr">
        <is>
          <t>Cuma</t>
        </is>
      </c>
      <c r="F2161" s="4" t="inlineStr">
        <is>
          <t>16.10.2026</t>
        </is>
      </c>
      <c r="G2161" s="4" t="inlineStr">
        <is>
          <t>07:51</t>
        </is>
      </c>
      <c r="H2161" s="4" t="inlineStr">
        <is>
          <t>16.10.2026</t>
        </is>
      </c>
      <c r="I2161" s="4" t="inlineStr">
        <is>
          <t>17:19</t>
        </is>
      </c>
      <c r="J2161" s="8" t="n">
        <v>7.5</v>
      </c>
      <c r="K2161" s="8" t="n">
        <v>7.5</v>
      </c>
      <c r="L2161" s="8" t="n">
        <v>0</v>
      </c>
      <c r="M2161" s="29" t="inlineStr">
        <is>
          <t>HALİL DİĞRENCİ</t>
        </is>
      </c>
    </row>
    <row r="2162">
      <c r="A2162" s="4" t="n">
        <v>2161</v>
      </c>
      <c r="B2162" s="4" t="inlineStr">
        <is>
          <t>00231</t>
        </is>
      </c>
      <c r="C2162" s="4" t="inlineStr">
        <is>
          <t>00231</t>
        </is>
      </c>
      <c r="D2162" s="29" t="inlineStr">
        <is>
          <t>KADRİYE BEYHAN</t>
        </is>
      </c>
      <c r="E2162" s="4" t="inlineStr">
        <is>
          <t>Cumartesi</t>
        </is>
      </c>
      <c r="F2162" s="4" t="inlineStr">
        <is>
          <t>17.10.2026</t>
        </is>
      </c>
      <c r="G2162" s="4" t="inlineStr">
        <is>
          <t>07:54</t>
        </is>
      </c>
      <c r="H2162" s="4" t="inlineStr">
        <is>
          <t>17.10.2026</t>
        </is>
      </c>
      <c r="I2162" s="4" t="inlineStr">
        <is>
          <t>17:51</t>
        </is>
      </c>
      <c r="J2162" s="8" t="n">
        <v>8.5</v>
      </c>
      <c r="K2162" s="8" t="n">
        <v>7.5</v>
      </c>
      <c r="L2162" s="8" t="n">
        <v>1</v>
      </c>
      <c r="M2162" s="29" t="inlineStr">
        <is>
          <t>HALİL DİĞRENCİ</t>
        </is>
      </c>
    </row>
    <row r="2163">
      <c r="A2163" s="4" t="n">
        <v>2162</v>
      </c>
      <c r="B2163" s="4" t="inlineStr">
        <is>
          <t>00231</t>
        </is>
      </c>
      <c r="C2163" s="4" t="inlineStr">
        <is>
          <t>00231</t>
        </is>
      </c>
      <c r="D2163" s="29" t="inlineStr">
        <is>
          <t>KADRİYE BEYHAN</t>
        </is>
      </c>
      <c r="E2163" s="4" t="inlineStr">
        <is>
          <t>Çarşamba</t>
        </is>
      </c>
      <c r="F2163" s="4" t="inlineStr">
        <is>
          <t>21.10.2026</t>
        </is>
      </c>
      <c r="G2163" s="4" t="inlineStr">
        <is>
          <t>07:58</t>
        </is>
      </c>
      <c r="H2163" s="4" t="inlineStr">
        <is>
          <t>21.10.2026</t>
        </is>
      </c>
      <c r="I2163" s="4" t="inlineStr">
        <is>
          <t>17:03</t>
        </is>
      </c>
      <c r="J2163" s="8" t="n">
        <v>7.5</v>
      </c>
      <c r="K2163" s="8" t="n">
        <v>7.5</v>
      </c>
      <c r="L2163" s="8" t="n">
        <v>0</v>
      </c>
      <c r="M2163" s="29" t="inlineStr">
        <is>
          <t>HALİL DİĞRENCİ</t>
        </is>
      </c>
    </row>
    <row r="2164">
      <c r="A2164" s="4" t="n">
        <v>2163</v>
      </c>
      <c r="B2164" s="4" t="inlineStr">
        <is>
          <t>01428</t>
        </is>
      </c>
      <c r="C2164" s="4" t="inlineStr">
        <is>
          <t>01428</t>
        </is>
      </c>
      <c r="D2164" s="29" t="inlineStr">
        <is>
          <t>KAMİL İNATLI</t>
        </is>
      </c>
      <c r="E2164" s="4" t="inlineStr">
        <is>
          <t>Cuma</t>
        </is>
      </c>
      <c r="F2164" s="4" t="inlineStr">
        <is>
          <t>2.10.2026</t>
        </is>
      </c>
      <c r="G2164" s="4" t="inlineStr">
        <is>
          <t>16:45</t>
        </is>
      </c>
      <c r="H2164" s="4" t="inlineStr">
        <is>
          <t>2.10.2026</t>
        </is>
      </c>
      <c r="I2164" s="4" t="inlineStr">
        <is>
          <t>17:41</t>
        </is>
      </c>
      <c r="J2164" s="8" t="n">
        <v>1</v>
      </c>
      <c r="K2164" s="8" t="n">
        <v>1</v>
      </c>
      <c r="L2164" s="8" t="n">
        <v>0</v>
      </c>
      <c r="M2164" s="29" t="inlineStr">
        <is>
          <t>HALİL DİĞRENCİ</t>
        </is>
      </c>
    </row>
    <row r="2165">
      <c r="A2165" s="4" t="n">
        <v>2164</v>
      </c>
      <c r="B2165" s="4" t="inlineStr">
        <is>
          <t>01428</t>
        </is>
      </c>
      <c r="C2165" s="4" t="inlineStr">
        <is>
          <t>01428</t>
        </is>
      </c>
      <c r="D2165" s="29" t="inlineStr">
        <is>
          <t>KAMİL İNATLI</t>
        </is>
      </c>
      <c r="E2165" s="4" t="inlineStr">
        <is>
          <t>Pazartesi</t>
        </is>
      </c>
      <c r="F2165" s="4" t="inlineStr">
        <is>
          <t>5.10.2026</t>
        </is>
      </c>
      <c r="G2165" s="4" t="inlineStr">
        <is>
          <t>07:51</t>
        </is>
      </c>
      <c r="H2165" s="4" t="inlineStr">
        <is>
          <t>5.10.2026</t>
        </is>
      </c>
      <c r="I2165" s="4" t="inlineStr">
        <is>
          <t>17:03</t>
        </is>
      </c>
      <c r="J2165" s="8" t="n">
        <v>0</v>
      </c>
      <c r="K2165" s="8" t="n">
        <v>0</v>
      </c>
      <c r="L2165" s="8" t="n">
        <v>0</v>
      </c>
      <c r="M2165" s="29" t="inlineStr">
        <is>
          <t>HALİL DİĞRENCİ</t>
        </is>
      </c>
    </row>
    <row r="2166">
      <c r="A2166" s="4" t="n">
        <v>2165</v>
      </c>
      <c r="B2166" s="4" t="inlineStr">
        <is>
          <t>00095</t>
        </is>
      </c>
      <c r="C2166" s="4" t="inlineStr">
        <is>
          <t>00095</t>
        </is>
      </c>
      <c r="D2166" s="29" t="inlineStr">
        <is>
          <t>KAMİLE DAĞDÇELEN</t>
        </is>
      </c>
      <c r="E2166" s="4" t="inlineStr">
        <is>
          <t>Perşembe</t>
        </is>
      </c>
      <c r="F2166" s="4" t="inlineStr">
        <is>
          <t>1.10.2026</t>
        </is>
      </c>
      <c r="G2166" s="4" t="inlineStr">
        <is>
          <t>07:55</t>
        </is>
      </c>
      <c r="H2166" s="4" t="inlineStr">
        <is>
          <t>1.10.2026</t>
        </is>
      </c>
      <c r="I2166" s="4" t="inlineStr">
        <is>
          <t>17:09</t>
        </is>
      </c>
      <c r="J2166" s="8" t="n">
        <v>7.5</v>
      </c>
      <c r="K2166" s="8" t="n">
        <v>7.5</v>
      </c>
      <c r="L2166" s="8" t="n">
        <v>0</v>
      </c>
      <c r="M2166" s="29" t="inlineStr">
        <is>
          <t>BİGADİÇ</t>
        </is>
      </c>
    </row>
    <row r="2167">
      <c r="A2167" s="4" t="n">
        <v>2166</v>
      </c>
      <c r="B2167" s="4" t="inlineStr">
        <is>
          <t>00095</t>
        </is>
      </c>
      <c r="C2167" s="4" t="inlineStr">
        <is>
          <t>00095</t>
        </is>
      </c>
      <c r="D2167" s="29" t="inlineStr">
        <is>
          <t>KAMİLE DAĞDÇELEN</t>
        </is>
      </c>
      <c r="E2167" s="4" t="inlineStr">
        <is>
          <t>Cuma</t>
        </is>
      </c>
      <c r="F2167" s="4" t="inlineStr">
        <is>
          <t>2.10.2026</t>
        </is>
      </c>
      <c r="G2167" s="4" t="inlineStr">
        <is>
          <t>07:54</t>
        </is>
      </c>
      <c r="H2167" s="4" t="inlineStr">
        <is>
          <t>2.10.2026</t>
        </is>
      </c>
      <c r="I2167" s="4" t="inlineStr">
        <is>
          <t>17:05</t>
        </is>
      </c>
      <c r="J2167" s="8" t="n">
        <v>7.5</v>
      </c>
      <c r="K2167" s="8" t="n">
        <v>7.5</v>
      </c>
      <c r="L2167" s="8" t="n">
        <v>0</v>
      </c>
      <c r="M2167" s="29" t="inlineStr">
        <is>
          <t>BİGADİÇ</t>
        </is>
      </c>
    </row>
    <row r="2168">
      <c r="A2168" s="4" t="n">
        <v>2167</v>
      </c>
      <c r="B2168" s="4" t="inlineStr">
        <is>
          <t>00095</t>
        </is>
      </c>
      <c r="C2168" s="4" t="inlineStr">
        <is>
          <t>00095</t>
        </is>
      </c>
      <c r="D2168" s="29" t="inlineStr">
        <is>
          <t>KAMİLE DAĞDÇELEN</t>
        </is>
      </c>
      <c r="E2168" s="4" t="inlineStr">
        <is>
          <t>Cumartesi</t>
        </is>
      </c>
      <c r="F2168" s="4" t="inlineStr">
        <is>
          <t>3.10.2026</t>
        </is>
      </c>
      <c r="G2168" s="4" t="inlineStr">
        <is>
          <t>07:35</t>
        </is>
      </c>
      <c r="H2168" s="4" t="inlineStr">
        <is>
          <t>3.10.2026</t>
        </is>
      </c>
      <c r="I2168" s="4" t="inlineStr">
        <is>
          <t>17:06</t>
        </is>
      </c>
      <c r="J2168" s="8" t="n">
        <v>7.5</v>
      </c>
      <c r="K2168" s="8" t="n">
        <v>7.5</v>
      </c>
      <c r="L2168" s="8" t="n">
        <v>0</v>
      </c>
      <c r="M2168" s="29" t="inlineStr">
        <is>
          <t>BİGADİÇ</t>
        </is>
      </c>
    </row>
    <row r="2169">
      <c r="A2169" s="4" t="n">
        <v>2168</v>
      </c>
      <c r="B2169" s="4" t="inlineStr">
        <is>
          <t>00095</t>
        </is>
      </c>
      <c r="C2169" s="4" t="inlineStr">
        <is>
          <t>00095</t>
        </is>
      </c>
      <c r="D2169" s="29" t="inlineStr">
        <is>
          <t>KAMİLE DAĞDÇELEN</t>
        </is>
      </c>
      <c r="E2169" s="4" t="inlineStr">
        <is>
          <t>Pazartesi</t>
        </is>
      </c>
      <c r="F2169" s="4" t="inlineStr">
        <is>
          <t>5.10.2026</t>
        </is>
      </c>
      <c r="G2169" s="4" t="inlineStr">
        <is>
          <t>07:55</t>
        </is>
      </c>
      <c r="H2169" s="4" t="inlineStr">
        <is>
          <t>5.10.2026</t>
        </is>
      </c>
      <c r="I2169" s="4" t="inlineStr">
        <is>
          <t>17:07</t>
        </is>
      </c>
      <c r="J2169" s="8" t="n">
        <v>7.5</v>
      </c>
      <c r="K2169" s="8" t="n">
        <v>7.5</v>
      </c>
      <c r="L2169" s="8" t="n">
        <v>0</v>
      </c>
      <c r="M2169" s="29" t="inlineStr">
        <is>
          <t>BİGADİÇ</t>
        </is>
      </c>
    </row>
    <row r="2170">
      <c r="A2170" s="4" t="n">
        <v>2169</v>
      </c>
      <c r="B2170" s="4" t="inlineStr">
        <is>
          <t>00095</t>
        </is>
      </c>
      <c r="C2170" s="4" t="inlineStr">
        <is>
          <t>00095</t>
        </is>
      </c>
      <c r="D2170" s="29" t="inlineStr">
        <is>
          <t>KAMİLE DAĞDÇELEN</t>
        </is>
      </c>
      <c r="E2170" s="4" t="inlineStr">
        <is>
          <t>Salı</t>
        </is>
      </c>
      <c r="F2170" s="4" t="inlineStr">
        <is>
          <t>6.10.2026</t>
        </is>
      </c>
      <c r="G2170" s="4" t="inlineStr">
        <is>
          <t>07:53</t>
        </is>
      </c>
      <c r="H2170" s="4" t="inlineStr">
        <is>
          <t>6.10.2026</t>
        </is>
      </c>
      <c r="I2170" s="4" t="inlineStr">
        <is>
          <t>17:08</t>
        </is>
      </c>
      <c r="J2170" s="8" t="n">
        <v>7.5</v>
      </c>
      <c r="K2170" s="8" t="n">
        <v>7.5</v>
      </c>
      <c r="L2170" s="8" t="n">
        <v>0</v>
      </c>
      <c r="M2170" s="29" t="inlineStr">
        <is>
          <t>BİGADİÇ</t>
        </is>
      </c>
    </row>
    <row r="2171">
      <c r="A2171" s="4" t="n">
        <v>2170</v>
      </c>
      <c r="B2171" s="4" t="inlineStr">
        <is>
          <t>00095</t>
        </is>
      </c>
      <c r="C2171" s="4" t="inlineStr">
        <is>
          <t>00095</t>
        </is>
      </c>
      <c r="D2171" s="29" t="inlineStr">
        <is>
          <t>KAMİLE DAĞDÇELEN</t>
        </is>
      </c>
      <c r="E2171" s="4" t="inlineStr">
        <is>
          <t>Çarşamba</t>
        </is>
      </c>
      <c r="F2171" s="4" t="inlineStr">
        <is>
          <t>7.10.2026</t>
        </is>
      </c>
      <c r="G2171" s="4" t="inlineStr">
        <is>
          <t>07:56</t>
        </is>
      </c>
      <c r="H2171" s="4" t="inlineStr">
        <is>
          <t>7.10.2026</t>
        </is>
      </c>
      <c r="I2171" s="4" t="inlineStr">
        <is>
          <t>17:04</t>
        </is>
      </c>
      <c r="J2171" s="8" t="n">
        <v>7.5</v>
      </c>
      <c r="K2171" s="8" t="n">
        <v>7.5</v>
      </c>
      <c r="L2171" s="8" t="n">
        <v>0</v>
      </c>
      <c r="M2171" s="29" t="inlineStr">
        <is>
          <t>BİGADİÇ</t>
        </is>
      </c>
    </row>
    <row r="2172">
      <c r="A2172" s="4" t="n">
        <v>2171</v>
      </c>
      <c r="B2172" s="4" t="inlineStr">
        <is>
          <t>00095</t>
        </is>
      </c>
      <c r="C2172" s="4" t="inlineStr">
        <is>
          <t>00095</t>
        </is>
      </c>
      <c r="D2172" s="29" t="inlineStr">
        <is>
          <t>KAMİLE DAĞDÇELEN</t>
        </is>
      </c>
      <c r="E2172" s="4" t="inlineStr">
        <is>
          <t>Perşembe</t>
        </is>
      </c>
      <c r="F2172" s="4" t="inlineStr">
        <is>
          <t>8.10.2026</t>
        </is>
      </c>
      <c r="G2172" s="4" t="inlineStr">
        <is>
          <t>07:58</t>
        </is>
      </c>
      <c r="H2172" s="4" t="inlineStr">
        <is>
          <t>8.10.2026</t>
        </is>
      </c>
      <c r="I2172" s="4" t="inlineStr">
        <is>
          <t>17:11</t>
        </is>
      </c>
      <c r="J2172" s="8" t="n">
        <v>7.5</v>
      </c>
      <c r="K2172" s="8" t="n">
        <v>7.5</v>
      </c>
      <c r="L2172" s="8" t="n">
        <v>0</v>
      </c>
      <c r="M2172" s="29" t="inlineStr">
        <is>
          <t>BİGADİÇ</t>
        </is>
      </c>
    </row>
    <row r="2173">
      <c r="A2173" s="4" t="n">
        <v>2172</v>
      </c>
      <c r="B2173" s="4" t="inlineStr">
        <is>
          <t>00095</t>
        </is>
      </c>
      <c r="C2173" s="4" t="inlineStr">
        <is>
          <t>00095</t>
        </is>
      </c>
      <c r="D2173" s="29" t="inlineStr">
        <is>
          <t>KAMİLE DAĞDÇELEN</t>
        </is>
      </c>
      <c r="E2173" s="4" t="inlineStr">
        <is>
          <t>Cuma</t>
        </is>
      </c>
      <c r="F2173" s="4" t="inlineStr">
        <is>
          <t>9.10.2026</t>
        </is>
      </c>
      <c r="G2173" s="4" t="inlineStr">
        <is>
          <t>07:52</t>
        </is>
      </c>
      <c r="H2173" s="4" t="inlineStr">
        <is>
          <t>9.10.2026</t>
        </is>
      </c>
      <c r="I2173" s="4" t="inlineStr">
        <is>
          <t>17:04</t>
        </is>
      </c>
      <c r="J2173" s="8" t="n">
        <v>7.5</v>
      </c>
      <c r="K2173" s="8" t="n">
        <v>7.5</v>
      </c>
      <c r="L2173" s="8" t="n">
        <v>0</v>
      </c>
      <c r="M2173" s="29" t="inlineStr">
        <is>
          <t>BİGADİÇ</t>
        </is>
      </c>
    </row>
    <row r="2174">
      <c r="A2174" s="4" t="n">
        <v>2173</v>
      </c>
      <c r="B2174" s="4" t="inlineStr">
        <is>
          <t>00095</t>
        </is>
      </c>
      <c r="C2174" s="4" t="inlineStr">
        <is>
          <t>00095</t>
        </is>
      </c>
      <c r="D2174" s="29" t="inlineStr">
        <is>
          <t>KAMİLE DAĞDÇELEN</t>
        </is>
      </c>
      <c r="E2174" s="4" t="inlineStr">
        <is>
          <t>Cumartesi</t>
        </is>
      </c>
      <c r="F2174" s="4" t="inlineStr">
        <is>
          <t>10.10.2026</t>
        </is>
      </c>
      <c r="G2174" s="4" t="inlineStr">
        <is>
          <t>07:53</t>
        </is>
      </c>
      <c r="H2174" s="4" t="inlineStr">
        <is>
          <t>10.10.2026</t>
        </is>
      </c>
      <c r="I2174" s="4" t="inlineStr">
        <is>
          <t>17:08</t>
        </is>
      </c>
      <c r="J2174" s="8" t="n">
        <v>7.5</v>
      </c>
      <c r="K2174" s="8" t="n">
        <v>7.5</v>
      </c>
      <c r="L2174" s="8" t="n">
        <v>0</v>
      </c>
      <c r="M2174" s="29" t="inlineStr">
        <is>
          <t>BİGADİÇ</t>
        </is>
      </c>
    </row>
    <row r="2175">
      <c r="A2175" s="4" t="n">
        <v>2174</v>
      </c>
      <c r="B2175" s="4" t="inlineStr">
        <is>
          <t>00095</t>
        </is>
      </c>
      <c r="C2175" s="4" t="inlineStr">
        <is>
          <t>00095</t>
        </is>
      </c>
      <c r="D2175" s="29" t="inlineStr">
        <is>
          <t>KAMİLE DAĞDÇELEN</t>
        </is>
      </c>
      <c r="E2175" s="4" t="inlineStr">
        <is>
          <t>Pazartesi</t>
        </is>
      </c>
      <c r="F2175" s="4" t="inlineStr">
        <is>
          <t>12.10.2026</t>
        </is>
      </c>
      <c r="G2175" s="4" t="inlineStr">
        <is>
          <t>07:57</t>
        </is>
      </c>
      <c r="H2175" s="4" t="inlineStr">
        <is>
          <t>12.10.2026</t>
        </is>
      </c>
      <c r="I2175" s="4" t="inlineStr">
        <is>
          <t>18:07</t>
        </is>
      </c>
      <c r="J2175" s="8" t="n">
        <v>8.5</v>
      </c>
      <c r="K2175" s="8" t="n">
        <v>7.5</v>
      </c>
      <c r="L2175" s="8" t="n">
        <v>1</v>
      </c>
      <c r="M2175" s="29" t="inlineStr">
        <is>
          <t>BİGADİÇ</t>
        </is>
      </c>
    </row>
    <row r="2176">
      <c r="A2176" s="4" t="n">
        <v>2175</v>
      </c>
      <c r="B2176" s="4" t="inlineStr">
        <is>
          <t>00095</t>
        </is>
      </c>
      <c r="C2176" s="4" t="inlineStr">
        <is>
          <t>00095</t>
        </is>
      </c>
      <c r="D2176" s="29" t="inlineStr">
        <is>
          <t>KAMİLE DAĞDÇELEN</t>
        </is>
      </c>
      <c r="E2176" s="4" t="inlineStr">
        <is>
          <t>Salı</t>
        </is>
      </c>
      <c r="F2176" s="4" t="inlineStr">
        <is>
          <t>13.10.2026</t>
        </is>
      </c>
      <c r="G2176" s="4" t="inlineStr">
        <is>
          <t>07:55</t>
        </is>
      </c>
      <c r="H2176" s="4" t="inlineStr">
        <is>
          <t>13.10.2026</t>
        </is>
      </c>
      <c r="I2176" s="4" t="inlineStr">
        <is>
          <t>17:08</t>
        </is>
      </c>
      <c r="J2176" s="8" t="n">
        <v>7.5</v>
      </c>
      <c r="K2176" s="8" t="n">
        <v>7.5</v>
      </c>
      <c r="L2176" s="8" t="n">
        <v>0</v>
      </c>
      <c r="M2176" s="29" t="inlineStr">
        <is>
          <t>BİGADİÇ</t>
        </is>
      </c>
    </row>
    <row r="2177">
      <c r="A2177" s="4" t="n">
        <v>2176</v>
      </c>
      <c r="B2177" s="4" t="inlineStr">
        <is>
          <t>00095</t>
        </is>
      </c>
      <c r="C2177" s="4" t="inlineStr">
        <is>
          <t>00095</t>
        </is>
      </c>
      <c r="D2177" s="29" t="inlineStr">
        <is>
          <t>KAMİLE DAĞDÇELEN</t>
        </is>
      </c>
      <c r="E2177" s="4" t="inlineStr">
        <is>
          <t>Çarşamba</t>
        </is>
      </c>
      <c r="F2177" s="4" t="inlineStr">
        <is>
          <t>14.10.2026</t>
        </is>
      </c>
      <c r="G2177" s="4" t="inlineStr">
        <is>
          <t>07:58</t>
        </is>
      </c>
      <c r="H2177" s="4" t="inlineStr">
        <is>
          <t>14.10.2026</t>
        </is>
      </c>
      <c r="I2177" s="4" t="inlineStr">
        <is>
          <t>17:07</t>
        </is>
      </c>
      <c r="J2177" s="8" t="n">
        <v>7.5</v>
      </c>
      <c r="K2177" s="8" t="n">
        <v>7.5</v>
      </c>
      <c r="L2177" s="8" t="n">
        <v>0</v>
      </c>
      <c r="M2177" s="29" t="inlineStr">
        <is>
          <t>BİGADİÇ</t>
        </is>
      </c>
    </row>
    <row r="2178">
      <c r="A2178" s="4" t="n">
        <v>2177</v>
      </c>
      <c r="B2178" s="4" t="inlineStr">
        <is>
          <t>00095</t>
        </is>
      </c>
      <c r="C2178" s="4" t="inlineStr">
        <is>
          <t>00095</t>
        </is>
      </c>
      <c r="D2178" s="29" t="inlineStr">
        <is>
          <t>KAMİLE DAĞDÇELEN</t>
        </is>
      </c>
      <c r="E2178" s="4" t="inlineStr">
        <is>
          <t>Perşembe</t>
        </is>
      </c>
      <c r="F2178" s="4" t="inlineStr">
        <is>
          <t>15.10.2026</t>
        </is>
      </c>
      <c r="G2178" s="4" t="inlineStr">
        <is>
          <t>08:00</t>
        </is>
      </c>
      <c r="H2178" s="4" t="inlineStr">
        <is>
          <t>15.10.2026</t>
        </is>
      </c>
      <c r="I2178" s="4" t="inlineStr">
        <is>
          <t>17:24</t>
        </is>
      </c>
      <c r="J2178" s="8" t="n">
        <v>8</v>
      </c>
      <c r="K2178" s="8" t="n">
        <v>7.5</v>
      </c>
      <c r="L2178" s="8" t="n">
        <v>0.5</v>
      </c>
      <c r="M2178" s="29" t="inlineStr">
        <is>
          <t>BİGADİÇ</t>
        </is>
      </c>
    </row>
    <row r="2179">
      <c r="A2179" s="4" t="n">
        <v>2178</v>
      </c>
      <c r="B2179" s="4" t="inlineStr">
        <is>
          <t>00095</t>
        </is>
      </c>
      <c r="C2179" s="4" t="inlineStr">
        <is>
          <t>00095</t>
        </is>
      </c>
      <c r="D2179" s="29" t="inlineStr">
        <is>
          <t>KAMİLE DAĞDÇELEN</t>
        </is>
      </c>
      <c r="E2179" s="4" t="inlineStr">
        <is>
          <t>Cuma</t>
        </is>
      </c>
      <c r="F2179" s="4" t="inlineStr">
        <is>
          <t>16.10.2026</t>
        </is>
      </c>
      <c r="G2179" s="4" t="inlineStr">
        <is>
          <t>07:53</t>
        </is>
      </c>
      <c r="H2179" s="4" t="inlineStr">
        <is>
          <t>16.10.2026</t>
        </is>
      </c>
      <c r="I2179" s="4" t="inlineStr">
        <is>
          <t>17:10</t>
        </is>
      </c>
      <c r="J2179" s="8" t="n">
        <v>7.5</v>
      </c>
      <c r="K2179" s="8" t="n">
        <v>7.5</v>
      </c>
      <c r="L2179" s="8" t="n">
        <v>0</v>
      </c>
      <c r="M2179" s="29" t="inlineStr">
        <is>
          <t>BİGADİÇ</t>
        </is>
      </c>
    </row>
    <row r="2180">
      <c r="A2180" s="4" t="n">
        <v>2179</v>
      </c>
      <c r="B2180" s="4" t="inlineStr">
        <is>
          <t>00095</t>
        </is>
      </c>
      <c r="C2180" s="4" t="inlineStr">
        <is>
          <t>00095</t>
        </is>
      </c>
      <c r="D2180" s="29" t="inlineStr">
        <is>
          <t>KAMİLE DAĞDÇELEN</t>
        </is>
      </c>
      <c r="E2180" s="4" t="inlineStr">
        <is>
          <t>Cumartesi</t>
        </is>
      </c>
      <c r="F2180" s="4" t="inlineStr">
        <is>
          <t>17.10.2026</t>
        </is>
      </c>
      <c r="G2180" s="4" t="inlineStr">
        <is>
          <t>07:51</t>
        </is>
      </c>
      <c r="H2180" s="4" t="inlineStr">
        <is>
          <t>17.10.2026</t>
        </is>
      </c>
      <c r="I2180" s="4" t="inlineStr">
        <is>
          <t>17:06</t>
        </is>
      </c>
      <c r="J2180" s="8" t="n">
        <v>7.5</v>
      </c>
      <c r="K2180" s="8" t="n">
        <v>7.5</v>
      </c>
      <c r="L2180" s="8" t="n">
        <v>0</v>
      </c>
      <c r="M2180" s="29" t="inlineStr">
        <is>
          <t>BİGADİÇ</t>
        </is>
      </c>
    </row>
    <row r="2181">
      <c r="A2181" s="4" t="n">
        <v>2180</v>
      </c>
      <c r="B2181" s="4" t="inlineStr">
        <is>
          <t>00095</t>
        </is>
      </c>
      <c r="C2181" s="4" t="inlineStr">
        <is>
          <t>00095</t>
        </is>
      </c>
      <c r="D2181" s="29" t="inlineStr">
        <is>
          <t>KAMİLE DAĞDÇELEN</t>
        </is>
      </c>
      <c r="E2181" s="4" t="inlineStr">
        <is>
          <t>Pazar</t>
        </is>
      </c>
      <c r="F2181" s="4" t="inlineStr">
        <is>
          <t>18.10.2026</t>
        </is>
      </c>
      <c r="G2181" s="4" t="inlineStr">
        <is>
          <t>08:10</t>
        </is>
      </c>
      <c r="H2181" s="4" t="inlineStr">
        <is>
          <t>18.10.2026</t>
        </is>
      </c>
      <c r="I2181" s="4" t="inlineStr">
        <is>
          <t>17:06</t>
        </is>
      </c>
      <c r="J2181" s="8" t="n">
        <v>7.5</v>
      </c>
      <c r="K2181" s="8" t="n">
        <v>7.5</v>
      </c>
      <c r="L2181" s="8" t="n">
        <v>0</v>
      </c>
      <c r="M2181" s="29" t="inlineStr">
        <is>
          <t>BİGADİÇ</t>
        </is>
      </c>
    </row>
    <row r="2182">
      <c r="A2182" s="4" t="n">
        <v>2181</v>
      </c>
      <c r="B2182" s="4" t="inlineStr">
        <is>
          <t>00095</t>
        </is>
      </c>
      <c r="C2182" s="4" t="inlineStr">
        <is>
          <t>00095</t>
        </is>
      </c>
      <c r="D2182" s="29" t="inlineStr">
        <is>
          <t>KAMİLE DAĞDÇELEN</t>
        </is>
      </c>
      <c r="E2182" s="4" t="inlineStr">
        <is>
          <t>Pazartesi</t>
        </is>
      </c>
      <c r="F2182" s="4" t="inlineStr">
        <is>
          <t>19.10.2026</t>
        </is>
      </c>
      <c r="G2182" s="4" t="inlineStr">
        <is>
          <t>07:53</t>
        </is>
      </c>
      <c r="H2182" s="4" t="inlineStr">
        <is>
          <t>19.10.2026</t>
        </is>
      </c>
      <c r="I2182" s="4" t="inlineStr">
        <is>
          <t>17:12</t>
        </is>
      </c>
      <c r="J2182" s="8" t="n">
        <v>7.5</v>
      </c>
      <c r="K2182" s="8" t="n">
        <v>7.5</v>
      </c>
      <c r="L2182" s="8" t="n">
        <v>0</v>
      </c>
      <c r="M2182" s="29" t="inlineStr">
        <is>
          <t>BİGADİÇ</t>
        </is>
      </c>
    </row>
    <row r="2183">
      <c r="A2183" s="4" t="n">
        <v>2182</v>
      </c>
      <c r="B2183" s="4" t="inlineStr">
        <is>
          <t>00095</t>
        </is>
      </c>
      <c r="C2183" s="4" t="inlineStr">
        <is>
          <t>00095</t>
        </is>
      </c>
      <c r="D2183" s="29" t="inlineStr">
        <is>
          <t>KAMİLE DAĞDÇELEN</t>
        </is>
      </c>
      <c r="E2183" s="4" t="inlineStr">
        <is>
          <t>Salı</t>
        </is>
      </c>
      <c r="F2183" s="4" t="inlineStr">
        <is>
          <t>20.10.2026</t>
        </is>
      </c>
      <c r="G2183" s="4" t="inlineStr">
        <is>
          <t>08:18</t>
        </is>
      </c>
      <c r="H2183" s="4" t="inlineStr">
        <is>
          <t>20.10.2026</t>
        </is>
      </c>
      <c r="I2183" s="4" t="inlineStr">
        <is>
          <t>17:18</t>
        </is>
      </c>
      <c r="J2183" s="8" t="n">
        <v>7.5</v>
      </c>
      <c r="K2183" s="8" t="n">
        <v>7.5</v>
      </c>
      <c r="L2183" s="8" t="n">
        <v>0</v>
      </c>
      <c r="M2183" s="29" t="inlineStr">
        <is>
          <t>BİGADİÇ</t>
        </is>
      </c>
    </row>
    <row r="2184">
      <c r="A2184" s="4" t="n">
        <v>2183</v>
      </c>
      <c r="B2184" s="4" t="inlineStr">
        <is>
          <t>00095</t>
        </is>
      </c>
      <c r="C2184" s="4" t="inlineStr">
        <is>
          <t>00095</t>
        </is>
      </c>
      <c r="D2184" s="29" t="inlineStr">
        <is>
          <t>KAMİLE DAĞDÇELEN</t>
        </is>
      </c>
      <c r="E2184" s="4" t="inlineStr">
        <is>
          <t>Çarşamba</t>
        </is>
      </c>
      <c r="F2184" s="4" t="inlineStr">
        <is>
          <t>21.10.2026</t>
        </is>
      </c>
      <c r="G2184" s="4" t="inlineStr">
        <is>
          <t>08:00</t>
        </is>
      </c>
      <c r="H2184" s="4" t="inlineStr">
        <is>
          <t>21.10.2026</t>
        </is>
      </c>
      <c r="I2184" s="4" t="inlineStr">
        <is>
          <t>17:06</t>
        </is>
      </c>
      <c r="J2184" s="8" t="n">
        <v>7.5</v>
      </c>
      <c r="K2184" s="8" t="n">
        <v>7.5</v>
      </c>
      <c r="L2184" s="8" t="n">
        <v>0</v>
      </c>
      <c r="M2184" s="29" t="inlineStr">
        <is>
          <t>BİGADİÇ</t>
        </is>
      </c>
    </row>
    <row r="2185">
      <c r="A2185" s="4" t="n">
        <v>2184</v>
      </c>
      <c r="B2185" s="4" t="inlineStr">
        <is>
          <t>00294</t>
        </is>
      </c>
      <c r="C2185" s="4" t="inlineStr">
        <is>
          <t>00294</t>
        </is>
      </c>
      <c r="D2185" s="29" t="inlineStr">
        <is>
          <t>KEFA EL HUDUR</t>
        </is>
      </c>
      <c r="E2185" s="4" t="inlineStr">
        <is>
          <t>Perşembe</t>
        </is>
      </c>
      <c r="F2185" s="4" t="inlineStr">
        <is>
          <t>1.10.2026</t>
        </is>
      </c>
      <c r="G2185" s="4" t="inlineStr">
        <is>
          <t>07:41</t>
        </is>
      </c>
      <c r="H2185" s="4" t="inlineStr">
        <is>
          <t>1.10.2026</t>
        </is>
      </c>
      <c r="I2185" s="4" t="inlineStr">
        <is>
          <t>17:33</t>
        </is>
      </c>
      <c r="J2185" s="8" t="n">
        <v>8</v>
      </c>
      <c r="K2185" s="8" t="n">
        <v>7.5</v>
      </c>
      <c r="L2185" s="8" t="n">
        <v>0.5</v>
      </c>
      <c r="M2185" s="29" t="inlineStr">
        <is>
          <t>MKP</t>
        </is>
      </c>
    </row>
    <row r="2186">
      <c r="A2186" s="4" t="n">
        <v>2185</v>
      </c>
      <c r="B2186" s="4" t="inlineStr">
        <is>
          <t>00294</t>
        </is>
      </c>
      <c r="C2186" s="4" t="inlineStr">
        <is>
          <t>00294</t>
        </is>
      </c>
      <c r="D2186" s="29" t="inlineStr">
        <is>
          <t>KEFA EL HUDUR</t>
        </is>
      </c>
      <c r="E2186" s="4" t="inlineStr">
        <is>
          <t>Cuma</t>
        </is>
      </c>
      <c r="F2186" s="4" t="inlineStr">
        <is>
          <t>2.10.2026</t>
        </is>
      </c>
      <c r="G2186" s="4" t="inlineStr">
        <is>
          <t>07:49</t>
        </is>
      </c>
      <c r="H2186" s="4" t="inlineStr">
        <is>
          <t>2.10.2026</t>
        </is>
      </c>
      <c r="I2186" s="4" t="inlineStr">
        <is>
          <t>17:50</t>
        </is>
      </c>
      <c r="J2186" s="8" t="n">
        <v>8.5</v>
      </c>
      <c r="K2186" s="8" t="n">
        <v>7.5</v>
      </c>
      <c r="L2186" s="8" t="n">
        <v>1</v>
      </c>
      <c r="M2186" s="29" t="inlineStr">
        <is>
          <t>MKP</t>
        </is>
      </c>
    </row>
    <row r="2187">
      <c r="A2187" s="4" t="n">
        <v>2186</v>
      </c>
      <c r="B2187" s="4" t="inlineStr">
        <is>
          <t>00294</t>
        </is>
      </c>
      <c r="C2187" s="4" t="inlineStr">
        <is>
          <t>00294</t>
        </is>
      </c>
      <c r="D2187" s="29" t="inlineStr">
        <is>
          <t>KEFA EL HUDUR</t>
        </is>
      </c>
      <c r="E2187" s="4" t="inlineStr">
        <is>
          <t>Cumartesi</t>
        </is>
      </c>
      <c r="F2187" s="4" t="inlineStr">
        <is>
          <t>3.10.2026</t>
        </is>
      </c>
      <c r="G2187" s="4" t="inlineStr">
        <is>
          <t>07:42</t>
        </is>
      </c>
      <c r="H2187" s="4" t="inlineStr">
        <is>
          <t>3.10.2026</t>
        </is>
      </c>
      <c r="I2187" s="4" t="inlineStr">
        <is>
          <t>17:42</t>
        </is>
      </c>
      <c r="J2187" s="8" t="n">
        <v>8</v>
      </c>
      <c r="K2187" s="8" t="n">
        <v>7.5</v>
      </c>
      <c r="L2187" s="8" t="n">
        <v>0.5</v>
      </c>
      <c r="M2187" s="29" t="inlineStr">
        <is>
          <t>MKP</t>
        </is>
      </c>
    </row>
    <row r="2188">
      <c r="A2188" s="4" t="n">
        <v>2187</v>
      </c>
      <c r="B2188" s="4" t="inlineStr">
        <is>
          <t>00294</t>
        </is>
      </c>
      <c r="C2188" s="4" t="inlineStr">
        <is>
          <t>00294</t>
        </is>
      </c>
      <c r="D2188" s="29" t="inlineStr">
        <is>
          <t>KEFA EL HUDUR</t>
        </is>
      </c>
      <c r="E2188" s="4" t="inlineStr">
        <is>
          <t>Pazartesi</t>
        </is>
      </c>
      <c r="F2188" s="4" t="inlineStr">
        <is>
          <t>5.10.2026</t>
        </is>
      </c>
      <c r="G2188" s="4" t="inlineStr">
        <is>
          <t>07:50</t>
        </is>
      </c>
      <c r="H2188" s="4" t="inlineStr">
        <is>
          <t>5.10.2026</t>
        </is>
      </c>
      <c r="I2188" s="4" t="inlineStr">
        <is>
          <t>17:08</t>
        </is>
      </c>
      <c r="J2188" s="8" t="n">
        <v>7.5</v>
      </c>
      <c r="K2188" s="8" t="n">
        <v>7.5</v>
      </c>
      <c r="L2188" s="8" t="n">
        <v>0</v>
      </c>
      <c r="M2188" s="29" t="inlineStr">
        <is>
          <t>MKP</t>
        </is>
      </c>
    </row>
    <row r="2189">
      <c r="A2189" s="4" t="n">
        <v>2188</v>
      </c>
      <c r="B2189" s="4" t="inlineStr">
        <is>
          <t>00294</t>
        </is>
      </c>
      <c r="C2189" s="4" t="inlineStr">
        <is>
          <t>00294</t>
        </is>
      </c>
      <c r="D2189" s="29" t="inlineStr">
        <is>
          <t>KEFA EL HUDUR</t>
        </is>
      </c>
      <c r="E2189" s="4" t="inlineStr">
        <is>
          <t>Salı</t>
        </is>
      </c>
      <c r="F2189" s="4" t="inlineStr">
        <is>
          <t>6.10.2026</t>
        </is>
      </c>
      <c r="G2189" s="4" t="inlineStr">
        <is>
          <t>07:47</t>
        </is>
      </c>
      <c r="H2189" s="4" t="inlineStr">
        <is>
          <t>6.10.2026</t>
        </is>
      </c>
      <c r="I2189" s="4" t="inlineStr">
        <is>
          <t>17:44</t>
        </is>
      </c>
      <c r="J2189" s="8" t="n">
        <v>8</v>
      </c>
      <c r="K2189" s="8" t="n">
        <v>7.5</v>
      </c>
      <c r="L2189" s="8" t="n">
        <v>0.5</v>
      </c>
      <c r="M2189" s="29" t="inlineStr">
        <is>
          <t>MKP</t>
        </is>
      </c>
    </row>
    <row r="2190">
      <c r="A2190" s="4" t="n">
        <v>2189</v>
      </c>
      <c r="B2190" s="4" t="inlineStr">
        <is>
          <t>00294</t>
        </is>
      </c>
      <c r="C2190" s="4" t="inlineStr">
        <is>
          <t>00294</t>
        </is>
      </c>
      <c r="D2190" s="29" t="inlineStr">
        <is>
          <t>KEFA EL HUDUR</t>
        </is>
      </c>
      <c r="E2190" s="4" t="inlineStr">
        <is>
          <t>Pazartesi</t>
        </is>
      </c>
      <c r="F2190" s="4" t="inlineStr">
        <is>
          <t>12.10.2026</t>
        </is>
      </c>
      <c r="G2190" s="4" t="inlineStr">
        <is>
          <t>07:48</t>
        </is>
      </c>
      <c r="H2190" s="4" t="inlineStr">
        <is>
          <t>12.10.2026</t>
        </is>
      </c>
      <c r="I2190" s="4" t="inlineStr">
        <is>
          <t>17:07</t>
        </is>
      </c>
      <c r="J2190" s="8" t="n">
        <v>7.5</v>
      </c>
      <c r="K2190" s="8" t="n">
        <v>7.5</v>
      </c>
      <c r="L2190" s="8" t="n">
        <v>0</v>
      </c>
      <c r="M2190" s="29" t="inlineStr">
        <is>
          <t>MKP</t>
        </is>
      </c>
    </row>
    <row r="2191">
      <c r="A2191" s="4" t="n">
        <v>2190</v>
      </c>
      <c r="B2191" s="4" t="inlineStr">
        <is>
          <t>00294</t>
        </is>
      </c>
      <c r="C2191" s="4" t="inlineStr">
        <is>
          <t>00294</t>
        </is>
      </c>
      <c r="D2191" s="29" t="inlineStr">
        <is>
          <t>KEFA EL HUDUR</t>
        </is>
      </c>
      <c r="E2191" s="4" t="inlineStr">
        <is>
          <t>Salı</t>
        </is>
      </c>
      <c r="F2191" s="4" t="inlineStr">
        <is>
          <t>13.10.2026</t>
        </is>
      </c>
      <c r="G2191" s="4" t="inlineStr">
        <is>
          <t>07:50</t>
        </is>
      </c>
      <c r="H2191" s="4" t="inlineStr">
        <is>
          <t>13.10.2026</t>
        </is>
      </c>
      <c r="I2191" s="4" t="inlineStr">
        <is>
          <t>17:05</t>
        </is>
      </c>
      <c r="J2191" s="8" t="n">
        <v>7.5</v>
      </c>
      <c r="K2191" s="8" t="n">
        <v>7.5</v>
      </c>
      <c r="L2191" s="8" t="n">
        <v>0</v>
      </c>
      <c r="M2191" s="29" t="inlineStr">
        <is>
          <t>MKP</t>
        </is>
      </c>
    </row>
    <row r="2192">
      <c r="A2192" s="4" t="n">
        <v>2191</v>
      </c>
      <c r="B2192" s="4" t="inlineStr">
        <is>
          <t>00294</t>
        </is>
      </c>
      <c r="C2192" s="4" t="inlineStr">
        <is>
          <t>00294</t>
        </is>
      </c>
      <c r="D2192" s="29" t="inlineStr">
        <is>
          <t>KEFA EL HUDUR</t>
        </is>
      </c>
      <c r="E2192" s="4" t="inlineStr">
        <is>
          <t>Cuma</t>
        </is>
      </c>
      <c r="F2192" s="4" t="inlineStr">
        <is>
          <t>16.10.2026</t>
        </is>
      </c>
      <c r="G2192" s="4" t="inlineStr">
        <is>
          <t>07:50</t>
        </is>
      </c>
      <c r="H2192" s="4" t="inlineStr">
        <is>
          <t>16.10.2026</t>
        </is>
      </c>
      <c r="I2192" s="4" t="inlineStr">
        <is>
          <t>17:23</t>
        </is>
      </c>
      <c r="J2192" s="8" t="n">
        <v>8</v>
      </c>
      <c r="K2192" s="8" t="n">
        <v>7.5</v>
      </c>
      <c r="L2192" s="8" t="n">
        <v>0.5</v>
      </c>
      <c r="M2192" s="29" t="inlineStr">
        <is>
          <t>MKP</t>
        </is>
      </c>
    </row>
    <row r="2193">
      <c r="A2193" s="4" t="n">
        <v>2192</v>
      </c>
      <c r="B2193" s="4" t="inlineStr">
        <is>
          <t>00294</t>
        </is>
      </c>
      <c r="C2193" s="4" t="inlineStr">
        <is>
          <t>00294</t>
        </is>
      </c>
      <c r="D2193" s="29" t="inlineStr">
        <is>
          <t>KEFA EL HUDUR</t>
        </is>
      </c>
      <c r="E2193" s="4" t="inlineStr">
        <is>
          <t>Cumartesi</t>
        </is>
      </c>
      <c r="F2193" s="4" t="inlineStr">
        <is>
          <t>17.10.2026</t>
        </is>
      </c>
      <c r="G2193" s="4" t="inlineStr">
        <is>
          <t>07:36</t>
        </is>
      </c>
      <c r="H2193" s="4" t="inlineStr">
        <is>
          <t>17.10.2026</t>
        </is>
      </c>
      <c r="I2193" s="4" t="inlineStr">
        <is>
          <t>17:57</t>
        </is>
      </c>
      <c r="J2193" s="8" t="n">
        <v>8.5</v>
      </c>
      <c r="K2193" s="8" t="n">
        <v>7.5</v>
      </c>
      <c r="L2193" s="8" t="n">
        <v>1</v>
      </c>
      <c r="M2193" s="29" t="inlineStr">
        <is>
          <t>MKP</t>
        </is>
      </c>
    </row>
    <row r="2194">
      <c r="A2194" s="4" t="n">
        <v>2193</v>
      </c>
      <c r="B2194" s="4" t="inlineStr">
        <is>
          <t>00294</t>
        </is>
      </c>
      <c r="C2194" s="4" t="inlineStr">
        <is>
          <t>00294</t>
        </is>
      </c>
      <c r="D2194" s="29" t="inlineStr">
        <is>
          <t>KEFA EL HUDUR</t>
        </is>
      </c>
      <c r="E2194" s="4" t="inlineStr">
        <is>
          <t>Salı</t>
        </is>
      </c>
      <c r="F2194" s="4" t="inlineStr">
        <is>
          <t>20.10.2026</t>
        </is>
      </c>
      <c r="G2194" s="4" t="inlineStr">
        <is>
          <t>07:48</t>
        </is>
      </c>
      <c r="H2194" s="4" t="inlineStr">
        <is>
          <t>20.10.2026</t>
        </is>
      </c>
      <c r="I2194" s="4" t="inlineStr">
        <is>
          <t>17:02</t>
        </is>
      </c>
      <c r="J2194" s="8" t="n">
        <v>7.5</v>
      </c>
      <c r="K2194" s="8" t="n">
        <v>7.5</v>
      </c>
      <c r="L2194" s="8" t="n">
        <v>0</v>
      </c>
      <c r="M2194" s="29" t="inlineStr">
        <is>
          <t>MKP</t>
        </is>
      </c>
    </row>
    <row r="2195">
      <c r="A2195" s="4" t="n">
        <v>2194</v>
      </c>
      <c r="B2195" s="4" t="inlineStr">
        <is>
          <t>00097</t>
        </is>
      </c>
      <c r="C2195" s="4" t="inlineStr">
        <is>
          <t>00097</t>
        </is>
      </c>
      <c r="D2195" s="29" t="inlineStr">
        <is>
          <t>KEMAL DURMUŞ</t>
        </is>
      </c>
      <c r="E2195" s="4" t="inlineStr">
        <is>
          <t>Perşembe</t>
        </is>
      </c>
      <c r="F2195" s="4" t="inlineStr">
        <is>
          <t>1.10.2026</t>
        </is>
      </c>
      <c r="G2195" s="4" t="inlineStr">
        <is>
          <t>20:06</t>
        </is>
      </c>
      <c r="H2195" s="4" t="inlineStr">
        <is>
          <t>1.10.2026</t>
        </is>
      </c>
      <c r="I2195" s="4" t="inlineStr">
        <is>
          <t>08:01</t>
        </is>
      </c>
      <c r="J2195" s="8" t="n">
        <v>10.5</v>
      </c>
      <c r="K2195" s="8" t="n">
        <v>7.5</v>
      </c>
      <c r="L2195" s="8" t="n">
        <v>3</v>
      </c>
      <c r="M2195" s="29" t="inlineStr">
        <is>
          <t>SUSURLUK</t>
        </is>
      </c>
    </row>
    <row r="2196">
      <c r="A2196" s="4" t="n">
        <v>2195</v>
      </c>
      <c r="B2196" s="4" t="inlineStr">
        <is>
          <t>00097</t>
        </is>
      </c>
      <c r="C2196" s="4" t="inlineStr">
        <is>
          <t>00097</t>
        </is>
      </c>
      <c r="D2196" s="29" t="inlineStr">
        <is>
          <t>KEMAL DURMUŞ</t>
        </is>
      </c>
      <c r="E2196" s="4" t="inlineStr">
        <is>
          <t>Cuma</t>
        </is>
      </c>
      <c r="F2196" s="4" t="inlineStr">
        <is>
          <t>2.10.2026</t>
        </is>
      </c>
      <c r="G2196" s="4" t="inlineStr">
        <is>
          <t>19:52</t>
        </is>
      </c>
      <c r="H2196" s="4" t="inlineStr">
        <is>
          <t>2.10.2026</t>
        </is>
      </c>
      <c r="I2196" s="4" t="inlineStr">
        <is>
          <t>08:04</t>
        </is>
      </c>
      <c r="J2196" s="8" t="n">
        <v>10.5</v>
      </c>
      <c r="K2196" s="8" t="n">
        <v>7.5</v>
      </c>
      <c r="L2196" s="8" t="n">
        <v>3</v>
      </c>
      <c r="M2196" s="29" t="inlineStr">
        <is>
          <t>SUSURLUK</t>
        </is>
      </c>
    </row>
    <row r="2197">
      <c r="A2197" s="4" t="n">
        <v>2196</v>
      </c>
      <c r="B2197" s="4" t="inlineStr">
        <is>
          <t>00097</t>
        </is>
      </c>
      <c r="C2197" s="4" t="inlineStr">
        <is>
          <t>00097</t>
        </is>
      </c>
      <c r="D2197" s="29" t="inlineStr">
        <is>
          <t>KEMAL DURMUŞ</t>
        </is>
      </c>
      <c r="E2197" s="4" t="inlineStr">
        <is>
          <t>Cumartesi</t>
        </is>
      </c>
      <c r="F2197" s="4" t="inlineStr">
        <is>
          <t>3.10.2026</t>
        </is>
      </c>
      <c r="G2197" s="4" t="inlineStr">
        <is>
          <t>19:46</t>
        </is>
      </c>
      <c r="H2197" s="4" t="inlineStr">
        <is>
          <t>3.10.2026</t>
        </is>
      </c>
      <c r="I2197" s="4" t="inlineStr">
        <is>
          <t>08:56</t>
        </is>
      </c>
      <c r="J2197" s="8" t="n">
        <v>11.5</v>
      </c>
      <c r="K2197" s="8" t="n">
        <v>7.5</v>
      </c>
      <c r="L2197" s="8" t="n">
        <v>4</v>
      </c>
      <c r="M2197" s="29" t="inlineStr">
        <is>
          <t>SUSURLUK</t>
        </is>
      </c>
    </row>
    <row r="2198">
      <c r="A2198" s="4" t="n">
        <v>2197</v>
      </c>
      <c r="B2198" s="4" t="inlineStr">
        <is>
          <t>00097</t>
        </is>
      </c>
      <c r="C2198" s="4" t="inlineStr">
        <is>
          <t>00097</t>
        </is>
      </c>
      <c r="D2198" s="29" t="inlineStr">
        <is>
          <t>KEMAL DURMUŞ</t>
        </is>
      </c>
      <c r="E2198" s="4" t="inlineStr">
        <is>
          <t>Pazar</t>
        </is>
      </c>
      <c r="F2198" s="4" t="inlineStr">
        <is>
          <t>4.10.2026</t>
        </is>
      </c>
      <c r="G2198" s="4" t="inlineStr">
        <is>
          <t>19:50</t>
        </is>
      </c>
      <c r="H2198" s="4" t="inlineStr">
        <is>
          <t>4.10.2026</t>
        </is>
      </c>
      <c r="I2198" s="4" t="inlineStr">
        <is>
          <t>08:03</t>
        </is>
      </c>
      <c r="J2198" s="8" t="n">
        <v>10.5</v>
      </c>
      <c r="K2198" s="8" t="n">
        <v>7.5</v>
      </c>
      <c r="L2198" s="8" t="n">
        <v>3</v>
      </c>
      <c r="M2198" s="29" t="inlineStr">
        <is>
          <t>SUSURLUK</t>
        </is>
      </c>
    </row>
    <row r="2199">
      <c r="A2199" s="4" t="n">
        <v>2198</v>
      </c>
      <c r="B2199" s="4" t="inlineStr">
        <is>
          <t>00097</t>
        </is>
      </c>
      <c r="C2199" s="4" t="inlineStr">
        <is>
          <t>00097</t>
        </is>
      </c>
      <c r="D2199" s="29" t="inlineStr">
        <is>
          <t>KEMAL DURMUŞ</t>
        </is>
      </c>
      <c r="E2199" s="4" t="inlineStr">
        <is>
          <t>Pazartesi</t>
        </is>
      </c>
      <c r="F2199" s="4" t="inlineStr">
        <is>
          <t>5.10.2026</t>
        </is>
      </c>
      <c r="G2199" s="4" t="inlineStr">
        <is>
          <t>19:52</t>
        </is>
      </c>
      <c r="H2199" s="4" t="inlineStr">
        <is>
          <t>5.10.2026</t>
        </is>
      </c>
      <c r="I2199" s="4" t="inlineStr">
        <is>
          <t>08:04</t>
        </is>
      </c>
      <c r="J2199" s="8" t="n">
        <v>10.5</v>
      </c>
      <c r="K2199" s="8" t="n">
        <v>7.5</v>
      </c>
      <c r="L2199" s="8" t="n">
        <v>3</v>
      </c>
      <c r="M2199" s="29" t="inlineStr">
        <is>
          <t>SUSURLUK</t>
        </is>
      </c>
    </row>
    <row r="2200">
      <c r="A2200" s="4" t="n">
        <v>2199</v>
      </c>
      <c r="B2200" s="4" t="inlineStr">
        <is>
          <t>00097</t>
        </is>
      </c>
      <c r="C2200" s="4" t="inlineStr">
        <is>
          <t>00097</t>
        </is>
      </c>
      <c r="D2200" s="29" t="inlineStr">
        <is>
          <t>KEMAL DURMUŞ</t>
        </is>
      </c>
      <c r="E2200" s="4" t="inlineStr">
        <is>
          <t>Salı</t>
        </is>
      </c>
      <c r="F2200" s="4" t="inlineStr">
        <is>
          <t>6.10.2026</t>
        </is>
      </c>
      <c r="G2200" s="4" t="inlineStr">
        <is>
          <t>20:04</t>
        </is>
      </c>
      <c r="H2200" s="4" t="inlineStr">
        <is>
          <t>6.10.2026</t>
        </is>
      </c>
      <c r="I2200" s="4" t="inlineStr">
        <is>
          <t>08:02</t>
        </is>
      </c>
      <c r="J2200" s="8" t="n">
        <v>10.5</v>
      </c>
      <c r="K2200" s="8" t="n">
        <v>7.5</v>
      </c>
      <c r="L2200" s="8" t="n">
        <v>3</v>
      </c>
      <c r="M2200" s="29" t="inlineStr">
        <is>
          <t>SUSURLUK</t>
        </is>
      </c>
    </row>
    <row r="2201">
      <c r="A2201" s="4" t="n">
        <v>2200</v>
      </c>
      <c r="B2201" s="4" t="inlineStr">
        <is>
          <t>00097</t>
        </is>
      </c>
      <c r="C2201" s="4" t="inlineStr">
        <is>
          <t>00097</t>
        </is>
      </c>
      <c r="D2201" s="29" t="inlineStr">
        <is>
          <t>KEMAL DURMUŞ</t>
        </is>
      </c>
      <c r="E2201" s="4" t="inlineStr">
        <is>
          <t>Çarşamba</t>
        </is>
      </c>
      <c r="F2201" s="4" t="inlineStr">
        <is>
          <t>7.10.2026</t>
        </is>
      </c>
      <c r="G2201" s="4" t="inlineStr">
        <is>
          <t>20:02</t>
        </is>
      </c>
      <c r="H2201" s="4" t="inlineStr">
        <is>
          <t>7.10.2026</t>
        </is>
      </c>
      <c r="I2201" s="4" t="inlineStr">
        <is>
          <t>08:02</t>
        </is>
      </c>
      <c r="J2201" s="8" t="n">
        <v>10.5</v>
      </c>
      <c r="K2201" s="8" t="n">
        <v>7.5</v>
      </c>
      <c r="L2201" s="8" t="n">
        <v>3</v>
      </c>
      <c r="M2201" s="29" t="inlineStr">
        <is>
          <t>SUSURLUK</t>
        </is>
      </c>
    </row>
    <row r="2202">
      <c r="A2202" s="4" t="n">
        <v>2201</v>
      </c>
      <c r="B2202" s="4" t="inlineStr">
        <is>
          <t>00097</t>
        </is>
      </c>
      <c r="C2202" s="4" t="inlineStr">
        <is>
          <t>00097</t>
        </is>
      </c>
      <c r="D2202" s="29" t="inlineStr">
        <is>
          <t>KEMAL DURMUŞ</t>
        </is>
      </c>
      <c r="E2202" s="4" t="inlineStr">
        <is>
          <t>Perşembe</t>
        </is>
      </c>
      <c r="F2202" s="4" t="inlineStr">
        <is>
          <t>8.10.2026</t>
        </is>
      </c>
      <c r="G2202" s="4" t="inlineStr">
        <is>
          <t>20:05</t>
        </is>
      </c>
      <c r="H2202" s="4" t="inlineStr">
        <is>
          <t>8.10.2026</t>
        </is>
      </c>
      <c r="I2202" s="4" t="inlineStr">
        <is>
          <t>08:01</t>
        </is>
      </c>
      <c r="J2202" s="8" t="n">
        <v>10.5</v>
      </c>
      <c r="K2202" s="8" t="n">
        <v>7.5</v>
      </c>
      <c r="L2202" s="8" t="n">
        <v>3</v>
      </c>
      <c r="M2202" s="29" t="inlineStr">
        <is>
          <t>SUSURLUK</t>
        </is>
      </c>
    </row>
    <row r="2203">
      <c r="A2203" s="4" t="n">
        <v>2202</v>
      </c>
      <c r="B2203" s="4" t="inlineStr">
        <is>
          <t>00097</t>
        </is>
      </c>
      <c r="C2203" s="4" t="inlineStr">
        <is>
          <t>00097</t>
        </is>
      </c>
      <c r="D2203" s="29" t="inlineStr">
        <is>
          <t>KEMAL DURMUŞ</t>
        </is>
      </c>
      <c r="E2203" s="4" t="inlineStr">
        <is>
          <t>Cuma</t>
        </is>
      </c>
      <c r="F2203" s="4" t="inlineStr">
        <is>
          <t>9.10.2026</t>
        </is>
      </c>
      <c r="G2203" s="4" t="inlineStr">
        <is>
          <t>19:53</t>
        </is>
      </c>
      <c r="H2203" s="4" t="inlineStr">
        <is>
          <t>9.10.2026</t>
        </is>
      </c>
      <c r="I2203" s="4" t="inlineStr">
        <is>
          <t>08:00</t>
        </is>
      </c>
      <c r="J2203" s="8" t="n">
        <v>10.5</v>
      </c>
      <c r="K2203" s="8" t="n">
        <v>7.5</v>
      </c>
      <c r="L2203" s="8" t="n">
        <v>3</v>
      </c>
      <c r="M2203" s="29" t="inlineStr">
        <is>
          <t>SUSURLUK</t>
        </is>
      </c>
    </row>
    <row r="2204">
      <c r="A2204" s="4" t="n">
        <v>2203</v>
      </c>
      <c r="B2204" s="4" t="inlineStr">
        <is>
          <t>00097</t>
        </is>
      </c>
      <c r="C2204" s="4" t="inlineStr">
        <is>
          <t>00097</t>
        </is>
      </c>
      <c r="D2204" s="29" t="inlineStr">
        <is>
          <t>KEMAL DURMUŞ</t>
        </is>
      </c>
      <c r="E2204" s="4" t="inlineStr">
        <is>
          <t>Cumartesi</t>
        </is>
      </c>
      <c r="F2204" s="4" t="inlineStr">
        <is>
          <t>10.10.2026</t>
        </is>
      </c>
      <c r="G2204" s="4" t="inlineStr">
        <is>
          <t>20:02</t>
        </is>
      </c>
      <c r="H2204" s="4" t="inlineStr">
        <is>
          <t>10.10.2026</t>
        </is>
      </c>
      <c r="I2204" s="4" t="inlineStr">
        <is>
          <t>08:08</t>
        </is>
      </c>
      <c r="J2204" s="8" t="n">
        <v>10.5</v>
      </c>
      <c r="K2204" s="8" t="n">
        <v>7.5</v>
      </c>
      <c r="L2204" s="8" t="n">
        <v>3</v>
      </c>
      <c r="M2204" s="29" t="inlineStr">
        <is>
          <t>SUSURLUK</t>
        </is>
      </c>
    </row>
    <row r="2205">
      <c r="A2205" s="4" t="n">
        <v>2204</v>
      </c>
      <c r="B2205" s="4" t="inlineStr">
        <is>
          <t>00097</t>
        </is>
      </c>
      <c r="C2205" s="4" t="inlineStr">
        <is>
          <t>00097</t>
        </is>
      </c>
      <c r="D2205" s="29" t="inlineStr">
        <is>
          <t>KEMAL DURMUŞ</t>
        </is>
      </c>
      <c r="E2205" s="4" t="inlineStr">
        <is>
          <t>Pazar</t>
        </is>
      </c>
      <c r="F2205" s="4" t="inlineStr">
        <is>
          <t>11.10.2026</t>
        </is>
      </c>
      <c r="G2205" s="4" t="inlineStr">
        <is>
          <t>20:02</t>
        </is>
      </c>
      <c r="H2205" s="4" t="inlineStr">
        <is>
          <t>11.10.2026</t>
        </is>
      </c>
      <c r="I2205" s="4" t="inlineStr">
        <is>
          <t>08:02</t>
        </is>
      </c>
      <c r="J2205" s="8" t="n">
        <v>10.5</v>
      </c>
      <c r="K2205" s="8" t="n">
        <v>7.5</v>
      </c>
      <c r="L2205" s="8" t="n">
        <v>3</v>
      </c>
      <c r="M2205" s="29" t="inlineStr">
        <is>
          <t>SUSURLUK</t>
        </is>
      </c>
    </row>
    <row r="2206">
      <c r="A2206" s="4" t="n">
        <v>2205</v>
      </c>
      <c r="B2206" s="4" t="inlineStr">
        <is>
          <t>00097</t>
        </is>
      </c>
      <c r="C2206" s="4" t="inlineStr">
        <is>
          <t>00097</t>
        </is>
      </c>
      <c r="D2206" s="29" t="inlineStr">
        <is>
          <t>KEMAL DURMUŞ</t>
        </is>
      </c>
      <c r="E2206" s="4" t="inlineStr">
        <is>
          <t>Pazartesi</t>
        </is>
      </c>
      <c r="F2206" s="4" t="inlineStr">
        <is>
          <t>12.10.2026</t>
        </is>
      </c>
      <c r="G2206" s="4" t="inlineStr">
        <is>
          <t>19:47</t>
        </is>
      </c>
      <c r="H2206" s="4" t="inlineStr">
        <is>
          <t>12.10.2026</t>
        </is>
      </c>
      <c r="I2206" s="4" t="inlineStr">
        <is>
          <t>08:00</t>
        </is>
      </c>
      <c r="J2206" s="8" t="n">
        <v>10.5</v>
      </c>
      <c r="K2206" s="8" t="n">
        <v>7.5</v>
      </c>
      <c r="L2206" s="8" t="n">
        <v>3</v>
      </c>
      <c r="M2206" s="29" t="inlineStr">
        <is>
          <t>SUSURLUK</t>
        </is>
      </c>
    </row>
    <row r="2207">
      <c r="A2207" s="4" t="n">
        <v>2206</v>
      </c>
      <c r="B2207" s="4" t="inlineStr">
        <is>
          <t>00097</t>
        </is>
      </c>
      <c r="C2207" s="4" t="inlineStr">
        <is>
          <t>00097</t>
        </is>
      </c>
      <c r="D2207" s="29" t="inlineStr">
        <is>
          <t>KEMAL DURMUŞ</t>
        </is>
      </c>
      <c r="E2207" s="4" t="inlineStr">
        <is>
          <t>Salı</t>
        </is>
      </c>
      <c r="F2207" s="4" t="inlineStr">
        <is>
          <t>13.10.2026</t>
        </is>
      </c>
      <c r="G2207" s="4" t="inlineStr">
        <is>
          <t>19:56</t>
        </is>
      </c>
      <c r="H2207" s="4" t="inlineStr">
        <is>
          <t>13.10.2026</t>
        </is>
      </c>
      <c r="I2207" s="4" t="inlineStr">
        <is>
          <t>09:56</t>
        </is>
      </c>
      <c r="J2207" s="8" t="n">
        <v>12.5</v>
      </c>
      <c r="K2207" s="8" t="n">
        <v>7.5</v>
      </c>
      <c r="L2207" s="8" t="n">
        <v>5</v>
      </c>
      <c r="M2207" s="29" t="inlineStr">
        <is>
          <t>SUSURLUK</t>
        </is>
      </c>
    </row>
    <row r="2208">
      <c r="A2208" s="4" t="n">
        <v>2207</v>
      </c>
      <c r="B2208" s="4" t="inlineStr">
        <is>
          <t>00097</t>
        </is>
      </c>
      <c r="C2208" s="4" t="inlineStr">
        <is>
          <t>00097</t>
        </is>
      </c>
      <c r="D2208" s="29" t="inlineStr">
        <is>
          <t>KEMAL DURMUŞ</t>
        </is>
      </c>
      <c r="E2208" s="4" t="inlineStr">
        <is>
          <t>Çarşamba</t>
        </is>
      </c>
      <c r="F2208" s="4" t="inlineStr">
        <is>
          <t>14.10.2026</t>
        </is>
      </c>
      <c r="G2208" s="4" t="inlineStr">
        <is>
          <t>20:09</t>
        </is>
      </c>
      <c r="H2208" s="4" t="inlineStr">
        <is>
          <t>14.10.2026</t>
        </is>
      </c>
      <c r="I2208" s="4" t="inlineStr">
        <is>
          <t>07:59</t>
        </is>
      </c>
      <c r="J2208" s="8" t="n">
        <v>10.5</v>
      </c>
      <c r="K2208" s="8" t="n">
        <v>7.5</v>
      </c>
      <c r="L2208" s="8" t="n">
        <v>3</v>
      </c>
      <c r="M2208" s="29" t="inlineStr">
        <is>
          <t>SUSURLUK</t>
        </is>
      </c>
    </row>
    <row r="2209">
      <c r="A2209" s="4" t="n">
        <v>2208</v>
      </c>
      <c r="B2209" s="4" t="inlineStr">
        <is>
          <t>00097</t>
        </is>
      </c>
      <c r="C2209" s="4" t="inlineStr">
        <is>
          <t>00097</t>
        </is>
      </c>
      <c r="D2209" s="29" t="inlineStr">
        <is>
          <t>KEMAL DURMUŞ</t>
        </is>
      </c>
      <c r="E2209" s="4" t="inlineStr">
        <is>
          <t>Perşembe</t>
        </is>
      </c>
      <c r="F2209" s="4" t="inlineStr">
        <is>
          <t>15.10.2026</t>
        </is>
      </c>
      <c r="G2209" s="4" t="inlineStr">
        <is>
          <t>20:01</t>
        </is>
      </c>
      <c r="H2209" s="4" t="inlineStr">
        <is>
          <t>15.10.2026</t>
        </is>
      </c>
      <c r="I2209" s="4" t="inlineStr">
        <is>
          <t>11:13</t>
        </is>
      </c>
      <c r="J2209" s="8" t="n">
        <v>13.5</v>
      </c>
      <c r="K2209" s="8" t="n">
        <v>7.5</v>
      </c>
      <c r="L2209" s="8" t="n">
        <v>6</v>
      </c>
      <c r="M2209" s="29" t="inlineStr">
        <is>
          <t>SUSURLUK</t>
        </is>
      </c>
    </row>
    <row r="2210">
      <c r="A2210" s="4" t="n">
        <v>2209</v>
      </c>
      <c r="B2210" s="4" t="inlineStr">
        <is>
          <t>00097</t>
        </is>
      </c>
      <c r="C2210" s="4" t="inlineStr">
        <is>
          <t>00097</t>
        </is>
      </c>
      <c r="D2210" s="29" t="inlineStr">
        <is>
          <t>KEMAL DURMUŞ</t>
        </is>
      </c>
      <c r="E2210" s="4" t="inlineStr">
        <is>
          <t>Cuma</t>
        </is>
      </c>
      <c r="F2210" s="4" t="inlineStr">
        <is>
          <t>16.10.2026</t>
        </is>
      </c>
      <c r="G2210" s="4" t="inlineStr">
        <is>
          <t>11:14</t>
        </is>
      </c>
      <c r="H2210" s="4" t="inlineStr">
        <is>
          <t>16.10.2026</t>
        </is>
      </c>
      <c r="I2210" s="4" t="inlineStr">
        <is>
          <t>23:58</t>
        </is>
      </c>
      <c r="J2210" s="8" t="n">
        <v>11.5</v>
      </c>
      <c r="K2210" s="8" t="n">
        <v>4.5</v>
      </c>
      <c r="L2210" s="8" t="n">
        <v>7</v>
      </c>
      <c r="M2210" s="29" t="inlineStr">
        <is>
          <t>SUSURLUK</t>
        </is>
      </c>
    </row>
    <row r="2211">
      <c r="A2211" s="4" t="n">
        <v>2210</v>
      </c>
      <c r="B2211" s="4" t="inlineStr">
        <is>
          <t>00097</t>
        </is>
      </c>
      <c r="C2211" s="4" t="inlineStr">
        <is>
          <t>00097</t>
        </is>
      </c>
      <c r="D2211" s="29" t="inlineStr">
        <is>
          <t>KEMAL DURMUŞ</t>
        </is>
      </c>
      <c r="E2211" s="4" t="inlineStr">
        <is>
          <t>Cumartesi</t>
        </is>
      </c>
      <c r="F2211" s="4" t="inlineStr">
        <is>
          <t>17.10.2026</t>
        </is>
      </c>
      <c r="G2211" s="4" t="inlineStr">
        <is>
          <t>12:38</t>
        </is>
      </c>
      <c r="H2211" s="4" t="inlineStr">
        <is>
          <t>17.10.2026</t>
        </is>
      </c>
      <c r="I2211" s="4" t="inlineStr">
        <is>
          <t>23:59</t>
        </is>
      </c>
      <c r="J2211" s="8" t="n">
        <v>11</v>
      </c>
      <c r="K2211" s="8" t="n">
        <v>11</v>
      </c>
      <c r="L2211" s="8" t="n">
        <v>0</v>
      </c>
      <c r="M2211" s="29" t="inlineStr">
        <is>
          <t>SUSURLUK</t>
        </is>
      </c>
    </row>
    <row r="2212">
      <c r="A2212" s="4" t="n">
        <v>2211</v>
      </c>
      <c r="B2212" s="4" t="inlineStr">
        <is>
          <t>00097</t>
        </is>
      </c>
      <c r="C2212" s="4" t="inlineStr">
        <is>
          <t>00097</t>
        </is>
      </c>
      <c r="D2212" s="29" t="inlineStr">
        <is>
          <t>KEMAL DURMUŞ</t>
        </is>
      </c>
      <c r="E2212" s="4" t="inlineStr">
        <is>
          <t>Pazartesi</t>
        </is>
      </c>
      <c r="F2212" s="4" t="inlineStr">
        <is>
          <t>19.10.2026</t>
        </is>
      </c>
      <c r="G2212" s="4" t="inlineStr">
        <is>
          <t>06:25</t>
        </is>
      </c>
      <c r="H2212" s="4" t="inlineStr">
        <is>
          <t>19.10.2026</t>
        </is>
      </c>
      <c r="I2212" s="4" t="inlineStr">
        <is>
          <t>08:03</t>
        </is>
      </c>
      <c r="J2212" s="8" t="n">
        <v>10.5</v>
      </c>
      <c r="K2212" s="8" t="n">
        <v>7.5</v>
      </c>
      <c r="L2212" s="8" t="n">
        <v>3</v>
      </c>
      <c r="M2212" s="29" t="inlineStr">
        <is>
          <t>SUSURLUK</t>
        </is>
      </c>
    </row>
    <row r="2213">
      <c r="A2213" s="4" t="n">
        <v>2212</v>
      </c>
      <c r="B2213" s="4" t="inlineStr">
        <is>
          <t>00097</t>
        </is>
      </c>
      <c r="C2213" s="4" t="inlineStr">
        <is>
          <t>00097</t>
        </is>
      </c>
      <c r="D2213" s="29" t="inlineStr">
        <is>
          <t>KEMAL DURMUŞ</t>
        </is>
      </c>
      <c r="E2213" s="4" t="inlineStr">
        <is>
          <t>Salı</t>
        </is>
      </c>
      <c r="F2213" s="4" t="inlineStr">
        <is>
          <t>20.10.2026</t>
        </is>
      </c>
      <c r="G2213" s="4" t="inlineStr">
        <is>
          <t>19:52</t>
        </is>
      </c>
      <c r="H2213" s="4" t="inlineStr">
        <is>
          <t>20.10.2026</t>
        </is>
      </c>
      <c r="I2213" s="4" t="inlineStr">
        <is>
          <t>-</t>
        </is>
      </c>
      <c r="J2213" s="8" t="n">
        <v>7.5</v>
      </c>
      <c r="K2213" s="8" t="n">
        <v>7.5</v>
      </c>
      <c r="L2213" s="8" t="n">
        <v>0</v>
      </c>
      <c r="M2213" s="29" t="inlineStr">
        <is>
          <t>SUSURLUK</t>
        </is>
      </c>
    </row>
    <row r="2214">
      <c r="A2214" s="4" t="n">
        <v>2213</v>
      </c>
      <c r="B2214" s="4" t="inlineStr">
        <is>
          <t>00097</t>
        </is>
      </c>
      <c r="C2214" s="4" t="inlineStr">
        <is>
          <t>00097</t>
        </is>
      </c>
      <c r="D2214" s="29" t="inlineStr">
        <is>
          <t>KEMAL DURMUŞ</t>
        </is>
      </c>
      <c r="E2214" s="4" t="inlineStr">
        <is>
          <t>Çarşamba</t>
        </is>
      </c>
      <c r="F2214" s="4" t="inlineStr">
        <is>
          <t>21.10.2026</t>
        </is>
      </c>
      <c r="G2214" s="4" t="inlineStr">
        <is>
          <t>07:49</t>
        </is>
      </c>
      <c r="H2214" s="4" t="inlineStr">
        <is>
          <t>21.10.2026</t>
        </is>
      </c>
      <c r="I2214" s="4" t="inlineStr">
        <is>
          <t>17:00</t>
        </is>
      </c>
      <c r="J2214" s="8" t="n">
        <v>7.5</v>
      </c>
      <c r="K2214" s="8" t="n">
        <v>7.5</v>
      </c>
      <c r="L2214" s="8" t="n">
        <v>0</v>
      </c>
      <c r="M2214" s="29" t="inlineStr">
        <is>
          <t>SUSURLUK</t>
        </is>
      </c>
    </row>
    <row r="2215">
      <c r="A2215" s="4" t="n">
        <v>2214</v>
      </c>
      <c r="B2215" s="4" t="inlineStr">
        <is>
          <t>01430</t>
        </is>
      </c>
      <c r="C2215" s="4" t="inlineStr">
        <is>
          <t>01430</t>
        </is>
      </c>
      <c r="D2215" s="29" t="inlineStr">
        <is>
          <t>KERİM MERT SOYÖZ</t>
        </is>
      </c>
      <c r="E2215" s="4" t="inlineStr">
        <is>
          <t>Cumartesi</t>
        </is>
      </c>
      <c r="F2215" s="4" t="inlineStr">
        <is>
          <t>3.10.2026</t>
        </is>
      </c>
      <c r="G2215" s="4" t="inlineStr">
        <is>
          <t>08:10</t>
        </is>
      </c>
      <c r="H2215" s="4" t="inlineStr">
        <is>
          <t>3.10.2026</t>
        </is>
      </c>
      <c r="I2215" s="4" t="inlineStr">
        <is>
          <t>17:37</t>
        </is>
      </c>
      <c r="J2215" s="8" t="n">
        <v>8</v>
      </c>
      <c r="K2215" s="8" t="n">
        <v>7.5</v>
      </c>
      <c r="L2215" s="8" t="n">
        <v>0.5</v>
      </c>
      <c r="M2215" s="29" t="inlineStr">
        <is>
          <t>HALİL DİĞRENCİ</t>
        </is>
      </c>
    </row>
    <row r="2216">
      <c r="A2216" s="4" t="n">
        <v>2215</v>
      </c>
      <c r="B2216" s="4" t="inlineStr">
        <is>
          <t>01430</t>
        </is>
      </c>
      <c r="C2216" s="4" t="inlineStr">
        <is>
          <t>01430</t>
        </is>
      </c>
      <c r="D2216" s="29" t="inlineStr">
        <is>
          <t>KERİM MERT SOYÖZ</t>
        </is>
      </c>
      <c r="E2216" s="4" t="inlineStr">
        <is>
          <t>Pazartesi</t>
        </is>
      </c>
      <c r="F2216" s="4" t="inlineStr">
        <is>
          <t>5.10.2026</t>
        </is>
      </c>
      <c r="G2216" s="4" t="inlineStr">
        <is>
          <t>07:39</t>
        </is>
      </c>
      <c r="H2216" s="4" t="inlineStr">
        <is>
          <t>5.10.2026</t>
        </is>
      </c>
      <c r="I2216" s="4" t="inlineStr">
        <is>
          <t>17:04</t>
        </is>
      </c>
      <c r="J2216" s="8" t="n">
        <v>7.5</v>
      </c>
      <c r="K2216" s="8" t="n">
        <v>7.5</v>
      </c>
      <c r="L2216" s="8" t="n">
        <v>0</v>
      </c>
      <c r="M2216" s="29" t="inlineStr">
        <is>
          <t>HALİL DİĞRENCİ</t>
        </is>
      </c>
    </row>
    <row r="2217">
      <c r="A2217" s="4" t="n">
        <v>2216</v>
      </c>
      <c r="B2217" s="4" t="inlineStr">
        <is>
          <t>01430</t>
        </is>
      </c>
      <c r="C2217" s="4" t="inlineStr">
        <is>
          <t>01430</t>
        </is>
      </c>
      <c r="D2217" s="29" t="inlineStr">
        <is>
          <t>KERİM MERT SOYÖZ</t>
        </is>
      </c>
      <c r="E2217" s="4" t="inlineStr">
        <is>
          <t>Salı</t>
        </is>
      </c>
      <c r="F2217" s="4" t="inlineStr">
        <is>
          <t>6.10.2026</t>
        </is>
      </c>
      <c r="G2217" s="4" t="inlineStr">
        <is>
          <t>07:42</t>
        </is>
      </c>
      <c r="H2217" s="4" t="inlineStr">
        <is>
          <t>6.10.2026</t>
        </is>
      </c>
      <c r="I2217" s="4" t="inlineStr">
        <is>
          <t>17:41</t>
        </is>
      </c>
      <c r="J2217" s="8" t="n">
        <v>8</v>
      </c>
      <c r="K2217" s="8" t="n">
        <v>7.5</v>
      </c>
      <c r="L2217" s="8" t="n">
        <v>0.5</v>
      </c>
      <c r="M2217" s="29" t="inlineStr">
        <is>
          <t>HALİL DİĞRENCİ</t>
        </is>
      </c>
    </row>
    <row r="2218">
      <c r="A2218" s="4" t="n">
        <v>2217</v>
      </c>
      <c r="B2218" s="4" t="inlineStr">
        <is>
          <t>01430</t>
        </is>
      </c>
      <c r="C2218" s="4" t="inlineStr">
        <is>
          <t>01430</t>
        </is>
      </c>
      <c r="D2218" s="29" t="inlineStr">
        <is>
          <t>KERİM MERT SOYÖZ</t>
        </is>
      </c>
      <c r="E2218" s="4" t="inlineStr">
        <is>
          <t>Çarşamba</t>
        </is>
      </c>
      <c r="F2218" s="4" t="inlineStr">
        <is>
          <t>7.10.2026</t>
        </is>
      </c>
      <c r="G2218" s="4" t="inlineStr">
        <is>
          <t>07:36</t>
        </is>
      </c>
      <c r="H2218" s="4" t="inlineStr">
        <is>
          <t>7.10.2026</t>
        </is>
      </c>
      <c r="I2218" s="4" t="inlineStr">
        <is>
          <t>17:24</t>
        </is>
      </c>
      <c r="J2218" s="8" t="n">
        <v>8</v>
      </c>
      <c r="K2218" s="8" t="n">
        <v>7.5</v>
      </c>
      <c r="L2218" s="8" t="n">
        <v>0.5</v>
      </c>
      <c r="M2218" s="29" t="inlineStr">
        <is>
          <t>HALİL DİĞRENCİ</t>
        </is>
      </c>
    </row>
    <row r="2219">
      <c r="A2219" s="4" t="n">
        <v>2218</v>
      </c>
      <c r="B2219" s="4" t="inlineStr">
        <is>
          <t>01430</t>
        </is>
      </c>
      <c r="C2219" s="4" t="inlineStr">
        <is>
          <t>01430</t>
        </is>
      </c>
      <c r="D2219" s="29" t="inlineStr">
        <is>
          <t>KERİM MERT SOYÖZ</t>
        </is>
      </c>
      <c r="E2219" s="4" t="inlineStr">
        <is>
          <t>Perşembe</t>
        </is>
      </c>
      <c r="F2219" s="4" t="inlineStr">
        <is>
          <t>8.10.2026</t>
        </is>
      </c>
      <c r="G2219" s="4" t="inlineStr">
        <is>
          <t>07:36</t>
        </is>
      </c>
      <c r="H2219" s="4" t="inlineStr">
        <is>
          <t>8.10.2026</t>
        </is>
      </c>
      <c r="I2219" s="4" t="inlineStr">
        <is>
          <t>17:36</t>
        </is>
      </c>
      <c r="J2219" s="8" t="n">
        <v>8</v>
      </c>
      <c r="K2219" s="8" t="n">
        <v>7.5</v>
      </c>
      <c r="L2219" s="8" t="n">
        <v>0.5</v>
      </c>
      <c r="M2219" s="29" t="inlineStr">
        <is>
          <t>HALİL DİĞRENCİ</t>
        </is>
      </c>
    </row>
    <row r="2220">
      <c r="A2220" s="4" t="n">
        <v>2219</v>
      </c>
      <c r="B2220" s="4" t="inlineStr">
        <is>
          <t>01430</t>
        </is>
      </c>
      <c r="C2220" s="4" t="inlineStr">
        <is>
          <t>01430</t>
        </is>
      </c>
      <c r="D2220" s="29" t="inlineStr">
        <is>
          <t>KERİM MERT SOYÖZ</t>
        </is>
      </c>
      <c r="E2220" s="4" t="inlineStr">
        <is>
          <t>Cuma</t>
        </is>
      </c>
      <c r="F2220" s="4" t="inlineStr">
        <is>
          <t>9.10.2026</t>
        </is>
      </c>
      <c r="G2220" s="4" t="inlineStr">
        <is>
          <t>07:38</t>
        </is>
      </c>
      <c r="H2220" s="4" t="inlineStr">
        <is>
          <t>9.10.2026</t>
        </is>
      </c>
      <c r="I2220" s="4" t="inlineStr">
        <is>
          <t>17:41</t>
        </is>
      </c>
      <c r="J2220" s="8" t="n">
        <v>8</v>
      </c>
      <c r="K2220" s="8" t="n">
        <v>7.5</v>
      </c>
      <c r="L2220" s="8" t="n">
        <v>0.5</v>
      </c>
      <c r="M2220" s="29" t="inlineStr">
        <is>
          <t>HALİL DİĞRENCİ</t>
        </is>
      </c>
    </row>
    <row r="2221">
      <c r="A2221" s="4" t="n">
        <v>2220</v>
      </c>
      <c r="B2221" s="4" t="inlineStr">
        <is>
          <t>01430</t>
        </is>
      </c>
      <c r="C2221" s="4" t="inlineStr">
        <is>
          <t>01430</t>
        </is>
      </c>
      <c r="D2221" s="29" t="inlineStr">
        <is>
          <t>KERİM MERT SOYÖZ</t>
        </is>
      </c>
      <c r="E2221" s="4" t="inlineStr">
        <is>
          <t>Cumartesi</t>
        </is>
      </c>
      <c r="F2221" s="4" t="inlineStr">
        <is>
          <t>10.10.2026</t>
        </is>
      </c>
      <c r="G2221" s="4" t="inlineStr">
        <is>
          <t>07:40</t>
        </is>
      </c>
      <c r="H2221" s="4" t="inlineStr">
        <is>
          <t>10.10.2026</t>
        </is>
      </c>
      <c r="I2221" s="4" t="inlineStr">
        <is>
          <t>18:10</t>
        </is>
      </c>
      <c r="J2221" s="8" t="n">
        <v>8.5</v>
      </c>
      <c r="K2221" s="8" t="n">
        <v>7.5</v>
      </c>
      <c r="L2221" s="8" t="n">
        <v>1</v>
      </c>
      <c r="M2221" s="29" t="inlineStr">
        <is>
          <t>HALİL DİĞRENCİ</t>
        </is>
      </c>
    </row>
    <row r="2222">
      <c r="A2222" s="4" t="n">
        <v>2221</v>
      </c>
      <c r="B2222" s="4" t="inlineStr">
        <is>
          <t>01430</t>
        </is>
      </c>
      <c r="C2222" s="4" t="inlineStr">
        <is>
          <t>01430</t>
        </is>
      </c>
      <c r="D2222" s="29" t="inlineStr">
        <is>
          <t>KERİM MERT SOYÖZ</t>
        </is>
      </c>
      <c r="E2222" s="4" t="inlineStr">
        <is>
          <t>Pazartesi</t>
        </is>
      </c>
      <c r="F2222" s="4" t="inlineStr">
        <is>
          <t>12.10.2026</t>
        </is>
      </c>
      <c r="G2222" s="4" t="inlineStr">
        <is>
          <t>07:45</t>
        </is>
      </c>
      <c r="H2222" s="4" t="inlineStr">
        <is>
          <t>12.10.2026</t>
        </is>
      </c>
      <c r="I2222" s="4" t="inlineStr">
        <is>
          <t>17:01</t>
        </is>
      </c>
      <c r="J2222" s="8" t="n">
        <v>7.5</v>
      </c>
      <c r="K2222" s="8" t="n">
        <v>7.5</v>
      </c>
      <c r="L2222" s="8" t="n">
        <v>0</v>
      </c>
      <c r="M2222" s="29" t="inlineStr">
        <is>
          <t>HALİL DİĞRENCİ</t>
        </is>
      </c>
    </row>
    <row r="2223">
      <c r="A2223" s="4" t="n">
        <v>2222</v>
      </c>
      <c r="B2223" s="4" t="inlineStr">
        <is>
          <t>01430</t>
        </is>
      </c>
      <c r="C2223" s="4" t="inlineStr">
        <is>
          <t>01430</t>
        </is>
      </c>
      <c r="D2223" s="29" t="inlineStr">
        <is>
          <t>KERİM MERT SOYÖZ</t>
        </is>
      </c>
      <c r="E2223" s="4" t="inlineStr">
        <is>
          <t>Salı</t>
        </is>
      </c>
      <c r="F2223" s="4" t="inlineStr">
        <is>
          <t>13.10.2026</t>
        </is>
      </c>
      <c r="G2223" s="4" t="inlineStr">
        <is>
          <t>07:41</t>
        </is>
      </c>
      <c r="H2223" s="4" t="inlineStr">
        <is>
          <t>13.10.2026</t>
        </is>
      </c>
      <c r="I2223" s="4" t="inlineStr">
        <is>
          <t>17:03</t>
        </is>
      </c>
      <c r="J2223" s="8" t="n">
        <v>7.5</v>
      </c>
      <c r="K2223" s="8" t="n">
        <v>7.5</v>
      </c>
      <c r="L2223" s="8" t="n">
        <v>0</v>
      </c>
      <c r="M2223" s="29" t="inlineStr">
        <is>
          <t>HALİL DİĞRENCİ</t>
        </is>
      </c>
    </row>
    <row r="2224">
      <c r="A2224" s="4" t="n">
        <v>2223</v>
      </c>
      <c r="B2224" s="4" t="inlineStr">
        <is>
          <t>01430</t>
        </is>
      </c>
      <c r="C2224" s="4" t="inlineStr">
        <is>
          <t>01430</t>
        </is>
      </c>
      <c r="D2224" s="29" t="inlineStr">
        <is>
          <t>KERİM MERT SOYÖZ</t>
        </is>
      </c>
      <c r="E2224" s="4" t="inlineStr">
        <is>
          <t>Çarşamba</t>
        </is>
      </c>
      <c r="F2224" s="4" t="inlineStr">
        <is>
          <t>14.10.2026</t>
        </is>
      </c>
      <c r="G2224" s="4" t="inlineStr">
        <is>
          <t>07:44</t>
        </is>
      </c>
      <c r="H2224" s="4" t="inlineStr">
        <is>
          <t>14.10.2026</t>
        </is>
      </c>
      <c r="I2224" s="4" t="inlineStr">
        <is>
          <t>18:06</t>
        </is>
      </c>
      <c r="J2224" s="8" t="n">
        <v>8.5</v>
      </c>
      <c r="K2224" s="8" t="n">
        <v>7.5</v>
      </c>
      <c r="L2224" s="8" t="n">
        <v>1</v>
      </c>
      <c r="M2224" s="29" t="inlineStr">
        <is>
          <t>HALİL DİĞRENCİ</t>
        </is>
      </c>
    </row>
    <row r="2225">
      <c r="A2225" s="4" t="n">
        <v>2224</v>
      </c>
      <c r="B2225" s="4" t="inlineStr">
        <is>
          <t>01430</t>
        </is>
      </c>
      <c r="C2225" s="4" t="inlineStr">
        <is>
          <t>01430</t>
        </is>
      </c>
      <c r="D2225" s="29" t="inlineStr">
        <is>
          <t>KERİM MERT SOYÖZ</t>
        </is>
      </c>
      <c r="E2225" s="4" t="inlineStr">
        <is>
          <t>Perşembe</t>
        </is>
      </c>
      <c r="F2225" s="4" t="inlineStr">
        <is>
          <t>15.10.2026</t>
        </is>
      </c>
      <c r="G2225" s="4" t="inlineStr">
        <is>
          <t>07:42</t>
        </is>
      </c>
      <c r="H2225" s="4" t="inlineStr">
        <is>
          <t>15.10.2026</t>
        </is>
      </c>
      <c r="I2225" s="4" t="inlineStr">
        <is>
          <t>17:01</t>
        </is>
      </c>
      <c r="J2225" s="8" t="n">
        <v>7.5</v>
      </c>
      <c r="K2225" s="8" t="n">
        <v>7.5</v>
      </c>
      <c r="L2225" s="8" t="n">
        <v>0</v>
      </c>
      <c r="M2225" s="29" t="inlineStr">
        <is>
          <t>HALİL DİĞRENCİ</t>
        </is>
      </c>
    </row>
    <row r="2226">
      <c r="A2226" s="4" t="n">
        <v>2225</v>
      </c>
      <c r="B2226" s="4" t="inlineStr">
        <is>
          <t>01430</t>
        </is>
      </c>
      <c r="C2226" s="4" t="inlineStr">
        <is>
          <t>01430</t>
        </is>
      </c>
      <c r="D2226" s="29" t="inlineStr">
        <is>
          <t>KERİM MERT SOYÖZ</t>
        </is>
      </c>
      <c r="E2226" s="4" t="inlineStr">
        <is>
          <t>Cuma</t>
        </is>
      </c>
      <c r="F2226" s="4" t="inlineStr">
        <is>
          <t>16.10.2026</t>
        </is>
      </c>
      <c r="G2226" s="4" t="inlineStr">
        <is>
          <t>07:38</t>
        </is>
      </c>
      <c r="H2226" s="4" t="inlineStr">
        <is>
          <t>16.10.2026</t>
        </is>
      </c>
      <c r="I2226" s="4" t="inlineStr">
        <is>
          <t>17:19</t>
        </is>
      </c>
      <c r="J2226" s="8" t="n">
        <v>7.5</v>
      </c>
      <c r="K2226" s="8" t="n">
        <v>7.5</v>
      </c>
      <c r="L2226" s="8" t="n">
        <v>0</v>
      </c>
      <c r="M2226" s="29" t="inlineStr">
        <is>
          <t>HALİL DİĞRENCİ</t>
        </is>
      </c>
    </row>
    <row r="2227">
      <c r="A2227" s="4" t="n">
        <v>2226</v>
      </c>
      <c r="B2227" s="4" t="inlineStr">
        <is>
          <t>01430</t>
        </is>
      </c>
      <c r="C2227" s="4" t="inlineStr">
        <is>
          <t>01430</t>
        </is>
      </c>
      <c r="D2227" s="29" t="inlineStr">
        <is>
          <t>KERİM MERT SOYÖZ</t>
        </is>
      </c>
      <c r="E2227" s="4" t="inlineStr">
        <is>
          <t>Cumartesi</t>
        </is>
      </c>
      <c r="F2227" s="4" t="inlineStr">
        <is>
          <t>17.10.2026</t>
        </is>
      </c>
      <c r="G2227" s="4" t="inlineStr">
        <is>
          <t>07:38</t>
        </is>
      </c>
      <c r="H2227" s="4" t="inlineStr">
        <is>
          <t>17.10.2026</t>
        </is>
      </c>
      <c r="I2227" s="4" t="inlineStr">
        <is>
          <t>17:53</t>
        </is>
      </c>
      <c r="J2227" s="8" t="n">
        <v>8.5</v>
      </c>
      <c r="K2227" s="8" t="n">
        <v>7.5</v>
      </c>
      <c r="L2227" s="8" t="n">
        <v>1</v>
      </c>
      <c r="M2227" s="29" t="inlineStr">
        <is>
          <t>HALİL DİĞRENCİ</t>
        </is>
      </c>
    </row>
    <row r="2228">
      <c r="A2228" s="4" t="n">
        <v>2227</v>
      </c>
      <c r="B2228" s="4" t="inlineStr">
        <is>
          <t>01430</t>
        </is>
      </c>
      <c r="C2228" s="4" t="inlineStr">
        <is>
          <t>01430</t>
        </is>
      </c>
      <c r="D2228" s="29" t="inlineStr">
        <is>
          <t>KERİM MERT SOYÖZ</t>
        </is>
      </c>
      <c r="E2228" s="4" t="inlineStr">
        <is>
          <t>Pazartesi</t>
        </is>
      </c>
      <c r="F2228" s="4" t="inlineStr">
        <is>
          <t>19.10.2026</t>
        </is>
      </c>
      <c r="G2228" s="4" t="inlineStr">
        <is>
          <t>07:40</t>
        </is>
      </c>
      <c r="H2228" s="4" t="inlineStr">
        <is>
          <t>19.10.2026</t>
        </is>
      </c>
      <c r="I2228" s="4" t="inlineStr">
        <is>
          <t>17:46</t>
        </is>
      </c>
      <c r="J2228" s="8" t="n">
        <v>8.5</v>
      </c>
      <c r="K2228" s="8" t="n">
        <v>7.5</v>
      </c>
      <c r="L2228" s="8" t="n">
        <v>1</v>
      </c>
      <c r="M2228" s="29" t="inlineStr">
        <is>
          <t>HALİL DİĞRENCİ</t>
        </is>
      </c>
    </row>
    <row r="2229">
      <c r="A2229" s="4" t="n">
        <v>2228</v>
      </c>
      <c r="B2229" s="4" t="inlineStr">
        <is>
          <t>01430</t>
        </is>
      </c>
      <c r="C2229" s="4" t="inlineStr">
        <is>
          <t>01430</t>
        </is>
      </c>
      <c r="D2229" s="29" t="inlineStr">
        <is>
          <t>KERİM MERT SOYÖZ</t>
        </is>
      </c>
      <c r="E2229" s="4" t="inlineStr">
        <is>
          <t>Salı</t>
        </is>
      </c>
      <c r="F2229" s="4" t="inlineStr">
        <is>
          <t>20.10.2026</t>
        </is>
      </c>
      <c r="G2229" s="4" t="inlineStr">
        <is>
          <t>07:39</t>
        </is>
      </c>
      <c r="H2229" s="4" t="inlineStr">
        <is>
          <t>20.10.2026</t>
        </is>
      </c>
      <c r="I2229" s="4" t="inlineStr">
        <is>
          <t>17:02</t>
        </is>
      </c>
      <c r="J2229" s="8" t="n">
        <v>7.5</v>
      </c>
      <c r="K2229" s="8" t="n">
        <v>7.5</v>
      </c>
      <c r="L2229" s="8" t="n">
        <v>0</v>
      </c>
      <c r="M2229" s="29" t="inlineStr">
        <is>
          <t>HALİL DİĞRENCİ</t>
        </is>
      </c>
    </row>
    <row r="2230">
      <c r="A2230" s="4" t="n">
        <v>2229</v>
      </c>
      <c r="B2230" s="4" t="inlineStr">
        <is>
          <t>01430</t>
        </is>
      </c>
      <c r="C2230" s="4" t="inlineStr">
        <is>
          <t>01430</t>
        </is>
      </c>
      <c r="D2230" s="29" t="inlineStr">
        <is>
          <t>KERİM MERT SOYÖZ</t>
        </is>
      </c>
      <c r="E2230" s="4" t="inlineStr">
        <is>
          <t>Çarşamba</t>
        </is>
      </c>
      <c r="F2230" s="4" t="inlineStr">
        <is>
          <t>21.10.2026</t>
        </is>
      </c>
      <c r="G2230" s="4" t="inlineStr">
        <is>
          <t>07:48</t>
        </is>
      </c>
      <c r="H2230" s="4" t="inlineStr">
        <is>
          <t>21.10.2026</t>
        </is>
      </c>
      <c r="I2230" s="4" t="inlineStr">
        <is>
          <t>17:02</t>
        </is>
      </c>
      <c r="J2230" s="8" t="n">
        <v>7.5</v>
      </c>
      <c r="K2230" s="8" t="n">
        <v>7.5</v>
      </c>
      <c r="L2230" s="8" t="n">
        <v>0</v>
      </c>
      <c r="M2230" s="29" t="inlineStr">
        <is>
          <t>HALİL DİĞRENCİ</t>
        </is>
      </c>
    </row>
    <row r="2231">
      <c r="A2231" s="4" t="n">
        <v>2230</v>
      </c>
      <c r="B2231" s="4" t="inlineStr">
        <is>
          <t>01327</t>
        </is>
      </c>
      <c r="C2231" s="4" t="inlineStr">
        <is>
          <t>01327</t>
        </is>
      </c>
      <c r="D2231" s="29" t="inlineStr">
        <is>
          <t>KÜBÜŞRA ALTAY</t>
        </is>
      </c>
      <c r="E2231" s="4" t="inlineStr">
        <is>
          <t>Perşembe</t>
        </is>
      </c>
      <c r="F2231" s="4" t="inlineStr">
        <is>
          <t>1.10.2026</t>
        </is>
      </c>
      <c r="G2231" s="4" t="inlineStr">
        <is>
          <t>07:44</t>
        </is>
      </c>
      <c r="H2231" s="4" t="inlineStr">
        <is>
          <t>1.10.2026</t>
        </is>
      </c>
      <c r="I2231" s="4" t="inlineStr">
        <is>
          <t>17:29</t>
        </is>
      </c>
      <c r="J2231" s="8" t="n">
        <v>8</v>
      </c>
      <c r="K2231" s="8" t="n">
        <v>7.5</v>
      </c>
      <c r="L2231" s="8" t="n">
        <v>0.5</v>
      </c>
      <c r="M2231" s="29" t="inlineStr">
        <is>
          <t>BANDIRMA</t>
        </is>
      </c>
    </row>
    <row r="2232">
      <c r="A2232" s="4" t="n">
        <v>2231</v>
      </c>
      <c r="B2232" s="4" t="inlineStr">
        <is>
          <t>01327</t>
        </is>
      </c>
      <c r="C2232" s="4" t="inlineStr">
        <is>
          <t>01327</t>
        </is>
      </c>
      <c r="D2232" s="29" t="inlineStr">
        <is>
          <t>KÜBÜŞRA ALTAY</t>
        </is>
      </c>
      <c r="E2232" s="4" t="inlineStr">
        <is>
          <t>Cuma</t>
        </is>
      </c>
      <c r="F2232" s="4" t="inlineStr">
        <is>
          <t>2.10.2026</t>
        </is>
      </c>
      <c r="G2232" s="4" t="inlineStr">
        <is>
          <t>07:43</t>
        </is>
      </c>
      <c r="H2232" s="4" t="inlineStr">
        <is>
          <t>2.10.2026</t>
        </is>
      </c>
      <c r="I2232" s="4" t="inlineStr">
        <is>
          <t>17:40</t>
        </is>
      </c>
      <c r="J2232" s="8" t="n">
        <v>8</v>
      </c>
      <c r="K2232" s="8" t="n">
        <v>7.5</v>
      </c>
      <c r="L2232" s="8" t="n">
        <v>0.5</v>
      </c>
      <c r="M2232" s="29" t="inlineStr">
        <is>
          <t>BANDIRMA</t>
        </is>
      </c>
    </row>
    <row r="2233">
      <c r="A2233" s="4" t="n">
        <v>2232</v>
      </c>
      <c r="B2233" s="4" t="inlineStr">
        <is>
          <t>01327</t>
        </is>
      </c>
      <c r="C2233" s="4" t="inlineStr">
        <is>
          <t>01327</t>
        </is>
      </c>
      <c r="D2233" s="29" t="inlineStr">
        <is>
          <t>KÜBÜŞRA ALTAY</t>
        </is>
      </c>
      <c r="E2233" s="4" t="inlineStr">
        <is>
          <t>Cumartesi</t>
        </is>
      </c>
      <c r="F2233" s="4" t="inlineStr">
        <is>
          <t>3.10.2026</t>
        </is>
      </c>
      <c r="G2233" s="4" t="inlineStr">
        <is>
          <t>07:40</t>
        </is>
      </c>
      <c r="H2233" s="4" t="inlineStr">
        <is>
          <t>3.10.2026</t>
        </is>
      </c>
      <c r="I2233" s="4" t="inlineStr">
        <is>
          <t>17:33</t>
        </is>
      </c>
      <c r="J2233" s="8" t="n">
        <v>8</v>
      </c>
      <c r="K2233" s="8" t="n">
        <v>7.5</v>
      </c>
      <c r="L2233" s="8" t="n">
        <v>0.5</v>
      </c>
      <c r="M2233" s="29" t="inlineStr">
        <is>
          <t>BANDIRMA</t>
        </is>
      </c>
    </row>
    <row r="2234">
      <c r="A2234" s="4" t="n">
        <v>2233</v>
      </c>
      <c r="B2234" s="4" t="inlineStr">
        <is>
          <t>01327</t>
        </is>
      </c>
      <c r="C2234" s="4" t="inlineStr">
        <is>
          <t>01327</t>
        </is>
      </c>
      <c r="D2234" s="29" t="inlineStr">
        <is>
          <t>KÜBÜŞRA ALTAY</t>
        </is>
      </c>
      <c r="E2234" s="4" t="inlineStr">
        <is>
          <t>Pazartesi</t>
        </is>
      </c>
      <c r="F2234" s="4" t="inlineStr">
        <is>
          <t>5.10.2026</t>
        </is>
      </c>
      <c r="G2234" s="4" t="inlineStr">
        <is>
          <t>07:43</t>
        </is>
      </c>
      <c r="H2234" s="4" t="inlineStr">
        <is>
          <t>5.10.2026</t>
        </is>
      </c>
      <c r="I2234" s="4" t="inlineStr">
        <is>
          <t>17:01</t>
        </is>
      </c>
      <c r="J2234" s="8" t="n">
        <v>7.5</v>
      </c>
      <c r="K2234" s="8" t="n">
        <v>7.5</v>
      </c>
      <c r="L2234" s="8" t="n">
        <v>0</v>
      </c>
      <c r="M2234" s="29" t="inlineStr">
        <is>
          <t>BANDIRMA</t>
        </is>
      </c>
    </row>
    <row r="2235">
      <c r="A2235" s="4" t="n">
        <v>2234</v>
      </c>
      <c r="B2235" s="4" t="inlineStr">
        <is>
          <t>01327</t>
        </is>
      </c>
      <c r="C2235" s="4" t="inlineStr">
        <is>
          <t>01327</t>
        </is>
      </c>
      <c r="D2235" s="29" t="inlineStr">
        <is>
          <t>KÜBÜŞRA ALTAY</t>
        </is>
      </c>
      <c r="E2235" s="4" t="inlineStr">
        <is>
          <t>Salı</t>
        </is>
      </c>
      <c r="F2235" s="4" t="inlineStr">
        <is>
          <t>6.10.2026</t>
        </is>
      </c>
      <c r="G2235" s="4" t="inlineStr">
        <is>
          <t>07:42</t>
        </is>
      </c>
      <c r="H2235" s="4" t="inlineStr">
        <is>
          <t>6.10.2026</t>
        </is>
      </c>
      <c r="I2235" s="4" t="inlineStr">
        <is>
          <t>17:37</t>
        </is>
      </c>
      <c r="J2235" s="8" t="n">
        <v>8</v>
      </c>
      <c r="K2235" s="8" t="n">
        <v>7.5</v>
      </c>
      <c r="L2235" s="8" t="n">
        <v>0.5</v>
      </c>
      <c r="M2235" s="29" t="inlineStr">
        <is>
          <t>BANDIRMA</t>
        </is>
      </c>
    </row>
    <row r="2236">
      <c r="A2236" s="4" t="n">
        <v>2235</v>
      </c>
      <c r="B2236" s="4" t="inlineStr">
        <is>
          <t>01327</t>
        </is>
      </c>
      <c r="C2236" s="4" t="inlineStr">
        <is>
          <t>01327</t>
        </is>
      </c>
      <c r="D2236" s="29" t="inlineStr">
        <is>
          <t>KÜBÜŞRA ALTAY</t>
        </is>
      </c>
      <c r="E2236" s="4" t="inlineStr">
        <is>
          <t>Perşembe</t>
        </is>
      </c>
      <c r="F2236" s="4" t="inlineStr">
        <is>
          <t>8.10.2026</t>
        </is>
      </c>
      <c r="G2236" s="4" t="inlineStr">
        <is>
          <t>07:44</t>
        </is>
      </c>
      <c r="H2236" s="4" t="inlineStr">
        <is>
          <t>8.10.2026</t>
        </is>
      </c>
      <c r="I2236" s="4" t="inlineStr">
        <is>
          <t>17:30</t>
        </is>
      </c>
      <c r="J2236" s="8" t="n">
        <v>8</v>
      </c>
      <c r="K2236" s="8" t="n">
        <v>7.5</v>
      </c>
      <c r="L2236" s="8" t="n">
        <v>0.5</v>
      </c>
      <c r="M2236" s="29" t="inlineStr">
        <is>
          <t>BANDIRMA</t>
        </is>
      </c>
    </row>
    <row r="2237">
      <c r="A2237" s="4" t="n">
        <v>2236</v>
      </c>
      <c r="B2237" s="4" t="inlineStr">
        <is>
          <t>01327</t>
        </is>
      </c>
      <c r="C2237" s="4" t="inlineStr">
        <is>
          <t>01327</t>
        </is>
      </c>
      <c r="D2237" s="29" t="inlineStr">
        <is>
          <t>KÜBÜŞRA ALTAY</t>
        </is>
      </c>
      <c r="E2237" s="4" t="inlineStr">
        <is>
          <t>Cuma</t>
        </is>
      </c>
      <c r="F2237" s="4" t="inlineStr">
        <is>
          <t>9.10.2026</t>
        </is>
      </c>
      <c r="G2237" s="4" t="inlineStr">
        <is>
          <t>07:41</t>
        </is>
      </c>
      <c r="H2237" s="4" t="inlineStr">
        <is>
          <t>9.10.2026</t>
        </is>
      </c>
      <c r="I2237" s="4" t="inlineStr">
        <is>
          <t>17:46</t>
        </is>
      </c>
      <c r="J2237" s="8" t="n">
        <v>8.5</v>
      </c>
      <c r="K2237" s="8" t="n">
        <v>7.5</v>
      </c>
      <c r="L2237" s="8" t="n">
        <v>1</v>
      </c>
      <c r="M2237" s="29" t="inlineStr">
        <is>
          <t>BANDIRMA</t>
        </is>
      </c>
    </row>
    <row r="2238">
      <c r="A2238" s="4" t="n">
        <v>2237</v>
      </c>
      <c r="B2238" s="4" t="inlineStr">
        <is>
          <t>01327</t>
        </is>
      </c>
      <c r="C2238" s="4" t="inlineStr">
        <is>
          <t>01327</t>
        </is>
      </c>
      <c r="D2238" s="29" t="inlineStr">
        <is>
          <t>KÜBÜŞRA ALTAY</t>
        </is>
      </c>
      <c r="E2238" s="4" t="inlineStr">
        <is>
          <t>Cumartesi</t>
        </is>
      </c>
      <c r="F2238" s="4" t="inlineStr">
        <is>
          <t>10.10.2026</t>
        </is>
      </c>
      <c r="G2238" s="4" t="inlineStr">
        <is>
          <t>07:41</t>
        </is>
      </c>
      <c r="H2238" s="4" t="inlineStr">
        <is>
          <t>10.10.2026</t>
        </is>
      </c>
      <c r="I2238" s="4" t="inlineStr">
        <is>
          <t>18:09</t>
        </is>
      </c>
      <c r="J2238" s="8" t="n">
        <v>8.5</v>
      </c>
      <c r="K2238" s="8" t="n">
        <v>7.5</v>
      </c>
      <c r="L2238" s="8" t="n">
        <v>1</v>
      </c>
      <c r="M2238" s="29" t="inlineStr">
        <is>
          <t>BANDIRMA</t>
        </is>
      </c>
    </row>
    <row r="2239">
      <c r="A2239" s="4" t="n">
        <v>2238</v>
      </c>
      <c r="B2239" s="4" t="inlineStr">
        <is>
          <t>01327</t>
        </is>
      </c>
      <c r="C2239" s="4" t="inlineStr">
        <is>
          <t>01327</t>
        </is>
      </c>
      <c r="D2239" s="29" t="inlineStr">
        <is>
          <t>KÜBÜŞRA ALTAY</t>
        </is>
      </c>
      <c r="E2239" s="4" t="inlineStr">
        <is>
          <t>Pazartesi</t>
        </is>
      </c>
      <c r="F2239" s="4" t="inlineStr">
        <is>
          <t>12.10.2026</t>
        </is>
      </c>
      <c r="G2239" s="4" t="inlineStr">
        <is>
          <t>07:45</t>
        </is>
      </c>
      <c r="H2239" s="4" t="inlineStr">
        <is>
          <t>12.10.2026</t>
        </is>
      </c>
      <c r="I2239" s="4" t="inlineStr">
        <is>
          <t>17:02</t>
        </is>
      </c>
      <c r="J2239" s="8" t="n">
        <v>7.5</v>
      </c>
      <c r="K2239" s="8" t="n">
        <v>7.5</v>
      </c>
      <c r="L2239" s="8" t="n">
        <v>0</v>
      </c>
      <c r="M2239" s="29" t="inlineStr">
        <is>
          <t>BANDIRMA</t>
        </is>
      </c>
    </row>
    <row r="2240">
      <c r="A2240" s="4" t="n">
        <v>2239</v>
      </c>
      <c r="B2240" s="4" t="inlineStr">
        <is>
          <t>01327</t>
        </is>
      </c>
      <c r="C2240" s="4" t="inlineStr">
        <is>
          <t>01327</t>
        </is>
      </c>
      <c r="D2240" s="29" t="inlineStr">
        <is>
          <t>KÜBÜŞRA ALTAY</t>
        </is>
      </c>
      <c r="E2240" s="4" t="inlineStr">
        <is>
          <t>Salı</t>
        </is>
      </c>
      <c r="F2240" s="4" t="inlineStr">
        <is>
          <t>13.10.2026</t>
        </is>
      </c>
      <c r="G2240" s="4" t="inlineStr">
        <is>
          <t>07:44</t>
        </is>
      </c>
      <c r="H2240" s="4" t="inlineStr">
        <is>
          <t>13.10.2026</t>
        </is>
      </c>
      <c r="I2240" s="4" t="inlineStr">
        <is>
          <t>16:59</t>
        </is>
      </c>
      <c r="J2240" s="8" t="n">
        <v>7.5</v>
      </c>
      <c r="K2240" s="8" t="n">
        <v>7.5</v>
      </c>
      <c r="L2240" s="8" t="n">
        <v>0</v>
      </c>
      <c r="M2240" s="29" t="inlineStr">
        <is>
          <t>BANDIRMA</t>
        </is>
      </c>
    </row>
    <row r="2241">
      <c r="A2241" s="4" t="n">
        <v>2240</v>
      </c>
      <c r="B2241" s="4" t="inlineStr">
        <is>
          <t>01327</t>
        </is>
      </c>
      <c r="C2241" s="4" t="inlineStr">
        <is>
          <t>01327</t>
        </is>
      </c>
      <c r="D2241" s="29" t="inlineStr">
        <is>
          <t>KÜBÜŞRA ALTAY</t>
        </is>
      </c>
      <c r="E2241" s="4" t="inlineStr">
        <is>
          <t>Çarşamba</t>
        </is>
      </c>
      <c r="F2241" s="4" t="inlineStr">
        <is>
          <t>14.10.2026</t>
        </is>
      </c>
      <c r="G2241" s="4" t="inlineStr">
        <is>
          <t>07:46</t>
        </is>
      </c>
      <c r="H2241" s="4" t="inlineStr">
        <is>
          <t>14.10.2026</t>
        </is>
      </c>
      <c r="I2241" s="4" t="inlineStr">
        <is>
          <t>18:03</t>
        </is>
      </c>
      <c r="J2241" s="8" t="n">
        <v>8.5</v>
      </c>
      <c r="K2241" s="8" t="n">
        <v>7.5</v>
      </c>
      <c r="L2241" s="8" t="n">
        <v>1</v>
      </c>
      <c r="M2241" s="29" t="inlineStr">
        <is>
          <t>BANDIRMA</t>
        </is>
      </c>
    </row>
    <row r="2242">
      <c r="A2242" s="4" t="n">
        <v>2241</v>
      </c>
      <c r="B2242" s="4" t="inlineStr">
        <is>
          <t>00199</t>
        </is>
      </c>
      <c r="C2242" s="4" t="inlineStr">
        <is>
          <t>00199</t>
        </is>
      </c>
      <c r="D2242" s="29" t="inlineStr">
        <is>
          <t>KÜRŞAT TÜRKAN</t>
        </is>
      </c>
      <c r="E2242" s="4" t="inlineStr">
        <is>
          <t>Perşembe</t>
        </is>
      </c>
      <c r="F2242" s="4" t="inlineStr">
        <is>
          <t>1.10.2026</t>
        </is>
      </c>
      <c r="G2242" s="4" t="inlineStr">
        <is>
          <t>08:02</t>
        </is>
      </c>
      <c r="H2242" s="4" t="inlineStr">
        <is>
          <t>1.10.2026</t>
        </is>
      </c>
      <c r="I2242" s="4" t="inlineStr">
        <is>
          <t>18:25</t>
        </is>
      </c>
      <c r="J2242" s="8" t="n">
        <v>9</v>
      </c>
      <c r="K2242" s="8" t="n">
        <v>7.5</v>
      </c>
      <c r="L2242" s="8" t="n">
        <v>1.5</v>
      </c>
      <c r="M2242" s="29" t="inlineStr">
        <is>
          <t>KARACABEY</t>
        </is>
      </c>
    </row>
    <row r="2243">
      <c r="A2243" s="4" t="n">
        <v>2242</v>
      </c>
      <c r="B2243" s="4" t="inlineStr">
        <is>
          <t>00199</t>
        </is>
      </c>
      <c r="C2243" s="4" t="inlineStr">
        <is>
          <t>00199</t>
        </is>
      </c>
      <c r="D2243" s="29" t="inlineStr">
        <is>
          <t>KÜRŞAT TÜRKAN</t>
        </is>
      </c>
      <c r="E2243" s="4" t="inlineStr">
        <is>
          <t>Cuma</t>
        </is>
      </c>
      <c r="F2243" s="4" t="inlineStr">
        <is>
          <t>2.10.2026</t>
        </is>
      </c>
      <c r="G2243" s="4" t="inlineStr">
        <is>
          <t>08:01</t>
        </is>
      </c>
      <c r="H2243" s="4" t="inlineStr">
        <is>
          <t>2.10.2026</t>
        </is>
      </c>
      <c r="I2243" s="4" t="inlineStr">
        <is>
          <t>17:32</t>
        </is>
      </c>
      <c r="J2243" s="8" t="n">
        <v>8</v>
      </c>
      <c r="K2243" s="8" t="n">
        <v>7.5</v>
      </c>
      <c r="L2243" s="8" t="n">
        <v>0.5</v>
      </c>
      <c r="M2243" s="29" t="inlineStr">
        <is>
          <t>KARACABEY</t>
        </is>
      </c>
    </row>
    <row r="2244">
      <c r="A2244" s="4" t="n">
        <v>2243</v>
      </c>
      <c r="B2244" s="4" t="inlineStr">
        <is>
          <t>00199</t>
        </is>
      </c>
      <c r="C2244" s="4" t="inlineStr">
        <is>
          <t>00199</t>
        </is>
      </c>
      <c r="D2244" s="29" t="inlineStr">
        <is>
          <t>KÜRŞAT TÜRKAN</t>
        </is>
      </c>
      <c r="E2244" s="4" t="inlineStr">
        <is>
          <t>Cumartesi</t>
        </is>
      </c>
      <c r="F2244" s="4" t="inlineStr">
        <is>
          <t>3.10.2026</t>
        </is>
      </c>
      <c r="G2244" s="4" t="inlineStr">
        <is>
          <t>09:04</t>
        </is>
      </c>
      <c r="H2244" s="4" t="inlineStr">
        <is>
          <t>3.10.2026</t>
        </is>
      </c>
      <c r="I2244" s="4" t="inlineStr">
        <is>
          <t>17:55</t>
        </is>
      </c>
      <c r="J2244" s="8" t="n">
        <v>7.5</v>
      </c>
      <c r="K2244" s="8" t="n">
        <v>6.5</v>
      </c>
      <c r="L2244" s="8" t="n">
        <v>1</v>
      </c>
      <c r="M2244" s="29" t="inlineStr">
        <is>
          <t>KARACABEY</t>
        </is>
      </c>
    </row>
    <row r="2245">
      <c r="A2245" s="4" t="n">
        <v>2244</v>
      </c>
      <c r="B2245" s="4" t="inlineStr">
        <is>
          <t>00199</t>
        </is>
      </c>
      <c r="C2245" s="4" t="inlineStr">
        <is>
          <t>00199</t>
        </is>
      </c>
      <c r="D2245" s="29" t="inlineStr">
        <is>
          <t>KÜRŞAT TÜRKAN</t>
        </is>
      </c>
      <c r="E2245" s="4" t="inlineStr">
        <is>
          <t>Pazar</t>
        </is>
      </c>
      <c r="F2245" s="4" t="inlineStr">
        <is>
          <t>4.10.2026</t>
        </is>
      </c>
      <c r="G2245" s="4" t="inlineStr">
        <is>
          <t>08:26</t>
        </is>
      </c>
      <c r="H2245" s="4" t="inlineStr">
        <is>
          <t>4.10.2026</t>
        </is>
      </c>
      <c r="I2245" s="4" t="inlineStr">
        <is>
          <t>15:34</t>
        </is>
      </c>
      <c r="J2245" s="8" t="n">
        <v>5.5</v>
      </c>
      <c r="K2245" s="8" t="n">
        <v>5.5</v>
      </c>
      <c r="L2245" s="8" t="n">
        <v>0</v>
      </c>
      <c r="M2245" s="29" t="inlineStr">
        <is>
          <t>KARACABEY</t>
        </is>
      </c>
    </row>
    <row r="2246">
      <c r="A2246" s="4" t="n">
        <v>2245</v>
      </c>
      <c r="B2246" s="4" t="inlineStr">
        <is>
          <t>00199</t>
        </is>
      </c>
      <c r="C2246" s="4" t="inlineStr">
        <is>
          <t>00199</t>
        </is>
      </c>
      <c r="D2246" s="29" t="inlineStr">
        <is>
          <t>KÜRŞAT TÜRKAN</t>
        </is>
      </c>
      <c r="E2246" s="4" t="inlineStr">
        <is>
          <t>Pazartesi</t>
        </is>
      </c>
      <c r="F2246" s="4" t="inlineStr">
        <is>
          <t>5.10.2026</t>
        </is>
      </c>
      <c r="G2246" s="4" t="inlineStr">
        <is>
          <t>08:14</t>
        </is>
      </c>
      <c r="H2246" s="4" t="inlineStr">
        <is>
          <t>5.10.2026</t>
        </is>
      </c>
      <c r="I2246" s="4" t="inlineStr">
        <is>
          <t>18:37</t>
        </is>
      </c>
      <c r="J2246" s="8" t="n">
        <v>9</v>
      </c>
      <c r="K2246" s="8" t="n">
        <v>7.5</v>
      </c>
      <c r="L2246" s="8" t="n">
        <v>1.5</v>
      </c>
      <c r="M2246" s="29" t="inlineStr">
        <is>
          <t>KARACABEY</t>
        </is>
      </c>
    </row>
    <row r="2247">
      <c r="A2247" s="4" t="n">
        <v>2246</v>
      </c>
      <c r="B2247" s="4" t="inlineStr">
        <is>
          <t>00199</t>
        </is>
      </c>
      <c r="C2247" s="4" t="inlineStr">
        <is>
          <t>00199</t>
        </is>
      </c>
      <c r="D2247" s="29" t="inlineStr">
        <is>
          <t>KÜRŞAT TÜRKAN</t>
        </is>
      </c>
      <c r="E2247" s="4" t="inlineStr">
        <is>
          <t>Salı</t>
        </is>
      </c>
      <c r="F2247" s="4" t="inlineStr">
        <is>
          <t>6.10.2026</t>
        </is>
      </c>
      <c r="G2247" s="4" t="inlineStr">
        <is>
          <t>08:06</t>
        </is>
      </c>
      <c r="H2247" s="4" t="inlineStr">
        <is>
          <t>6.10.2026</t>
        </is>
      </c>
      <c r="I2247" s="4" t="inlineStr">
        <is>
          <t>17:42</t>
        </is>
      </c>
      <c r="J2247" s="8" t="n">
        <v>8</v>
      </c>
      <c r="K2247" s="8" t="n">
        <v>7.5</v>
      </c>
      <c r="L2247" s="8" t="n">
        <v>0.5</v>
      </c>
      <c r="M2247" s="29" t="inlineStr">
        <is>
          <t>KARACABEY</t>
        </is>
      </c>
    </row>
    <row r="2248">
      <c r="A2248" s="4" t="n">
        <v>2247</v>
      </c>
      <c r="B2248" s="4" t="inlineStr">
        <is>
          <t>00199</t>
        </is>
      </c>
      <c r="C2248" s="4" t="inlineStr">
        <is>
          <t>00199</t>
        </is>
      </c>
      <c r="D2248" s="29" t="inlineStr">
        <is>
          <t>KÜRŞAT TÜRKAN</t>
        </is>
      </c>
      <c r="E2248" s="4" t="inlineStr">
        <is>
          <t>Çarşamba</t>
        </is>
      </c>
      <c r="F2248" s="4" t="inlineStr">
        <is>
          <t>7.10.2026</t>
        </is>
      </c>
      <c r="G2248" s="4" t="inlineStr">
        <is>
          <t>08:12</t>
        </is>
      </c>
      <c r="H2248" s="4" t="inlineStr">
        <is>
          <t>7.10.2026</t>
        </is>
      </c>
      <c r="I2248" s="4" t="inlineStr">
        <is>
          <t>18:45</t>
        </is>
      </c>
      <c r="J2248" s="8" t="n">
        <v>9.5</v>
      </c>
      <c r="K2248" s="8" t="n">
        <v>7.5</v>
      </c>
      <c r="L2248" s="8" t="n">
        <v>2</v>
      </c>
      <c r="M2248" s="29" t="inlineStr">
        <is>
          <t>KARACABEY</t>
        </is>
      </c>
    </row>
    <row r="2249">
      <c r="A2249" s="4" t="n">
        <v>2248</v>
      </c>
      <c r="B2249" s="4" t="inlineStr">
        <is>
          <t>00199</t>
        </is>
      </c>
      <c r="C2249" s="4" t="inlineStr">
        <is>
          <t>00199</t>
        </is>
      </c>
      <c r="D2249" s="29" t="inlineStr">
        <is>
          <t>KÜRŞAT TÜRKAN</t>
        </is>
      </c>
      <c r="E2249" s="4" t="inlineStr">
        <is>
          <t>Perşembe</t>
        </is>
      </c>
      <c r="F2249" s="4" t="inlineStr">
        <is>
          <t>8.10.2026</t>
        </is>
      </c>
      <c r="G2249" s="4" t="inlineStr">
        <is>
          <t>07:59</t>
        </is>
      </c>
      <c r="H2249" s="4" t="inlineStr">
        <is>
          <t>8.10.2026</t>
        </is>
      </c>
      <c r="I2249" s="4" t="inlineStr">
        <is>
          <t>18:30</t>
        </is>
      </c>
      <c r="J2249" s="8" t="n">
        <v>9</v>
      </c>
      <c r="K2249" s="8" t="n">
        <v>7.5</v>
      </c>
      <c r="L2249" s="8" t="n">
        <v>1.5</v>
      </c>
      <c r="M2249" s="29" t="inlineStr">
        <is>
          <t>KARACABEY</t>
        </is>
      </c>
    </row>
    <row r="2250">
      <c r="A2250" s="4" t="n">
        <v>2249</v>
      </c>
      <c r="B2250" s="4" t="inlineStr">
        <is>
          <t>00199</t>
        </is>
      </c>
      <c r="C2250" s="4" t="inlineStr">
        <is>
          <t>00199</t>
        </is>
      </c>
      <c r="D2250" s="29" t="inlineStr">
        <is>
          <t>KÜRŞAT TÜRKAN</t>
        </is>
      </c>
      <c r="E2250" s="4" t="inlineStr">
        <is>
          <t>Cuma</t>
        </is>
      </c>
      <c r="F2250" s="4" t="inlineStr">
        <is>
          <t>9.10.2026</t>
        </is>
      </c>
      <c r="G2250" s="4" t="inlineStr">
        <is>
          <t>08:10</t>
        </is>
      </c>
      <c r="H2250" s="4" t="inlineStr">
        <is>
          <t>9.10.2026</t>
        </is>
      </c>
      <c r="I2250" s="4" t="inlineStr">
        <is>
          <t>18:43</t>
        </is>
      </c>
      <c r="J2250" s="8" t="n">
        <v>9</v>
      </c>
      <c r="K2250" s="8" t="n">
        <v>7.5</v>
      </c>
      <c r="L2250" s="8" t="n">
        <v>1.5</v>
      </c>
      <c r="M2250" s="29" t="inlineStr">
        <is>
          <t>KARACABEY</t>
        </is>
      </c>
    </row>
    <row r="2251">
      <c r="A2251" s="4" t="n">
        <v>2250</v>
      </c>
      <c r="B2251" s="4" t="inlineStr">
        <is>
          <t>00199</t>
        </is>
      </c>
      <c r="C2251" s="4" t="inlineStr">
        <is>
          <t>00199</t>
        </is>
      </c>
      <c r="D2251" s="29" t="inlineStr">
        <is>
          <t>KÜRŞAT TÜRKAN</t>
        </is>
      </c>
      <c r="E2251" s="4" t="inlineStr">
        <is>
          <t>Cumartesi</t>
        </is>
      </c>
      <c r="F2251" s="4" t="inlineStr">
        <is>
          <t>10.10.2026</t>
        </is>
      </c>
      <c r="G2251" s="4" t="inlineStr">
        <is>
          <t>08:17</t>
        </is>
      </c>
      <c r="H2251" s="4" t="inlineStr">
        <is>
          <t>10.10.2026</t>
        </is>
      </c>
      <c r="I2251" s="4" t="inlineStr">
        <is>
          <t>18:07</t>
        </is>
      </c>
      <c r="J2251" s="8" t="n">
        <v>8.5</v>
      </c>
      <c r="K2251" s="8" t="n">
        <v>7.5</v>
      </c>
      <c r="L2251" s="8" t="n">
        <v>1</v>
      </c>
      <c r="M2251" s="29" t="inlineStr">
        <is>
          <t>KARACABEY</t>
        </is>
      </c>
    </row>
    <row r="2252">
      <c r="A2252" s="4" t="n">
        <v>2251</v>
      </c>
      <c r="B2252" s="4" t="inlineStr">
        <is>
          <t>00199</t>
        </is>
      </c>
      <c r="C2252" s="4" t="inlineStr">
        <is>
          <t>00199</t>
        </is>
      </c>
      <c r="D2252" s="29" t="inlineStr">
        <is>
          <t>KÜRŞAT TÜRKAN</t>
        </is>
      </c>
      <c r="E2252" s="4" t="inlineStr">
        <is>
          <t>Pazar</t>
        </is>
      </c>
      <c r="F2252" s="4" t="inlineStr">
        <is>
          <t>11.10.2026</t>
        </is>
      </c>
      <c r="G2252" s="4" t="inlineStr">
        <is>
          <t>08:25</t>
        </is>
      </c>
      <c r="H2252" s="4" t="inlineStr">
        <is>
          <t>11.10.2026</t>
        </is>
      </c>
      <c r="I2252" s="4" t="inlineStr">
        <is>
          <t>-</t>
        </is>
      </c>
      <c r="J2252" s="8" t="n">
        <v>7.5</v>
      </c>
      <c r="K2252" s="8" t="n">
        <v>7.5</v>
      </c>
      <c r="L2252" s="8" t="n">
        <v>0</v>
      </c>
      <c r="M2252" s="29" t="inlineStr">
        <is>
          <t>KARACABEY</t>
        </is>
      </c>
    </row>
    <row r="2253">
      <c r="A2253" s="4" t="n">
        <v>2252</v>
      </c>
      <c r="B2253" s="4" t="inlineStr">
        <is>
          <t>00199</t>
        </is>
      </c>
      <c r="C2253" s="4" t="inlineStr">
        <is>
          <t>00199</t>
        </is>
      </c>
      <c r="D2253" s="29" t="inlineStr">
        <is>
          <t>KÜRŞAT TÜRKAN</t>
        </is>
      </c>
      <c r="E2253" s="4" t="inlineStr">
        <is>
          <t>Pazartesi</t>
        </is>
      </c>
      <c r="F2253" s="4" t="inlineStr">
        <is>
          <t>12.10.2026</t>
        </is>
      </c>
      <c r="G2253" s="4" t="inlineStr">
        <is>
          <t>07:57</t>
        </is>
      </c>
      <c r="H2253" s="4" t="inlineStr">
        <is>
          <t>12.10.2026</t>
        </is>
      </c>
      <c r="I2253" s="4" t="inlineStr">
        <is>
          <t>18:44</t>
        </is>
      </c>
      <c r="J2253" s="8" t="n">
        <v>9</v>
      </c>
      <c r="K2253" s="8" t="n">
        <v>7.5</v>
      </c>
      <c r="L2253" s="8" t="n">
        <v>1.5</v>
      </c>
      <c r="M2253" s="29" t="inlineStr">
        <is>
          <t>KARACABEY</t>
        </is>
      </c>
    </row>
    <row r="2254">
      <c r="A2254" s="4" t="n">
        <v>2253</v>
      </c>
      <c r="B2254" s="4" t="inlineStr">
        <is>
          <t>00199</t>
        </is>
      </c>
      <c r="C2254" s="4" t="inlineStr">
        <is>
          <t>00199</t>
        </is>
      </c>
      <c r="D2254" s="29" t="inlineStr">
        <is>
          <t>KÜRŞAT TÜRKAN</t>
        </is>
      </c>
      <c r="E2254" s="4" t="inlineStr">
        <is>
          <t>Salı</t>
        </is>
      </c>
      <c r="F2254" s="4" t="inlineStr">
        <is>
          <t>13.10.2026</t>
        </is>
      </c>
      <c r="G2254" s="4" t="inlineStr">
        <is>
          <t>08:02</t>
        </is>
      </c>
      <c r="H2254" s="4" t="inlineStr">
        <is>
          <t>13.10.2026</t>
        </is>
      </c>
      <c r="I2254" s="4" t="inlineStr">
        <is>
          <t>18:04</t>
        </is>
      </c>
      <c r="J2254" s="8" t="n">
        <v>8.5</v>
      </c>
      <c r="K2254" s="8" t="n">
        <v>7.5</v>
      </c>
      <c r="L2254" s="8" t="n">
        <v>1</v>
      </c>
      <c r="M2254" s="29" t="inlineStr">
        <is>
          <t>KARACABEY</t>
        </is>
      </c>
    </row>
    <row r="2255">
      <c r="A2255" s="4" t="n">
        <v>2254</v>
      </c>
      <c r="B2255" s="4" t="inlineStr">
        <is>
          <t>00199</t>
        </is>
      </c>
      <c r="C2255" s="4" t="inlineStr">
        <is>
          <t>00199</t>
        </is>
      </c>
      <c r="D2255" s="29" t="inlineStr">
        <is>
          <t>KÜRŞAT TÜRKAN</t>
        </is>
      </c>
      <c r="E2255" s="4" t="inlineStr">
        <is>
          <t>Çarşamba</t>
        </is>
      </c>
      <c r="F2255" s="4" t="inlineStr">
        <is>
          <t>14.10.2026</t>
        </is>
      </c>
      <c r="G2255" s="4" t="inlineStr">
        <is>
          <t>08:13</t>
        </is>
      </c>
      <c r="H2255" s="4" t="inlineStr">
        <is>
          <t>14.10.2026</t>
        </is>
      </c>
      <c r="I2255" s="4" t="inlineStr">
        <is>
          <t>18:03</t>
        </is>
      </c>
      <c r="J2255" s="8" t="n">
        <v>8.5</v>
      </c>
      <c r="K2255" s="8" t="n">
        <v>7.5</v>
      </c>
      <c r="L2255" s="8" t="n">
        <v>1</v>
      </c>
      <c r="M2255" s="29" t="inlineStr">
        <is>
          <t>KARACABEY</t>
        </is>
      </c>
    </row>
    <row r="2256">
      <c r="A2256" s="4" t="n">
        <v>2255</v>
      </c>
      <c r="B2256" s="4" t="inlineStr">
        <is>
          <t>00199</t>
        </is>
      </c>
      <c r="C2256" s="4" t="inlineStr">
        <is>
          <t>00199</t>
        </is>
      </c>
      <c r="D2256" s="29" t="inlineStr">
        <is>
          <t>KÜRŞAT TÜRKAN</t>
        </is>
      </c>
      <c r="E2256" s="4" t="inlineStr">
        <is>
          <t>Perşembe</t>
        </is>
      </c>
      <c r="F2256" s="4" t="inlineStr">
        <is>
          <t>15.10.2026</t>
        </is>
      </c>
      <c r="G2256" s="4" t="inlineStr">
        <is>
          <t>07:59</t>
        </is>
      </c>
      <c r="H2256" s="4" t="inlineStr">
        <is>
          <t>15.10.2026</t>
        </is>
      </c>
      <c r="I2256" s="4" t="inlineStr">
        <is>
          <t>18:00</t>
        </is>
      </c>
      <c r="J2256" s="8" t="n">
        <v>8.5</v>
      </c>
      <c r="K2256" s="8" t="n">
        <v>7.5</v>
      </c>
      <c r="L2256" s="8" t="n">
        <v>1</v>
      </c>
      <c r="M2256" s="29" t="inlineStr">
        <is>
          <t>KARACABEY</t>
        </is>
      </c>
    </row>
    <row r="2257">
      <c r="A2257" s="4" t="n">
        <v>2256</v>
      </c>
      <c r="B2257" s="4" t="inlineStr">
        <is>
          <t>00199</t>
        </is>
      </c>
      <c r="C2257" s="4" t="inlineStr">
        <is>
          <t>00199</t>
        </is>
      </c>
      <c r="D2257" s="29" t="inlineStr">
        <is>
          <t>KÜRŞAT TÜRKAN</t>
        </is>
      </c>
      <c r="E2257" s="4" t="inlineStr">
        <is>
          <t>Cuma</t>
        </is>
      </c>
      <c r="F2257" s="4" t="inlineStr">
        <is>
          <t>16.10.2026</t>
        </is>
      </c>
      <c r="G2257" s="4" t="inlineStr">
        <is>
          <t>08:00</t>
        </is>
      </c>
      <c r="H2257" s="4" t="inlineStr">
        <is>
          <t>16.10.2026</t>
        </is>
      </c>
      <c r="I2257" s="4" t="inlineStr">
        <is>
          <t>18:39</t>
        </is>
      </c>
      <c r="J2257" s="8" t="n">
        <v>9</v>
      </c>
      <c r="K2257" s="8" t="n">
        <v>7.5</v>
      </c>
      <c r="L2257" s="8" t="n">
        <v>1.5</v>
      </c>
      <c r="M2257" s="29" t="inlineStr">
        <is>
          <t>KARACABEY</t>
        </is>
      </c>
    </row>
    <row r="2258">
      <c r="A2258" s="4" t="n">
        <v>2257</v>
      </c>
      <c r="B2258" s="4" t="inlineStr">
        <is>
          <t>00199</t>
        </is>
      </c>
      <c r="C2258" s="4" t="inlineStr">
        <is>
          <t>00199</t>
        </is>
      </c>
      <c r="D2258" s="29" t="inlineStr">
        <is>
          <t>KÜRŞAT TÜRKAN</t>
        </is>
      </c>
      <c r="E2258" s="4" t="inlineStr">
        <is>
          <t>Cumartesi</t>
        </is>
      </c>
      <c r="F2258" s="4" t="inlineStr">
        <is>
          <t>17.10.2026</t>
        </is>
      </c>
      <c r="G2258" s="4" t="inlineStr">
        <is>
          <t>07:59</t>
        </is>
      </c>
      <c r="H2258" s="4" t="inlineStr">
        <is>
          <t>17.10.2026</t>
        </is>
      </c>
      <c r="I2258" s="4" t="inlineStr">
        <is>
          <t>-</t>
        </is>
      </c>
      <c r="J2258" s="8" t="n">
        <v>7.5</v>
      </c>
      <c r="K2258" s="8" t="n">
        <v>7.5</v>
      </c>
      <c r="L2258" s="8" t="n">
        <v>0</v>
      </c>
      <c r="M2258" s="29" t="inlineStr">
        <is>
          <t>KARACABEY</t>
        </is>
      </c>
    </row>
    <row r="2259">
      <c r="A2259" s="4" t="n">
        <v>2258</v>
      </c>
      <c r="B2259" s="4" t="inlineStr">
        <is>
          <t>00199</t>
        </is>
      </c>
      <c r="C2259" s="4" t="inlineStr">
        <is>
          <t>00199</t>
        </is>
      </c>
      <c r="D2259" s="29" t="inlineStr">
        <is>
          <t>KÜRŞAT TÜRKAN</t>
        </is>
      </c>
      <c r="E2259" s="4" t="inlineStr">
        <is>
          <t>Pazar</t>
        </is>
      </c>
      <c r="F2259" s="4" t="inlineStr">
        <is>
          <t>18.10.2026</t>
        </is>
      </c>
      <c r="G2259" s="4" t="inlineStr">
        <is>
          <t>08:22</t>
        </is>
      </c>
      <c r="H2259" s="4" t="inlineStr">
        <is>
          <t>18.10.2026</t>
        </is>
      </c>
      <c r="I2259" s="4" t="inlineStr">
        <is>
          <t>17:49</t>
        </is>
      </c>
      <c r="J2259" s="8" t="n">
        <v>8</v>
      </c>
      <c r="K2259" s="8" t="n">
        <v>7</v>
      </c>
      <c r="L2259" s="8" t="n">
        <v>1</v>
      </c>
      <c r="M2259" s="29" t="inlineStr">
        <is>
          <t>KARACABEY</t>
        </is>
      </c>
    </row>
    <row r="2260">
      <c r="A2260" s="4" t="n">
        <v>2259</v>
      </c>
      <c r="B2260" s="4" t="inlineStr">
        <is>
          <t>00199</t>
        </is>
      </c>
      <c r="C2260" s="4" t="inlineStr">
        <is>
          <t>00199</t>
        </is>
      </c>
      <c r="D2260" s="29" t="inlineStr">
        <is>
          <t>KÜRŞAT TÜRKAN</t>
        </is>
      </c>
      <c r="E2260" s="4" t="inlineStr">
        <is>
          <t>Pazartesi</t>
        </is>
      </c>
      <c r="F2260" s="4" t="inlineStr">
        <is>
          <t>19.10.2026</t>
        </is>
      </c>
      <c r="G2260" s="4" t="inlineStr">
        <is>
          <t>08:03</t>
        </is>
      </c>
      <c r="H2260" s="4" t="inlineStr">
        <is>
          <t>19.10.2026</t>
        </is>
      </c>
      <c r="I2260" s="4" t="inlineStr">
        <is>
          <t>17:57</t>
        </is>
      </c>
      <c r="J2260" s="8" t="n">
        <v>8.5</v>
      </c>
      <c r="K2260" s="8" t="n">
        <v>7.5</v>
      </c>
      <c r="L2260" s="8" t="n">
        <v>1</v>
      </c>
      <c r="M2260" s="29" t="inlineStr">
        <is>
          <t>KARACABEY</t>
        </is>
      </c>
    </row>
    <row r="2261">
      <c r="A2261" s="4" t="n">
        <v>2260</v>
      </c>
      <c r="B2261" s="4" t="inlineStr">
        <is>
          <t>00199</t>
        </is>
      </c>
      <c r="C2261" s="4" t="inlineStr">
        <is>
          <t>00199</t>
        </is>
      </c>
      <c r="D2261" s="29" t="inlineStr">
        <is>
          <t>KÜRŞAT TÜRKAN</t>
        </is>
      </c>
      <c r="E2261" s="4" t="inlineStr">
        <is>
          <t>Salı</t>
        </is>
      </c>
      <c r="F2261" s="4" t="inlineStr">
        <is>
          <t>20.10.2026</t>
        </is>
      </c>
      <c r="G2261" s="4" t="inlineStr">
        <is>
          <t>07:57</t>
        </is>
      </c>
      <c r="H2261" s="4" t="inlineStr">
        <is>
          <t>20.10.2026</t>
        </is>
      </c>
      <c r="I2261" s="4" t="inlineStr">
        <is>
          <t>17:45</t>
        </is>
      </c>
      <c r="J2261" s="8" t="n">
        <v>8.5</v>
      </c>
      <c r="K2261" s="8" t="n">
        <v>7.5</v>
      </c>
      <c r="L2261" s="8" t="n">
        <v>1</v>
      </c>
      <c r="M2261" s="29" t="inlineStr">
        <is>
          <t>KARACABEY</t>
        </is>
      </c>
    </row>
    <row r="2262">
      <c r="A2262" s="4" t="n">
        <v>2261</v>
      </c>
      <c r="B2262" s="4" t="inlineStr">
        <is>
          <t>00199</t>
        </is>
      </c>
      <c r="C2262" s="4" t="inlineStr">
        <is>
          <t>00199</t>
        </is>
      </c>
      <c r="D2262" s="29" t="inlineStr">
        <is>
          <t>KÜRŞAT TÜRKAN</t>
        </is>
      </c>
      <c r="E2262" s="4" t="inlineStr">
        <is>
          <t>Çarşamba</t>
        </is>
      </c>
      <c r="F2262" s="4" t="inlineStr">
        <is>
          <t>21.10.2026</t>
        </is>
      </c>
      <c r="G2262" s="4" t="inlineStr">
        <is>
          <t>10:52</t>
        </is>
      </c>
      <c r="H2262" s="4" t="inlineStr">
        <is>
          <t>21.10.2026</t>
        </is>
      </c>
      <c r="I2262" s="4" t="inlineStr">
        <is>
          <t>17:54</t>
        </is>
      </c>
      <c r="J2262" s="8" t="n">
        <v>5.5</v>
      </c>
      <c r="K2262" s="8" t="n">
        <v>4.5</v>
      </c>
      <c r="L2262" s="8" t="n">
        <v>1</v>
      </c>
      <c r="M2262" s="29" t="inlineStr">
        <is>
          <t>KARACABEY</t>
        </is>
      </c>
    </row>
    <row r="2263">
      <c r="A2263" s="4" t="n">
        <v>2262</v>
      </c>
      <c r="B2263" s="4" t="inlineStr">
        <is>
          <t>00104</t>
        </is>
      </c>
      <c r="C2263" s="4" t="inlineStr">
        <is>
          <t>00104</t>
        </is>
      </c>
      <c r="D2263" s="29" t="inlineStr">
        <is>
          <t>MAHİR HİLMİ ULUKÖK</t>
        </is>
      </c>
      <c r="E2263" s="4" t="inlineStr">
        <is>
          <t>Cuma</t>
        </is>
      </c>
      <c r="F2263" s="4" t="inlineStr">
        <is>
          <t>2.10.2026</t>
        </is>
      </c>
      <c r="G2263" s="4" t="inlineStr">
        <is>
          <t>08:14</t>
        </is>
      </c>
      <c r="H2263" s="4" t="inlineStr">
        <is>
          <t>2.10.2026</t>
        </is>
      </c>
      <c r="I2263" s="4" t="inlineStr">
        <is>
          <t>18:19</t>
        </is>
      </c>
      <c r="J2263" s="8" t="n">
        <v>8.5</v>
      </c>
      <c r="K2263" s="8" t="n">
        <v>7.5</v>
      </c>
      <c r="L2263" s="8" t="n">
        <v>1</v>
      </c>
      <c r="M2263" s="29" t="inlineStr">
        <is>
          <t>SUSURLUK</t>
        </is>
      </c>
    </row>
    <row r="2264">
      <c r="A2264" s="4" t="n">
        <v>2263</v>
      </c>
      <c r="B2264" s="4" t="inlineStr">
        <is>
          <t>00104</t>
        </is>
      </c>
      <c r="C2264" s="4" t="inlineStr">
        <is>
          <t>00104</t>
        </is>
      </c>
      <c r="D2264" s="29" t="inlineStr">
        <is>
          <t>MAHİR HİLMİ ULUKÖK</t>
        </is>
      </c>
      <c r="E2264" s="4" t="inlineStr">
        <is>
          <t>Cumartesi</t>
        </is>
      </c>
      <c r="F2264" s="4" t="inlineStr">
        <is>
          <t>3.10.2026</t>
        </is>
      </c>
      <c r="G2264" s="4" t="inlineStr">
        <is>
          <t>08:01</t>
        </is>
      </c>
      <c r="H2264" s="4" t="inlineStr">
        <is>
          <t>3.10.2026</t>
        </is>
      </c>
      <c r="I2264" s="4" t="inlineStr">
        <is>
          <t>20:23</t>
        </is>
      </c>
      <c r="J2264" s="8" t="n">
        <v>11</v>
      </c>
      <c r="K2264" s="8" t="n">
        <v>7.5</v>
      </c>
      <c r="L2264" s="8" t="n">
        <v>3.5</v>
      </c>
      <c r="M2264" s="29" t="inlineStr">
        <is>
          <t>SUSURLUK</t>
        </is>
      </c>
    </row>
    <row r="2265">
      <c r="A2265" s="4" t="n">
        <v>2264</v>
      </c>
      <c r="B2265" s="4" t="inlineStr">
        <is>
          <t>00104</t>
        </is>
      </c>
      <c r="C2265" s="4" t="inlineStr">
        <is>
          <t>00104</t>
        </is>
      </c>
      <c r="D2265" s="29" t="inlineStr">
        <is>
          <t>MAHİR HİLMİ ULUKÖK</t>
        </is>
      </c>
      <c r="E2265" s="4" t="inlineStr">
        <is>
          <t>Pazartesi</t>
        </is>
      </c>
      <c r="F2265" s="4" t="inlineStr">
        <is>
          <t>5.10.2026</t>
        </is>
      </c>
      <c r="G2265" s="4" t="inlineStr">
        <is>
          <t>08:14</t>
        </is>
      </c>
      <c r="H2265" s="4" t="inlineStr">
        <is>
          <t>5.10.2026</t>
        </is>
      </c>
      <c r="I2265" s="4" t="inlineStr">
        <is>
          <t>19:31</t>
        </is>
      </c>
      <c r="J2265" s="8" t="n">
        <v>10</v>
      </c>
      <c r="K2265" s="8" t="n">
        <v>7.5</v>
      </c>
      <c r="L2265" s="8" t="n">
        <v>2.5</v>
      </c>
      <c r="M2265" s="29" t="inlineStr">
        <is>
          <t>SUSURLUK</t>
        </is>
      </c>
    </row>
    <row r="2266">
      <c r="A2266" s="4" t="n">
        <v>2265</v>
      </c>
      <c r="B2266" s="4" t="inlineStr">
        <is>
          <t>00104</t>
        </is>
      </c>
      <c r="C2266" s="4" t="inlineStr">
        <is>
          <t>00104</t>
        </is>
      </c>
      <c r="D2266" s="29" t="inlineStr">
        <is>
          <t>MAHİR HİLMİ ULUKÖK</t>
        </is>
      </c>
      <c r="E2266" s="4" t="inlineStr">
        <is>
          <t>Salı</t>
        </is>
      </c>
      <c r="F2266" s="4" t="inlineStr">
        <is>
          <t>6.10.2026</t>
        </is>
      </c>
      <c r="G2266" s="4" t="inlineStr">
        <is>
          <t>08:11</t>
        </is>
      </c>
      <c r="H2266" s="4" t="inlineStr">
        <is>
          <t>6.10.2026</t>
        </is>
      </c>
      <c r="I2266" s="4" t="inlineStr">
        <is>
          <t>19:01</t>
        </is>
      </c>
      <c r="J2266" s="8" t="n">
        <v>9.5</v>
      </c>
      <c r="K2266" s="8" t="n">
        <v>7.5</v>
      </c>
      <c r="L2266" s="8" t="n">
        <v>2</v>
      </c>
      <c r="M2266" s="29" t="inlineStr">
        <is>
          <t>SUSURLUK</t>
        </is>
      </c>
    </row>
    <row r="2267">
      <c r="A2267" s="4" t="n">
        <v>2266</v>
      </c>
      <c r="B2267" s="4" t="inlineStr">
        <is>
          <t>00104</t>
        </is>
      </c>
      <c r="C2267" s="4" t="inlineStr">
        <is>
          <t>00104</t>
        </is>
      </c>
      <c r="D2267" s="29" t="inlineStr">
        <is>
          <t>MAHİR HİLMİ ULUKÖK</t>
        </is>
      </c>
      <c r="E2267" s="4" t="inlineStr">
        <is>
          <t>Çarşamba</t>
        </is>
      </c>
      <c r="F2267" s="4" t="inlineStr">
        <is>
          <t>7.10.2026</t>
        </is>
      </c>
      <c r="G2267" s="4" t="inlineStr">
        <is>
          <t>08:08</t>
        </is>
      </c>
      <c r="H2267" s="4" t="inlineStr">
        <is>
          <t>7.10.2026</t>
        </is>
      </c>
      <c r="I2267" s="4" t="inlineStr">
        <is>
          <t>17:08</t>
        </is>
      </c>
      <c r="J2267" s="8" t="n">
        <v>7.5</v>
      </c>
      <c r="K2267" s="8" t="n">
        <v>7.5</v>
      </c>
      <c r="L2267" s="8" t="n">
        <v>0</v>
      </c>
      <c r="M2267" s="29" t="inlineStr">
        <is>
          <t>SUSURLUK</t>
        </is>
      </c>
    </row>
    <row r="2268">
      <c r="A2268" s="4" t="n">
        <v>2267</v>
      </c>
      <c r="B2268" s="4" t="inlineStr">
        <is>
          <t>00104</t>
        </is>
      </c>
      <c r="C2268" s="4" t="inlineStr">
        <is>
          <t>00104</t>
        </is>
      </c>
      <c r="D2268" s="29" t="inlineStr">
        <is>
          <t>MAHİR HİLMİ ULUKÖK</t>
        </is>
      </c>
      <c r="E2268" s="4" t="inlineStr">
        <is>
          <t>Perşembe</t>
        </is>
      </c>
      <c r="F2268" s="4" t="inlineStr">
        <is>
          <t>8.10.2026</t>
        </is>
      </c>
      <c r="G2268" s="4" t="inlineStr">
        <is>
          <t>08:14</t>
        </is>
      </c>
      <c r="H2268" s="4" t="inlineStr">
        <is>
          <t>8.10.2026</t>
        </is>
      </c>
      <c r="I2268" s="4" t="inlineStr">
        <is>
          <t>19:59</t>
        </is>
      </c>
      <c r="J2268" s="8" t="n">
        <v>10.5</v>
      </c>
      <c r="K2268" s="8" t="n">
        <v>7.5</v>
      </c>
      <c r="L2268" s="8" t="n">
        <v>3</v>
      </c>
      <c r="M2268" s="29" t="inlineStr">
        <is>
          <t>SUSURLUK</t>
        </is>
      </c>
    </row>
    <row r="2269">
      <c r="A2269" s="4" t="n">
        <v>2268</v>
      </c>
      <c r="B2269" s="4" t="inlineStr">
        <is>
          <t>00104</t>
        </is>
      </c>
      <c r="C2269" s="4" t="inlineStr">
        <is>
          <t>00104</t>
        </is>
      </c>
      <c r="D2269" s="29" t="inlineStr">
        <is>
          <t>MAHİR HİLMİ ULUKÖK</t>
        </is>
      </c>
      <c r="E2269" s="4" t="inlineStr">
        <is>
          <t>Cuma</t>
        </is>
      </c>
      <c r="F2269" s="4" t="inlineStr">
        <is>
          <t>9.10.2026</t>
        </is>
      </c>
      <c r="G2269" s="4" t="inlineStr">
        <is>
          <t>08:02</t>
        </is>
      </c>
      <c r="H2269" s="4" t="inlineStr">
        <is>
          <t>9.10.2026</t>
        </is>
      </c>
      <c r="I2269" s="4" t="inlineStr">
        <is>
          <t>19:58</t>
        </is>
      </c>
      <c r="J2269" s="8" t="n">
        <v>10.5</v>
      </c>
      <c r="K2269" s="8" t="n">
        <v>7.5</v>
      </c>
      <c r="L2269" s="8" t="n">
        <v>3</v>
      </c>
      <c r="M2269" s="29" t="inlineStr">
        <is>
          <t>SUSURLUK</t>
        </is>
      </c>
    </row>
    <row r="2270">
      <c r="A2270" s="4" t="n">
        <v>2269</v>
      </c>
      <c r="B2270" s="4" t="inlineStr">
        <is>
          <t>00104</t>
        </is>
      </c>
      <c r="C2270" s="4" t="inlineStr">
        <is>
          <t>00104</t>
        </is>
      </c>
      <c r="D2270" s="29" t="inlineStr">
        <is>
          <t>MAHİR HİLMİ ULUKÖK</t>
        </is>
      </c>
      <c r="E2270" s="4" t="inlineStr">
        <is>
          <t>Cumartesi</t>
        </is>
      </c>
      <c r="F2270" s="4" t="inlineStr">
        <is>
          <t>10.10.2026</t>
        </is>
      </c>
      <c r="G2270" s="4" t="inlineStr">
        <is>
          <t>08:12</t>
        </is>
      </c>
      <c r="H2270" s="4" t="inlineStr">
        <is>
          <t>10.10.2026</t>
        </is>
      </c>
      <c r="I2270" s="4" t="inlineStr">
        <is>
          <t>19:09</t>
        </is>
      </c>
      <c r="J2270" s="8" t="n">
        <v>9.5</v>
      </c>
      <c r="K2270" s="8" t="n">
        <v>7.5</v>
      </c>
      <c r="L2270" s="8" t="n">
        <v>2</v>
      </c>
      <c r="M2270" s="29" t="inlineStr">
        <is>
          <t>SUSURLUK</t>
        </is>
      </c>
    </row>
    <row r="2271">
      <c r="A2271" s="4" t="n">
        <v>2270</v>
      </c>
      <c r="B2271" s="4" t="inlineStr">
        <is>
          <t>00104</t>
        </is>
      </c>
      <c r="C2271" s="4" t="inlineStr">
        <is>
          <t>00104</t>
        </is>
      </c>
      <c r="D2271" s="29" t="inlineStr">
        <is>
          <t>MAHİR HİLMİ ULUKÖK</t>
        </is>
      </c>
      <c r="E2271" s="4" t="inlineStr">
        <is>
          <t>Salı</t>
        </is>
      </c>
      <c r="F2271" s="4" t="inlineStr">
        <is>
          <t>13.10.2026</t>
        </is>
      </c>
      <c r="G2271" s="4" t="inlineStr">
        <is>
          <t>08:06</t>
        </is>
      </c>
      <c r="H2271" s="4" t="inlineStr">
        <is>
          <t>13.10.2026</t>
        </is>
      </c>
      <c r="I2271" s="4" t="inlineStr">
        <is>
          <t>17:18</t>
        </is>
      </c>
      <c r="J2271" s="8" t="n">
        <v>7.5</v>
      </c>
      <c r="K2271" s="8" t="n">
        <v>7.5</v>
      </c>
      <c r="L2271" s="8" t="n">
        <v>0</v>
      </c>
      <c r="M2271" s="29" t="inlineStr">
        <is>
          <t>SUSURLUK</t>
        </is>
      </c>
    </row>
    <row r="2272">
      <c r="A2272" s="4" t="n">
        <v>2271</v>
      </c>
      <c r="B2272" s="4" t="inlineStr">
        <is>
          <t>00104</t>
        </is>
      </c>
      <c r="C2272" s="4" t="inlineStr">
        <is>
          <t>00104</t>
        </is>
      </c>
      <c r="D2272" s="29" t="inlineStr">
        <is>
          <t>MAHİR HİLMİ ULUKÖK</t>
        </is>
      </c>
      <c r="E2272" s="4" t="inlineStr">
        <is>
          <t>Perşembe</t>
        </is>
      </c>
      <c r="F2272" s="4" t="inlineStr">
        <is>
          <t>15.10.2026</t>
        </is>
      </c>
      <c r="G2272" s="4" t="inlineStr">
        <is>
          <t>08:04</t>
        </is>
      </c>
      <c r="H2272" s="4" t="inlineStr">
        <is>
          <t>15.10.2026</t>
        </is>
      </c>
      <c r="I2272" s="4" t="inlineStr">
        <is>
          <t>17:10</t>
        </is>
      </c>
      <c r="J2272" s="8" t="n">
        <v>7.5</v>
      </c>
      <c r="K2272" s="8" t="n">
        <v>7.5</v>
      </c>
      <c r="L2272" s="8" t="n">
        <v>0</v>
      </c>
      <c r="M2272" s="29" t="inlineStr">
        <is>
          <t>SUSURLUK</t>
        </is>
      </c>
    </row>
    <row r="2273">
      <c r="A2273" s="4" t="n">
        <v>2272</v>
      </c>
      <c r="B2273" s="4" t="inlineStr">
        <is>
          <t>00104</t>
        </is>
      </c>
      <c r="C2273" s="4" t="inlineStr">
        <is>
          <t>00104</t>
        </is>
      </c>
      <c r="D2273" s="29" t="inlineStr">
        <is>
          <t>MAHİR HİLMİ ULUKÖK</t>
        </is>
      </c>
      <c r="E2273" s="4" t="inlineStr">
        <is>
          <t>Pazartesi</t>
        </is>
      </c>
      <c r="F2273" s="4" t="inlineStr">
        <is>
          <t>19.10.2026</t>
        </is>
      </c>
      <c r="G2273" s="4" t="inlineStr">
        <is>
          <t>08:07</t>
        </is>
      </c>
      <c r="H2273" s="4" t="inlineStr">
        <is>
          <t>19.10.2026</t>
        </is>
      </c>
      <c r="I2273" s="4" t="inlineStr">
        <is>
          <t>17:01</t>
        </is>
      </c>
      <c r="J2273" s="8" t="n">
        <v>7.5</v>
      </c>
      <c r="K2273" s="8" t="n">
        <v>7.5</v>
      </c>
      <c r="L2273" s="8" t="n">
        <v>0</v>
      </c>
      <c r="M2273" s="29" t="inlineStr">
        <is>
          <t>SUSURLUK</t>
        </is>
      </c>
    </row>
    <row r="2274">
      <c r="A2274" s="4" t="n">
        <v>2273</v>
      </c>
      <c r="B2274" s="4" t="inlineStr">
        <is>
          <t>00104</t>
        </is>
      </c>
      <c r="C2274" s="4" t="inlineStr">
        <is>
          <t>00104</t>
        </is>
      </c>
      <c r="D2274" s="29" t="inlineStr">
        <is>
          <t>MAHİR HİLMİ ULUKÖK</t>
        </is>
      </c>
      <c r="E2274" s="4" t="inlineStr">
        <is>
          <t>Salı</t>
        </is>
      </c>
      <c r="F2274" s="4" t="inlineStr">
        <is>
          <t>20.10.2026</t>
        </is>
      </c>
      <c r="G2274" s="4" t="inlineStr">
        <is>
          <t>08:06</t>
        </is>
      </c>
      <c r="H2274" s="4" t="inlineStr">
        <is>
          <t>20.10.2026</t>
        </is>
      </c>
      <c r="I2274" s="4" t="inlineStr">
        <is>
          <t>10:15</t>
        </is>
      </c>
      <c r="J2274" s="8" t="n">
        <v>2</v>
      </c>
      <c r="K2274" s="8" t="n">
        <v>2</v>
      </c>
      <c r="L2274" s="8" t="n">
        <v>0</v>
      </c>
      <c r="M2274" s="29" t="inlineStr">
        <is>
          <t>SUSURLUK</t>
        </is>
      </c>
    </row>
    <row r="2275">
      <c r="A2275" s="4" t="n">
        <v>2274</v>
      </c>
      <c r="B2275" s="4" t="inlineStr">
        <is>
          <t>00232</t>
        </is>
      </c>
      <c r="C2275" s="4" t="inlineStr">
        <is>
          <t>00232</t>
        </is>
      </c>
      <c r="D2275" s="29" t="inlineStr">
        <is>
          <t>MAHİZER BAĞ</t>
        </is>
      </c>
      <c r="E2275" s="4" t="inlineStr">
        <is>
          <t>Perşembe</t>
        </is>
      </c>
      <c r="F2275" s="4" t="inlineStr">
        <is>
          <t>1.10.2026</t>
        </is>
      </c>
      <c r="G2275" s="4" t="inlineStr">
        <is>
          <t>07:43</t>
        </is>
      </c>
      <c r="H2275" s="4" t="inlineStr">
        <is>
          <t>1.10.2026</t>
        </is>
      </c>
      <c r="I2275" s="4" t="inlineStr">
        <is>
          <t>17:34</t>
        </is>
      </c>
      <c r="J2275" s="8" t="n">
        <v>8</v>
      </c>
      <c r="K2275" s="8" t="n">
        <v>7.5</v>
      </c>
      <c r="L2275" s="8" t="n">
        <v>0.5</v>
      </c>
      <c r="M2275" s="29" t="inlineStr">
        <is>
          <t>KARACABEY</t>
        </is>
      </c>
    </row>
    <row r="2276">
      <c r="A2276" s="4" t="n">
        <v>2275</v>
      </c>
      <c r="B2276" s="4" t="inlineStr">
        <is>
          <t>00232</t>
        </is>
      </c>
      <c r="C2276" s="4" t="inlineStr">
        <is>
          <t>00232</t>
        </is>
      </c>
      <c r="D2276" s="29" t="inlineStr">
        <is>
          <t>MAHİZER BAĞ</t>
        </is>
      </c>
      <c r="E2276" s="4" t="inlineStr">
        <is>
          <t>Cuma</t>
        </is>
      </c>
      <c r="F2276" s="4" t="inlineStr">
        <is>
          <t>2.10.2026</t>
        </is>
      </c>
      <c r="G2276" s="4" t="inlineStr">
        <is>
          <t>07:42</t>
        </is>
      </c>
      <c r="H2276" s="4" t="inlineStr">
        <is>
          <t>2.10.2026</t>
        </is>
      </c>
      <c r="I2276" s="4" t="inlineStr">
        <is>
          <t>17:52</t>
        </is>
      </c>
      <c r="J2276" s="8" t="n">
        <v>8.5</v>
      </c>
      <c r="K2276" s="8" t="n">
        <v>7.5</v>
      </c>
      <c r="L2276" s="8" t="n">
        <v>1</v>
      </c>
      <c r="M2276" s="29" t="inlineStr">
        <is>
          <t>KARACABEY</t>
        </is>
      </c>
    </row>
    <row r="2277">
      <c r="A2277" s="4" t="n">
        <v>2276</v>
      </c>
      <c r="B2277" s="4" t="inlineStr">
        <is>
          <t>00232</t>
        </is>
      </c>
      <c r="C2277" s="4" t="inlineStr">
        <is>
          <t>00232</t>
        </is>
      </c>
      <c r="D2277" s="29" t="inlineStr">
        <is>
          <t>MAHİZER BAĞ</t>
        </is>
      </c>
      <c r="E2277" s="4" t="inlineStr">
        <is>
          <t>Cumartesi</t>
        </is>
      </c>
      <c r="F2277" s="4" t="inlineStr">
        <is>
          <t>3.10.2026</t>
        </is>
      </c>
      <c r="G2277" s="4" t="inlineStr">
        <is>
          <t>07:43</t>
        </is>
      </c>
      <c r="H2277" s="4" t="inlineStr">
        <is>
          <t>3.10.2026</t>
        </is>
      </c>
      <c r="I2277" s="4" t="inlineStr">
        <is>
          <t>17:40</t>
        </is>
      </c>
      <c r="J2277" s="8" t="n">
        <v>8</v>
      </c>
      <c r="K2277" s="8" t="n">
        <v>7.5</v>
      </c>
      <c r="L2277" s="8" t="n">
        <v>0.5</v>
      </c>
      <c r="M2277" s="29" t="inlineStr">
        <is>
          <t>KARACABEY</t>
        </is>
      </c>
    </row>
    <row r="2278">
      <c r="A2278" s="4" t="n">
        <v>2277</v>
      </c>
      <c r="B2278" s="4" t="inlineStr">
        <is>
          <t>00200</t>
        </is>
      </c>
      <c r="C2278" s="4" t="inlineStr">
        <is>
          <t>00200</t>
        </is>
      </c>
      <c r="D2278" s="29" t="inlineStr">
        <is>
          <t>MAHMOUD ALZALEK</t>
        </is>
      </c>
      <c r="E2278" s="4" t="inlineStr">
        <is>
          <t>Perşembe</t>
        </is>
      </c>
      <c r="F2278" s="4" t="inlineStr">
        <is>
          <t>1.10.2026</t>
        </is>
      </c>
      <c r="G2278" s="4" t="inlineStr">
        <is>
          <t>20:06</t>
        </is>
      </c>
      <c r="H2278" s="4" t="inlineStr">
        <is>
          <t>1.10.2026</t>
        </is>
      </c>
      <c r="I2278" s="4" t="inlineStr">
        <is>
          <t>07:56</t>
        </is>
      </c>
      <c r="J2278" s="8" t="n">
        <v>10.5</v>
      </c>
      <c r="K2278" s="8" t="n">
        <v>7.5</v>
      </c>
      <c r="L2278" s="8" t="n">
        <v>3</v>
      </c>
      <c r="M2278" s="29" t="inlineStr">
        <is>
          <t>SUSURLUK</t>
        </is>
      </c>
    </row>
    <row r="2279">
      <c r="A2279" s="4" t="n">
        <v>2278</v>
      </c>
      <c r="B2279" s="4" t="inlineStr">
        <is>
          <t>00200</t>
        </is>
      </c>
      <c r="C2279" s="4" t="inlineStr">
        <is>
          <t>00200</t>
        </is>
      </c>
      <c r="D2279" s="29" t="inlineStr">
        <is>
          <t>MAHMOUD ALZALEK</t>
        </is>
      </c>
      <c r="E2279" s="4" t="inlineStr">
        <is>
          <t>Cuma</t>
        </is>
      </c>
      <c r="F2279" s="4" t="inlineStr">
        <is>
          <t>2.10.2026</t>
        </is>
      </c>
      <c r="G2279" s="4" t="inlineStr">
        <is>
          <t>19:52</t>
        </is>
      </c>
      <c r="H2279" s="4" t="inlineStr">
        <is>
          <t>2.10.2026</t>
        </is>
      </c>
      <c r="I2279" s="4" t="inlineStr">
        <is>
          <t>07:58</t>
        </is>
      </c>
      <c r="J2279" s="8" t="n">
        <v>10.5</v>
      </c>
      <c r="K2279" s="8" t="n">
        <v>7.5</v>
      </c>
      <c r="L2279" s="8" t="n">
        <v>3</v>
      </c>
      <c r="M2279" s="29" t="inlineStr">
        <is>
          <t>SUSURLUK</t>
        </is>
      </c>
    </row>
    <row r="2280">
      <c r="A2280" s="4" t="n">
        <v>2279</v>
      </c>
      <c r="B2280" s="4" t="inlineStr">
        <is>
          <t>00200</t>
        </is>
      </c>
      <c r="C2280" s="4" t="inlineStr">
        <is>
          <t>00200</t>
        </is>
      </c>
      <c r="D2280" s="29" t="inlineStr">
        <is>
          <t>MAHMOUD ALZALEK</t>
        </is>
      </c>
      <c r="E2280" s="4" t="inlineStr">
        <is>
          <t>Cumartesi</t>
        </is>
      </c>
      <c r="F2280" s="4" t="inlineStr">
        <is>
          <t>3.10.2026</t>
        </is>
      </c>
      <c r="G2280" s="4" t="inlineStr">
        <is>
          <t>10:07</t>
        </is>
      </c>
      <c r="H2280" s="4" t="inlineStr">
        <is>
          <t>3.10.2026</t>
        </is>
      </c>
      <c r="I2280" s="4" t="inlineStr">
        <is>
          <t>19:56</t>
        </is>
      </c>
      <c r="J2280" s="8" t="n">
        <v>0</v>
      </c>
      <c r="K2280" s="8" t="n">
        <v>0</v>
      </c>
      <c r="L2280" s="8" t="n">
        <v>0</v>
      </c>
      <c r="M2280" s="29" t="inlineStr">
        <is>
          <t>SUSURLUK</t>
        </is>
      </c>
    </row>
    <row r="2281">
      <c r="A2281" s="4" t="n">
        <v>2280</v>
      </c>
      <c r="B2281" s="4" t="inlineStr">
        <is>
          <t>00200</t>
        </is>
      </c>
      <c r="C2281" s="4" t="inlineStr">
        <is>
          <t>00200</t>
        </is>
      </c>
      <c r="D2281" s="29" t="inlineStr">
        <is>
          <t>MAHMOUD ALZALEK</t>
        </is>
      </c>
      <c r="E2281" s="4" t="inlineStr">
        <is>
          <t>Pazar</t>
        </is>
      </c>
      <c r="F2281" s="4" t="inlineStr">
        <is>
          <t>4.10.2026</t>
        </is>
      </c>
      <c r="G2281" s="4" t="inlineStr">
        <is>
          <t>19:48</t>
        </is>
      </c>
      <c r="H2281" s="4" t="inlineStr">
        <is>
          <t>4.10.2026</t>
        </is>
      </c>
      <c r="I2281" s="4" t="inlineStr">
        <is>
          <t>08:03</t>
        </is>
      </c>
      <c r="J2281" s="8" t="n">
        <v>10.5</v>
      </c>
      <c r="K2281" s="8" t="n">
        <v>7.5</v>
      </c>
      <c r="L2281" s="8" t="n">
        <v>3</v>
      </c>
      <c r="M2281" s="29" t="inlineStr">
        <is>
          <t>SUSURLUK</t>
        </is>
      </c>
    </row>
    <row r="2282">
      <c r="A2282" s="4" t="n">
        <v>2281</v>
      </c>
      <c r="B2282" s="4" t="inlineStr">
        <is>
          <t>00200</t>
        </is>
      </c>
      <c r="C2282" s="4" t="inlineStr">
        <is>
          <t>00200</t>
        </is>
      </c>
      <c r="D2282" s="29" t="inlineStr">
        <is>
          <t>MAHMOUD ALZALEK</t>
        </is>
      </c>
      <c r="E2282" s="4" t="inlineStr">
        <is>
          <t>Pazartesi</t>
        </is>
      </c>
      <c r="F2282" s="4" t="inlineStr">
        <is>
          <t>5.10.2026</t>
        </is>
      </c>
      <c r="G2282" s="4" t="inlineStr">
        <is>
          <t>19:51</t>
        </is>
      </c>
      <c r="H2282" s="4" t="inlineStr">
        <is>
          <t>5.10.2026</t>
        </is>
      </c>
      <c r="I2282" s="4" t="inlineStr">
        <is>
          <t>08:01</t>
        </is>
      </c>
      <c r="J2282" s="8" t="n">
        <v>10.5</v>
      </c>
      <c r="K2282" s="8" t="n">
        <v>7.5</v>
      </c>
      <c r="L2282" s="8" t="n">
        <v>3</v>
      </c>
      <c r="M2282" s="29" t="inlineStr">
        <is>
          <t>SUSURLUK</t>
        </is>
      </c>
    </row>
    <row r="2283">
      <c r="A2283" s="4" t="n">
        <v>2282</v>
      </c>
      <c r="B2283" s="4" t="inlineStr">
        <is>
          <t>00200</t>
        </is>
      </c>
      <c r="C2283" s="4" t="inlineStr">
        <is>
          <t>00200</t>
        </is>
      </c>
      <c r="D2283" s="29" t="inlineStr">
        <is>
          <t>MAHMOUD ALZALEK</t>
        </is>
      </c>
      <c r="E2283" s="4" t="inlineStr">
        <is>
          <t>Salı</t>
        </is>
      </c>
      <c r="F2283" s="4" t="inlineStr">
        <is>
          <t>6.10.2026</t>
        </is>
      </c>
      <c r="G2283" s="4" t="inlineStr">
        <is>
          <t>20:03</t>
        </is>
      </c>
      <c r="H2283" s="4" t="inlineStr">
        <is>
          <t>6.10.2026</t>
        </is>
      </c>
      <c r="I2283" s="4" t="inlineStr">
        <is>
          <t>07:56</t>
        </is>
      </c>
      <c r="J2283" s="8" t="n">
        <v>10.5</v>
      </c>
      <c r="K2283" s="8" t="n">
        <v>7.5</v>
      </c>
      <c r="L2283" s="8" t="n">
        <v>3</v>
      </c>
      <c r="M2283" s="29" t="inlineStr">
        <is>
          <t>SUSURLUK</t>
        </is>
      </c>
    </row>
    <row r="2284">
      <c r="A2284" s="4" t="n">
        <v>2283</v>
      </c>
      <c r="B2284" s="4" t="inlineStr">
        <is>
          <t>00200</t>
        </is>
      </c>
      <c r="C2284" s="4" t="inlineStr">
        <is>
          <t>00200</t>
        </is>
      </c>
      <c r="D2284" s="29" t="inlineStr">
        <is>
          <t>MAHMOUD ALZALEK</t>
        </is>
      </c>
      <c r="E2284" s="4" t="inlineStr">
        <is>
          <t>Çarşamba</t>
        </is>
      </c>
      <c r="F2284" s="4" t="inlineStr">
        <is>
          <t>7.10.2026</t>
        </is>
      </c>
      <c r="G2284" s="4" t="inlineStr">
        <is>
          <t>20:02</t>
        </is>
      </c>
      <c r="H2284" s="4" t="inlineStr">
        <is>
          <t>7.10.2026</t>
        </is>
      </c>
      <c r="I2284" s="4" t="inlineStr">
        <is>
          <t>07:58</t>
        </is>
      </c>
      <c r="J2284" s="8" t="n">
        <v>10.5</v>
      </c>
      <c r="K2284" s="8" t="n">
        <v>7.5</v>
      </c>
      <c r="L2284" s="8" t="n">
        <v>3</v>
      </c>
      <c r="M2284" s="29" t="inlineStr">
        <is>
          <t>SUSURLUK</t>
        </is>
      </c>
    </row>
    <row r="2285">
      <c r="A2285" s="4" t="n">
        <v>2284</v>
      </c>
      <c r="B2285" s="4" t="inlineStr">
        <is>
          <t>00200</t>
        </is>
      </c>
      <c r="C2285" s="4" t="inlineStr">
        <is>
          <t>00200</t>
        </is>
      </c>
      <c r="D2285" s="29" t="inlineStr">
        <is>
          <t>MAHMOUD ALZALEK</t>
        </is>
      </c>
      <c r="E2285" s="4" t="inlineStr">
        <is>
          <t>Perşembe</t>
        </is>
      </c>
      <c r="F2285" s="4" t="inlineStr">
        <is>
          <t>8.10.2026</t>
        </is>
      </c>
      <c r="G2285" s="4" t="inlineStr">
        <is>
          <t>20:05</t>
        </is>
      </c>
      <c r="H2285" s="4" t="inlineStr">
        <is>
          <t>8.10.2026</t>
        </is>
      </c>
      <c r="I2285" s="4" t="inlineStr">
        <is>
          <t>08:00</t>
        </is>
      </c>
      <c r="J2285" s="8" t="n">
        <v>10.5</v>
      </c>
      <c r="K2285" s="8" t="n">
        <v>7.5</v>
      </c>
      <c r="L2285" s="8" t="n">
        <v>3</v>
      </c>
      <c r="M2285" s="29" t="inlineStr">
        <is>
          <t>SUSURLUK</t>
        </is>
      </c>
    </row>
    <row r="2286">
      <c r="A2286" s="4" t="n">
        <v>2285</v>
      </c>
      <c r="B2286" s="4" t="inlineStr">
        <is>
          <t>00200</t>
        </is>
      </c>
      <c r="C2286" s="4" t="inlineStr">
        <is>
          <t>00200</t>
        </is>
      </c>
      <c r="D2286" s="29" t="inlineStr">
        <is>
          <t>MAHMOUD ALZALEK</t>
        </is>
      </c>
      <c r="E2286" s="4" t="inlineStr">
        <is>
          <t>Cuma</t>
        </is>
      </c>
      <c r="F2286" s="4" t="inlineStr">
        <is>
          <t>9.10.2026</t>
        </is>
      </c>
      <c r="G2286" s="4" t="inlineStr">
        <is>
          <t>19:53</t>
        </is>
      </c>
      <c r="H2286" s="4" t="inlineStr">
        <is>
          <t>9.10.2026</t>
        </is>
      </c>
      <c r="I2286" s="4" t="inlineStr">
        <is>
          <t>07:58</t>
        </is>
      </c>
      <c r="J2286" s="8" t="n">
        <v>10.5</v>
      </c>
      <c r="K2286" s="8" t="n">
        <v>7.5</v>
      </c>
      <c r="L2286" s="8" t="n">
        <v>3</v>
      </c>
      <c r="M2286" s="29" t="inlineStr">
        <is>
          <t>SUSURLUK</t>
        </is>
      </c>
    </row>
    <row r="2287">
      <c r="A2287" s="4" t="n">
        <v>2286</v>
      </c>
      <c r="B2287" s="4" t="inlineStr">
        <is>
          <t>00200</t>
        </is>
      </c>
      <c r="C2287" s="4" t="inlineStr">
        <is>
          <t>00200</t>
        </is>
      </c>
      <c r="D2287" s="29" t="inlineStr">
        <is>
          <t>MAHMOUD ALZALEK</t>
        </is>
      </c>
      <c r="E2287" s="4" t="inlineStr">
        <is>
          <t>Cumartesi</t>
        </is>
      </c>
      <c r="F2287" s="4" t="inlineStr">
        <is>
          <t>10.10.2026</t>
        </is>
      </c>
      <c r="G2287" s="4" t="inlineStr">
        <is>
          <t>20:02</t>
        </is>
      </c>
      <c r="H2287" s="4" t="inlineStr">
        <is>
          <t>10.10.2026</t>
        </is>
      </c>
      <c r="I2287" s="4" t="inlineStr">
        <is>
          <t>08:06</t>
        </is>
      </c>
      <c r="J2287" s="8" t="n">
        <v>10.5</v>
      </c>
      <c r="K2287" s="8" t="n">
        <v>7.5</v>
      </c>
      <c r="L2287" s="8" t="n">
        <v>3</v>
      </c>
      <c r="M2287" s="29" t="inlineStr">
        <is>
          <t>SUSURLUK</t>
        </is>
      </c>
    </row>
    <row r="2288">
      <c r="A2288" s="4" t="n">
        <v>2287</v>
      </c>
      <c r="B2288" s="4" t="inlineStr">
        <is>
          <t>00200</t>
        </is>
      </c>
      <c r="C2288" s="4" t="inlineStr">
        <is>
          <t>00200</t>
        </is>
      </c>
      <c r="D2288" s="29" t="inlineStr">
        <is>
          <t>MAHMOUD ALZALEK</t>
        </is>
      </c>
      <c r="E2288" s="4" t="inlineStr">
        <is>
          <t>Pazar</t>
        </is>
      </c>
      <c r="F2288" s="4" t="inlineStr">
        <is>
          <t>11.10.2026</t>
        </is>
      </c>
      <c r="G2288" s="4" t="inlineStr">
        <is>
          <t>20:02</t>
        </is>
      </c>
      <c r="H2288" s="4" t="inlineStr">
        <is>
          <t>11.10.2026</t>
        </is>
      </c>
      <c r="I2288" s="4" t="inlineStr">
        <is>
          <t>08:00</t>
        </is>
      </c>
      <c r="J2288" s="8" t="n">
        <v>10.5</v>
      </c>
      <c r="K2288" s="8" t="n">
        <v>7.5</v>
      </c>
      <c r="L2288" s="8" t="n">
        <v>3</v>
      </c>
      <c r="M2288" s="29" t="inlineStr">
        <is>
          <t>SUSURLUK</t>
        </is>
      </c>
    </row>
    <row r="2289">
      <c r="A2289" s="4" t="n">
        <v>2288</v>
      </c>
      <c r="B2289" s="4" t="inlineStr">
        <is>
          <t>00200</t>
        </is>
      </c>
      <c r="C2289" s="4" t="inlineStr">
        <is>
          <t>00200</t>
        </is>
      </c>
      <c r="D2289" s="29" t="inlineStr">
        <is>
          <t>MAHMOUD ALZALEK</t>
        </is>
      </c>
      <c r="E2289" s="4" t="inlineStr">
        <is>
          <t>Pazartesi</t>
        </is>
      </c>
      <c r="F2289" s="4" t="inlineStr">
        <is>
          <t>12.10.2026</t>
        </is>
      </c>
      <c r="G2289" s="4" t="inlineStr">
        <is>
          <t>19:47</t>
        </is>
      </c>
      <c r="H2289" s="4" t="inlineStr">
        <is>
          <t>12.10.2026</t>
        </is>
      </c>
      <c r="I2289" s="4" t="inlineStr">
        <is>
          <t>08:00</t>
        </is>
      </c>
      <c r="J2289" s="8" t="n">
        <v>10.5</v>
      </c>
      <c r="K2289" s="8" t="n">
        <v>7.5</v>
      </c>
      <c r="L2289" s="8" t="n">
        <v>3</v>
      </c>
      <c r="M2289" s="29" t="inlineStr">
        <is>
          <t>SUSURLUK</t>
        </is>
      </c>
    </row>
    <row r="2290">
      <c r="A2290" s="4" t="n">
        <v>2289</v>
      </c>
      <c r="B2290" s="4" t="inlineStr">
        <is>
          <t>00200</t>
        </is>
      </c>
      <c r="C2290" s="4" t="inlineStr">
        <is>
          <t>00200</t>
        </is>
      </c>
      <c r="D2290" s="29" t="inlineStr">
        <is>
          <t>MAHMOUD ALZALEK</t>
        </is>
      </c>
      <c r="E2290" s="4" t="inlineStr">
        <is>
          <t>Salı</t>
        </is>
      </c>
      <c r="F2290" s="4" t="inlineStr">
        <is>
          <t>13.10.2026</t>
        </is>
      </c>
      <c r="G2290" s="4" t="inlineStr">
        <is>
          <t>19:56</t>
        </is>
      </c>
      <c r="H2290" s="4" t="inlineStr">
        <is>
          <t>13.10.2026</t>
        </is>
      </c>
      <c r="I2290" s="4" t="inlineStr">
        <is>
          <t>07:58</t>
        </is>
      </c>
      <c r="J2290" s="8" t="n">
        <v>10.5</v>
      </c>
      <c r="K2290" s="8" t="n">
        <v>7.5</v>
      </c>
      <c r="L2290" s="8" t="n">
        <v>3</v>
      </c>
      <c r="M2290" s="29" t="inlineStr">
        <is>
          <t>SUSURLUK</t>
        </is>
      </c>
    </row>
    <row r="2291">
      <c r="A2291" s="4" t="n">
        <v>2290</v>
      </c>
      <c r="B2291" s="4" t="inlineStr">
        <is>
          <t>00200</t>
        </is>
      </c>
      <c r="C2291" s="4" t="inlineStr">
        <is>
          <t>00200</t>
        </is>
      </c>
      <c r="D2291" s="29" t="inlineStr">
        <is>
          <t>MAHMOUD ALZALEK</t>
        </is>
      </c>
      <c r="E2291" s="4" t="inlineStr">
        <is>
          <t>Çarşamba</t>
        </is>
      </c>
      <c r="F2291" s="4" t="inlineStr">
        <is>
          <t>14.10.2026</t>
        </is>
      </c>
      <c r="G2291" s="4" t="inlineStr">
        <is>
          <t>20:09</t>
        </is>
      </c>
      <c r="H2291" s="4" t="inlineStr">
        <is>
          <t>14.10.2026</t>
        </is>
      </c>
      <c r="I2291" s="4" t="inlineStr">
        <is>
          <t>07:59</t>
        </is>
      </c>
      <c r="J2291" s="8" t="n">
        <v>10.5</v>
      </c>
      <c r="K2291" s="8" t="n">
        <v>7.5</v>
      </c>
      <c r="L2291" s="8" t="n">
        <v>3</v>
      </c>
      <c r="M2291" s="29" t="inlineStr">
        <is>
          <t>SUSURLUK</t>
        </is>
      </c>
    </row>
    <row r="2292">
      <c r="A2292" s="4" t="n">
        <v>2291</v>
      </c>
      <c r="B2292" s="4" t="inlineStr">
        <is>
          <t>00200</t>
        </is>
      </c>
      <c r="C2292" s="4" t="inlineStr">
        <is>
          <t>00200</t>
        </is>
      </c>
      <c r="D2292" s="29" t="inlineStr">
        <is>
          <t>MAHMOUD ALZALEK</t>
        </is>
      </c>
      <c r="E2292" s="4" t="inlineStr">
        <is>
          <t>Perşembe</t>
        </is>
      </c>
      <c r="F2292" s="4" t="inlineStr">
        <is>
          <t>15.10.2026</t>
        </is>
      </c>
      <c r="G2292" s="4" t="inlineStr">
        <is>
          <t>20:01</t>
        </is>
      </c>
      <c r="H2292" s="4" t="inlineStr">
        <is>
          <t>15.10.2026</t>
        </is>
      </c>
      <c r="I2292" s="4" t="inlineStr">
        <is>
          <t>07:57</t>
        </is>
      </c>
      <c r="J2292" s="8" t="n">
        <v>10.5</v>
      </c>
      <c r="K2292" s="8" t="n">
        <v>7.5</v>
      </c>
      <c r="L2292" s="8" t="n">
        <v>3</v>
      </c>
      <c r="M2292" s="29" t="inlineStr">
        <is>
          <t>SUSURLUK</t>
        </is>
      </c>
    </row>
    <row r="2293">
      <c r="A2293" s="4" t="n">
        <v>2292</v>
      </c>
      <c r="B2293" s="4" t="inlineStr">
        <is>
          <t>00200</t>
        </is>
      </c>
      <c r="C2293" s="4" t="inlineStr">
        <is>
          <t>00200</t>
        </is>
      </c>
      <c r="D2293" s="29" t="inlineStr">
        <is>
          <t>MAHMOUD ALZALEK</t>
        </is>
      </c>
      <c r="E2293" s="4" t="inlineStr">
        <is>
          <t>Cuma</t>
        </is>
      </c>
      <c r="F2293" s="4" t="inlineStr">
        <is>
          <t>16.10.2026</t>
        </is>
      </c>
      <c r="G2293" s="4" t="inlineStr">
        <is>
          <t>19:47</t>
        </is>
      </c>
      <c r="H2293" s="4" t="inlineStr">
        <is>
          <t>16.10.2026</t>
        </is>
      </c>
      <c r="I2293" s="4" t="inlineStr">
        <is>
          <t>07:57</t>
        </is>
      </c>
      <c r="J2293" s="8" t="n">
        <v>10.5</v>
      </c>
      <c r="K2293" s="8" t="n">
        <v>7.5</v>
      </c>
      <c r="L2293" s="8" t="n">
        <v>3</v>
      </c>
      <c r="M2293" s="29" t="inlineStr">
        <is>
          <t>SUSURLUK</t>
        </is>
      </c>
    </row>
    <row r="2294">
      <c r="A2294" s="4" t="n">
        <v>2293</v>
      </c>
      <c r="B2294" s="4" t="inlineStr">
        <is>
          <t>00200</t>
        </is>
      </c>
      <c r="C2294" s="4" t="inlineStr">
        <is>
          <t>00200</t>
        </is>
      </c>
      <c r="D2294" s="29" t="inlineStr">
        <is>
          <t>MAHMOUD ALZALEK</t>
        </is>
      </c>
      <c r="E2294" s="4" t="inlineStr">
        <is>
          <t>Cumartesi</t>
        </is>
      </c>
      <c r="F2294" s="4" t="inlineStr">
        <is>
          <t>17.10.2026</t>
        </is>
      </c>
      <c r="G2294" s="4" t="inlineStr">
        <is>
          <t>19:58</t>
        </is>
      </c>
      <c r="H2294" s="4" t="inlineStr">
        <is>
          <t>17.10.2026</t>
        </is>
      </c>
      <c r="I2294" s="4" t="inlineStr">
        <is>
          <t>07:58</t>
        </is>
      </c>
      <c r="J2294" s="8" t="n">
        <v>10.5</v>
      </c>
      <c r="K2294" s="8" t="n">
        <v>7.5</v>
      </c>
      <c r="L2294" s="8" t="n">
        <v>3</v>
      </c>
      <c r="M2294" s="29" t="inlineStr">
        <is>
          <t>SUSURLUK</t>
        </is>
      </c>
    </row>
    <row r="2295">
      <c r="A2295" s="4" t="n">
        <v>2294</v>
      </c>
      <c r="B2295" s="4" t="inlineStr">
        <is>
          <t>00200</t>
        </is>
      </c>
      <c r="C2295" s="4" t="inlineStr">
        <is>
          <t>00200</t>
        </is>
      </c>
      <c r="D2295" s="29" t="inlineStr">
        <is>
          <t>MAHMOUD ALZALEK</t>
        </is>
      </c>
      <c r="E2295" s="4" t="inlineStr">
        <is>
          <t>Pazar</t>
        </is>
      </c>
      <c r="F2295" s="4" t="inlineStr">
        <is>
          <t>18.10.2026</t>
        </is>
      </c>
      <c r="G2295" s="4" t="inlineStr">
        <is>
          <t>19:42</t>
        </is>
      </c>
      <c r="H2295" s="4" t="inlineStr">
        <is>
          <t>18.10.2026</t>
        </is>
      </c>
      <c r="I2295" s="4" t="inlineStr">
        <is>
          <t>08:00</t>
        </is>
      </c>
      <c r="J2295" s="8" t="n">
        <v>10.5</v>
      </c>
      <c r="K2295" s="8" t="n">
        <v>7.5</v>
      </c>
      <c r="L2295" s="8" t="n">
        <v>3</v>
      </c>
      <c r="M2295" s="29" t="inlineStr">
        <is>
          <t>SUSURLUK</t>
        </is>
      </c>
    </row>
    <row r="2296">
      <c r="A2296" s="4" t="n">
        <v>2295</v>
      </c>
      <c r="B2296" s="4" t="inlineStr">
        <is>
          <t>00200</t>
        </is>
      </c>
      <c r="C2296" s="4" t="inlineStr">
        <is>
          <t>00200</t>
        </is>
      </c>
      <c r="D2296" s="29" t="inlineStr">
        <is>
          <t>MAHMOUD ALZALEK</t>
        </is>
      </c>
      <c r="E2296" s="4" t="inlineStr">
        <is>
          <t>Pazartesi</t>
        </is>
      </c>
      <c r="F2296" s="4" t="inlineStr">
        <is>
          <t>19.10.2026</t>
        </is>
      </c>
      <c r="G2296" s="4" t="inlineStr">
        <is>
          <t>20:00</t>
        </is>
      </c>
      <c r="H2296" s="4" t="inlineStr">
        <is>
          <t>19.10.2026</t>
        </is>
      </c>
      <c r="I2296" s="4" t="inlineStr">
        <is>
          <t>08:00</t>
        </is>
      </c>
      <c r="J2296" s="8" t="n">
        <v>10.5</v>
      </c>
      <c r="K2296" s="8" t="n">
        <v>7.5</v>
      </c>
      <c r="L2296" s="8" t="n">
        <v>3</v>
      </c>
      <c r="M2296" s="29" t="inlineStr">
        <is>
          <t>SUSURLUK</t>
        </is>
      </c>
    </row>
    <row r="2297">
      <c r="A2297" s="4" t="n">
        <v>2296</v>
      </c>
      <c r="B2297" s="4" t="inlineStr">
        <is>
          <t>00200</t>
        </is>
      </c>
      <c r="C2297" s="4" t="inlineStr">
        <is>
          <t>00200</t>
        </is>
      </c>
      <c r="D2297" s="29" t="inlineStr">
        <is>
          <t>MAHMOUD ALZALEK</t>
        </is>
      </c>
      <c r="E2297" s="4" t="inlineStr">
        <is>
          <t>Salı</t>
        </is>
      </c>
      <c r="F2297" s="4" t="inlineStr">
        <is>
          <t>20.10.2026</t>
        </is>
      </c>
      <c r="G2297" s="4" t="inlineStr">
        <is>
          <t>19:52</t>
        </is>
      </c>
      <c r="H2297" s="4" t="inlineStr">
        <is>
          <t>20.10.2026</t>
        </is>
      </c>
      <c r="I2297" s="4" t="inlineStr">
        <is>
          <t>07:59</t>
        </is>
      </c>
      <c r="J2297" s="8" t="n">
        <v>10.5</v>
      </c>
      <c r="K2297" s="8" t="n">
        <v>7.5</v>
      </c>
      <c r="L2297" s="8" t="n">
        <v>3</v>
      </c>
      <c r="M2297" s="29" t="inlineStr">
        <is>
          <t>SUSURLUK</t>
        </is>
      </c>
    </row>
    <row r="2298">
      <c r="A2298" s="4" t="n">
        <v>2297</v>
      </c>
      <c r="B2298" s="4" t="inlineStr">
        <is>
          <t>00528</t>
        </is>
      </c>
      <c r="C2298" s="4" t="inlineStr">
        <is>
          <t>00528</t>
        </is>
      </c>
      <c r="D2298" s="29" t="inlineStr">
        <is>
          <t>MAHMURE ESEN</t>
        </is>
      </c>
      <c r="E2298" s="4" t="inlineStr">
        <is>
          <t>Pazartesi</t>
        </is>
      </c>
      <c r="F2298" s="4" t="inlineStr">
        <is>
          <t>5.10.2026</t>
        </is>
      </c>
      <c r="G2298" s="4" t="inlineStr">
        <is>
          <t>08:00</t>
        </is>
      </c>
      <c r="H2298" s="4" t="inlineStr">
        <is>
          <t>5.10.2026</t>
        </is>
      </c>
      <c r="I2298" s="4" t="inlineStr">
        <is>
          <t>17:04</t>
        </is>
      </c>
      <c r="J2298" s="8" t="n">
        <v>7.5</v>
      </c>
      <c r="K2298" s="8" t="n">
        <v>7.5</v>
      </c>
      <c r="L2298" s="8" t="n">
        <v>0</v>
      </c>
      <c r="M2298" s="29" t="inlineStr">
        <is>
          <t>HALİL DİĞRENCİ</t>
        </is>
      </c>
    </row>
    <row r="2299">
      <c r="A2299" s="4" t="n">
        <v>2298</v>
      </c>
      <c r="B2299" s="4" t="inlineStr">
        <is>
          <t>00528</t>
        </is>
      </c>
      <c r="C2299" s="4" t="inlineStr">
        <is>
          <t>00528</t>
        </is>
      </c>
      <c r="D2299" s="29" t="inlineStr">
        <is>
          <t>MAHMURE ESEN</t>
        </is>
      </c>
      <c r="E2299" s="4" t="inlineStr">
        <is>
          <t>Salı</t>
        </is>
      </c>
      <c r="F2299" s="4" t="inlineStr">
        <is>
          <t>6.10.2026</t>
        </is>
      </c>
      <c r="G2299" s="4" t="inlineStr">
        <is>
          <t>07:59</t>
        </is>
      </c>
      <c r="H2299" s="4" t="inlineStr">
        <is>
          <t>6.10.2026</t>
        </is>
      </c>
      <c r="I2299" s="4" t="inlineStr">
        <is>
          <t>17:40</t>
        </is>
      </c>
      <c r="J2299" s="8" t="n">
        <v>8</v>
      </c>
      <c r="K2299" s="8" t="n">
        <v>7.5</v>
      </c>
      <c r="L2299" s="8" t="n">
        <v>0.5</v>
      </c>
      <c r="M2299" s="29" t="inlineStr">
        <is>
          <t>HALİL DİĞRENCİ</t>
        </is>
      </c>
    </row>
    <row r="2300">
      <c r="A2300" s="4" t="n">
        <v>2299</v>
      </c>
      <c r="B2300" s="4" t="inlineStr">
        <is>
          <t>00528</t>
        </is>
      </c>
      <c r="C2300" s="4" t="inlineStr">
        <is>
          <t>00528</t>
        </is>
      </c>
      <c r="D2300" s="29" t="inlineStr">
        <is>
          <t>MAHMURE ESEN</t>
        </is>
      </c>
      <c r="E2300" s="4" t="inlineStr">
        <is>
          <t>Çarşamba</t>
        </is>
      </c>
      <c r="F2300" s="4" t="inlineStr">
        <is>
          <t>7.10.2026</t>
        </is>
      </c>
      <c r="G2300" s="4" t="inlineStr">
        <is>
          <t>07:48</t>
        </is>
      </c>
      <c r="H2300" s="4" t="inlineStr">
        <is>
          <t>7.10.2026</t>
        </is>
      </c>
      <c r="I2300" s="4" t="inlineStr">
        <is>
          <t>17:26</t>
        </is>
      </c>
      <c r="J2300" s="8" t="n">
        <v>8</v>
      </c>
      <c r="K2300" s="8" t="n">
        <v>7.5</v>
      </c>
      <c r="L2300" s="8" t="n">
        <v>0.5</v>
      </c>
      <c r="M2300" s="29" t="inlineStr">
        <is>
          <t>HALİL DİĞRENCİ</t>
        </is>
      </c>
    </row>
    <row r="2301">
      <c r="A2301" s="4" t="n">
        <v>2300</v>
      </c>
      <c r="B2301" s="4" t="inlineStr">
        <is>
          <t>00528</t>
        </is>
      </c>
      <c r="C2301" s="4" t="inlineStr">
        <is>
          <t>00528</t>
        </is>
      </c>
      <c r="D2301" s="29" t="inlineStr">
        <is>
          <t>MAHMURE ESEN</t>
        </is>
      </c>
      <c r="E2301" s="4" t="inlineStr">
        <is>
          <t>Perşembe</t>
        </is>
      </c>
      <c r="F2301" s="4" t="inlineStr">
        <is>
          <t>8.10.2026</t>
        </is>
      </c>
      <c r="G2301" s="4" t="inlineStr">
        <is>
          <t>07:50</t>
        </is>
      </c>
      <c r="H2301" s="4" t="inlineStr">
        <is>
          <t>8.10.2026</t>
        </is>
      </c>
      <c r="I2301" s="4" t="inlineStr">
        <is>
          <t>17:36</t>
        </is>
      </c>
      <c r="J2301" s="8" t="n">
        <v>8</v>
      </c>
      <c r="K2301" s="8" t="n">
        <v>7.5</v>
      </c>
      <c r="L2301" s="8" t="n">
        <v>0.5</v>
      </c>
      <c r="M2301" s="29" t="inlineStr">
        <is>
          <t>HALİL DİĞRENCİ</t>
        </is>
      </c>
    </row>
    <row r="2302">
      <c r="A2302" s="4" t="n">
        <v>2301</v>
      </c>
      <c r="B2302" s="4" t="inlineStr">
        <is>
          <t>00528</t>
        </is>
      </c>
      <c r="C2302" s="4" t="inlineStr">
        <is>
          <t>00528</t>
        </is>
      </c>
      <c r="D2302" s="29" t="inlineStr">
        <is>
          <t>MAHMURE ESEN</t>
        </is>
      </c>
      <c r="E2302" s="4" t="inlineStr">
        <is>
          <t>Cuma</t>
        </is>
      </c>
      <c r="F2302" s="4" t="inlineStr">
        <is>
          <t>9.10.2026</t>
        </is>
      </c>
      <c r="G2302" s="4" t="inlineStr">
        <is>
          <t>07:55</t>
        </is>
      </c>
      <c r="H2302" s="4" t="inlineStr">
        <is>
          <t>9.10.2026</t>
        </is>
      </c>
      <c r="I2302" s="4" t="inlineStr">
        <is>
          <t>17:43</t>
        </is>
      </c>
      <c r="J2302" s="8" t="n">
        <v>8</v>
      </c>
      <c r="K2302" s="8" t="n">
        <v>7.5</v>
      </c>
      <c r="L2302" s="8" t="n">
        <v>0.5</v>
      </c>
      <c r="M2302" s="29" t="inlineStr">
        <is>
          <t>HALİL DİĞRENCİ</t>
        </is>
      </c>
    </row>
    <row r="2303">
      <c r="A2303" s="4" t="n">
        <v>2302</v>
      </c>
      <c r="B2303" s="4" t="inlineStr">
        <is>
          <t>00528</t>
        </is>
      </c>
      <c r="C2303" s="4" t="inlineStr">
        <is>
          <t>00528</t>
        </is>
      </c>
      <c r="D2303" s="29" t="inlineStr">
        <is>
          <t>MAHMURE ESEN</t>
        </is>
      </c>
      <c r="E2303" s="4" t="inlineStr">
        <is>
          <t>Cumartesi</t>
        </is>
      </c>
      <c r="F2303" s="4" t="inlineStr">
        <is>
          <t>10.10.2026</t>
        </is>
      </c>
      <c r="G2303" s="4" t="inlineStr">
        <is>
          <t>07:58</t>
        </is>
      </c>
      <c r="H2303" s="4" t="inlineStr">
        <is>
          <t>10.10.2026</t>
        </is>
      </c>
      <c r="I2303" s="4" t="inlineStr">
        <is>
          <t>18:11</t>
        </is>
      </c>
      <c r="J2303" s="8" t="n">
        <v>8.5</v>
      </c>
      <c r="K2303" s="8" t="n">
        <v>7.5</v>
      </c>
      <c r="L2303" s="8" t="n">
        <v>1</v>
      </c>
      <c r="M2303" s="29" t="inlineStr">
        <is>
          <t>HALİL DİĞRENCİ</t>
        </is>
      </c>
    </row>
    <row r="2304">
      <c r="A2304" s="4" t="n">
        <v>2303</v>
      </c>
      <c r="B2304" s="4" t="inlineStr">
        <is>
          <t>00528</t>
        </is>
      </c>
      <c r="C2304" s="4" t="inlineStr">
        <is>
          <t>00528</t>
        </is>
      </c>
      <c r="D2304" s="29" t="inlineStr">
        <is>
          <t>MAHMURE ESEN</t>
        </is>
      </c>
      <c r="E2304" s="4" t="inlineStr">
        <is>
          <t>Pazartesi</t>
        </is>
      </c>
      <c r="F2304" s="4" t="inlineStr">
        <is>
          <t>12.10.2026</t>
        </is>
      </c>
      <c r="G2304" s="4" t="inlineStr">
        <is>
          <t>08:02</t>
        </is>
      </c>
      <c r="H2304" s="4" t="inlineStr">
        <is>
          <t>12.10.2026</t>
        </is>
      </c>
      <c r="I2304" s="4" t="inlineStr">
        <is>
          <t>17:03</t>
        </is>
      </c>
      <c r="J2304" s="8" t="n">
        <v>7.5</v>
      </c>
      <c r="K2304" s="8" t="n">
        <v>7.5</v>
      </c>
      <c r="L2304" s="8" t="n">
        <v>0</v>
      </c>
      <c r="M2304" s="29" t="inlineStr">
        <is>
          <t>HALİL DİĞRENCİ</t>
        </is>
      </c>
    </row>
    <row r="2305">
      <c r="A2305" s="4" t="n">
        <v>2304</v>
      </c>
      <c r="B2305" s="4" t="inlineStr">
        <is>
          <t>00528</t>
        </is>
      </c>
      <c r="C2305" s="4" t="inlineStr">
        <is>
          <t>00528</t>
        </is>
      </c>
      <c r="D2305" s="29" t="inlineStr">
        <is>
          <t>MAHMURE ESEN</t>
        </is>
      </c>
      <c r="E2305" s="4" t="inlineStr">
        <is>
          <t>Salı</t>
        </is>
      </c>
      <c r="F2305" s="4" t="inlineStr">
        <is>
          <t>13.10.2026</t>
        </is>
      </c>
      <c r="G2305" s="4" t="inlineStr">
        <is>
          <t>08:01</t>
        </is>
      </c>
      <c r="H2305" s="4" t="inlineStr">
        <is>
          <t>13.10.2026</t>
        </is>
      </c>
      <c r="I2305" s="4" t="inlineStr">
        <is>
          <t>17:00</t>
        </is>
      </c>
      <c r="J2305" s="8" t="n">
        <v>7.5</v>
      </c>
      <c r="K2305" s="8" t="n">
        <v>7.5</v>
      </c>
      <c r="L2305" s="8" t="n">
        <v>0</v>
      </c>
      <c r="M2305" s="29" t="inlineStr">
        <is>
          <t>HALİL DİĞRENCİ</t>
        </is>
      </c>
    </row>
    <row r="2306">
      <c r="A2306" s="4" t="n">
        <v>2305</v>
      </c>
      <c r="B2306" s="4" t="inlineStr">
        <is>
          <t>00528</t>
        </is>
      </c>
      <c r="C2306" s="4" t="inlineStr">
        <is>
          <t>00528</t>
        </is>
      </c>
      <c r="D2306" s="29" t="inlineStr">
        <is>
          <t>MAHMURE ESEN</t>
        </is>
      </c>
      <c r="E2306" s="4" t="inlineStr">
        <is>
          <t>Çarşamba</t>
        </is>
      </c>
      <c r="F2306" s="4" t="inlineStr">
        <is>
          <t>14.10.2026</t>
        </is>
      </c>
      <c r="G2306" s="4" t="inlineStr">
        <is>
          <t>07:55</t>
        </is>
      </c>
      <c r="H2306" s="4" t="inlineStr">
        <is>
          <t>14.10.2026</t>
        </is>
      </c>
      <c r="I2306" s="4" t="inlineStr">
        <is>
          <t>18:07</t>
        </is>
      </c>
      <c r="J2306" s="8" t="n">
        <v>8.5</v>
      </c>
      <c r="K2306" s="8" t="n">
        <v>7.5</v>
      </c>
      <c r="L2306" s="8" t="n">
        <v>1</v>
      </c>
      <c r="M2306" s="29" t="inlineStr">
        <is>
          <t>HALİL DİĞRENCİ</t>
        </is>
      </c>
    </row>
    <row r="2307">
      <c r="A2307" s="4" t="n">
        <v>2306</v>
      </c>
      <c r="B2307" s="4" t="inlineStr">
        <is>
          <t>00528</t>
        </is>
      </c>
      <c r="C2307" s="4" t="inlineStr">
        <is>
          <t>00528</t>
        </is>
      </c>
      <c r="D2307" s="29" t="inlineStr">
        <is>
          <t>MAHMURE ESEN</t>
        </is>
      </c>
      <c r="E2307" s="4" t="inlineStr">
        <is>
          <t>Perşembe</t>
        </is>
      </c>
      <c r="F2307" s="4" t="inlineStr">
        <is>
          <t>15.10.2026</t>
        </is>
      </c>
      <c r="G2307" s="4" t="inlineStr">
        <is>
          <t>08:03</t>
        </is>
      </c>
      <c r="H2307" s="4" t="inlineStr">
        <is>
          <t>15.10.2026</t>
        </is>
      </c>
      <c r="I2307" s="4" t="inlineStr">
        <is>
          <t>-</t>
        </is>
      </c>
      <c r="J2307" s="8" t="n">
        <v>7.5</v>
      </c>
      <c r="K2307" s="8" t="n">
        <v>7.5</v>
      </c>
      <c r="L2307" s="8" t="n">
        <v>0</v>
      </c>
      <c r="M2307" s="29" t="inlineStr">
        <is>
          <t>HALİL DİĞRENCİ</t>
        </is>
      </c>
    </row>
    <row r="2308">
      <c r="A2308" s="4" t="n">
        <v>2307</v>
      </c>
      <c r="B2308" s="4" t="inlineStr">
        <is>
          <t>00528</t>
        </is>
      </c>
      <c r="C2308" s="4" t="inlineStr">
        <is>
          <t>00528</t>
        </is>
      </c>
      <c r="D2308" s="29" t="inlineStr">
        <is>
          <t>MAHMURE ESEN</t>
        </is>
      </c>
      <c r="E2308" s="4" t="inlineStr">
        <is>
          <t>Cuma</t>
        </is>
      </c>
      <c r="F2308" s="4" t="inlineStr">
        <is>
          <t>16.10.2026</t>
        </is>
      </c>
      <c r="G2308" s="4" t="inlineStr">
        <is>
          <t>07:51</t>
        </is>
      </c>
      <c r="H2308" s="4" t="inlineStr">
        <is>
          <t>16.10.2026</t>
        </is>
      </c>
      <c r="I2308" s="4" t="inlineStr">
        <is>
          <t>17:16</t>
        </is>
      </c>
      <c r="J2308" s="8" t="n">
        <v>7.5</v>
      </c>
      <c r="K2308" s="8" t="n">
        <v>7.5</v>
      </c>
      <c r="L2308" s="8" t="n">
        <v>0</v>
      </c>
      <c r="M2308" s="29" t="inlineStr">
        <is>
          <t>HALİL DİĞRENCİ</t>
        </is>
      </c>
    </row>
    <row r="2309">
      <c r="A2309" s="4" t="n">
        <v>2308</v>
      </c>
      <c r="B2309" s="4" t="inlineStr">
        <is>
          <t>00528</t>
        </is>
      </c>
      <c r="C2309" s="4" t="inlineStr">
        <is>
          <t>00528</t>
        </is>
      </c>
      <c r="D2309" s="29" t="inlineStr">
        <is>
          <t>MAHMURE ESEN</t>
        </is>
      </c>
      <c r="E2309" s="4" t="inlineStr">
        <is>
          <t>Cumartesi</t>
        </is>
      </c>
      <c r="F2309" s="4" t="inlineStr">
        <is>
          <t>17.10.2026</t>
        </is>
      </c>
      <c r="G2309" s="4" t="inlineStr">
        <is>
          <t>07:53</t>
        </is>
      </c>
      <c r="H2309" s="4" t="inlineStr">
        <is>
          <t>17.10.2026</t>
        </is>
      </c>
      <c r="I2309" s="4" t="inlineStr">
        <is>
          <t>17:51</t>
        </is>
      </c>
      <c r="J2309" s="8" t="n">
        <v>0</v>
      </c>
      <c r="K2309" s="8" t="n">
        <v>0</v>
      </c>
      <c r="L2309" s="8" t="n">
        <v>0</v>
      </c>
      <c r="M2309" s="29" t="inlineStr">
        <is>
          <t>HALİL DİĞRENCİ</t>
        </is>
      </c>
    </row>
    <row r="2310">
      <c r="A2310" s="4" t="n">
        <v>2309</v>
      </c>
      <c r="B2310" s="4" t="inlineStr">
        <is>
          <t>00528</t>
        </is>
      </c>
      <c r="C2310" s="4" t="inlineStr">
        <is>
          <t>00528</t>
        </is>
      </c>
      <c r="D2310" s="29" t="inlineStr">
        <is>
          <t>MAHMURE ESEN</t>
        </is>
      </c>
      <c r="E2310" s="4" t="inlineStr">
        <is>
          <t>Salı</t>
        </is>
      </c>
      <c r="F2310" s="4" t="inlineStr">
        <is>
          <t>20.10.2026</t>
        </is>
      </c>
      <c r="G2310" s="4" t="inlineStr">
        <is>
          <t>07:56</t>
        </is>
      </c>
      <c r="H2310" s="4" t="inlineStr">
        <is>
          <t>20.10.2026</t>
        </is>
      </c>
      <c r="I2310" s="4" t="inlineStr">
        <is>
          <t>17:01</t>
        </is>
      </c>
      <c r="J2310" s="8" t="n">
        <v>7.5</v>
      </c>
      <c r="K2310" s="8" t="n">
        <v>7.5</v>
      </c>
      <c r="L2310" s="8" t="n">
        <v>0</v>
      </c>
      <c r="M2310" s="29" t="inlineStr">
        <is>
          <t>HALİL DİĞRENCİ</t>
        </is>
      </c>
    </row>
    <row r="2311">
      <c r="A2311" s="4" t="n">
        <v>2310</v>
      </c>
      <c r="B2311" s="4" t="inlineStr">
        <is>
          <t>00528</t>
        </is>
      </c>
      <c r="C2311" s="4" t="inlineStr">
        <is>
          <t>00528</t>
        </is>
      </c>
      <c r="D2311" s="29" t="inlineStr">
        <is>
          <t>MAHMURE ESEN</t>
        </is>
      </c>
      <c r="E2311" s="4" t="inlineStr">
        <is>
          <t>Çarşamba</t>
        </is>
      </c>
      <c r="F2311" s="4" t="inlineStr">
        <is>
          <t>21.10.2026</t>
        </is>
      </c>
      <c r="G2311" s="4" t="inlineStr">
        <is>
          <t>07:54</t>
        </is>
      </c>
      <c r="H2311" s="4" t="inlineStr">
        <is>
          <t>21.10.2026</t>
        </is>
      </c>
      <c r="I2311" s="4" t="inlineStr">
        <is>
          <t>17:03</t>
        </is>
      </c>
      <c r="J2311" s="8" t="n">
        <v>7.5</v>
      </c>
      <c r="K2311" s="8" t="n">
        <v>7.5</v>
      </c>
      <c r="L2311" s="8" t="n">
        <v>0</v>
      </c>
      <c r="M2311" s="29" t="inlineStr">
        <is>
          <t>HALİL DİĞRENCİ</t>
        </is>
      </c>
    </row>
    <row r="2312">
      <c r="A2312" s="4" t="n">
        <v>2311</v>
      </c>
      <c r="B2312" s="4" t="inlineStr">
        <is>
          <t>01432</t>
        </is>
      </c>
      <c r="C2312" s="4" t="inlineStr">
        <is>
          <t>01432</t>
        </is>
      </c>
      <c r="D2312" s="29" t="inlineStr">
        <is>
          <t>MAHSUN GİRGİN</t>
        </is>
      </c>
      <c r="E2312" s="4" t="inlineStr">
        <is>
          <t>Cumartesi</t>
        </is>
      </c>
      <c r="F2312" s="4" t="inlineStr">
        <is>
          <t>3.10.2026</t>
        </is>
      </c>
      <c r="G2312" s="4" t="inlineStr">
        <is>
          <t>08:08</t>
        </is>
      </c>
      <c r="H2312" s="4" t="inlineStr">
        <is>
          <t>3.10.2026</t>
        </is>
      </c>
      <c r="I2312" s="4" t="inlineStr">
        <is>
          <t>20:01</t>
        </is>
      </c>
      <c r="J2312" s="8" t="n">
        <v>10.5</v>
      </c>
      <c r="K2312" s="8" t="n">
        <v>7.5</v>
      </c>
      <c r="L2312" s="8" t="n">
        <v>3</v>
      </c>
      <c r="M2312" s="29" t="inlineStr">
        <is>
          <t>HALİL DİĞRENCİ</t>
        </is>
      </c>
    </row>
    <row r="2313">
      <c r="A2313" s="4" t="n">
        <v>2312</v>
      </c>
      <c r="B2313" s="4" t="inlineStr">
        <is>
          <t>01432</t>
        </is>
      </c>
      <c r="C2313" s="4" t="inlineStr">
        <is>
          <t>01432</t>
        </is>
      </c>
      <c r="D2313" s="29" t="inlineStr">
        <is>
          <t>MAHSUN GİRGİN</t>
        </is>
      </c>
      <c r="E2313" s="4" t="inlineStr">
        <is>
          <t>Pazar</t>
        </is>
      </c>
      <c r="F2313" s="4" t="inlineStr">
        <is>
          <t>4.10.2026</t>
        </is>
      </c>
      <c r="G2313" s="4" t="inlineStr">
        <is>
          <t>07:52</t>
        </is>
      </c>
      <c r="H2313" s="4" t="inlineStr">
        <is>
          <t>4.10.2026</t>
        </is>
      </c>
      <c r="I2313" s="4" t="inlineStr">
        <is>
          <t>17:02</t>
        </is>
      </c>
      <c r="J2313" s="8" t="n">
        <v>7.5</v>
      </c>
      <c r="K2313" s="8" t="n">
        <v>7.5</v>
      </c>
      <c r="L2313" s="8" t="n">
        <v>0</v>
      </c>
      <c r="M2313" s="29" t="inlineStr">
        <is>
          <t>HALİL DİĞRENCİ</t>
        </is>
      </c>
    </row>
    <row r="2314">
      <c r="A2314" s="4" t="n">
        <v>2313</v>
      </c>
      <c r="B2314" s="4" t="inlineStr">
        <is>
          <t>01432</t>
        </is>
      </c>
      <c r="C2314" s="4" t="inlineStr">
        <is>
          <t>01432</t>
        </is>
      </c>
      <c r="D2314" s="29" t="inlineStr">
        <is>
          <t>MAHSUN GİRGİN</t>
        </is>
      </c>
      <c r="E2314" s="4" t="inlineStr">
        <is>
          <t>Pazartesi</t>
        </is>
      </c>
      <c r="F2314" s="4" t="inlineStr">
        <is>
          <t>5.10.2026</t>
        </is>
      </c>
      <c r="G2314" s="4" t="inlineStr">
        <is>
          <t>07:36</t>
        </is>
      </c>
      <c r="H2314" s="4" t="inlineStr">
        <is>
          <t>5.10.2026</t>
        </is>
      </c>
      <c r="I2314" s="4" t="inlineStr">
        <is>
          <t>20:01</t>
        </is>
      </c>
      <c r="J2314" s="8" t="n">
        <v>10.5</v>
      </c>
      <c r="K2314" s="8" t="n">
        <v>7.5</v>
      </c>
      <c r="L2314" s="8" t="n">
        <v>3</v>
      </c>
      <c r="M2314" s="29" t="inlineStr">
        <is>
          <t>HALİL DİĞRENCİ</t>
        </is>
      </c>
    </row>
    <row r="2315">
      <c r="A2315" s="4" t="n">
        <v>2314</v>
      </c>
      <c r="B2315" s="4" t="inlineStr">
        <is>
          <t>01432</t>
        </is>
      </c>
      <c r="C2315" s="4" t="inlineStr">
        <is>
          <t>01432</t>
        </is>
      </c>
      <c r="D2315" s="29" t="inlineStr">
        <is>
          <t>MAHSUN GİRGİN</t>
        </is>
      </c>
      <c r="E2315" s="4" t="inlineStr">
        <is>
          <t>Salı</t>
        </is>
      </c>
      <c r="F2315" s="4" t="inlineStr">
        <is>
          <t>6.10.2026</t>
        </is>
      </c>
      <c r="G2315" s="4" t="inlineStr">
        <is>
          <t>07:34</t>
        </is>
      </c>
      <c r="H2315" s="4" t="inlineStr">
        <is>
          <t>6.10.2026</t>
        </is>
      </c>
      <c r="I2315" s="4" t="inlineStr">
        <is>
          <t>07:56</t>
        </is>
      </c>
      <c r="J2315" s="8" t="n">
        <v>15</v>
      </c>
      <c r="K2315" s="8" t="n">
        <v>7.5</v>
      </c>
      <c r="L2315" s="8" t="n">
        <v>7.5</v>
      </c>
      <c r="M2315" s="29" t="inlineStr">
        <is>
          <t>HALİL DİĞRENCİ</t>
        </is>
      </c>
    </row>
    <row r="2316">
      <c r="A2316" s="4" t="n">
        <v>2315</v>
      </c>
      <c r="B2316" s="4" t="inlineStr">
        <is>
          <t>01432</t>
        </is>
      </c>
      <c r="C2316" s="4" t="inlineStr">
        <is>
          <t>01432</t>
        </is>
      </c>
      <c r="D2316" s="29" t="inlineStr">
        <is>
          <t>MAHSUN GİRGİN</t>
        </is>
      </c>
      <c r="E2316" s="4" t="inlineStr">
        <is>
          <t>Çarşamba</t>
        </is>
      </c>
      <c r="F2316" s="4" t="inlineStr">
        <is>
          <t>7.10.2026</t>
        </is>
      </c>
      <c r="G2316" s="4" t="inlineStr">
        <is>
          <t>08:10</t>
        </is>
      </c>
      <c r="H2316" s="4" t="inlineStr">
        <is>
          <t>7.10.2026</t>
        </is>
      </c>
      <c r="I2316" s="4" t="inlineStr">
        <is>
          <t>20:08</t>
        </is>
      </c>
      <c r="J2316" s="8" t="n">
        <v>10.5</v>
      </c>
      <c r="K2316" s="8" t="n">
        <v>7.5</v>
      </c>
      <c r="L2316" s="8" t="n">
        <v>3</v>
      </c>
      <c r="M2316" s="29" t="inlineStr">
        <is>
          <t>HALİL DİĞRENCİ</t>
        </is>
      </c>
    </row>
    <row r="2317">
      <c r="A2317" s="4" t="n">
        <v>2316</v>
      </c>
      <c r="B2317" s="4" t="inlineStr">
        <is>
          <t>01432</t>
        </is>
      </c>
      <c r="C2317" s="4" t="inlineStr">
        <is>
          <t>01432</t>
        </is>
      </c>
      <c r="D2317" s="29" t="inlineStr">
        <is>
          <t>MAHSUN GİRGİN</t>
        </is>
      </c>
      <c r="E2317" s="4" t="inlineStr">
        <is>
          <t>Perşembe</t>
        </is>
      </c>
      <c r="F2317" s="4" t="inlineStr">
        <is>
          <t>8.10.2026</t>
        </is>
      </c>
      <c r="G2317" s="4" t="inlineStr">
        <is>
          <t>07:33</t>
        </is>
      </c>
      <c r="H2317" s="4" t="inlineStr">
        <is>
          <t>8.10.2026</t>
        </is>
      </c>
      <c r="I2317" s="4" t="inlineStr">
        <is>
          <t>08:01</t>
        </is>
      </c>
      <c r="J2317" s="8" t="n">
        <v>21</v>
      </c>
      <c r="K2317" s="8" t="n">
        <v>7.5</v>
      </c>
      <c r="L2317" s="8" t="n">
        <v>13.5</v>
      </c>
      <c r="M2317" s="29" t="inlineStr">
        <is>
          <t>HALİL DİĞRENCİ</t>
        </is>
      </c>
    </row>
    <row r="2318">
      <c r="A2318" s="4" t="n">
        <v>2317</v>
      </c>
      <c r="B2318" s="4" t="inlineStr">
        <is>
          <t>01432</t>
        </is>
      </c>
      <c r="C2318" s="4" t="inlineStr">
        <is>
          <t>01432</t>
        </is>
      </c>
      <c r="D2318" s="29" t="inlineStr">
        <is>
          <t>MAHSUN GİRGİN</t>
        </is>
      </c>
      <c r="E2318" s="4" t="inlineStr">
        <is>
          <t>Cuma</t>
        </is>
      </c>
      <c r="F2318" s="4" t="inlineStr">
        <is>
          <t>9.10.2026</t>
        </is>
      </c>
      <c r="G2318" s="4" t="inlineStr">
        <is>
          <t>08:02</t>
        </is>
      </c>
      <c r="H2318" s="4" t="inlineStr">
        <is>
          <t>9.10.2026</t>
        </is>
      </c>
      <c r="I2318" s="4" t="inlineStr">
        <is>
          <t>20:01</t>
        </is>
      </c>
      <c r="J2318" s="8" t="n">
        <v>10.5</v>
      </c>
      <c r="K2318" s="8" t="n">
        <v>7.5</v>
      </c>
      <c r="L2318" s="8" t="n">
        <v>3</v>
      </c>
      <c r="M2318" s="29" t="inlineStr">
        <is>
          <t>HALİL DİĞRENCİ</t>
        </is>
      </c>
    </row>
    <row r="2319">
      <c r="A2319" s="4" t="n">
        <v>2318</v>
      </c>
      <c r="B2319" s="4" t="inlineStr">
        <is>
          <t>01432</t>
        </is>
      </c>
      <c r="C2319" s="4" t="inlineStr">
        <is>
          <t>01432</t>
        </is>
      </c>
      <c r="D2319" s="29" t="inlineStr">
        <is>
          <t>MAHSUN GİRGİN</t>
        </is>
      </c>
      <c r="E2319" s="4" t="inlineStr">
        <is>
          <t>Cumartesi</t>
        </is>
      </c>
      <c r="F2319" s="4" t="inlineStr">
        <is>
          <t>10.10.2026</t>
        </is>
      </c>
      <c r="G2319" s="4" t="inlineStr">
        <is>
          <t>07:59</t>
        </is>
      </c>
      <c r="H2319" s="4" t="inlineStr">
        <is>
          <t>10.10.2026</t>
        </is>
      </c>
      <c r="I2319" s="4" t="inlineStr">
        <is>
          <t>20:02</t>
        </is>
      </c>
      <c r="J2319" s="8" t="n">
        <v>10.5</v>
      </c>
      <c r="K2319" s="8" t="n">
        <v>7.5</v>
      </c>
      <c r="L2319" s="8" t="n">
        <v>3</v>
      </c>
      <c r="M2319" s="29" t="inlineStr">
        <is>
          <t>HALİL DİĞRENCİ</t>
        </is>
      </c>
    </row>
    <row r="2320">
      <c r="A2320" s="4" t="n">
        <v>2319</v>
      </c>
      <c r="B2320" s="4" t="inlineStr">
        <is>
          <t>01432</t>
        </is>
      </c>
      <c r="C2320" s="4" t="inlineStr">
        <is>
          <t>01432</t>
        </is>
      </c>
      <c r="D2320" s="29" t="inlineStr">
        <is>
          <t>MAHSUN GİRGİN</t>
        </is>
      </c>
      <c r="E2320" s="4" t="inlineStr">
        <is>
          <t>Pazar</t>
        </is>
      </c>
      <c r="F2320" s="4" t="inlineStr">
        <is>
          <t>11.10.2026</t>
        </is>
      </c>
      <c r="G2320" s="4" t="inlineStr">
        <is>
          <t>07:55</t>
        </is>
      </c>
      <c r="H2320" s="4" t="inlineStr">
        <is>
          <t>11.10.2026</t>
        </is>
      </c>
      <c r="I2320" s="4" t="inlineStr">
        <is>
          <t>20:08</t>
        </is>
      </c>
      <c r="J2320" s="8" t="n">
        <v>10.5</v>
      </c>
      <c r="K2320" s="8" t="n">
        <v>7.5</v>
      </c>
      <c r="L2320" s="8" t="n">
        <v>3</v>
      </c>
      <c r="M2320" s="29" t="inlineStr">
        <is>
          <t>HALİL DİĞRENCİ</t>
        </is>
      </c>
    </row>
    <row r="2321">
      <c r="A2321" s="4" t="n">
        <v>2320</v>
      </c>
      <c r="B2321" s="4" t="inlineStr">
        <is>
          <t>01432</t>
        </is>
      </c>
      <c r="C2321" s="4" t="inlineStr">
        <is>
          <t>01432</t>
        </is>
      </c>
      <c r="D2321" s="29" t="inlineStr">
        <is>
          <t>MAHSUN GİRGİN</t>
        </is>
      </c>
      <c r="E2321" s="4" t="inlineStr">
        <is>
          <t>Pazartesi</t>
        </is>
      </c>
      <c r="F2321" s="4" t="inlineStr">
        <is>
          <t>12.10.2026</t>
        </is>
      </c>
      <c r="G2321" s="4" t="inlineStr">
        <is>
          <t>08:08</t>
        </is>
      </c>
      <c r="H2321" s="4" t="inlineStr">
        <is>
          <t>12.10.2026</t>
        </is>
      </c>
      <c r="I2321" s="4" t="inlineStr">
        <is>
          <t>20:04</t>
        </is>
      </c>
      <c r="J2321" s="8" t="n">
        <v>10.5</v>
      </c>
      <c r="K2321" s="8" t="n">
        <v>7.5</v>
      </c>
      <c r="L2321" s="8" t="n">
        <v>3</v>
      </c>
      <c r="M2321" s="29" t="inlineStr">
        <is>
          <t>HALİL DİĞRENCİ</t>
        </is>
      </c>
    </row>
    <row r="2322">
      <c r="A2322" s="4" t="n">
        <v>2321</v>
      </c>
      <c r="B2322" s="4" t="inlineStr">
        <is>
          <t>01432</t>
        </is>
      </c>
      <c r="C2322" s="4" t="inlineStr">
        <is>
          <t>01432</t>
        </is>
      </c>
      <c r="D2322" s="29" t="inlineStr">
        <is>
          <t>MAHSUN GİRGİN</t>
        </is>
      </c>
      <c r="E2322" s="4" t="inlineStr">
        <is>
          <t>Salı</t>
        </is>
      </c>
      <c r="F2322" s="4" t="inlineStr">
        <is>
          <t>13.10.2026</t>
        </is>
      </c>
      <c r="G2322" s="4" t="inlineStr">
        <is>
          <t>08:04</t>
        </is>
      </c>
      <c r="H2322" s="4" t="inlineStr">
        <is>
          <t>13.10.2026</t>
        </is>
      </c>
      <c r="I2322" s="4" t="inlineStr">
        <is>
          <t>07:56</t>
        </is>
      </c>
      <c r="J2322" s="8" t="n">
        <v>21</v>
      </c>
      <c r="K2322" s="8" t="n">
        <v>7.5</v>
      </c>
      <c r="L2322" s="8" t="n">
        <v>13.5</v>
      </c>
      <c r="M2322" s="29" t="inlineStr">
        <is>
          <t>HALİL DİĞRENCİ</t>
        </is>
      </c>
    </row>
    <row r="2323">
      <c r="A2323" s="4" t="n">
        <v>2322</v>
      </c>
      <c r="B2323" s="4" t="inlineStr">
        <is>
          <t>01432</t>
        </is>
      </c>
      <c r="C2323" s="4" t="inlineStr">
        <is>
          <t>01432</t>
        </is>
      </c>
      <c r="D2323" s="29" t="inlineStr">
        <is>
          <t>MAHSUN GİRGİN</t>
        </is>
      </c>
      <c r="E2323" s="4" t="inlineStr">
        <is>
          <t>Çarşamba</t>
        </is>
      </c>
      <c r="F2323" s="4" t="inlineStr">
        <is>
          <t>14.10.2026</t>
        </is>
      </c>
      <c r="G2323" s="4" t="inlineStr">
        <is>
          <t>08:01</t>
        </is>
      </c>
      <c r="H2323" s="4" t="inlineStr">
        <is>
          <t>14.10.2026</t>
        </is>
      </c>
      <c r="I2323" s="4" t="inlineStr">
        <is>
          <t>20:03</t>
        </is>
      </c>
      <c r="J2323" s="8" t="n">
        <v>10.5</v>
      </c>
      <c r="K2323" s="8" t="n">
        <v>7.5</v>
      </c>
      <c r="L2323" s="8" t="n">
        <v>3</v>
      </c>
      <c r="M2323" s="29" t="inlineStr">
        <is>
          <t>HALİL DİĞRENCİ</t>
        </is>
      </c>
    </row>
    <row r="2324">
      <c r="A2324" s="4" t="n">
        <v>2323</v>
      </c>
      <c r="B2324" s="4" t="inlineStr">
        <is>
          <t>01432</t>
        </is>
      </c>
      <c r="C2324" s="4" t="inlineStr">
        <is>
          <t>01432</t>
        </is>
      </c>
      <c r="D2324" s="29" t="inlineStr">
        <is>
          <t>MAHSUN GİRGİN</t>
        </is>
      </c>
      <c r="E2324" s="4" t="inlineStr">
        <is>
          <t>Perşembe</t>
        </is>
      </c>
      <c r="F2324" s="4" t="inlineStr">
        <is>
          <t>15.10.2026</t>
        </is>
      </c>
      <c r="G2324" s="4" t="inlineStr">
        <is>
          <t>08:06</t>
        </is>
      </c>
      <c r="H2324" s="4" t="inlineStr">
        <is>
          <t>15.10.2026</t>
        </is>
      </c>
      <c r="I2324" s="4" t="inlineStr">
        <is>
          <t>20:02</t>
        </is>
      </c>
      <c r="J2324" s="8" t="n">
        <v>10.5</v>
      </c>
      <c r="K2324" s="8" t="n">
        <v>7.5</v>
      </c>
      <c r="L2324" s="8" t="n">
        <v>3</v>
      </c>
      <c r="M2324" s="29" t="inlineStr">
        <is>
          <t>HALİL DİĞRENCİ</t>
        </is>
      </c>
    </row>
    <row r="2325">
      <c r="A2325" s="4" t="n">
        <v>2324</v>
      </c>
      <c r="B2325" s="4" t="inlineStr">
        <is>
          <t>01432</t>
        </is>
      </c>
      <c r="C2325" s="4" t="inlineStr">
        <is>
          <t>01432</t>
        </is>
      </c>
      <c r="D2325" s="29" t="inlineStr">
        <is>
          <t>MAHSUN GİRGİN</t>
        </is>
      </c>
      <c r="E2325" s="4" t="inlineStr">
        <is>
          <t>Cuma</t>
        </is>
      </c>
      <c r="F2325" s="4" t="inlineStr">
        <is>
          <t>16.10.2026</t>
        </is>
      </c>
      <c r="G2325" s="4" t="inlineStr">
        <is>
          <t>07:59</t>
        </is>
      </c>
      <c r="H2325" s="4" t="inlineStr">
        <is>
          <t>16.10.2026</t>
        </is>
      </c>
      <c r="I2325" s="4" t="inlineStr">
        <is>
          <t>20:02</t>
        </is>
      </c>
      <c r="J2325" s="8" t="n">
        <v>0</v>
      </c>
      <c r="K2325" s="8" t="n">
        <v>0</v>
      </c>
      <c r="L2325" s="8" t="n">
        <v>0</v>
      </c>
      <c r="M2325" s="29" t="inlineStr">
        <is>
          <t>HALİL DİĞRENCİ</t>
        </is>
      </c>
    </row>
    <row r="2326">
      <c r="A2326" s="4" t="n">
        <v>2325</v>
      </c>
      <c r="B2326" s="4" t="inlineStr">
        <is>
          <t>01432</t>
        </is>
      </c>
      <c r="C2326" s="4" t="inlineStr">
        <is>
          <t>01432</t>
        </is>
      </c>
      <c r="D2326" s="29" t="inlineStr">
        <is>
          <t>MAHSUN GİRGİN</t>
        </is>
      </c>
      <c r="E2326" s="4" t="inlineStr">
        <is>
          <t>Cumartesi</t>
        </is>
      </c>
      <c r="F2326" s="4" t="inlineStr">
        <is>
          <t>17.10.2026</t>
        </is>
      </c>
      <c r="G2326" s="4" t="inlineStr">
        <is>
          <t>08:00</t>
        </is>
      </c>
      <c r="H2326" s="4" t="inlineStr">
        <is>
          <t>17.10.2026</t>
        </is>
      </c>
      <c r="I2326" s="4" t="inlineStr">
        <is>
          <t>20:01</t>
        </is>
      </c>
      <c r="J2326" s="8" t="n">
        <v>10.5</v>
      </c>
      <c r="K2326" s="8" t="n">
        <v>7.5</v>
      </c>
      <c r="L2326" s="8" t="n">
        <v>3</v>
      </c>
      <c r="M2326" s="29" t="inlineStr">
        <is>
          <t>HALİL DİĞRENCİ</t>
        </is>
      </c>
    </row>
    <row r="2327">
      <c r="A2327" s="4" t="n">
        <v>2326</v>
      </c>
      <c r="B2327" s="4" t="inlineStr">
        <is>
          <t>01432</t>
        </is>
      </c>
      <c r="C2327" s="4" t="inlineStr">
        <is>
          <t>01432</t>
        </is>
      </c>
      <c r="D2327" s="29" t="inlineStr">
        <is>
          <t>MAHSUN GİRGİN</t>
        </is>
      </c>
      <c r="E2327" s="4" t="inlineStr">
        <is>
          <t>Pazar</t>
        </is>
      </c>
      <c r="F2327" s="4" t="inlineStr">
        <is>
          <t>18.10.2026</t>
        </is>
      </c>
      <c r="G2327" s="4" t="inlineStr">
        <is>
          <t>07:42</t>
        </is>
      </c>
      <c r="H2327" s="4" t="inlineStr">
        <is>
          <t>18.10.2026</t>
        </is>
      </c>
      <c r="I2327" s="4" t="inlineStr">
        <is>
          <t>17:28</t>
        </is>
      </c>
      <c r="J2327" s="8" t="n">
        <v>8</v>
      </c>
      <c r="K2327" s="8" t="n">
        <v>7.5</v>
      </c>
      <c r="L2327" s="8" t="n">
        <v>0.5</v>
      </c>
      <c r="M2327" s="29" t="inlineStr">
        <is>
          <t>HALİL DİĞRENCİ</t>
        </is>
      </c>
    </row>
    <row r="2328">
      <c r="A2328" s="4" t="n">
        <v>2327</v>
      </c>
      <c r="B2328" s="4" t="inlineStr">
        <is>
          <t>01432</t>
        </is>
      </c>
      <c r="C2328" s="4" t="inlineStr">
        <is>
          <t>01432</t>
        </is>
      </c>
      <c r="D2328" s="29" t="inlineStr">
        <is>
          <t>MAHSUN GİRGİN</t>
        </is>
      </c>
      <c r="E2328" s="4" t="inlineStr">
        <is>
          <t>Pazartesi</t>
        </is>
      </c>
      <c r="F2328" s="4" t="inlineStr">
        <is>
          <t>19.10.2026</t>
        </is>
      </c>
      <c r="G2328" s="4" t="inlineStr">
        <is>
          <t>08:01</t>
        </is>
      </c>
      <c r="H2328" s="4" t="inlineStr">
        <is>
          <t>19.10.2026</t>
        </is>
      </c>
      <c r="I2328" s="4" t="inlineStr">
        <is>
          <t>20:01</t>
        </is>
      </c>
      <c r="J2328" s="8" t="n">
        <v>0</v>
      </c>
      <c r="K2328" s="8" t="n">
        <v>0</v>
      </c>
      <c r="L2328" s="8" t="n">
        <v>0</v>
      </c>
      <c r="M2328" s="29" t="inlineStr">
        <is>
          <t>HALİL DİĞRENCİ</t>
        </is>
      </c>
    </row>
    <row r="2329">
      <c r="A2329" s="4" t="n">
        <v>2328</v>
      </c>
      <c r="B2329" s="4" t="inlineStr">
        <is>
          <t>01432</t>
        </is>
      </c>
      <c r="C2329" s="4" t="inlineStr">
        <is>
          <t>01432</t>
        </is>
      </c>
      <c r="D2329" s="29" t="inlineStr">
        <is>
          <t>MAHSUN GİRGİN</t>
        </is>
      </c>
      <c r="E2329" s="4" t="inlineStr">
        <is>
          <t>Salı</t>
        </is>
      </c>
      <c r="F2329" s="4" t="inlineStr">
        <is>
          <t>20.10.2026</t>
        </is>
      </c>
      <c r="G2329" s="4" t="inlineStr">
        <is>
          <t>08:01</t>
        </is>
      </c>
      <c r="H2329" s="4" t="inlineStr">
        <is>
          <t>20.10.2026</t>
        </is>
      </c>
      <c r="I2329" s="4" t="inlineStr">
        <is>
          <t>21:48</t>
        </is>
      </c>
      <c r="J2329" s="8" t="n">
        <v>12.5</v>
      </c>
      <c r="K2329" s="8" t="n">
        <v>7.5</v>
      </c>
      <c r="L2329" s="8" t="n">
        <v>5</v>
      </c>
      <c r="M2329" s="29" t="inlineStr">
        <is>
          <t>HALİL DİĞRENCİ</t>
        </is>
      </c>
    </row>
    <row r="2330">
      <c r="A2330" s="4" t="n">
        <v>2329</v>
      </c>
      <c r="B2330" s="4" t="inlineStr">
        <is>
          <t>01432</t>
        </is>
      </c>
      <c r="C2330" s="4" t="inlineStr">
        <is>
          <t>01432</t>
        </is>
      </c>
      <c r="D2330" s="29" t="inlineStr">
        <is>
          <t>MAHSUN GİRGİN</t>
        </is>
      </c>
      <c r="E2330" s="4" t="inlineStr">
        <is>
          <t>Çarşamba</t>
        </is>
      </c>
      <c r="F2330" s="4" t="inlineStr">
        <is>
          <t>21.10.2026</t>
        </is>
      </c>
      <c r="G2330" s="4" t="inlineStr">
        <is>
          <t>08:01</t>
        </is>
      </c>
      <c r="H2330" s="4" t="inlineStr">
        <is>
          <t>21.10.2026</t>
        </is>
      </c>
      <c r="I2330" s="4" t="inlineStr">
        <is>
          <t>-</t>
        </is>
      </c>
      <c r="J2330" s="8" t="n">
        <v>7.5</v>
      </c>
      <c r="K2330" s="8" t="n">
        <v>7.5</v>
      </c>
      <c r="L2330" s="8" t="n">
        <v>0</v>
      </c>
      <c r="M2330" s="29" t="inlineStr">
        <is>
          <t>HALİL DİĞRENCİ</t>
        </is>
      </c>
    </row>
    <row r="2331">
      <c r="A2331" s="4" t="n">
        <v>2330</v>
      </c>
      <c r="B2331" s="4" t="inlineStr">
        <is>
          <t>00500</t>
        </is>
      </c>
      <c r="C2331" s="4" t="inlineStr">
        <is>
          <t>00500</t>
        </is>
      </c>
      <c r="D2331" s="29" t="inlineStr">
        <is>
          <t>MEHMET KARTAL</t>
        </is>
      </c>
      <c r="E2331" s="4" t="inlineStr">
        <is>
          <t>Cuma</t>
        </is>
      </c>
      <c r="F2331" s="4" t="inlineStr">
        <is>
          <t>2.10.2026</t>
        </is>
      </c>
      <c r="G2331" s="4" t="inlineStr">
        <is>
          <t>07:41</t>
        </is>
      </c>
      <c r="H2331" s="4" t="inlineStr">
        <is>
          <t>2.10.2026</t>
        </is>
      </c>
      <c r="I2331" s="4" t="inlineStr">
        <is>
          <t>19:48</t>
        </is>
      </c>
      <c r="J2331" s="8" t="n">
        <v>10.5</v>
      </c>
      <c r="K2331" s="8" t="n">
        <v>7.5</v>
      </c>
      <c r="L2331" s="8" t="n">
        <v>3</v>
      </c>
      <c r="M2331" s="29" t="inlineStr">
        <is>
          <t>SUSURLUK</t>
        </is>
      </c>
    </row>
    <row r="2332">
      <c r="A2332" s="4" t="n">
        <v>2331</v>
      </c>
      <c r="B2332" s="4" t="inlineStr">
        <is>
          <t>00500</t>
        </is>
      </c>
      <c r="C2332" s="4" t="inlineStr">
        <is>
          <t>00500</t>
        </is>
      </c>
      <c r="D2332" s="29" t="inlineStr">
        <is>
          <t>MEHMET KARTAL</t>
        </is>
      </c>
      <c r="E2332" s="4" t="inlineStr">
        <is>
          <t>Cumartesi</t>
        </is>
      </c>
      <c r="F2332" s="4" t="inlineStr">
        <is>
          <t>3.10.2026</t>
        </is>
      </c>
      <c r="G2332" s="4" t="inlineStr">
        <is>
          <t>07:43</t>
        </is>
      </c>
      <c r="H2332" s="4" t="inlineStr">
        <is>
          <t>3.10.2026</t>
        </is>
      </c>
      <c r="I2332" s="4" t="inlineStr">
        <is>
          <t>17:08</t>
        </is>
      </c>
      <c r="J2332" s="8" t="n">
        <v>7.5</v>
      </c>
      <c r="K2332" s="8" t="n">
        <v>7.5</v>
      </c>
      <c r="L2332" s="8" t="n">
        <v>0</v>
      </c>
      <c r="M2332" s="29" t="inlineStr">
        <is>
          <t>SUSURLUK</t>
        </is>
      </c>
    </row>
    <row r="2333">
      <c r="A2333" s="4" t="n">
        <v>2332</v>
      </c>
      <c r="B2333" s="4" t="inlineStr">
        <is>
          <t>00500</t>
        </is>
      </c>
      <c r="C2333" s="4" t="inlineStr">
        <is>
          <t>00500</t>
        </is>
      </c>
      <c r="D2333" s="29" t="inlineStr">
        <is>
          <t>MEHMET KARTAL</t>
        </is>
      </c>
      <c r="E2333" s="4" t="inlineStr">
        <is>
          <t>Pazartesi</t>
        </is>
      </c>
      <c r="F2333" s="4" t="inlineStr">
        <is>
          <t>5.10.2026</t>
        </is>
      </c>
      <c r="G2333" s="4" t="inlineStr">
        <is>
          <t>07:42</t>
        </is>
      </c>
      <c r="H2333" s="4" t="inlineStr">
        <is>
          <t>5.10.2026</t>
        </is>
      </c>
      <c r="I2333" s="4" t="inlineStr">
        <is>
          <t>17:07</t>
        </is>
      </c>
      <c r="J2333" s="8" t="n">
        <v>7.5</v>
      </c>
      <c r="K2333" s="8" t="n">
        <v>7.5</v>
      </c>
      <c r="L2333" s="8" t="n">
        <v>0</v>
      </c>
      <c r="M2333" s="29" t="inlineStr">
        <is>
          <t>SUSURLUK</t>
        </is>
      </c>
    </row>
    <row r="2334">
      <c r="A2334" s="4" t="n">
        <v>2333</v>
      </c>
      <c r="B2334" s="4" t="inlineStr">
        <is>
          <t>00500</t>
        </is>
      </c>
      <c r="C2334" s="4" t="inlineStr">
        <is>
          <t>00500</t>
        </is>
      </c>
      <c r="D2334" s="29" t="inlineStr">
        <is>
          <t>MEHMET KARTAL</t>
        </is>
      </c>
      <c r="E2334" s="4" t="inlineStr">
        <is>
          <t>Salı</t>
        </is>
      </c>
      <c r="F2334" s="4" t="inlineStr">
        <is>
          <t>6.10.2026</t>
        </is>
      </c>
      <c r="G2334" s="4" t="inlineStr">
        <is>
          <t>07:43</t>
        </is>
      </c>
      <c r="H2334" s="4" t="inlineStr">
        <is>
          <t>6.10.2026</t>
        </is>
      </c>
      <c r="I2334" s="4" t="inlineStr">
        <is>
          <t>17:08</t>
        </is>
      </c>
      <c r="J2334" s="8" t="n">
        <v>7.5</v>
      </c>
      <c r="K2334" s="8" t="n">
        <v>7.5</v>
      </c>
      <c r="L2334" s="8" t="n">
        <v>0</v>
      </c>
      <c r="M2334" s="29" t="inlineStr">
        <is>
          <t>SUSURLUK</t>
        </is>
      </c>
    </row>
    <row r="2335">
      <c r="A2335" s="4" t="n">
        <v>2334</v>
      </c>
      <c r="B2335" s="4" t="inlineStr">
        <is>
          <t>00500</t>
        </is>
      </c>
      <c r="C2335" s="4" t="inlineStr">
        <is>
          <t>00500</t>
        </is>
      </c>
      <c r="D2335" s="29" t="inlineStr">
        <is>
          <t>MEHMET KARTAL</t>
        </is>
      </c>
      <c r="E2335" s="4" t="inlineStr">
        <is>
          <t>Çarşamba</t>
        </is>
      </c>
      <c r="F2335" s="4" t="inlineStr">
        <is>
          <t>7.10.2026</t>
        </is>
      </c>
      <c r="G2335" s="4" t="inlineStr">
        <is>
          <t>07:41</t>
        </is>
      </c>
      <c r="H2335" s="4" t="inlineStr">
        <is>
          <t>7.10.2026</t>
        </is>
      </c>
      <c r="I2335" s="4" t="inlineStr">
        <is>
          <t>18:09</t>
        </is>
      </c>
      <c r="J2335" s="8" t="n">
        <v>8.5</v>
      </c>
      <c r="K2335" s="8" t="n">
        <v>7.5</v>
      </c>
      <c r="L2335" s="8" t="n">
        <v>1</v>
      </c>
      <c r="M2335" s="29" t="inlineStr">
        <is>
          <t>SUSURLUK</t>
        </is>
      </c>
    </row>
    <row r="2336">
      <c r="A2336" s="4" t="n">
        <v>2335</v>
      </c>
      <c r="B2336" s="4" t="inlineStr">
        <is>
          <t>00500</t>
        </is>
      </c>
      <c r="C2336" s="4" t="inlineStr">
        <is>
          <t>00500</t>
        </is>
      </c>
      <c r="D2336" s="29" t="inlineStr">
        <is>
          <t>MEHMET KARTAL</t>
        </is>
      </c>
      <c r="E2336" s="4" t="inlineStr">
        <is>
          <t>Perşembe</t>
        </is>
      </c>
      <c r="F2336" s="4" t="inlineStr">
        <is>
          <t>8.10.2026</t>
        </is>
      </c>
      <c r="G2336" s="4" t="inlineStr">
        <is>
          <t>07:43</t>
        </is>
      </c>
      <c r="H2336" s="4" t="inlineStr">
        <is>
          <t>8.10.2026</t>
        </is>
      </c>
      <c r="I2336" s="4" t="inlineStr">
        <is>
          <t>-</t>
        </is>
      </c>
      <c r="J2336" s="8" t="n">
        <v>7.5</v>
      </c>
      <c r="K2336" s="8" t="n">
        <v>7.5</v>
      </c>
      <c r="L2336" s="8" t="n">
        <v>0</v>
      </c>
      <c r="M2336" s="29" t="inlineStr">
        <is>
          <t>SUSURLUK</t>
        </is>
      </c>
    </row>
    <row r="2337">
      <c r="A2337" s="4" t="n">
        <v>2336</v>
      </c>
      <c r="B2337" s="4" t="inlineStr">
        <is>
          <t>00500</t>
        </is>
      </c>
      <c r="C2337" s="4" t="inlineStr">
        <is>
          <t>00500</t>
        </is>
      </c>
      <c r="D2337" s="29" t="inlineStr">
        <is>
          <t>MEHMET KARTAL</t>
        </is>
      </c>
      <c r="E2337" s="4" t="inlineStr">
        <is>
          <t>Cuma</t>
        </is>
      </c>
      <c r="F2337" s="4" t="inlineStr">
        <is>
          <t>9.10.2026</t>
        </is>
      </c>
      <c r="G2337" s="4" t="inlineStr">
        <is>
          <t>07:47</t>
        </is>
      </c>
      <c r="H2337" s="4" t="inlineStr">
        <is>
          <t>9.10.2026</t>
        </is>
      </c>
      <c r="I2337" s="4" t="inlineStr">
        <is>
          <t>19:07</t>
        </is>
      </c>
      <c r="J2337" s="8" t="n">
        <v>9.5</v>
      </c>
      <c r="K2337" s="8" t="n">
        <v>7.5</v>
      </c>
      <c r="L2337" s="8" t="n">
        <v>2</v>
      </c>
      <c r="M2337" s="29" t="inlineStr">
        <is>
          <t>SUSURLUK</t>
        </is>
      </c>
    </row>
    <row r="2338">
      <c r="A2338" s="4" t="n">
        <v>2337</v>
      </c>
      <c r="B2338" s="4" t="inlineStr">
        <is>
          <t>00500</t>
        </is>
      </c>
      <c r="C2338" s="4" t="inlineStr">
        <is>
          <t>00500</t>
        </is>
      </c>
      <c r="D2338" s="29" t="inlineStr">
        <is>
          <t>MEHMET KARTAL</t>
        </is>
      </c>
      <c r="E2338" s="4" t="inlineStr">
        <is>
          <t>Cumartesi</t>
        </is>
      </c>
      <c r="F2338" s="4" t="inlineStr">
        <is>
          <t>10.10.2026</t>
        </is>
      </c>
      <c r="G2338" s="4" t="inlineStr">
        <is>
          <t>07:46</t>
        </is>
      </c>
      <c r="H2338" s="4" t="inlineStr">
        <is>
          <t>10.10.2026</t>
        </is>
      </c>
      <c r="I2338" s="4" t="inlineStr">
        <is>
          <t>17:06</t>
        </is>
      </c>
      <c r="J2338" s="8" t="n">
        <v>7.5</v>
      </c>
      <c r="K2338" s="8" t="n">
        <v>7.5</v>
      </c>
      <c r="L2338" s="8" t="n">
        <v>0</v>
      </c>
      <c r="M2338" s="29" t="inlineStr">
        <is>
          <t>SUSURLUK</t>
        </is>
      </c>
    </row>
    <row r="2339">
      <c r="A2339" s="4" t="n">
        <v>2338</v>
      </c>
      <c r="B2339" s="4" t="inlineStr">
        <is>
          <t>00500</t>
        </is>
      </c>
      <c r="C2339" s="4" t="inlineStr">
        <is>
          <t>00500</t>
        </is>
      </c>
      <c r="D2339" s="29" t="inlineStr">
        <is>
          <t>MEHMET KARTAL</t>
        </is>
      </c>
      <c r="E2339" s="4" t="inlineStr">
        <is>
          <t>Pazar</t>
        </is>
      </c>
      <c r="F2339" s="4" t="inlineStr">
        <is>
          <t>11.10.2026</t>
        </is>
      </c>
      <c r="G2339" s="4" t="inlineStr">
        <is>
          <t>07:29</t>
        </is>
      </c>
      <c r="H2339" s="4" t="inlineStr">
        <is>
          <t>11.10.2026</t>
        </is>
      </c>
      <c r="I2339" s="4" t="inlineStr">
        <is>
          <t>17:11</t>
        </is>
      </c>
      <c r="J2339" s="8" t="n">
        <v>7.5</v>
      </c>
      <c r="K2339" s="8" t="n">
        <v>7.5</v>
      </c>
      <c r="L2339" s="8" t="n">
        <v>0</v>
      </c>
      <c r="M2339" s="29" t="inlineStr">
        <is>
          <t>SUSURLUK</t>
        </is>
      </c>
    </row>
    <row r="2340">
      <c r="A2340" s="4" t="n">
        <v>2339</v>
      </c>
      <c r="B2340" s="4" t="inlineStr">
        <is>
          <t>00500</t>
        </is>
      </c>
      <c r="C2340" s="4" t="inlineStr">
        <is>
          <t>00500</t>
        </is>
      </c>
      <c r="D2340" s="29" t="inlineStr">
        <is>
          <t>MEHMET KARTAL</t>
        </is>
      </c>
      <c r="E2340" s="4" t="inlineStr">
        <is>
          <t>Pazartesi</t>
        </is>
      </c>
      <c r="F2340" s="4" t="inlineStr">
        <is>
          <t>12.10.2026</t>
        </is>
      </c>
      <c r="G2340" s="4" t="inlineStr">
        <is>
          <t>07:45</t>
        </is>
      </c>
      <c r="H2340" s="4" t="inlineStr">
        <is>
          <t>12.10.2026</t>
        </is>
      </c>
      <c r="I2340" s="4" t="inlineStr">
        <is>
          <t>19:54</t>
        </is>
      </c>
      <c r="J2340" s="8" t="n">
        <v>10.5</v>
      </c>
      <c r="K2340" s="8" t="n">
        <v>7.5</v>
      </c>
      <c r="L2340" s="8" t="n">
        <v>3</v>
      </c>
      <c r="M2340" s="29" t="inlineStr">
        <is>
          <t>SUSURLUK</t>
        </is>
      </c>
    </row>
    <row r="2341">
      <c r="A2341" s="4" t="n">
        <v>2340</v>
      </c>
      <c r="B2341" s="4" t="inlineStr">
        <is>
          <t>00500</t>
        </is>
      </c>
      <c r="C2341" s="4" t="inlineStr">
        <is>
          <t>00500</t>
        </is>
      </c>
      <c r="D2341" s="29" t="inlineStr">
        <is>
          <t>MEHMET KARTAL</t>
        </is>
      </c>
      <c r="E2341" s="4" t="inlineStr">
        <is>
          <t>Salı</t>
        </is>
      </c>
      <c r="F2341" s="4" t="inlineStr">
        <is>
          <t>13.10.2026</t>
        </is>
      </c>
      <c r="G2341" s="4" t="inlineStr">
        <is>
          <t>07:46</t>
        </is>
      </c>
      <c r="H2341" s="4" t="inlineStr">
        <is>
          <t>13.10.2026</t>
        </is>
      </c>
      <c r="I2341" s="4" t="inlineStr">
        <is>
          <t>17:10</t>
        </is>
      </c>
      <c r="J2341" s="8" t="n">
        <v>7.5</v>
      </c>
      <c r="K2341" s="8" t="n">
        <v>7.5</v>
      </c>
      <c r="L2341" s="8" t="n">
        <v>0</v>
      </c>
      <c r="M2341" s="29" t="inlineStr">
        <is>
          <t>SUSURLUK</t>
        </is>
      </c>
    </row>
    <row r="2342">
      <c r="A2342" s="4" t="n">
        <v>2341</v>
      </c>
      <c r="B2342" s="4" t="inlineStr">
        <is>
          <t>00500</t>
        </is>
      </c>
      <c r="C2342" s="4" t="inlineStr">
        <is>
          <t>00500</t>
        </is>
      </c>
      <c r="D2342" s="29" t="inlineStr">
        <is>
          <t>MEHMET KARTAL</t>
        </is>
      </c>
      <c r="E2342" s="4" t="inlineStr">
        <is>
          <t>Çarşamba</t>
        </is>
      </c>
      <c r="F2342" s="4" t="inlineStr">
        <is>
          <t>14.10.2026</t>
        </is>
      </c>
      <c r="G2342" s="4" t="inlineStr">
        <is>
          <t>07:46</t>
        </is>
      </c>
      <c r="H2342" s="4" t="inlineStr">
        <is>
          <t>14.10.2026</t>
        </is>
      </c>
      <c r="I2342" s="4" t="inlineStr">
        <is>
          <t>17:09</t>
        </is>
      </c>
      <c r="J2342" s="8" t="n">
        <v>7.5</v>
      </c>
      <c r="K2342" s="8" t="n">
        <v>7.5</v>
      </c>
      <c r="L2342" s="8" t="n">
        <v>0</v>
      </c>
      <c r="M2342" s="29" t="inlineStr">
        <is>
          <t>SUSURLUK</t>
        </is>
      </c>
    </row>
    <row r="2343">
      <c r="A2343" s="4" t="n">
        <v>2342</v>
      </c>
      <c r="B2343" s="4" t="inlineStr">
        <is>
          <t>00500</t>
        </is>
      </c>
      <c r="C2343" s="4" t="inlineStr">
        <is>
          <t>00500</t>
        </is>
      </c>
      <c r="D2343" s="29" t="inlineStr">
        <is>
          <t>MEHMET KARTAL</t>
        </is>
      </c>
      <c r="E2343" s="4" t="inlineStr">
        <is>
          <t>Perşembe</t>
        </is>
      </c>
      <c r="F2343" s="4" t="inlineStr">
        <is>
          <t>15.10.2026</t>
        </is>
      </c>
      <c r="G2343" s="4" t="inlineStr">
        <is>
          <t>07:47</t>
        </is>
      </c>
      <c r="H2343" s="4" t="inlineStr">
        <is>
          <t>15.10.2026</t>
        </is>
      </c>
      <c r="I2343" s="4" t="inlineStr">
        <is>
          <t>17:10</t>
        </is>
      </c>
      <c r="J2343" s="8" t="n">
        <v>7.5</v>
      </c>
      <c r="K2343" s="8" t="n">
        <v>7.5</v>
      </c>
      <c r="L2343" s="8" t="n">
        <v>0</v>
      </c>
      <c r="M2343" s="29" t="inlineStr">
        <is>
          <t>SUSURLUK</t>
        </is>
      </c>
    </row>
    <row r="2344">
      <c r="A2344" s="4" t="n">
        <v>2343</v>
      </c>
      <c r="B2344" s="4" t="inlineStr">
        <is>
          <t>00500</t>
        </is>
      </c>
      <c r="C2344" s="4" t="inlineStr">
        <is>
          <t>00500</t>
        </is>
      </c>
      <c r="D2344" s="29" t="inlineStr">
        <is>
          <t>MEHMET KARTAL</t>
        </is>
      </c>
      <c r="E2344" s="4" t="inlineStr">
        <is>
          <t>Cuma</t>
        </is>
      </c>
      <c r="F2344" s="4" t="inlineStr">
        <is>
          <t>16.10.2026</t>
        </is>
      </c>
      <c r="G2344" s="4" t="inlineStr">
        <is>
          <t>07:40</t>
        </is>
      </c>
      <c r="H2344" s="4" t="inlineStr">
        <is>
          <t>16.10.2026</t>
        </is>
      </c>
      <c r="I2344" s="4" t="inlineStr">
        <is>
          <t>20:03</t>
        </is>
      </c>
      <c r="J2344" s="8" t="n">
        <v>10.5</v>
      </c>
      <c r="K2344" s="8" t="n">
        <v>7.5</v>
      </c>
      <c r="L2344" s="8" t="n">
        <v>3</v>
      </c>
      <c r="M2344" s="29" t="inlineStr">
        <is>
          <t>SUSURLUK</t>
        </is>
      </c>
    </row>
    <row r="2345">
      <c r="A2345" s="4" t="n">
        <v>2344</v>
      </c>
      <c r="B2345" s="4" t="inlineStr">
        <is>
          <t>00500</t>
        </is>
      </c>
      <c r="C2345" s="4" t="inlineStr">
        <is>
          <t>00500</t>
        </is>
      </c>
      <c r="D2345" s="29" t="inlineStr">
        <is>
          <t>MEHMET KARTAL</t>
        </is>
      </c>
      <c r="E2345" s="4" t="inlineStr">
        <is>
          <t>Cumartesi</t>
        </is>
      </c>
      <c r="F2345" s="4" t="inlineStr">
        <is>
          <t>17.10.2026</t>
        </is>
      </c>
      <c r="G2345" s="4" t="inlineStr">
        <is>
          <t>07:43</t>
        </is>
      </c>
      <c r="H2345" s="4" t="inlineStr">
        <is>
          <t>17.10.2026</t>
        </is>
      </c>
      <c r="I2345" s="4" t="inlineStr">
        <is>
          <t>17:11</t>
        </is>
      </c>
      <c r="J2345" s="8" t="n">
        <v>7.5</v>
      </c>
      <c r="K2345" s="8" t="n">
        <v>7.5</v>
      </c>
      <c r="L2345" s="8" t="n">
        <v>0</v>
      </c>
      <c r="M2345" s="29" t="inlineStr">
        <is>
          <t>SUSURLUK</t>
        </is>
      </c>
    </row>
    <row r="2346">
      <c r="A2346" s="4" t="n">
        <v>2345</v>
      </c>
      <c r="B2346" s="4" t="inlineStr">
        <is>
          <t>00500</t>
        </is>
      </c>
      <c r="C2346" s="4" t="inlineStr">
        <is>
          <t>00500</t>
        </is>
      </c>
      <c r="D2346" s="29" t="inlineStr">
        <is>
          <t>MEHMET KARTAL</t>
        </is>
      </c>
      <c r="E2346" s="4" t="inlineStr">
        <is>
          <t>Pazar</t>
        </is>
      </c>
      <c r="F2346" s="4" t="inlineStr">
        <is>
          <t>18.10.2026</t>
        </is>
      </c>
      <c r="G2346" s="4" t="inlineStr">
        <is>
          <t>08:10</t>
        </is>
      </c>
      <c r="H2346" s="4" t="inlineStr">
        <is>
          <t>18.10.2026</t>
        </is>
      </c>
      <c r="I2346" s="4" t="inlineStr">
        <is>
          <t>17:10</t>
        </is>
      </c>
      <c r="J2346" s="8" t="n">
        <v>7.5</v>
      </c>
      <c r="K2346" s="8" t="n">
        <v>7.5</v>
      </c>
      <c r="L2346" s="8" t="n">
        <v>0</v>
      </c>
      <c r="M2346" s="29" t="inlineStr">
        <is>
          <t>SUSURLUK</t>
        </is>
      </c>
    </row>
    <row r="2347">
      <c r="A2347" s="4" t="n">
        <v>2346</v>
      </c>
      <c r="B2347" s="4" t="inlineStr">
        <is>
          <t>00500</t>
        </is>
      </c>
      <c r="C2347" s="4" t="inlineStr">
        <is>
          <t>00500</t>
        </is>
      </c>
      <c r="D2347" s="29" t="inlineStr">
        <is>
          <t>MEHMET KARTAL</t>
        </is>
      </c>
      <c r="E2347" s="4" t="inlineStr">
        <is>
          <t>Pazartesi</t>
        </is>
      </c>
      <c r="F2347" s="4" t="inlineStr">
        <is>
          <t>19.10.2026</t>
        </is>
      </c>
      <c r="G2347" s="4" t="inlineStr">
        <is>
          <t>07:40</t>
        </is>
      </c>
      <c r="H2347" s="4" t="inlineStr">
        <is>
          <t>19.10.2026</t>
        </is>
      </c>
      <c r="I2347" s="4" t="inlineStr">
        <is>
          <t>17:11</t>
        </is>
      </c>
      <c r="J2347" s="8" t="n">
        <v>7.5</v>
      </c>
      <c r="K2347" s="8" t="n">
        <v>7.5</v>
      </c>
      <c r="L2347" s="8" t="n">
        <v>0</v>
      </c>
      <c r="M2347" s="29" t="inlineStr">
        <is>
          <t>SUSURLUK</t>
        </is>
      </c>
    </row>
    <row r="2348">
      <c r="A2348" s="4" t="n">
        <v>2347</v>
      </c>
      <c r="B2348" s="4" t="inlineStr">
        <is>
          <t>00500</t>
        </is>
      </c>
      <c r="C2348" s="4" t="inlineStr">
        <is>
          <t>00500</t>
        </is>
      </c>
      <c r="D2348" s="29" t="inlineStr">
        <is>
          <t>MEHMET KARTAL</t>
        </is>
      </c>
      <c r="E2348" s="4" t="inlineStr">
        <is>
          <t>Salı</t>
        </is>
      </c>
      <c r="F2348" s="4" t="inlineStr">
        <is>
          <t>20.10.2026</t>
        </is>
      </c>
      <c r="G2348" s="4" t="inlineStr">
        <is>
          <t>07:41</t>
        </is>
      </c>
      <c r="H2348" s="4" t="inlineStr">
        <is>
          <t>20.10.2026</t>
        </is>
      </c>
      <c r="I2348" s="4" t="inlineStr">
        <is>
          <t>22:32</t>
        </is>
      </c>
      <c r="J2348" s="8" t="n">
        <v>13</v>
      </c>
      <c r="K2348" s="8" t="n">
        <v>7.5</v>
      </c>
      <c r="L2348" s="8" t="n">
        <v>5.5</v>
      </c>
      <c r="M2348" s="29" t="inlineStr">
        <is>
          <t>SUSURLUK</t>
        </is>
      </c>
    </row>
    <row r="2349">
      <c r="A2349" s="4" t="n">
        <v>2348</v>
      </c>
      <c r="B2349" s="4" t="inlineStr">
        <is>
          <t>00500</t>
        </is>
      </c>
      <c r="C2349" s="4" t="inlineStr">
        <is>
          <t>00500</t>
        </is>
      </c>
      <c r="D2349" s="29" t="inlineStr">
        <is>
          <t>MEHMET KARTAL</t>
        </is>
      </c>
      <c r="E2349" s="4" t="inlineStr">
        <is>
          <t>Çarşamba</t>
        </is>
      </c>
      <c r="F2349" s="4" t="inlineStr">
        <is>
          <t>21.10.2026</t>
        </is>
      </c>
      <c r="G2349" s="4" t="inlineStr">
        <is>
          <t>07:41</t>
        </is>
      </c>
      <c r="H2349" s="4" t="inlineStr">
        <is>
          <t>21.10.2026</t>
        </is>
      </c>
      <c r="I2349" s="4" t="inlineStr">
        <is>
          <t>-</t>
        </is>
      </c>
      <c r="J2349" s="8" t="n">
        <v>7.5</v>
      </c>
      <c r="K2349" s="8" t="n">
        <v>7.5</v>
      </c>
      <c r="L2349" s="8" t="n">
        <v>0</v>
      </c>
      <c r="M2349" s="29" t="inlineStr">
        <is>
          <t>SUSURLUK</t>
        </is>
      </c>
    </row>
    <row r="2350">
      <c r="A2350" s="4" t="n">
        <v>2349</v>
      </c>
      <c r="B2350" s="4" t="inlineStr">
        <is>
          <t>01541</t>
        </is>
      </c>
      <c r="C2350" s="4" t="inlineStr">
        <is>
          <t>01541</t>
        </is>
      </c>
      <c r="D2350" s="29" t="inlineStr">
        <is>
          <t>MEHMET BAYRAM</t>
        </is>
      </c>
      <c r="E2350" s="4" t="inlineStr">
        <is>
          <t>Cumartesi</t>
        </is>
      </c>
      <c r="F2350" s="4" t="inlineStr">
        <is>
          <t>10.10.2026</t>
        </is>
      </c>
      <c r="G2350" s="4" t="inlineStr">
        <is>
          <t>07:40</t>
        </is>
      </c>
      <c r="H2350" s="4" t="inlineStr">
        <is>
          <t>10.10.2026</t>
        </is>
      </c>
      <c r="I2350" s="4" t="inlineStr">
        <is>
          <t>18:11</t>
        </is>
      </c>
      <c r="J2350" s="8" t="n">
        <v>8.5</v>
      </c>
      <c r="K2350" s="8" t="n">
        <v>7.5</v>
      </c>
      <c r="L2350" s="8" t="n">
        <v>1</v>
      </c>
      <c r="M2350" s="29" t="inlineStr">
        <is>
          <t>HALİL DİĞRENCİ</t>
        </is>
      </c>
    </row>
    <row r="2351">
      <c r="A2351" s="4" t="n">
        <v>2350</v>
      </c>
      <c r="B2351" s="4" t="inlineStr">
        <is>
          <t>01541</t>
        </is>
      </c>
      <c r="C2351" s="4" t="inlineStr">
        <is>
          <t>01541</t>
        </is>
      </c>
      <c r="D2351" s="29" t="inlineStr">
        <is>
          <t>MEHMET BAYRAM</t>
        </is>
      </c>
      <c r="E2351" s="4" t="inlineStr">
        <is>
          <t>Salı</t>
        </is>
      </c>
      <c r="F2351" s="4" t="inlineStr">
        <is>
          <t>13.10.2026</t>
        </is>
      </c>
      <c r="G2351" s="4" t="inlineStr">
        <is>
          <t>07:41</t>
        </is>
      </c>
      <c r="H2351" s="4" t="inlineStr">
        <is>
          <t>13.10.2026</t>
        </is>
      </c>
      <c r="I2351" s="4" t="inlineStr">
        <is>
          <t>16:58</t>
        </is>
      </c>
      <c r="J2351" s="8" t="n">
        <v>7.5</v>
      </c>
      <c r="K2351" s="8" t="n">
        <v>7.5</v>
      </c>
      <c r="L2351" s="8" t="n">
        <v>0</v>
      </c>
      <c r="M2351" s="29" t="inlineStr">
        <is>
          <t>HALİL DİĞRENCİ</t>
        </is>
      </c>
    </row>
    <row r="2352">
      <c r="A2352" s="4" t="n">
        <v>2351</v>
      </c>
      <c r="B2352" s="4" t="inlineStr">
        <is>
          <t>01541</t>
        </is>
      </c>
      <c r="C2352" s="4" t="inlineStr">
        <is>
          <t>01541</t>
        </is>
      </c>
      <c r="D2352" s="29" t="inlineStr">
        <is>
          <t>MEHMET BAYRAM</t>
        </is>
      </c>
      <c r="E2352" s="4" t="inlineStr">
        <is>
          <t>Çarşamba</t>
        </is>
      </c>
      <c r="F2352" s="4" t="inlineStr">
        <is>
          <t>14.10.2026</t>
        </is>
      </c>
      <c r="G2352" s="4" t="inlineStr">
        <is>
          <t>07:47</t>
        </is>
      </c>
      <c r="H2352" s="4" t="inlineStr">
        <is>
          <t>14.10.2026</t>
        </is>
      </c>
      <c r="I2352" s="4" t="inlineStr">
        <is>
          <t>18:08</t>
        </is>
      </c>
      <c r="J2352" s="8" t="n">
        <v>8.5</v>
      </c>
      <c r="K2352" s="8" t="n">
        <v>7.5</v>
      </c>
      <c r="L2352" s="8" t="n">
        <v>1</v>
      </c>
      <c r="M2352" s="29" t="inlineStr">
        <is>
          <t>HALİL DİĞRENCİ</t>
        </is>
      </c>
    </row>
    <row r="2353">
      <c r="A2353" s="4" t="n">
        <v>2352</v>
      </c>
      <c r="B2353" s="4" t="inlineStr">
        <is>
          <t>01541</t>
        </is>
      </c>
      <c r="C2353" s="4" t="inlineStr">
        <is>
          <t>01541</t>
        </is>
      </c>
      <c r="D2353" s="29" t="inlineStr">
        <is>
          <t>MEHMET BAYRAM</t>
        </is>
      </c>
      <c r="E2353" s="4" t="inlineStr">
        <is>
          <t>Perşembe</t>
        </is>
      </c>
      <c r="F2353" s="4" t="inlineStr">
        <is>
          <t>15.10.2026</t>
        </is>
      </c>
      <c r="G2353" s="4" t="inlineStr">
        <is>
          <t>07:42</t>
        </is>
      </c>
      <c r="H2353" s="4" t="inlineStr">
        <is>
          <t>15.10.2026</t>
        </is>
      </c>
      <c r="I2353" s="4" t="inlineStr">
        <is>
          <t>20:00</t>
        </is>
      </c>
      <c r="J2353" s="8" t="n">
        <v>10.5</v>
      </c>
      <c r="K2353" s="8" t="n">
        <v>7.5</v>
      </c>
      <c r="L2353" s="8" t="n">
        <v>3</v>
      </c>
      <c r="M2353" s="29" t="inlineStr">
        <is>
          <t>HALİL DİĞRENCİ</t>
        </is>
      </c>
    </row>
    <row r="2354">
      <c r="A2354" s="4" t="n">
        <v>2353</v>
      </c>
      <c r="B2354" s="4" t="inlineStr">
        <is>
          <t>01541</t>
        </is>
      </c>
      <c r="C2354" s="4" t="inlineStr">
        <is>
          <t>01541</t>
        </is>
      </c>
      <c r="D2354" s="29" t="inlineStr">
        <is>
          <t>MEHMET BAYRAM</t>
        </is>
      </c>
      <c r="E2354" s="4" t="inlineStr">
        <is>
          <t>Çarşamba</t>
        </is>
      </c>
      <c r="F2354" s="4" t="inlineStr">
        <is>
          <t>21.10.2026</t>
        </is>
      </c>
      <c r="G2354" s="4" t="inlineStr">
        <is>
          <t>07:45</t>
        </is>
      </c>
      <c r="H2354" s="4" t="inlineStr">
        <is>
          <t>21.10.2026</t>
        </is>
      </c>
      <c r="I2354" s="4" t="inlineStr">
        <is>
          <t>16:59</t>
        </is>
      </c>
      <c r="J2354" s="8" t="n">
        <v>7.5</v>
      </c>
      <c r="K2354" s="8" t="n">
        <v>7.5</v>
      </c>
      <c r="L2354" s="8" t="n">
        <v>0</v>
      </c>
      <c r="M2354" s="29" t="inlineStr">
        <is>
          <t>HALİL DİĞRENCİ</t>
        </is>
      </c>
    </row>
    <row r="2355">
      <c r="A2355" s="4" t="n">
        <v>2354</v>
      </c>
      <c r="B2355" s="4" t="inlineStr">
        <is>
          <t>01387</t>
        </is>
      </c>
      <c r="C2355" s="4" t="inlineStr">
        <is>
          <t>01387</t>
        </is>
      </c>
      <c r="D2355" s="29" t="inlineStr">
        <is>
          <t>MEHMET EMİN BATUR</t>
        </is>
      </c>
      <c r="E2355" s="4" t="inlineStr">
        <is>
          <t>Perşembe</t>
        </is>
      </c>
      <c r="F2355" s="4" t="inlineStr">
        <is>
          <t>1.10.2026</t>
        </is>
      </c>
      <c r="G2355" s="4" t="inlineStr">
        <is>
          <t>08:01</t>
        </is>
      </c>
      <c r="H2355" s="4" t="inlineStr">
        <is>
          <t>1.10.2026</t>
        </is>
      </c>
      <c r="I2355" s="4" t="inlineStr">
        <is>
          <t>20:03</t>
        </is>
      </c>
      <c r="J2355" s="8" t="n">
        <v>10.5</v>
      </c>
      <c r="K2355" s="8" t="n">
        <v>7.5</v>
      </c>
      <c r="L2355" s="8" t="n">
        <v>3</v>
      </c>
      <c r="M2355" s="29" t="inlineStr">
        <is>
          <t>HALİL DİĞRENCİ</t>
        </is>
      </c>
    </row>
    <row r="2356">
      <c r="A2356" s="4" t="n">
        <v>2355</v>
      </c>
      <c r="B2356" s="4" t="inlineStr">
        <is>
          <t>01387</t>
        </is>
      </c>
      <c r="C2356" s="4" t="inlineStr">
        <is>
          <t>01387</t>
        </is>
      </c>
      <c r="D2356" s="29" t="inlineStr">
        <is>
          <t>MEHMET EMİN BATUR</t>
        </is>
      </c>
      <c r="E2356" s="4" t="inlineStr">
        <is>
          <t>Cuma</t>
        </is>
      </c>
      <c r="F2356" s="4" t="inlineStr">
        <is>
          <t>2.10.2026</t>
        </is>
      </c>
      <c r="G2356" s="4" t="inlineStr">
        <is>
          <t>-</t>
        </is>
      </c>
      <c r="H2356" s="4" t="inlineStr">
        <is>
          <t>2.10.2026</t>
        </is>
      </c>
      <c r="I2356" s="4" t="inlineStr">
        <is>
          <t>20:03</t>
        </is>
      </c>
      <c r="J2356" s="8" t="n">
        <v>10.5</v>
      </c>
      <c r="K2356" s="8" t="n">
        <v>7.5</v>
      </c>
      <c r="L2356" s="8" t="n">
        <v>3</v>
      </c>
      <c r="M2356" s="29" t="inlineStr">
        <is>
          <t>HALİL DİĞRENCİ</t>
        </is>
      </c>
    </row>
    <row r="2357">
      <c r="A2357" s="4" t="n">
        <v>2356</v>
      </c>
      <c r="B2357" s="4" t="inlineStr">
        <is>
          <t>01387</t>
        </is>
      </c>
      <c r="C2357" s="4" t="inlineStr">
        <is>
          <t>01387</t>
        </is>
      </c>
      <c r="D2357" s="29" t="inlineStr">
        <is>
          <t>MEHMET EMİN BATUR</t>
        </is>
      </c>
      <c r="E2357" s="4" t="inlineStr">
        <is>
          <t>Cumartesi</t>
        </is>
      </c>
      <c r="F2357" s="4" t="inlineStr">
        <is>
          <t>3.10.2026</t>
        </is>
      </c>
      <c r="G2357" s="4" t="inlineStr">
        <is>
          <t>08:00</t>
        </is>
      </c>
      <c r="H2357" s="4" t="inlineStr">
        <is>
          <t>3.10.2026</t>
        </is>
      </c>
      <c r="I2357" s="4" t="inlineStr">
        <is>
          <t>20:00</t>
        </is>
      </c>
      <c r="J2357" s="8" t="n">
        <v>10.5</v>
      </c>
      <c r="K2357" s="8" t="n">
        <v>7.5</v>
      </c>
      <c r="L2357" s="8" t="n">
        <v>3</v>
      </c>
      <c r="M2357" s="29" t="inlineStr">
        <is>
          <t>HALİL DİĞRENCİ</t>
        </is>
      </c>
    </row>
    <row r="2358">
      <c r="A2358" s="4" t="n">
        <v>2357</v>
      </c>
      <c r="B2358" s="4" t="inlineStr">
        <is>
          <t>01387</t>
        </is>
      </c>
      <c r="C2358" s="4" t="inlineStr">
        <is>
          <t>01387</t>
        </is>
      </c>
      <c r="D2358" s="29" t="inlineStr">
        <is>
          <t>MEHMET EMİN BATUR</t>
        </is>
      </c>
      <c r="E2358" s="4" t="inlineStr">
        <is>
          <t>Pazartesi</t>
        </is>
      </c>
      <c r="F2358" s="4" t="inlineStr">
        <is>
          <t>5.10.2026</t>
        </is>
      </c>
      <c r="G2358" s="4" t="inlineStr">
        <is>
          <t>08:15</t>
        </is>
      </c>
      <c r="H2358" s="4" t="inlineStr">
        <is>
          <t>5.10.2026</t>
        </is>
      </c>
      <c r="I2358" s="4" t="inlineStr">
        <is>
          <t>20:00</t>
        </is>
      </c>
      <c r="J2358" s="8" t="n">
        <v>10.5</v>
      </c>
      <c r="K2358" s="8" t="n">
        <v>7.5</v>
      </c>
      <c r="L2358" s="8" t="n">
        <v>3</v>
      </c>
      <c r="M2358" s="29" t="inlineStr">
        <is>
          <t>HALİL DİĞRENCİ</t>
        </is>
      </c>
    </row>
    <row r="2359">
      <c r="A2359" s="4" t="n">
        <v>2358</v>
      </c>
      <c r="B2359" s="4" t="inlineStr">
        <is>
          <t>01387</t>
        </is>
      </c>
      <c r="C2359" s="4" t="inlineStr">
        <is>
          <t>01387</t>
        </is>
      </c>
      <c r="D2359" s="29" t="inlineStr">
        <is>
          <t>MEHMET EMİN BATUR</t>
        </is>
      </c>
      <c r="E2359" s="4" t="inlineStr">
        <is>
          <t>Salı</t>
        </is>
      </c>
      <c r="F2359" s="4" t="inlineStr">
        <is>
          <t>6.10.2026</t>
        </is>
      </c>
      <c r="G2359" s="4" t="inlineStr">
        <is>
          <t>08:03</t>
        </is>
      </c>
      <c r="H2359" s="4" t="inlineStr">
        <is>
          <t>6.10.2026</t>
        </is>
      </c>
      <c r="I2359" s="4" t="inlineStr">
        <is>
          <t>20:01</t>
        </is>
      </c>
      <c r="J2359" s="8" t="n">
        <v>10.5</v>
      </c>
      <c r="K2359" s="8" t="n">
        <v>7.5</v>
      </c>
      <c r="L2359" s="8" t="n">
        <v>3</v>
      </c>
      <c r="M2359" s="29" t="inlineStr">
        <is>
          <t>HALİL DİĞRENCİ</t>
        </is>
      </c>
    </row>
    <row r="2360">
      <c r="A2360" s="4" t="n">
        <v>2359</v>
      </c>
      <c r="B2360" s="4" t="inlineStr">
        <is>
          <t>01387</t>
        </is>
      </c>
      <c r="C2360" s="4" t="inlineStr">
        <is>
          <t>01387</t>
        </is>
      </c>
      <c r="D2360" s="29" t="inlineStr">
        <is>
          <t>MEHMET EMİN BATUR</t>
        </is>
      </c>
      <c r="E2360" s="4" t="inlineStr">
        <is>
          <t>Perşembe</t>
        </is>
      </c>
      <c r="F2360" s="4" t="inlineStr">
        <is>
          <t>8.10.2026</t>
        </is>
      </c>
      <c r="G2360" s="4" t="inlineStr">
        <is>
          <t>07:52</t>
        </is>
      </c>
      <c r="H2360" s="4" t="inlineStr">
        <is>
          <t>8.10.2026</t>
        </is>
      </c>
      <c r="I2360" s="4" t="inlineStr">
        <is>
          <t>20:00</t>
        </is>
      </c>
      <c r="J2360" s="8" t="n">
        <v>10.5</v>
      </c>
      <c r="K2360" s="8" t="n">
        <v>7.5</v>
      </c>
      <c r="L2360" s="8" t="n">
        <v>3</v>
      </c>
      <c r="M2360" s="29" t="inlineStr">
        <is>
          <t>HALİL DİĞRENCİ</t>
        </is>
      </c>
    </row>
    <row r="2361">
      <c r="A2361" s="4" t="n">
        <v>2360</v>
      </c>
      <c r="B2361" s="4" t="inlineStr">
        <is>
          <t>01387</t>
        </is>
      </c>
      <c r="C2361" s="4" t="inlineStr">
        <is>
          <t>01387</t>
        </is>
      </c>
      <c r="D2361" s="29" t="inlineStr">
        <is>
          <t>MEHMET EMİN BATUR</t>
        </is>
      </c>
      <c r="E2361" s="4" t="inlineStr">
        <is>
          <t>Cuma</t>
        </is>
      </c>
      <c r="F2361" s="4" t="inlineStr">
        <is>
          <t>9.10.2026</t>
        </is>
      </c>
      <c r="G2361" s="4" t="inlineStr">
        <is>
          <t>07:54</t>
        </is>
      </c>
      <c r="H2361" s="4" t="inlineStr">
        <is>
          <t>9.10.2026</t>
        </is>
      </c>
      <c r="I2361" s="4" t="inlineStr">
        <is>
          <t>20:01</t>
        </is>
      </c>
      <c r="J2361" s="8" t="n">
        <v>10.5</v>
      </c>
      <c r="K2361" s="8" t="n">
        <v>7.5</v>
      </c>
      <c r="L2361" s="8" t="n">
        <v>3</v>
      </c>
      <c r="M2361" s="29" t="inlineStr">
        <is>
          <t>HALİL DİĞRENCİ</t>
        </is>
      </c>
    </row>
    <row r="2362">
      <c r="A2362" s="4" t="n">
        <v>2361</v>
      </c>
      <c r="B2362" s="4" t="inlineStr">
        <is>
          <t>01387</t>
        </is>
      </c>
      <c r="C2362" s="4" t="inlineStr">
        <is>
          <t>01387</t>
        </is>
      </c>
      <c r="D2362" s="29" t="inlineStr">
        <is>
          <t>MEHMET EMİN BATUR</t>
        </is>
      </c>
      <c r="E2362" s="4" t="inlineStr">
        <is>
          <t>Pazartesi</t>
        </is>
      </c>
      <c r="F2362" s="4" t="inlineStr">
        <is>
          <t>12.10.2026</t>
        </is>
      </c>
      <c r="G2362" s="4" t="inlineStr">
        <is>
          <t>08:00</t>
        </is>
      </c>
      <c r="H2362" s="4" t="inlineStr">
        <is>
          <t>12.10.2026</t>
        </is>
      </c>
      <c r="I2362" s="4" t="inlineStr">
        <is>
          <t>20:05</t>
        </is>
      </c>
      <c r="J2362" s="8" t="n">
        <v>10.5</v>
      </c>
      <c r="K2362" s="8" t="n">
        <v>7.5</v>
      </c>
      <c r="L2362" s="8" t="n">
        <v>3</v>
      </c>
      <c r="M2362" s="29" t="inlineStr">
        <is>
          <t>HALİL DİĞRENCİ</t>
        </is>
      </c>
    </row>
    <row r="2363">
      <c r="A2363" s="4" t="n">
        <v>2362</v>
      </c>
      <c r="B2363" s="4" t="inlineStr">
        <is>
          <t>01387</t>
        </is>
      </c>
      <c r="C2363" s="4" t="inlineStr">
        <is>
          <t>01387</t>
        </is>
      </c>
      <c r="D2363" s="29" t="inlineStr">
        <is>
          <t>MEHMET EMİN BATUR</t>
        </is>
      </c>
      <c r="E2363" s="4" t="inlineStr">
        <is>
          <t>Salı</t>
        </is>
      </c>
      <c r="F2363" s="4" t="inlineStr">
        <is>
          <t>13.10.2026</t>
        </is>
      </c>
      <c r="G2363" s="4" t="inlineStr">
        <is>
          <t>07:57</t>
        </is>
      </c>
      <c r="H2363" s="4" t="inlineStr">
        <is>
          <t>13.10.2026</t>
        </is>
      </c>
      <c r="I2363" s="4" t="inlineStr">
        <is>
          <t>19:58</t>
        </is>
      </c>
      <c r="J2363" s="8" t="n">
        <v>10.5</v>
      </c>
      <c r="K2363" s="8" t="n">
        <v>7.5</v>
      </c>
      <c r="L2363" s="8" t="n">
        <v>3</v>
      </c>
      <c r="M2363" s="29" t="inlineStr">
        <is>
          <t>HALİL DİĞRENCİ</t>
        </is>
      </c>
    </row>
    <row r="2364">
      <c r="A2364" s="4" t="n">
        <v>2363</v>
      </c>
      <c r="B2364" s="4" t="inlineStr">
        <is>
          <t>01387</t>
        </is>
      </c>
      <c r="C2364" s="4" t="inlineStr">
        <is>
          <t>01387</t>
        </is>
      </c>
      <c r="D2364" s="29" t="inlineStr">
        <is>
          <t>MEHMET EMİN BATUR</t>
        </is>
      </c>
      <c r="E2364" s="4" t="inlineStr">
        <is>
          <t>Perşembe</t>
        </is>
      </c>
      <c r="F2364" s="4" t="inlineStr">
        <is>
          <t>15.10.2026</t>
        </is>
      </c>
      <c r="G2364" s="4" t="inlineStr">
        <is>
          <t>08:10</t>
        </is>
      </c>
      <c r="H2364" s="4" t="inlineStr">
        <is>
          <t>15.10.2026</t>
        </is>
      </c>
      <c r="I2364" s="4" t="inlineStr">
        <is>
          <t>20:01</t>
        </is>
      </c>
      <c r="J2364" s="8" t="n">
        <v>10.5</v>
      </c>
      <c r="K2364" s="8" t="n">
        <v>7.5</v>
      </c>
      <c r="L2364" s="8" t="n">
        <v>3</v>
      </c>
      <c r="M2364" s="29" t="inlineStr">
        <is>
          <t>HALİL DİĞRENCİ</t>
        </is>
      </c>
    </row>
    <row r="2365">
      <c r="A2365" s="4" t="n">
        <v>2364</v>
      </c>
      <c r="B2365" s="4" t="inlineStr">
        <is>
          <t>01387</t>
        </is>
      </c>
      <c r="C2365" s="4" t="inlineStr">
        <is>
          <t>01387</t>
        </is>
      </c>
      <c r="D2365" s="29" t="inlineStr">
        <is>
          <t>MEHMET EMİN BATUR</t>
        </is>
      </c>
      <c r="E2365" s="4" t="inlineStr">
        <is>
          <t>Cuma</t>
        </is>
      </c>
      <c r="F2365" s="4" t="inlineStr">
        <is>
          <t>16.10.2026</t>
        </is>
      </c>
      <c r="G2365" s="4" t="inlineStr">
        <is>
          <t>07:58</t>
        </is>
      </c>
      <c r="H2365" s="4" t="inlineStr">
        <is>
          <t>16.10.2026</t>
        </is>
      </c>
      <c r="I2365" s="4" t="inlineStr">
        <is>
          <t>20:02</t>
        </is>
      </c>
      <c r="J2365" s="8" t="n">
        <v>10.5</v>
      </c>
      <c r="K2365" s="8" t="n">
        <v>7.5</v>
      </c>
      <c r="L2365" s="8" t="n">
        <v>3</v>
      </c>
      <c r="M2365" s="29" t="inlineStr">
        <is>
          <t>HALİL DİĞRENCİ</t>
        </is>
      </c>
    </row>
    <row r="2366">
      <c r="A2366" s="4" t="n">
        <v>2365</v>
      </c>
      <c r="B2366" s="4" t="inlineStr">
        <is>
          <t>01387</t>
        </is>
      </c>
      <c r="C2366" s="4" t="inlineStr">
        <is>
          <t>01387</t>
        </is>
      </c>
      <c r="D2366" s="29" t="inlineStr">
        <is>
          <t>MEHMET EMİN BATUR</t>
        </is>
      </c>
      <c r="E2366" s="4" t="inlineStr">
        <is>
          <t>Pazartesi</t>
        </is>
      </c>
      <c r="F2366" s="4" t="inlineStr">
        <is>
          <t>19.10.2026</t>
        </is>
      </c>
      <c r="G2366" s="4" t="inlineStr">
        <is>
          <t>08:05</t>
        </is>
      </c>
      <c r="H2366" s="4" t="inlineStr">
        <is>
          <t>19.10.2026</t>
        </is>
      </c>
      <c r="I2366" s="4" t="inlineStr">
        <is>
          <t>20:00</t>
        </is>
      </c>
      <c r="J2366" s="8" t="n">
        <v>10.5</v>
      </c>
      <c r="K2366" s="8" t="n">
        <v>7.5</v>
      </c>
      <c r="L2366" s="8" t="n">
        <v>3</v>
      </c>
      <c r="M2366" s="29" t="inlineStr">
        <is>
          <t>HALİL DİĞRENCİ</t>
        </is>
      </c>
    </row>
    <row r="2367">
      <c r="A2367" s="4" t="n">
        <v>2366</v>
      </c>
      <c r="B2367" s="4" t="inlineStr">
        <is>
          <t>01387</t>
        </is>
      </c>
      <c r="C2367" s="4" t="inlineStr">
        <is>
          <t>01387</t>
        </is>
      </c>
      <c r="D2367" s="29" t="inlineStr">
        <is>
          <t>MEHMET EMİN BATUR</t>
        </is>
      </c>
      <c r="E2367" s="4" t="inlineStr">
        <is>
          <t>Çarşamba</t>
        </is>
      </c>
      <c r="F2367" s="4" t="inlineStr">
        <is>
          <t>21.10.2026</t>
        </is>
      </c>
      <c r="G2367" s="4" t="inlineStr">
        <is>
          <t>07:57</t>
        </is>
      </c>
      <c r="H2367" s="4" t="inlineStr">
        <is>
          <t>21.10.2026</t>
        </is>
      </c>
      <c r="I2367" s="4" t="inlineStr">
        <is>
          <t>16:58</t>
        </is>
      </c>
      <c r="J2367" s="8" t="n">
        <v>7.5</v>
      </c>
      <c r="K2367" s="8" t="n">
        <v>7.5</v>
      </c>
      <c r="L2367" s="8" t="n">
        <v>0</v>
      </c>
      <c r="M2367" s="29" t="inlineStr">
        <is>
          <t>HALİL DİĞRENCİ</t>
        </is>
      </c>
    </row>
    <row r="2368">
      <c r="A2368" s="4" t="n">
        <v>2367</v>
      </c>
      <c r="B2368" s="4" t="inlineStr">
        <is>
          <t>01560</t>
        </is>
      </c>
      <c r="C2368" s="4" t="inlineStr">
        <is>
          <t>01560</t>
        </is>
      </c>
      <c r="D2368" s="29" t="inlineStr">
        <is>
          <t>MEHMET EMİN DEMİREL</t>
        </is>
      </c>
      <c r="E2368" s="4" t="inlineStr">
        <is>
          <t>Salı</t>
        </is>
      </c>
      <c r="F2368" s="4" t="inlineStr">
        <is>
          <t>13.10.2026</t>
        </is>
      </c>
      <c r="G2368" s="4" t="inlineStr">
        <is>
          <t>15:13</t>
        </is>
      </c>
      <c r="H2368" s="4" t="inlineStr">
        <is>
          <t>13.10.2026</t>
        </is>
      </c>
      <c r="I2368" s="4" t="inlineStr">
        <is>
          <t>17:06</t>
        </is>
      </c>
      <c r="J2368" s="8" t="n">
        <v>2</v>
      </c>
      <c r="K2368" s="8" t="n">
        <v>2</v>
      </c>
      <c r="L2368" s="8" t="n">
        <v>0</v>
      </c>
      <c r="M2368" s="29" t="inlineStr">
        <is>
          <t>BİGADİÇ</t>
        </is>
      </c>
    </row>
    <row r="2369">
      <c r="A2369" s="4" t="n">
        <v>2368</v>
      </c>
      <c r="B2369" s="4" t="inlineStr">
        <is>
          <t>01560</t>
        </is>
      </c>
      <c r="C2369" s="4" t="inlineStr">
        <is>
          <t>01560</t>
        </is>
      </c>
      <c r="D2369" s="29" t="inlineStr">
        <is>
          <t>MEHMET EMİN DEMİREL</t>
        </is>
      </c>
      <c r="E2369" s="4" t="inlineStr">
        <is>
          <t>Çarşamba</t>
        </is>
      </c>
      <c r="F2369" s="4" t="inlineStr">
        <is>
          <t>14.10.2026</t>
        </is>
      </c>
      <c r="G2369" s="4" t="inlineStr">
        <is>
          <t>08:01</t>
        </is>
      </c>
      <c r="H2369" s="4" t="inlineStr">
        <is>
          <t>14.10.2026</t>
        </is>
      </c>
      <c r="I2369" s="4" t="inlineStr">
        <is>
          <t>17:28</t>
        </is>
      </c>
      <c r="J2369" s="8" t="n">
        <v>8</v>
      </c>
      <c r="K2369" s="8" t="n">
        <v>7.5</v>
      </c>
      <c r="L2369" s="8" t="n">
        <v>0.5</v>
      </c>
      <c r="M2369" s="29" t="inlineStr">
        <is>
          <t>BİGADİÇ</t>
        </is>
      </c>
    </row>
    <row r="2370">
      <c r="A2370" s="4" t="n">
        <v>2369</v>
      </c>
      <c r="B2370" s="4" t="inlineStr">
        <is>
          <t>01560</t>
        </is>
      </c>
      <c r="C2370" s="4" t="inlineStr">
        <is>
          <t>01560</t>
        </is>
      </c>
      <c r="D2370" s="29" t="inlineStr">
        <is>
          <t>MEHMET EMİN DEMİREL</t>
        </is>
      </c>
      <c r="E2370" s="4" t="inlineStr">
        <is>
          <t>Perşembe</t>
        </is>
      </c>
      <c r="F2370" s="4" t="inlineStr">
        <is>
          <t>15.10.2026</t>
        </is>
      </c>
      <c r="G2370" s="4" t="inlineStr">
        <is>
          <t>07:44</t>
        </is>
      </c>
      <c r="H2370" s="4" t="inlineStr">
        <is>
          <t>15.10.2026</t>
        </is>
      </c>
      <c r="I2370" s="4" t="inlineStr">
        <is>
          <t>17:18</t>
        </is>
      </c>
      <c r="J2370" s="8" t="n">
        <v>7.5</v>
      </c>
      <c r="K2370" s="8" t="n">
        <v>7.5</v>
      </c>
      <c r="L2370" s="8" t="n">
        <v>0</v>
      </c>
      <c r="M2370" s="29" t="inlineStr">
        <is>
          <t>BİGADİÇ</t>
        </is>
      </c>
    </row>
    <row r="2371">
      <c r="A2371" s="4" t="n">
        <v>2370</v>
      </c>
      <c r="B2371" s="4" t="inlineStr">
        <is>
          <t>01553</t>
        </is>
      </c>
      <c r="C2371" s="4" t="inlineStr">
        <is>
          <t>01553</t>
        </is>
      </c>
      <c r="D2371" s="29" t="inlineStr">
        <is>
          <t>MEHMET KEİREM GÜN</t>
        </is>
      </c>
      <c r="E2371" s="4" t="inlineStr">
        <is>
          <t>Salı</t>
        </is>
      </c>
      <c r="F2371" s="4" t="inlineStr">
        <is>
          <t>13.10.2026</t>
        </is>
      </c>
      <c r="G2371" s="4" t="inlineStr">
        <is>
          <t>-</t>
        </is>
      </c>
      <c r="H2371" s="4" t="inlineStr">
        <is>
          <t>13.10.2026</t>
        </is>
      </c>
      <c r="I2371" s="4" t="inlineStr">
        <is>
          <t>17:07</t>
        </is>
      </c>
      <c r="J2371" s="8" t="n">
        <v>7.5</v>
      </c>
      <c r="K2371" s="8" t="n">
        <v>7.5</v>
      </c>
      <c r="L2371" s="8" t="n">
        <v>0</v>
      </c>
      <c r="M2371" s="29" t="inlineStr">
        <is>
          <t>BİGADİÇ</t>
        </is>
      </c>
    </row>
    <row r="2372">
      <c r="A2372" s="4" t="n">
        <v>2371</v>
      </c>
      <c r="B2372" s="4" t="inlineStr">
        <is>
          <t>01553</t>
        </is>
      </c>
      <c r="C2372" s="4" t="inlineStr">
        <is>
          <t>01553</t>
        </is>
      </c>
      <c r="D2372" s="29" t="inlineStr">
        <is>
          <t>MEHMET KEİREM GÜN</t>
        </is>
      </c>
      <c r="E2372" s="4" t="inlineStr">
        <is>
          <t>Çarşamba</t>
        </is>
      </c>
      <c r="F2372" s="4" t="inlineStr">
        <is>
          <t>14.10.2026</t>
        </is>
      </c>
      <c r="G2372" s="4" t="inlineStr">
        <is>
          <t>08:01</t>
        </is>
      </c>
      <c r="H2372" s="4" t="inlineStr">
        <is>
          <t>14.10.2026</t>
        </is>
      </c>
      <c r="I2372" s="4" t="inlineStr">
        <is>
          <t>17:30</t>
        </is>
      </c>
      <c r="J2372" s="8" t="n">
        <v>8</v>
      </c>
      <c r="K2372" s="8" t="n">
        <v>7.5</v>
      </c>
      <c r="L2372" s="8" t="n">
        <v>0.5</v>
      </c>
      <c r="M2372" s="29" t="inlineStr">
        <is>
          <t>BİGADİÇ</t>
        </is>
      </c>
    </row>
    <row r="2373">
      <c r="A2373" s="4" t="n">
        <v>2372</v>
      </c>
      <c r="B2373" s="4" t="inlineStr">
        <is>
          <t>01553</t>
        </is>
      </c>
      <c r="C2373" s="4" t="inlineStr">
        <is>
          <t>01553</t>
        </is>
      </c>
      <c r="D2373" s="29" t="inlineStr">
        <is>
          <t>MEHMET KEİREM GÜN</t>
        </is>
      </c>
      <c r="E2373" s="4" t="inlineStr">
        <is>
          <t>Perşembe</t>
        </is>
      </c>
      <c r="F2373" s="4" t="inlineStr">
        <is>
          <t>15.10.2026</t>
        </is>
      </c>
      <c r="G2373" s="4" t="inlineStr">
        <is>
          <t>07:44</t>
        </is>
      </c>
      <c r="H2373" s="4" t="inlineStr">
        <is>
          <t>15.10.2026</t>
        </is>
      </c>
      <c r="I2373" s="4" t="inlineStr">
        <is>
          <t>17:20</t>
        </is>
      </c>
      <c r="J2373" s="8" t="n">
        <v>7.5</v>
      </c>
      <c r="K2373" s="8" t="n">
        <v>7.5</v>
      </c>
      <c r="L2373" s="8" t="n">
        <v>0</v>
      </c>
      <c r="M2373" s="29" t="inlineStr">
        <is>
          <t>BİGADİÇ</t>
        </is>
      </c>
    </row>
    <row r="2374">
      <c r="A2374" s="4" t="n">
        <v>2373</v>
      </c>
      <c r="B2374" s="4" t="inlineStr">
        <is>
          <t>01553</t>
        </is>
      </c>
      <c r="C2374" s="4" t="inlineStr">
        <is>
          <t>01553</t>
        </is>
      </c>
      <c r="D2374" s="29" t="inlineStr">
        <is>
          <t>MEHMET KEİREM GÜN</t>
        </is>
      </c>
      <c r="E2374" s="4" t="inlineStr">
        <is>
          <t>Cuma</t>
        </is>
      </c>
      <c r="F2374" s="4" t="inlineStr">
        <is>
          <t>16.10.2026</t>
        </is>
      </c>
      <c r="G2374" s="4" t="inlineStr">
        <is>
          <t>07:59</t>
        </is>
      </c>
      <c r="H2374" s="4" t="inlineStr">
        <is>
          <t>16.10.2026</t>
        </is>
      </c>
      <c r="I2374" s="4" t="inlineStr">
        <is>
          <t>17:20</t>
        </is>
      </c>
      <c r="J2374" s="8" t="n">
        <v>7.5</v>
      </c>
      <c r="K2374" s="8" t="n">
        <v>7.5</v>
      </c>
      <c r="L2374" s="8" t="n">
        <v>0</v>
      </c>
      <c r="M2374" s="29" t="inlineStr">
        <is>
          <t>BİGADİÇ</t>
        </is>
      </c>
    </row>
    <row r="2375">
      <c r="A2375" s="4" t="n">
        <v>2374</v>
      </c>
      <c r="B2375" s="4" t="inlineStr">
        <is>
          <t>01553</t>
        </is>
      </c>
      <c r="C2375" s="4" t="inlineStr">
        <is>
          <t>01553</t>
        </is>
      </c>
      <c r="D2375" s="29" t="inlineStr">
        <is>
          <t>MEHMET KEİREM GÜN</t>
        </is>
      </c>
      <c r="E2375" s="4" t="inlineStr">
        <is>
          <t>Cumartesi</t>
        </is>
      </c>
      <c r="F2375" s="4" t="inlineStr">
        <is>
          <t>17.10.2026</t>
        </is>
      </c>
      <c r="G2375" s="4" t="inlineStr">
        <is>
          <t>08:02</t>
        </is>
      </c>
      <c r="H2375" s="4" t="inlineStr">
        <is>
          <t>17.10.2026</t>
        </is>
      </c>
      <c r="I2375" s="4" t="inlineStr">
        <is>
          <t>17:54</t>
        </is>
      </c>
      <c r="J2375" s="8" t="n">
        <v>8.5</v>
      </c>
      <c r="K2375" s="8" t="n">
        <v>7.5</v>
      </c>
      <c r="L2375" s="8" t="n">
        <v>1</v>
      </c>
      <c r="M2375" s="29" t="inlineStr">
        <is>
          <t>BİGADİÇ</t>
        </is>
      </c>
    </row>
    <row r="2376">
      <c r="A2376" s="4" t="n">
        <v>2375</v>
      </c>
      <c r="B2376" s="4" t="inlineStr">
        <is>
          <t>01553</t>
        </is>
      </c>
      <c r="C2376" s="4" t="inlineStr">
        <is>
          <t>01553</t>
        </is>
      </c>
      <c r="D2376" s="29" t="inlineStr">
        <is>
          <t>MEHMET KEİREM GÜN</t>
        </is>
      </c>
      <c r="E2376" s="4" t="inlineStr">
        <is>
          <t>Pazartesi</t>
        </is>
      </c>
      <c r="F2376" s="4" t="inlineStr">
        <is>
          <t>19.10.2026</t>
        </is>
      </c>
      <c r="G2376" s="4" t="inlineStr">
        <is>
          <t>07:48</t>
        </is>
      </c>
      <c r="H2376" s="4" t="inlineStr">
        <is>
          <t>19.10.2026</t>
        </is>
      </c>
      <c r="I2376" s="4" t="inlineStr">
        <is>
          <t>17:09</t>
        </is>
      </c>
      <c r="J2376" s="8" t="n">
        <v>7.5</v>
      </c>
      <c r="K2376" s="8" t="n">
        <v>7.5</v>
      </c>
      <c r="L2376" s="8" t="n">
        <v>0</v>
      </c>
      <c r="M2376" s="29" t="inlineStr">
        <is>
          <t>BİGADİÇ</t>
        </is>
      </c>
    </row>
    <row r="2377">
      <c r="A2377" s="4" t="n">
        <v>2376</v>
      </c>
      <c r="B2377" s="4" t="inlineStr">
        <is>
          <t>01553</t>
        </is>
      </c>
      <c r="C2377" s="4" t="inlineStr">
        <is>
          <t>01553</t>
        </is>
      </c>
      <c r="D2377" s="29" t="inlineStr">
        <is>
          <t>MEHMET KEİREM GÜN</t>
        </is>
      </c>
      <c r="E2377" s="4" t="inlineStr">
        <is>
          <t>Salı</t>
        </is>
      </c>
      <c r="F2377" s="4" t="inlineStr">
        <is>
          <t>20.10.2026</t>
        </is>
      </c>
      <c r="G2377" s="4" t="inlineStr">
        <is>
          <t>07:50</t>
        </is>
      </c>
      <c r="H2377" s="4" t="inlineStr">
        <is>
          <t>20.10.2026</t>
        </is>
      </c>
      <c r="I2377" s="4" t="inlineStr">
        <is>
          <t>17:11</t>
        </is>
      </c>
      <c r="J2377" s="8" t="n">
        <v>7.5</v>
      </c>
      <c r="K2377" s="8" t="n">
        <v>7.5</v>
      </c>
      <c r="L2377" s="8" t="n">
        <v>0</v>
      </c>
      <c r="M2377" s="29" t="inlineStr">
        <is>
          <t>BİGADİÇ</t>
        </is>
      </c>
    </row>
    <row r="2378">
      <c r="A2378" s="4" t="n">
        <v>2377</v>
      </c>
      <c r="B2378" s="4" t="inlineStr">
        <is>
          <t>01553</t>
        </is>
      </c>
      <c r="C2378" s="4" t="inlineStr">
        <is>
          <t>01553</t>
        </is>
      </c>
      <c r="D2378" s="29" t="inlineStr">
        <is>
          <t>MEHMET KEİREM GÜN</t>
        </is>
      </c>
      <c r="E2378" s="4" t="inlineStr">
        <is>
          <t>Çarşamba</t>
        </is>
      </c>
      <c r="F2378" s="4" t="inlineStr">
        <is>
          <t>21.10.2026</t>
        </is>
      </c>
      <c r="G2378" s="4" t="inlineStr">
        <is>
          <t>07:51</t>
        </is>
      </c>
      <c r="H2378" s="4" t="inlineStr">
        <is>
          <t>21.10.2026</t>
        </is>
      </c>
      <c r="I2378" s="4" t="inlineStr">
        <is>
          <t>17:10</t>
        </is>
      </c>
      <c r="J2378" s="8" t="n">
        <v>7.5</v>
      </c>
      <c r="K2378" s="8" t="n">
        <v>7.5</v>
      </c>
      <c r="L2378" s="8" t="n">
        <v>0</v>
      </c>
      <c r="M2378" s="29" t="inlineStr">
        <is>
          <t>BİGADİÇ</t>
        </is>
      </c>
    </row>
    <row r="2379">
      <c r="A2379" s="4" t="n">
        <v>2378</v>
      </c>
      <c r="B2379" s="4" t="inlineStr">
        <is>
          <t>00233</t>
        </is>
      </c>
      <c r="C2379" s="4" t="inlineStr">
        <is>
          <t>00233</t>
        </is>
      </c>
      <c r="D2379" s="29" t="inlineStr">
        <is>
          <t>MEMNUNE KARAMAN</t>
        </is>
      </c>
      <c r="E2379" s="4" t="inlineStr">
        <is>
          <t>Perşembe</t>
        </is>
      </c>
      <c r="F2379" s="4" t="inlineStr">
        <is>
          <t>1.10.2026</t>
        </is>
      </c>
      <c r="G2379" s="4" t="inlineStr">
        <is>
          <t>07:50</t>
        </is>
      </c>
      <c r="H2379" s="4" t="inlineStr">
        <is>
          <t>1.10.2026</t>
        </is>
      </c>
      <c r="I2379" s="4" t="inlineStr">
        <is>
          <t>17:27</t>
        </is>
      </c>
      <c r="J2379" s="8" t="n">
        <v>8</v>
      </c>
      <c r="K2379" s="8" t="n">
        <v>7.5</v>
      </c>
      <c r="L2379" s="8" t="n">
        <v>0.5</v>
      </c>
      <c r="M2379" s="29" t="inlineStr">
        <is>
          <t>BALIKESİR</t>
        </is>
      </c>
    </row>
    <row r="2380">
      <c r="A2380" s="4" t="n">
        <v>2379</v>
      </c>
      <c r="B2380" s="4" t="inlineStr">
        <is>
          <t>00233</t>
        </is>
      </c>
      <c r="C2380" s="4" t="inlineStr">
        <is>
          <t>00233</t>
        </is>
      </c>
      <c r="D2380" s="29" t="inlineStr">
        <is>
          <t>MEMNUNE KARAMAN</t>
        </is>
      </c>
      <c r="E2380" s="4" t="inlineStr">
        <is>
          <t>Cuma</t>
        </is>
      </c>
      <c r="F2380" s="4" t="inlineStr">
        <is>
          <t>2.10.2026</t>
        </is>
      </c>
      <c r="G2380" s="4" t="inlineStr">
        <is>
          <t>07:55</t>
        </is>
      </c>
      <c r="H2380" s="4" t="inlineStr">
        <is>
          <t>2.10.2026</t>
        </is>
      </c>
      <c r="I2380" s="4" t="inlineStr">
        <is>
          <t>17:47</t>
        </is>
      </c>
      <c r="J2380" s="8" t="n">
        <v>8.5</v>
      </c>
      <c r="K2380" s="8" t="n">
        <v>7.5</v>
      </c>
      <c r="L2380" s="8" t="n">
        <v>1</v>
      </c>
      <c r="M2380" s="29" t="inlineStr">
        <is>
          <t>BALIKESİR</t>
        </is>
      </c>
    </row>
    <row r="2381">
      <c r="A2381" s="4" t="n">
        <v>2380</v>
      </c>
      <c r="B2381" s="4" t="inlineStr">
        <is>
          <t>00233</t>
        </is>
      </c>
      <c r="C2381" s="4" t="inlineStr">
        <is>
          <t>00233</t>
        </is>
      </c>
      <c r="D2381" s="29" t="inlineStr">
        <is>
          <t>MEMNUNE KARAMAN</t>
        </is>
      </c>
      <c r="E2381" s="4" t="inlineStr">
        <is>
          <t>Pazartesi</t>
        </is>
      </c>
      <c r="F2381" s="4" t="inlineStr">
        <is>
          <t>5.10.2026</t>
        </is>
      </c>
      <c r="G2381" s="4" t="inlineStr">
        <is>
          <t>07:52</t>
        </is>
      </c>
      <c r="H2381" s="4" t="inlineStr">
        <is>
          <t>5.10.2026</t>
        </is>
      </c>
      <c r="I2381" s="4" t="inlineStr">
        <is>
          <t>17:04</t>
        </is>
      </c>
      <c r="J2381" s="8" t="n">
        <v>7.5</v>
      </c>
      <c r="K2381" s="8" t="n">
        <v>7.5</v>
      </c>
      <c r="L2381" s="8" t="n">
        <v>0</v>
      </c>
      <c r="M2381" s="29" t="inlineStr">
        <is>
          <t>BALIKESİR</t>
        </is>
      </c>
    </row>
    <row r="2382">
      <c r="A2382" s="4" t="n">
        <v>2381</v>
      </c>
      <c r="B2382" s="4" t="inlineStr">
        <is>
          <t>00233</t>
        </is>
      </c>
      <c r="C2382" s="4" t="inlineStr">
        <is>
          <t>00233</t>
        </is>
      </c>
      <c r="D2382" s="29" t="inlineStr">
        <is>
          <t>MEMNUNE KARAMAN</t>
        </is>
      </c>
      <c r="E2382" s="4" t="inlineStr">
        <is>
          <t>Salı</t>
        </is>
      </c>
      <c r="F2382" s="4" t="inlineStr">
        <is>
          <t>6.10.2026</t>
        </is>
      </c>
      <c r="G2382" s="4" t="inlineStr">
        <is>
          <t>07:51</t>
        </is>
      </c>
      <c r="H2382" s="4" t="inlineStr">
        <is>
          <t>6.10.2026</t>
        </is>
      </c>
      <c r="I2382" s="4" t="inlineStr">
        <is>
          <t>17:40</t>
        </is>
      </c>
      <c r="J2382" s="8" t="n">
        <v>8</v>
      </c>
      <c r="K2382" s="8" t="n">
        <v>7.5</v>
      </c>
      <c r="L2382" s="8" t="n">
        <v>0.5</v>
      </c>
      <c r="M2382" s="29" t="inlineStr">
        <is>
          <t>BALIKESİR</t>
        </is>
      </c>
    </row>
    <row r="2383">
      <c r="A2383" s="4" t="n">
        <v>2382</v>
      </c>
      <c r="B2383" s="4" t="inlineStr">
        <is>
          <t>00233</t>
        </is>
      </c>
      <c r="C2383" s="4" t="inlineStr">
        <is>
          <t>00233</t>
        </is>
      </c>
      <c r="D2383" s="29" t="inlineStr">
        <is>
          <t>MEMNUNE KARAMAN</t>
        </is>
      </c>
      <c r="E2383" s="4" t="inlineStr">
        <is>
          <t>Çarşamba</t>
        </is>
      </c>
      <c r="F2383" s="4" t="inlineStr">
        <is>
          <t>7.10.2026</t>
        </is>
      </c>
      <c r="G2383" s="4" t="inlineStr">
        <is>
          <t>07:48</t>
        </is>
      </c>
      <c r="H2383" s="4" t="inlineStr">
        <is>
          <t>7.10.2026</t>
        </is>
      </c>
      <c r="I2383" s="4" t="inlineStr">
        <is>
          <t>17:22</t>
        </is>
      </c>
      <c r="J2383" s="8" t="n">
        <v>8</v>
      </c>
      <c r="K2383" s="8" t="n">
        <v>7.5</v>
      </c>
      <c r="L2383" s="8" t="n">
        <v>0.5</v>
      </c>
      <c r="M2383" s="29" t="inlineStr">
        <is>
          <t>BALIKESİR</t>
        </is>
      </c>
    </row>
    <row r="2384">
      <c r="A2384" s="4" t="n">
        <v>2383</v>
      </c>
      <c r="B2384" s="4" t="inlineStr">
        <is>
          <t>00233</t>
        </is>
      </c>
      <c r="C2384" s="4" t="inlineStr">
        <is>
          <t>00233</t>
        </is>
      </c>
      <c r="D2384" s="29" t="inlineStr">
        <is>
          <t>MEMNUNE KARAMAN</t>
        </is>
      </c>
      <c r="E2384" s="4" t="inlineStr">
        <is>
          <t>Perşembe</t>
        </is>
      </c>
      <c r="F2384" s="4" t="inlineStr">
        <is>
          <t>8.10.2026</t>
        </is>
      </c>
      <c r="G2384" s="4" t="inlineStr">
        <is>
          <t>07:49</t>
        </is>
      </c>
      <c r="H2384" s="4" t="inlineStr">
        <is>
          <t>8.10.2026</t>
        </is>
      </c>
      <c r="I2384" s="4" t="inlineStr">
        <is>
          <t>17:34</t>
        </is>
      </c>
      <c r="J2384" s="8" t="n">
        <v>8</v>
      </c>
      <c r="K2384" s="8" t="n">
        <v>7.5</v>
      </c>
      <c r="L2384" s="8" t="n">
        <v>0.5</v>
      </c>
      <c r="M2384" s="29" t="inlineStr">
        <is>
          <t>BALIKESİR</t>
        </is>
      </c>
    </row>
    <row r="2385">
      <c r="A2385" s="4" t="n">
        <v>2384</v>
      </c>
      <c r="B2385" s="4" t="inlineStr">
        <is>
          <t>00233</t>
        </is>
      </c>
      <c r="C2385" s="4" t="inlineStr">
        <is>
          <t>00233</t>
        </is>
      </c>
      <c r="D2385" s="29" t="inlineStr">
        <is>
          <t>MEMNUNE KARAMAN</t>
        </is>
      </c>
      <c r="E2385" s="4" t="inlineStr">
        <is>
          <t>Cuma</t>
        </is>
      </c>
      <c r="F2385" s="4" t="inlineStr">
        <is>
          <t>9.10.2026</t>
        </is>
      </c>
      <c r="G2385" s="4" t="inlineStr">
        <is>
          <t>07:50</t>
        </is>
      </c>
      <c r="H2385" s="4" t="inlineStr">
        <is>
          <t>9.10.2026</t>
        </is>
      </c>
      <c r="I2385" s="4" t="inlineStr">
        <is>
          <t>17:45</t>
        </is>
      </c>
      <c r="J2385" s="8" t="n">
        <v>8.5</v>
      </c>
      <c r="K2385" s="8" t="n">
        <v>7.5</v>
      </c>
      <c r="L2385" s="8" t="n">
        <v>1</v>
      </c>
      <c r="M2385" s="29" t="inlineStr">
        <is>
          <t>BALIKESİR</t>
        </is>
      </c>
    </row>
    <row r="2386">
      <c r="A2386" s="4" t="n">
        <v>2385</v>
      </c>
      <c r="B2386" s="4" t="inlineStr">
        <is>
          <t>00233</t>
        </is>
      </c>
      <c r="C2386" s="4" t="inlineStr">
        <is>
          <t>00233</t>
        </is>
      </c>
      <c r="D2386" s="29" t="inlineStr">
        <is>
          <t>MEMNUNE KARAMAN</t>
        </is>
      </c>
      <c r="E2386" s="4" t="inlineStr">
        <is>
          <t>Cumartesi</t>
        </is>
      </c>
      <c r="F2386" s="4" t="inlineStr">
        <is>
          <t>10.10.2026</t>
        </is>
      </c>
      <c r="G2386" s="4" t="inlineStr">
        <is>
          <t>07:53</t>
        </is>
      </c>
      <c r="H2386" s="4" t="inlineStr">
        <is>
          <t>10.10.2026</t>
        </is>
      </c>
      <c r="I2386" s="4" t="inlineStr">
        <is>
          <t>18:11</t>
        </is>
      </c>
      <c r="J2386" s="8" t="n">
        <v>8.5</v>
      </c>
      <c r="K2386" s="8" t="n">
        <v>7.5</v>
      </c>
      <c r="L2386" s="8" t="n">
        <v>1</v>
      </c>
      <c r="M2386" s="29" t="inlineStr">
        <is>
          <t>BALIKESİR</t>
        </is>
      </c>
    </row>
    <row r="2387">
      <c r="A2387" s="4" t="n">
        <v>2386</v>
      </c>
      <c r="B2387" s="4" t="inlineStr">
        <is>
          <t>00233</t>
        </is>
      </c>
      <c r="C2387" s="4" t="inlineStr">
        <is>
          <t>00233</t>
        </is>
      </c>
      <c r="D2387" s="29" t="inlineStr">
        <is>
          <t>MEMNUNE KARAMAN</t>
        </is>
      </c>
      <c r="E2387" s="4" t="inlineStr">
        <is>
          <t>Pazartesi</t>
        </is>
      </c>
      <c r="F2387" s="4" t="inlineStr">
        <is>
          <t>12.10.2026</t>
        </is>
      </c>
      <c r="G2387" s="4" t="inlineStr">
        <is>
          <t>07:50</t>
        </is>
      </c>
      <c r="H2387" s="4" t="inlineStr">
        <is>
          <t>12.10.2026</t>
        </is>
      </c>
      <c r="I2387" s="4" t="inlineStr">
        <is>
          <t>17:01</t>
        </is>
      </c>
      <c r="J2387" s="8" t="n">
        <v>7.5</v>
      </c>
      <c r="K2387" s="8" t="n">
        <v>7.5</v>
      </c>
      <c r="L2387" s="8" t="n">
        <v>0</v>
      </c>
      <c r="M2387" s="29" t="inlineStr">
        <is>
          <t>BALIKESİR</t>
        </is>
      </c>
    </row>
    <row r="2388">
      <c r="A2388" s="4" t="n">
        <v>2387</v>
      </c>
      <c r="B2388" s="4" t="inlineStr">
        <is>
          <t>00233</t>
        </is>
      </c>
      <c r="C2388" s="4" t="inlineStr">
        <is>
          <t>00233</t>
        </is>
      </c>
      <c r="D2388" s="29" t="inlineStr">
        <is>
          <t>MEMNUNE KARAMAN</t>
        </is>
      </c>
      <c r="E2388" s="4" t="inlineStr">
        <is>
          <t>Salı</t>
        </is>
      </c>
      <c r="F2388" s="4" t="inlineStr">
        <is>
          <t>13.10.2026</t>
        </is>
      </c>
      <c r="G2388" s="4" t="inlineStr">
        <is>
          <t>07:48</t>
        </is>
      </c>
      <c r="H2388" s="4" t="inlineStr">
        <is>
          <t>13.10.2026</t>
        </is>
      </c>
      <c r="I2388" s="4" t="inlineStr">
        <is>
          <t>17:01</t>
        </is>
      </c>
      <c r="J2388" s="8" t="n">
        <v>7.5</v>
      </c>
      <c r="K2388" s="8" t="n">
        <v>7.5</v>
      </c>
      <c r="L2388" s="8" t="n">
        <v>0</v>
      </c>
      <c r="M2388" s="29" t="inlineStr">
        <is>
          <t>BALIKESİR</t>
        </is>
      </c>
    </row>
    <row r="2389">
      <c r="A2389" s="4" t="n">
        <v>2388</v>
      </c>
      <c r="B2389" s="4" t="inlineStr">
        <is>
          <t>00233</t>
        </is>
      </c>
      <c r="C2389" s="4" t="inlineStr">
        <is>
          <t>00233</t>
        </is>
      </c>
      <c r="D2389" s="29" t="inlineStr">
        <is>
          <t>MEMNUNE KARAMAN</t>
        </is>
      </c>
      <c r="E2389" s="4" t="inlineStr">
        <is>
          <t>Perşembe</t>
        </is>
      </c>
      <c r="F2389" s="4" t="inlineStr">
        <is>
          <t>15.10.2026</t>
        </is>
      </c>
      <c r="G2389" s="4" t="inlineStr">
        <is>
          <t>07:52</t>
        </is>
      </c>
      <c r="H2389" s="4" t="inlineStr">
        <is>
          <t>15.10.2026</t>
        </is>
      </c>
      <c r="I2389" s="4" t="inlineStr">
        <is>
          <t>17:03</t>
        </is>
      </c>
      <c r="J2389" s="8" t="n">
        <v>7.5</v>
      </c>
      <c r="K2389" s="8" t="n">
        <v>7.5</v>
      </c>
      <c r="L2389" s="8" t="n">
        <v>0</v>
      </c>
      <c r="M2389" s="29" t="inlineStr">
        <is>
          <t>BALIKESİR</t>
        </is>
      </c>
    </row>
    <row r="2390">
      <c r="A2390" s="4" t="n">
        <v>2389</v>
      </c>
      <c r="B2390" s="4" t="inlineStr">
        <is>
          <t>00233</t>
        </is>
      </c>
      <c r="C2390" s="4" t="inlineStr">
        <is>
          <t>00233</t>
        </is>
      </c>
      <c r="D2390" s="29" t="inlineStr">
        <is>
          <t>MEMNUNE KARAMAN</t>
        </is>
      </c>
      <c r="E2390" s="4" t="inlineStr">
        <is>
          <t>Cuma</t>
        </is>
      </c>
      <c r="F2390" s="4" t="inlineStr">
        <is>
          <t>16.10.2026</t>
        </is>
      </c>
      <c r="G2390" s="4" t="inlineStr">
        <is>
          <t>07:48</t>
        </is>
      </c>
      <c r="H2390" s="4" t="inlineStr">
        <is>
          <t>16.10.2026</t>
        </is>
      </c>
      <c r="I2390" s="4" t="inlineStr">
        <is>
          <t>17:17</t>
        </is>
      </c>
      <c r="J2390" s="8" t="n">
        <v>7.5</v>
      </c>
      <c r="K2390" s="8" t="n">
        <v>7.5</v>
      </c>
      <c r="L2390" s="8" t="n">
        <v>0</v>
      </c>
      <c r="M2390" s="29" t="inlineStr">
        <is>
          <t>BALIKESİR</t>
        </is>
      </c>
    </row>
    <row r="2391">
      <c r="A2391" s="4" t="n">
        <v>2390</v>
      </c>
      <c r="B2391" s="4" t="inlineStr">
        <is>
          <t>00233</t>
        </is>
      </c>
      <c r="C2391" s="4" t="inlineStr">
        <is>
          <t>00233</t>
        </is>
      </c>
      <c r="D2391" s="29" t="inlineStr">
        <is>
          <t>MEMNUNE KARAMAN</t>
        </is>
      </c>
      <c r="E2391" s="4" t="inlineStr">
        <is>
          <t>Cumartesi</t>
        </is>
      </c>
      <c r="F2391" s="4" t="inlineStr">
        <is>
          <t>17.10.2026</t>
        </is>
      </c>
      <c r="G2391" s="4" t="inlineStr">
        <is>
          <t>07:56</t>
        </is>
      </c>
      <c r="H2391" s="4" t="inlineStr">
        <is>
          <t>17.10.2026</t>
        </is>
      </c>
      <c r="I2391" s="4" t="inlineStr">
        <is>
          <t>17:48</t>
        </is>
      </c>
      <c r="J2391" s="8" t="n">
        <v>8.5</v>
      </c>
      <c r="K2391" s="8" t="n">
        <v>7.5</v>
      </c>
      <c r="L2391" s="8" t="n">
        <v>1</v>
      </c>
      <c r="M2391" s="29" t="inlineStr">
        <is>
          <t>BALIKESİR</t>
        </is>
      </c>
    </row>
    <row r="2392">
      <c r="A2392" s="4" t="n">
        <v>2391</v>
      </c>
      <c r="B2392" s="4" t="inlineStr">
        <is>
          <t>00233</t>
        </is>
      </c>
      <c r="C2392" s="4" t="inlineStr">
        <is>
          <t>00233</t>
        </is>
      </c>
      <c r="D2392" s="29" t="inlineStr">
        <is>
          <t>MEMNUNE KARAMAN</t>
        </is>
      </c>
      <c r="E2392" s="4" t="inlineStr">
        <is>
          <t>Salı</t>
        </is>
      </c>
      <c r="F2392" s="4" t="inlineStr">
        <is>
          <t>20.10.2026</t>
        </is>
      </c>
      <c r="G2392" s="4" t="inlineStr">
        <is>
          <t>07:48</t>
        </is>
      </c>
      <c r="H2392" s="4" t="inlineStr">
        <is>
          <t>20.10.2026</t>
        </is>
      </c>
      <c r="I2392" s="4" t="inlineStr">
        <is>
          <t>17:02</t>
        </is>
      </c>
      <c r="J2392" s="8" t="n">
        <v>7.5</v>
      </c>
      <c r="K2392" s="8" t="n">
        <v>7.5</v>
      </c>
      <c r="L2392" s="8" t="n">
        <v>0</v>
      </c>
      <c r="M2392" s="29" t="inlineStr">
        <is>
          <t>BALIKESİR</t>
        </is>
      </c>
    </row>
    <row r="2393">
      <c r="A2393" s="4" t="n">
        <v>2392</v>
      </c>
      <c r="B2393" s="4" t="inlineStr">
        <is>
          <t>00233</t>
        </is>
      </c>
      <c r="C2393" s="4" t="inlineStr">
        <is>
          <t>00233</t>
        </is>
      </c>
      <c r="D2393" s="29" t="inlineStr">
        <is>
          <t>MEMNUNE KARAMAN</t>
        </is>
      </c>
      <c r="E2393" s="4" t="inlineStr">
        <is>
          <t>Çarşamba</t>
        </is>
      </c>
      <c r="F2393" s="4" t="inlineStr">
        <is>
          <t>21.10.2026</t>
        </is>
      </c>
      <c r="G2393" s="4" t="inlineStr">
        <is>
          <t>07:49</t>
        </is>
      </c>
      <c r="H2393" s="4" t="inlineStr">
        <is>
          <t>21.10.2026</t>
        </is>
      </c>
      <c r="I2393" s="4" t="inlineStr">
        <is>
          <t>17:02</t>
        </is>
      </c>
      <c r="J2393" s="8" t="n">
        <v>7.5</v>
      </c>
      <c r="K2393" s="8" t="n">
        <v>7.5</v>
      </c>
      <c r="L2393" s="8" t="n">
        <v>0</v>
      </c>
      <c r="M2393" s="29" t="inlineStr">
        <is>
          <t>BALIKESİR</t>
        </is>
      </c>
    </row>
    <row r="2394">
      <c r="A2394" s="4" t="n">
        <v>2393</v>
      </c>
      <c r="B2394" s="4" t="inlineStr">
        <is>
          <t>01386</t>
        </is>
      </c>
      <c r="C2394" s="4" t="inlineStr">
        <is>
          <t>01386</t>
        </is>
      </c>
      <c r="D2394" s="29" t="inlineStr">
        <is>
          <t>MENEKŞE DURMAN</t>
        </is>
      </c>
      <c r="E2394" s="4" t="inlineStr">
        <is>
          <t>Perşembe</t>
        </is>
      </c>
      <c r="F2394" s="4" t="inlineStr">
        <is>
          <t>1.10.2026</t>
        </is>
      </c>
      <c r="G2394" s="4" t="inlineStr">
        <is>
          <t>08:09</t>
        </is>
      </c>
      <c r="H2394" s="4" t="inlineStr">
        <is>
          <t>1.10.2026</t>
        </is>
      </c>
      <c r="I2394" s="4" t="inlineStr">
        <is>
          <t>20:09</t>
        </is>
      </c>
      <c r="J2394" s="8" t="n">
        <v>10.5</v>
      </c>
      <c r="K2394" s="8" t="n">
        <v>7.5</v>
      </c>
      <c r="L2394" s="8" t="n">
        <v>3</v>
      </c>
      <c r="M2394" s="29" t="inlineStr">
        <is>
          <t>HALİL DİĞRENCİ</t>
        </is>
      </c>
    </row>
    <row r="2395">
      <c r="A2395" s="4" t="n">
        <v>2394</v>
      </c>
      <c r="B2395" s="4" t="inlineStr">
        <is>
          <t>01386</t>
        </is>
      </c>
      <c r="C2395" s="4" t="inlineStr">
        <is>
          <t>01386</t>
        </is>
      </c>
      <c r="D2395" s="29" t="inlineStr">
        <is>
          <t>MENEKŞE DURMAN</t>
        </is>
      </c>
      <c r="E2395" s="4" t="inlineStr">
        <is>
          <t>Cuma</t>
        </is>
      </c>
      <c r="F2395" s="4" t="inlineStr">
        <is>
          <t>2.10.2026</t>
        </is>
      </c>
      <c r="G2395" s="4" t="inlineStr">
        <is>
          <t>07:57</t>
        </is>
      </c>
      <c r="H2395" s="4" t="inlineStr">
        <is>
          <t>2.10.2026</t>
        </is>
      </c>
      <c r="I2395" s="4" t="inlineStr">
        <is>
          <t>20:07</t>
        </is>
      </c>
      <c r="J2395" s="8" t="n">
        <v>10.5</v>
      </c>
      <c r="K2395" s="8" t="n">
        <v>7.5</v>
      </c>
      <c r="L2395" s="8" t="n">
        <v>3</v>
      </c>
      <c r="M2395" s="29" t="inlineStr">
        <is>
          <t>HALİL DİĞRENCİ</t>
        </is>
      </c>
    </row>
    <row r="2396">
      <c r="A2396" s="4" t="n">
        <v>2395</v>
      </c>
      <c r="B2396" s="4" t="inlineStr">
        <is>
          <t>01386</t>
        </is>
      </c>
      <c r="C2396" s="4" t="inlineStr">
        <is>
          <t>01386</t>
        </is>
      </c>
      <c r="D2396" s="29" t="inlineStr">
        <is>
          <t>MENEKŞE DURMAN</t>
        </is>
      </c>
      <c r="E2396" s="4" t="inlineStr">
        <is>
          <t>Cumartesi</t>
        </is>
      </c>
      <c r="F2396" s="4" t="inlineStr">
        <is>
          <t>3.10.2026</t>
        </is>
      </c>
      <c r="G2396" s="4" t="inlineStr">
        <is>
          <t>08:06</t>
        </is>
      </c>
      <c r="H2396" s="4" t="inlineStr">
        <is>
          <t>3.10.2026</t>
        </is>
      </c>
      <c r="I2396" s="4" t="inlineStr">
        <is>
          <t>20:06</t>
        </is>
      </c>
      <c r="J2396" s="8" t="n">
        <v>0</v>
      </c>
      <c r="K2396" s="8" t="n">
        <v>0</v>
      </c>
      <c r="L2396" s="8" t="n">
        <v>0</v>
      </c>
      <c r="M2396" s="29" t="inlineStr">
        <is>
          <t>HALİL DİĞRENCİ</t>
        </is>
      </c>
    </row>
    <row r="2397">
      <c r="A2397" s="4" t="n">
        <v>2396</v>
      </c>
      <c r="B2397" s="4" t="inlineStr">
        <is>
          <t>01386</t>
        </is>
      </c>
      <c r="C2397" s="4" t="inlineStr">
        <is>
          <t>01386</t>
        </is>
      </c>
      <c r="D2397" s="29" t="inlineStr">
        <is>
          <t>MENEKŞE DURMAN</t>
        </is>
      </c>
      <c r="E2397" s="4" t="inlineStr">
        <is>
          <t>Cuma</t>
        </is>
      </c>
      <c r="F2397" s="4" t="inlineStr">
        <is>
          <t>9.10.2026</t>
        </is>
      </c>
      <c r="G2397" s="4" t="inlineStr">
        <is>
          <t>07:59</t>
        </is>
      </c>
      <c r="H2397" s="4" t="inlineStr">
        <is>
          <t>9.10.2026</t>
        </is>
      </c>
      <c r="I2397" s="4" t="inlineStr">
        <is>
          <t>20:05</t>
        </is>
      </c>
      <c r="J2397" s="8" t="n">
        <v>10.5</v>
      </c>
      <c r="K2397" s="8" t="n">
        <v>7.5</v>
      </c>
      <c r="L2397" s="8" t="n">
        <v>3</v>
      </c>
      <c r="M2397" s="29" t="inlineStr">
        <is>
          <t>HALİL DİĞRENCİ</t>
        </is>
      </c>
    </row>
    <row r="2398">
      <c r="A2398" s="4" t="n">
        <v>2397</v>
      </c>
      <c r="B2398" s="4" t="inlineStr">
        <is>
          <t>01386</t>
        </is>
      </c>
      <c r="C2398" s="4" t="inlineStr">
        <is>
          <t>01386</t>
        </is>
      </c>
      <c r="D2398" s="29" t="inlineStr">
        <is>
          <t>MENEKŞE DURMAN</t>
        </is>
      </c>
      <c r="E2398" s="4" t="inlineStr">
        <is>
          <t>Cumartesi</t>
        </is>
      </c>
      <c r="F2398" s="4" t="inlineStr">
        <is>
          <t>10.10.2026</t>
        </is>
      </c>
      <c r="G2398" s="4" t="inlineStr">
        <is>
          <t>08:01</t>
        </is>
      </c>
      <c r="H2398" s="4" t="inlineStr">
        <is>
          <t>10.10.2026</t>
        </is>
      </c>
      <c r="I2398" s="4" t="inlineStr">
        <is>
          <t>19:58</t>
        </is>
      </c>
      <c r="J2398" s="8" t="n">
        <v>10.5</v>
      </c>
      <c r="K2398" s="8" t="n">
        <v>7.5</v>
      </c>
      <c r="L2398" s="8" t="n">
        <v>3</v>
      </c>
      <c r="M2398" s="29" t="inlineStr">
        <is>
          <t>HALİL DİĞRENCİ</t>
        </is>
      </c>
    </row>
    <row r="2399">
      <c r="A2399" s="4" t="n">
        <v>2398</v>
      </c>
      <c r="B2399" s="4" t="inlineStr">
        <is>
          <t>01386</t>
        </is>
      </c>
      <c r="C2399" s="4" t="inlineStr">
        <is>
          <t>01386</t>
        </is>
      </c>
      <c r="D2399" s="29" t="inlineStr">
        <is>
          <t>MENEKŞE DURMAN</t>
        </is>
      </c>
      <c r="E2399" s="4" t="inlineStr">
        <is>
          <t>Pazartesi</t>
        </is>
      </c>
      <c r="F2399" s="4" t="inlineStr">
        <is>
          <t>12.10.2026</t>
        </is>
      </c>
      <c r="G2399" s="4" t="inlineStr">
        <is>
          <t>08:00</t>
        </is>
      </c>
      <c r="H2399" s="4" t="inlineStr">
        <is>
          <t>12.10.2026</t>
        </is>
      </c>
      <c r="I2399" s="4" t="inlineStr">
        <is>
          <t>20:06</t>
        </is>
      </c>
      <c r="J2399" s="8" t="n">
        <v>10.5</v>
      </c>
      <c r="K2399" s="8" t="n">
        <v>7.5</v>
      </c>
      <c r="L2399" s="8" t="n">
        <v>3</v>
      </c>
      <c r="M2399" s="29" t="inlineStr">
        <is>
          <t>HALİL DİĞRENCİ</t>
        </is>
      </c>
    </row>
    <row r="2400">
      <c r="A2400" s="4" t="n">
        <v>2399</v>
      </c>
      <c r="B2400" s="4" t="inlineStr">
        <is>
          <t>01386</t>
        </is>
      </c>
      <c r="C2400" s="4" t="inlineStr">
        <is>
          <t>01386</t>
        </is>
      </c>
      <c r="D2400" s="29" t="inlineStr">
        <is>
          <t>MENEKŞE DURMAN</t>
        </is>
      </c>
      <c r="E2400" s="4" t="inlineStr">
        <is>
          <t>Salı</t>
        </is>
      </c>
      <c r="F2400" s="4" t="inlineStr">
        <is>
          <t>13.10.2026</t>
        </is>
      </c>
      <c r="G2400" s="4" t="inlineStr">
        <is>
          <t>07:58</t>
        </is>
      </c>
      <c r="H2400" s="4" t="inlineStr">
        <is>
          <t>13.10.2026</t>
        </is>
      </c>
      <c r="I2400" s="4" t="inlineStr">
        <is>
          <t>19:57</t>
        </is>
      </c>
      <c r="J2400" s="8" t="n">
        <v>10.5</v>
      </c>
      <c r="K2400" s="8" t="n">
        <v>7.5</v>
      </c>
      <c r="L2400" s="8" t="n">
        <v>3</v>
      </c>
      <c r="M2400" s="29" t="inlineStr">
        <is>
          <t>HALİL DİĞRENCİ</t>
        </is>
      </c>
    </row>
    <row r="2401">
      <c r="A2401" s="4" t="n">
        <v>2400</v>
      </c>
      <c r="B2401" s="4" t="inlineStr">
        <is>
          <t>01386</t>
        </is>
      </c>
      <c r="C2401" s="4" t="inlineStr">
        <is>
          <t>01386</t>
        </is>
      </c>
      <c r="D2401" s="29" t="inlineStr">
        <is>
          <t>MENEKŞE DURMAN</t>
        </is>
      </c>
      <c r="E2401" s="4" t="inlineStr">
        <is>
          <t>Çarşamba</t>
        </is>
      </c>
      <c r="F2401" s="4" t="inlineStr">
        <is>
          <t>14.10.2026</t>
        </is>
      </c>
      <c r="G2401" s="4" t="inlineStr">
        <is>
          <t>08:00</t>
        </is>
      </c>
      <c r="H2401" s="4" t="inlineStr">
        <is>
          <t>14.10.2026</t>
        </is>
      </c>
      <c r="I2401" s="4" t="inlineStr">
        <is>
          <t>19:59</t>
        </is>
      </c>
      <c r="J2401" s="8" t="n">
        <v>10.5</v>
      </c>
      <c r="K2401" s="8" t="n">
        <v>7.5</v>
      </c>
      <c r="L2401" s="8" t="n">
        <v>3</v>
      </c>
      <c r="M2401" s="29" t="inlineStr">
        <is>
          <t>HALİL DİĞRENCİ</t>
        </is>
      </c>
    </row>
    <row r="2402">
      <c r="A2402" s="4" t="n">
        <v>2401</v>
      </c>
      <c r="B2402" s="4" t="inlineStr">
        <is>
          <t>01386</t>
        </is>
      </c>
      <c r="C2402" s="4" t="inlineStr">
        <is>
          <t>01386</t>
        </is>
      </c>
      <c r="D2402" s="29" t="inlineStr">
        <is>
          <t>MENEKŞE DURMAN</t>
        </is>
      </c>
      <c r="E2402" s="4" t="inlineStr">
        <is>
          <t>Perşembe</t>
        </is>
      </c>
      <c r="F2402" s="4" t="inlineStr">
        <is>
          <t>15.10.2026</t>
        </is>
      </c>
      <c r="G2402" s="4" t="inlineStr">
        <is>
          <t>20:12</t>
        </is>
      </c>
      <c r="H2402" s="4" t="inlineStr">
        <is>
          <t>15.10.2026</t>
        </is>
      </c>
      <c r="I2402" s="4" t="inlineStr">
        <is>
          <t>07:58</t>
        </is>
      </c>
      <c r="J2402" s="8" t="n">
        <v>10.5</v>
      </c>
      <c r="K2402" s="8" t="n">
        <v>7.5</v>
      </c>
      <c r="L2402" s="8" t="n">
        <v>3</v>
      </c>
      <c r="M2402" s="29" t="inlineStr">
        <is>
          <t>HALİL DİĞRENCİ</t>
        </is>
      </c>
    </row>
    <row r="2403">
      <c r="A2403" s="4" t="n">
        <v>2402</v>
      </c>
      <c r="B2403" s="4" t="inlineStr">
        <is>
          <t>01386</t>
        </is>
      </c>
      <c r="C2403" s="4" t="inlineStr">
        <is>
          <t>01386</t>
        </is>
      </c>
      <c r="D2403" s="29" t="inlineStr">
        <is>
          <t>MENEKŞE DURMAN</t>
        </is>
      </c>
      <c r="E2403" s="4" t="inlineStr">
        <is>
          <t>Pazartesi</t>
        </is>
      </c>
      <c r="F2403" s="4" t="inlineStr">
        <is>
          <t>19.10.2026</t>
        </is>
      </c>
      <c r="G2403" s="4" t="inlineStr">
        <is>
          <t>08:05</t>
        </is>
      </c>
      <c r="H2403" s="4" t="inlineStr">
        <is>
          <t>19.10.2026</t>
        </is>
      </c>
      <c r="I2403" s="4" t="inlineStr">
        <is>
          <t>20:00</t>
        </is>
      </c>
      <c r="J2403" s="8" t="n">
        <v>10.5</v>
      </c>
      <c r="K2403" s="8" t="n">
        <v>7.5</v>
      </c>
      <c r="L2403" s="8" t="n">
        <v>3</v>
      </c>
      <c r="M2403" s="29" t="inlineStr">
        <is>
          <t>HALİL DİĞRENCİ</t>
        </is>
      </c>
    </row>
    <row r="2404">
      <c r="A2404" s="4" t="n">
        <v>2403</v>
      </c>
      <c r="B2404" s="4" t="inlineStr">
        <is>
          <t>01386</t>
        </is>
      </c>
      <c r="C2404" s="4" t="inlineStr">
        <is>
          <t>01386</t>
        </is>
      </c>
      <c r="D2404" s="29" t="inlineStr">
        <is>
          <t>MENEKŞE DURMAN</t>
        </is>
      </c>
      <c r="E2404" s="4" t="inlineStr">
        <is>
          <t>Çarşamba</t>
        </is>
      </c>
      <c r="F2404" s="4" t="inlineStr">
        <is>
          <t>21.10.2026</t>
        </is>
      </c>
      <c r="G2404" s="4" t="inlineStr">
        <is>
          <t>07:56</t>
        </is>
      </c>
      <c r="H2404" s="4" t="inlineStr">
        <is>
          <t>21.10.2026</t>
        </is>
      </c>
      <c r="I2404" s="4" t="inlineStr">
        <is>
          <t>17:06</t>
        </is>
      </c>
      <c r="J2404" s="8" t="n">
        <v>7.5</v>
      </c>
      <c r="K2404" s="8" t="n">
        <v>7.5</v>
      </c>
      <c r="L2404" s="8" t="n">
        <v>0</v>
      </c>
      <c r="M2404" s="29" t="inlineStr">
        <is>
          <t>HALİL DİĞRENCİ</t>
        </is>
      </c>
    </row>
    <row r="2405">
      <c r="A2405" s="4" t="n">
        <v>2404</v>
      </c>
      <c r="B2405" s="4" t="inlineStr">
        <is>
          <t>01475</t>
        </is>
      </c>
      <c r="C2405" s="4" t="inlineStr">
        <is>
          <t>01475</t>
        </is>
      </c>
      <c r="D2405" s="29" t="inlineStr">
        <is>
          <t>MERVE ALTIN</t>
        </is>
      </c>
      <c r="E2405" s="4" t="inlineStr">
        <is>
          <t>Cuma</t>
        </is>
      </c>
      <c r="F2405" s="4" t="inlineStr">
        <is>
          <t>2.10.2026</t>
        </is>
      </c>
      <c r="G2405" s="4" t="inlineStr">
        <is>
          <t>20:12</t>
        </is>
      </c>
      <c r="H2405" s="4" t="inlineStr">
        <is>
          <t>2.10.2026</t>
        </is>
      </c>
      <c r="I2405" s="4" t="inlineStr">
        <is>
          <t>07:53</t>
        </is>
      </c>
      <c r="J2405" s="8" t="n">
        <v>10.5</v>
      </c>
      <c r="K2405" s="8" t="n">
        <v>7.5</v>
      </c>
      <c r="L2405" s="8" t="n">
        <v>3</v>
      </c>
      <c r="M2405" s="29" t="inlineStr">
        <is>
          <t>HALİL DİĞRENCİ</t>
        </is>
      </c>
    </row>
    <row r="2406">
      <c r="A2406" s="4" t="n">
        <v>2405</v>
      </c>
      <c r="B2406" s="4" t="inlineStr">
        <is>
          <t>01475</t>
        </is>
      </c>
      <c r="C2406" s="4" t="inlineStr">
        <is>
          <t>01475</t>
        </is>
      </c>
      <c r="D2406" s="29" t="inlineStr">
        <is>
          <t>MERVE ALTIN</t>
        </is>
      </c>
      <c r="E2406" s="4" t="inlineStr">
        <is>
          <t>Cumartesi</t>
        </is>
      </c>
      <c r="F2406" s="4" t="inlineStr">
        <is>
          <t>3.10.2026</t>
        </is>
      </c>
      <c r="G2406" s="4" t="inlineStr">
        <is>
          <t>19:52</t>
        </is>
      </c>
      <c r="H2406" s="4" t="inlineStr">
        <is>
          <t>3.10.2026</t>
        </is>
      </c>
      <c r="I2406" s="4" t="inlineStr">
        <is>
          <t>07:57</t>
        </is>
      </c>
      <c r="J2406" s="8" t="n">
        <v>10.5</v>
      </c>
      <c r="K2406" s="8" t="n">
        <v>7.5</v>
      </c>
      <c r="L2406" s="8" t="n">
        <v>3</v>
      </c>
      <c r="M2406" s="29" t="inlineStr">
        <is>
          <t>HALİL DİĞRENCİ</t>
        </is>
      </c>
    </row>
    <row r="2407">
      <c r="A2407" s="4" t="n">
        <v>2406</v>
      </c>
      <c r="B2407" s="4" t="inlineStr">
        <is>
          <t>01475</t>
        </is>
      </c>
      <c r="C2407" s="4" t="inlineStr">
        <is>
          <t>01475</t>
        </is>
      </c>
      <c r="D2407" s="29" t="inlineStr">
        <is>
          <t>MERVE ALTIN</t>
        </is>
      </c>
      <c r="E2407" s="4" t="inlineStr">
        <is>
          <t>Pazartesi</t>
        </is>
      </c>
      <c r="F2407" s="4" t="inlineStr">
        <is>
          <t>5.10.2026</t>
        </is>
      </c>
      <c r="G2407" s="4" t="inlineStr">
        <is>
          <t>19:48</t>
        </is>
      </c>
      <c r="H2407" s="4" t="inlineStr">
        <is>
          <t>5.10.2026</t>
        </is>
      </c>
      <c r="I2407" s="4" t="inlineStr">
        <is>
          <t>07:50</t>
        </is>
      </c>
      <c r="J2407" s="8" t="n">
        <v>10.5</v>
      </c>
      <c r="K2407" s="8" t="n">
        <v>7.5</v>
      </c>
      <c r="L2407" s="8" t="n">
        <v>3</v>
      </c>
      <c r="M2407" s="29" t="inlineStr">
        <is>
          <t>HALİL DİĞRENCİ</t>
        </is>
      </c>
    </row>
    <row r="2408">
      <c r="A2408" s="4" t="n">
        <v>2407</v>
      </c>
      <c r="B2408" s="4" t="inlineStr">
        <is>
          <t>01475</t>
        </is>
      </c>
      <c r="C2408" s="4" t="inlineStr">
        <is>
          <t>01475</t>
        </is>
      </c>
      <c r="D2408" s="29" t="inlineStr">
        <is>
          <t>MERVE ALTIN</t>
        </is>
      </c>
      <c r="E2408" s="4" t="inlineStr">
        <is>
          <t>Salı</t>
        </is>
      </c>
      <c r="F2408" s="4" t="inlineStr">
        <is>
          <t>6.10.2026</t>
        </is>
      </c>
      <c r="G2408" s="4" t="inlineStr">
        <is>
          <t>19:54</t>
        </is>
      </c>
      <c r="H2408" s="4" t="inlineStr">
        <is>
          <t>6.10.2026</t>
        </is>
      </c>
      <c r="I2408" s="4" t="inlineStr">
        <is>
          <t>08:00</t>
        </is>
      </c>
      <c r="J2408" s="8" t="n">
        <v>10.5</v>
      </c>
      <c r="K2408" s="8" t="n">
        <v>7.5</v>
      </c>
      <c r="L2408" s="8" t="n">
        <v>3</v>
      </c>
      <c r="M2408" s="29" t="inlineStr">
        <is>
          <t>HALİL DİĞRENCİ</t>
        </is>
      </c>
    </row>
    <row r="2409">
      <c r="A2409" s="4" t="n">
        <v>2408</v>
      </c>
      <c r="B2409" s="4" t="inlineStr">
        <is>
          <t>01475</t>
        </is>
      </c>
      <c r="C2409" s="4" t="inlineStr">
        <is>
          <t>01475</t>
        </is>
      </c>
      <c r="D2409" s="29" t="inlineStr">
        <is>
          <t>MERVE ALTIN</t>
        </is>
      </c>
      <c r="E2409" s="4" t="inlineStr">
        <is>
          <t>Çarşamba</t>
        </is>
      </c>
      <c r="F2409" s="4" t="inlineStr">
        <is>
          <t>7.10.2026</t>
        </is>
      </c>
      <c r="G2409" s="4" t="inlineStr">
        <is>
          <t>19:52</t>
        </is>
      </c>
      <c r="H2409" s="4" t="inlineStr">
        <is>
          <t>7.10.2026</t>
        </is>
      </c>
      <c r="I2409" s="4" t="inlineStr">
        <is>
          <t>07:57</t>
        </is>
      </c>
      <c r="J2409" s="8" t="n">
        <v>10.5</v>
      </c>
      <c r="K2409" s="8" t="n">
        <v>7.5</v>
      </c>
      <c r="L2409" s="8" t="n">
        <v>3</v>
      </c>
      <c r="M2409" s="29" t="inlineStr">
        <is>
          <t>HALİL DİĞRENCİ</t>
        </is>
      </c>
    </row>
    <row r="2410">
      <c r="A2410" s="4" t="n">
        <v>2409</v>
      </c>
      <c r="B2410" s="4" t="inlineStr">
        <is>
          <t>01475</t>
        </is>
      </c>
      <c r="C2410" s="4" t="inlineStr">
        <is>
          <t>01475</t>
        </is>
      </c>
      <c r="D2410" s="29" t="inlineStr">
        <is>
          <t>MERVE ALTIN</t>
        </is>
      </c>
      <c r="E2410" s="4" t="inlineStr">
        <is>
          <t>Cuma</t>
        </is>
      </c>
      <c r="F2410" s="4" t="inlineStr">
        <is>
          <t>9.10.2026</t>
        </is>
      </c>
      <c r="G2410" s="4" t="inlineStr">
        <is>
          <t>20:02</t>
        </is>
      </c>
      <c r="H2410" s="4" t="inlineStr">
        <is>
          <t>9.10.2026</t>
        </is>
      </c>
      <c r="I2410" s="4" t="inlineStr">
        <is>
          <t>07:50</t>
        </is>
      </c>
      <c r="J2410" s="8" t="n">
        <v>10.5</v>
      </c>
      <c r="K2410" s="8" t="n">
        <v>7.5</v>
      </c>
      <c r="L2410" s="8" t="n">
        <v>3</v>
      </c>
      <c r="M2410" s="29" t="inlineStr">
        <is>
          <t>HALİL DİĞRENCİ</t>
        </is>
      </c>
    </row>
    <row r="2411">
      <c r="A2411" s="4" t="n">
        <v>2410</v>
      </c>
      <c r="B2411" s="4" t="inlineStr">
        <is>
          <t>01475</t>
        </is>
      </c>
      <c r="C2411" s="4" t="inlineStr">
        <is>
          <t>01475</t>
        </is>
      </c>
      <c r="D2411" s="29" t="inlineStr">
        <is>
          <t>MERVE ALTIN</t>
        </is>
      </c>
      <c r="E2411" s="4" t="inlineStr">
        <is>
          <t>Cumartesi</t>
        </is>
      </c>
      <c r="F2411" s="4" t="inlineStr">
        <is>
          <t>10.10.2026</t>
        </is>
      </c>
      <c r="G2411" s="4" t="inlineStr">
        <is>
          <t>19:50</t>
        </is>
      </c>
      <c r="H2411" s="4" t="inlineStr">
        <is>
          <t>10.10.2026</t>
        </is>
      </c>
      <c r="I2411" s="4" t="inlineStr">
        <is>
          <t>07:53</t>
        </is>
      </c>
      <c r="J2411" s="8" t="n">
        <v>10.5</v>
      </c>
      <c r="K2411" s="8" t="n">
        <v>7.5</v>
      </c>
      <c r="L2411" s="8" t="n">
        <v>3</v>
      </c>
      <c r="M2411" s="29" t="inlineStr">
        <is>
          <t>HALİL DİĞRENCİ</t>
        </is>
      </c>
    </row>
    <row r="2412">
      <c r="A2412" s="4" t="n">
        <v>2411</v>
      </c>
      <c r="B2412" s="4" t="inlineStr">
        <is>
          <t>01475</t>
        </is>
      </c>
      <c r="C2412" s="4" t="inlineStr">
        <is>
          <t>01475</t>
        </is>
      </c>
      <c r="D2412" s="29" t="inlineStr">
        <is>
          <t>MERVE ALTIN</t>
        </is>
      </c>
      <c r="E2412" s="4" t="inlineStr">
        <is>
          <t>Pazar</t>
        </is>
      </c>
      <c r="F2412" s="4" t="inlineStr">
        <is>
          <t>11.10.2026</t>
        </is>
      </c>
      <c r="G2412" s="4" t="inlineStr">
        <is>
          <t>20:08</t>
        </is>
      </c>
      <c r="H2412" s="4" t="inlineStr">
        <is>
          <t>11.10.2026</t>
        </is>
      </c>
      <c r="I2412" s="4" t="inlineStr">
        <is>
          <t>08:00</t>
        </is>
      </c>
      <c r="J2412" s="8" t="n">
        <v>10.5</v>
      </c>
      <c r="K2412" s="8" t="n">
        <v>7.5</v>
      </c>
      <c r="L2412" s="8" t="n">
        <v>3</v>
      </c>
      <c r="M2412" s="29" t="inlineStr">
        <is>
          <t>HALİL DİĞRENCİ</t>
        </is>
      </c>
    </row>
    <row r="2413">
      <c r="A2413" s="4" t="n">
        <v>2412</v>
      </c>
      <c r="B2413" s="4" t="inlineStr">
        <is>
          <t>01475</t>
        </is>
      </c>
      <c r="C2413" s="4" t="inlineStr">
        <is>
          <t>01475</t>
        </is>
      </c>
      <c r="D2413" s="29" t="inlineStr">
        <is>
          <t>MERVE ALTIN</t>
        </is>
      </c>
      <c r="E2413" s="4" t="inlineStr">
        <is>
          <t>Pazartesi</t>
        </is>
      </c>
      <c r="F2413" s="4" t="inlineStr">
        <is>
          <t>12.10.2026</t>
        </is>
      </c>
      <c r="G2413" s="4" t="inlineStr">
        <is>
          <t>20:00</t>
        </is>
      </c>
      <c r="H2413" s="4" t="inlineStr">
        <is>
          <t>12.10.2026</t>
        </is>
      </c>
      <c r="I2413" s="4" t="inlineStr">
        <is>
          <t>07:52</t>
        </is>
      </c>
      <c r="J2413" s="8" t="n">
        <v>10.5</v>
      </c>
      <c r="K2413" s="8" t="n">
        <v>7.5</v>
      </c>
      <c r="L2413" s="8" t="n">
        <v>3</v>
      </c>
      <c r="M2413" s="29" t="inlineStr">
        <is>
          <t>HALİL DİĞRENCİ</t>
        </is>
      </c>
    </row>
    <row r="2414">
      <c r="A2414" s="4" t="n">
        <v>2413</v>
      </c>
      <c r="B2414" s="4" t="inlineStr">
        <is>
          <t>01475</t>
        </is>
      </c>
      <c r="C2414" s="4" t="inlineStr">
        <is>
          <t>01475</t>
        </is>
      </c>
      <c r="D2414" s="29" t="inlineStr">
        <is>
          <t>MERVE ALTIN</t>
        </is>
      </c>
      <c r="E2414" s="4" t="inlineStr">
        <is>
          <t>Çarşamba</t>
        </is>
      </c>
      <c r="F2414" s="4" t="inlineStr">
        <is>
          <t>14.10.2026</t>
        </is>
      </c>
      <c r="G2414" s="4" t="inlineStr">
        <is>
          <t>20:07</t>
        </is>
      </c>
      <c r="H2414" s="4" t="inlineStr">
        <is>
          <t>14.10.2026</t>
        </is>
      </c>
      <c r="I2414" s="4" t="inlineStr">
        <is>
          <t>07:56</t>
        </is>
      </c>
      <c r="J2414" s="8" t="n">
        <v>10.5</v>
      </c>
      <c r="K2414" s="8" t="n">
        <v>7.5</v>
      </c>
      <c r="L2414" s="8" t="n">
        <v>3</v>
      </c>
      <c r="M2414" s="29" t="inlineStr">
        <is>
          <t>HALİL DİĞRENCİ</t>
        </is>
      </c>
    </row>
    <row r="2415">
      <c r="A2415" s="4" t="n">
        <v>2414</v>
      </c>
      <c r="B2415" s="4" t="inlineStr">
        <is>
          <t>01475</t>
        </is>
      </c>
      <c r="C2415" s="4" t="inlineStr">
        <is>
          <t>01475</t>
        </is>
      </c>
      <c r="D2415" s="29" t="inlineStr">
        <is>
          <t>MERVE ALTIN</t>
        </is>
      </c>
      <c r="E2415" s="4" t="inlineStr">
        <is>
          <t>Pazartesi</t>
        </is>
      </c>
      <c r="F2415" s="4" t="inlineStr">
        <is>
          <t>19.10.2026</t>
        </is>
      </c>
      <c r="G2415" s="4" t="inlineStr">
        <is>
          <t>20:14</t>
        </is>
      </c>
      <c r="H2415" s="4" t="inlineStr">
        <is>
          <t>19.10.2026</t>
        </is>
      </c>
      <c r="I2415" s="4" t="inlineStr">
        <is>
          <t>-</t>
        </is>
      </c>
      <c r="J2415" s="8" t="n">
        <v>7.5</v>
      </c>
      <c r="K2415" s="8" t="n">
        <v>7.5</v>
      </c>
      <c r="L2415" s="8" t="n">
        <v>0</v>
      </c>
      <c r="M2415" s="29" t="inlineStr">
        <is>
          <t>HALİL DİĞRENCİ</t>
        </is>
      </c>
    </row>
    <row r="2416">
      <c r="A2416" s="4" t="n">
        <v>2415</v>
      </c>
      <c r="B2416" s="4" t="inlineStr">
        <is>
          <t>01528</t>
        </is>
      </c>
      <c r="C2416" s="4" t="inlineStr">
        <is>
          <t>01528</t>
        </is>
      </c>
      <c r="D2416" s="29" t="inlineStr">
        <is>
          <t>MERVE İŞLER</t>
        </is>
      </c>
      <c r="E2416" s="4" t="inlineStr">
        <is>
          <t>Perşembe</t>
        </is>
      </c>
      <c r="F2416" s="4" t="inlineStr">
        <is>
          <t>8.10.2026</t>
        </is>
      </c>
      <c r="G2416" s="4" t="inlineStr">
        <is>
          <t>07:48</t>
        </is>
      </c>
      <c r="H2416" s="4" t="inlineStr">
        <is>
          <t>8.10.2026</t>
        </is>
      </c>
      <c r="I2416" s="4" t="inlineStr">
        <is>
          <t>20:00</t>
        </is>
      </c>
      <c r="J2416" s="8" t="n">
        <v>10.5</v>
      </c>
      <c r="K2416" s="8" t="n">
        <v>7.5</v>
      </c>
      <c r="L2416" s="8" t="n">
        <v>3</v>
      </c>
      <c r="M2416" s="29" t="inlineStr">
        <is>
          <t>HALİL DİĞRENCİ</t>
        </is>
      </c>
    </row>
    <row r="2417">
      <c r="A2417" s="4" t="n">
        <v>2416</v>
      </c>
      <c r="B2417" s="4" t="inlineStr">
        <is>
          <t>01528</t>
        </is>
      </c>
      <c r="C2417" s="4" t="inlineStr">
        <is>
          <t>01528</t>
        </is>
      </c>
      <c r="D2417" s="29" t="inlineStr">
        <is>
          <t>MERVE İŞLER</t>
        </is>
      </c>
      <c r="E2417" s="4" t="inlineStr">
        <is>
          <t>Cumartesi</t>
        </is>
      </c>
      <c r="F2417" s="4" t="inlineStr">
        <is>
          <t>10.10.2026</t>
        </is>
      </c>
      <c r="G2417" s="4" t="inlineStr">
        <is>
          <t>08:04</t>
        </is>
      </c>
      <c r="H2417" s="4" t="inlineStr">
        <is>
          <t>10.10.2026</t>
        </is>
      </c>
      <c r="I2417" s="4" t="inlineStr">
        <is>
          <t>20:02</t>
        </is>
      </c>
      <c r="J2417" s="8" t="n">
        <v>10.5</v>
      </c>
      <c r="K2417" s="8" t="n">
        <v>7.5</v>
      </c>
      <c r="L2417" s="8" t="n">
        <v>3</v>
      </c>
      <c r="M2417" s="29" t="inlineStr">
        <is>
          <t>HALİL DİĞRENCİ</t>
        </is>
      </c>
    </row>
    <row r="2418">
      <c r="A2418" s="4" t="n">
        <v>2417</v>
      </c>
      <c r="B2418" s="4" t="inlineStr">
        <is>
          <t>01070</t>
        </is>
      </c>
      <c r="C2418" s="4" t="inlineStr">
        <is>
          <t>01070</t>
        </is>
      </c>
      <c r="D2418" s="29" t="inlineStr">
        <is>
          <t>MESERRET DAĞ</t>
        </is>
      </c>
      <c r="E2418" s="4" t="inlineStr">
        <is>
          <t>Çarşamba</t>
        </is>
      </c>
      <c r="F2418" s="4" t="inlineStr">
        <is>
          <t>7.10.2026</t>
        </is>
      </c>
      <c r="G2418" s="4" t="inlineStr">
        <is>
          <t>19:39</t>
        </is>
      </c>
      <c r="H2418" s="4" t="inlineStr">
        <is>
          <t>7.10.2026</t>
        </is>
      </c>
      <c r="I2418" s="4" t="inlineStr">
        <is>
          <t>08:00</t>
        </is>
      </c>
      <c r="J2418" s="8" t="n">
        <v>10.5</v>
      </c>
      <c r="K2418" s="8" t="n">
        <v>7.5</v>
      </c>
      <c r="L2418" s="8" t="n">
        <v>3</v>
      </c>
      <c r="M2418" s="29" t="inlineStr">
        <is>
          <t>SÇEVİKAT ÇELİK</t>
        </is>
      </c>
    </row>
    <row r="2419">
      <c r="A2419" s="4" t="n">
        <v>2418</v>
      </c>
      <c r="B2419" s="4" t="inlineStr">
        <is>
          <t>00112</t>
        </is>
      </c>
      <c r="C2419" s="4" t="inlineStr">
        <is>
          <t>00112</t>
        </is>
      </c>
      <c r="D2419" s="29" t="inlineStr">
        <is>
          <t>MESUT ERDEL</t>
        </is>
      </c>
      <c r="E2419" s="4" t="inlineStr">
        <is>
          <t>Perşembe</t>
        </is>
      </c>
      <c r="F2419" s="4" t="inlineStr">
        <is>
          <t>1.10.2026</t>
        </is>
      </c>
      <c r="G2419" s="4" t="inlineStr">
        <is>
          <t>08:08</t>
        </is>
      </c>
      <c r="H2419" s="4" t="inlineStr">
        <is>
          <t>1.10.2026</t>
        </is>
      </c>
      <c r="I2419" s="4" t="inlineStr">
        <is>
          <t>17:12</t>
        </is>
      </c>
      <c r="J2419" s="8" t="n">
        <v>7.5</v>
      </c>
      <c r="K2419" s="8" t="n">
        <v>7.5</v>
      </c>
      <c r="L2419" s="8" t="n">
        <v>0</v>
      </c>
      <c r="M2419" s="29" t="inlineStr">
        <is>
          <t>SUSURLUK</t>
        </is>
      </c>
    </row>
    <row r="2420">
      <c r="A2420" s="4" t="n">
        <v>2419</v>
      </c>
      <c r="B2420" s="4" t="inlineStr">
        <is>
          <t>00112</t>
        </is>
      </c>
      <c r="C2420" s="4" t="inlineStr">
        <is>
          <t>00112</t>
        </is>
      </c>
      <c r="D2420" s="29" t="inlineStr">
        <is>
          <t>MESUT ERDEL</t>
        </is>
      </c>
      <c r="E2420" s="4" t="inlineStr">
        <is>
          <t>Cuma</t>
        </is>
      </c>
      <c r="F2420" s="4" t="inlineStr">
        <is>
          <t>2.10.2026</t>
        </is>
      </c>
      <c r="G2420" s="4" t="inlineStr">
        <is>
          <t>08:10</t>
        </is>
      </c>
      <c r="H2420" s="4" t="inlineStr">
        <is>
          <t>2.10.2026</t>
        </is>
      </c>
      <c r="I2420" s="4" t="inlineStr">
        <is>
          <t>17:13</t>
        </is>
      </c>
      <c r="J2420" s="8" t="n">
        <v>7.5</v>
      </c>
      <c r="K2420" s="8" t="n">
        <v>7.5</v>
      </c>
      <c r="L2420" s="8" t="n">
        <v>0</v>
      </c>
      <c r="M2420" s="29" t="inlineStr">
        <is>
          <t>SUSURLUK</t>
        </is>
      </c>
    </row>
    <row r="2421">
      <c r="A2421" s="4" t="n">
        <v>2420</v>
      </c>
      <c r="B2421" s="4" t="inlineStr">
        <is>
          <t>00112</t>
        </is>
      </c>
      <c r="C2421" s="4" t="inlineStr">
        <is>
          <t>00112</t>
        </is>
      </c>
      <c r="D2421" s="29" t="inlineStr">
        <is>
          <t>MESUT ERDEL</t>
        </is>
      </c>
      <c r="E2421" s="4" t="inlineStr">
        <is>
          <t>Cumartesi</t>
        </is>
      </c>
      <c r="F2421" s="4" t="inlineStr">
        <is>
          <t>3.10.2026</t>
        </is>
      </c>
      <c r="G2421" s="4" t="inlineStr">
        <is>
          <t>08:04</t>
        </is>
      </c>
      <c r="H2421" s="4" t="inlineStr">
        <is>
          <t>3.10.2026</t>
        </is>
      </c>
      <c r="I2421" s="4" t="inlineStr">
        <is>
          <t>17:58</t>
        </is>
      </c>
      <c r="J2421" s="8" t="n">
        <v>8.5</v>
      </c>
      <c r="K2421" s="8" t="n">
        <v>7.5</v>
      </c>
      <c r="L2421" s="8" t="n">
        <v>1</v>
      </c>
      <c r="M2421" s="29" t="inlineStr">
        <is>
          <t>SUSURLUK</t>
        </is>
      </c>
    </row>
    <row r="2422">
      <c r="A2422" s="4" t="n">
        <v>2421</v>
      </c>
      <c r="B2422" s="4" t="inlineStr">
        <is>
          <t>00112</t>
        </is>
      </c>
      <c r="C2422" s="4" t="inlineStr">
        <is>
          <t>00112</t>
        </is>
      </c>
      <c r="D2422" s="29" t="inlineStr">
        <is>
          <t>MESUT ERDEL</t>
        </is>
      </c>
      <c r="E2422" s="4" t="inlineStr">
        <is>
          <t>Pazar</t>
        </is>
      </c>
      <c r="F2422" s="4" t="inlineStr">
        <is>
          <t>4.10.2026</t>
        </is>
      </c>
      <c r="G2422" s="4" t="inlineStr">
        <is>
          <t>08:01</t>
        </is>
      </c>
      <c r="H2422" s="4" t="inlineStr">
        <is>
          <t>4.10.2026</t>
        </is>
      </c>
      <c r="I2422" s="4" t="inlineStr">
        <is>
          <t>17:03</t>
        </is>
      </c>
      <c r="J2422" s="8" t="n">
        <v>7.5</v>
      </c>
      <c r="K2422" s="8" t="n">
        <v>7.5</v>
      </c>
      <c r="L2422" s="8" t="n">
        <v>0</v>
      </c>
      <c r="M2422" s="29" t="inlineStr">
        <is>
          <t>SUSURLUK</t>
        </is>
      </c>
    </row>
    <row r="2423">
      <c r="A2423" s="4" t="n">
        <v>2422</v>
      </c>
      <c r="B2423" s="4" t="inlineStr">
        <is>
          <t>00112</t>
        </is>
      </c>
      <c r="C2423" s="4" t="inlineStr">
        <is>
          <t>00112</t>
        </is>
      </c>
      <c r="D2423" s="29" t="inlineStr">
        <is>
          <t>MESUT ERDEL</t>
        </is>
      </c>
      <c r="E2423" s="4" t="inlineStr">
        <is>
          <t>Pazartesi</t>
        </is>
      </c>
      <c r="F2423" s="4" t="inlineStr">
        <is>
          <t>5.10.2026</t>
        </is>
      </c>
      <c r="G2423" s="4" t="inlineStr">
        <is>
          <t>08:33</t>
        </is>
      </c>
      <c r="H2423" s="4" t="inlineStr">
        <is>
          <t>5.10.2026</t>
        </is>
      </c>
      <c r="I2423" s="4" t="inlineStr">
        <is>
          <t>16:52</t>
        </is>
      </c>
      <c r="J2423" s="8" t="n">
        <v>7</v>
      </c>
      <c r="K2423" s="8" t="n">
        <v>7</v>
      </c>
      <c r="L2423" s="8" t="n">
        <v>0</v>
      </c>
      <c r="M2423" s="29" t="inlineStr">
        <is>
          <t>SUSURLUK</t>
        </is>
      </c>
    </row>
    <row r="2424">
      <c r="A2424" s="4" t="n">
        <v>2423</v>
      </c>
      <c r="B2424" s="4" t="inlineStr">
        <is>
          <t>00112</t>
        </is>
      </c>
      <c r="C2424" s="4" t="inlineStr">
        <is>
          <t>00112</t>
        </is>
      </c>
      <c r="D2424" s="29" t="inlineStr">
        <is>
          <t>MESUT ERDEL</t>
        </is>
      </c>
      <c r="E2424" s="4" t="inlineStr">
        <is>
          <t>Salı</t>
        </is>
      </c>
      <c r="F2424" s="4" t="inlineStr">
        <is>
          <t>6.10.2026</t>
        </is>
      </c>
      <c r="G2424" s="4" t="inlineStr">
        <is>
          <t>08:25</t>
        </is>
      </c>
      <c r="H2424" s="4" t="inlineStr">
        <is>
          <t>6.10.2026</t>
        </is>
      </c>
      <c r="I2424" s="4" t="inlineStr">
        <is>
          <t>17:02</t>
        </is>
      </c>
      <c r="J2424" s="8" t="n">
        <v>7</v>
      </c>
      <c r="K2424" s="8" t="n">
        <v>7</v>
      </c>
      <c r="L2424" s="8" t="n">
        <v>0</v>
      </c>
      <c r="M2424" s="29" t="inlineStr">
        <is>
          <t>SUSURLUK</t>
        </is>
      </c>
    </row>
    <row r="2425">
      <c r="A2425" s="4" t="n">
        <v>2424</v>
      </c>
      <c r="B2425" s="4" t="inlineStr">
        <is>
          <t>00112</t>
        </is>
      </c>
      <c r="C2425" s="4" t="inlineStr">
        <is>
          <t>00112</t>
        </is>
      </c>
      <c r="D2425" s="29" t="inlineStr">
        <is>
          <t>MESUT ERDEL</t>
        </is>
      </c>
      <c r="E2425" s="4" t="inlineStr">
        <is>
          <t>Çarşamba</t>
        </is>
      </c>
      <c r="F2425" s="4" t="inlineStr">
        <is>
          <t>7.10.2026</t>
        </is>
      </c>
      <c r="G2425" s="4" t="inlineStr">
        <is>
          <t>08:21</t>
        </is>
      </c>
      <c r="H2425" s="4" t="inlineStr">
        <is>
          <t>7.10.2026</t>
        </is>
      </c>
      <c r="I2425" s="4" t="inlineStr">
        <is>
          <t>17:09</t>
        </is>
      </c>
      <c r="J2425" s="8" t="n">
        <v>7</v>
      </c>
      <c r="K2425" s="8" t="n">
        <v>7</v>
      </c>
      <c r="L2425" s="8" t="n">
        <v>0</v>
      </c>
      <c r="M2425" s="29" t="inlineStr">
        <is>
          <t>SUSURLUK</t>
        </is>
      </c>
    </row>
    <row r="2426">
      <c r="A2426" s="4" t="n">
        <v>2425</v>
      </c>
      <c r="B2426" s="4" t="inlineStr">
        <is>
          <t>00112</t>
        </is>
      </c>
      <c r="C2426" s="4" t="inlineStr">
        <is>
          <t>00112</t>
        </is>
      </c>
      <c r="D2426" s="29" t="inlineStr">
        <is>
          <t>MESUT ERDEL</t>
        </is>
      </c>
      <c r="E2426" s="4" t="inlineStr">
        <is>
          <t>Perşembe</t>
        </is>
      </c>
      <c r="F2426" s="4" t="inlineStr">
        <is>
          <t>8.10.2026</t>
        </is>
      </c>
      <c r="G2426" s="4" t="inlineStr">
        <is>
          <t>08:22</t>
        </is>
      </c>
      <c r="H2426" s="4" t="inlineStr">
        <is>
          <t>8.10.2026</t>
        </is>
      </c>
      <c r="I2426" s="4" t="inlineStr">
        <is>
          <t>17:19</t>
        </is>
      </c>
      <c r="J2426" s="8" t="n">
        <v>7</v>
      </c>
      <c r="K2426" s="8" t="n">
        <v>7</v>
      </c>
      <c r="L2426" s="8" t="n">
        <v>0</v>
      </c>
      <c r="M2426" s="29" t="inlineStr">
        <is>
          <t>SUSURLUK</t>
        </is>
      </c>
    </row>
    <row r="2427">
      <c r="A2427" s="4" t="n">
        <v>2426</v>
      </c>
      <c r="B2427" s="4" t="inlineStr">
        <is>
          <t>00112</t>
        </is>
      </c>
      <c r="C2427" s="4" t="inlineStr">
        <is>
          <t>00112</t>
        </is>
      </c>
      <c r="D2427" s="29" t="inlineStr">
        <is>
          <t>MESUT ERDEL</t>
        </is>
      </c>
      <c r="E2427" s="4" t="inlineStr">
        <is>
          <t>Cuma</t>
        </is>
      </c>
      <c r="F2427" s="4" t="inlineStr">
        <is>
          <t>9.10.2026</t>
        </is>
      </c>
      <c r="G2427" s="4" t="inlineStr">
        <is>
          <t>14:15</t>
        </is>
      </c>
      <c r="H2427" s="4" t="inlineStr">
        <is>
          <t>9.10.2026</t>
        </is>
      </c>
      <c r="I2427" s="4" t="inlineStr">
        <is>
          <t>17:28</t>
        </is>
      </c>
      <c r="J2427" s="8" t="n">
        <v>2.5</v>
      </c>
      <c r="K2427" s="8" t="n">
        <v>2.5</v>
      </c>
      <c r="L2427" s="8" t="n">
        <v>0</v>
      </c>
      <c r="M2427" s="29" t="inlineStr">
        <is>
          <t>SUSURLUK</t>
        </is>
      </c>
    </row>
    <row r="2428">
      <c r="A2428" s="4" t="n">
        <v>2427</v>
      </c>
      <c r="B2428" s="4" t="inlineStr">
        <is>
          <t>00112</t>
        </is>
      </c>
      <c r="C2428" s="4" t="inlineStr">
        <is>
          <t>00112</t>
        </is>
      </c>
      <c r="D2428" s="29" t="inlineStr">
        <is>
          <t>MESUT ERDEL</t>
        </is>
      </c>
      <c r="E2428" s="4" t="inlineStr">
        <is>
          <t>Cumartesi</t>
        </is>
      </c>
      <c r="F2428" s="4" t="inlineStr">
        <is>
          <t>10.10.2026</t>
        </is>
      </c>
      <c r="G2428" s="4" t="inlineStr">
        <is>
          <t>08:18</t>
        </is>
      </c>
      <c r="H2428" s="4" t="inlineStr">
        <is>
          <t>10.10.2026</t>
        </is>
      </c>
      <c r="I2428" s="4" t="inlineStr">
        <is>
          <t>18:08</t>
        </is>
      </c>
      <c r="J2428" s="8" t="n">
        <v>8</v>
      </c>
      <c r="K2428" s="8" t="n">
        <v>7.5</v>
      </c>
      <c r="L2428" s="8" t="n">
        <v>0.5</v>
      </c>
      <c r="M2428" s="29" t="inlineStr">
        <is>
          <t>SUSURLUK</t>
        </is>
      </c>
    </row>
    <row r="2429">
      <c r="A2429" s="4" t="n">
        <v>2428</v>
      </c>
      <c r="B2429" s="4" t="inlineStr">
        <is>
          <t>00112</t>
        </is>
      </c>
      <c r="C2429" s="4" t="inlineStr">
        <is>
          <t>00112</t>
        </is>
      </c>
      <c r="D2429" s="29" t="inlineStr">
        <is>
          <t>MESUT ERDEL</t>
        </is>
      </c>
      <c r="E2429" s="4" t="inlineStr">
        <is>
          <t>Pazar</t>
        </is>
      </c>
      <c r="F2429" s="4" t="inlineStr">
        <is>
          <t>11.10.2026</t>
        </is>
      </c>
      <c r="G2429" s="4" t="inlineStr">
        <is>
          <t>08:28</t>
        </is>
      </c>
      <c r="H2429" s="4" t="inlineStr">
        <is>
          <t>11.10.2026</t>
        </is>
      </c>
      <c r="I2429" s="4" t="inlineStr">
        <is>
          <t>17:30</t>
        </is>
      </c>
      <c r="J2429" s="8" t="n">
        <v>6.5</v>
      </c>
      <c r="K2429" s="8" t="n">
        <v>6.5</v>
      </c>
      <c r="L2429" s="8" t="n">
        <v>0</v>
      </c>
      <c r="M2429" s="29" t="inlineStr">
        <is>
          <t>SUSURLUK</t>
        </is>
      </c>
    </row>
    <row r="2430">
      <c r="A2430" s="4" t="n">
        <v>2429</v>
      </c>
      <c r="B2430" s="4" t="inlineStr">
        <is>
          <t>00112</t>
        </is>
      </c>
      <c r="C2430" s="4" t="inlineStr">
        <is>
          <t>00112</t>
        </is>
      </c>
      <c r="D2430" s="29" t="inlineStr">
        <is>
          <t>MESUT ERDEL</t>
        </is>
      </c>
      <c r="E2430" s="4" t="inlineStr">
        <is>
          <t>Salı</t>
        </is>
      </c>
      <c r="F2430" s="4" t="inlineStr">
        <is>
          <t>13.10.2026</t>
        </is>
      </c>
      <c r="G2430" s="4" t="inlineStr">
        <is>
          <t>08:02</t>
        </is>
      </c>
      <c r="H2430" s="4" t="inlineStr">
        <is>
          <t>13.10.2026</t>
        </is>
      </c>
      <c r="I2430" s="4" t="inlineStr">
        <is>
          <t>17:08</t>
        </is>
      </c>
      <c r="J2430" s="8" t="n">
        <v>7.5</v>
      </c>
      <c r="K2430" s="8" t="n">
        <v>7.5</v>
      </c>
      <c r="L2430" s="8" t="n">
        <v>0</v>
      </c>
      <c r="M2430" s="29" t="inlineStr">
        <is>
          <t>SUSURLUK</t>
        </is>
      </c>
    </row>
    <row r="2431">
      <c r="A2431" s="4" t="n">
        <v>2430</v>
      </c>
      <c r="B2431" s="4" t="inlineStr">
        <is>
          <t>00112</t>
        </is>
      </c>
      <c r="C2431" s="4" t="inlineStr">
        <is>
          <t>00112</t>
        </is>
      </c>
      <c r="D2431" s="29" t="inlineStr">
        <is>
          <t>MESUT ERDEL</t>
        </is>
      </c>
      <c r="E2431" s="4" t="inlineStr">
        <is>
          <t>Çarşamba</t>
        </is>
      </c>
      <c r="F2431" s="4" t="inlineStr">
        <is>
          <t>14.10.2026</t>
        </is>
      </c>
      <c r="G2431" s="4" t="inlineStr">
        <is>
          <t>08:02</t>
        </is>
      </c>
      <c r="H2431" s="4" t="inlineStr">
        <is>
          <t>14.10.2026</t>
        </is>
      </c>
      <c r="I2431" s="4" t="inlineStr">
        <is>
          <t>17:10</t>
        </is>
      </c>
      <c r="J2431" s="8" t="n">
        <v>7.5</v>
      </c>
      <c r="K2431" s="8" t="n">
        <v>7.5</v>
      </c>
      <c r="L2431" s="8" t="n">
        <v>0</v>
      </c>
      <c r="M2431" s="29" t="inlineStr">
        <is>
          <t>SUSURLUK</t>
        </is>
      </c>
    </row>
    <row r="2432">
      <c r="A2432" s="4" t="n">
        <v>2431</v>
      </c>
      <c r="B2432" s="4" t="inlineStr">
        <is>
          <t>00112</t>
        </is>
      </c>
      <c r="C2432" s="4" t="inlineStr">
        <is>
          <t>00112</t>
        </is>
      </c>
      <c r="D2432" s="29" t="inlineStr">
        <is>
          <t>MESUT ERDEL</t>
        </is>
      </c>
      <c r="E2432" s="4" t="inlineStr">
        <is>
          <t>Perşembe</t>
        </is>
      </c>
      <c r="F2432" s="4" t="inlineStr">
        <is>
          <t>15.10.2026</t>
        </is>
      </c>
      <c r="G2432" s="4" t="inlineStr">
        <is>
          <t>08:09</t>
        </is>
      </c>
      <c r="H2432" s="4" t="inlineStr">
        <is>
          <t>15.10.2026</t>
        </is>
      </c>
      <c r="I2432" s="4" t="inlineStr">
        <is>
          <t>17:35</t>
        </is>
      </c>
      <c r="J2432" s="8" t="n">
        <v>8</v>
      </c>
      <c r="K2432" s="8" t="n">
        <v>7.5</v>
      </c>
      <c r="L2432" s="8" t="n">
        <v>0.5</v>
      </c>
      <c r="M2432" s="29" t="inlineStr">
        <is>
          <t>SUSURLUK</t>
        </is>
      </c>
    </row>
    <row r="2433">
      <c r="A2433" s="4" t="n">
        <v>2432</v>
      </c>
      <c r="B2433" s="4" t="inlineStr">
        <is>
          <t>00112</t>
        </is>
      </c>
      <c r="C2433" s="4" t="inlineStr">
        <is>
          <t>00112</t>
        </is>
      </c>
      <c r="D2433" s="29" t="inlineStr">
        <is>
          <t>MESUT ERDEL</t>
        </is>
      </c>
      <c r="E2433" s="4" t="inlineStr">
        <is>
          <t>Cuma</t>
        </is>
      </c>
      <c r="F2433" s="4" t="inlineStr">
        <is>
          <t>16.10.2026</t>
        </is>
      </c>
      <c r="G2433" s="4" t="inlineStr">
        <is>
          <t>07:56</t>
        </is>
      </c>
      <c r="H2433" s="4" t="inlineStr">
        <is>
          <t>16.10.2026</t>
        </is>
      </c>
      <c r="I2433" s="4" t="inlineStr">
        <is>
          <t>17:03</t>
        </is>
      </c>
      <c r="J2433" s="8" t="n">
        <v>7.5</v>
      </c>
      <c r="K2433" s="8" t="n">
        <v>7.5</v>
      </c>
      <c r="L2433" s="8" t="n">
        <v>0</v>
      </c>
      <c r="M2433" s="29" t="inlineStr">
        <is>
          <t>SUSURLUK</t>
        </is>
      </c>
    </row>
    <row r="2434">
      <c r="A2434" s="4" t="n">
        <v>2433</v>
      </c>
      <c r="B2434" s="4" t="inlineStr">
        <is>
          <t>00112</t>
        </is>
      </c>
      <c r="C2434" s="4" t="inlineStr">
        <is>
          <t>00112</t>
        </is>
      </c>
      <c r="D2434" s="29" t="inlineStr">
        <is>
          <t>MESUT ERDEL</t>
        </is>
      </c>
      <c r="E2434" s="4" t="inlineStr">
        <is>
          <t>Cumartesi</t>
        </is>
      </c>
      <c r="F2434" s="4" t="inlineStr">
        <is>
          <t>17.10.2026</t>
        </is>
      </c>
      <c r="G2434" s="4" t="inlineStr">
        <is>
          <t>08:19</t>
        </is>
      </c>
      <c r="H2434" s="4" t="inlineStr">
        <is>
          <t>17.10.2026</t>
        </is>
      </c>
      <c r="I2434" s="4" t="inlineStr">
        <is>
          <t>16:59</t>
        </is>
      </c>
      <c r="J2434" s="8" t="n">
        <v>7.5</v>
      </c>
      <c r="K2434" s="8" t="n">
        <v>7.5</v>
      </c>
      <c r="L2434" s="8" t="n">
        <v>0</v>
      </c>
      <c r="M2434" s="29" t="inlineStr">
        <is>
          <t>SUSURLUK</t>
        </is>
      </c>
    </row>
    <row r="2435">
      <c r="A2435" s="4" t="n">
        <v>2434</v>
      </c>
      <c r="B2435" s="4" t="inlineStr">
        <is>
          <t>00112</t>
        </is>
      </c>
      <c r="C2435" s="4" t="inlineStr">
        <is>
          <t>00112</t>
        </is>
      </c>
      <c r="D2435" s="29" t="inlineStr">
        <is>
          <t>MESUT ERDEL</t>
        </is>
      </c>
      <c r="E2435" s="4" t="inlineStr">
        <is>
          <t>Pazar</t>
        </is>
      </c>
      <c r="F2435" s="4" t="inlineStr">
        <is>
          <t>18.10.2026</t>
        </is>
      </c>
      <c r="G2435" s="4" t="inlineStr">
        <is>
          <t>08:13</t>
        </is>
      </c>
      <c r="H2435" s="4" t="inlineStr">
        <is>
          <t>18.10.2026</t>
        </is>
      </c>
      <c r="I2435" s="4" t="inlineStr">
        <is>
          <t>17:53</t>
        </is>
      </c>
      <c r="J2435" s="8" t="n">
        <v>8.5</v>
      </c>
      <c r="K2435" s="8" t="n">
        <v>7.5</v>
      </c>
      <c r="L2435" s="8" t="n">
        <v>1</v>
      </c>
      <c r="M2435" s="29" t="inlineStr">
        <is>
          <t>SUSURLUK</t>
        </is>
      </c>
    </row>
    <row r="2436">
      <c r="A2436" s="4" t="n">
        <v>2435</v>
      </c>
      <c r="B2436" s="4" t="inlineStr">
        <is>
          <t>00112</t>
        </is>
      </c>
      <c r="C2436" s="4" t="inlineStr">
        <is>
          <t>00112</t>
        </is>
      </c>
      <c r="D2436" s="29" t="inlineStr">
        <is>
          <t>MESUT ERDEL</t>
        </is>
      </c>
      <c r="E2436" s="4" t="inlineStr">
        <is>
          <t>Pazartesi</t>
        </is>
      </c>
      <c r="F2436" s="4" t="inlineStr">
        <is>
          <t>19.10.2026</t>
        </is>
      </c>
      <c r="G2436" s="4" t="inlineStr">
        <is>
          <t>07:58</t>
        </is>
      </c>
      <c r="H2436" s="4" t="inlineStr">
        <is>
          <t>19.10.2026</t>
        </is>
      </c>
      <c r="I2436" s="4" t="inlineStr">
        <is>
          <t>17:16</t>
        </is>
      </c>
      <c r="J2436" s="8" t="n">
        <v>7.5</v>
      </c>
      <c r="K2436" s="8" t="n">
        <v>7.5</v>
      </c>
      <c r="L2436" s="8" t="n">
        <v>0</v>
      </c>
      <c r="M2436" s="29" t="inlineStr">
        <is>
          <t>SUSURLUK</t>
        </is>
      </c>
    </row>
    <row r="2437">
      <c r="A2437" s="4" t="n">
        <v>2436</v>
      </c>
      <c r="B2437" s="4" t="inlineStr">
        <is>
          <t>00112</t>
        </is>
      </c>
      <c r="C2437" s="4" t="inlineStr">
        <is>
          <t>00112</t>
        </is>
      </c>
      <c r="D2437" s="29" t="inlineStr">
        <is>
          <t>MESUT ERDEL</t>
        </is>
      </c>
      <c r="E2437" s="4" t="inlineStr">
        <is>
          <t>Salı</t>
        </is>
      </c>
      <c r="F2437" s="4" t="inlineStr">
        <is>
          <t>20.10.2026</t>
        </is>
      </c>
      <c r="G2437" s="4" t="inlineStr">
        <is>
          <t>12:51</t>
        </is>
      </c>
      <c r="H2437" s="4" t="inlineStr">
        <is>
          <t>20.10.2026</t>
        </is>
      </c>
      <c r="I2437" s="4" t="inlineStr">
        <is>
          <t>17:13</t>
        </is>
      </c>
      <c r="J2437" s="8" t="n">
        <v>4.5</v>
      </c>
      <c r="K2437" s="8" t="n">
        <v>4.5</v>
      </c>
      <c r="L2437" s="8" t="n">
        <v>0</v>
      </c>
      <c r="M2437" s="29" t="inlineStr">
        <is>
          <t>SUSURLUK</t>
        </is>
      </c>
    </row>
    <row r="2438">
      <c r="A2438" s="4" t="n">
        <v>2437</v>
      </c>
      <c r="B2438" s="4" t="inlineStr">
        <is>
          <t>00112</t>
        </is>
      </c>
      <c r="C2438" s="4" t="inlineStr">
        <is>
          <t>00112</t>
        </is>
      </c>
      <c r="D2438" s="29" t="inlineStr">
        <is>
          <t>MESUT ERDEL</t>
        </is>
      </c>
      <c r="E2438" s="4" t="inlineStr">
        <is>
          <t>Çarşamba</t>
        </is>
      </c>
      <c r="F2438" s="4" t="inlineStr">
        <is>
          <t>21.10.2026</t>
        </is>
      </c>
      <c r="G2438" s="4" t="inlineStr">
        <is>
          <t>08:23</t>
        </is>
      </c>
      <c r="H2438" s="4" t="inlineStr">
        <is>
          <t>21.10.2026</t>
        </is>
      </c>
      <c r="I2438" s="4" t="inlineStr">
        <is>
          <t>17:08</t>
        </is>
      </c>
      <c r="J2438" s="8" t="n">
        <v>7</v>
      </c>
      <c r="K2438" s="8" t="n">
        <v>7</v>
      </c>
      <c r="L2438" s="8" t="n">
        <v>0</v>
      </c>
      <c r="M2438" s="29" t="inlineStr">
        <is>
          <t>SUSURLUK</t>
        </is>
      </c>
    </row>
    <row r="2439">
      <c r="A2439" s="4" t="n">
        <v>2438</v>
      </c>
      <c r="B2439" s="4" t="inlineStr">
        <is>
          <t>01264</t>
        </is>
      </c>
      <c r="C2439" s="4" t="inlineStr">
        <is>
          <t>01264</t>
        </is>
      </c>
      <c r="D2439" s="29" t="inlineStr">
        <is>
          <t>METANET DİNÇER</t>
        </is>
      </c>
      <c r="E2439" s="4" t="inlineStr">
        <is>
          <t>Perşembe</t>
        </is>
      </c>
      <c r="F2439" s="4" t="inlineStr">
        <is>
          <t>1.10.2026</t>
        </is>
      </c>
      <c r="G2439" s="4" t="inlineStr">
        <is>
          <t>19:53</t>
        </is>
      </c>
      <c r="H2439" s="4" t="inlineStr">
        <is>
          <t>1.10.2026</t>
        </is>
      </c>
      <c r="I2439" s="4" t="inlineStr">
        <is>
          <t>07:56</t>
        </is>
      </c>
      <c r="J2439" s="8" t="n">
        <v>10.5</v>
      </c>
      <c r="K2439" s="8" t="n">
        <v>7.5</v>
      </c>
      <c r="L2439" s="8" t="n">
        <v>3</v>
      </c>
      <c r="M2439" s="29" t="inlineStr">
        <is>
          <t>HALİL DİĞRENCİ</t>
        </is>
      </c>
    </row>
    <row r="2440">
      <c r="A2440" s="4" t="n">
        <v>2439</v>
      </c>
      <c r="B2440" s="4" t="inlineStr">
        <is>
          <t>01264</t>
        </is>
      </c>
      <c r="C2440" s="4" t="inlineStr">
        <is>
          <t>01264</t>
        </is>
      </c>
      <c r="D2440" s="29" t="inlineStr">
        <is>
          <t>METANET DİNÇER</t>
        </is>
      </c>
      <c r="E2440" s="4" t="inlineStr">
        <is>
          <t>Cuma</t>
        </is>
      </c>
      <c r="F2440" s="4" t="inlineStr">
        <is>
          <t>2.10.2026</t>
        </is>
      </c>
      <c r="G2440" s="4" t="inlineStr">
        <is>
          <t>19:48</t>
        </is>
      </c>
      <c r="H2440" s="4" t="inlineStr">
        <is>
          <t>2.10.2026</t>
        </is>
      </c>
      <c r="I2440" s="4" t="inlineStr">
        <is>
          <t>07:53</t>
        </is>
      </c>
      <c r="J2440" s="8" t="n">
        <v>10.5</v>
      </c>
      <c r="K2440" s="8" t="n">
        <v>7.5</v>
      </c>
      <c r="L2440" s="8" t="n">
        <v>3</v>
      </c>
      <c r="M2440" s="29" t="inlineStr">
        <is>
          <t>HALİL DİĞRENCİ</t>
        </is>
      </c>
    </row>
    <row r="2441">
      <c r="A2441" s="4" t="n">
        <v>2440</v>
      </c>
      <c r="B2441" s="4" t="inlineStr">
        <is>
          <t>01264</t>
        </is>
      </c>
      <c r="C2441" s="4" t="inlineStr">
        <is>
          <t>01264</t>
        </is>
      </c>
      <c r="D2441" s="29" t="inlineStr">
        <is>
          <t>METANET DİNÇER</t>
        </is>
      </c>
      <c r="E2441" s="4" t="inlineStr">
        <is>
          <t>Cumartesi</t>
        </is>
      </c>
      <c r="F2441" s="4" t="inlineStr">
        <is>
          <t>3.10.2026</t>
        </is>
      </c>
      <c r="G2441" s="4" t="inlineStr">
        <is>
          <t>19:54</t>
        </is>
      </c>
      <c r="H2441" s="4" t="inlineStr">
        <is>
          <t>3.10.2026</t>
        </is>
      </c>
      <c r="I2441" s="4" t="inlineStr">
        <is>
          <t>07:57</t>
        </is>
      </c>
      <c r="J2441" s="8" t="n">
        <v>10.5</v>
      </c>
      <c r="K2441" s="8" t="n">
        <v>7.5</v>
      </c>
      <c r="L2441" s="8" t="n">
        <v>3</v>
      </c>
      <c r="M2441" s="29" t="inlineStr">
        <is>
          <t>HALİL DİĞRENCİ</t>
        </is>
      </c>
    </row>
    <row r="2442">
      <c r="A2442" s="4" t="n">
        <v>2441</v>
      </c>
      <c r="B2442" s="4" t="inlineStr">
        <is>
          <t>01264</t>
        </is>
      </c>
      <c r="C2442" s="4" t="inlineStr">
        <is>
          <t>01264</t>
        </is>
      </c>
      <c r="D2442" s="29" t="inlineStr">
        <is>
          <t>METANET DİNÇER</t>
        </is>
      </c>
      <c r="E2442" s="4" t="inlineStr">
        <is>
          <t>Pazar</t>
        </is>
      </c>
      <c r="F2442" s="4" t="inlineStr">
        <is>
          <t>4.10.2026</t>
        </is>
      </c>
      <c r="G2442" s="4" t="inlineStr">
        <is>
          <t>19:55</t>
        </is>
      </c>
      <c r="H2442" s="4" t="inlineStr">
        <is>
          <t>4.10.2026</t>
        </is>
      </c>
      <c r="I2442" s="4" t="inlineStr">
        <is>
          <t>07:56</t>
        </is>
      </c>
      <c r="J2442" s="8" t="n">
        <v>10.5</v>
      </c>
      <c r="K2442" s="8" t="n">
        <v>7.5</v>
      </c>
      <c r="L2442" s="8" t="n">
        <v>3</v>
      </c>
      <c r="M2442" s="29" t="inlineStr">
        <is>
          <t>HALİL DİĞRENCİ</t>
        </is>
      </c>
    </row>
    <row r="2443">
      <c r="A2443" s="4" t="n">
        <v>2442</v>
      </c>
      <c r="B2443" s="4" t="inlineStr">
        <is>
          <t>01264</t>
        </is>
      </c>
      <c r="C2443" s="4" t="inlineStr">
        <is>
          <t>01264</t>
        </is>
      </c>
      <c r="D2443" s="29" t="inlineStr">
        <is>
          <t>METANET DİNÇER</t>
        </is>
      </c>
      <c r="E2443" s="4" t="inlineStr">
        <is>
          <t>Salı</t>
        </is>
      </c>
      <c r="F2443" s="4" t="inlineStr">
        <is>
          <t>6.10.2026</t>
        </is>
      </c>
      <c r="G2443" s="4" t="inlineStr">
        <is>
          <t>19:54</t>
        </is>
      </c>
      <c r="H2443" s="4" t="inlineStr">
        <is>
          <t>6.10.2026</t>
        </is>
      </c>
      <c r="I2443" s="4" t="inlineStr">
        <is>
          <t>08:00</t>
        </is>
      </c>
      <c r="J2443" s="8" t="n">
        <v>10.5</v>
      </c>
      <c r="K2443" s="8" t="n">
        <v>7.5</v>
      </c>
      <c r="L2443" s="8" t="n">
        <v>3</v>
      </c>
      <c r="M2443" s="29" t="inlineStr">
        <is>
          <t>HALİL DİĞRENCİ</t>
        </is>
      </c>
    </row>
    <row r="2444">
      <c r="A2444" s="4" t="n">
        <v>2443</v>
      </c>
      <c r="B2444" s="4" t="inlineStr">
        <is>
          <t>01264</t>
        </is>
      </c>
      <c r="C2444" s="4" t="inlineStr">
        <is>
          <t>01264</t>
        </is>
      </c>
      <c r="D2444" s="29" t="inlineStr">
        <is>
          <t>METANET DİNÇER</t>
        </is>
      </c>
      <c r="E2444" s="4" t="inlineStr">
        <is>
          <t>Çarşamba</t>
        </is>
      </c>
      <c r="F2444" s="4" t="inlineStr">
        <is>
          <t>7.10.2026</t>
        </is>
      </c>
      <c r="G2444" s="4" t="inlineStr">
        <is>
          <t>19:52</t>
        </is>
      </c>
      <c r="H2444" s="4" t="inlineStr">
        <is>
          <t>7.10.2026</t>
        </is>
      </c>
      <c r="I2444" s="4" t="inlineStr">
        <is>
          <t>07:57</t>
        </is>
      </c>
      <c r="J2444" s="8" t="n">
        <v>10.5</v>
      </c>
      <c r="K2444" s="8" t="n">
        <v>7.5</v>
      </c>
      <c r="L2444" s="8" t="n">
        <v>3</v>
      </c>
      <c r="M2444" s="29" t="inlineStr">
        <is>
          <t>HALİL DİĞRENCİ</t>
        </is>
      </c>
    </row>
    <row r="2445">
      <c r="A2445" s="4" t="n">
        <v>2444</v>
      </c>
      <c r="B2445" s="4" t="inlineStr">
        <is>
          <t>01264</t>
        </is>
      </c>
      <c r="C2445" s="4" t="inlineStr">
        <is>
          <t>01264</t>
        </is>
      </c>
      <c r="D2445" s="29" t="inlineStr">
        <is>
          <t>METANET DİNÇER</t>
        </is>
      </c>
      <c r="E2445" s="4" t="inlineStr">
        <is>
          <t>Perşembe</t>
        </is>
      </c>
      <c r="F2445" s="4" t="inlineStr">
        <is>
          <t>8.10.2026</t>
        </is>
      </c>
      <c r="G2445" s="4" t="inlineStr">
        <is>
          <t>20:03</t>
        </is>
      </c>
      <c r="H2445" s="4" t="inlineStr">
        <is>
          <t>8.10.2026</t>
        </is>
      </c>
      <c r="I2445" s="4" t="inlineStr">
        <is>
          <t>07:56</t>
        </is>
      </c>
      <c r="J2445" s="8" t="n">
        <v>10.5</v>
      </c>
      <c r="K2445" s="8" t="n">
        <v>7.5</v>
      </c>
      <c r="L2445" s="8" t="n">
        <v>3</v>
      </c>
      <c r="M2445" s="29" t="inlineStr">
        <is>
          <t>HALİL DİĞRENCİ</t>
        </is>
      </c>
    </row>
    <row r="2446">
      <c r="A2446" s="4" t="n">
        <v>2445</v>
      </c>
      <c r="B2446" s="4" t="inlineStr">
        <is>
          <t>01264</t>
        </is>
      </c>
      <c r="C2446" s="4" t="inlineStr">
        <is>
          <t>01264</t>
        </is>
      </c>
      <c r="D2446" s="29" t="inlineStr">
        <is>
          <t>METANET DİNÇER</t>
        </is>
      </c>
      <c r="E2446" s="4" t="inlineStr">
        <is>
          <t>Pazartesi</t>
        </is>
      </c>
      <c r="F2446" s="4" t="inlineStr">
        <is>
          <t>19.10.2026</t>
        </is>
      </c>
      <c r="G2446" s="4" t="inlineStr">
        <is>
          <t>20:14</t>
        </is>
      </c>
      <c r="H2446" s="4" t="inlineStr">
        <is>
          <t>19.10.2026</t>
        </is>
      </c>
      <c r="I2446" s="4" t="inlineStr">
        <is>
          <t>07:55</t>
        </is>
      </c>
      <c r="J2446" s="8" t="n">
        <v>10.5</v>
      </c>
      <c r="K2446" s="8" t="n">
        <v>7.5</v>
      </c>
      <c r="L2446" s="8" t="n">
        <v>3</v>
      </c>
      <c r="M2446" s="29" t="inlineStr">
        <is>
          <t>HALİL DİĞRENCİ</t>
        </is>
      </c>
    </row>
    <row r="2447">
      <c r="A2447" s="4" t="n">
        <v>2446</v>
      </c>
      <c r="B2447" s="4" t="inlineStr">
        <is>
          <t>00005</t>
        </is>
      </c>
      <c r="C2447" s="4" t="inlineStr">
        <is>
          <t>00005</t>
        </is>
      </c>
      <c r="D2447" s="29" t="inlineStr">
        <is>
          <t>MHD BASSEL ALZALEK</t>
        </is>
      </c>
      <c r="E2447" s="4" t="inlineStr">
        <is>
          <t>Perşembe</t>
        </is>
      </c>
      <c r="F2447" s="4" t="inlineStr">
        <is>
          <t>1.10.2026</t>
        </is>
      </c>
      <c r="G2447" s="4" t="inlineStr">
        <is>
          <t>07:38</t>
        </is>
      </c>
      <c r="H2447" s="4" t="inlineStr">
        <is>
          <t>1.10.2026</t>
        </is>
      </c>
      <c r="I2447" s="4" t="inlineStr">
        <is>
          <t>-</t>
        </is>
      </c>
      <c r="J2447" s="8" t="n">
        <v>7.5</v>
      </c>
      <c r="K2447" s="8" t="n">
        <v>7.5</v>
      </c>
      <c r="L2447" s="8" t="n">
        <v>0</v>
      </c>
      <c r="M2447" s="29" t="inlineStr">
        <is>
          <t>SUSURLUK</t>
        </is>
      </c>
    </row>
    <row r="2448">
      <c r="A2448" s="4" t="n">
        <v>2447</v>
      </c>
      <c r="B2448" s="4" t="inlineStr">
        <is>
          <t>00005</t>
        </is>
      </c>
      <c r="C2448" s="4" t="inlineStr">
        <is>
          <t>00005</t>
        </is>
      </c>
      <c r="D2448" s="29" t="inlineStr">
        <is>
          <t>MHD BASSEL ALZALEK</t>
        </is>
      </c>
      <c r="E2448" s="4" t="inlineStr">
        <is>
          <t>Cuma</t>
        </is>
      </c>
      <c r="F2448" s="4" t="inlineStr">
        <is>
          <t>2.10.2026</t>
        </is>
      </c>
      <c r="G2448" s="4" t="inlineStr">
        <is>
          <t>07:29</t>
        </is>
      </c>
      <c r="H2448" s="4" t="inlineStr">
        <is>
          <t>2.10.2026</t>
        </is>
      </c>
      <c r="I2448" s="4" t="inlineStr">
        <is>
          <t>-</t>
        </is>
      </c>
      <c r="J2448" s="8" t="n">
        <v>7.5</v>
      </c>
      <c r="K2448" s="8" t="n">
        <v>7.5</v>
      </c>
      <c r="L2448" s="8" t="n">
        <v>0</v>
      </c>
      <c r="M2448" s="29" t="inlineStr">
        <is>
          <t>SUSURLUK</t>
        </is>
      </c>
    </row>
    <row r="2449">
      <c r="A2449" s="4" t="n">
        <v>2448</v>
      </c>
      <c r="B2449" s="4" t="inlineStr">
        <is>
          <t>00005</t>
        </is>
      </c>
      <c r="C2449" s="4" t="inlineStr">
        <is>
          <t>00005</t>
        </is>
      </c>
      <c r="D2449" s="29" t="inlineStr">
        <is>
          <t>MHD BASSEL ALZALEK</t>
        </is>
      </c>
      <c r="E2449" s="4" t="inlineStr">
        <is>
          <t>Cumartesi</t>
        </is>
      </c>
      <c r="F2449" s="4" t="inlineStr">
        <is>
          <t>3.10.2026</t>
        </is>
      </c>
      <c r="G2449" s="4" t="inlineStr">
        <is>
          <t>07:47</t>
        </is>
      </c>
      <c r="H2449" s="4" t="inlineStr">
        <is>
          <t>3.10.2026</t>
        </is>
      </c>
      <c r="I2449" s="4" t="inlineStr">
        <is>
          <t>-</t>
        </is>
      </c>
      <c r="J2449" s="8" t="n">
        <v>7.5</v>
      </c>
      <c r="K2449" s="8" t="n">
        <v>7.5</v>
      </c>
      <c r="L2449" s="8" t="n">
        <v>0</v>
      </c>
      <c r="M2449" s="29" t="inlineStr">
        <is>
          <t>SUSURLUK</t>
        </is>
      </c>
    </row>
    <row r="2450">
      <c r="A2450" s="4" t="n">
        <v>2449</v>
      </c>
      <c r="B2450" s="4" t="inlineStr">
        <is>
          <t>00005</t>
        </is>
      </c>
      <c r="C2450" s="4" t="inlineStr">
        <is>
          <t>00005</t>
        </is>
      </c>
      <c r="D2450" s="29" t="inlineStr">
        <is>
          <t>MHD BASSEL ALZALEK</t>
        </is>
      </c>
      <c r="E2450" s="4" t="inlineStr">
        <is>
          <t>Pazar</t>
        </is>
      </c>
      <c r="F2450" s="4" t="inlineStr">
        <is>
          <t>4.10.2026</t>
        </is>
      </c>
      <c r="G2450" s="4" t="inlineStr">
        <is>
          <t>07:31</t>
        </is>
      </c>
      <c r="H2450" s="4" t="inlineStr">
        <is>
          <t>4.10.2026</t>
        </is>
      </c>
      <c r="I2450" s="4" t="inlineStr">
        <is>
          <t>-</t>
        </is>
      </c>
      <c r="J2450" s="8" t="n">
        <v>7.5</v>
      </c>
      <c r="K2450" s="8" t="n">
        <v>7.5</v>
      </c>
      <c r="L2450" s="8" t="n">
        <v>0</v>
      </c>
      <c r="M2450" s="29" t="inlineStr">
        <is>
          <t>SUSURLUK</t>
        </is>
      </c>
    </row>
    <row r="2451">
      <c r="A2451" s="4" t="n">
        <v>2450</v>
      </c>
      <c r="B2451" s="4" t="inlineStr">
        <is>
          <t>00005</t>
        </is>
      </c>
      <c r="C2451" s="4" t="inlineStr">
        <is>
          <t>00005</t>
        </is>
      </c>
      <c r="D2451" s="29" t="inlineStr">
        <is>
          <t>MHD BASSEL ALZALEK</t>
        </is>
      </c>
      <c r="E2451" s="4" t="inlineStr">
        <is>
          <t>Pazartesi</t>
        </is>
      </c>
      <c r="F2451" s="4" t="inlineStr">
        <is>
          <t>5.10.2026</t>
        </is>
      </c>
      <c r="G2451" s="4" t="inlineStr">
        <is>
          <t>07:39</t>
        </is>
      </c>
      <c r="H2451" s="4" t="inlineStr">
        <is>
          <t>5.10.2026</t>
        </is>
      </c>
      <c r="I2451" s="4" t="inlineStr">
        <is>
          <t>-</t>
        </is>
      </c>
      <c r="J2451" s="8" t="n">
        <v>7.5</v>
      </c>
      <c r="K2451" s="8" t="n">
        <v>7.5</v>
      </c>
      <c r="L2451" s="8" t="n">
        <v>0</v>
      </c>
      <c r="M2451" s="29" t="inlineStr">
        <is>
          <t>SUSURLUK</t>
        </is>
      </c>
    </row>
    <row r="2452">
      <c r="A2452" s="4" t="n">
        <v>2451</v>
      </c>
      <c r="B2452" s="4" t="inlineStr">
        <is>
          <t>00005</t>
        </is>
      </c>
      <c r="C2452" s="4" t="inlineStr">
        <is>
          <t>00005</t>
        </is>
      </c>
      <c r="D2452" s="29" t="inlineStr">
        <is>
          <t>MHD BASSEL ALZALEK</t>
        </is>
      </c>
      <c r="E2452" s="4" t="inlineStr">
        <is>
          <t>Salı</t>
        </is>
      </c>
      <c r="F2452" s="4" t="inlineStr">
        <is>
          <t>6.10.2026</t>
        </is>
      </c>
      <c r="G2452" s="4" t="inlineStr">
        <is>
          <t>07:43</t>
        </is>
      </c>
      <c r="H2452" s="4" t="inlineStr">
        <is>
          <t>6.10.2026</t>
        </is>
      </c>
      <c r="I2452" s="4" t="inlineStr">
        <is>
          <t>-</t>
        </is>
      </c>
      <c r="J2452" s="8" t="n">
        <v>7.5</v>
      </c>
      <c r="K2452" s="8" t="n">
        <v>7.5</v>
      </c>
      <c r="L2452" s="8" t="n">
        <v>0</v>
      </c>
      <c r="M2452" s="29" t="inlineStr">
        <is>
          <t>SUSURLUK</t>
        </is>
      </c>
    </row>
    <row r="2453">
      <c r="A2453" s="4" t="n">
        <v>2452</v>
      </c>
      <c r="B2453" s="4" t="inlineStr">
        <is>
          <t>00005</t>
        </is>
      </c>
      <c r="C2453" s="4" t="inlineStr">
        <is>
          <t>00005</t>
        </is>
      </c>
      <c r="D2453" s="29" t="inlineStr">
        <is>
          <t>MHD BASSEL ALZALEK</t>
        </is>
      </c>
      <c r="E2453" s="4" t="inlineStr">
        <is>
          <t>Çarşamba</t>
        </is>
      </c>
      <c r="F2453" s="4" t="inlineStr">
        <is>
          <t>7.10.2026</t>
        </is>
      </c>
      <c r="G2453" s="4" t="inlineStr">
        <is>
          <t>07:41</t>
        </is>
      </c>
      <c r="H2453" s="4" t="inlineStr">
        <is>
          <t>7.10.2026</t>
        </is>
      </c>
      <c r="I2453" s="4" t="inlineStr">
        <is>
          <t>-</t>
        </is>
      </c>
      <c r="J2453" s="8" t="n">
        <v>7.5</v>
      </c>
      <c r="K2453" s="8" t="n">
        <v>7.5</v>
      </c>
      <c r="L2453" s="8" t="n">
        <v>0</v>
      </c>
      <c r="M2453" s="29" t="inlineStr">
        <is>
          <t>SUSURLUK</t>
        </is>
      </c>
    </row>
    <row r="2454">
      <c r="A2454" s="4" t="n">
        <v>2453</v>
      </c>
      <c r="B2454" s="4" t="inlineStr">
        <is>
          <t>00005</t>
        </is>
      </c>
      <c r="C2454" s="4" t="inlineStr">
        <is>
          <t>00005</t>
        </is>
      </c>
      <c r="D2454" s="29" t="inlineStr">
        <is>
          <t>MHD BASSEL ALZALEK</t>
        </is>
      </c>
      <c r="E2454" s="4" t="inlineStr">
        <is>
          <t>Perşembe</t>
        </is>
      </c>
      <c r="F2454" s="4" t="inlineStr">
        <is>
          <t>8.10.2026</t>
        </is>
      </c>
      <c r="G2454" s="4" t="inlineStr">
        <is>
          <t>07:43</t>
        </is>
      </c>
      <c r="H2454" s="4" t="inlineStr">
        <is>
          <t>8.10.2026</t>
        </is>
      </c>
      <c r="I2454" s="4" t="inlineStr">
        <is>
          <t>-</t>
        </is>
      </c>
      <c r="J2454" s="8" t="n">
        <v>7.5</v>
      </c>
      <c r="K2454" s="8" t="n">
        <v>7.5</v>
      </c>
      <c r="L2454" s="8" t="n">
        <v>0</v>
      </c>
      <c r="M2454" s="29" t="inlineStr">
        <is>
          <t>SUSURLUK</t>
        </is>
      </c>
    </row>
    <row r="2455">
      <c r="A2455" s="4" t="n">
        <v>2454</v>
      </c>
      <c r="B2455" s="4" t="inlineStr">
        <is>
          <t>00005</t>
        </is>
      </c>
      <c r="C2455" s="4" t="inlineStr">
        <is>
          <t>00005</t>
        </is>
      </c>
      <c r="D2455" s="29" t="inlineStr">
        <is>
          <t>MHD BASSEL ALZALEK</t>
        </is>
      </c>
      <c r="E2455" s="4" t="inlineStr">
        <is>
          <t>Cuma</t>
        </is>
      </c>
      <c r="F2455" s="4" t="inlineStr">
        <is>
          <t>9.10.2026</t>
        </is>
      </c>
      <c r="G2455" s="4" t="inlineStr">
        <is>
          <t>07:31</t>
        </is>
      </c>
      <c r="H2455" s="4" t="inlineStr">
        <is>
          <t>9.10.2026</t>
        </is>
      </c>
      <c r="I2455" s="4" t="inlineStr">
        <is>
          <t>-</t>
        </is>
      </c>
      <c r="J2455" s="8" t="n">
        <v>7.5</v>
      </c>
      <c r="K2455" s="8" t="n">
        <v>7.5</v>
      </c>
      <c r="L2455" s="8" t="n">
        <v>0</v>
      </c>
      <c r="M2455" s="29" t="inlineStr">
        <is>
          <t>SUSURLUK</t>
        </is>
      </c>
    </row>
    <row r="2456">
      <c r="A2456" s="4" t="n">
        <v>2455</v>
      </c>
      <c r="B2456" s="4" t="inlineStr">
        <is>
          <t>00005</t>
        </is>
      </c>
      <c r="C2456" s="4" t="inlineStr">
        <is>
          <t>00005</t>
        </is>
      </c>
      <c r="D2456" s="29" t="inlineStr">
        <is>
          <t>MHD BASSEL ALZALEK</t>
        </is>
      </c>
      <c r="E2456" s="4" t="inlineStr">
        <is>
          <t>Cumartesi</t>
        </is>
      </c>
      <c r="F2456" s="4" t="inlineStr">
        <is>
          <t>10.10.2026</t>
        </is>
      </c>
      <c r="G2456" s="4" t="inlineStr">
        <is>
          <t>07:46</t>
        </is>
      </c>
      <c r="H2456" s="4" t="inlineStr">
        <is>
          <t>10.10.2026</t>
        </is>
      </c>
      <c r="I2456" s="4" t="inlineStr">
        <is>
          <t>-</t>
        </is>
      </c>
      <c r="J2456" s="8" t="n">
        <v>7.5</v>
      </c>
      <c r="K2456" s="8" t="n">
        <v>7.5</v>
      </c>
      <c r="L2456" s="8" t="n">
        <v>0</v>
      </c>
      <c r="M2456" s="29" t="inlineStr">
        <is>
          <t>SUSURLUK</t>
        </is>
      </c>
    </row>
    <row r="2457">
      <c r="A2457" s="4" t="n">
        <v>2456</v>
      </c>
      <c r="B2457" s="4" t="inlineStr">
        <is>
          <t>00005</t>
        </is>
      </c>
      <c r="C2457" s="4" t="inlineStr">
        <is>
          <t>00005</t>
        </is>
      </c>
      <c r="D2457" s="29" t="inlineStr">
        <is>
          <t>MHD BASSEL ALZALEK</t>
        </is>
      </c>
      <c r="E2457" s="4" t="inlineStr">
        <is>
          <t>Pazar</t>
        </is>
      </c>
      <c r="F2457" s="4" t="inlineStr">
        <is>
          <t>11.10.2026</t>
        </is>
      </c>
      <c r="G2457" s="4" t="inlineStr">
        <is>
          <t>07:30</t>
        </is>
      </c>
      <c r="H2457" s="4" t="inlineStr">
        <is>
          <t>11.10.2026</t>
        </is>
      </c>
      <c r="I2457" s="4" t="inlineStr">
        <is>
          <t>-</t>
        </is>
      </c>
      <c r="J2457" s="8" t="n">
        <v>7.5</v>
      </c>
      <c r="K2457" s="8" t="n">
        <v>7.5</v>
      </c>
      <c r="L2457" s="8" t="n">
        <v>0</v>
      </c>
      <c r="M2457" s="29" t="inlineStr">
        <is>
          <t>SUSURLUK</t>
        </is>
      </c>
    </row>
    <row r="2458">
      <c r="A2458" s="4" t="n">
        <v>2457</v>
      </c>
      <c r="B2458" s="4" t="inlineStr">
        <is>
          <t>00005</t>
        </is>
      </c>
      <c r="C2458" s="4" t="inlineStr">
        <is>
          <t>00005</t>
        </is>
      </c>
      <c r="D2458" s="29" t="inlineStr">
        <is>
          <t>MHD BASSEL ALZALEK</t>
        </is>
      </c>
      <c r="E2458" s="4" t="inlineStr">
        <is>
          <t>Pazartesi</t>
        </is>
      </c>
      <c r="F2458" s="4" t="inlineStr">
        <is>
          <t>12.10.2026</t>
        </is>
      </c>
      <c r="G2458" s="4" t="inlineStr">
        <is>
          <t>07:30</t>
        </is>
      </c>
      <c r="H2458" s="4" t="inlineStr">
        <is>
          <t>12.10.2026</t>
        </is>
      </c>
      <c r="I2458" s="4" t="inlineStr">
        <is>
          <t>-</t>
        </is>
      </c>
      <c r="J2458" s="8" t="n">
        <v>7.5</v>
      </c>
      <c r="K2458" s="8" t="n">
        <v>7.5</v>
      </c>
      <c r="L2458" s="8" t="n">
        <v>0</v>
      </c>
      <c r="M2458" s="29" t="inlineStr">
        <is>
          <t>SUSURLUK</t>
        </is>
      </c>
    </row>
    <row r="2459">
      <c r="A2459" s="4" t="n">
        <v>2458</v>
      </c>
      <c r="B2459" s="4" t="inlineStr">
        <is>
          <t>00005</t>
        </is>
      </c>
      <c r="C2459" s="4" t="inlineStr">
        <is>
          <t>00005</t>
        </is>
      </c>
      <c r="D2459" s="29" t="inlineStr">
        <is>
          <t>MHD BASSEL ALZALEK</t>
        </is>
      </c>
      <c r="E2459" s="4" t="inlineStr">
        <is>
          <t>Salı</t>
        </is>
      </c>
      <c r="F2459" s="4" t="inlineStr">
        <is>
          <t>13.10.2026</t>
        </is>
      </c>
      <c r="G2459" s="4" t="inlineStr">
        <is>
          <t>07:46</t>
        </is>
      </c>
      <c r="H2459" s="4" t="inlineStr">
        <is>
          <t>13.10.2026</t>
        </is>
      </c>
      <c r="I2459" s="4" t="inlineStr">
        <is>
          <t>-</t>
        </is>
      </c>
      <c r="J2459" s="8" t="n">
        <v>7.5</v>
      </c>
      <c r="K2459" s="8" t="n">
        <v>7.5</v>
      </c>
      <c r="L2459" s="8" t="n">
        <v>0</v>
      </c>
      <c r="M2459" s="29" t="inlineStr">
        <is>
          <t>SUSURLUK</t>
        </is>
      </c>
    </row>
    <row r="2460">
      <c r="A2460" s="4" t="n">
        <v>2459</v>
      </c>
      <c r="B2460" s="4" t="inlineStr">
        <is>
          <t>00005</t>
        </is>
      </c>
      <c r="C2460" s="4" t="inlineStr">
        <is>
          <t>00005</t>
        </is>
      </c>
      <c r="D2460" s="29" t="inlineStr">
        <is>
          <t>MHD BASSEL ALZALEK</t>
        </is>
      </c>
      <c r="E2460" s="4" t="inlineStr">
        <is>
          <t>Çarşamba</t>
        </is>
      </c>
      <c r="F2460" s="4" t="inlineStr">
        <is>
          <t>14.10.2026</t>
        </is>
      </c>
      <c r="G2460" s="4" t="inlineStr">
        <is>
          <t>07:44</t>
        </is>
      </c>
      <c r="H2460" s="4" t="inlineStr">
        <is>
          <t>14.10.2026</t>
        </is>
      </c>
      <c r="I2460" s="4" t="inlineStr">
        <is>
          <t>-</t>
        </is>
      </c>
      <c r="J2460" s="8" t="n">
        <v>7.5</v>
      </c>
      <c r="K2460" s="8" t="n">
        <v>7.5</v>
      </c>
      <c r="L2460" s="8" t="n">
        <v>0</v>
      </c>
      <c r="M2460" s="29" t="inlineStr">
        <is>
          <t>SUSURLUK</t>
        </is>
      </c>
    </row>
    <row r="2461">
      <c r="A2461" s="4" t="n">
        <v>2460</v>
      </c>
      <c r="B2461" s="4" t="inlineStr">
        <is>
          <t>00005</t>
        </is>
      </c>
      <c r="C2461" s="4" t="inlineStr">
        <is>
          <t>00005</t>
        </is>
      </c>
      <c r="D2461" s="29" t="inlineStr">
        <is>
          <t>MHD BASSEL ALZALEK</t>
        </is>
      </c>
      <c r="E2461" s="4" t="inlineStr">
        <is>
          <t>Perşembe</t>
        </is>
      </c>
      <c r="F2461" s="4" t="inlineStr">
        <is>
          <t>15.10.2026</t>
        </is>
      </c>
      <c r="G2461" s="4" t="inlineStr">
        <is>
          <t>07:47</t>
        </is>
      </c>
      <c r="H2461" s="4" t="inlineStr">
        <is>
          <t>15.10.2026</t>
        </is>
      </c>
      <c r="I2461" s="4" t="inlineStr">
        <is>
          <t>-</t>
        </is>
      </c>
      <c r="J2461" s="8" t="n">
        <v>7.5</v>
      </c>
      <c r="K2461" s="8" t="n">
        <v>7.5</v>
      </c>
      <c r="L2461" s="8" t="n">
        <v>0</v>
      </c>
      <c r="M2461" s="29" t="inlineStr">
        <is>
          <t>SUSURLUK</t>
        </is>
      </c>
    </row>
    <row r="2462">
      <c r="A2462" s="4" t="n">
        <v>2461</v>
      </c>
      <c r="B2462" s="4" t="inlineStr">
        <is>
          <t>00005</t>
        </is>
      </c>
      <c r="C2462" s="4" t="inlineStr">
        <is>
          <t>00005</t>
        </is>
      </c>
      <c r="D2462" s="29" t="inlineStr">
        <is>
          <t>MHD BASSEL ALZALEK</t>
        </is>
      </c>
      <c r="E2462" s="4" t="inlineStr">
        <is>
          <t>Cuma</t>
        </is>
      </c>
      <c r="F2462" s="4" t="inlineStr">
        <is>
          <t>16.10.2026</t>
        </is>
      </c>
      <c r="G2462" s="4" t="inlineStr">
        <is>
          <t>07:34</t>
        </is>
      </c>
      <c r="H2462" s="4" t="inlineStr">
        <is>
          <t>16.10.2026</t>
        </is>
      </c>
      <c r="I2462" s="4" t="inlineStr">
        <is>
          <t>-</t>
        </is>
      </c>
      <c r="J2462" s="8" t="n">
        <v>7.5</v>
      </c>
      <c r="K2462" s="8" t="n">
        <v>7.5</v>
      </c>
      <c r="L2462" s="8" t="n">
        <v>0</v>
      </c>
      <c r="M2462" s="29" t="inlineStr">
        <is>
          <t>SUSURLUK</t>
        </is>
      </c>
    </row>
    <row r="2463">
      <c r="A2463" s="4" t="n">
        <v>2462</v>
      </c>
      <c r="B2463" s="4" t="inlineStr">
        <is>
          <t>00005</t>
        </is>
      </c>
      <c r="C2463" s="4" t="inlineStr">
        <is>
          <t>00005</t>
        </is>
      </c>
      <c r="D2463" s="29" t="inlineStr">
        <is>
          <t>MHD BASSEL ALZALEK</t>
        </is>
      </c>
      <c r="E2463" s="4" t="inlineStr">
        <is>
          <t>Cumartesi</t>
        </is>
      </c>
      <c r="F2463" s="4" t="inlineStr">
        <is>
          <t>17.10.2026</t>
        </is>
      </c>
      <c r="G2463" s="4" t="inlineStr">
        <is>
          <t>07:42</t>
        </is>
      </c>
      <c r="H2463" s="4" t="inlineStr">
        <is>
          <t>17.10.2026</t>
        </is>
      </c>
      <c r="I2463" s="4" t="inlineStr">
        <is>
          <t>-</t>
        </is>
      </c>
      <c r="J2463" s="8" t="n">
        <v>7.5</v>
      </c>
      <c r="K2463" s="8" t="n">
        <v>7.5</v>
      </c>
      <c r="L2463" s="8" t="n">
        <v>0</v>
      </c>
      <c r="M2463" s="29" t="inlineStr">
        <is>
          <t>SUSURLUK</t>
        </is>
      </c>
    </row>
    <row r="2464">
      <c r="A2464" s="4" t="n">
        <v>2463</v>
      </c>
      <c r="B2464" s="4" t="inlineStr">
        <is>
          <t>00005</t>
        </is>
      </c>
      <c r="C2464" s="4" t="inlineStr">
        <is>
          <t>00005</t>
        </is>
      </c>
      <c r="D2464" s="29" t="inlineStr">
        <is>
          <t>MHD BASSEL ALZALEK</t>
        </is>
      </c>
      <c r="E2464" s="4" t="inlineStr">
        <is>
          <t>Pazar</t>
        </is>
      </c>
      <c r="F2464" s="4" t="inlineStr">
        <is>
          <t>18.10.2026</t>
        </is>
      </c>
      <c r="G2464" s="4" t="inlineStr">
        <is>
          <t>07:31</t>
        </is>
      </c>
      <c r="H2464" s="4" t="inlineStr">
        <is>
          <t>18.10.2026</t>
        </is>
      </c>
      <c r="I2464" s="4" t="inlineStr">
        <is>
          <t>-</t>
        </is>
      </c>
      <c r="J2464" s="8" t="n">
        <v>7.5</v>
      </c>
      <c r="K2464" s="8" t="n">
        <v>7.5</v>
      </c>
      <c r="L2464" s="8" t="n">
        <v>0</v>
      </c>
      <c r="M2464" s="29" t="inlineStr">
        <is>
          <t>SUSURLUK</t>
        </is>
      </c>
    </row>
    <row r="2465">
      <c r="A2465" s="4" t="n">
        <v>2464</v>
      </c>
      <c r="B2465" s="4" t="inlineStr">
        <is>
          <t>00005</t>
        </is>
      </c>
      <c r="C2465" s="4" t="inlineStr">
        <is>
          <t>00005</t>
        </is>
      </c>
      <c r="D2465" s="29" t="inlineStr">
        <is>
          <t>MHD BASSEL ALZALEK</t>
        </is>
      </c>
      <c r="E2465" s="4" t="inlineStr">
        <is>
          <t>Pazartesi</t>
        </is>
      </c>
      <c r="F2465" s="4" t="inlineStr">
        <is>
          <t>19.10.2026</t>
        </is>
      </c>
      <c r="G2465" s="4" t="inlineStr">
        <is>
          <t>07:38</t>
        </is>
      </c>
      <c r="H2465" s="4" t="inlineStr">
        <is>
          <t>19.10.2026</t>
        </is>
      </c>
      <c r="I2465" s="4" t="inlineStr">
        <is>
          <t>-</t>
        </is>
      </c>
      <c r="J2465" s="8" t="n">
        <v>7.5</v>
      </c>
      <c r="K2465" s="8" t="n">
        <v>7.5</v>
      </c>
      <c r="L2465" s="8" t="n">
        <v>0</v>
      </c>
      <c r="M2465" s="29" t="inlineStr">
        <is>
          <t>SUSURLUK</t>
        </is>
      </c>
    </row>
    <row r="2466">
      <c r="A2466" s="4" t="n">
        <v>2465</v>
      </c>
      <c r="B2466" s="4" t="inlineStr">
        <is>
          <t>00005</t>
        </is>
      </c>
      <c r="C2466" s="4" t="inlineStr">
        <is>
          <t>00005</t>
        </is>
      </c>
      <c r="D2466" s="29" t="inlineStr">
        <is>
          <t>MHD BASSEL ALZALEK</t>
        </is>
      </c>
      <c r="E2466" s="4" t="inlineStr">
        <is>
          <t>Salı</t>
        </is>
      </c>
      <c r="F2466" s="4" t="inlineStr">
        <is>
          <t>20.10.2026</t>
        </is>
      </c>
      <c r="G2466" s="4" t="inlineStr">
        <is>
          <t>07:40</t>
        </is>
      </c>
      <c r="H2466" s="4" t="inlineStr">
        <is>
          <t>20.10.2026</t>
        </is>
      </c>
      <c r="I2466" s="4" t="inlineStr">
        <is>
          <t>-</t>
        </is>
      </c>
      <c r="J2466" s="8" t="n">
        <v>7.5</v>
      </c>
      <c r="K2466" s="8" t="n">
        <v>7.5</v>
      </c>
      <c r="L2466" s="8" t="n">
        <v>0</v>
      </c>
      <c r="M2466" s="29" t="inlineStr">
        <is>
          <t>SUSURLUK</t>
        </is>
      </c>
    </row>
    <row r="2467">
      <c r="A2467" s="4" t="n">
        <v>2466</v>
      </c>
      <c r="B2467" s="4" t="inlineStr">
        <is>
          <t>00005</t>
        </is>
      </c>
      <c r="C2467" s="4" t="inlineStr">
        <is>
          <t>00005</t>
        </is>
      </c>
      <c r="D2467" s="29" t="inlineStr">
        <is>
          <t>MHD BASSEL ALZALEK</t>
        </is>
      </c>
      <c r="E2467" s="4" t="inlineStr">
        <is>
          <t>Çarşamba</t>
        </is>
      </c>
      <c r="F2467" s="4" t="inlineStr">
        <is>
          <t>21.10.2026</t>
        </is>
      </c>
      <c r="G2467" s="4" t="inlineStr">
        <is>
          <t>07:38</t>
        </is>
      </c>
      <c r="H2467" s="4" t="inlineStr">
        <is>
          <t>21.10.2026</t>
        </is>
      </c>
      <c r="I2467" s="4" t="inlineStr">
        <is>
          <t>-</t>
        </is>
      </c>
      <c r="J2467" s="8" t="n">
        <v>7.5</v>
      </c>
      <c r="K2467" s="8" t="n">
        <v>7.5</v>
      </c>
      <c r="L2467" s="8" t="n">
        <v>0</v>
      </c>
      <c r="M2467" s="29" t="inlineStr">
        <is>
          <t>SUSURLUK</t>
        </is>
      </c>
    </row>
    <row r="2468">
      <c r="A2468" s="4" t="n">
        <v>2467</v>
      </c>
      <c r="B2468" s="4" t="inlineStr">
        <is>
          <t>01555</t>
        </is>
      </c>
      <c r="C2468" s="4" t="inlineStr">
        <is>
          <t>01555</t>
        </is>
      </c>
      <c r="D2468" s="29" t="inlineStr">
        <is>
          <t>MİKAİL KOÇ</t>
        </is>
      </c>
      <c r="E2468" s="4" t="inlineStr">
        <is>
          <t>Salı</t>
        </is>
      </c>
      <c r="F2468" s="4" t="inlineStr">
        <is>
          <t>13.10.2026</t>
        </is>
      </c>
      <c r="G2468" s="4" t="inlineStr">
        <is>
          <t>-</t>
        </is>
      </c>
      <c r="H2468" s="4" t="inlineStr">
        <is>
          <t>13.10.2026</t>
        </is>
      </c>
      <c r="I2468" s="4" t="inlineStr">
        <is>
          <t>17:06</t>
        </is>
      </c>
      <c r="J2468" s="8" t="n">
        <v>7.5</v>
      </c>
      <c r="K2468" s="8" t="n">
        <v>7.5</v>
      </c>
      <c r="L2468" s="8" t="n">
        <v>0</v>
      </c>
      <c r="M2468" s="29" t="inlineStr">
        <is>
          <t>BİGADİÇ</t>
        </is>
      </c>
    </row>
    <row r="2469">
      <c r="A2469" s="4" t="n">
        <v>2468</v>
      </c>
      <c r="B2469" s="4" t="inlineStr">
        <is>
          <t>01555</t>
        </is>
      </c>
      <c r="C2469" s="4" t="inlineStr">
        <is>
          <t>01555</t>
        </is>
      </c>
      <c r="D2469" s="29" t="inlineStr">
        <is>
          <t>MİKAİL KOÇ</t>
        </is>
      </c>
      <c r="E2469" s="4" t="inlineStr">
        <is>
          <t>Çarşamba</t>
        </is>
      </c>
      <c r="F2469" s="4" t="inlineStr">
        <is>
          <t>14.10.2026</t>
        </is>
      </c>
      <c r="G2469" s="4" t="inlineStr">
        <is>
          <t>08:05</t>
        </is>
      </c>
      <c r="H2469" s="4" t="inlineStr">
        <is>
          <t>14.10.2026</t>
        </is>
      </c>
      <c r="I2469" s="4" t="inlineStr">
        <is>
          <t>17:28</t>
        </is>
      </c>
      <c r="J2469" s="8" t="n">
        <v>8</v>
      </c>
      <c r="K2469" s="8" t="n">
        <v>7.5</v>
      </c>
      <c r="L2469" s="8" t="n">
        <v>0.5</v>
      </c>
      <c r="M2469" s="29" t="inlineStr">
        <is>
          <t>BİGADİÇ</t>
        </is>
      </c>
    </row>
    <row r="2470">
      <c r="A2470" s="4" t="n">
        <v>2469</v>
      </c>
      <c r="B2470" s="4" t="inlineStr">
        <is>
          <t>01555</t>
        </is>
      </c>
      <c r="C2470" s="4" t="inlineStr">
        <is>
          <t>01555</t>
        </is>
      </c>
      <c r="D2470" s="29" t="inlineStr">
        <is>
          <t>MİKAİL KOÇ</t>
        </is>
      </c>
      <c r="E2470" s="4" t="inlineStr">
        <is>
          <t>Perşembe</t>
        </is>
      </c>
      <c r="F2470" s="4" t="inlineStr">
        <is>
          <t>15.10.2026</t>
        </is>
      </c>
      <c r="G2470" s="4" t="inlineStr">
        <is>
          <t>07:44</t>
        </is>
      </c>
      <c r="H2470" s="4" t="inlineStr">
        <is>
          <t>15.10.2026</t>
        </is>
      </c>
      <c r="I2470" s="4" t="inlineStr">
        <is>
          <t>17:18</t>
        </is>
      </c>
      <c r="J2470" s="8" t="n">
        <v>7.5</v>
      </c>
      <c r="K2470" s="8" t="n">
        <v>7.5</v>
      </c>
      <c r="L2470" s="8" t="n">
        <v>0</v>
      </c>
      <c r="M2470" s="29" t="inlineStr">
        <is>
          <t>BİGADİÇ</t>
        </is>
      </c>
    </row>
    <row r="2471">
      <c r="A2471" s="4" t="n">
        <v>2470</v>
      </c>
      <c r="B2471" s="4" t="inlineStr">
        <is>
          <t>01225</t>
        </is>
      </c>
      <c r="C2471" s="4" t="inlineStr">
        <is>
          <t>01225</t>
        </is>
      </c>
      <c r="D2471" s="29" t="inlineStr">
        <is>
          <t>MUHAMMED BATIBEY</t>
        </is>
      </c>
      <c r="E2471" s="4" t="inlineStr">
        <is>
          <t>Çarşamba</t>
        </is>
      </c>
      <c r="F2471" s="4" t="inlineStr">
        <is>
          <t>7.10.2026</t>
        </is>
      </c>
      <c r="G2471" s="4" t="inlineStr">
        <is>
          <t>19:42</t>
        </is>
      </c>
      <c r="H2471" s="4" t="inlineStr">
        <is>
          <t>7.10.2026</t>
        </is>
      </c>
      <c r="I2471" s="4" t="inlineStr">
        <is>
          <t>03:36</t>
        </is>
      </c>
      <c r="J2471" s="8" t="n">
        <v>7</v>
      </c>
      <c r="K2471" s="8" t="n">
        <v>7</v>
      </c>
      <c r="L2471" s="8" t="n">
        <v>0</v>
      </c>
      <c r="M2471" s="29" t="inlineStr">
        <is>
          <t>SÇEVİKAT ÇELİK</t>
        </is>
      </c>
    </row>
    <row r="2472">
      <c r="A2472" s="4" t="n">
        <v>2471</v>
      </c>
      <c r="B2472" s="4" t="inlineStr">
        <is>
          <t>00116</t>
        </is>
      </c>
      <c r="C2472" s="4" t="inlineStr">
        <is>
          <t>00116</t>
        </is>
      </c>
      <c r="D2472" s="29" t="inlineStr">
        <is>
          <t>MUHAMMED SAMİH SERHAN</t>
        </is>
      </c>
      <c r="E2472" s="4" t="inlineStr">
        <is>
          <t>Perşembe</t>
        </is>
      </c>
      <c r="F2472" s="4" t="inlineStr">
        <is>
          <t>1.10.2026</t>
        </is>
      </c>
      <c r="G2472" s="4" t="inlineStr">
        <is>
          <t>10:08</t>
        </is>
      </c>
      <c r="H2472" s="4" t="inlineStr">
        <is>
          <t>1.10.2026</t>
        </is>
      </c>
      <c r="I2472" s="4" t="inlineStr">
        <is>
          <t>17:05</t>
        </is>
      </c>
      <c r="J2472" s="8" t="n">
        <v>5.5</v>
      </c>
      <c r="K2472" s="8" t="n">
        <v>5.5</v>
      </c>
      <c r="L2472" s="8" t="n">
        <v>0</v>
      </c>
      <c r="M2472" s="29" t="inlineStr">
        <is>
          <t>GÖBEL</t>
        </is>
      </c>
    </row>
    <row r="2473">
      <c r="A2473" s="4" t="n">
        <v>2472</v>
      </c>
      <c r="B2473" s="4" t="inlineStr">
        <is>
          <t>00116</t>
        </is>
      </c>
      <c r="C2473" s="4" t="inlineStr">
        <is>
          <t>00116</t>
        </is>
      </c>
      <c r="D2473" s="29" t="inlineStr">
        <is>
          <t>MUHAMMED SAMİH SERHAN</t>
        </is>
      </c>
      <c r="E2473" s="4" t="inlineStr">
        <is>
          <t>Cuma</t>
        </is>
      </c>
      <c r="F2473" s="4" t="inlineStr">
        <is>
          <t>2.10.2026</t>
        </is>
      </c>
      <c r="G2473" s="4" t="inlineStr">
        <is>
          <t>08:15</t>
        </is>
      </c>
      <c r="H2473" s="4" t="inlineStr">
        <is>
          <t>2.10.2026</t>
        </is>
      </c>
      <c r="I2473" s="4" t="inlineStr">
        <is>
          <t>20:04</t>
        </is>
      </c>
      <c r="J2473" s="8" t="n">
        <v>10.5</v>
      </c>
      <c r="K2473" s="8" t="n">
        <v>7.5</v>
      </c>
      <c r="L2473" s="8" t="n">
        <v>3</v>
      </c>
      <c r="M2473" s="29" t="inlineStr">
        <is>
          <t>GÖBEL</t>
        </is>
      </c>
    </row>
    <row r="2474">
      <c r="A2474" s="4" t="n">
        <v>2473</v>
      </c>
      <c r="B2474" s="4" t="inlineStr">
        <is>
          <t>00116</t>
        </is>
      </c>
      <c r="C2474" s="4" t="inlineStr">
        <is>
          <t>00116</t>
        </is>
      </c>
      <c r="D2474" s="29" t="inlineStr">
        <is>
          <t>MUHAMMED SAMİH SERHAN</t>
        </is>
      </c>
      <c r="E2474" s="4" t="inlineStr">
        <is>
          <t>Pazar</t>
        </is>
      </c>
      <c r="F2474" s="4" t="inlineStr">
        <is>
          <t>4.10.2026</t>
        </is>
      </c>
      <c r="G2474" s="4" t="inlineStr">
        <is>
          <t>13:04</t>
        </is>
      </c>
      <c r="H2474" s="4" t="inlineStr">
        <is>
          <t>4.10.2026</t>
        </is>
      </c>
      <c r="I2474" s="4" t="inlineStr">
        <is>
          <t>20:23</t>
        </is>
      </c>
      <c r="J2474" s="8" t="n">
        <v>7</v>
      </c>
      <c r="K2474" s="8" t="n">
        <v>7</v>
      </c>
      <c r="L2474" s="8" t="n">
        <v>0</v>
      </c>
      <c r="M2474" s="29" t="inlineStr">
        <is>
          <t>GÖBEL</t>
        </is>
      </c>
    </row>
    <row r="2475">
      <c r="A2475" s="4" t="n">
        <v>2474</v>
      </c>
      <c r="B2475" s="4" t="inlineStr">
        <is>
          <t>00116</t>
        </is>
      </c>
      <c r="C2475" s="4" t="inlineStr">
        <is>
          <t>00116</t>
        </is>
      </c>
      <c r="D2475" s="29" t="inlineStr">
        <is>
          <t>MUHAMMED SAMİH SERHAN</t>
        </is>
      </c>
      <c r="E2475" s="4" t="inlineStr">
        <is>
          <t>Salı</t>
        </is>
      </c>
      <c r="F2475" s="4" t="inlineStr">
        <is>
          <t>6.10.2026</t>
        </is>
      </c>
      <c r="G2475" s="4" t="inlineStr">
        <is>
          <t>08:24</t>
        </is>
      </c>
      <c r="H2475" s="4" t="inlineStr">
        <is>
          <t>6.10.2026</t>
        </is>
      </c>
      <c r="I2475" s="4" t="inlineStr">
        <is>
          <t>20:32</t>
        </is>
      </c>
      <c r="J2475" s="8" t="n">
        <v>10.5</v>
      </c>
      <c r="K2475" s="8" t="n">
        <v>7</v>
      </c>
      <c r="L2475" s="8" t="n">
        <v>3.5</v>
      </c>
      <c r="M2475" s="29" t="inlineStr">
        <is>
          <t>GÖBEL</t>
        </is>
      </c>
    </row>
    <row r="2476">
      <c r="A2476" s="4" t="n">
        <v>2475</v>
      </c>
      <c r="B2476" s="4" t="inlineStr">
        <is>
          <t>00116</t>
        </is>
      </c>
      <c r="C2476" s="4" t="inlineStr">
        <is>
          <t>00116</t>
        </is>
      </c>
      <c r="D2476" s="29" t="inlineStr">
        <is>
          <t>MUHAMMED SAMİH SERHAN</t>
        </is>
      </c>
      <c r="E2476" s="4" t="inlineStr">
        <is>
          <t>Çarşamba</t>
        </is>
      </c>
      <c r="F2476" s="4" t="inlineStr">
        <is>
          <t>7.10.2026</t>
        </is>
      </c>
      <c r="G2476" s="4" t="inlineStr">
        <is>
          <t>08:59</t>
        </is>
      </c>
      <c r="H2476" s="4" t="inlineStr">
        <is>
          <t>7.10.2026</t>
        </is>
      </c>
      <c r="I2476" s="4" t="inlineStr">
        <is>
          <t>16:16</t>
        </is>
      </c>
      <c r="J2476" s="8" t="n">
        <v>7.5</v>
      </c>
      <c r="K2476" s="8" t="n">
        <v>7.5</v>
      </c>
      <c r="L2476" s="8" t="n">
        <v>0</v>
      </c>
      <c r="M2476" s="29" t="inlineStr">
        <is>
          <t>GÖBEL</t>
        </is>
      </c>
    </row>
    <row r="2477">
      <c r="A2477" s="4" t="n">
        <v>2476</v>
      </c>
      <c r="B2477" s="4" t="inlineStr">
        <is>
          <t>00116</t>
        </is>
      </c>
      <c r="C2477" s="4" t="inlineStr">
        <is>
          <t>00116</t>
        </is>
      </c>
      <c r="D2477" s="29" t="inlineStr">
        <is>
          <t>MUHAMMED SAMİH SERHAN</t>
        </is>
      </c>
      <c r="E2477" s="4" t="inlineStr">
        <is>
          <t>Perşembe</t>
        </is>
      </c>
      <c r="F2477" s="4" t="inlineStr">
        <is>
          <t>8.10.2026</t>
        </is>
      </c>
      <c r="G2477" s="4" t="inlineStr">
        <is>
          <t>09:10</t>
        </is>
      </c>
      <c r="H2477" s="4" t="inlineStr">
        <is>
          <t>8.10.2026</t>
        </is>
      </c>
      <c r="I2477" s="4" t="inlineStr">
        <is>
          <t>19:26</t>
        </is>
      </c>
      <c r="J2477" s="8" t="n">
        <v>9</v>
      </c>
      <c r="K2477" s="8" t="n">
        <v>6.5</v>
      </c>
      <c r="L2477" s="8" t="n">
        <v>2.5</v>
      </c>
      <c r="M2477" s="29" t="inlineStr">
        <is>
          <t>GÖBEL</t>
        </is>
      </c>
    </row>
    <row r="2478">
      <c r="A2478" s="4" t="n">
        <v>2477</v>
      </c>
      <c r="B2478" s="4" t="inlineStr">
        <is>
          <t>00116</t>
        </is>
      </c>
      <c r="C2478" s="4" t="inlineStr">
        <is>
          <t>00116</t>
        </is>
      </c>
      <c r="D2478" s="29" t="inlineStr">
        <is>
          <t>MUHAMMED SAMİH SERHAN</t>
        </is>
      </c>
      <c r="E2478" s="4" t="inlineStr">
        <is>
          <t>Cuma</t>
        </is>
      </c>
      <c r="F2478" s="4" t="inlineStr">
        <is>
          <t>9.10.2026</t>
        </is>
      </c>
      <c r="G2478" s="4" t="inlineStr">
        <is>
          <t>08:10</t>
        </is>
      </c>
      <c r="H2478" s="4" t="inlineStr">
        <is>
          <t>9.10.2026</t>
        </is>
      </c>
      <c r="I2478" s="4" t="inlineStr">
        <is>
          <t>19:23</t>
        </is>
      </c>
      <c r="J2478" s="8" t="n">
        <v>10</v>
      </c>
      <c r="K2478" s="8" t="n">
        <v>7.5</v>
      </c>
      <c r="L2478" s="8" t="n">
        <v>2.5</v>
      </c>
      <c r="M2478" s="29" t="inlineStr">
        <is>
          <t>GÖBEL</t>
        </is>
      </c>
    </row>
    <row r="2479">
      <c r="A2479" s="4" t="n">
        <v>2478</v>
      </c>
      <c r="B2479" s="4" t="inlineStr">
        <is>
          <t>00116</t>
        </is>
      </c>
      <c r="C2479" s="4" t="inlineStr">
        <is>
          <t>00116</t>
        </is>
      </c>
      <c r="D2479" s="29" t="inlineStr">
        <is>
          <t>MUHAMMED SAMİH SERHAN</t>
        </is>
      </c>
      <c r="E2479" s="4" t="inlineStr">
        <is>
          <t>Cumartesi</t>
        </is>
      </c>
      <c r="F2479" s="4" t="inlineStr">
        <is>
          <t>10.10.2026</t>
        </is>
      </c>
      <c r="G2479" s="4" t="inlineStr">
        <is>
          <t>10:16</t>
        </is>
      </c>
      <c r="H2479" s="4" t="inlineStr">
        <is>
          <t>10.10.2026</t>
        </is>
      </c>
      <c r="I2479" s="4" t="inlineStr">
        <is>
          <t>17:24</t>
        </is>
      </c>
      <c r="J2479" s="8" t="n">
        <v>6</v>
      </c>
      <c r="K2479" s="8" t="n">
        <v>5.5</v>
      </c>
      <c r="L2479" s="8" t="n">
        <v>0.5</v>
      </c>
      <c r="M2479" s="29" t="inlineStr">
        <is>
          <t>GÖBEL</t>
        </is>
      </c>
    </row>
    <row r="2480">
      <c r="A2480" s="4" t="n">
        <v>2479</v>
      </c>
      <c r="B2480" s="4" t="inlineStr">
        <is>
          <t>00116</t>
        </is>
      </c>
      <c r="C2480" s="4" t="inlineStr">
        <is>
          <t>00116</t>
        </is>
      </c>
      <c r="D2480" s="29" t="inlineStr">
        <is>
          <t>MUHAMMED SAMİH SERHAN</t>
        </is>
      </c>
      <c r="E2480" s="4" t="inlineStr">
        <is>
          <t>Pazar</t>
        </is>
      </c>
      <c r="F2480" s="4" t="inlineStr">
        <is>
          <t>11.10.2026</t>
        </is>
      </c>
      <c r="G2480" s="4" t="inlineStr">
        <is>
          <t>08:28</t>
        </is>
      </c>
      <c r="H2480" s="4" t="inlineStr">
        <is>
          <t>11.10.2026</t>
        </is>
      </c>
      <c r="I2480" s="4" t="inlineStr">
        <is>
          <t>17:03</t>
        </is>
      </c>
      <c r="J2480" s="8" t="n">
        <v>7</v>
      </c>
      <c r="K2480" s="8" t="n">
        <v>7</v>
      </c>
      <c r="L2480" s="8" t="n">
        <v>0</v>
      </c>
      <c r="M2480" s="29" t="inlineStr">
        <is>
          <t>GÖBEL</t>
        </is>
      </c>
    </row>
    <row r="2481">
      <c r="A2481" s="4" t="n">
        <v>2480</v>
      </c>
      <c r="B2481" s="4" t="inlineStr">
        <is>
          <t>00116</t>
        </is>
      </c>
      <c r="C2481" s="4" t="inlineStr">
        <is>
          <t>00116</t>
        </is>
      </c>
      <c r="D2481" s="29" t="inlineStr">
        <is>
          <t>MUHAMMED SAMİH SERHAN</t>
        </is>
      </c>
      <c r="E2481" s="4" t="inlineStr">
        <is>
          <t>Pazartesi</t>
        </is>
      </c>
      <c r="F2481" s="4" t="inlineStr">
        <is>
          <t>12.10.2026</t>
        </is>
      </c>
      <c r="G2481" s="4" t="inlineStr">
        <is>
          <t>16:50</t>
        </is>
      </c>
      <c r="H2481" s="4" t="inlineStr">
        <is>
          <t>12.10.2026</t>
        </is>
      </c>
      <c r="I2481" s="4" t="inlineStr">
        <is>
          <t>19:53</t>
        </is>
      </c>
      <c r="J2481" s="8" t="n">
        <v>3.5</v>
      </c>
      <c r="K2481" s="8" t="n">
        <v>3.5</v>
      </c>
      <c r="L2481" s="8" t="n">
        <v>0</v>
      </c>
      <c r="M2481" s="29" t="inlineStr">
        <is>
          <t>GÖBEL</t>
        </is>
      </c>
    </row>
    <row r="2482">
      <c r="A2482" s="4" t="n">
        <v>2481</v>
      </c>
      <c r="B2482" s="4" t="inlineStr">
        <is>
          <t>00116</t>
        </is>
      </c>
      <c r="C2482" s="4" t="inlineStr">
        <is>
          <t>00116</t>
        </is>
      </c>
      <c r="D2482" s="29" t="inlineStr">
        <is>
          <t>MUHAMMED SAMİH SERHAN</t>
        </is>
      </c>
      <c r="E2482" s="4" t="inlineStr">
        <is>
          <t>Salı</t>
        </is>
      </c>
      <c r="F2482" s="4" t="inlineStr">
        <is>
          <t>13.10.2026</t>
        </is>
      </c>
      <c r="G2482" s="4" t="inlineStr">
        <is>
          <t>08:27</t>
        </is>
      </c>
      <c r="H2482" s="4" t="inlineStr">
        <is>
          <t>13.10.2026</t>
        </is>
      </c>
      <c r="I2482" s="4" t="inlineStr">
        <is>
          <t>17:04</t>
        </is>
      </c>
      <c r="J2482" s="8" t="n">
        <v>7</v>
      </c>
      <c r="K2482" s="8" t="n">
        <v>7</v>
      </c>
      <c r="L2482" s="8" t="n">
        <v>0</v>
      </c>
      <c r="M2482" s="29" t="inlineStr">
        <is>
          <t>GÖBEL</t>
        </is>
      </c>
    </row>
    <row r="2483">
      <c r="A2483" s="4" t="n">
        <v>2482</v>
      </c>
      <c r="B2483" s="4" t="inlineStr">
        <is>
          <t>00116</t>
        </is>
      </c>
      <c r="C2483" s="4" t="inlineStr">
        <is>
          <t>00116</t>
        </is>
      </c>
      <c r="D2483" s="29" t="inlineStr">
        <is>
          <t>MUHAMMED SAMİH SERHAN</t>
        </is>
      </c>
      <c r="E2483" s="4" t="inlineStr">
        <is>
          <t>Çarşamba</t>
        </is>
      </c>
      <c r="F2483" s="4" t="inlineStr">
        <is>
          <t>14.10.2026</t>
        </is>
      </c>
      <c r="G2483" s="4" t="inlineStr">
        <is>
          <t>12:53</t>
        </is>
      </c>
      <c r="H2483" s="4" t="inlineStr">
        <is>
          <t>14.10.2026</t>
        </is>
      </c>
      <c r="I2483" s="4" t="inlineStr">
        <is>
          <t>18:50</t>
        </is>
      </c>
      <c r="J2483" s="8" t="n">
        <v>5.5</v>
      </c>
      <c r="K2483" s="8" t="n">
        <v>5.5</v>
      </c>
      <c r="L2483" s="8" t="n">
        <v>0</v>
      </c>
      <c r="M2483" s="29" t="inlineStr">
        <is>
          <t>GÖBEL</t>
        </is>
      </c>
    </row>
    <row r="2484">
      <c r="A2484" s="4" t="n">
        <v>2483</v>
      </c>
      <c r="B2484" s="4" t="inlineStr">
        <is>
          <t>00116</t>
        </is>
      </c>
      <c r="C2484" s="4" t="inlineStr">
        <is>
          <t>00116</t>
        </is>
      </c>
      <c r="D2484" s="29" t="inlineStr">
        <is>
          <t>MUHAMMED SAMİH SERHAN</t>
        </is>
      </c>
      <c r="E2484" s="4" t="inlineStr">
        <is>
          <t>Perşembe</t>
        </is>
      </c>
      <c r="F2484" s="4" t="inlineStr">
        <is>
          <t>15.10.2026</t>
        </is>
      </c>
      <c r="G2484" s="4" t="inlineStr">
        <is>
          <t>08:45</t>
        </is>
      </c>
      <c r="H2484" s="4" t="inlineStr">
        <is>
          <t>15.10.2026</t>
        </is>
      </c>
      <c r="I2484" s="4" t="inlineStr">
        <is>
          <t>19:44</t>
        </is>
      </c>
      <c r="J2484" s="8" t="n">
        <v>9.5</v>
      </c>
      <c r="K2484" s="8" t="n">
        <v>7</v>
      </c>
      <c r="L2484" s="8" t="n">
        <v>2.5</v>
      </c>
      <c r="M2484" s="29" t="inlineStr">
        <is>
          <t>GÖBEL</t>
        </is>
      </c>
    </row>
    <row r="2485">
      <c r="A2485" s="4" t="n">
        <v>2484</v>
      </c>
      <c r="B2485" s="4" t="inlineStr">
        <is>
          <t>00116</t>
        </is>
      </c>
      <c r="C2485" s="4" t="inlineStr">
        <is>
          <t>00116</t>
        </is>
      </c>
      <c r="D2485" s="29" t="inlineStr">
        <is>
          <t>MUHAMMED SAMİH SERHAN</t>
        </is>
      </c>
      <c r="E2485" s="4" t="inlineStr">
        <is>
          <t>Cuma</t>
        </is>
      </c>
      <c r="F2485" s="4" t="inlineStr">
        <is>
          <t>16.10.2026</t>
        </is>
      </c>
      <c r="G2485" s="4" t="inlineStr">
        <is>
          <t>09:30</t>
        </is>
      </c>
      <c r="H2485" s="4" t="inlineStr">
        <is>
          <t>16.10.2026</t>
        </is>
      </c>
      <c r="I2485" s="4" t="inlineStr">
        <is>
          <t>19:30</t>
        </is>
      </c>
      <c r="J2485" s="8" t="n">
        <v>8.5</v>
      </c>
      <c r="K2485" s="8" t="n">
        <v>6</v>
      </c>
      <c r="L2485" s="8" t="n">
        <v>2.5</v>
      </c>
      <c r="M2485" s="29" t="inlineStr">
        <is>
          <t>GÖBEL</t>
        </is>
      </c>
    </row>
    <row r="2486">
      <c r="A2486" s="4" t="n">
        <v>2485</v>
      </c>
      <c r="B2486" s="4" t="inlineStr">
        <is>
          <t>00116</t>
        </is>
      </c>
      <c r="C2486" s="4" t="inlineStr">
        <is>
          <t>00116</t>
        </is>
      </c>
      <c r="D2486" s="29" t="inlineStr">
        <is>
          <t>MUHAMMED SAMİH SERHAN</t>
        </is>
      </c>
      <c r="E2486" s="4" t="inlineStr">
        <is>
          <t>Cumartesi</t>
        </is>
      </c>
      <c r="F2486" s="4" t="inlineStr">
        <is>
          <t>17.10.2026</t>
        </is>
      </c>
      <c r="G2486" s="4" t="inlineStr">
        <is>
          <t>08:34</t>
        </is>
      </c>
      <c r="H2486" s="4" t="inlineStr">
        <is>
          <t>17.10.2026</t>
        </is>
      </c>
      <c r="I2486" s="4" t="inlineStr">
        <is>
          <t>19:19</t>
        </is>
      </c>
      <c r="J2486" s="8" t="n">
        <v>8</v>
      </c>
      <c r="K2486" s="8" t="n">
        <v>7.5</v>
      </c>
      <c r="L2486" s="8" t="n">
        <v>0.5</v>
      </c>
      <c r="M2486" s="29" t="inlineStr">
        <is>
          <t>GÖBEL</t>
        </is>
      </c>
    </row>
    <row r="2487">
      <c r="A2487" s="4" t="n">
        <v>2486</v>
      </c>
      <c r="B2487" s="4" t="inlineStr">
        <is>
          <t>00116</t>
        </is>
      </c>
      <c r="C2487" s="4" t="inlineStr">
        <is>
          <t>00116</t>
        </is>
      </c>
      <c r="D2487" s="29" t="inlineStr">
        <is>
          <t>MUHAMMED SAMİH SERHAN</t>
        </is>
      </c>
      <c r="E2487" s="4" t="inlineStr">
        <is>
          <t>Pazar</t>
        </is>
      </c>
      <c r="F2487" s="4" t="inlineStr">
        <is>
          <t>18.10.2026</t>
        </is>
      </c>
      <c r="G2487" s="4" t="inlineStr">
        <is>
          <t>07:59</t>
        </is>
      </c>
      <c r="H2487" s="4" t="inlineStr">
        <is>
          <t>18.10.2026</t>
        </is>
      </c>
      <c r="I2487" s="4" t="inlineStr">
        <is>
          <t>17:19</t>
        </is>
      </c>
      <c r="J2487" s="8" t="n">
        <v>7.5</v>
      </c>
      <c r="K2487" s="8" t="n">
        <v>7.5</v>
      </c>
      <c r="L2487" s="8" t="n">
        <v>0</v>
      </c>
      <c r="M2487" s="29" t="inlineStr">
        <is>
          <t>GÖBEL</t>
        </is>
      </c>
    </row>
    <row r="2488">
      <c r="A2488" s="4" t="n">
        <v>2487</v>
      </c>
      <c r="B2488" s="4" t="inlineStr">
        <is>
          <t>00116</t>
        </is>
      </c>
      <c r="C2488" s="4" t="inlineStr">
        <is>
          <t>00116</t>
        </is>
      </c>
      <c r="D2488" s="29" t="inlineStr">
        <is>
          <t>MUHAMMED SAMİH SERHAN</t>
        </is>
      </c>
      <c r="E2488" s="4" t="inlineStr">
        <is>
          <t>Pazartesi</t>
        </is>
      </c>
      <c r="F2488" s="4" t="inlineStr">
        <is>
          <t>19.10.2026</t>
        </is>
      </c>
      <c r="G2488" s="4" t="inlineStr">
        <is>
          <t>12:29</t>
        </is>
      </c>
      <c r="H2488" s="4" t="inlineStr">
        <is>
          <t>19.10.2026</t>
        </is>
      </c>
      <c r="I2488" s="4" t="inlineStr">
        <is>
          <t>18:36</t>
        </is>
      </c>
      <c r="J2488" s="8" t="n">
        <v>5.5</v>
      </c>
      <c r="K2488" s="8" t="n">
        <v>5.5</v>
      </c>
      <c r="L2488" s="8" t="n">
        <v>0</v>
      </c>
      <c r="M2488" s="29" t="inlineStr">
        <is>
          <t>GÖBEL</t>
        </is>
      </c>
    </row>
    <row r="2489">
      <c r="A2489" s="4" t="n">
        <v>2488</v>
      </c>
      <c r="B2489" s="4" t="inlineStr">
        <is>
          <t>00116</t>
        </is>
      </c>
      <c r="C2489" s="4" t="inlineStr">
        <is>
          <t>00116</t>
        </is>
      </c>
      <c r="D2489" s="29" t="inlineStr">
        <is>
          <t>MUHAMMED SAMİH SERHAN</t>
        </is>
      </c>
      <c r="E2489" s="4" t="inlineStr">
        <is>
          <t>Salı</t>
        </is>
      </c>
      <c r="F2489" s="4" t="inlineStr">
        <is>
          <t>20.10.2026</t>
        </is>
      </c>
      <c r="G2489" s="4" t="inlineStr">
        <is>
          <t>08:21</t>
        </is>
      </c>
      <c r="H2489" s="4" t="inlineStr">
        <is>
          <t>20.10.2026</t>
        </is>
      </c>
      <c r="I2489" s="4" t="inlineStr">
        <is>
          <t>18:55</t>
        </is>
      </c>
      <c r="J2489" s="8" t="n">
        <v>9</v>
      </c>
      <c r="K2489" s="8" t="n">
        <v>7</v>
      </c>
      <c r="L2489" s="8" t="n">
        <v>2</v>
      </c>
      <c r="M2489" s="29" t="inlineStr">
        <is>
          <t>GÖBEL</t>
        </is>
      </c>
    </row>
    <row r="2490">
      <c r="A2490" s="4" t="n">
        <v>2489</v>
      </c>
      <c r="B2490" s="4" t="inlineStr">
        <is>
          <t>00116</t>
        </is>
      </c>
      <c r="C2490" s="4" t="inlineStr">
        <is>
          <t>00116</t>
        </is>
      </c>
      <c r="D2490" s="29" t="inlineStr">
        <is>
          <t>MUHAMMED SAMİH SERHAN</t>
        </is>
      </c>
      <c r="E2490" s="4" t="inlineStr">
        <is>
          <t>Çarşamba</t>
        </is>
      </c>
      <c r="F2490" s="4" t="inlineStr">
        <is>
          <t>21.10.2026</t>
        </is>
      </c>
      <c r="G2490" s="4" t="inlineStr">
        <is>
          <t>09:53</t>
        </is>
      </c>
      <c r="H2490" s="4" t="inlineStr">
        <is>
          <t>21.10.2026</t>
        </is>
      </c>
      <c r="I2490" s="4" t="inlineStr">
        <is>
          <t>17:18</t>
        </is>
      </c>
      <c r="J2490" s="8" t="n">
        <v>5.5</v>
      </c>
      <c r="K2490" s="8" t="n">
        <v>5.5</v>
      </c>
      <c r="L2490" s="8" t="n">
        <v>0</v>
      </c>
      <c r="M2490" s="29" t="inlineStr">
        <is>
          <t>GÖBEL</t>
        </is>
      </c>
    </row>
    <row r="2491">
      <c r="A2491" s="4" t="n">
        <v>2490</v>
      </c>
      <c r="B2491" s="4" t="inlineStr">
        <is>
          <t>01431</t>
        </is>
      </c>
      <c r="C2491" s="4" t="inlineStr">
        <is>
          <t>01431</t>
        </is>
      </c>
      <c r="D2491" s="29" t="inlineStr">
        <is>
          <t>MUHAMMED ABDULLAH GÜVEN</t>
        </is>
      </c>
      <c r="E2491" s="4" t="inlineStr">
        <is>
          <t>Cuma</t>
        </is>
      </c>
      <c r="F2491" s="4" t="inlineStr">
        <is>
          <t>2.10.2026</t>
        </is>
      </c>
      <c r="G2491" s="4" t="inlineStr">
        <is>
          <t>19:45</t>
        </is>
      </c>
      <c r="H2491" s="4" t="inlineStr">
        <is>
          <t>2.10.2026</t>
        </is>
      </c>
      <c r="I2491" s="4" t="inlineStr">
        <is>
          <t>07:52</t>
        </is>
      </c>
      <c r="J2491" s="8" t="n">
        <v>10.5</v>
      </c>
      <c r="K2491" s="8" t="n">
        <v>7.5</v>
      </c>
      <c r="L2491" s="8" t="n">
        <v>3</v>
      </c>
      <c r="M2491" s="29" t="inlineStr">
        <is>
          <t>HALİL DİĞRENCİ</t>
        </is>
      </c>
    </row>
    <row r="2492">
      <c r="A2492" s="4" t="n">
        <v>2491</v>
      </c>
      <c r="B2492" s="4" t="inlineStr">
        <is>
          <t>01431</t>
        </is>
      </c>
      <c r="C2492" s="4" t="inlineStr">
        <is>
          <t>01431</t>
        </is>
      </c>
      <c r="D2492" s="29" t="inlineStr">
        <is>
          <t>MUHAMMED ABDULLAH GÜVEN</t>
        </is>
      </c>
      <c r="E2492" s="4" t="inlineStr">
        <is>
          <t>Cumartesi</t>
        </is>
      </c>
      <c r="F2492" s="4" t="inlineStr">
        <is>
          <t>3.10.2026</t>
        </is>
      </c>
      <c r="G2492" s="4" t="inlineStr">
        <is>
          <t>19:54</t>
        </is>
      </c>
      <c r="H2492" s="4" t="inlineStr">
        <is>
          <t>3.10.2026</t>
        </is>
      </c>
      <c r="I2492" s="4" t="inlineStr">
        <is>
          <t>07:54</t>
        </is>
      </c>
      <c r="J2492" s="8" t="n">
        <v>10.5</v>
      </c>
      <c r="K2492" s="8" t="n">
        <v>7.5</v>
      </c>
      <c r="L2492" s="8" t="n">
        <v>3</v>
      </c>
      <c r="M2492" s="29" t="inlineStr">
        <is>
          <t>HALİL DİĞRENCİ</t>
        </is>
      </c>
    </row>
    <row r="2493">
      <c r="A2493" s="4" t="n">
        <v>2492</v>
      </c>
      <c r="B2493" s="4" t="inlineStr">
        <is>
          <t>01557</t>
        </is>
      </c>
      <c r="C2493" s="4" t="inlineStr">
        <is>
          <t>01557</t>
        </is>
      </c>
      <c r="D2493" s="29" t="inlineStr">
        <is>
          <t>MUHAMMET ERKAN BİNMEDİ</t>
        </is>
      </c>
      <c r="E2493" s="4" t="inlineStr">
        <is>
          <t>Salı</t>
        </is>
      </c>
      <c r="F2493" s="4" t="inlineStr">
        <is>
          <t>13.10.2026</t>
        </is>
      </c>
      <c r="G2493" s="4" t="inlineStr">
        <is>
          <t>-</t>
        </is>
      </c>
      <c r="H2493" s="4" t="inlineStr">
        <is>
          <t>13.10.2026</t>
        </is>
      </c>
      <c r="I2493" s="4" t="inlineStr">
        <is>
          <t>17:06</t>
        </is>
      </c>
      <c r="J2493" s="8" t="n">
        <v>7.5</v>
      </c>
      <c r="K2493" s="8" t="n">
        <v>7.5</v>
      </c>
      <c r="L2493" s="8" t="n">
        <v>0</v>
      </c>
      <c r="M2493" s="29" t="inlineStr">
        <is>
          <t>BİGADİÇ</t>
        </is>
      </c>
    </row>
    <row r="2494">
      <c r="A2494" s="4" t="n">
        <v>2493</v>
      </c>
      <c r="B2494" s="4" t="inlineStr">
        <is>
          <t>01557</t>
        </is>
      </c>
      <c r="C2494" s="4" t="inlineStr">
        <is>
          <t>01557</t>
        </is>
      </c>
      <c r="D2494" s="29" t="inlineStr">
        <is>
          <t>MUHAMMET ERKAN BİNMEDİ</t>
        </is>
      </c>
      <c r="E2494" s="4" t="inlineStr">
        <is>
          <t>Çarşamba</t>
        </is>
      </c>
      <c r="F2494" s="4" t="inlineStr">
        <is>
          <t>14.10.2026</t>
        </is>
      </c>
      <c r="G2494" s="4" t="inlineStr">
        <is>
          <t>08:01</t>
        </is>
      </c>
      <c r="H2494" s="4" t="inlineStr">
        <is>
          <t>14.10.2026</t>
        </is>
      </c>
      <c r="I2494" s="4" t="inlineStr">
        <is>
          <t>17:28</t>
        </is>
      </c>
      <c r="J2494" s="8" t="n">
        <v>8</v>
      </c>
      <c r="K2494" s="8" t="n">
        <v>7.5</v>
      </c>
      <c r="L2494" s="8" t="n">
        <v>0.5</v>
      </c>
      <c r="M2494" s="29" t="inlineStr">
        <is>
          <t>BİGADİÇ</t>
        </is>
      </c>
    </row>
    <row r="2495">
      <c r="A2495" s="4" t="n">
        <v>2494</v>
      </c>
      <c r="B2495" s="4" t="inlineStr">
        <is>
          <t>01557</t>
        </is>
      </c>
      <c r="C2495" s="4" t="inlineStr">
        <is>
          <t>01557</t>
        </is>
      </c>
      <c r="D2495" s="29" t="inlineStr">
        <is>
          <t>MUHAMMET ERKAN BİNMEDİ</t>
        </is>
      </c>
      <c r="E2495" s="4" t="inlineStr">
        <is>
          <t>Cuma</t>
        </is>
      </c>
      <c r="F2495" s="4" t="inlineStr">
        <is>
          <t>16.10.2026</t>
        </is>
      </c>
      <c r="G2495" s="4" t="inlineStr">
        <is>
          <t>08:00</t>
        </is>
      </c>
      <c r="H2495" s="4" t="inlineStr">
        <is>
          <t>16.10.2026</t>
        </is>
      </c>
      <c r="I2495" s="4" t="inlineStr">
        <is>
          <t>17:14</t>
        </is>
      </c>
      <c r="J2495" s="8" t="n">
        <v>7.5</v>
      </c>
      <c r="K2495" s="8" t="n">
        <v>7.5</v>
      </c>
      <c r="L2495" s="8" t="n">
        <v>0</v>
      </c>
      <c r="M2495" s="29" t="inlineStr">
        <is>
          <t>BİGADİÇ</t>
        </is>
      </c>
    </row>
    <row r="2496">
      <c r="A2496" s="4" t="n">
        <v>2495</v>
      </c>
      <c r="B2496" s="4" t="inlineStr">
        <is>
          <t>01557</t>
        </is>
      </c>
      <c r="C2496" s="4" t="inlineStr">
        <is>
          <t>01557</t>
        </is>
      </c>
      <c r="D2496" s="29" t="inlineStr">
        <is>
          <t>MUHAMMET ERKAN BİNMEDİ</t>
        </is>
      </c>
      <c r="E2496" s="4" t="inlineStr">
        <is>
          <t>Cumartesi</t>
        </is>
      </c>
      <c r="F2496" s="4" t="inlineStr">
        <is>
          <t>17.10.2026</t>
        </is>
      </c>
      <c r="G2496" s="4" t="inlineStr">
        <is>
          <t>08:02</t>
        </is>
      </c>
      <c r="H2496" s="4" t="inlineStr">
        <is>
          <t>17.10.2026</t>
        </is>
      </c>
      <c r="I2496" s="4" t="inlineStr">
        <is>
          <t>17:53</t>
        </is>
      </c>
      <c r="J2496" s="8" t="n">
        <v>8.5</v>
      </c>
      <c r="K2496" s="8" t="n">
        <v>7.5</v>
      </c>
      <c r="L2496" s="8" t="n">
        <v>1</v>
      </c>
      <c r="M2496" s="29" t="inlineStr">
        <is>
          <t>BİGADİÇ</t>
        </is>
      </c>
    </row>
    <row r="2497">
      <c r="A2497" s="4" t="n">
        <v>2496</v>
      </c>
      <c r="B2497" s="4" t="inlineStr">
        <is>
          <t>01557</t>
        </is>
      </c>
      <c r="C2497" s="4" t="inlineStr">
        <is>
          <t>01557</t>
        </is>
      </c>
      <c r="D2497" s="29" t="inlineStr">
        <is>
          <t>MUHAMMET ERKAN BİNMEDİ</t>
        </is>
      </c>
      <c r="E2497" s="4" t="inlineStr">
        <is>
          <t>Pazar</t>
        </is>
      </c>
      <c r="F2497" s="4" t="inlineStr">
        <is>
          <t>18.10.2026</t>
        </is>
      </c>
      <c r="G2497" s="4" t="inlineStr">
        <is>
          <t>08:05</t>
        </is>
      </c>
      <c r="H2497" s="4" t="inlineStr">
        <is>
          <t>18.10.2026</t>
        </is>
      </c>
      <c r="I2497" s="4" t="inlineStr">
        <is>
          <t>17:06</t>
        </is>
      </c>
      <c r="J2497" s="8" t="n">
        <v>7.5</v>
      </c>
      <c r="K2497" s="8" t="n">
        <v>7.5</v>
      </c>
      <c r="L2497" s="8" t="n">
        <v>0</v>
      </c>
      <c r="M2497" s="29" t="inlineStr">
        <is>
          <t>BİGADİÇ</t>
        </is>
      </c>
    </row>
    <row r="2498">
      <c r="A2498" s="4" t="n">
        <v>2497</v>
      </c>
      <c r="B2498" s="4" t="inlineStr">
        <is>
          <t>01557</t>
        </is>
      </c>
      <c r="C2498" s="4" t="inlineStr">
        <is>
          <t>01557</t>
        </is>
      </c>
      <c r="D2498" s="29" t="inlineStr">
        <is>
          <t>MUHAMMET ERKAN BİNMEDİ</t>
        </is>
      </c>
      <c r="E2498" s="4" t="inlineStr">
        <is>
          <t>Salı</t>
        </is>
      </c>
      <c r="F2498" s="4" t="inlineStr">
        <is>
          <t>20.10.2026</t>
        </is>
      </c>
      <c r="G2498" s="4" t="inlineStr">
        <is>
          <t>07:50</t>
        </is>
      </c>
      <c r="H2498" s="4" t="inlineStr">
        <is>
          <t>20.10.2026</t>
        </is>
      </c>
      <c r="I2498" s="4" t="inlineStr">
        <is>
          <t>17:06</t>
        </is>
      </c>
      <c r="J2498" s="8" t="n">
        <v>7.5</v>
      </c>
      <c r="K2498" s="8" t="n">
        <v>7.5</v>
      </c>
      <c r="L2498" s="8" t="n">
        <v>0</v>
      </c>
      <c r="M2498" s="29" t="inlineStr">
        <is>
          <t>BİGADİÇ</t>
        </is>
      </c>
    </row>
    <row r="2499">
      <c r="A2499" s="4" t="n">
        <v>2498</v>
      </c>
      <c r="B2499" s="4" t="inlineStr">
        <is>
          <t>01557</t>
        </is>
      </c>
      <c r="C2499" s="4" t="inlineStr">
        <is>
          <t>01557</t>
        </is>
      </c>
      <c r="D2499" s="29" t="inlineStr">
        <is>
          <t>MUHAMMET ERKAN BİNMEDİ</t>
        </is>
      </c>
      <c r="E2499" s="4" t="inlineStr">
        <is>
          <t>Çarşamba</t>
        </is>
      </c>
      <c r="F2499" s="4" t="inlineStr">
        <is>
          <t>21.10.2026</t>
        </is>
      </c>
      <c r="G2499" s="4" t="inlineStr">
        <is>
          <t>07:51</t>
        </is>
      </c>
      <c r="H2499" s="4" t="inlineStr">
        <is>
          <t>21.10.2026</t>
        </is>
      </c>
      <c r="I2499" s="4" t="inlineStr">
        <is>
          <t>17:10</t>
        </is>
      </c>
      <c r="J2499" s="8" t="n">
        <v>7.5</v>
      </c>
      <c r="K2499" s="8" t="n">
        <v>7.5</v>
      </c>
      <c r="L2499" s="8" t="n">
        <v>0</v>
      </c>
      <c r="M2499" s="29" t="inlineStr">
        <is>
          <t>BİGADİÇ</t>
        </is>
      </c>
    </row>
    <row r="2500">
      <c r="A2500" s="4" t="n">
        <v>2499</v>
      </c>
      <c r="B2500" s="4" t="inlineStr">
        <is>
          <t>01526</t>
        </is>
      </c>
      <c r="C2500" s="4" t="inlineStr">
        <is>
          <t>01526</t>
        </is>
      </c>
      <c r="D2500" s="29" t="inlineStr">
        <is>
          <t>MUHSİN HALBABA</t>
        </is>
      </c>
      <c r="E2500" s="4" t="inlineStr">
        <is>
          <t>Perşembe</t>
        </is>
      </c>
      <c r="F2500" s="4" t="inlineStr">
        <is>
          <t>8.10.2026</t>
        </is>
      </c>
      <c r="G2500" s="4" t="inlineStr">
        <is>
          <t>-</t>
        </is>
      </c>
      <c r="H2500" s="4" t="inlineStr">
        <is>
          <t>8.10.2026</t>
        </is>
      </c>
      <c r="I2500" s="4" t="inlineStr">
        <is>
          <t>07:54</t>
        </is>
      </c>
      <c r="J2500" s="8" t="n">
        <v>22.5</v>
      </c>
      <c r="K2500" s="8" t="n">
        <v>7.5</v>
      </c>
      <c r="L2500" s="8" t="n">
        <v>15</v>
      </c>
      <c r="M2500" s="29" t="inlineStr">
        <is>
          <t>HALİL DİĞRENCİ</t>
        </is>
      </c>
    </row>
    <row r="2501">
      <c r="A2501" s="4" t="n">
        <v>2500</v>
      </c>
      <c r="B2501" s="4" t="inlineStr">
        <is>
          <t>00514</t>
        </is>
      </c>
      <c r="C2501" s="4" t="inlineStr">
        <is>
          <t>00514</t>
        </is>
      </c>
      <c r="D2501" s="29" t="inlineStr">
        <is>
          <t>MUKATDES KARAMANOĞLU</t>
        </is>
      </c>
      <c r="E2501" s="4" t="inlineStr">
        <is>
          <t>Perşembe</t>
        </is>
      </c>
      <c r="F2501" s="4" t="inlineStr">
        <is>
          <t>1.10.2026</t>
        </is>
      </c>
      <c r="G2501" s="4" t="inlineStr">
        <is>
          <t>07:51</t>
        </is>
      </c>
      <c r="H2501" s="4" t="inlineStr">
        <is>
          <t>1.10.2026</t>
        </is>
      </c>
      <c r="I2501" s="4" t="inlineStr">
        <is>
          <t>17:25</t>
        </is>
      </c>
      <c r="J2501" s="8" t="n">
        <v>8</v>
      </c>
      <c r="K2501" s="8" t="n">
        <v>7.5</v>
      </c>
      <c r="L2501" s="8" t="n">
        <v>0.5</v>
      </c>
      <c r="M2501" s="29" t="inlineStr">
        <is>
          <t>BALIKESİR</t>
        </is>
      </c>
    </row>
    <row r="2502">
      <c r="A2502" s="4" t="n">
        <v>2501</v>
      </c>
      <c r="B2502" s="4" t="inlineStr">
        <is>
          <t>00514</t>
        </is>
      </c>
      <c r="C2502" s="4" t="inlineStr">
        <is>
          <t>00514</t>
        </is>
      </c>
      <c r="D2502" s="29" t="inlineStr">
        <is>
          <t>MUKATDES KARAMANOĞLU</t>
        </is>
      </c>
      <c r="E2502" s="4" t="inlineStr">
        <is>
          <t>Cuma</t>
        </is>
      </c>
      <c r="F2502" s="4" t="inlineStr">
        <is>
          <t>2.10.2026</t>
        </is>
      </c>
      <c r="G2502" s="4" t="inlineStr">
        <is>
          <t>07:56</t>
        </is>
      </c>
      <c r="H2502" s="4" t="inlineStr">
        <is>
          <t>2.10.2026</t>
        </is>
      </c>
      <c r="I2502" s="4" t="inlineStr">
        <is>
          <t>17:45</t>
        </is>
      </c>
      <c r="J2502" s="8" t="n">
        <v>8.5</v>
      </c>
      <c r="K2502" s="8" t="n">
        <v>7.5</v>
      </c>
      <c r="L2502" s="8" t="n">
        <v>1</v>
      </c>
      <c r="M2502" s="29" t="inlineStr">
        <is>
          <t>BALIKESİR</t>
        </is>
      </c>
    </row>
    <row r="2503">
      <c r="A2503" s="4" t="n">
        <v>2502</v>
      </c>
      <c r="B2503" s="4" t="inlineStr">
        <is>
          <t>00514</t>
        </is>
      </c>
      <c r="C2503" s="4" t="inlineStr">
        <is>
          <t>00514</t>
        </is>
      </c>
      <c r="D2503" s="29" t="inlineStr">
        <is>
          <t>MUKATDES KARAMANOĞLU</t>
        </is>
      </c>
      <c r="E2503" s="4" t="inlineStr">
        <is>
          <t>Cumartesi</t>
        </is>
      </c>
      <c r="F2503" s="4" t="inlineStr">
        <is>
          <t>3.10.2026</t>
        </is>
      </c>
      <c r="G2503" s="4" t="inlineStr">
        <is>
          <t>07:56</t>
        </is>
      </c>
      <c r="H2503" s="4" t="inlineStr">
        <is>
          <t>3.10.2026</t>
        </is>
      </c>
      <c r="I2503" s="4" t="inlineStr">
        <is>
          <t>17:34</t>
        </is>
      </c>
      <c r="J2503" s="8" t="n">
        <v>8</v>
      </c>
      <c r="K2503" s="8" t="n">
        <v>7.5</v>
      </c>
      <c r="L2503" s="8" t="n">
        <v>0.5</v>
      </c>
      <c r="M2503" s="29" t="inlineStr">
        <is>
          <t>BALIKESİR</t>
        </is>
      </c>
    </row>
    <row r="2504">
      <c r="A2504" s="4" t="n">
        <v>2503</v>
      </c>
      <c r="B2504" s="4" t="inlineStr">
        <is>
          <t>00514</t>
        </is>
      </c>
      <c r="C2504" s="4" t="inlineStr">
        <is>
          <t>00514</t>
        </is>
      </c>
      <c r="D2504" s="29" t="inlineStr">
        <is>
          <t>MUKATDES KARAMANOĞLU</t>
        </is>
      </c>
      <c r="E2504" s="4" t="inlineStr">
        <is>
          <t>Pazartesi</t>
        </is>
      </c>
      <c r="F2504" s="4" t="inlineStr">
        <is>
          <t>5.10.2026</t>
        </is>
      </c>
      <c r="G2504" s="4" t="inlineStr">
        <is>
          <t>07:54</t>
        </is>
      </c>
      <c r="H2504" s="4" t="inlineStr">
        <is>
          <t>5.10.2026</t>
        </is>
      </c>
      <c r="I2504" s="4" t="inlineStr">
        <is>
          <t>17:01</t>
        </is>
      </c>
      <c r="J2504" s="8" t="n">
        <v>7.5</v>
      </c>
      <c r="K2504" s="8" t="n">
        <v>7.5</v>
      </c>
      <c r="L2504" s="8" t="n">
        <v>0</v>
      </c>
      <c r="M2504" s="29" t="inlineStr">
        <is>
          <t>BALIKESİR</t>
        </is>
      </c>
    </row>
    <row r="2505">
      <c r="A2505" s="4" t="n">
        <v>2504</v>
      </c>
      <c r="B2505" s="4" t="inlineStr">
        <is>
          <t>00514</t>
        </is>
      </c>
      <c r="C2505" s="4" t="inlineStr">
        <is>
          <t>00514</t>
        </is>
      </c>
      <c r="D2505" s="29" t="inlineStr">
        <is>
          <t>MUKATDES KARAMANOĞLU</t>
        </is>
      </c>
      <c r="E2505" s="4" t="inlineStr">
        <is>
          <t>Salı</t>
        </is>
      </c>
      <c r="F2505" s="4" t="inlineStr">
        <is>
          <t>6.10.2026</t>
        </is>
      </c>
      <c r="G2505" s="4" t="inlineStr">
        <is>
          <t>07:51</t>
        </is>
      </c>
      <c r="H2505" s="4" t="inlineStr">
        <is>
          <t>6.10.2026</t>
        </is>
      </c>
      <c r="I2505" s="4" t="inlineStr">
        <is>
          <t>17:37</t>
        </is>
      </c>
      <c r="J2505" s="8" t="n">
        <v>8</v>
      </c>
      <c r="K2505" s="8" t="n">
        <v>7.5</v>
      </c>
      <c r="L2505" s="8" t="n">
        <v>0.5</v>
      </c>
      <c r="M2505" s="29" t="inlineStr">
        <is>
          <t>BALIKESİR</t>
        </is>
      </c>
    </row>
    <row r="2506">
      <c r="A2506" s="4" t="n">
        <v>2505</v>
      </c>
      <c r="B2506" s="4" t="inlineStr">
        <is>
          <t>00514</t>
        </is>
      </c>
      <c r="C2506" s="4" t="inlineStr">
        <is>
          <t>00514</t>
        </is>
      </c>
      <c r="D2506" s="29" t="inlineStr">
        <is>
          <t>MUKATDES KARAMANOĞLU</t>
        </is>
      </c>
      <c r="E2506" s="4" t="inlineStr">
        <is>
          <t>Çarşamba</t>
        </is>
      </c>
      <c r="F2506" s="4" t="inlineStr">
        <is>
          <t>7.10.2026</t>
        </is>
      </c>
      <c r="G2506" s="4" t="inlineStr">
        <is>
          <t>07:49</t>
        </is>
      </c>
      <c r="H2506" s="4" t="inlineStr">
        <is>
          <t>7.10.2026</t>
        </is>
      </c>
      <c r="I2506" s="4" t="inlineStr">
        <is>
          <t>17:20</t>
        </is>
      </c>
      <c r="J2506" s="8" t="n">
        <v>7.5</v>
      </c>
      <c r="K2506" s="8" t="n">
        <v>7.5</v>
      </c>
      <c r="L2506" s="8" t="n">
        <v>0</v>
      </c>
      <c r="M2506" s="29" t="inlineStr">
        <is>
          <t>BALIKESİR</t>
        </is>
      </c>
    </row>
    <row r="2507">
      <c r="A2507" s="4" t="n">
        <v>2506</v>
      </c>
      <c r="B2507" s="4" t="inlineStr">
        <is>
          <t>00514</t>
        </is>
      </c>
      <c r="C2507" s="4" t="inlineStr">
        <is>
          <t>00514</t>
        </is>
      </c>
      <c r="D2507" s="29" t="inlineStr">
        <is>
          <t>MUKATDES KARAMANOĞLU</t>
        </is>
      </c>
      <c r="E2507" s="4" t="inlineStr">
        <is>
          <t>Perşembe</t>
        </is>
      </c>
      <c r="F2507" s="4" t="inlineStr">
        <is>
          <t>8.10.2026</t>
        </is>
      </c>
      <c r="G2507" s="4" t="inlineStr">
        <is>
          <t>07:50</t>
        </is>
      </c>
      <c r="H2507" s="4" t="inlineStr">
        <is>
          <t>8.10.2026</t>
        </is>
      </c>
      <c r="I2507" s="4" t="inlineStr">
        <is>
          <t>17:31</t>
        </is>
      </c>
      <c r="J2507" s="8" t="n">
        <v>8</v>
      </c>
      <c r="K2507" s="8" t="n">
        <v>7.5</v>
      </c>
      <c r="L2507" s="8" t="n">
        <v>0.5</v>
      </c>
      <c r="M2507" s="29" t="inlineStr">
        <is>
          <t>BALIKESİR</t>
        </is>
      </c>
    </row>
    <row r="2508">
      <c r="A2508" s="4" t="n">
        <v>2507</v>
      </c>
      <c r="B2508" s="4" t="inlineStr">
        <is>
          <t>00514</t>
        </is>
      </c>
      <c r="C2508" s="4" t="inlineStr">
        <is>
          <t>00514</t>
        </is>
      </c>
      <c r="D2508" s="29" t="inlineStr">
        <is>
          <t>MUKATDES KARAMANOĞLU</t>
        </is>
      </c>
      <c r="E2508" s="4" t="inlineStr">
        <is>
          <t>Cuma</t>
        </is>
      </c>
      <c r="F2508" s="4" t="inlineStr">
        <is>
          <t>9.10.2026</t>
        </is>
      </c>
      <c r="G2508" s="4" t="inlineStr">
        <is>
          <t>07:51</t>
        </is>
      </c>
      <c r="H2508" s="4" t="inlineStr">
        <is>
          <t>9.10.2026</t>
        </is>
      </c>
      <c r="I2508" s="4" t="inlineStr">
        <is>
          <t>17:41</t>
        </is>
      </c>
      <c r="J2508" s="8" t="n">
        <v>8</v>
      </c>
      <c r="K2508" s="8" t="n">
        <v>7.5</v>
      </c>
      <c r="L2508" s="8" t="n">
        <v>0.5</v>
      </c>
      <c r="M2508" s="29" t="inlineStr">
        <is>
          <t>BALIKESİR</t>
        </is>
      </c>
    </row>
    <row r="2509">
      <c r="A2509" s="4" t="n">
        <v>2508</v>
      </c>
      <c r="B2509" s="4" t="inlineStr">
        <is>
          <t>00514</t>
        </is>
      </c>
      <c r="C2509" s="4" t="inlineStr">
        <is>
          <t>00514</t>
        </is>
      </c>
      <c r="D2509" s="29" t="inlineStr">
        <is>
          <t>MUKATDES KARAMANOĞLU</t>
        </is>
      </c>
      <c r="E2509" s="4" t="inlineStr">
        <is>
          <t>Cumartesi</t>
        </is>
      </c>
      <c r="F2509" s="4" t="inlineStr">
        <is>
          <t>10.10.2026</t>
        </is>
      </c>
      <c r="G2509" s="4" t="inlineStr">
        <is>
          <t>07:53</t>
        </is>
      </c>
      <c r="H2509" s="4" t="inlineStr">
        <is>
          <t>10.10.2026</t>
        </is>
      </c>
      <c r="I2509" s="4" t="inlineStr">
        <is>
          <t>18:08</t>
        </is>
      </c>
      <c r="J2509" s="8" t="n">
        <v>8.5</v>
      </c>
      <c r="K2509" s="8" t="n">
        <v>7.5</v>
      </c>
      <c r="L2509" s="8" t="n">
        <v>1</v>
      </c>
      <c r="M2509" s="29" t="inlineStr">
        <is>
          <t>BALIKESİR</t>
        </is>
      </c>
    </row>
    <row r="2510">
      <c r="A2510" s="4" t="n">
        <v>2509</v>
      </c>
      <c r="B2510" s="4" t="inlineStr">
        <is>
          <t>00514</t>
        </is>
      </c>
      <c r="C2510" s="4" t="inlineStr">
        <is>
          <t>00514</t>
        </is>
      </c>
      <c r="D2510" s="29" t="inlineStr">
        <is>
          <t>MUKATDES KARAMANOĞLU</t>
        </is>
      </c>
      <c r="E2510" s="4" t="inlineStr">
        <is>
          <t>Pazartesi</t>
        </is>
      </c>
      <c r="F2510" s="4" t="inlineStr">
        <is>
          <t>12.10.2026</t>
        </is>
      </c>
      <c r="G2510" s="4" t="inlineStr">
        <is>
          <t>07:51</t>
        </is>
      </c>
      <c r="H2510" s="4" t="inlineStr">
        <is>
          <t>12.10.2026</t>
        </is>
      </c>
      <c r="I2510" s="4" t="inlineStr">
        <is>
          <t>17:00</t>
        </is>
      </c>
      <c r="J2510" s="8" t="n">
        <v>7.5</v>
      </c>
      <c r="K2510" s="8" t="n">
        <v>7.5</v>
      </c>
      <c r="L2510" s="8" t="n">
        <v>0</v>
      </c>
      <c r="M2510" s="29" t="inlineStr">
        <is>
          <t>BALIKESİR</t>
        </is>
      </c>
    </row>
    <row r="2511">
      <c r="A2511" s="4" t="n">
        <v>2510</v>
      </c>
      <c r="B2511" s="4" t="inlineStr">
        <is>
          <t>00514</t>
        </is>
      </c>
      <c r="C2511" s="4" t="inlineStr">
        <is>
          <t>00514</t>
        </is>
      </c>
      <c r="D2511" s="29" t="inlineStr">
        <is>
          <t>MUKATDES KARAMANOĞLU</t>
        </is>
      </c>
      <c r="E2511" s="4" t="inlineStr">
        <is>
          <t>Salı</t>
        </is>
      </c>
      <c r="F2511" s="4" t="inlineStr">
        <is>
          <t>13.10.2026</t>
        </is>
      </c>
      <c r="G2511" s="4" t="inlineStr">
        <is>
          <t>07:49</t>
        </is>
      </c>
      <c r="H2511" s="4" t="inlineStr">
        <is>
          <t>13.10.2026</t>
        </is>
      </c>
      <c r="I2511" s="4" t="inlineStr">
        <is>
          <t>17:00</t>
        </is>
      </c>
      <c r="J2511" s="8" t="n">
        <v>7.5</v>
      </c>
      <c r="K2511" s="8" t="n">
        <v>7.5</v>
      </c>
      <c r="L2511" s="8" t="n">
        <v>0</v>
      </c>
      <c r="M2511" s="29" t="inlineStr">
        <is>
          <t>BALIKESİR</t>
        </is>
      </c>
    </row>
    <row r="2512">
      <c r="A2512" s="4" t="n">
        <v>2511</v>
      </c>
      <c r="B2512" s="4" t="inlineStr">
        <is>
          <t>00514</t>
        </is>
      </c>
      <c r="C2512" s="4" t="inlineStr">
        <is>
          <t>00514</t>
        </is>
      </c>
      <c r="D2512" s="29" t="inlineStr">
        <is>
          <t>MUKATDES KARAMANOĞLU</t>
        </is>
      </c>
      <c r="E2512" s="4" t="inlineStr">
        <is>
          <t>Çarşamba</t>
        </is>
      </c>
      <c r="F2512" s="4" t="inlineStr">
        <is>
          <t>14.10.2026</t>
        </is>
      </c>
      <c r="G2512" s="4" t="inlineStr">
        <is>
          <t>07:50</t>
        </is>
      </c>
      <c r="H2512" s="4" t="inlineStr">
        <is>
          <t>14.10.2026</t>
        </is>
      </c>
      <c r="I2512" s="4" t="inlineStr">
        <is>
          <t>18:04</t>
        </is>
      </c>
      <c r="J2512" s="8" t="n">
        <v>8.5</v>
      </c>
      <c r="K2512" s="8" t="n">
        <v>7.5</v>
      </c>
      <c r="L2512" s="8" t="n">
        <v>1</v>
      </c>
      <c r="M2512" s="29" t="inlineStr">
        <is>
          <t>BALIKESİR</t>
        </is>
      </c>
    </row>
    <row r="2513">
      <c r="A2513" s="4" t="n">
        <v>2512</v>
      </c>
      <c r="B2513" s="4" t="inlineStr">
        <is>
          <t>00514</t>
        </is>
      </c>
      <c r="C2513" s="4" t="inlineStr">
        <is>
          <t>00514</t>
        </is>
      </c>
      <c r="D2513" s="29" t="inlineStr">
        <is>
          <t>MUKATDES KARAMANOĞLU</t>
        </is>
      </c>
      <c r="E2513" s="4" t="inlineStr">
        <is>
          <t>Perşembe</t>
        </is>
      </c>
      <c r="F2513" s="4" t="inlineStr">
        <is>
          <t>15.10.2026</t>
        </is>
      </c>
      <c r="G2513" s="4" t="inlineStr">
        <is>
          <t>07:53</t>
        </is>
      </c>
      <c r="H2513" s="4" t="inlineStr">
        <is>
          <t>15.10.2026</t>
        </is>
      </c>
      <c r="I2513" s="4" t="inlineStr">
        <is>
          <t>17:02</t>
        </is>
      </c>
      <c r="J2513" s="8" t="n">
        <v>7.5</v>
      </c>
      <c r="K2513" s="8" t="n">
        <v>7.5</v>
      </c>
      <c r="L2513" s="8" t="n">
        <v>0</v>
      </c>
      <c r="M2513" s="29" t="inlineStr">
        <is>
          <t>BALIKESİR</t>
        </is>
      </c>
    </row>
    <row r="2514">
      <c r="A2514" s="4" t="n">
        <v>2513</v>
      </c>
      <c r="B2514" s="4" t="inlineStr">
        <is>
          <t>00514</t>
        </is>
      </c>
      <c r="C2514" s="4" t="inlineStr">
        <is>
          <t>00514</t>
        </is>
      </c>
      <c r="D2514" s="29" t="inlineStr">
        <is>
          <t>MUKATDES KARAMANOĞLU</t>
        </is>
      </c>
      <c r="E2514" s="4" t="inlineStr">
        <is>
          <t>Cuma</t>
        </is>
      </c>
      <c r="F2514" s="4" t="inlineStr">
        <is>
          <t>16.10.2026</t>
        </is>
      </c>
      <c r="G2514" s="4" t="inlineStr">
        <is>
          <t>07:49</t>
        </is>
      </c>
      <c r="H2514" s="4" t="inlineStr">
        <is>
          <t>16.10.2026</t>
        </is>
      </c>
      <c r="I2514" s="4" t="inlineStr">
        <is>
          <t>17:13</t>
        </is>
      </c>
      <c r="J2514" s="8" t="n">
        <v>7.5</v>
      </c>
      <c r="K2514" s="8" t="n">
        <v>7.5</v>
      </c>
      <c r="L2514" s="8" t="n">
        <v>0</v>
      </c>
      <c r="M2514" s="29" t="inlineStr">
        <is>
          <t>BALIKESİR</t>
        </is>
      </c>
    </row>
    <row r="2515">
      <c r="A2515" s="4" t="n">
        <v>2514</v>
      </c>
      <c r="B2515" s="4" t="inlineStr">
        <is>
          <t>00514</t>
        </is>
      </c>
      <c r="C2515" s="4" t="inlineStr">
        <is>
          <t>00514</t>
        </is>
      </c>
      <c r="D2515" s="29" t="inlineStr">
        <is>
          <t>MUKATDES KARAMANOĞLU</t>
        </is>
      </c>
      <c r="E2515" s="4" t="inlineStr">
        <is>
          <t>Cumartesi</t>
        </is>
      </c>
      <c r="F2515" s="4" t="inlineStr">
        <is>
          <t>17.10.2026</t>
        </is>
      </c>
      <c r="G2515" s="4" t="inlineStr">
        <is>
          <t>07:57</t>
        </is>
      </c>
      <c r="H2515" s="4" t="inlineStr">
        <is>
          <t>17.10.2026</t>
        </is>
      </c>
      <c r="I2515" s="4" t="inlineStr">
        <is>
          <t>17:49</t>
        </is>
      </c>
      <c r="J2515" s="8" t="n">
        <v>8.5</v>
      </c>
      <c r="K2515" s="8" t="n">
        <v>7.5</v>
      </c>
      <c r="L2515" s="8" t="n">
        <v>1</v>
      </c>
      <c r="M2515" s="29" t="inlineStr">
        <is>
          <t>BALIKESİR</t>
        </is>
      </c>
    </row>
    <row r="2516">
      <c r="A2516" s="4" t="n">
        <v>2515</v>
      </c>
      <c r="B2516" s="4" t="inlineStr">
        <is>
          <t>00514</t>
        </is>
      </c>
      <c r="C2516" s="4" t="inlineStr">
        <is>
          <t>00514</t>
        </is>
      </c>
      <c r="D2516" s="29" t="inlineStr">
        <is>
          <t>MUKATDES KARAMANOĞLU</t>
        </is>
      </c>
      <c r="E2516" s="4" t="inlineStr">
        <is>
          <t>Pazartesi</t>
        </is>
      </c>
      <c r="F2516" s="4" t="inlineStr">
        <is>
          <t>19.10.2026</t>
        </is>
      </c>
      <c r="G2516" s="4" t="inlineStr">
        <is>
          <t>07:50</t>
        </is>
      </c>
      <c r="H2516" s="4" t="inlineStr">
        <is>
          <t>19.10.2026</t>
        </is>
      </c>
      <c r="I2516" s="4" t="inlineStr">
        <is>
          <t>17:42</t>
        </is>
      </c>
      <c r="J2516" s="8" t="n">
        <v>8</v>
      </c>
      <c r="K2516" s="8" t="n">
        <v>7.5</v>
      </c>
      <c r="L2516" s="8" t="n">
        <v>0.5</v>
      </c>
      <c r="M2516" s="29" t="inlineStr">
        <is>
          <t>BALIKESİR</t>
        </is>
      </c>
    </row>
    <row r="2517">
      <c r="A2517" s="4" t="n">
        <v>2516</v>
      </c>
      <c r="B2517" s="4" t="inlineStr">
        <is>
          <t>00514</t>
        </is>
      </c>
      <c r="C2517" s="4" t="inlineStr">
        <is>
          <t>00514</t>
        </is>
      </c>
      <c r="D2517" s="29" t="inlineStr">
        <is>
          <t>MUKATDES KARAMANOĞLU</t>
        </is>
      </c>
      <c r="E2517" s="4" t="inlineStr">
        <is>
          <t>Salı</t>
        </is>
      </c>
      <c r="F2517" s="4" t="inlineStr">
        <is>
          <t>20.10.2026</t>
        </is>
      </c>
      <c r="G2517" s="4" t="inlineStr">
        <is>
          <t>07:49</t>
        </is>
      </c>
      <c r="H2517" s="4" t="inlineStr">
        <is>
          <t>20.10.2026</t>
        </is>
      </c>
      <c r="I2517" s="4" t="inlineStr">
        <is>
          <t>17:00</t>
        </is>
      </c>
      <c r="J2517" s="8" t="n">
        <v>7.5</v>
      </c>
      <c r="K2517" s="8" t="n">
        <v>7.5</v>
      </c>
      <c r="L2517" s="8" t="n">
        <v>0</v>
      </c>
      <c r="M2517" s="29" t="inlineStr">
        <is>
          <t>BALIKESİR</t>
        </is>
      </c>
    </row>
    <row r="2518">
      <c r="A2518" s="4" t="n">
        <v>2517</v>
      </c>
      <c r="B2518" s="4" t="inlineStr">
        <is>
          <t>00514</t>
        </is>
      </c>
      <c r="C2518" s="4" t="inlineStr">
        <is>
          <t>00514</t>
        </is>
      </c>
      <c r="D2518" s="29" t="inlineStr">
        <is>
          <t>MUKATDES KARAMANOĞLU</t>
        </is>
      </c>
      <c r="E2518" s="4" t="inlineStr">
        <is>
          <t>Çarşamba</t>
        </is>
      </c>
      <c r="F2518" s="4" t="inlineStr">
        <is>
          <t>21.10.2026</t>
        </is>
      </c>
      <c r="G2518" s="4" t="inlineStr">
        <is>
          <t>07:50</t>
        </is>
      </c>
      <c r="H2518" s="4" t="inlineStr">
        <is>
          <t>21.10.2026</t>
        </is>
      </c>
      <c r="I2518" s="4" t="inlineStr">
        <is>
          <t>17:00</t>
        </is>
      </c>
      <c r="J2518" s="8" t="n">
        <v>7.5</v>
      </c>
      <c r="K2518" s="8" t="n">
        <v>7.5</v>
      </c>
      <c r="L2518" s="8" t="n">
        <v>0</v>
      </c>
      <c r="M2518" s="29" t="inlineStr">
        <is>
          <t>BALIKESİR</t>
        </is>
      </c>
    </row>
    <row r="2519">
      <c r="A2519" s="4" t="n">
        <v>2518</v>
      </c>
      <c r="B2519" s="4" t="inlineStr">
        <is>
          <t>00572</t>
        </is>
      </c>
      <c r="C2519" s="4" t="inlineStr">
        <is>
          <t>00572</t>
        </is>
      </c>
      <c r="D2519" s="29" t="inlineStr">
        <is>
          <t>MURAT YONSUL</t>
        </is>
      </c>
      <c r="E2519" s="4" t="inlineStr">
        <is>
          <t>Perşembe</t>
        </is>
      </c>
      <c r="F2519" s="4" t="inlineStr">
        <is>
          <t>1.10.2026</t>
        </is>
      </c>
      <c r="G2519" s="4" t="inlineStr">
        <is>
          <t>07:46</t>
        </is>
      </c>
      <c r="H2519" s="4" t="inlineStr">
        <is>
          <t>1.10.2026</t>
        </is>
      </c>
      <c r="I2519" s="4" t="inlineStr">
        <is>
          <t>20:49</t>
        </is>
      </c>
      <c r="J2519" s="8" t="n">
        <v>11.5</v>
      </c>
      <c r="K2519" s="8" t="n">
        <v>7.5</v>
      </c>
      <c r="L2519" s="8" t="n">
        <v>4</v>
      </c>
      <c r="M2519" s="29" t="inlineStr">
        <is>
          <t>GÖBEL</t>
        </is>
      </c>
    </row>
    <row r="2520">
      <c r="A2520" s="4" t="n">
        <v>2519</v>
      </c>
      <c r="B2520" s="4" t="inlineStr">
        <is>
          <t>00572</t>
        </is>
      </c>
      <c r="C2520" s="4" t="inlineStr">
        <is>
          <t>00572</t>
        </is>
      </c>
      <c r="D2520" s="29" t="inlineStr">
        <is>
          <t>MURAT YONSUL</t>
        </is>
      </c>
      <c r="E2520" s="4" t="inlineStr">
        <is>
          <t>Cuma</t>
        </is>
      </c>
      <c r="F2520" s="4" t="inlineStr">
        <is>
          <t>2.10.2026</t>
        </is>
      </c>
      <c r="G2520" s="4" t="inlineStr">
        <is>
          <t>07:38</t>
        </is>
      </c>
      <c r="H2520" s="4" t="inlineStr">
        <is>
          <t>2.10.2026</t>
        </is>
      </c>
      <c r="I2520" s="4" t="inlineStr">
        <is>
          <t>-</t>
        </is>
      </c>
      <c r="J2520" s="8" t="n">
        <v>7.5</v>
      </c>
      <c r="K2520" s="8" t="n">
        <v>7.5</v>
      </c>
      <c r="L2520" s="8" t="n">
        <v>0</v>
      </c>
      <c r="M2520" s="29" t="inlineStr">
        <is>
          <t>GÖBEL</t>
        </is>
      </c>
    </row>
    <row r="2521">
      <c r="A2521" s="4" t="n">
        <v>2520</v>
      </c>
      <c r="B2521" s="4" t="inlineStr">
        <is>
          <t>00572</t>
        </is>
      </c>
      <c r="C2521" s="4" t="inlineStr">
        <is>
          <t>00572</t>
        </is>
      </c>
      <c r="D2521" s="29" t="inlineStr">
        <is>
          <t>MURAT YONSUL</t>
        </is>
      </c>
      <c r="E2521" s="4" t="inlineStr">
        <is>
          <t>Pazar</t>
        </is>
      </c>
      <c r="F2521" s="4" t="inlineStr">
        <is>
          <t>4.10.2026</t>
        </is>
      </c>
      <c r="G2521" s="4" t="inlineStr">
        <is>
          <t>-</t>
        </is>
      </c>
      <c r="H2521" s="4" t="inlineStr">
        <is>
          <t>4.10.2026</t>
        </is>
      </c>
      <c r="I2521" s="4" t="inlineStr">
        <is>
          <t>17:21</t>
        </is>
      </c>
      <c r="J2521" s="8" t="n">
        <v>8</v>
      </c>
      <c r="K2521" s="8" t="n">
        <v>7.5</v>
      </c>
      <c r="L2521" s="8" t="n">
        <v>0.5</v>
      </c>
      <c r="M2521" s="29" t="inlineStr">
        <is>
          <t>GÖBEL</t>
        </is>
      </c>
    </row>
    <row r="2522">
      <c r="A2522" s="4" t="n">
        <v>2521</v>
      </c>
      <c r="B2522" s="4" t="inlineStr">
        <is>
          <t>00572</t>
        </is>
      </c>
      <c r="C2522" s="4" t="inlineStr">
        <is>
          <t>00572</t>
        </is>
      </c>
      <c r="D2522" s="29" t="inlineStr">
        <is>
          <t>MURAT YONSUL</t>
        </is>
      </c>
      <c r="E2522" s="4" t="inlineStr">
        <is>
          <t>Pazartesi</t>
        </is>
      </c>
      <c r="F2522" s="4" t="inlineStr">
        <is>
          <t>5.10.2026</t>
        </is>
      </c>
      <c r="G2522" s="4" t="inlineStr">
        <is>
          <t>07:46</t>
        </is>
      </c>
      <c r="H2522" s="4" t="inlineStr">
        <is>
          <t>5.10.2026</t>
        </is>
      </c>
      <c r="I2522" s="4" t="inlineStr">
        <is>
          <t>20:27</t>
        </is>
      </c>
      <c r="J2522" s="8" t="n">
        <v>11</v>
      </c>
      <c r="K2522" s="8" t="n">
        <v>7.5</v>
      </c>
      <c r="L2522" s="8" t="n">
        <v>3.5</v>
      </c>
      <c r="M2522" s="29" t="inlineStr">
        <is>
          <t>GÖBEL</t>
        </is>
      </c>
    </row>
    <row r="2523">
      <c r="A2523" s="4" t="n">
        <v>2522</v>
      </c>
      <c r="B2523" s="4" t="inlineStr">
        <is>
          <t>00572</t>
        </is>
      </c>
      <c r="C2523" s="4" t="inlineStr">
        <is>
          <t>00572</t>
        </is>
      </c>
      <c r="D2523" s="29" t="inlineStr">
        <is>
          <t>MURAT YONSUL</t>
        </is>
      </c>
      <c r="E2523" s="4" t="inlineStr">
        <is>
          <t>Salı</t>
        </is>
      </c>
      <c r="F2523" s="4" t="inlineStr">
        <is>
          <t>6.10.2026</t>
        </is>
      </c>
      <c r="G2523" s="4" t="inlineStr">
        <is>
          <t>07:46</t>
        </is>
      </c>
      <c r="H2523" s="4" t="inlineStr">
        <is>
          <t>6.10.2026</t>
        </is>
      </c>
      <c r="I2523" s="4" t="inlineStr">
        <is>
          <t>00:52</t>
        </is>
      </c>
      <c r="J2523" s="8" t="n">
        <v>15.5</v>
      </c>
      <c r="K2523" s="8" t="n">
        <v>7.5</v>
      </c>
      <c r="L2523" s="8" t="n">
        <v>8</v>
      </c>
      <c r="M2523" s="29" t="inlineStr">
        <is>
          <t>GÖBEL</t>
        </is>
      </c>
    </row>
    <row r="2524">
      <c r="A2524" s="4" t="n">
        <v>2523</v>
      </c>
      <c r="B2524" s="4" t="inlineStr">
        <is>
          <t>00572</t>
        </is>
      </c>
      <c r="C2524" s="4" t="inlineStr">
        <is>
          <t>00572</t>
        </is>
      </c>
      <c r="D2524" s="29" t="inlineStr">
        <is>
          <t>MURAT YONSUL</t>
        </is>
      </c>
      <c r="E2524" s="4" t="inlineStr">
        <is>
          <t>Çarşamba</t>
        </is>
      </c>
      <c r="F2524" s="4" t="inlineStr">
        <is>
          <t>7.10.2026</t>
        </is>
      </c>
      <c r="G2524" s="4" t="inlineStr">
        <is>
          <t>07:51</t>
        </is>
      </c>
      <c r="H2524" s="4" t="inlineStr">
        <is>
          <t>7.10.2026</t>
        </is>
      </c>
      <c r="I2524" s="4" t="inlineStr">
        <is>
          <t>20:12</t>
        </is>
      </c>
      <c r="J2524" s="8" t="n">
        <v>10.5</v>
      </c>
      <c r="K2524" s="8" t="n">
        <v>7.5</v>
      </c>
      <c r="L2524" s="8" t="n">
        <v>3</v>
      </c>
      <c r="M2524" s="29" t="inlineStr">
        <is>
          <t>GÖBEL</t>
        </is>
      </c>
    </row>
    <row r="2525">
      <c r="A2525" s="4" t="n">
        <v>2524</v>
      </c>
      <c r="B2525" s="4" t="inlineStr">
        <is>
          <t>00572</t>
        </is>
      </c>
      <c r="C2525" s="4" t="inlineStr">
        <is>
          <t>00572</t>
        </is>
      </c>
      <c r="D2525" s="29" t="inlineStr">
        <is>
          <t>MURAT YONSUL</t>
        </is>
      </c>
      <c r="E2525" s="4" t="inlineStr">
        <is>
          <t>Perşembe</t>
        </is>
      </c>
      <c r="F2525" s="4" t="inlineStr">
        <is>
          <t>8.10.2026</t>
        </is>
      </c>
      <c r="G2525" s="4" t="inlineStr">
        <is>
          <t>07:33</t>
        </is>
      </c>
      <c r="H2525" s="4" t="inlineStr">
        <is>
          <t>8.10.2026</t>
        </is>
      </c>
      <c r="I2525" s="4" t="inlineStr">
        <is>
          <t>18:09</t>
        </is>
      </c>
      <c r="J2525" s="8" t="n">
        <v>8.5</v>
      </c>
      <c r="K2525" s="8" t="n">
        <v>7.5</v>
      </c>
      <c r="L2525" s="8" t="n">
        <v>1</v>
      </c>
      <c r="M2525" s="29" t="inlineStr">
        <is>
          <t>GÖBEL</t>
        </is>
      </c>
    </row>
    <row r="2526">
      <c r="A2526" s="4" t="n">
        <v>2525</v>
      </c>
      <c r="B2526" s="4" t="inlineStr">
        <is>
          <t>00572</t>
        </is>
      </c>
      <c r="C2526" s="4" t="inlineStr">
        <is>
          <t>00572</t>
        </is>
      </c>
      <c r="D2526" s="29" t="inlineStr">
        <is>
          <t>MURAT YONSUL</t>
        </is>
      </c>
      <c r="E2526" s="4" t="inlineStr">
        <is>
          <t>Cumartesi</t>
        </is>
      </c>
      <c r="F2526" s="4" t="inlineStr">
        <is>
          <t>10.10.2026</t>
        </is>
      </c>
      <c r="G2526" s="4" t="inlineStr">
        <is>
          <t>07:31</t>
        </is>
      </c>
      <c r="H2526" s="4" t="inlineStr">
        <is>
          <t>10.10.2026</t>
        </is>
      </c>
      <c r="I2526" s="4" t="inlineStr">
        <is>
          <t>00:08</t>
        </is>
      </c>
      <c r="J2526" s="8" t="n">
        <v>14.5</v>
      </c>
      <c r="K2526" s="8" t="n">
        <v>7.5</v>
      </c>
      <c r="L2526" s="8" t="n">
        <v>7</v>
      </c>
      <c r="M2526" s="29" t="inlineStr">
        <is>
          <t>GÖBEL</t>
        </is>
      </c>
    </row>
    <row r="2527">
      <c r="A2527" s="4" t="n">
        <v>2526</v>
      </c>
      <c r="B2527" s="4" t="inlineStr">
        <is>
          <t>00572</t>
        </is>
      </c>
      <c r="C2527" s="4" t="inlineStr">
        <is>
          <t>00572</t>
        </is>
      </c>
      <c r="D2527" s="29" t="inlineStr">
        <is>
          <t>MURAT YONSUL</t>
        </is>
      </c>
      <c r="E2527" s="4" t="inlineStr">
        <is>
          <t>Pazar</t>
        </is>
      </c>
      <c r="F2527" s="4" t="inlineStr">
        <is>
          <t>11.10.2026</t>
        </is>
      </c>
      <c r="G2527" s="4" t="inlineStr">
        <is>
          <t>07:50</t>
        </is>
      </c>
      <c r="H2527" s="4" t="inlineStr">
        <is>
          <t>11.10.2026</t>
        </is>
      </c>
      <c r="I2527" s="4" t="inlineStr">
        <is>
          <t>01:36</t>
        </is>
      </c>
      <c r="J2527" s="8" t="n">
        <v>7.5</v>
      </c>
      <c r="K2527" s="8" t="n">
        <v>7.5</v>
      </c>
      <c r="L2527" s="8" t="n">
        <v>0</v>
      </c>
      <c r="M2527" s="29" t="inlineStr">
        <is>
          <t>GÖBEL</t>
        </is>
      </c>
    </row>
    <row r="2528">
      <c r="A2528" s="4" t="n">
        <v>2527</v>
      </c>
      <c r="B2528" s="4" t="inlineStr">
        <is>
          <t>00572</t>
        </is>
      </c>
      <c r="C2528" s="4" t="inlineStr">
        <is>
          <t>00572</t>
        </is>
      </c>
      <c r="D2528" s="29" t="inlineStr">
        <is>
          <t>MURAT YONSUL</t>
        </is>
      </c>
      <c r="E2528" s="4" t="inlineStr">
        <is>
          <t>Pazartesi</t>
        </is>
      </c>
      <c r="F2528" s="4" t="inlineStr">
        <is>
          <t>12.10.2026</t>
        </is>
      </c>
      <c r="G2528" s="4" t="inlineStr">
        <is>
          <t>07:46</t>
        </is>
      </c>
      <c r="H2528" s="4" t="inlineStr">
        <is>
          <t>12.10.2026</t>
        </is>
      </c>
      <c r="I2528" s="4" t="inlineStr">
        <is>
          <t>-</t>
        </is>
      </c>
      <c r="J2528" s="8" t="n">
        <v>7.5</v>
      </c>
      <c r="K2528" s="8" t="n">
        <v>7.5</v>
      </c>
      <c r="L2528" s="8" t="n">
        <v>0</v>
      </c>
      <c r="M2528" s="29" t="inlineStr">
        <is>
          <t>GÖBEL</t>
        </is>
      </c>
    </row>
    <row r="2529">
      <c r="A2529" s="4" t="n">
        <v>2528</v>
      </c>
      <c r="B2529" s="4" t="inlineStr">
        <is>
          <t>00572</t>
        </is>
      </c>
      <c r="C2529" s="4" t="inlineStr">
        <is>
          <t>00572</t>
        </is>
      </c>
      <c r="D2529" s="29" t="inlineStr">
        <is>
          <t>MURAT YONSUL</t>
        </is>
      </c>
      <c r="E2529" s="4" t="inlineStr">
        <is>
          <t>Salı</t>
        </is>
      </c>
      <c r="F2529" s="4" t="inlineStr">
        <is>
          <t>13.10.2026</t>
        </is>
      </c>
      <c r="G2529" s="4" t="inlineStr">
        <is>
          <t>08:06</t>
        </is>
      </c>
      <c r="H2529" s="4" t="inlineStr">
        <is>
          <t>13.10.2026</t>
        </is>
      </c>
      <c r="I2529" s="4" t="inlineStr">
        <is>
          <t>19:57</t>
        </is>
      </c>
      <c r="J2529" s="8" t="n">
        <v>10.5</v>
      </c>
      <c r="K2529" s="8" t="n">
        <v>7.5</v>
      </c>
      <c r="L2529" s="8" t="n">
        <v>3</v>
      </c>
      <c r="M2529" s="29" t="inlineStr">
        <is>
          <t>GÖBEL</t>
        </is>
      </c>
    </row>
    <row r="2530">
      <c r="A2530" s="4" t="n">
        <v>2529</v>
      </c>
      <c r="B2530" s="4" t="inlineStr">
        <is>
          <t>00572</t>
        </is>
      </c>
      <c r="C2530" s="4" t="inlineStr">
        <is>
          <t>00572</t>
        </is>
      </c>
      <c r="D2530" s="29" t="inlineStr">
        <is>
          <t>MURAT YONSUL</t>
        </is>
      </c>
      <c r="E2530" s="4" t="inlineStr">
        <is>
          <t>Çarşamba</t>
        </is>
      </c>
      <c r="F2530" s="4" t="inlineStr">
        <is>
          <t>14.10.2026</t>
        </is>
      </c>
      <c r="G2530" s="4" t="inlineStr">
        <is>
          <t>07:40</t>
        </is>
      </c>
      <c r="H2530" s="4" t="inlineStr">
        <is>
          <t>14.10.2026</t>
        </is>
      </c>
      <c r="I2530" s="4" t="inlineStr">
        <is>
          <t>-</t>
        </is>
      </c>
      <c r="J2530" s="8" t="n">
        <v>7.5</v>
      </c>
      <c r="K2530" s="8" t="n">
        <v>7.5</v>
      </c>
      <c r="L2530" s="8" t="n">
        <v>0</v>
      </c>
      <c r="M2530" s="29" t="inlineStr">
        <is>
          <t>GÖBEL</t>
        </is>
      </c>
    </row>
    <row r="2531">
      <c r="A2531" s="4" t="n">
        <v>2530</v>
      </c>
      <c r="B2531" s="4" t="inlineStr">
        <is>
          <t>00572</t>
        </is>
      </c>
      <c r="C2531" s="4" t="inlineStr">
        <is>
          <t>00572</t>
        </is>
      </c>
      <c r="D2531" s="29" t="inlineStr">
        <is>
          <t>MURAT YONSUL</t>
        </is>
      </c>
      <c r="E2531" s="4" t="inlineStr">
        <is>
          <t>Perşembe</t>
        </is>
      </c>
      <c r="F2531" s="4" t="inlineStr">
        <is>
          <t>15.10.2026</t>
        </is>
      </c>
      <c r="G2531" s="4" t="inlineStr">
        <is>
          <t>07:50</t>
        </is>
      </c>
      <c r="H2531" s="4" t="inlineStr">
        <is>
          <t>15.10.2026</t>
        </is>
      </c>
      <c r="I2531" s="4" t="inlineStr">
        <is>
          <t>-</t>
        </is>
      </c>
      <c r="J2531" s="8" t="n">
        <v>7.5</v>
      </c>
      <c r="K2531" s="8" t="n">
        <v>7.5</v>
      </c>
      <c r="L2531" s="8" t="n">
        <v>0</v>
      </c>
      <c r="M2531" s="29" t="inlineStr">
        <is>
          <t>GÖBEL</t>
        </is>
      </c>
    </row>
    <row r="2532">
      <c r="A2532" s="4" t="n">
        <v>2531</v>
      </c>
      <c r="B2532" s="4" t="inlineStr">
        <is>
          <t>00572</t>
        </is>
      </c>
      <c r="C2532" s="4" t="inlineStr">
        <is>
          <t>00572</t>
        </is>
      </c>
      <c r="D2532" s="29" t="inlineStr">
        <is>
          <t>MURAT YONSUL</t>
        </is>
      </c>
      <c r="E2532" s="4" t="inlineStr">
        <is>
          <t>Cuma</t>
        </is>
      </c>
      <c r="F2532" s="4" t="inlineStr">
        <is>
          <t>16.10.2026</t>
        </is>
      </c>
      <c r="G2532" s="4" t="inlineStr">
        <is>
          <t>07:59</t>
        </is>
      </c>
      <c r="H2532" s="4" t="inlineStr">
        <is>
          <t>16.10.2026</t>
        </is>
      </c>
      <c r="I2532" s="4" t="inlineStr">
        <is>
          <t>18:35</t>
        </is>
      </c>
      <c r="J2532" s="8" t="n">
        <v>9</v>
      </c>
      <c r="K2532" s="8" t="n">
        <v>7.5</v>
      </c>
      <c r="L2532" s="8" t="n">
        <v>1.5</v>
      </c>
      <c r="M2532" s="29" t="inlineStr">
        <is>
          <t>GÖBEL</t>
        </is>
      </c>
    </row>
    <row r="2533">
      <c r="A2533" s="4" t="n">
        <v>2532</v>
      </c>
      <c r="B2533" s="4" t="inlineStr">
        <is>
          <t>00572</t>
        </is>
      </c>
      <c r="C2533" s="4" t="inlineStr">
        <is>
          <t>00572</t>
        </is>
      </c>
      <c r="D2533" s="29" t="inlineStr">
        <is>
          <t>MURAT YONSUL</t>
        </is>
      </c>
      <c r="E2533" s="4" t="inlineStr">
        <is>
          <t>Cumartesi</t>
        </is>
      </c>
      <c r="F2533" s="4" t="inlineStr">
        <is>
          <t>17.10.2026</t>
        </is>
      </c>
      <c r="G2533" s="4" t="inlineStr">
        <is>
          <t>07:46</t>
        </is>
      </c>
      <c r="H2533" s="4" t="inlineStr">
        <is>
          <t>17.10.2026</t>
        </is>
      </c>
      <c r="I2533" s="4" t="inlineStr">
        <is>
          <t>-</t>
        </is>
      </c>
      <c r="J2533" s="8" t="n">
        <v>7.5</v>
      </c>
      <c r="K2533" s="8" t="n">
        <v>7.5</v>
      </c>
      <c r="L2533" s="8" t="n">
        <v>0</v>
      </c>
      <c r="M2533" s="29" t="inlineStr">
        <is>
          <t>GÖBEL</t>
        </is>
      </c>
    </row>
    <row r="2534">
      <c r="A2534" s="4" t="n">
        <v>2533</v>
      </c>
      <c r="B2534" s="4" t="inlineStr">
        <is>
          <t>00572</t>
        </is>
      </c>
      <c r="C2534" s="4" t="inlineStr">
        <is>
          <t>00572</t>
        </is>
      </c>
      <c r="D2534" s="29" t="inlineStr">
        <is>
          <t>MURAT YONSUL</t>
        </is>
      </c>
      <c r="E2534" s="4" t="inlineStr">
        <is>
          <t>Pazar</t>
        </is>
      </c>
      <c r="F2534" s="4" t="inlineStr">
        <is>
          <t>18.10.2026</t>
        </is>
      </c>
      <c r="G2534" s="4" t="inlineStr">
        <is>
          <t>09:52</t>
        </is>
      </c>
      <c r="H2534" s="4" t="inlineStr">
        <is>
          <t>18.10.2026</t>
        </is>
      </c>
      <c r="I2534" s="4" t="inlineStr">
        <is>
          <t>-</t>
        </is>
      </c>
      <c r="J2534" s="8" t="n">
        <v>7.5</v>
      </c>
      <c r="K2534" s="8" t="n">
        <v>7.5</v>
      </c>
      <c r="L2534" s="8" t="n">
        <v>0</v>
      </c>
      <c r="M2534" s="29" t="inlineStr">
        <is>
          <t>GÖBEL</t>
        </is>
      </c>
    </row>
    <row r="2535">
      <c r="A2535" s="4" t="n">
        <v>2534</v>
      </c>
      <c r="B2535" s="4" t="inlineStr">
        <is>
          <t>00572</t>
        </is>
      </c>
      <c r="C2535" s="4" t="inlineStr">
        <is>
          <t>00572</t>
        </is>
      </c>
      <c r="D2535" s="29" t="inlineStr">
        <is>
          <t>MURAT YONSUL</t>
        </is>
      </c>
      <c r="E2535" s="4" t="inlineStr">
        <is>
          <t>Pazartesi</t>
        </is>
      </c>
      <c r="F2535" s="4" t="inlineStr">
        <is>
          <t>19.10.2026</t>
        </is>
      </c>
      <c r="G2535" s="4" t="inlineStr">
        <is>
          <t>07:53</t>
        </is>
      </c>
      <c r="H2535" s="4" t="inlineStr">
        <is>
          <t>19.10.2026</t>
        </is>
      </c>
      <c r="I2535" s="4" t="inlineStr">
        <is>
          <t>-</t>
        </is>
      </c>
      <c r="J2535" s="8" t="n">
        <v>7.5</v>
      </c>
      <c r="K2535" s="8" t="n">
        <v>7.5</v>
      </c>
      <c r="L2535" s="8" t="n">
        <v>0</v>
      </c>
      <c r="M2535" s="29" t="inlineStr">
        <is>
          <t>GÖBEL</t>
        </is>
      </c>
    </row>
    <row r="2536">
      <c r="A2536" s="4" t="n">
        <v>2535</v>
      </c>
      <c r="B2536" s="4" t="inlineStr">
        <is>
          <t>00572</t>
        </is>
      </c>
      <c r="C2536" s="4" t="inlineStr">
        <is>
          <t>00572</t>
        </is>
      </c>
      <c r="D2536" s="29" t="inlineStr">
        <is>
          <t>MURAT YONSUL</t>
        </is>
      </c>
      <c r="E2536" s="4" t="inlineStr">
        <is>
          <t>Salı</t>
        </is>
      </c>
      <c r="F2536" s="4" t="inlineStr">
        <is>
          <t>20.10.2026</t>
        </is>
      </c>
      <c r="G2536" s="4" t="inlineStr">
        <is>
          <t>07:47</t>
        </is>
      </c>
      <c r="H2536" s="4" t="inlineStr">
        <is>
          <t>20.10.2026</t>
        </is>
      </c>
      <c r="I2536" s="4" t="inlineStr">
        <is>
          <t>19:55</t>
        </is>
      </c>
      <c r="J2536" s="8" t="n">
        <v>10.5</v>
      </c>
      <c r="K2536" s="8" t="n">
        <v>7.5</v>
      </c>
      <c r="L2536" s="8" t="n">
        <v>3</v>
      </c>
      <c r="M2536" s="29" t="inlineStr">
        <is>
          <t>GÖBEL</t>
        </is>
      </c>
    </row>
    <row r="2537">
      <c r="A2537" s="4" t="n">
        <v>2536</v>
      </c>
      <c r="B2537" s="4" t="inlineStr">
        <is>
          <t>00572</t>
        </is>
      </c>
      <c r="C2537" s="4" t="inlineStr">
        <is>
          <t>00572</t>
        </is>
      </c>
      <c r="D2537" s="29" t="inlineStr">
        <is>
          <t>MURAT YONSUL</t>
        </is>
      </c>
      <c r="E2537" s="4" t="inlineStr">
        <is>
          <t>Çarşamba</t>
        </is>
      </c>
      <c r="F2537" s="4" t="inlineStr">
        <is>
          <t>21.10.2026</t>
        </is>
      </c>
      <c r="G2537" s="4" t="inlineStr">
        <is>
          <t>07:44</t>
        </is>
      </c>
      <c r="H2537" s="4" t="inlineStr">
        <is>
          <t>21.10.2026</t>
        </is>
      </c>
      <c r="I2537" s="4" t="inlineStr">
        <is>
          <t>-</t>
        </is>
      </c>
      <c r="J2537" s="8" t="n">
        <v>7.5</v>
      </c>
      <c r="K2537" s="8" t="n">
        <v>7.5</v>
      </c>
      <c r="L2537" s="8" t="n">
        <v>0</v>
      </c>
      <c r="M2537" s="29" t="inlineStr">
        <is>
          <t>GÖBEL</t>
        </is>
      </c>
    </row>
    <row r="2538">
      <c r="A2538" s="4" t="n">
        <v>2537</v>
      </c>
      <c r="B2538" s="4" t="inlineStr">
        <is>
          <t>00118</t>
        </is>
      </c>
      <c r="C2538" s="4" t="inlineStr">
        <is>
          <t>00118</t>
        </is>
      </c>
      <c r="D2538" s="29" t="inlineStr">
        <is>
          <t>MUSTAFA KAYA</t>
        </is>
      </c>
      <c r="E2538" s="4" t="inlineStr">
        <is>
          <t>Perşembe</t>
        </is>
      </c>
      <c r="F2538" s="4" t="inlineStr">
        <is>
          <t>1.10.2026</t>
        </is>
      </c>
      <c r="G2538" s="4" t="inlineStr">
        <is>
          <t>07:41</t>
        </is>
      </c>
      <c r="H2538" s="4" t="inlineStr">
        <is>
          <t>1.10.2026</t>
        </is>
      </c>
      <c r="I2538" s="4" t="inlineStr">
        <is>
          <t>17:34</t>
        </is>
      </c>
      <c r="J2538" s="8" t="n">
        <v>8</v>
      </c>
      <c r="K2538" s="8" t="n">
        <v>7.5</v>
      </c>
      <c r="L2538" s="8" t="n">
        <v>0.5</v>
      </c>
      <c r="M2538" s="29" t="inlineStr">
        <is>
          <t>MKP</t>
        </is>
      </c>
    </row>
    <row r="2539">
      <c r="A2539" s="4" t="n">
        <v>2538</v>
      </c>
      <c r="B2539" s="4" t="inlineStr">
        <is>
          <t>00118</t>
        </is>
      </c>
      <c r="C2539" s="4" t="inlineStr">
        <is>
          <t>00118</t>
        </is>
      </c>
      <c r="D2539" s="29" t="inlineStr">
        <is>
          <t>MUSTAFA KAYA</t>
        </is>
      </c>
      <c r="E2539" s="4" t="inlineStr">
        <is>
          <t>Cuma</t>
        </is>
      </c>
      <c r="F2539" s="4" t="inlineStr">
        <is>
          <t>2.10.2026</t>
        </is>
      </c>
      <c r="G2539" s="4" t="inlineStr">
        <is>
          <t>07:46</t>
        </is>
      </c>
      <c r="H2539" s="4" t="inlineStr">
        <is>
          <t>2.10.2026</t>
        </is>
      </c>
      <c r="I2539" s="4" t="inlineStr">
        <is>
          <t>17:49</t>
        </is>
      </c>
      <c r="J2539" s="8" t="n">
        <v>8.5</v>
      </c>
      <c r="K2539" s="8" t="n">
        <v>7.5</v>
      </c>
      <c r="L2539" s="8" t="n">
        <v>1</v>
      </c>
      <c r="M2539" s="29" t="inlineStr">
        <is>
          <t>MKP</t>
        </is>
      </c>
    </row>
    <row r="2540">
      <c r="A2540" s="4" t="n">
        <v>2539</v>
      </c>
      <c r="B2540" s="4" t="inlineStr">
        <is>
          <t>00118</t>
        </is>
      </c>
      <c r="C2540" s="4" t="inlineStr">
        <is>
          <t>00118</t>
        </is>
      </c>
      <c r="D2540" s="29" t="inlineStr">
        <is>
          <t>MUSTAFA KAYA</t>
        </is>
      </c>
      <c r="E2540" s="4" t="inlineStr">
        <is>
          <t>Cumartesi</t>
        </is>
      </c>
      <c r="F2540" s="4" t="inlineStr">
        <is>
          <t>3.10.2026</t>
        </is>
      </c>
      <c r="G2540" s="4" t="inlineStr">
        <is>
          <t>07:43</t>
        </is>
      </c>
      <c r="H2540" s="4" t="inlineStr">
        <is>
          <t>3.10.2026</t>
        </is>
      </c>
      <c r="I2540" s="4" t="inlineStr">
        <is>
          <t>17:42</t>
        </is>
      </c>
      <c r="J2540" s="8" t="n">
        <v>8</v>
      </c>
      <c r="K2540" s="8" t="n">
        <v>7.5</v>
      </c>
      <c r="L2540" s="8" t="n">
        <v>0.5</v>
      </c>
      <c r="M2540" s="29" t="inlineStr">
        <is>
          <t>MKP</t>
        </is>
      </c>
    </row>
    <row r="2541">
      <c r="A2541" s="4" t="n">
        <v>2540</v>
      </c>
      <c r="B2541" s="4" t="inlineStr">
        <is>
          <t>00118</t>
        </is>
      </c>
      <c r="C2541" s="4" t="inlineStr">
        <is>
          <t>00118</t>
        </is>
      </c>
      <c r="D2541" s="29" t="inlineStr">
        <is>
          <t>MUSTAFA KAYA</t>
        </is>
      </c>
      <c r="E2541" s="4" t="inlineStr">
        <is>
          <t>Pazartesi</t>
        </is>
      </c>
      <c r="F2541" s="4" t="inlineStr">
        <is>
          <t>5.10.2026</t>
        </is>
      </c>
      <c r="G2541" s="4" t="inlineStr">
        <is>
          <t>07:50</t>
        </is>
      </c>
      <c r="H2541" s="4" t="inlineStr">
        <is>
          <t>5.10.2026</t>
        </is>
      </c>
      <c r="I2541" s="4" t="inlineStr">
        <is>
          <t>19:53</t>
        </is>
      </c>
      <c r="J2541" s="8" t="n">
        <v>10.5</v>
      </c>
      <c r="K2541" s="8" t="n">
        <v>7.5</v>
      </c>
      <c r="L2541" s="8" t="n">
        <v>3</v>
      </c>
      <c r="M2541" s="29" t="inlineStr">
        <is>
          <t>MKP</t>
        </is>
      </c>
    </row>
    <row r="2542">
      <c r="A2542" s="4" t="n">
        <v>2541</v>
      </c>
      <c r="B2542" s="4" t="inlineStr">
        <is>
          <t>00118</t>
        </is>
      </c>
      <c r="C2542" s="4" t="inlineStr">
        <is>
          <t>00118</t>
        </is>
      </c>
      <c r="D2542" s="29" t="inlineStr">
        <is>
          <t>MUSTAFA KAYA</t>
        </is>
      </c>
      <c r="E2542" s="4" t="inlineStr">
        <is>
          <t>Salı</t>
        </is>
      </c>
      <c r="F2542" s="4" t="inlineStr">
        <is>
          <t>6.10.2026</t>
        </is>
      </c>
      <c r="G2542" s="4" t="inlineStr">
        <is>
          <t>07:47</t>
        </is>
      </c>
      <c r="H2542" s="4" t="inlineStr">
        <is>
          <t>6.10.2026</t>
        </is>
      </c>
      <c r="I2542" s="4" t="inlineStr">
        <is>
          <t>20:03</t>
        </is>
      </c>
      <c r="J2542" s="8" t="n">
        <v>10.5</v>
      </c>
      <c r="K2542" s="8" t="n">
        <v>7.5</v>
      </c>
      <c r="L2542" s="8" t="n">
        <v>3</v>
      </c>
      <c r="M2542" s="29" t="inlineStr">
        <is>
          <t>MKP</t>
        </is>
      </c>
    </row>
    <row r="2543">
      <c r="A2543" s="4" t="n">
        <v>2542</v>
      </c>
      <c r="B2543" s="4" t="inlineStr">
        <is>
          <t>00118</t>
        </is>
      </c>
      <c r="C2543" s="4" t="inlineStr">
        <is>
          <t>00118</t>
        </is>
      </c>
      <c r="D2543" s="29" t="inlineStr">
        <is>
          <t>MUSTAFA KAYA</t>
        </is>
      </c>
      <c r="E2543" s="4" t="inlineStr">
        <is>
          <t>Çarşamba</t>
        </is>
      </c>
      <c r="F2543" s="4" t="inlineStr">
        <is>
          <t>7.10.2026</t>
        </is>
      </c>
      <c r="G2543" s="4" t="inlineStr">
        <is>
          <t>07:46</t>
        </is>
      </c>
      <c r="H2543" s="4" t="inlineStr">
        <is>
          <t>7.10.2026</t>
        </is>
      </c>
      <c r="I2543" s="4" t="inlineStr">
        <is>
          <t>20:03</t>
        </is>
      </c>
      <c r="J2543" s="8" t="n">
        <v>10.5</v>
      </c>
      <c r="K2543" s="8" t="n">
        <v>7.5</v>
      </c>
      <c r="L2543" s="8" t="n">
        <v>3</v>
      </c>
      <c r="M2543" s="29" t="inlineStr">
        <is>
          <t>MKP</t>
        </is>
      </c>
    </row>
    <row r="2544">
      <c r="A2544" s="4" t="n">
        <v>2543</v>
      </c>
      <c r="B2544" s="4" t="inlineStr">
        <is>
          <t>00118</t>
        </is>
      </c>
      <c r="C2544" s="4" t="inlineStr">
        <is>
          <t>00118</t>
        </is>
      </c>
      <c r="D2544" s="29" t="inlineStr">
        <is>
          <t>MUSTAFA KAYA</t>
        </is>
      </c>
      <c r="E2544" s="4" t="inlineStr">
        <is>
          <t>Perşembe</t>
        </is>
      </c>
      <c r="F2544" s="4" t="inlineStr">
        <is>
          <t>8.10.2026</t>
        </is>
      </c>
      <c r="G2544" s="4" t="inlineStr">
        <is>
          <t>07:53</t>
        </is>
      </c>
      <c r="H2544" s="4" t="inlineStr">
        <is>
          <t>8.10.2026</t>
        </is>
      </c>
      <c r="I2544" s="4" t="inlineStr">
        <is>
          <t>20:07</t>
        </is>
      </c>
      <c r="J2544" s="8" t="n">
        <v>10.5</v>
      </c>
      <c r="K2544" s="8" t="n">
        <v>7.5</v>
      </c>
      <c r="L2544" s="8" t="n">
        <v>3</v>
      </c>
      <c r="M2544" s="29" t="inlineStr">
        <is>
          <t>MKP</t>
        </is>
      </c>
    </row>
    <row r="2545">
      <c r="A2545" s="4" t="n">
        <v>2544</v>
      </c>
      <c r="B2545" s="4" t="inlineStr">
        <is>
          <t>00118</t>
        </is>
      </c>
      <c r="C2545" s="4" t="inlineStr">
        <is>
          <t>00118</t>
        </is>
      </c>
      <c r="D2545" s="29" t="inlineStr">
        <is>
          <t>MUSTAFA KAYA</t>
        </is>
      </c>
      <c r="E2545" s="4" t="inlineStr">
        <is>
          <t>Cuma</t>
        </is>
      </c>
      <c r="F2545" s="4" t="inlineStr">
        <is>
          <t>9.10.2026</t>
        </is>
      </c>
      <c r="G2545" s="4" t="inlineStr">
        <is>
          <t>07:50</t>
        </is>
      </c>
      <c r="H2545" s="4" t="inlineStr">
        <is>
          <t>9.10.2026</t>
        </is>
      </c>
      <c r="I2545" s="4" t="inlineStr">
        <is>
          <t>19:56</t>
        </is>
      </c>
      <c r="J2545" s="8" t="n">
        <v>10.5</v>
      </c>
      <c r="K2545" s="8" t="n">
        <v>7.5</v>
      </c>
      <c r="L2545" s="8" t="n">
        <v>3</v>
      </c>
      <c r="M2545" s="29" t="inlineStr">
        <is>
          <t>MKP</t>
        </is>
      </c>
    </row>
    <row r="2546">
      <c r="A2546" s="4" t="n">
        <v>2545</v>
      </c>
      <c r="B2546" s="4" t="inlineStr">
        <is>
          <t>00118</t>
        </is>
      </c>
      <c r="C2546" s="4" t="inlineStr">
        <is>
          <t>00118</t>
        </is>
      </c>
      <c r="D2546" s="29" t="inlineStr">
        <is>
          <t>MUSTAFA KAYA</t>
        </is>
      </c>
      <c r="E2546" s="4" t="inlineStr">
        <is>
          <t>Cumartesi</t>
        </is>
      </c>
      <c r="F2546" s="4" t="inlineStr">
        <is>
          <t>10.10.2026</t>
        </is>
      </c>
      <c r="G2546" s="4" t="inlineStr">
        <is>
          <t>07:45</t>
        </is>
      </c>
      <c r="H2546" s="4" t="inlineStr">
        <is>
          <t>10.10.2026</t>
        </is>
      </c>
      <c r="I2546" s="4" t="inlineStr">
        <is>
          <t>19:48</t>
        </is>
      </c>
      <c r="J2546" s="8" t="n">
        <v>10.5</v>
      </c>
      <c r="K2546" s="8" t="n">
        <v>7.5</v>
      </c>
      <c r="L2546" s="8" t="n">
        <v>3</v>
      </c>
      <c r="M2546" s="29" t="inlineStr">
        <is>
          <t>MKP</t>
        </is>
      </c>
    </row>
    <row r="2547">
      <c r="A2547" s="4" t="n">
        <v>2546</v>
      </c>
      <c r="B2547" s="4" t="inlineStr">
        <is>
          <t>00118</t>
        </is>
      </c>
      <c r="C2547" s="4" t="inlineStr">
        <is>
          <t>00118</t>
        </is>
      </c>
      <c r="D2547" s="29" t="inlineStr">
        <is>
          <t>MUSTAFA KAYA</t>
        </is>
      </c>
      <c r="E2547" s="4" t="inlineStr">
        <is>
          <t>Pazar</t>
        </is>
      </c>
      <c r="F2547" s="4" t="inlineStr">
        <is>
          <t>11.10.2026</t>
        </is>
      </c>
      <c r="G2547" s="4" t="inlineStr">
        <is>
          <t>08:54</t>
        </is>
      </c>
      <c r="H2547" s="4" t="inlineStr">
        <is>
          <t>11.10.2026</t>
        </is>
      </c>
      <c r="I2547" s="4" t="inlineStr">
        <is>
          <t>-</t>
        </is>
      </c>
      <c r="J2547" s="8" t="n">
        <v>7.5</v>
      </c>
      <c r="K2547" s="8" t="n">
        <v>7.5</v>
      </c>
      <c r="L2547" s="8" t="n">
        <v>0</v>
      </c>
      <c r="M2547" s="29" t="inlineStr">
        <is>
          <t>MKP</t>
        </is>
      </c>
    </row>
    <row r="2548">
      <c r="A2548" s="4" t="n">
        <v>2547</v>
      </c>
      <c r="B2548" s="4" t="inlineStr">
        <is>
          <t>00118</t>
        </is>
      </c>
      <c r="C2548" s="4" t="inlineStr">
        <is>
          <t>00118</t>
        </is>
      </c>
      <c r="D2548" s="29" t="inlineStr">
        <is>
          <t>MUSTAFA KAYA</t>
        </is>
      </c>
      <c r="E2548" s="4" t="inlineStr">
        <is>
          <t>Pazartesi</t>
        </is>
      </c>
      <c r="F2548" s="4" t="inlineStr">
        <is>
          <t>12.10.2026</t>
        </is>
      </c>
      <c r="G2548" s="4" t="inlineStr">
        <is>
          <t>07:46</t>
        </is>
      </c>
      <c r="H2548" s="4" t="inlineStr">
        <is>
          <t>12.10.2026</t>
        </is>
      </c>
      <c r="I2548" s="4" t="inlineStr">
        <is>
          <t>19:55</t>
        </is>
      </c>
      <c r="J2548" s="8" t="n">
        <v>10.5</v>
      </c>
      <c r="K2548" s="8" t="n">
        <v>7.5</v>
      </c>
      <c r="L2548" s="8" t="n">
        <v>3</v>
      </c>
      <c r="M2548" s="29" t="inlineStr">
        <is>
          <t>MKP</t>
        </is>
      </c>
    </row>
    <row r="2549">
      <c r="A2549" s="4" t="n">
        <v>2548</v>
      </c>
      <c r="B2549" s="4" t="inlineStr">
        <is>
          <t>00118</t>
        </is>
      </c>
      <c r="C2549" s="4" t="inlineStr">
        <is>
          <t>00118</t>
        </is>
      </c>
      <c r="D2549" s="29" t="inlineStr">
        <is>
          <t>MUSTAFA KAYA</t>
        </is>
      </c>
      <c r="E2549" s="4" t="inlineStr">
        <is>
          <t>Salı</t>
        </is>
      </c>
      <c r="F2549" s="4" t="inlineStr">
        <is>
          <t>13.10.2026</t>
        </is>
      </c>
      <c r="G2549" s="4" t="inlineStr">
        <is>
          <t>07:48</t>
        </is>
      </c>
      <c r="H2549" s="4" t="inlineStr">
        <is>
          <t>13.10.2026</t>
        </is>
      </c>
      <c r="I2549" s="4" t="inlineStr">
        <is>
          <t>19:59</t>
        </is>
      </c>
      <c r="J2549" s="8" t="n">
        <v>10.5</v>
      </c>
      <c r="K2549" s="8" t="n">
        <v>7.5</v>
      </c>
      <c r="L2549" s="8" t="n">
        <v>3</v>
      </c>
      <c r="M2549" s="29" t="inlineStr">
        <is>
          <t>MKP</t>
        </is>
      </c>
    </row>
    <row r="2550">
      <c r="A2550" s="4" t="n">
        <v>2549</v>
      </c>
      <c r="B2550" s="4" t="inlineStr">
        <is>
          <t>00118</t>
        </is>
      </c>
      <c r="C2550" s="4" t="inlineStr">
        <is>
          <t>00118</t>
        </is>
      </c>
      <c r="D2550" s="29" t="inlineStr">
        <is>
          <t>MUSTAFA KAYA</t>
        </is>
      </c>
      <c r="E2550" s="4" t="inlineStr">
        <is>
          <t>Çarşamba</t>
        </is>
      </c>
      <c r="F2550" s="4" t="inlineStr">
        <is>
          <t>14.10.2026</t>
        </is>
      </c>
      <c r="G2550" s="4" t="inlineStr">
        <is>
          <t>07:58</t>
        </is>
      </c>
      <c r="H2550" s="4" t="inlineStr">
        <is>
          <t>14.10.2026</t>
        </is>
      </c>
      <c r="I2550" s="4" t="inlineStr">
        <is>
          <t>20:10</t>
        </is>
      </c>
      <c r="J2550" s="8" t="n">
        <v>10.5</v>
      </c>
      <c r="K2550" s="8" t="n">
        <v>7.5</v>
      </c>
      <c r="L2550" s="8" t="n">
        <v>3</v>
      </c>
      <c r="M2550" s="29" t="inlineStr">
        <is>
          <t>MKP</t>
        </is>
      </c>
    </row>
    <row r="2551">
      <c r="A2551" s="4" t="n">
        <v>2550</v>
      </c>
      <c r="B2551" s="4" t="inlineStr">
        <is>
          <t>00118</t>
        </is>
      </c>
      <c r="C2551" s="4" t="inlineStr">
        <is>
          <t>00118</t>
        </is>
      </c>
      <c r="D2551" s="29" t="inlineStr">
        <is>
          <t>MUSTAFA KAYA</t>
        </is>
      </c>
      <c r="E2551" s="4" t="inlineStr">
        <is>
          <t>Perşembe</t>
        </is>
      </c>
      <c r="F2551" s="4" t="inlineStr">
        <is>
          <t>15.10.2026</t>
        </is>
      </c>
      <c r="G2551" s="4" t="inlineStr">
        <is>
          <t>08:00</t>
        </is>
      </c>
      <c r="H2551" s="4" t="inlineStr">
        <is>
          <t>15.10.2026</t>
        </is>
      </c>
      <c r="I2551" s="4" t="inlineStr">
        <is>
          <t>17:02</t>
        </is>
      </c>
      <c r="J2551" s="8" t="n">
        <v>7.5</v>
      </c>
      <c r="K2551" s="8" t="n">
        <v>7.5</v>
      </c>
      <c r="L2551" s="8" t="n">
        <v>0</v>
      </c>
      <c r="M2551" s="29" t="inlineStr">
        <is>
          <t>MKP</t>
        </is>
      </c>
    </row>
    <row r="2552">
      <c r="A2552" s="4" t="n">
        <v>2551</v>
      </c>
      <c r="B2552" s="4" t="inlineStr">
        <is>
          <t>00118</t>
        </is>
      </c>
      <c r="C2552" s="4" t="inlineStr">
        <is>
          <t>00118</t>
        </is>
      </c>
      <c r="D2552" s="29" t="inlineStr">
        <is>
          <t>MUSTAFA KAYA</t>
        </is>
      </c>
      <c r="E2552" s="4" t="inlineStr">
        <is>
          <t>Cuma</t>
        </is>
      </c>
      <c r="F2552" s="4" t="inlineStr">
        <is>
          <t>16.10.2026</t>
        </is>
      </c>
      <c r="G2552" s="4" t="inlineStr">
        <is>
          <t>07:44</t>
        </is>
      </c>
      <c r="H2552" s="4" t="inlineStr">
        <is>
          <t>16.10.2026</t>
        </is>
      </c>
      <c r="I2552" s="4" t="inlineStr">
        <is>
          <t>19:55</t>
        </is>
      </c>
      <c r="J2552" s="8" t="n">
        <v>10.5</v>
      </c>
      <c r="K2552" s="8" t="n">
        <v>7.5</v>
      </c>
      <c r="L2552" s="8" t="n">
        <v>3</v>
      </c>
      <c r="M2552" s="29" t="inlineStr">
        <is>
          <t>MKP</t>
        </is>
      </c>
    </row>
    <row r="2553">
      <c r="A2553" s="4" t="n">
        <v>2552</v>
      </c>
      <c r="B2553" s="4" t="inlineStr">
        <is>
          <t>00118</t>
        </is>
      </c>
      <c r="C2553" s="4" t="inlineStr">
        <is>
          <t>00118</t>
        </is>
      </c>
      <c r="D2553" s="29" t="inlineStr">
        <is>
          <t>MUSTAFA KAYA</t>
        </is>
      </c>
      <c r="E2553" s="4" t="inlineStr">
        <is>
          <t>Cumartesi</t>
        </is>
      </c>
      <c r="F2553" s="4" t="inlineStr">
        <is>
          <t>17.10.2026</t>
        </is>
      </c>
      <c r="G2553" s="4" t="inlineStr">
        <is>
          <t>07:29</t>
        </is>
      </c>
      <c r="H2553" s="4" t="inlineStr">
        <is>
          <t>17.10.2026</t>
        </is>
      </c>
      <c r="I2553" s="4" t="inlineStr">
        <is>
          <t>17:15</t>
        </is>
      </c>
      <c r="J2553" s="8" t="n">
        <v>7.5</v>
      </c>
      <c r="K2553" s="8" t="n">
        <v>7.5</v>
      </c>
      <c r="L2553" s="8" t="n">
        <v>0</v>
      </c>
      <c r="M2553" s="29" t="inlineStr">
        <is>
          <t>MKP</t>
        </is>
      </c>
    </row>
    <row r="2554">
      <c r="A2554" s="4" t="n">
        <v>2553</v>
      </c>
      <c r="B2554" s="4" t="inlineStr">
        <is>
          <t>00118</t>
        </is>
      </c>
      <c r="C2554" s="4" t="inlineStr">
        <is>
          <t>00118</t>
        </is>
      </c>
      <c r="D2554" s="29" t="inlineStr">
        <is>
          <t>MUSTAFA KAYA</t>
        </is>
      </c>
      <c r="E2554" s="4" t="inlineStr">
        <is>
          <t>Pazartesi</t>
        </is>
      </c>
      <c r="F2554" s="4" t="inlineStr">
        <is>
          <t>19.10.2026</t>
        </is>
      </c>
      <c r="G2554" s="4" t="inlineStr">
        <is>
          <t>07:46</t>
        </is>
      </c>
      <c r="H2554" s="4" t="inlineStr">
        <is>
          <t>19.10.2026</t>
        </is>
      </c>
      <c r="I2554" s="4" t="inlineStr">
        <is>
          <t>20:00</t>
        </is>
      </c>
      <c r="J2554" s="8" t="n">
        <v>10.5</v>
      </c>
      <c r="K2554" s="8" t="n">
        <v>7.5</v>
      </c>
      <c r="L2554" s="8" t="n">
        <v>3</v>
      </c>
      <c r="M2554" s="29" t="inlineStr">
        <is>
          <t>MKP</t>
        </is>
      </c>
    </row>
    <row r="2555">
      <c r="A2555" s="4" t="n">
        <v>2554</v>
      </c>
      <c r="B2555" s="4" t="inlineStr">
        <is>
          <t>00118</t>
        </is>
      </c>
      <c r="C2555" s="4" t="inlineStr">
        <is>
          <t>00118</t>
        </is>
      </c>
      <c r="D2555" s="29" t="inlineStr">
        <is>
          <t>MUSTAFA KAYA</t>
        </is>
      </c>
      <c r="E2555" s="4" t="inlineStr">
        <is>
          <t>Çarşamba</t>
        </is>
      </c>
      <c r="F2555" s="4" t="inlineStr">
        <is>
          <t>21.10.2026</t>
        </is>
      </c>
      <c r="G2555" s="4" t="inlineStr">
        <is>
          <t>07:48</t>
        </is>
      </c>
      <c r="H2555" s="4" t="inlineStr">
        <is>
          <t>21.10.2026</t>
        </is>
      </c>
      <c r="I2555" s="4" t="inlineStr">
        <is>
          <t>17:07</t>
        </is>
      </c>
      <c r="J2555" s="8" t="n">
        <v>7.5</v>
      </c>
      <c r="K2555" s="8" t="n">
        <v>7.5</v>
      </c>
      <c r="L2555" s="8" t="n">
        <v>0</v>
      </c>
      <c r="M2555" s="29" t="inlineStr">
        <is>
          <t>MKP</t>
        </is>
      </c>
    </row>
    <row r="2556">
      <c r="A2556" s="4" t="n">
        <v>2555</v>
      </c>
      <c r="B2556" s="4" t="inlineStr">
        <is>
          <t>01373</t>
        </is>
      </c>
      <c r="C2556" s="4" t="inlineStr">
        <is>
          <t>01373</t>
        </is>
      </c>
      <c r="D2556" s="29" t="inlineStr">
        <is>
          <t>MUSTAFA KURT</t>
        </is>
      </c>
      <c r="E2556" s="4" t="inlineStr">
        <is>
          <t>Perşembe</t>
        </is>
      </c>
      <c r="F2556" s="4" t="inlineStr">
        <is>
          <t>1.10.2026</t>
        </is>
      </c>
      <c r="G2556" s="4" t="inlineStr">
        <is>
          <t>07:38</t>
        </is>
      </c>
      <c r="H2556" s="4" t="inlineStr">
        <is>
          <t>1.10.2026</t>
        </is>
      </c>
      <c r="I2556" s="4" t="inlineStr">
        <is>
          <t>20:19</t>
        </is>
      </c>
      <c r="J2556" s="8" t="n">
        <v>10.5</v>
      </c>
      <c r="K2556" s="8" t="n">
        <v>7.5</v>
      </c>
      <c r="L2556" s="8" t="n">
        <v>3</v>
      </c>
      <c r="M2556" s="29" t="inlineStr">
        <is>
          <t>HALİL DİĞRENCİ</t>
        </is>
      </c>
    </row>
    <row r="2557">
      <c r="A2557" s="4" t="n">
        <v>2556</v>
      </c>
      <c r="B2557" s="4" t="inlineStr">
        <is>
          <t>01373</t>
        </is>
      </c>
      <c r="C2557" s="4" t="inlineStr">
        <is>
          <t>01373</t>
        </is>
      </c>
      <c r="D2557" s="29" t="inlineStr">
        <is>
          <t>MUSTAFA KURT</t>
        </is>
      </c>
      <c r="E2557" s="4" t="inlineStr">
        <is>
          <t>Cuma</t>
        </is>
      </c>
      <c r="F2557" s="4" t="inlineStr">
        <is>
          <t>2.10.2026</t>
        </is>
      </c>
      <c r="G2557" s="4" t="inlineStr">
        <is>
          <t>07:41</t>
        </is>
      </c>
      <c r="H2557" s="4" t="inlineStr">
        <is>
          <t>2.10.2026</t>
        </is>
      </c>
      <c r="I2557" s="4" t="inlineStr">
        <is>
          <t>14:38</t>
        </is>
      </c>
      <c r="J2557" s="8" t="n">
        <v>5</v>
      </c>
      <c r="K2557" s="8" t="n">
        <v>5</v>
      </c>
      <c r="L2557" s="8" t="n">
        <v>0</v>
      </c>
      <c r="M2557" s="29" t="inlineStr">
        <is>
          <t>HALİL DİĞRENCİ</t>
        </is>
      </c>
    </row>
    <row r="2558">
      <c r="A2558" s="4" t="n">
        <v>2557</v>
      </c>
      <c r="B2558" s="4" t="inlineStr">
        <is>
          <t>01373</t>
        </is>
      </c>
      <c r="C2558" s="4" t="inlineStr">
        <is>
          <t>01373</t>
        </is>
      </c>
      <c r="D2558" s="29" t="inlineStr">
        <is>
          <t>MUSTAFA KURT</t>
        </is>
      </c>
      <c r="E2558" s="4" t="inlineStr">
        <is>
          <t>Cumartesi</t>
        </is>
      </c>
      <c r="F2558" s="4" t="inlineStr">
        <is>
          <t>3.10.2026</t>
        </is>
      </c>
      <c r="G2558" s="4" t="inlineStr">
        <is>
          <t>07:43</t>
        </is>
      </c>
      <c r="H2558" s="4" t="inlineStr">
        <is>
          <t>3.10.2026</t>
        </is>
      </c>
      <c r="I2558" s="4" t="inlineStr">
        <is>
          <t>17:01</t>
        </is>
      </c>
      <c r="J2558" s="8" t="n">
        <v>7.5</v>
      </c>
      <c r="K2558" s="8" t="n">
        <v>7.5</v>
      </c>
      <c r="L2558" s="8" t="n">
        <v>0</v>
      </c>
      <c r="M2558" s="29" t="inlineStr">
        <is>
          <t>HALİL DİĞRENCİ</t>
        </is>
      </c>
    </row>
    <row r="2559">
      <c r="A2559" s="4" t="n">
        <v>2558</v>
      </c>
      <c r="B2559" s="4" t="inlineStr">
        <is>
          <t>01373</t>
        </is>
      </c>
      <c r="C2559" s="4" t="inlineStr">
        <is>
          <t>01373</t>
        </is>
      </c>
      <c r="D2559" s="29" t="inlineStr">
        <is>
          <t>MUSTAFA KURT</t>
        </is>
      </c>
      <c r="E2559" s="4" t="inlineStr">
        <is>
          <t>Pazartesi</t>
        </is>
      </c>
      <c r="F2559" s="4" t="inlineStr">
        <is>
          <t>5.10.2026</t>
        </is>
      </c>
      <c r="G2559" s="4" t="inlineStr">
        <is>
          <t>07:42</t>
        </is>
      </c>
      <c r="H2559" s="4" t="inlineStr">
        <is>
          <t>5.10.2026</t>
        </is>
      </c>
      <c r="I2559" s="4" t="inlineStr">
        <is>
          <t>13:33</t>
        </is>
      </c>
      <c r="J2559" s="8" t="n">
        <v>4</v>
      </c>
      <c r="K2559" s="8" t="n">
        <v>4</v>
      </c>
      <c r="L2559" s="8" t="n">
        <v>0</v>
      </c>
      <c r="M2559" s="29" t="inlineStr">
        <is>
          <t>HALİL DİĞRENCİ</t>
        </is>
      </c>
    </row>
    <row r="2560">
      <c r="A2560" s="4" t="n">
        <v>2559</v>
      </c>
      <c r="B2560" s="4" t="inlineStr">
        <is>
          <t>01373</t>
        </is>
      </c>
      <c r="C2560" s="4" t="inlineStr">
        <is>
          <t>01373</t>
        </is>
      </c>
      <c r="D2560" s="29" t="inlineStr">
        <is>
          <t>MUSTAFA KURT</t>
        </is>
      </c>
      <c r="E2560" s="4" t="inlineStr">
        <is>
          <t>Salı</t>
        </is>
      </c>
      <c r="F2560" s="4" t="inlineStr">
        <is>
          <t>6.10.2026</t>
        </is>
      </c>
      <c r="G2560" s="4" t="inlineStr">
        <is>
          <t>07:43</t>
        </is>
      </c>
      <c r="H2560" s="4" t="inlineStr">
        <is>
          <t>6.10.2026</t>
        </is>
      </c>
      <c r="I2560" s="4" t="inlineStr">
        <is>
          <t>20:10</t>
        </is>
      </c>
      <c r="J2560" s="8" t="n">
        <v>10.5</v>
      </c>
      <c r="K2560" s="8" t="n">
        <v>7.5</v>
      </c>
      <c r="L2560" s="8" t="n">
        <v>3</v>
      </c>
      <c r="M2560" s="29" t="inlineStr">
        <is>
          <t>HALİL DİĞRENCİ</t>
        </is>
      </c>
    </row>
    <row r="2561">
      <c r="A2561" s="4" t="n">
        <v>2560</v>
      </c>
      <c r="B2561" s="4" t="inlineStr">
        <is>
          <t>01373</t>
        </is>
      </c>
      <c r="C2561" s="4" t="inlineStr">
        <is>
          <t>01373</t>
        </is>
      </c>
      <c r="D2561" s="29" t="inlineStr">
        <is>
          <t>MUSTAFA KURT</t>
        </is>
      </c>
      <c r="E2561" s="4" t="inlineStr">
        <is>
          <t>Çarşamba</t>
        </is>
      </c>
      <c r="F2561" s="4" t="inlineStr">
        <is>
          <t>7.10.2026</t>
        </is>
      </c>
      <c r="G2561" s="4" t="inlineStr">
        <is>
          <t>07:41</t>
        </is>
      </c>
      <c r="H2561" s="4" t="inlineStr">
        <is>
          <t>7.10.2026</t>
        </is>
      </c>
      <c r="I2561" s="4" t="inlineStr">
        <is>
          <t>16:58</t>
        </is>
      </c>
      <c r="J2561" s="8" t="n">
        <v>7.5</v>
      </c>
      <c r="K2561" s="8" t="n">
        <v>7.5</v>
      </c>
      <c r="L2561" s="8" t="n">
        <v>0</v>
      </c>
      <c r="M2561" s="29" t="inlineStr">
        <is>
          <t>HALİL DİĞRENCİ</t>
        </is>
      </c>
    </row>
    <row r="2562">
      <c r="A2562" s="4" t="n">
        <v>2561</v>
      </c>
      <c r="B2562" s="4" t="inlineStr">
        <is>
          <t>01373</t>
        </is>
      </c>
      <c r="C2562" s="4" t="inlineStr">
        <is>
          <t>01373</t>
        </is>
      </c>
      <c r="D2562" s="29" t="inlineStr">
        <is>
          <t>MUSTAFA KURT</t>
        </is>
      </c>
      <c r="E2562" s="4" t="inlineStr">
        <is>
          <t>Perşembe</t>
        </is>
      </c>
      <c r="F2562" s="4" t="inlineStr">
        <is>
          <t>8.10.2026</t>
        </is>
      </c>
      <c r="G2562" s="4" t="inlineStr">
        <is>
          <t>07:43</t>
        </is>
      </c>
      <c r="H2562" s="4" t="inlineStr">
        <is>
          <t>8.10.2026</t>
        </is>
      </c>
      <c r="I2562" s="4" t="inlineStr">
        <is>
          <t>20:12</t>
        </is>
      </c>
      <c r="J2562" s="8" t="n">
        <v>10.5</v>
      </c>
      <c r="K2562" s="8" t="n">
        <v>7.5</v>
      </c>
      <c r="L2562" s="8" t="n">
        <v>3</v>
      </c>
      <c r="M2562" s="29" t="inlineStr">
        <is>
          <t>HALİL DİĞRENCİ</t>
        </is>
      </c>
    </row>
    <row r="2563">
      <c r="A2563" s="4" t="n">
        <v>2562</v>
      </c>
      <c r="B2563" s="4" t="inlineStr">
        <is>
          <t>01373</t>
        </is>
      </c>
      <c r="C2563" s="4" t="inlineStr">
        <is>
          <t>01373</t>
        </is>
      </c>
      <c r="D2563" s="29" t="inlineStr">
        <is>
          <t>MUSTAFA KURT</t>
        </is>
      </c>
      <c r="E2563" s="4" t="inlineStr">
        <is>
          <t>Cuma</t>
        </is>
      </c>
      <c r="F2563" s="4" t="inlineStr">
        <is>
          <t>9.10.2026</t>
        </is>
      </c>
      <c r="G2563" s="4" t="inlineStr">
        <is>
          <t>07:46</t>
        </is>
      </c>
      <c r="H2563" s="4" t="inlineStr">
        <is>
          <t>9.10.2026</t>
        </is>
      </c>
      <c r="I2563" s="4" t="inlineStr">
        <is>
          <t>19:59</t>
        </is>
      </c>
      <c r="J2563" s="8" t="n">
        <v>10.5</v>
      </c>
      <c r="K2563" s="8" t="n">
        <v>7.5</v>
      </c>
      <c r="L2563" s="8" t="n">
        <v>3</v>
      </c>
      <c r="M2563" s="29" t="inlineStr">
        <is>
          <t>HALİL DİĞRENCİ</t>
        </is>
      </c>
    </row>
    <row r="2564">
      <c r="A2564" s="4" t="n">
        <v>2563</v>
      </c>
      <c r="B2564" s="4" t="inlineStr">
        <is>
          <t>01373</t>
        </is>
      </c>
      <c r="C2564" s="4" t="inlineStr">
        <is>
          <t>01373</t>
        </is>
      </c>
      <c r="D2564" s="29" t="inlineStr">
        <is>
          <t>MUSTAFA KURT</t>
        </is>
      </c>
      <c r="E2564" s="4" t="inlineStr">
        <is>
          <t>Cumartesi</t>
        </is>
      </c>
      <c r="F2564" s="4" t="inlineStr">
        <is>
          <t>10.10.2026</t>
        </is>
      </c>
      <c r="G2564" s="4" t="inlineStr">
        <is>
          <t>07:46</t>
        </is>
      </c>
      <c r="H2564" s="4" t="inlineStr">
        <is>
          <t>10.10.2026</t>
        </is>
      </c>
      <c r="I2564" s="4" t="inlineStr">
        <is>
          <t>16:55</t>
        </is>
      </c>
      <c r="J2564" s="8" t="n">
        <v>7.5</v>
      </c>
      <c r="K2564" s="8" t="n">
        <v>7.5</v>
      </c>
      <c r="L2564" s="8" t="n">
        <v>0</v>
      </c>
      <c r="M2564" s="29" t="inlineStr">
        <is>
          <t>HALİL DİĞRENCİ</t>
        </is>
      </c>
    </row>
    <row r="2565">
      <c r="A2565" s="4" t="n">
        <v>2564</v>
      </c>
      <c r="B2565" s="4" t="inlineStr">
        <is>
          <t>01373</t>
        </is>
      </c>
      <c r="C2565" s="4" t="inlineStr">
        <is>
          <t>01373</t>
        </is>
      </c>
      <c r="D2565" s="29" t="inlineStr">
        <is>
          <t>MUSTAFA KURT</t>
        </is>
      </c>
      <c r="E2565" s="4" t="inlineStr">
        <is>
          <t>Pazartesi</t>
        </is>
      </c>
      <c r="F2565" s="4" t="inlineStr">
        <is>
          <t>12.10.2026</t>
        </is>
      </c>
      <c r="G2565" s="4" t="inlineStr">
        <is>
          <t>07:45</t>
        </is>
      </c>
      <c r="H2565" s="4" t="inlineStr">
        <is>
          <t>12.10.2026</t>
        </is>
      </c>
      <c r="I2565" s="4" t="inlineStr">
        <is>
          <t>19:53</t>
        </is>
      </c>
      <c r="J2565" s="8" t="n">
        <v>10.5</v>
      </c>
      <c r="K2565" s="8" t="n">
        <v>7.5</v>
      </c>
      <c r="L2565" s="8" t="n">
        <v>3</v>
      </c>
      <c r="M2565" s="29" t="inlineStr">
        <is>
          <t>HALİL DİĞRENCİ</t>
        </is>
      </c>
    </row>
    <row r="2566">
      <c r="A2566" s="4" t="n">
        <v>2565</v>
      </c>
      <c r="B2566" s="4" t="inlineStr">
        <is>
          <t>01373</t>
        </is>
      </c>
      <c r="C2566" s="4" t="inlineStr">
        <is>
          <t>01373</t>
        </is>
      </c>
      <c r="D2566" s="29" t="inlineStr">
        <is>
          <t>MUSTAFA KURT</t>
        </is>
      </c>
      <c r="E2566" s="4" t="inlineStr">
        <is>
          <t>Salı</t>
        </is>
      </c>
      <c r="F2566" s="4" t="inlineStr">
        <is>
          <t>13.10.2026</t>
        </is>
      </c>
      <c r="G2566" s="4" t="inlineStr">
        <is>
          <t>07:46</t>
        </is>
      </c>
      <c r="H2566" s="4" t="inlineStr">
        <is>
          <t>13.10.2026</t>
        </is>
      </c>
      <c r="I2566" s="4" t="inlineStr">
        <is>
          <t>20:02</t>
        </is>
      </c>
      <c r="J2566" s="8" t="n">
        <v>10.5</v>
      </c>
      <c r="K2566" s="8" t="n">
        <v>7.5</v>
      </c>
      <c r="L2566" s="8" t="n">
        <v>3</v>
      </c>
      <c r="M2566" s="29" t="inlineStr">
        <is>
          <t>HALİL DİĞRENCİ</t>
        </is>
      </c>
    </row>
    <row r="2567">
      <c r="A2567" s="4" t="n">
        <v>2566</v>
      </c>
      <c r="B2567" s="4" t="inlineStr">
        <is>
          <t>01373</t>
        </is>
      </c>
      <c r="C2567" s="4" t="inlineStr">
        <is>
          <t>01373</t>
        </is>
      </c>
      <c r="D2567" s="29" t="inlineStr">
        <is>
          <t>MUSTAFA KURT</t>
        </is>
      </c>
      <c r="E2567" s="4" t="inlineStr">
        <is>
          <t>Çarşamba</t>
        </is>
      </c>
      <c r="F2567" s="4" t="inlineStr">
        <is>
          <t>14.10.2026</t>
        </is>
      </c>
      <c r="G2567" s="4" t="inlineStr">
        <is>
          <t>07:45</t>
        </is>
      </c>
      <c r="H2567" s="4" t="inlineStr">
        <is>
          <t>14.10.2026</t>
        </is>
      </c>
      <c r="I2567" s="4" t="inlineStr">
        <is>
          <t>16:56</t>
        </is>
      </c>
      <c r="J2567" s="8" t="n">
        <v>7.5</v>
      </c>
      <c r="K2567" s="8" t="n">
        <v>7.5</v>
      </c>
      <c r="L2567" s="8" t="n">
        <v>0</v>
      </c>
      <c r="M2567" s="29" t="inlineStr">
        <is>
          <t>HALİL DİĞRENCİ</t>
        </is>
      </c>
    </row>
    <row r="2568">
      <c r="A2568" s="4" t="n">
        <v>2567</v>
      </c>
      <c r="B2568" s="4" t="inlineStr">
        <is>
          <t>01373</t>
        </is>
      </c>
      <c r="C2568" s="4" t="inlineStr">
        <is>
          <t>01373</t>
        </is>
      </c>
      <c r="D2568" s="29" t="inlineStr">
        <is>
          <t>MUSTAFA KURT</t>
        </is>
      </c>
      <c r="E2568" s="4" t="inlineStr">
        <is>
          <t>Perşembe</t>
        </is>
      </c>
      <c r="F2568" s="4" t="inlineStr">
        <is>
          <t>15.10.2026</t>
        </is>
      </c>
      <c r="G2568" s="4" t="inlineStr">
        <is>
          <t>07:47</t>
        </is>
      </c>
      <c r="H2568" s="4" t="inlineStr">
        <is>
          <t>15.10.2026</t>
        </is>
      </c>
      <c r="I2568" s="4" t="inlineStr">
        <is>
          <t>16:57</t>
        </is>
      </c>
      <c r="J2568" s="8" t="n">
        <v>7.5</v>
      </c>
      <c r="K2568" s="8" t="n">
        <v>7.5</v>
      </c>
      <c r="L2568" s="8" t="n">
        <v>0</v>
      </c>
      <c r="M2568" s="29" t="inlineStr">
        <is>
          <t>HALİL DİĞRENCİ</t>
        </is>
      </c>
    </row>
    <row r="2569">
      <c r="A2569" s="4" t="n">
        <v>2568</v>
      </c>
      <c r="B2569" s="4" t="inlineStr">
        <is>
          <t>01373</t>
        </is>
      </c>
      <c r="C2569" s="4" t="inlineStr">
        <is>
          <t>01373</t>
        </is>
      </c>
      <c r="D2569" s="29" t="inlineStr">
        <is>
          <t>MUSTAFA KURT</t>
        </is>
      </c>
      <c r="E2569" s="4" t="inlineStr">
        <is>
          <t>Cuma</t>
        </is>
      </c>
      <c r="F2569" s="4" t="inlineStr">
        <is>
          <t>16.10.2026</t>
        </is>
      </c>
      <c r="G2569" s="4" t="inlineStr">
        <is>
          <t>07:40</t>
        </is>
      </c>
      <c r="H2569" s="4" t="inlineStr">
        <is>
          <t>16.10.2026</t>
        </is>
      </c>
      <c r="I2569" s="4" t="inlineStr">
        <is>
          <t>19:57</t>
        </is>
      </c>
      <c r="J2569" s="8" t="n">
        <v>10.5</v>
      </c>
      <c r="K2569" s="8" t="n">
        <v>7.5</v>
      </c>
      <c r="L2569" s="8" t="n">
        <v>3</v>
      </c>
      <c r="M2569" s="29" t="inlineStr">
        <is>
          <t>HALİL DİĞRENCİ</t>
        </is>
      </c>
    </row>
    <row r="2570">
      <c r="A2570" s="4" t="n">
        <v>2569</v>
      </c>
      <c r="B2570" s="4" t="inlineStr">
        <is>
          <t>01373</t>
        </is>
      </c>
      <c r="C2570" s="4" t="inlineStr">
        <is>
          <t>01373</t>
        </is>
      </c>
      <c r="D2570" s="29" t="inlineStr">
        <is>
          <t>MUSTAFA KURT</t>
        </is>
      </c>
      <c r="E2570" s="4" t="inlineStr">
        <is>
          <t>Cumartesi</t>
        </is>
      </c>
      <c r="F2570" s="4" t="inlineStr">
        <is>
          <t>17.10.2026</t>
        </is>
      </c>
      <c r="G2570" s="4" t="inlineStr">
        <is>
          <t>07:42</t>
        </is>
      </c>
      <c r="H2570" s="4" t="inlineStr">
        <is>
          <t>17.10.2026</t>
        </is>
      </c>
      <c r="I2570" s="4" t="inlineStr">
        <is>
          <t>16:57</t>
        </is>
      </c>
      <c r="J2570" s="8" t="n">
        <v>7.5</v>
      </c>
      <c r="K2570" s="8" t="n">
        <v>7.5</v>
      </c>
      <c r="L2570" s="8" t="n">
        <v>0</v>
      </c>
      <c r="M2570" s="29" t="inlineStr">
        <is>
          <t>HALİL DİĞRENCİ</t>
        </is>
      </c>
    </row>
    <row r="2571">
      <c r="A2571" s="4" t="n">
        <v>2570</v>
      </c>
      <c r="B2571" s="4" t="inlineStr">
        <is>
          <t>01373</t>
        </is>
      </c>
      <c r="C2571" s="4" t="inlineStr">
        <is>
          <t>01373</t>
        </is>
      </c>
      <c r="D2571" s="29" t="inlineStr">
        <is>
          <t>MUSTAFA KURT</t>
        </is>
      </c>
      <c r="E2571" s="4" t="inlineStr">
        <is>
          <t>Pazartesi</t>
        </is>
      </c>
      <c r="F2571" s="4" t="inlineStr">
        <is>
          <t>19.10.2026</t>
        </is>
      </c>
      <c r="G2571" s="4" t="inlineStr">
        <is>
          <t>07:39</t>
        </is>
      </c>
      <c r="H2571" s="4" t="inlineStr">
        <is>
          <t>19.10.2026</t>
        </is>
      </c>
      <c r="I2571" s="4" t="inlineStr">
        <is>
          <t>20:03</t>
        </is>
      </c>
      <c r="J2571" s="8" t="n">
        <v>10.5</v>
      </c>
      <c r="K2571" s="8" t="n">
        <v>7.5</v>
      </c>
      <c r="L2571" s="8" t="n">
        <v>3</v>
      </c>
      <c r="M2571" s="29" t="inlineStr">
        <is>
          <t>HALİL DİĞRENCİ</t>
        </is>
      </c>
    </row>
    <row r="2572">
      <c r="A2572" s="4" t="n">
        <v>2571</v>
      </c>
      <c r="B2572" s="4" t="inlineStr">
        <is>
          <t>01373</t>
        </is>
      </c>
      <c r="C2572" s="4" t="inlineStr">
        <is>
          <t>01373</t>
        </is>
      </c>
      <c r="D2572" s="29" t="inlineStr">
        <is>
          <t>MUSTAFA KURT</t>
        </is>
      </c>
      <c r="E2572" s="4" t="inlineStr">
        <is>
          <t>Salı</t>
        </is>
      </c>
      <c r="F2572" s="4" t="inlineStr">
        <is>
          <t>20.10.2026</t>
        </is>
      </c>
      <c r="G2572" s="4" t="inlineStr">
        <is>
          <t>07:40</t>
        </is>
      </c>
      <c r="H2572" s="4" t="inlineStr">
        <is>
          <t>20.10.2026</t>
        </is>
      </c>
      <c r="I2572" s="4" t="inlineStr">
        <is>
          <t>16:53</t>
        </is>
      </c>
      <c r="J2572" s="8" t="n">
        <v>7.5</v>
      </c>
      <c r="K2572" s="8" t="n">
        <v>7.5</v>
      </c>
      <c r="L2572" s="8" t="n">
        <v>0</v>
      </c>
      <c r="M2572" s="29" t="inlineStr">
        <is>
          <t>HALİL DİĞRENCİ</t>
        </is>
      </c>
    </row>
    <row r="2573">
      <c r="A2573" s="4" t="n">
        <v>2572</v>
      </c>
      <c r="B2573" s="4" t="inlineStr">
        <is>
          <t>01373</t>
        </is>
      </c>
      <c r="C2573" s="4" t="inlineStr">
        <is>
          <t>01373</t>
        </is>
      </c>
      <c r="D2573" s="29" t="inlineStr">
        <is>
          <t>MUSTAFA KURT</t>
        </is>
      </c>
      <c r="E2573" s="4" t="inlineStr">
        <is>
          <t>Çarşamba</t>
        </is>
      </c>
      <c r="F2573" s="4" t="inlineStr">
        <is>
          <t>21.10.2026</t>
        </is>
      </c>
      <c r="G2573" s="4" t="inlineStr">
        <is>
          <t>07:38</t>
        </is>
      </c>
      <c r="H2573" s="4" t="inlineStr">
        <is>
          <t>21.10.2026</t>
        </is>
      </c>
      <c r="I2573" s="4" t="inlineStr">
        <is>
          <t>-</t>
        </is>
      </c>
      <c r="J2573" s="8" t="n">
        <v>7.5</v>
      </c>
      <c r="K2573" s="8" t="n">
        <v>7.5</v>
      </c>
      <c r="L2573" s="8" t="n">
        <v>0</v>
      </c>
      <c r="M2573" s="29" t="inlineStr">
        <is>
          <t>HALİL DİĞRENCİ</t>
        </is>
      </c>
    </row>
    <row r="2574">
      <c r="A2574" s="4" t="n">
        <v>2573</v>
      </c>
      <c r="B2574" s="4" t="inlineStr">
        <is>
          <t>01527</t>
        </is>
      </c>
      <c r="C2574" s="4" t="inlineStr">
        <is>
          <t>01527</t>
        </is>
      </c>
      <c r="D2574" s="29" t="inlineStr">
        <is>
          <t>MUSTAFA BAYSAN</t>
        </is>
      </c>
      <c r="E2574" s="4" t="inlineStr">
        <is>
          <t>Perşembe</t>
        </is>
      </c>
      <c r="F2574" s="4" t="inlineStr">
        <is>
          <t>8.10.2026</t>
        </is>
      </c>
      <c r="G2574" s="4" t="inlineStr">
        <is>
          <t>20:02</t>
        </is>
      </c>
      <c r="H2574" s="4" t="inlineStr">
        <is>
          <t>8.10.2026</t>
        </is>
      </c>
      <c r="I2574" s="4" t="inlineStr">
        <is>
          <t>08:04</t>
        </is>
      </c>
      <c r="J2574" s="8" t="n">
        <v>10.5</v>
      </c>
      <c r="K2574" s="8" t="n">
        <v>7.5</v>
      </c>
      <c r="L2574" s="8" t="n">
        <v>3</v>
      </c>
      <c r="M2574" s="29" t="inlineStr">
        <is>
          <t>HALİL DİĞRENCİ</t>
        </is>
      </c>
    </row>
    <row r="2575">
      <c r="A2575" s="4" t="n">
        <v>2574</v>
      </c>
      <c r="B2575" s="4" t="inlineStr">
        <is>
          <t>01527</t>
        </is>
      </c>
      <c r="C2575" s="4" t="inlineStr">
        <is>
          <t>01527</t>
        </is>
      </c>
      <c r="D2575" s="29" t="inlineStr">
        <is>
          <t>MUSTAFA BAYSAN</t>
        </is>
      </c>
      <c r="E2575" s="4" t="inlineStr">
        <is>
          <t>Cuma</t>
        </is>
      </c>
      <c r="F2575" s="4" t="inlineStr">
        <is>
          <t>9.10.2026</t>
        </is>
      </c>
      <c r="G2575" s="4" t="inlineStr">
        <is>
          <t>20:03</t>
        </is>
      </c>
      <c r="H2575" s="4" t="inlineStr">
        <is>
          <t>9.10.2026</t>
        </is>
      </c>
      <c r="I2575" s="4" t="inlineStr">
        <is>
          <t>08:10</t>
        </is>
      </c>
      <c r="J2575" s="8" t="n">
        <v>10.5</v>
      </c>
      <c r="K2575" s="8" t="n">
        <v>7.5</v>
      </c>
      <c r="L2575" s="8" t="n">
        <v>3</v>
      </c>
      <c r="M2575" s="29" t="inlineStr">
        <is>
          <t>HALİL DİĞRENCİ</t>
        </is>
      </c>
    </row>
    <row r="2576">
      <c r="A2576" s="4" t="n">
        <v>2575</v>
      </c>
      <c r="B2576" s="4" t="inlineStr">
        <is>
          <t>01527</t>
        </is>
      </c>
      <c r="C2576" s="4" t="inlineStr">
        <is>
          <t>01527</t>
        </is>
      </c>
      <c r="D2576" s="29" t="inlineStr">
        <is>
          <t>MUSTAFA BAYSAN</t>
        </is>
      </c>
      <c r="E2576" s="4" t="inlineStr">
        <is>
          <t>Cumartesi</t>
        </is>
      </c>
      <c r="F2576" s="4" t="inlineStr">
        <is>
          <t>10.10.2026</t>
        </is>
      </c>
      <c r="G2576" s="4" t="inlineStr">
        <is>
          <t>19:53</t>
        </is>
      </c>
      <c r="H2576" s="4" t="inlineStr">
        <is>
          <t>10.10.2026</t>
        </is>
      </c>
      <c r="I2576" s="4" t="inlineStr">
        <is>
          <t>08:13</t>
        </is>
      </c>
      <c r="J2576" s="8" t="n">
        <v>10.5</v>
      </c>
      <c r="K2576" s="8" t="n">
        <v>7.5</v>
      </c>
      <c r="L2576" s="8" t="n">
        <v>3</v>
      </c>
      <c r="M2576" s="29" t="inlineStr">
        <is>
          <t>HALİL DİĞRENCİ</t>
        </is>
      </c>
    </row>
    <row r="2577">
      <c r="A2577" s="4" t="n">
        <v>2576</v>
      </c>
      <c r="B2577" s="4" t="inlineStr">
        <is>
          <t>01527</t>
        </is>
      </c>
      <c r="C2577" s="4" t="inlineStr">
        <is>
          <t>01527</t>
        </is>
      </c>
      <c r="D2577" s="29" t="inlineStr">
        <is>
          <t>MUSTAFA BAYSAN</t>
        </is>
      </c>
      <c r="E2577" s="4" t="inlineStr">
        <is>
          <t>Pazar</t>
        </is>
      </c>
      <c r="F2577" s="4" t="inlineStr">
        <is>
          <t>11.10.2026</t>
        </is>
      </c>
      <c r="G2577" s="4" t="inlineStr">
        <is>
          <t>20:09</t>
        </is>
      </c>
      <c r="H2577" s="4" t="inlineStr">
        <is>
          <t>11.10.2026</t>
        </is>
      </c>
      <c r="I2577" s="4" t="inlineStr">
        <is>
          <t>08:03</t>
        </is>
      </c>
      <c r="J2577" s="8" t="n">
        <v>10.5</v>
      </c>
      <c r="K2577" s="8" t="n">
        <v>7.5</v>
      </c>
      <c r="L2577" s="8" t="n">
        <v>3</v>
      </c>
      <c r="M2577" s="29" t="inlineStr">
        <is>
          <t>HALİL DİĞRENCİ</t>
        </is>
      </c>
    </row>
    <row r="2578">
      <c r="A2578" s="4" t="n">
        <v>2577</v>
      </c>
      <c r="B2578" s="4" t="inlineStr">
        <is>
          <t>01527</t>
        </is>
      </c>
      <c r="C2578" s="4" t="inlineStr">
        <is>
          <t>01527</t>
        </is>
      </c>
      <c r="D2578" s="29" t="inlineStr">
        <is>
          <t>MUSTAFA BAYSAN</t>
        </is>
      </c>
      <c r="E2578" s="4" t="inlineStr">
        <is>
          <t>Pazartesi</t>
        </is>
      </c>
      <c r="F2578" s="4" t="inlineStr">
        <is>
          <t>12.10.2026</t>
        </is>
      </c>
      <c r="G2578" s="4" t="inlineStr">
        <is>
          <t>20:00</t>
        </is>
      </c>
      <c r="H2578" s="4" t="inlineStr">
        <is>
          <t>12.10.2026</t>
        </is>
      </c>
      <c r="I2578" s="4" t="inlineStr">
        <is>
          <t>07:59</t>
        </is>
      </c>
      <c r="J2578" s="8" t="n">
        <v>10.5</v>
      </c>
      <c r="K2578" s="8" t="n">
        <v>7.5</v>
      </c>
      <c r="L2578" s="8" t="n">
        <v>3</v>
      </c>
      <c r="M2578" s="29" t="inlineStr">
        <is>
          <t>HALİL DİĞRENCİ</t>
        </is>
      </c>
    </row>
    <row r="2579">
      <c r="A2579" s="4" t="n">
        <v>2578</v>
      </c>
      <c r="B2579" s="4" t="inlineStr">
        <is>
          <t>01527</t>
        </is>
      </c>
      <c r="C2579" s="4" t="inlineStr">
        <is>
          <t>01527</t>
        </is>
      </c>
      <c r="D2579" s="29" t="inlineStr">
        <is>
          <t>MUSTAFA BAYSAN</t>
        </is>
      </c>
      <c r="E2579" s="4" t="inlineStr">
        <is>
          <t>Salı</t>
        </is>
      </c>
      <c r="F2579" s="4" t="inlineStr">
        <is>
          <t>13.10.2026</t>
        </is>
      </c>
      <c r="G2579" s="4" t="inlineStr">
        <is>
          <t>19:52</t>
        </is>
      </c>
      <c r="H2579" s="4" t="inlineStr">
        <is>
          <t>13.10.2026</t>
        </is>
      </c>
      <c r="I2579" s="4" t="inlineStr">
        <is>
          <t>07:59</t>
        </is>
      </c>
      <c r="J2579" s="8" t="n">
        <v>10.5</v>
      </c>
      <c r="K2579" s="8" t="n">
        <v>7.5</v>
      </c>
      <c r="L2579" s="8" t="n">
        <v>3</v>
      </c>
      <c r="M2579" s="29" t="inlineStr">
        <is>
          <t>HALİL DİĞRENCİ</t>
        </is>
      </c>
    </row>
    <row r="2580">
      <c r="A2580" s="4" t="n">
        <v>2579</v>
      </c>
      <c r="B2580" s="4" t="inlineStr">
        <is>
          <t>01527</t>
        </is>
      </c>
      <c r="C2580" s="4" t="inlineStr">
        <is>
          <t>01527</t>
        </is>
      </c>
      <c r="D2580" s="29" t="inlineStr">
        <is>
          <t>MUSTAFA BAYSAN</t>
        </is>
      </c>
      <c r="E2580" s="4" t="inlineStr">
        <is>
          <t>Çarşamba</t>
        </is>
      </c>
      <c r="F2580" s="4" t="inlineStr">
        <is>
          <t>14.10.2026</t>
        </is>
      </c>
      <c r="G2580" s="4" t="inlineStr">
        <is>
          <t>20:06</t>
        </is>
      </c>
      <c r="H2580" s="4" t="inlineStr">
        <is>
          <t>14.10.2026</t>
        </is>
      </c>
      <c r="I2580" s="4" t="inlineStr">
        <is>
          <t>07:58</t>
        </is>
      </c>
      <c r="J2580" s="8" t="n">
        <v>10.5</v>
      </c>
      <c r="K2580" s="8" t="n">
        <v>7.5</v>
      </c>
      <c r="L2580" s="8" t="n">
        <v>3</v>
      </c>
      <c r="M2580" s="29" t="inlineStr">
        <is>
          <t>HALİL DİĞRENCİ</t>
        </is>
      </c>
    </row>
    <row r="2581">
      <c r="A2581" s="4" t="n">
        <v>2580</v>
      </c>
      <c r="B2581" s="4" t="inlineStr">
        <is>
          <t>01527</t>
        </is>
      </c>
      <c r="C2581" s="4" t="inlineStr">
        <is>
          <t>01527</t>
        </is>
      </c>
      <c r="D2581" s="29" t="inlineStr">
        <is>
          <t>MUSTAFA BAYSAN</t>
        </is>
      </c>
      <c r="E2581" s="4" t="inlineStr">
        <is>
          <t>Perşembe</t>
        </is>
      </c>
      <c r="F2581" s="4" t="inlineStr">
        <is>
          <t>15.10.2026</t>
        </is>
      </c>
      <c r="G2581" s="4" t="inlineStr">
        <is>
          <t>19:50</t>
        </is>
      </c>
      <c r="H2581" s="4" t="inlineStr">
        <is>
          <t>15.10.2026</t>
        </is>
      </c>
      <c r="I2581" s="4" t="inlineStr">
        <is>
          <t>08:01</t>
        </is>
      </c>
      <c r="J2581" s="8" t="n">
        <v>10.5</v>
      </c>
      <c r="K2581" s="8" t="n">
        <v>7.5</v>
      </c>
      <c r="L2581" s="8" t="n">
        <v>3</v>
      </c>
      <c r="M2581" s="29" t="inlineStr">
        <is>
          <t>HALİL DİĞRENCİ</t>
        </is>
      </c>
    </row>
    <row r="2582">
      <c r="A2582" s="4" t="n">
        <v>2581</v>
      </c>
      <c r="B2582" s="4" t="inlineStr">
        <is>
          <t>01527</t>
        </is>
      </c>
      <c r="C2582" s="4" t="inlineStr">
        <is>
          <t>01527</t>
        </is>
      </c>
      <c r="D2582" s="29" t="inlineStr">
        <is>
          <t>MUSTAFA BAYSAN</t>
        </is>
      </c>
      <c r="E2582" s="4" t="inlineStr">
        <is>
          <t>Pazartesi</t>
        </is>
      </c>
      <c r="F2582" s="4" t="inlineStr">
        <is>
          <t>19.10.2026</t>
        </is>
      </c>
      <c r="G2582" s="4" t="inlineStr">
        <is>
          <t>20:14</t>
        </is>
      </c>
      <c r="H2582" s="4" t="inlineStr">
        <is>
          <t>19.10.2026</t>
        </is>
      </c>
      <c r="I2582" s="4" t="inlineStr">
        <is>
          <t>07:55</t>
        </is>
      </c>
      <c r="J2582" s="8" t="n">
        <v>10.5</v>
      </c>
      <c r="K2582" s="8" t="n">
        <v>7.5</v>
      </c>
      <c r="L2582" s="8" t="n">
        <v>3</v>
      </c>
      <c r="M2582" s="29" t="inlineStr">
        <is>
          <t>HALİL DİĞRENCİ</t>
        </is>
      </c>
    </row>
    <row r="2583">
      <c r="A2583" s="4" t="n">
        <v>2582</v>
      </c>
      <c r="B2583" s="4" t="inlineStr">
        <is>
          <t>01554</t>
        </is>
      </c>
      <c r="C2583" s="4" t="inlineStr">
        <is>
          <t>01554</t>
        </is>
      </c>
      <c r="D2583" s="29" t="inlineStr">
        <is>
          <t>MUSTAFA ALİ ASAR</t>
        </is>
      </c>
      <c r="E2583" s="4" t="inlineStr">
        <is>
          <t>Salı</t>
        </is>
      </c>
      <c r="F2583" s="4" t="inlineStr">
        <is>
          <t>13.10.2026</t>
        </is>
      </c>
      <c r="G2583" s="4" t="inlineStr">
        <is>
          <t>-</t>
        </is>
      </c>
      <c r="H2583" s="4" t="inlineStr">
        <is>
          <t>13.10.2026</t>
        </is>
      </c>
      <c r="I2583" s="4" t="inlineStr">
        <is>
          <t>17:07</t>
        </is>
      </c>
      <c r="J2583" s="8" t="n">
        <v>7.5</v>
      </c>
      <c r="K2583" s="8" t="n">
        <v>7.5</v>
      </c>
      <c r="L2583" s="8" t="n">
        <v>0</v>
      </c>
      <c r="M2583" s="29" t="inlineStr">
        <is>
          <t>BİGADİÇ</t>
        </is>
      </c>
    </row>
    <row r="2584">
      <c r="A2584" s="4" t="n">
        <v>2583</v>
      </c>
      <c r="B2584" s="4" t="inlineStr">
        <is>
          <t>01554</t>
        </is>
      </c>
      <c r="C2584" s="4" t="inlineStr">
        <is>
          <t>01554</t>
        </is>
      </c>
      <c r="D2584" s="29" t="inlineStr">
        <is>
          <t>MUSTAFA ALİ ASAR</t>
        </is>
      </c>
      <c r="E2584" s="4" t="inlineStr">
        <is>
          <t>Çarşamba</t>
        </is>
      </c>
      <c r="F2584" s="4" t="inlineStr">
        <is>
          <t>14.10.2026</t>
        </is>
      </c>
      <c r="G2584" s="4" t="inlineStr">
        <is>
          <t>08:01</t>
        </is>
      </c>
      <c r="H2584" s="4" t="inlineStr">
        <is>
          <t>14.10.2026</t>
        </is>
      </c>
      <c r="I2584" s="4" t="inlineStr">
        <is>
          <t>17:28</t>
        </is>
      </c>
      <c r="J2584" s="8" t="n">
        <v>8</v>
      </c>
      <c r="K2584" s="8" t="n">
        <v>7.5</v>
      </c>
      <c r="L2584" s="8" t="n">
        <v>0.5</v>
      </c>
      <c r="M2584" s="29" t="inlineStr">
        <is>
          <t>BİGADİÇ</t>
        </is>
      </c>
    </row>
    <row r="2585">
      <c r="A2585" s="4" t="n">
        <v>2584</v>
      </c>
      <c r="B2585" s="4" t="inlineStr">
        <is>
          <t>01554</t>
        </is>
      </c>
      <c r="C2585" s="4" t="inlineStr">
        <is>
          <t>01554</t>
        </is>
      </c>
      <c r="D2585" s="29" t="inlineStr">
        <is>
          <t>MUSTAFA ALİ ASAR</t>
        </is>
      </c>
      <c r="E2585" s="4" t="inlineStr">
        <is>
          <t>Perşembe</t>
        </is>
      </c>
      <c r="F2585" s="4" t="inlineStr">
        <is>
          <t>15.10.2026</t>
        </is>
      </c>
      <c r="G2585" s="4" t="inlineStr">
        <is>
          <t>07:44</t>
        </is>
      </c>
      <c r="H2585" s="4" t="inlineStr">
        <is>
          <t>15.10.2026</t>
        </is>
      </c>
      <c r="I2585" s="4" t="inlineStr">
        <is>
          <t>17:18</t>
        </is>
      </c>
      <c r="J2585" s="8" t="n">
        <v>7.5</v>
      </c>
      <c r="K2585" s="8" t="n">
        <v>7.5</v>
      </c>
      <c r="L2585" s="8" t="n">
        <v>0</v>
      </c>
      <c r="M2585" s="29" t="inlineStr">
        <is>
          <t>BİGADİÇ</t>
        </is>
      </c>
    </row>
    <row r="2586">
      <c r="A2586" s="4" t="n">
        <v>2585</v>
      </c>
      <c r="B2586" s="4" t="inlineStr">
        <is>
          <t>01554</t>
        </is>
      </c>
      <c r="C2586" s="4" t="inlineStr">
        <is>
          <t>01554</t>
        </is>
      </c>
      <c r="D2586" s="29" t="inlineStr">
        <is>
          <t>MUSTAFA ALİ ASAR</t>
        </is>
      </c>
      <c r="E2586" s="4" t="inlineStr">
        <is>
          <t>Cuma</t>
        </is>
      </c>
      <c r="F2586" s="4" t="inlineStr">
        <is>
          <t>16.10.2026</t>
        </is>
      </c>
      <c r="G2586" s="4" t="inlineStr">
        <is>
          <t>08:00</t>
        </is>
      </c>
      <c r="H2586" s="4" t="inlineStr">
        <is>
          <t>16.10.2026</t>
        </is>
      </c>
      <c r="I2586" s="4" t="inlineStr">
        <is>
          <t>17:13</t>
        </is>
      </c>
      <c r="J2586" s="8" t="n">
        <v>7.5</v>
      </c>
      <c r="K2586" s="8" t="n">
        <v>7.5</v>
      </c>
      <c r="L2586" s="8" t="n">
        <v>0</v>
      </c>
      <c r="M2586" s="29" t="inlineStr">
        <is>
          <t>BİGADİÇ</t>
        </is>
      </c>
    </row>
    <row r="2587">
      <c r="A2587" s="4" t="n">
        <v>2586</v>
      </c>
      <c r="B2587" s="4" t="inlineStr">
        <is>
          <t>01554</t>
        </is>
      </c>
      <c r="C2587" s="4" t="inlineStr">
        <is>
          <t>01554</t>
        </is>
      </c>
      <c r="D2587" s="29" t="inlineStr">
        <is>
          <t>MUSTAFA ALİ ASAR</t>
        </is>
      </c>
      <c r="E2587" s="4" t="inlineStr">
        <is>
          <t>Cumartesi</t>
        </is>
      </c>
      <c r="F2587" s="4" t="inlineStr">
        <is>
          <t>17.10.2026</t>
        </is>
      </c>
      <c r="G2587" s="4" t="inlineStr">
        <is>
          <t>08:03</t>
        </is>
      </c>
      <c r="H2587" s="4" t="inlineStr">
        <is>
          <t>17.10.2026</t>
        </is>
      </c>
      <c r="I2587" s="4" t="inlineStr">
        <is>
          <t>17:55</t>
        </is>
      </c>
      <c r="J2587" s="8" t="n">
        <v>8.5</v>
      </c>
      <c r="K2587" s="8" t="n">
        <v>7.5</v>
      </c>
      <c r="L2587" s="8" t="n">
        <v>1</v>
      </c>
      <c r="M2587" s="29" t="inlineStr">
        <is>
          <t>BİGADİÇ</t>
        </is>
      </c>
    </row>
    <row r="2588">
      <c r="A2588" s="4" t="n">
        <v>2587</v>
      </c>
      <c r="B2588" s="4" t="inlineStr">
        <is>
          <t>01554</t>
        </is>
      </c>
      <c r="C2588" s="4" t="inlineStr">
        <is>
          <t>01554</t>
        </is>
      </c>
      <c r="D2588" s="29" t="inlineStr">
        <is>
          <t>MUSTAFA ALİ ASAR</t>
        </is>
      </c>
      <c r="E2588" s="4" t="inlineStr">
        <is>
          <t>Pazar</t>
        </is>
      </c>
      <c r="F2588" s="4" t="inlineStr">
        <is>
          <t>18.10.2026</t>
        </is>
      </c>
      <c r="G2588" s="4" t="inlineStr">
        <is>
          <t>08:05</t>
        </is>
      </c>
      <c r="H2588" s="4" t="inlineStr">
        <is>
          <t>18.10.2026</t>
        </is>
      </c>
      <c r="I2588" s="4" t="inlineStr">
        <is>
          <t>17:05</t>
        </is>
      </c>
      <c r="J2588" s="8" t="n">
        <v>7.5</v>
      </c>
      <c r="K2588" s="8" t="n">
        <v>7.5</v>
      </c>
      <c r="L2588" s="8" t="n">
        <v>0</v>
      </c>
      <c r="M2588" s="29" t="inlineStr">
        <is>
          <t>BİGADİÇ</t>
        </is>
      </c>
    </row>
    <row r="2589">
      <c r="A2589" s="4" t="n">
        <v>2588</v>
      </c>
      <c r="B2589" s="4" t="inlineStr">
        <is>
          <t>01554</t>
        </is>
      </c>
      <c r="C2589" s="4" t="inlineStr">
        <is>
          <t>01554</t>
        </is>
      </c>
      <c r="D2589" s="29" t="inlineStr">
        <is>
          <t>MUSTAFA ALİ ASAR</t>
        </is>
      </c>
      <c r="E2589" s="4" t="inlineStr">
        <is>
          <t>Pazartesi</t>
        </is>
      </c>
      <c r="F2589" s="4" t="inlineStr">
        <is>
          <t>19.10.2026</t>
        </is>
      </c>
      <c r="G2589" s="4" t="inlineStr">
        <is>
          <t>07:49</t>
        </is>
      </c>
      <c r="H2589" s="4" t="inlineStr">
        <is>
          <t>19.10.2026</t>
        </is>
      </c>
      <c r="I2589" s="4" t="inlineStr">
        <is>
          <t>17:06</t>
        </is>
      </c>
      <c r="J2589" s="8" t="n">
        <v>7.5</v>
      </c>
      <c r="K2589" s="8" t="n">
        <v>7.5</v>
      </c>
      <c r="L2589" s="8" t="n">
        <v>0</v>
      </c>
      <c r="M2589" s="29" t="inlineStr">
        <is>
          <t>BİGADİÇ</t>
        </is>
      </c>
    </row>
    <row r="2590">
      <c r="A2590" s="4" t="n">
        <v>2589</v>
      </c>
      <c r="B2590" s="4" t="inlineStr">
        <is>
          <t>01554</t>
        </is>
      </c>
      <c r="C2590" s="4" t="inlineStr">
        <is>
          <t>01554</t>
        </is>
      </c>
      <c r="D2590" s="29" t="inlineStr">
        <is>
          <t>MUSTAFA ALİ ASAR</t>
        </is>
      </c>
      <c r="E2590" s="4" t="inlineStr">
        <is>
          <t>Salı</t>
        </is>
      </c>
      <c r="F2590" s="4" t="inlineStr">
        <is>
          <t>20.10.2026</t>
        </is>
      </c>
      <c r="G2590" s="4" t="inlineStr">
        <is>
          <t>07:50</t>
        </is>
      </c>
      <c r="H2590" s="4" t="inlineStr">
        <is>
          <t>20.10.2026</t>
        </is>
      </c>
      <c r="I2590" s="4" t="inlineStr">
        <is>
          <t>17:07</t>
        </is>
      </c>
      <c r="J2590" s="8" t="n">
        <v>7.5</v>
      </c>
      <c r="K2590" s="8" t="n">
        <v>7.5</v>
      </c>
      <c r="L2590" s="8" t="n">
        <v>0</v>
      </c>
      <c r="M2590" s="29" t="inlineStr">
        <is>
          <t>BİGADİÇ</t>
        </is>
      </c>
    </row>
    <row r="2591">
      <c r="A2591" s="4" t="n">
        <v>2590</v>
      </c>
      <c r="B2591" s="4" t="inlineStr">
        <is>
          <t>01554</t>
        </is>
      </c>
      <c r="C2591" s="4" t="inlineStr">
        <is>
          <t>01554</t>
        </is>
      </c>
      <c r="D2591" s="29" t="inlineStr">
        <is>
          <t>MUSTAFA ALİ ASAR</t>
        </is>
      </c>
      <c r="E2591" s="4" t="inlineStr">
        <is>
          <t>Çarşamba</t>
        </is>
      </c>
      <c r="F2591" s="4" t="inlineStr">
        <is>
          <t>21.10.2026</t>
        </is>
      </c>
      <c r="G2591" s="4" t="inlineStr">
        <is>
          <t>07:51</t>
        </is>
      </c>
      <c r="H2591" s="4" t="inlineStr">
        <is>
          <t>21.10.2026</t>
        </is>
      </c>
      <c r="I2591" s="4" t="inlineStr">
        <is>
          <t>17:07</t>
        </is>
      </c>
      <c r="J2591" s="8" t="n">
        <v>7.5</v>
      </c>
      <c r="K2591" s="8" t="n">
        <v>7.5</v>
      </c>
      <c r="L2591" s="8" t="n">
        <v>0</v>
      </c>
      <c r="M2591" s="29" t="inlineStr">
        <is>
          <t>BİGADİÇ</t>
        </is>
      </c>
    </row>
    <row r="2592">
      <c r="A2592" s="4" t="n">
        <v>2591</v>
      </c>
      <c r="B2592" s="4" t="inlineStr">
        <is>
          <t>01437</t>
        </is>
      </c>
      <c r="C2592" s="4" t="inlineStr">
        <is>
          <t>01437</t>
        </is>
      </c>
      <c r="D2592" s="29" t="inlineStr">
        <is>
          <t>MUTLU İMRE</t>
        </is>
      </c>
      <c r="E2592" s="4" t="inlineStr">
        <is>
          <t>Cuma</t>
        </is>
      </c>
      <c r="F2592" s="4" t="inlineStr">
        <is>
          <t>2.10.2026</t>
        </is>
      </c>
      <c r="G2592" s="4" t="inlineStr">
        <is>
          <t>19:45</t>
        </is>
      </c>
      <c r="H2592" s="4" t="inlineStr">
        <is>
          <t>2.10.2026</t>
        </is>
      </c>
      <c r="I2592" s="4" t="inlineStr">
        <is>
          <t>07:53</t>
        </is>
      </c>
      <c r="J2592" s="8" t="n">
        <v>10.5</v>
      </c>
      <c r="K2592" s="8" t="n">
        <v>7.5</v>
      </c>
      <c r="L2592" s="8" t="n">
        <v>3</v>
      </c>
      <c r="M2592" s="29" t="inlineStr">
        <is>
          <t>HALİL DİĞRENCİ</t>
        </is>
      </c>
    </row>
    <row r="2593">
      <c r="A2593" s="4" t="n">
        <v>2592</v>
      </c>
      <c r="B2593" s="4" t="inlineStr">
        <is>
          <t>01437</t>
        </is>
      </c>
      <c r="C2593" s="4" t="inlineStr">
        <is>
          <t>01437</t>
        </is>
      </c>
      <c r="D2593" s="29" t="inlineStr">
        <is>
          <t>MUTLU İMRE</t>
        </is>
      </c>
      <c r="E2593" s="4" t="inlineStr">
        <is>
          <t>Cumartesi</t>
        </is>
      </c>
      <c r="F2593" s="4" t="inlineStr">
        <is>
          <t>3.10.2026</t>
        </is>
      </c>
      <c r="G2593" s="4" t="inlineStr">
        <is>
          <t>19:53</t>
        </is>
      </c>
      <c r="H2593" s="4" t="inlineStr">
        <is>
          <t>3.10.2026</t>
        </is>
      </c>
      <c r="I2593" s="4" t="inlineStr">
        <is>
          <t>07:56</t>
        </is>
      </c>
      <c r="J2593" s="8" t="n">
        <v>10.5</v>
      </c>
      <c r="K2593" s="8" t="n">
        <v>7.5</v>
      </c>
      <c r="L2593" s="8" t="n">
        <v>3</v>
      </c>
      <c r="M2593" s="29" t="inlineStr">
        <is>
          <t>HALİL DİĞRENCİ</t>
        </is>
      </c>
    </row>
    <row r="2594">
      <c r="A2594" s="4" t="n">
        <v>2593</v>
      </c>
      <c r="B2594" s="4" t="inlineStr">
        <is>
          <t>01437</t>
        </is>
      </c>
      <c r="C2594" s="4" t="inlineStr">
        <is>
          <t>01437</t>
        </is>
      </c>
      <c r="D2594" s="29" t="inlineStr">
        <is>
          <t>MUTLU İMRE</t>
        </is>
      </c>
      <c r="E2594" s="4" t="inlineStr">
        <is>
          <t>Pazar</t>
        </is>
      </c>
      <c r="F2594" s="4" t="inlineStr">
        <is>
          <t>4.10.2026</t>
        </is>
      </c>
      <c r="G2594" s="4" t="inlineStr">
        <is>
          <t>19:58</t>
        </is>
      </c>
      <c r="H2594" s="4" t="inlineStr">
        <is>
          <t>4.10.2026</t>
        </is>
      </c>
      <c r="I2594" s="4" t="inlineStr">
        <is>
          <t>07:59</t>
        </is>
      </c>
      <c r="J2594" s="8" t="n">
        <v>10.5</v>
      </c>
      <c r="K2594" s="8" t="n">
        <v>7.5</v>
      </c>
      <c r="L2594" s="8" t="n">
        <v>3</v>
      </c>
      <c r="M2594" s="29" t="inlineStr">
        <is>
          <t>HALİL DİĞRENCİ</t>
        </is>
      </c>
    </row>
    <row r="2595">
      <c r="A2595" s="4" t="n">
        <v>2594</v>
      </c>
      <c r="B2595" s="4" t="inlineStr">
        <is>
          <t>01437</t>
        </is>
      </c>
      <c r="C2595" s="4" t="inlineStr">
        <is>
          <t>01437</t>
        </is>
      </c>
      <c r="D2595" s="29" t="inlineStr">
        <is>
          <t>MUTLU İMRE</t>
        </is>
      </c>
      <c r="E2595" s="4" t="inlineStr">
        <is>
          <t>Salı</t>
        </is>
      </c>
      <c r="F2595" s="4" t="inlineStr">
        <is>
          <t>6.10.2026</t>
        </is>
      </c>
      <c r="G2595" s="4" t="inlineStr">
        <is>
          <t>19:46</t>
        </is>
      </c>
      <c r="H2595" s="4" t="inlineStr">
        <is>
          <t>6.10.2026</t>
        </is>
      </c>
      <c r="I2595" s="4" t="inlineStr">
        <is>
          <t>08:01</t>
        </is>
      </c>
      <c r="J2595" s="8" t="n">
        <v>10.5</v>
      </c>
      <c r="K2595" s="8" t="n">
        <v>7.5</v>
      </c>
      <c r="L2595" s="8" t="n">
        <v>3</v>
      </c>
      <c r="M2595" s="29" t="inlineStr">
        <is>
          <t>HALİL DİĞRENCİ</t>
        </is>
      </c>
    </row>
    <row r="2596">
      <c r="A2596" s="4" t="n">
        <v>2595</v>
      </c>
      <c r="B2596" s="4" t="inlineStr">
        <is>
          <t>01437</t>
        </is>
      </c>
      <c r="C2596" s="4" t="inlineStr">
        <is>
          <t>01437</t>
        </is>
      </c>
      <c r="D2596" s="29" t="inlineStr">
        <is>
          <t>MUTLU İMRE</t>
        </is>
      </c>
      <c r="E2596" s="4" t="inlineStr">
        <is>
          <t>Çarşamba</t>
        </is>
      </c>
      <c r="F2596" s="4" t="inlineStr">
        <is>
          <t>7.10.2026</t>
        </is>
      </c>
      <c r="G2596" s="4" t="inlineStr">
        <is>
          <t>19:55</t>
        </is>
      </c>
      <c r="H2596" s="4" t="inlineStr">
        <is>
          <t>7.10.2026</t>
        </is>
      </c>
      <c r="I2596" s="4" t="inlineStr">
        <is>
          <t>07:55</t>
        </is>
      </c>
      <c r="J2596" s="8" t="n">
        <v>10.5</v>
      </c>
      <c r="K2596" s="8" t="n">
        <v>7.5</v>
      </c>
      <c r="L2596" s="8" t="n">
        <v>3</v>
      </c>
      <c r="M2596" s="29" t="inlineStr">
        <is>
          <t>HALİL DİĞRENCİ</t>
        </is>
      </c>
    </row>
    <row r="2597">
      <c r="A2597" s="4" t="n">
        <v>2596</v>
      </c>
      <c r="B2597" s="4" t="inlineStr">
        <is>
          <t>01437</t>
        </is>
      </c>
      <c r="C2597" s="4" t="inlineStr">
        <is>
          <t>01437</t>
        </is>
      </c>
      <c r="D2597" s="29" t="inlineStr">
        <is>
          <t>MUTLU İMRE</t>
        </is>
      </c>
      <c r="E2597" s="4" t="inlineStr">
        <is>
          <t>Perşembe</t>
        </is>
      </c>
      <c r="F2597" s="4" t="inlineStr">
        <is>
          <t>8.10.2026</t>
        </is>
      </c>
      <c r="G2597" s="4" t="inlineStr">
        <is>
          <t>19:58</t>
        </is>
      </c>
      <c r="H2597" s="4" t="inlineStr">
        <is>
          <t>8.10.2026</t>
        </is>
      </c>
      <c r="I2597" s="4" t="inlineStr">
        <is>
          <t>07:56</t>
        </is>
      </c>
      <c r="J2597" s="8" t="n">
        <v>10.5</v>
      </c>
      <c r="K2597" s="8" t="n">
        <v>7.5</v>
      </c>
      <c r="L2597" s="8" t="n">
        <v>3</v>
      </c>
      <c r="M2597" s="29" t="inlineStr">
        <is>
          <t>HALİL DİĞRENCİ</t>
        </is>
      </c>
    </row>
    <row r="2598">
      <c r="A2598" s="4" t="n">
        <v>2597</v>
      </c>
      <c r="B2598" s="4" t="inlineStr">
        <is>
          <t>01437</t>
        </is>
      </c>
      <c r="C2598" s="4" t="inlineStr">
        <is>
          <t>01437</t>
        </is>
      </c>
      <c r="D2598" s="29" t="inlineStr">
        <is>
          <t>MUTLU İMRE</t>
        </is>
      </c>
      <c r="E2598" s="4" t="inlineStr">
        <is>
          <t>Cuma</t>
        </is>
      </c>
      <c r="F2598" s="4" t="inlineStr">
        <is>
          <t>9.10.2026</t>
        </is>
      </c>
      <c r="G2598" s="4" t="inlineStr">
        <is>
          <t>20:02</t>
        </is>
      </c>
      <c r="H2598" s="4" t="inlineStr">
        <is>
          <t>9.10.2026</t>
        </is>
      </c>
      <c r="I2598" s="4" t="inlineStr">
        <is>
          <t>07:57</t>
        </is>
      </c>
      <c r="J2598" s="8" t="n">
        <v>10.5</v>
      </c>
      <c r="K2598" s="8" t="n">
        <v>7.5</v>
      </c>
      <c r="L2598" s="8" t="n">
        <v>3</v>
      </c>
      <c r="M2598" s="29" t="inlineStr">
        <is>
          <t>HALİL DİĞRENCİ</t>
        </is>
      </c>
    </row>
    <row r="2599">
      <c r="A2599" s="4" t="n">
        <v>2598</v>
      </c>
      <c r="B2599" s="4" t="inlineStr">
        <is>
          <t>01437</t>
        </is>
      </c>
      <c r="C2599" s="4" t="inlineStr">
        <is>
          <t>01437</t>
        </is>
      </c>
      <c r="D2599" s="29" t="inlineStr">
        <is>
          <t>MUTLU İMRE</t>
        </is>
      </c>
      <c r="E2599" s="4" t="inlineStr">
        <is>
          <t>Cumartesi</t>
        </is>
      </c>
      <c r="F2599" s="4" t="inlineStr">
        <is>
          <t>10.10.2026</t>
        </is>
      </c>
      <c r="G2599" s="4" t="inlineStr">
        <is>
          <t>20:13</t>
        </is>
      </c>
      <c r="H2599" s="4" t="inlineStr">
        <is>
          <t>10.10.2026</t>
        </is>
      </c>
      <c r="I2599" s="4" t="inlineStr">
        <is>
          <t>08:03</t>
        </is>
      </c>
      <c r="J2599" s="8" t="n">
        <v>10.5</v>
      </c>
      <c r="K2599" s="8" t="n">
        <v>7.5</v>
      </c>
      <c r="L2599" s="8" t="n">
        <v>3</v>
      </c>
      <c r="M2599" s="29" t="inlineStr">
        <is>
          <t>HALİL DİĞRENCİ</t>
        </is>
      </c>
    </row>
    <row r="2600">
      <c r="A2600" s="4" t="n">
        <v>2599</v>
      </c>
      <c r="B2600" s="4" t="inlineStr">
        <is>
          <t>01437</t>
        </is>
      </c>
      <c r="C2600" s="4" t="inlineStr">
        <is>
          <t>01437</t>
        </is>
      </c>
      <c r="D2600" s="29" t="inlineStr">
        <is>
          <t>MUTLU İMRE</t>
        </is>
      </c>
      <c r="E2600" s="4" t="inlineStr">
        <is>
          <t>Pazar</t>
        </is>
      </c>
      <c r="F2600" s="4" t="inlineStr">
        <is>
          <t>11.10.2026</t>
        </is>
      </c>
      <c r="G2600" s="4" t="inlineStr">
        <is>
          <t>20:15</t>
        </is>
      </c>
      <c r="H2600" s="4" t="inlineStr">
        <is>
          <t>11.10.2026</t>
        </is>
      </c>
      <c r="I2600" s="4" t="inlineStr">
        <is>
          <t>07:59</t>
        </is>
      </c>
      <c r="J2600" s="8" t="n">
        <v>10.5</v>
      </c>
      <c r="K2600" s="8" t="n">
        <v>7.5</v>
      </c>
      <c r="L2600" s="8" t="n">
        <v>3</v>
      </c>
      <c r="M2600" s="29" t="inlineStr">
        <is>
          <t>HALİL DİĞRENCİ</t>
        </is>
      </c>
    </row>
    <row r="2601">
      <c r="A2601" s="4" t="n">
        <v>2600</v>
      </c>
      <c r="B2601" s="4" t="inlineStr">
        <is>
          <t>01437</t>
        </is>
      </c>
      <c r="C2601" s="4" t="inlineStr">
        <is>
          <t>01437</t>
        </is>
      </c>
      <c r="D2601" s="29" t="inlineStr">
        <is>
          <t>MUTLU İMRE</t>
        </is>
      </c>
      <c r="E2601" s="4" t="inlineStr">
        <is>
          <t>Pazartesi</t>
        </is>
      </c>
      <c r="F2601" s="4" t="inlineStr">
        <is>
          <t>12.10.2026</t>
        </is>
      </c>
      <c r="G2601" s="4" t="inlineStr">
        <is>
          <t>20:01</t>
        </is>
      </c>
      <c r="H2601" s="4" t="inlineStr">
        <is>
          <t>12.10.2026</t>
        </is>
      </c>
      <c r="I2601" s="4" t="inlineStr">
        <is>
          <t>07:54</t>
        </is>
      </c>
      <c r="J2601" s="8" t="n">
        <v>10.5</v>
      </c>
      <c r="K2601" s="8" t="n">
        <v>7.5</v>
      </c>
      <c r="L2601" s="8" t="n">
        <v>3</v>
      </c>
      <c r="M2601" s="29" t="inlineStr">
        <is>
          <t>HALİL DİĞRENCİ</t>
        </is>
      </c>
    </row>
    <row r="2602">
      <c r="A2602" s="4" t="n">
        <v>2601</v>
      </c>
      <c r="B2602" s="4" t="inlineStr">
        <is>
          <t>01437</t>
        </is>
      </c>
      <c r="C2602" s="4" t="inlineStr">
        <is>
          <t>01437</t>
        </is>
      </c>
      <c r="D2602" s="29" t="inlineStr">
        <is>
          <t>MUTLU İMRE</t>
        </is>
      </c>
      <c r="E2602" s="4" t="inlineStr">
        <is>
          <t>Çarşamba</t>
        </is>
      </c>
      <c r="F2602" s="4" t="inlineStr">
        <is>
          <t>14.10.2026</t>
        </is>
      </c>
      <c r="G2602" s="4" t="inlineStr">
        <is>
          <t>20:14</t>
        </is>
      </c>
      <c r="H2602" s="4" t="inlineStr">
        <is>
          <t>14.10.2026</t>
        </is>
      </c>
      <c r="I2602" s="4" t="inlineStr">
        <is>
          <t>07:58</t>
        </is>
      </c>
      <c r="J2602" s="8" t="n">
        <v>10.5</v>
      </c>
      <c r="K2602" s="8" t="n">
        <v>7.5</v>
      </c>
      <c r="L2602" s="8" t="n">
        <v>3</v>
      </c>
      <c r="M2602" s="29" t="inlineStr">
        <is>
          <t>HALİL DİĞRENCİ</t>
        </is>
      </c>
    </row>
    <row r="2603">
      <c r="A2603" s="4" t="n">
        <v>2602</v>
      </c>
      <c r="B2603" s="4" t="inlineStr">
        <is>
          <t>01437</t>
        </is>
      </c>
      <c r="C2603" s="4" t="inlineStr">
        <is>
          <t>01437</t>
        </is>
      </c>
      <c r="D2603" s="29" t="inlineStr">
        <is>
          <t>MUTLU İMRE</t>
        </is>
      </c>
      <c r="E2603" s="4" t="inlineStr">
        <is>
          <t>Perşembe</t>
        </is>
      </c>
      <c r="F2603" s="4" t="inlineStr">
        <is>
          <t>15.10.2026</t>
        </is>
      </c>
      <c r="G2603" s="4" t="inlineStr">
        <is>
          <t>20:11</t>
        </is>
      </c>
      <c r="H2603" s="4" t="inlineStr">
        <is>
          <t>15.10.2026</t>
        </is>
      </c>
      <c r="I2603" s="4" t="inlineStr">
        <is>
          <t>07:56</t>
        </is>
      </c>
      <c r="J2603" s="8" t="n">
        <v>10.5</v>
      </c>
      <c r="K2603" s="8" t="n">
        <v>7.5</v>
      </c>
      <c r="L2603" s="8" t="n">
        <v>3</v>
      </c>
      <c r="M2603" s="29" t="inlineStr">
        <is>
          <t>HALİL DİĞRENCİ</t>
        </is>
      </c>
    </row>
    <row r="2604">
      <c r="A2604" s="4" t="n">
        <v>2603</v>
      </c>
      <c r="B2604" s="4" t="inlineStr">
        <is>
          <t>01437</t>
        </is>
      </c>
      <c r="C2604" s="4" t="inlineStr">
        <is>
          <t>01437</t>
        </is>
      </c>
      <c r="D2604" s="29" t="inlineStr">
        <is>
          <t>MUTLU İMRE</t>
        </is>
      </c>
      <c r="E2604" s="4" t="inlineStr">
        <is>
          <t>Pazar</t>
        </is>
      </c>
      <c r="F2604" s="4" t="inlineStr">
        <is>
          <t>18.10.2026</t>
        </is>
      </c>
      <c r="G2604" s="4" t="inlineStr">
        <is>
          <t>08:15</t>
        </is>
      </c>
      <c r="H2604" s="4" t="inlineStr">
        <is>
          <t>18.10.2026</t>
        </is>
      </c>
      <c r="I2604" s="4" t="inlineStr">
        <is>
          <t>19:58</t>
        </is>
      </c>
      <c r="J2604" s="8" t="n">
        <v>10.5</v>
      </c>
      <c r="K2604" s="8" t="n">
        <v>7.5</v>
      </c>
      <c r="L2604" s="8" t="n">
        <v>3</v>
      </c>
      <c r="M2604" s="29" t="inlineStr">
        <is>
          <t>HALİL DİĞRENCİ</t>
        </is>
      </c>
    </row>
    <row r="2605">
      <c r="A2605" s="4" t="n">
        <v>2604</v>
      </c>
      <c r="B2605" s="4" t="inlineStr">
        <is>
          <t>01437</t>
        </is>
      </c>
      <c r="C2605" s="4" t="inlineStr">
        <is>
          <t>01437</t>
        </is>
      </c>
      <c r="D2605" s="29" t="inlineStr">
        <is>
          <t>MUTLU İMRE</t>
        </is>
      </c>
      <c r="E2605" s="4" t="inlineStr">
        <is>
          <t>Pazartesi</t>
        </is>
      </c>
      <c r="F2605" s="4" t="inlineStr">
        <is>
          <t>19.10.2026</t>
        </is>
      </c>
      <c r="G2605" s="4" t="inlineStr">
        <is>
          <t>19:42</t>
        </is>
      </c>
      <c r="H2605" s="4" t="inlineStr">
        <is>
          <t>19.10.2026</t>
        </is>
      </c>
      <c r="I2605" s="4" t="inlineStr">
        <is>
          <t>07:51</t>
        </is>
      </c>
      <c r="J2605" s="8" t="n">
        <v>10.5</v>
      </c>
      <c r="K2605" s="8" t="n">
        <v>7.5</v>
      </c>
      <c r="L2605" s="8" t="n">
        <v>3</v>
      </c>
      <c r="M2605" s="29" t="inlineStr">
        <is>
          <t>HALİL DİĞRENCİ</t>
        </is>
      </c>
    </row>
    <row r="2606">
      <c r="A2606" s="4" t="n">
        <v>2605</v>
      </c>
      <c r="B2606" s="4" t="inlineStr">
        <is>
          <t>00234</t>
        </is>
      </c>
      <c r="C2606" s="4" t="inlineStr">
        <is>
          <t>00234</t>
        </is>
      </c>
      <c r="D2606" s="29" t="inlineStr">
        <is>
          <t>MÜCAHİT ÇOLAK</t>
        </is>
      </c>
      <c r="E2606" s="4" t="inlineStr">
        <is>
          <t>Perşembe</t>
        </is>
      </c>
      <c r="F2606" s="4" t="inlineStr">
        <is>
          <t>1.10.2026</t>
        </is>
      </c>
      <c r="G2606" s="4" t="inlineStr">
        <is>
          <t>07:43</t>
        </is>
      </c>
      <c r="H2606" s="4" t="inlineStr">
        <is>
          <t>1.10.2026</t>
        </is>
      </c>
      <c r="I2606" s="4" t="inlineStr">
        <is>
          <t>17:30</t>
        </is>
      </c>
      <c r="J2606" s="8" t="n">
        <v>8</v>
      </c>
      <c r="K2606" s="8" t="n">
        <v>7.5</v>
      </c>
      <c r="L2606" s="8" t="n">
        <v>0.5</v>
      </c>
      <c r="M2606" s="29" t="inlineStr">
        <is>
          <t>KARACABEY</t>
        </is>
      </c>
    </row>
    <row r="2607">
      <c r="A2607" s="4" t="n">
        <v>2606</v>
      </c>
      <c r="B2607" s="4" t="inlineStr">
        <is>
          <t>00234</t>
        </is>
      </c>
      <c r="C2607" s="4" t="inlineStr">
        <is>
          <t>00234</t>
        </is>
      </c>
      <c r="D2607" s="29" t="inlineStr">
        <is>
          <t>MÜCAHİT ÇOLAK</t>
        </is>
      </c>
      <c r="E2607" s="4" t="inlineStr">
        <is>
          <t>Cuma</t>
        </is>
      </c>
      <c r="F2607" s="4" t="inlineStr">
        <is>
          <t>2.10.2026</t>
        </is>
      </c>
      <c r="G2607" s="4" t="inlineStr">
        <is>
          <t>07:42</t>
        </is>
      </c>
      <c r="H2607" s="4" t="inlineStr">
        <is>
          <t>2.10.2026</t>
        </is>
      </c>
      <c r="I2607" s="4" t="inlineStr">
        <is>
          <t>17:46</t>
        </is>
      </c>
      <c r="J2607" s="8" t="n">
        <v>8.5</v>
      </c>
      <c r="K2607" s="8" t="n">
        <v>7.5</v>
      </c>
      <c r="L2607" s="8" t="n">
        <v>1</v>
      </c>
      <c r="M2607" s="29" t="inlineStr">
        <is>
          <t>KARACABEY</t>
        </is>
      </c>
    </row>
    <row r="2608">
      <c r="A2608" s="4" t="n">
        <v>2607</v>
      </c>
      <c r="B2608" s="4" t="inlineStr">
        <is>
          <t>00234</t>
        </is>
      </c>
      <c r="C2608" s="4" t="inlineStr">
        <is>
          <t>00234</t>
        </is>
      </c>
      <c r="D2608" s="29" t="inlineStr">
        <is>
          <t>MÜCAHİT ÇOLAK</t>
        </is>
      </c>
      <c r="E2608" s="4" t="inlineStr">
        <is>
          <t>Cumartesi</t>
        </is>
      </c>
      <c r="F2608" s="4" t="inlineStr">
        <is>
          <t>3.10.2026</t>
        </is>
      </c>
      <c r="G2608" s="4" t="inlineStr">
        <is>
          <t>07:43</t>
        </is>
      </c>
      <c r="H2608" s="4" t="inlineStr">
        <is>
          <t>3.10.2026</t>
        </is>
      </c>
      <c r="I2608" s="4" t="inlineStr">
        <is>
          <t>17:39</t>
        </is>
      </c>
      <c r="J2608" s="8" t="n">
        <v>8</v>
      </c>
      <c r="K2608" s="8" t="n">
        <v>7.5</v>
      </c>
      <c r="L2608" s="8" t="n">
        <v>0.5</v>
      </c>
      <c r="M2608" s="29" t="inlineStr">
        <is>
          <t>KARACABEY</t>
        </is>
      </c>
    </row>
    <row r="2609">
      <c r="A2609" s="4" t="n">
        <v>2608</v>
      </c>
      <c r="B2609" s="4" t="inlineStr">
        <is>
          <t>00234</t>
        </is>
      </c>
      <c r="C2609" s="4" t="inlineStr">
        <is>
          <t>00234</t>
        </is>
      </c>
      <c r="D2609" s="29" t="inlineStr">
        <is>
          <t>MÜCAHİT ÇOLAK</t>
        </is>
      </c>
      <c r="E2609" s="4" t="inlineStr">
        <is>
          <t>Pazartesi</t>
        </is>
      </c>
      <c r="F2609" s="4" t="inlineStr">
        <is>
          <t>5.10.2026</t>
        </is>
      </c>
      <c r="G2609" s="4" t="inlineStr">
        <is>
          <t>07:45</t>
        </is>
      </c>
      <c r="H2609" s="4" t="inlineStr">
        <is>
          <t>5.10.2026</t>
        </is>
      </c>
      <c r="I2609" s="4" t="inlineStr">
        <is>
          <t>17:09</t>
        </is>
      </c>
      <c r="J2609" s="8" t="n">
        <v>7.5</v>
      </c>
      <c r="K2609" s="8" t="n">
        <v>7.5</v>
      </c>
      <c r="L2609" s="8" t="n">
        <v>0</v>
      </c>
      <c r="M2609" s="29" t="inlineStr">
        <is>
          <t>KARACABEY</t>
        </is>
      </c>
    </row>
    <row r="2610">
      <c r="A2610" s="4" t="n">
        <v>2609</v>
      </c>
      <c r="B2610" s="4" t="inlineStr">
        <is>
          <t>00234</t>
        </is>
      </c>
      <c r="C2610" s="4" t="inlineStr">
        <is>
          <t>00234</t>
        </is>
      </c>
      <c r="D2610" s="29" t="inlineStr">
        <is>
          <t>MÜCAHİT ÇOLAK</t>
        </is>
      </c>
      <c r="E2610" s="4" t="inlineStr">
        <is>
          <t>Salı</t>
        </is>
      </c>
      <c r="F2610" s="4" t="inlineStr">
        <is>
          <t>6.10.2026</t>
        </is>
      </c>
      <c r="G2610" s="4" t="inlineStr">
        <is>
          <t>07:45</t>
        </is>
      </c>
      <c r="H2610" s="4" t="inlineStr">
        <is>
          <t>6.10.2026</t>
        </is>
      </c>
      <c r="I2610" s="4" t="inlineStr">
        <is>
          <t>17:44</t>
        </is>
      </c>
      <c r="J2610" s="8" t="n">
        <v>8</v>
      </c>
      <c r="K2610" s="8" t="n">
        <v>7.5</v>
      </c>
      <c r="L2610" s="8" t="n">
        <v>0.5</v>
      </c>
      <c r="M2610" s="29" t="inlineStr">
        <is>
          <t>KARACABEY</t>
        </is>
      </c>
    </row>
    <row r="2611">
      <c r="A2611" s="4" t="n">
        <v>2610</v>
      </c>
      <c r="B2611" s="4" t="inlineStr">
        <is>
          <t>00234</t>
        </is>
      </c>
      <c r="C2611" s="4" t="inlineStr">
        <is>
          <t>00234</t>
        </is>
      </c>
      <c r="D2611" s="29" t="inlineStr">
        <is>
          <t>MÜCAHİT ÇOLAK</t>
        </is>
      </c>
      <c r="E2611" s="4" t="inlineStr">
        <is>
          <t>Çarşamba</t>
        </is>
      </c>
      <c r="F2611" s="4" t="inlineStr">
        <is>
          <t>7.10.2026</t>
        </is>
      </c>
      <c r="G2611" s="4" t="inlineStr">
        <is>
          <t>07:40</t>
        </is>
      </c>
      <c r="H2611" s="4" t="inlineStr">
        <is>
          <t>7.10.2026</t>
        </is>
      </c>
      <c r="I2611" s="4" t="inlineStr">
        <is>
          <t>17:26</t>
        </is>
      </c>
      <c r="J2611" s="8" t="n">
        <v>8</v>
      </c>
      <c r="K2611" s="8" t="n">
        <v>7.5</v>
      </c>
      <c r="L2611" s="8" t="n">
        <v>0.5</v>
      </c>
      <c r="M2611" s="29" t="inlineStr">
        <is>
          <t>KARACABEY</t>
        </is>
      </c>
    </row>
    <row r="2612">
      <c r="A2612" s="4" t="n">
        <v>2611</v>
      </c>
      <c r="B2612" s="4" t="inlineStr">
        <is>
          <t>00234</t>
        </is>
      </c>
      <c r="C2612" s="4" t="inlineStr">
        <is>
          <t>00234</t>
        </is>
      </c>
      <c r="D2612" s="29" t="inlineStr">
        <is>
          <t>MÜCAHİT ÇOLAK</t>
        </is>
      </c>
      <c r="E2612" s="4" t="inlineStr">
        <is>
          <t>Perşembe</t>
        </is>
      </c>
      <c r="F2612" s="4" t="inlineStr">
        <is>
          <t>8.10.2026</t>
        </is>
      </c>
      <c r="G2612" s="4" t="inlineStr">
        <is>
          <t>07:43</t>
        </is>
      </c>
      <c r="H2612" s="4" t="inlineStr">
        <is>
          <t>8.10.2026</t>
        </is>
      </c>
      <c r="I2612" s="4" t="inlineStr">
        <is>
          <t>17:33</t>
        </is>
      </c>
      <c r="J2612" s="8" t="n">
        <v>8</v>
      </c>
      <c r="K2612" s="8" t="n">
        <v>7.5</v>
      </c>
      <c r="L2612" s="8" t="n">
        <v>0.5</v>
      </c>
      <c r="M2612" s="29" t="inlineStr">
        <is>
          <t>KARACABEY</t>
        </is>
      </c>
    </row>
    <row r="2613">
      <c r="A2613" s="4" t="n">
        <v>2612</v>
      </c>
      <c r="B2613" s="4" t="inlineStr">
        <is>
          <t>00234</t>
        </is>
      </c>
      <c r="C2613" s="4" t="inlineStr">
        <is>
          <t>00234</t>
        </is>
      </c>
      <c r="D2613" s="29" t="inlineStr">
        <is>
          <t>MÜCAHİT ÇOLAK</t>
        </is>
      </c>
      <c r="E2613" s="4" t="inlineStr">
        <is>
          <t>Cumartesi</t>
        </is>
      </c>
      <c r="F2613" s="4" t="inlineStr">
        <is>
          <t>10.10.2026</t>
        </is>
      </c>
      <c r="G2613" s="4" t="inlineStr">
        <is>
          <t>07:42</t>
        </is>
      </c>
      <c r="H2613" s="4" t="inlineStr">
        <is>
          <t>10.10.2026</t>
        </is>
      </c>
      <c r="I2613" s="4" t="inlineStr">
        <is>
          <t>18:12</t>
        </is>
      </c>
      <c r="J2613" s="8" t="n">
        <v>8.5</v>
      </c>
      <c r="K2613" s="8" t="n">
        <v>7.5</v>
      </c>
      <c r="L2613" s="8" t="n">
        <v>1</v>
      </c>
      <c r="M2613" s="29" t="inlineStr">
        <is>
          <t>KARACABEY</t>
        </is>
      </c>
    </row>
    <row r="2614">
      <c r="A2614" s="4" t="n">
        <v>2613</v>
      </c>
      <c r="B2614" s="4" t="inlineStr">
        <is>
          <t>00234</t>
        </is>
      </c>
      <c r="C2614" s="4" t="inlineStr">
        <is>
          <t>00234</t>
        </is>
      </c>
      <c r="D2614" s="29" t="inlineStr">
        <is>
          <t>MÜCAHİT ÇOLAK</t>
        </is>
      </c>
      <c r="E2614" s="4" t="inlineStr">
        <is>
          <t>Pazartesi</t>
        </is>
      </c>
      <c r="F2614" s="4" t="inlineStr">
        <is>
          <t>12.10.2026</t>
        </is>
      </c>
      <c r="G2614" s="4" t="inlineStr">
        <is>
          <t>07:48</t>
        </is>
      </c>
      <c r="H2614" s="4" t="inlineStr">
        <is>
          <t>12.10.2026</t>
        </is>
      </c>
      <c r="I2614" s="4" t="inlineStr">
        <is>
          <t>17:05</t>
        </is>
      </c>
      <c r="J2614" s="8" t="n">
        <v>7.5</v>
      </c>
      <c r="K2614" s="8" t="n">
        <v>7.5</v>
      </c>
      <c r="L2614" s="8" t="n">
        <v>0</v>
      </c>
      <c r="M2614" s="29" t="inlineStr">
        <is>
          <t>KARACABEY</t>
        </is>
      </c>
    </row>
    <row r="2615">
      <c r="A2615" s="4" t="n">
        <v>2614</v>
      </c>
      <c r="B2615" s="4" t="inlineStr">
        <is>
          <t>00234</t>
        </is>
      </c>
      <c r="C2615" s="4" t="inlineStr">
        <is>
          <t>00234</t>
        </is>
      </c>
      <c r="D2615" s="29" t="inlineStr">
        <is>
          <t>MÜCAHİT ÇOLAK</t>
        </is>
      </c>
      <c r="E2615" s="4" t="inlineStr">
        <is>
          <t>Salı</t>
        </is>
      </c>
      <c r="F2615" s="4" t="inlineStr">
        <is>
          <t>13.10.2026</t>
        </is>
      </c>
      <c r="G2615" s="4" t="inlineStr">
        <is>
          <t>07:44</t>
        </is>
      </c>
      <c r="H2615" s="4" t="inlineStr">
        <is>
          <t>13.10.2026</t>
        </is>
      </c>
      <c r="I2615" s="4" t="inlineStr">
        <is>
          <t>17:04</t>
        </is>
      </c>
      <c r="J2615" s="8" t="n">
        <v>7.5</v>
      </c>
      <c r="K2615" s="8" t="n">
        <v>7.5</v>
      </c>
      <c r="L2615" s="8" t="n">
        <v>0</v>
      </c>
      <c r="M2615" s="29" t="inlineStr">
        <is>
          <t>KARACABEY</t>
        </is>
      </c>
    </row>
    <row r="2616">
      <c r="A2616" s="4" t="n">
        <v>2615</v>
      </c>
      <c r="B2616" s="4" t="inlineStr">
        <is>
          <t>00234</t>
        </is>
      </c>
      <c r="C2616" s="4" t="inlineStr">
        <is>
          <t>00234</t>
        </is>
      </c>
      <c r="D2616" s="29" t="inlineStr">
        <is>
          <t>MÜCAHİT ÇOLAK</t>
        </is>
      </c>
      <c r="E2616" s="4" t="inlineStr">
        <is>
          <t>Çarşamba</t>
        </is>
      </c>
      <c r="F2616" s="4" t="inlineStr">
        <is>
          <t>14.10.2026</t>
        </is>
      </c>
      <c r="G2616" s="4" t="inlineStr">
        <is>
          <t>07:48</t>
        </is>
      </c>
      <c r="H2616" s="4" t="inlineStr">
        <is>
          <t>14.10.2026</t>
        </is>
      </c>
      <c r="I2616" s="4" t="inlineStr">
        <is>
          <t>18:11</t>
        </is>
      </c>
      <c r="J2616" s="8" t="n">
        <v>8.5</v>
      </c>
      <c r="K2616" s="8" t="n">
        <v>7.5</v>
      </c>
      <c r="L2616" s="8" t="n">
        <v>1</v>
      </c>
      <c r="M2616" s="29" t="inlineStr">
        <is>
          <t>KARACABEY</t>
        </is>
      </c>
    </row>
    <row r="2617">
      <c r="A2617" s="4" t="n">
        <v>2616</v>
      </c>
      <c r="B2617" s="4" t="inlineStr">
        <is>
          <t>00234</t>
        </is>
      </c>
      <c r="C2617" s="4" t="inlineStr">
        <is>
          <t>00234</t>
        </is>
      </c>
      <c r="D2617" s="29" t="inlineStr">
        <is>
          <t>MÜCAHİT ÇOLAK</t>
        </is>
      </c>
      <c r="E2617" s="4" t="inlineStr">
        <is>
          <t>Perşembe</t>
        </is>
      </c>
      <c r="F2617" s="4" t="inlineStr">
        <is>
          <t>15.10.2026</t>
        </is>
      </c>
      <c r="G2617" s="4" t="inlineStr">
        <is>
          <t>07:46</t>
        </is>
      </c>
      <c r="H2617" s="4" t="inlineStr">
        <is>
          <t>15.10.2026</t>
        </is>
      </c>
      <c r="I2617" s="4" t="inlineStr">
        <is>
          <t>17:07</t>
        </is>
      </c>
      <c r="J2617" s="8" t="n">
        <v>7.5</v>
      </c>
      <c r="K2617" s="8" t="n">
        <v>7.5</v>
      </c>
      <c r="L2617" s="8" t="n">
        <v>0</v>
      </c>
      <c r="M2617" s="29" t="inlineStr">
        <is>
          <t>KARACABEY</t>
        </is>
      </c>
    </row>
    <row r="2618">
      <c r="A2618" s="4" t="n">
        <v>2617</v>
      </c>
      <c r="B2618" s="4" t="inlineStr">
        <is>
          <t>00234</t>
        </is>
      </c>
      <c r="C2618" s="4" t="inlineStr">
        <is>
          <t>00234</t>
        </is>
      </c>
      <c r="D2618" s="29" t="inlineStr">
        <is>
          <t>MÜCAHİT ÇOLAK</t>
        </is>
      </c>
      <c r="E2618" s="4" t="inlineStr">
        <is>
          <t>Cuma</t>
        </is>
      </c>
      <c r="F2618" s="4" t="inlineStr">
        <is>
          <t>16.10.2026</t>
        </is>
      </c>
      <c r="G2618" s="4" t="inlineStr">
        <is>
          <t>07:41</t>
        </is>
      </c>
      <c r="H2618" s="4" t="inlineStr">
        <is>
          <t>16.10.2026</t>
        </is>
      </c>
      <c r="I2618" s="4" t="inlineStr">
        <is>
          <t>17:18</t>
        </is>
      </c>
      <c r="J2618" s="8" t="n">
        <v>7.5</v>
      </c>
      <c r="K2618" s="8" t="n">
        <v>7.5</v>
      </c>
      <c r="L2618" s="8" t="n">
        <v>0</v>
      </c>
      <c r="M2618" s="29" t="inlineStr">
        <is>
          <t>KARACABEY</t>
        </is>
      </c>
    </row>
    <row r="2619">
      <c r="A2619" s="4" t="n">
        <v>2618</v>
      </c>
      <c r="B2619" s="4" t="inlineStr">
        <is>
          <t>00234</t>
        </is>
      </c>
      <c r="C2619" s="4" t="inlineStr">
        <is>
          <t>00234</t>
        </is>
      </c>
      <c r="D2619" s="29" t="inlineStr">
        <is>
          <t>MÜCAHİT ÇOLAK</t>
        </is>
      </c>
      <c r="E2619" s="4" t="inlineStr">
        <is>
          <t>Cumartesi</t>
        </is>
      </c>
      <c r="F2619" s="4" t="inlineStr">
        <is>
          <t>17.10.2026</t>
        </is>
      </c>
      <c r="G2619" s="4" t="inlineStr">
        <is>
          <t>07:44</t>
        </is>
      </c>
      <c r="H2619" s="4" t="inlineStr">
        <is>
          <t>17.10.2026</t>
        </is>
      </c>
      <c r="I2619" s="4" t="inlineStr">
        <is>
          <t>17:50</t>
        </is>
      </c>
      <c r="J2619" s="8" t="n">
        <v>8.5</v>
      </c>
      <c r="K2619" s="8" t="n">
        <v>7.5</v>
      </c>
      <c r="L2619" s="8" t="n">
        <v>1</v>
      </c>
      <c r="M2619" s="29" t="inlineStr">
        <is>
          <t>KARACABEY</t>
        </is>
      </c>
    </row>
    <row r="2620">
      <c r="A2620" s="4" t="n">
        <v>2619</v>
      </c>
      <c r="B2620" s="4" t="inlineStr">
        <is>
          <t>00234</t>
        </is>
      </c>
      <c r="C2620" s="4" t="inlineStr">
        <is>
          <t>00234</t>
        </is>
      </c>
      <c r="D2620" s="29" t="inlineStr">
        <is>
          <t>MÜCAHİT ÇOLAK</t>
        </is>
      </c>
      <c r="E2620" s="4" t="inlineStr">
        <is>
          <t>Pazartesi</t>
        </is>
      </c>
      <c r="F2620" s="4" t="inlineStr">
        <is>
          <t>19.10.2026</t>
        </is>
      </c>
      <c r="G2620" s="4" t="inlineStr">
        <is>
          <t>07:47</t>
        </is>
      </c>
      <c r="H2620" s="4" t="inlineStr">
        <is>
          <t>19.10.2026</t>
        </is>
      </c>
      <c r="I2620" s="4" t="inlineStr">
        <is>
          <t>17:47</t>
        </is>
      </c>
      <c r="J2620" s="8" t="n">
        <v>8.5</v>
      </c>
      <c r="K2620" s="8" t="n">
        <v>7.5</v>
      </c>
      <c r="L2620" s="8" t="n">
        <v>1</v>
      </c>
      <c r="M2620" s="29" t="inlineStr">
        <is>
          <t>KARACABEY</t>
        </is>
      </c>
    </row>
    <row r="2621">
      <c r="A2621" s="4" t="n">
        <v>2620</v>
      </c>
      <c r="B2621" s="4" t="inlineStr">
        <is>
          <t>00234</t>
        </is>
      </c>
      <c r="C2621" s="4" t="inlineStr">
        <is>
          <t>00234</t>
        </is>
      </c>
      <c r="D2621" s="29" t="inlineStr">
        <is>
          <t>MÜCAHİT ÇOLAK</t>
        </is>
      </c>
      <c r="E2621" s="4" t="inlineStr">
        <is>
          <t>Çarşamba</t>
        </is>
      </c>
      <c r="F2621" s="4" t="inlineStr">
        <is>
          <t>21.10.2026</t>
        </is>
      </c>
      <c r="G2621" s="4" t="inlineStr">
        <is>
          <t>07:47</t>
        </is>
      </c>
      <c r="H2621" s="4" t="inlineStr">
        <is>
          <t>21.10.2026</t>
        </is>
      </c>
      <c r="I2621" s="4" t="inlineStr">
        <is>
          <t>17:07</t>
        </is>
      </c>
      <c r="J2621" s="8" t="n">
        <v>7.5</v>
      </c>
      <c r="K2621" s="8" t="n">
        <v>7.5</v>
      </c>
      <c r="L2621" s="8" t="n">
        <v>0</v>
      </c>
      <c r="M2621" s="29" t="inlineStr">
        <is>
          <t>KARACABEY</t>
        </is>
      </c>
    </row>
    <row r="2622">
      <c r="A2622" s="4" t="n">
        <v>2621</v>
      </c>
      <c r="B2622" s="4" t="inlineStr">
        <is>
          <t>00716</t>
        </is>
      </c>
      <c r="C2622" s="4" t="inlineStr">
        <is>
          <t>00716</t>
        </is>
      </c>
      <c r="D2622" s="29" t="inlineStr">
        <is>
          <t>MÜRVET ŞAFAK</t>
        </is>
      </c>
      <c r="E2622" s="4" t="inlineStr">
        <is>
          <t>Perşembe</t>
        </is>
      </c>
      <c r="F2622" s="4" t="inlineStr">
        <is>
          <t>1.10.2026</t>
        </is>
      </c>
      <c r="G2622" s="4" t="inlineStr">
        <is>
          <t>07:38</t>
        </is>
      </c>
      <c r="H2622" s="4" t="inlineStr">
        <is>
          <t>1.10.2026</t>
        </is>
      </c>
      <c r="I2622" s="4" t="inlineStr">
        <is>
          <t>17:01</t>
        </is>
      </c>
      <c r="J2622" s="8" t="n">
        <v>7.5</v>
      </c>
      <c r="K2622" s="8" t="n">
        <v>7.5</v>
      </c>
      <c r="L2622" s="8" t="n">
        <v>0</v>
      </c>
      <c r="M2622" s="29" t="inlineStr">
        <is>
          <t>SUSURLUK TUR-REŞAT</t>
        </is>
      </c>
    </row>
    <row r="2623">
      <c r="A2623" s="4" t="n">
        <v>2622</v>
      </c>
      <c r="B2623" s="4" t="inlineStr">
        <is>
          <t>00716</t>
        </is>
      </c>
      <c r="C2623" s="4" t="inlineStr">
        <is>
          <t>00716</t>
        </is>
      </c>
      <c r="D2623" s="29" t="inlineStr">
        <is>
          <t>MÜRVET ŞAFAK</t>
        </is>
      </c>
      <c r="E2623" s="4" t="inlineStr">
        <is>
          <t>Cuma</t>
        </is>
      </c>
      <c r="F2623" s="4" t="inlineStr">
        <is>
          <t>2.10.2026</t>
        </is>
      </c>
      <c r="G2623" s="4" t="inlineStr">
        <is>
          <t>07:42</t>
        </is>
      </c>
      <c r="H2623" s="4" t="inlineStr">
        <is>
          <t>2.10.2026</t>
        </is>
      </c>
      <c r="I2623" s="4" t="inlineStr">
        <is>
          <t>17:04</t>
        </is>
      </c>
      <c r="J2623" s="8" t="n">
        <v>7.5</v>
      </c>
      <c r="K2623" s="8" t="n">
        <v>7.5</v>
      </c>
      <c r="L2623" s="8" t="n">
        <v>0</v>
      </c>
      <c r="M2623" s="29" t="inlineStr">
        <is>
          <t>SUSURLUK TUR-REŞAT</t>
        </is>
      </c>
    </row>
    <row r="2624">
      <c r="A2624" s="4" t="n">
        <v>2623</v>
      </c>
      <c r="B2624" s="4" t="inlineStr">
        <is>
          <t>00716</t>
        </is>
      </c>
      <c r="C2624" s="4" t="inlineStr">
        <is>
          <t>00716</t>
        </is>
      </c>
      <c r="D2624" s="29" t="inlineStr">
        <is>
          <t>MÜRVET ŞAFAK</t>
        </is>
      </c>
      <c r="E2624" s="4" t="inlineStr">
        <is>
          <t>Salı</t>
        </is>
      </c>
      <c r="F2624" s="4" t="inlineStr">
        <is>
          <t>6.10.2026</t>
        </is>
      </c>
      <c r="G2624" s="4" t="inlineStr">
        <is>
          <t>07:43</t>
        </is>
      </c>
      <c r="H2624" s="4" t="inlineStr">
        <is>
          <t>6.10.2026</t>
        </is>
      </c>
      <c r="I2624" s="4" t="inlineStr">
        <is>
          <t>17:04</t>
        </is>
      </c>
      <c r="J2624" s="8" t="n">
        <v>7.5</v>
      </c>
      <c r="K2624" s="8" t="n">
        <v>7.5</v>
      </c>
      <c r="L2624" s="8" t="n">
        <v>0</v>
      </c>
      <c r="M2624" s="29" t="inlineStr">
        <is>
          <t>SUSURLUK TUR-REŞAT</t>
        </is>
      </c>
    </row>
    <row r="2625">
      <c r="A2625" s="4" t="n">
        <v>2624</v>
      </c>
      <c r="B2625" s="4" t="inlineStr">
        <is>
          <t>00716</t>
        </is>
      </c>
      <c r="C2625" s="4" t="inlineStr">
        <is>
          <t>00716</t>
        </is>
      </c>
      <c r="D2625" s="29" t="inlineStr">
        <is>
          <t>MÜRVET ŞAFAK</t>
        </is>
      </c>
      <c r="E2625" s="4" t="inlineStr">
        <is>
          <t>Çarşamba</t>
        </is>
      </c>
      <c r="F2625" s="4" t="inlineStr">
        <is>
          <t>7.10.2026</t>
        </is>
      </c>
      <c r="G2625" s="4" t="inlineStr">
        <is>
          <t>07:41</t>
        </is>
      </c>
      <c r="H2625" s="4" t="inlineStr">
        <is>
          <t>7.10.2026</t>
        </is>
      </c>
      <c r="I2625" s="4" t="inlineStr">
        <is>
          <t>17:05</t>
        </is>
      </c>
      <c r="J2625" s="8" t="n">
        <v>7.5</v>
      </c>
      <c r="K2625" s="8" t="n">
        <v>7.5</v>
      </c>
      <c r="L2625" s="8" t="n">
        <v>0</v>
      </c>
      <c r="M2625" s="29" t="inlineStr">
        <is>
          <t>SUSURLUK TUR-REŞAT</t>
        </is>
      </c>
    </row>
    <row r="2626">
      <c r="A2626" s="4" t="n">
        <v>2625</v>
      </c>
      <c r="B2626" s="4" t="inlineStr">
        <is>
          <t>00716</t>
        </is>
      </c>
      <c r="C2626" s="4" t="inlineStr">
        <is>
          <t>00716</t>
        </is>
      </c>
      <c r="D2626" s="29" t="inlineStr">
        <is>
          <t>MÜRVET ŞAFAK</t>
        </is>
      </c>
      <c r="E2626" s="4" t="inlineStr">
        <is>
          <t>Cuma</t>
        </is>
      </c>
      <c r="F2626" s="4" t="inlineStr">
        <is>
          <t>9.10.2026</t>
        </is>
      </c>
      <c r="G2626" s="4" t="inlineStr">
        <is>
          <t>07:47</t>
        </is>
      </c>
      <c r="H2626" s="4" t="inlineStr">
        <is>
          <t>9.10.2026</t>
        </is>
      </c>
      <c r="I2626" s="4" t="inlineStr">
        <is>
          <t>17:04</t>
        </is>
      </c>
      <c r="J2626" s="8" t="n">
        <v>7.5</v>
      </c>
      <c r="K2626" s="8" t="n">
        <v>7.5</v>
      </c>
      <c r="L2626" s="8" t="n">
        <v>0</v>
      </c>
      <c r="M2626" s="29" t="inlineStr">
        <is>
          <t>SUSURLUK TUR-REŞAT</t>
        </is>
      </c>
    </row>
    <row r="2627">
      <c r="A2627" s="4" t="n">
        <v>2626</v>
      </c>
      <c r="B2627" s="4" t="inlineStr">
        <is>
          <t>00716</t>
        </is>
      </c>
      <c r="C2627" s="4" t="inlineStr">
        <is>
          <t>00716</t>
        </is>
      </c>
      <c r="D2627" s="29" t="inlineStr">
        <is>
          <t>MÜRVET ŞAFAK</t>
        </is>
      </c>
      <c r="E2627" s="4" t="inlineStr">
        <is>
          <t>Pazar</t>
        </is>
      </c>
      <c r="F2627" s="4" t="inlineStr">
        <is>
          <t>11.10.2026</t>
        </is>
      </c>
      <c r="G2627" s="4" t="inlineStr">
        <is>
          <t>07:40</t>
        </is>
      </c>
      <c r="H2627" s="4" t="inlineStr">
        <is>
          <t>11.10.2026</t>
        </is>
      </c>
      <c r="I2627" s="4" t="inlineStr">
        <is>
          <t>17:11</t>
        </is>
      </c>
      <c r="J2627" s="8" t="n">
        <v>7.5</v>
      </c>
      <c r="K2627" s="8" t="n">
        <v>7.5</v>
      </c>
      <c r="L2627" s="8" t="n">
        <v>0</v>
      </c>
      <c r="M2627" s="29" t="inlineStr">
        <is>
          <t>SUSURLUK TUR-REŞAT</t>
        </is>
      </c>
    </row>
    <row r="2628">
      <c r="A2628" s="4" t="n">
        <v>2627</v>
      </c>
      <c r="B2628" s="4" t="inlineStr">
        <is>
          <t>00716</t>
        </is>
      </c>
      <c r="C2628" s="4" t="inlineStr">
        <is>
          <t>00716</t>
        </is>
      </c>
      <c r="D2628" s="29" t="inlineStr">
        <is>
          <t>MÜRVET ŞAFAK</t>
        </is>
      </c>
      <c r="E2628" s="4" t="inlineStr">
        <is>
          <t>Pazartesi</t>
        </is>
      </c>
      <c r="F2628" s="4" t="inlineStr">
        <is>
          <t>12.10.2026</t>
        </is>
      </c>
      <c r="G2628" s="4" t="inlineStr">
        <is>
          <t>07:49</t>
        </is>
      </c>
      <c r="H2628" s="4" t="inlineStr">
        <is>
          <t>12.10.2026</t>
        </is>
      </c>
      <c r="I2628" s="4" t="inlineStr">
        <is>
          <t>17:04</t>
        </is>
      </c>
      <c r="J2628" s="8" t="n">
        <v>7.5</v>
      </c>
      <c r="K2628" s="8" t="n">
        <v>7.5</v>
      </c>
      <c r="L2628" s="8" t="n">
        <v>0</v>
      </c>
      <c r="M2628" s="29" t="inlineStr">
        <is>
          <t>SUSURLUK TUR-REŞAT</t>
        </is>
      </c>
    </row>
    <row r="2629">
      <c r="A2629" s="4" t="n">
        <v>2628</v>
      </c>
      <c r="B2629" s="4" t="inlineStr">
        <is>
          <t>00716</t>
        </is>
      </c>
      <c r="C2629" s="4" t="inlineStr">
        <is>
          <t>00716</t>
        </is>
      </c>
      <c r="D2629" s="29" t="inlineStr">
        <is>
          <t>MÜRVET ŞAFAK</t>
        </is>
      </c>
      <c r="E2629" s="4" t="inlineStr">
        <is>
          <t>Salı</t>
        </is>
      </c>
      <c r="F2629" s="4" t="inlineStr">
        <is>
          <t>13.10.2026</t>
        </is>
      </c>
      <c r="G2629" s="4" t="inlineStr">
        <is>
          <t>07:47</t>
        </is>
      </c>
      <c r="H2629" s="4" t="inlineStr">
        <is>
          <t>13.10.2026</t>
        </is>
      </c>
      <c r="I2629" s="4" t="inlineStr">
        <is>
          <t>17:06</t>
        </is>
      </c>
      <c r="J2629" s="8" t="n">
        <v>7.5</v>
      </c>
      <c r="K2629" s="8" t="n">
        <v>7.5</v>
      </c>
      <c r="L2629" s="8" t="n">
        <v>0</v>
      </c>
      <c r="M2629" s="29" t="inlineStr">
        <is>
          <t>SUSURLUK TUR-REŞAT</t>
        </is>
      </c>
    </row>
    <row r="2630">
      <c r="A2630" s="4" t="n">
        <v>2629</v>
      </c>
      <c r="B2630" s="4" t="inlineStr">
        <is>
          <t>00716</t>
        </is>
      </c>
      <c r="C2630" s="4" t="inlineStr">
        <is>
          <t>00716</t>
        </is>
      </c>
      <c r="D2630" s="29" t="inlineStr">
        <is>
          <t>MÜRVET ŞAFAK</t>
        </is>
      </c>
      <c r="E2630" s="4" t="inlineStr">
        <is>
          <t>Pazartesi</t>
        </is>
      </c>
      <c r="F2630" s="4" t="inlineStr">
        <is>
          <t>19.10.2026</t>
        </is>
      </c>
      <c r="G2630" s="4" t="inlineStr">
        <is>
          <t>07:39</t>
        </is>
      </c>
      <c r="H2630" s="4" t="inlineStr">
        <is>
          <t>19.10.2026</t>
        </is>
      </c>
      <c r="I2630" s="4" t="inlineStr">
        <is>
          <t>17:05</t>
        </is>
      </c>
      <c r="J2630" s="8" t="n">
        <v>7.5</v>
      </c>
      <c r="K2630" s="8" t="n">
        <v>7.5</v>
      </c>
      <c r="L2630" s="8" t="n">
        <v>0</v>
      </c>
      <c r="M2630" s="29" t="inlineStr">
        <is>
          <t>SUSURLUK TUR-REŞAT</t>
        </is>
      </c>
    </row>
    <row r="2631">
      <c r="A2631" s="4" t="n">
        <v>2630</v>
      </c>
      <c r="B2631" s="4" t="inlineStr">
        <is>
          <t>00716</t>
        </is>
      </c>
      <c r="C2631" s="4" t="inlineStr">
        <is>
          <t>00716</t>
        </is>
      </c>
      <c r="D2631" s="29" t="inlineStr">
        <is>
          <t>MÜRVET ŞAFAK</t>
        </is>
      </c>
      <c r="E2631" s="4" t="inlineStr">
        <is>
          <t>Salı</t>
        </is>
      </c>
      <c r="F2631" s="4" t="inlineStr">
        <is>
          <t>20.10.2026</t>
        </is>
      </c>
      <c r="G2631" s="4" t="inlineStr">
        <is>
          <t>07:41</t>
        </is>
      </c>
      <c r="H2631" s="4" t="inlineStr">
        <is>
          <t>20.10.2026</t>
        </is>
      </c>
      <c r="I2631" s="4" t="inlineStr">
        <is>
          <t>17:03</t>
        </is>
      </c>
      <c r="J2631" s="8" t="n">
        <v>7.5</v>
      </c>
      <c r="K2631" s="8" t="n">
        <v>7.5</v>
      </c>
      <c r="L2631" s="8" t="n">
        <v>0</v>
      </c>
      <c r="M2631" s="29" t="inlineStr">
        <is>
          <t>SUSURLUK TUR-REŞAT</t>
        </is>
      </c>
    </row>
    <row r="2632">
      <c r="A2632" s="4" t="n">
        <v>2631</v>
      </c>
      <c r="B2632" s="4" t="inlineStr">
        <is>
          <t>00716</t>
        </is>
      </c>
      <c r="C2632" s="4" t="inlineStr">
        <is>
          <t>00716</t>
        </is>
      </c>
      <c r="D2632" s="29" t="inlineStr">
        <is>
          <t>MÜRVET ŞAFAK</t>
        </is>
      </c>
      <c r="E2632" s="4" t="inlineStr">
        <is>
          <t>Çarşamba</t>
        </is>
      </c>
      <c r="F2632" s="4" t="inlineStr">
        <is>
          <t>21.10.2026</t>
        </is>
      </c>
      <c r="G2632" s="4" t="inlineStr">
        <is>
          <t>07:38</t>
        </is>
      </c>
      <c r="H2632" s="4" t="inlineStr">
        <is>
          <t>21.10.2026</t>
        </is>
      </c>
      <c r="I2632" s="4" t="inlineStr">
        <is>
          <t>17:54</t>
        </is>
      </c>
      <c r="J2632" s="8" t="n">
        <v>8.5</v>
      </c>
      <c r="K2632" s="8" t="n">
        <v>7.5</v>
      </c>
      <c r="L2632" s="8" t="n">
        <v>1</v>
      </c>
      <c r="M2632" s="29" t="inlineStr">
        <is>
          <t>SUSURLUK TUR-REŞAT</t>
        </is>
      </c>
    </row>
    <row r="2633">
      <c r="A2633" s="4" t="n">
        <v>2632</v>
      </c>
      <c r="B2633" s="4" t="inlineStr">
        <is>
          <t>01056</t>
        </is>
      </c>
      <c r="C2633" s="4" t="inlineStr">
        <is>
          <t>01056</t>
        </is>
      </c>
      <c r="D2633" s="29" t="inlineStr">
        <is>
          <t>MÜRVET ÇAKAN</t>
        </is>
      </c>
      <c r="E2633" s="4" t="inlineStr">
        <is>
          <t>Perşembe</t>
        </is>
      </c>
      <c r="F2633" s="4" t="inlineStr">
        <is>
          <t>1.10.2026</t>
        </is>
      </c>
      <c r="G2633" s="4" t="inlineStr">
        <is>
          <t>07:54</t>
        </is>
      </c>
      <c r="H2633" s="4" t="inlineStr">
        <is>
          <t>1.10.2026</t>
        </is>
      </c>
      <c r="I2633" s="4" t="inlineStr">
        <is>
          <t>17:28</t>
        </is>
      </c>
      <c r="J2633" s="8" t="n">
        <v>8</v>
      </c>
      <c r="K2633" s="8" t="n">
        <v>7.5</v>
      </c>
      <c r="L2633" s="8" t="n">
        <v>0.5</v>
      </c>
      <c r="M2633" s="29" t="inlineStr">
        <is>
          <t>HALİL DİĞRENCİ</t>
        </is>
      </c>
    </row>
    <row r="2634">
      <c r="A2634" s="4" t="n">
        <v>2633</v>
      </c>
      <c r="B2634" s="4" t="inlineStr">
        <is>
          <t>01056</t>
        </is>
      </c>
      <c r="C2634" s="4" t="inlineStr">
        <is>
          <t>01056</t>
        </is>
      </c>
      <c r="D2634" s="29" t="inlineStr">
        <is>
          <t>MÜRVET ÇAKAN</t>
        </is>
      </c>
      <c r="E2634" s="4" t="inlineStr">
        <is>
          <t>Cuma</t>
        </is>
      </c>
      <c r="F2634" s="4" t="inlineStr">
        <is>
          <t>2.10.2026</t>
        </is>
      </c>
      <c r="G2634" s="4" t="inlineStr">
        <is>
          <t>07:58</t>
        </is>
      </c>
      <c r="H2634" s="4" t="inlineStr">
        <is>
          <t>2.10.2026</t>
        </is>
      </c>
      <c r="I2634" s="4" t="inlineStr">
        <is>
          <t>17:52</t>
        </is>
      </c>
      <c r="J2634" s="8" t="n">
        <v>8.5</v>
      </c>
      <c r="K2634" s="8" t="n">
        <v>7.5</v>
      </c>
      <c r="L2634" s="8" t="n">
        <v>1</v>
      </c>
      <c r="M2634" s="29" t="inlineStr">
        <is>
          <t>HALİL DİĞRENCİ</t>
        </is>
      </c>
    </row>
    <row r="2635">
      <c r="A2635" s="4" t="n">
        <v>2634</v>
      </c>
      <c r="B2635" s="4" t="inlineStr">
        <is>
          <t>01056</t>
        </is>
      </c>
      <c r="C2635" s="4" t="inlineStr">
        <is>
          <t>01056</t>
        </is>
      </c>
      <c r="D2635" s="29" t="inlineStr">
        <is>
          <t>MÜRVET ÇAKAN</t>
        </is>
      </c>
      <c r="E2635" s="4" t="inlineStr">
        <is>
          <t>Cumartesi</t>
        </is>
      </c>
      <c r="F2635" s="4" t="inlineStr">
        <is>
          <t>3.10.2026</t>
        </is>
      </c>
      <c r="G2635" s="4" t="inlineStr">
        <is>
          <t>08:00</t>
        </is>
      </c>
      <c r="H2635" s="4" t="inlineStr">
        <is>
          <t>3.10.2026</t>
        </is>
      </c>
      <c r="I2635" s="4" t="inlineStr">
        <is>
          <t>17:39</t>
        </is>
      </c>
      <c r="J2635" s="8" t="n">
        <v>8</v>
      </c>
      <c r="K2635" s="8" t="n">
        <v>7.5</v>
      </c>
      <c r="L2635" s="8" t="n">
        <v>0.5</v>
      </c>
      <c r="M2635" s="29" t="inlineStr">
        <is>
          <t>HALİL DİĞRENCİ</t>
        </is>
      </c>
    </row>
    <row r="2636">
      <c r="A2636" s="4" t="n">
        <v>2635</v>
      </c>
      <c r="B2636" s="4" t="inlineStr">
        <is>
          <t>01056</t>
        </is>
      </c>
      <c r="C2636" s="4" t="inlineStr">
        <is>
          <t>01056</t>
        </is>
      </c>
      <c r="D2636" s="29" t="inlineStr">
        <is>
          <t>MÜRVET ÇAKAN</t>
        </is>
      </c>
      <c r="E2636" s="4" t="inlineStr">
        <is>
          <t>Pazartesi</t>
        </is>
      </c>
      <c r="F2636" s="4" t="inlineStr">
        <is>
          <t>5.10.2026</t>
        </is>
      </c>
      <c r="G2636" s="4" t="inlineStr">
        <is>
          <t>07:59</t>
        </is>
      </c>
      <c r="H2636" s="4" t="inlineStr">
        <is>
          <t>5.10.2026</t>
        </is>
      </c>
      <c r="I2636" s="4" t="inlineStr">
        <is>
          <t>17:03</t>
        </is>
      </c>
      <c r="J2636" s="8" t="n">
        <v>7.5</v>
      </c>
      <c r="K2636" s="8" t="n">
        <v>7.5</v>
      </c>
      <c r="L2636" s="8" t="n">
        <v>0</v>
      </c>
      <c r="M2636" s="29" t="inlineStr">
        <is>
          <t>HALİL DİĞRENCİ</t>
        </is>
      </c>
    </row>
    <row r="2637">
      <c r="A2637" s="4" t="n">
        <v>2636</v>
      </c>
      <c r="B2637" s="4" t="inlineStr">
        <is>
          <t>01056</t>
        </is>
      </c>
      <c r="C2637" s="4" t="inlineStr">
        <is>
          <t>01056</t>
        </is>
      </c>
      <c r="D2637" s="29" t="inlineStr">
        <is>
          <t>MÜRVET ÇAKAN</t>
        </is>
      </c>
      <c r="E2637" s="4" t="inlineStr">
        <is>
          <t>Salı</t>
        </is>
      </c>
      <c r="F2637" s="4" t="inlineStr">
        <is>
          <t>6.10.2026</t>
        </is>
      </c>
      <c r="G2637" s="4" t="inlineStr">
        <is>
          <t>07:35</t>
        </is>
      </c>
      <c r="H2637" s="4" t="inlineStr">
        <is>
          <t>6.10.2026</t>
        </is>
      </c>
      <c r="I2637" s="4" t="inlineStr">
        <is>
          <t>17:43</t>
        </is>
      </c>
      <c r="J2637" s="8" t="n">
        <v>8</v>
      </c>
      <c r="K2637" s="8" t="n">
        <v>7.5</v>
      </c>
      <c r="L2637" s="8" t="n">
        <v>0.5</v>
      </c>
      <c r="M2637" s="29" t="inlineStr">
        <is>
          <t>HALİL DİĞRENCİ</t>
        </is>
      </c>
    </row>
    <row r="2638">
      <c r="A2638" s="4" t="n">
        <v>2637</v>
      </c>
      <c r="B2638" s="4" t="inlineStr">
        <is>
          <t>01056</t>
        </is>
      </c>
      <c r="C2638" s="4" t="inlineStr">
        <is>
          <t>01056</t>
        </is>
      </c>
      <c r="D2638" s="29" t="inlineStr">
        <is>
          <t>MÜRVET ÇAKAN</t>
        </is>
      </c>
      <c r="E2638" s="4" t="inlineStr">
        <is>
          <t>Çarşamba</t>
        </is>
      </c>
      <c r="F2638" s="4" t="inlineStr">
        <is>
          <t>7.10.2026</t>
        </is>
      </c>
      <c r="G2638" s="4" t="inlineStr">
        <is>
          <t>07:32</t>
        </is>
      </c>
      <c r="H2638" s="4" t="inlineStr">
        <is>
          <t>7.10.2026</t>
        </is>
      </c>
      <c r="I2638" s="4" t="inlineStr">
        <is>
          <t>17:25</t>
        </is>
      </c>
      <c r="J2638" s="8" t="n">
        <v>8</v>
      </c>
      <c r="K2638" s="8" t="n">
        <v>7.5</v>
      </c>
      <c r="L2638" s="8" t="n">
        <v>0.5</v>
      </c>
      <c r="M2638" s="29" t="inlineStr">
        <is>
          <t>HALİL DİĞRENCİ</t>
        </is>
      </c>
    </row>
    <row r="2639">
      <c r="A2639" s="4" t="n">
        <v>2638</v>
      </c>
      <c r="B2639" s="4" t="inlineStr">
        <is>
          <t>01056</t>
        </is>
      </c>
      <c r="C2639" s="4" t="inlineStr">
        <is>
          <t>01056</t>
        </is>
      </c>
      <c r="D2639" s="29" t="inlineStr">
        <is>
          <t>MÜRVET ÇAKAN</t>
        </is>
      </c>
      <c r="E2639" s="4" t="inlineStr">
        <is>
          <t>Perşembe</t>
        </is>
      </c>
      <c r="F2639" s="4" t="inlineStr">
        <is>
          <t>8.10.2026</t>
        </is>
      </c>
      <c r="G2639" s="4" t="inlineStr">
        <is>
          <t>07:32</t>
        </is>
      </c>
      <c r="H2639" s="4" t="inlineStr">
        <is>
          <t>8.10.2026</t>
        </is>
      </c>
      <c r="I2639" s="4" t="inlineStr">
        <is>
          <t>17:38</t>
        </is>
      </c>
      <c r="J2639" s="8" t="n">
        <v>8</v>
      </c>
      <c r="K2639" s="8" t="n">
        <v>7.5</v>
      </c>
      <c r="L2639" s="8" t="n">
        <v>0.5</v>
      </c>
      <c r="M2639" s="29" t="inlineStr">
        <is>
          <t>HALİL DİĞRENCİ</t>
        </is>
      </c>
    </row>
    <row r="2640">
      <c r="A2640" s="4" t="n">
        <v>2639</v>
      </c>
      <c r="B2640" s="4" t="inlineStr">
        <is>
          <t>01056</t>
        </is>
      </c>
      <c r="C2640" s="4" t="inlineStr">
        <is>
          <t>01056</t>
        </is>
      </c>
      <c r="D2640" s="29" t="inlineStr">
        <is>
          <t>MÜRVET ÇAKAN</t>
        </is>
      </c>
      <c r="E2640" s="4" t="inlineStr">
        <is>
          <t>Cuma</t>
        </is>
      </c>
      <c r="F2640" s="4" t="inlineStr">
        <is>
          <t>9.10.2026</t>
        </is>
      </c>
      <c r="G2640" s="4" t="inlineStr">
        <is>
          <t>07:55</t>
        </is>
      </c>
      <c r="H2640" s="4" t="inlineStr">
        <is>
          <t>9.10.2026</t>
        </is>
      </c>
      <c r="I2640" s="4" t="inlineStr">
        <is>
          <t>17:44</t>
        </is>
      </c>
      <c r="J2640" s="8" t="n">
        <v>8</v>
      </c>
      <c r="K2640" s="8" t="n">
        <v>7.5</v>
      </c>
      <c r="L2640" s="8" t="n">
        <v>0.5</v>
      </c>
      <c r="M2640" s="29" t="inlineStr">
        <is>
          <t>HALİL DİĞRENCİ</t>
        </is>
      </c>
    </row>
    <row r="2641">
      <c r="A2641" s="4" t="n">
        <v>2640</v>
      </c>
      <c r="B2641" s="4" t="inlineStr">
        <is>
          <t>01056</t>
        </is>
      </c>
      <c r="C2641" s="4" t="inlineStr">
        <is>
          <t>01056</t>
        </is>
      </c>
      <c r="D2641" s="29" t="inlineStr">
        <is>
          <t>MÜRVET ÇAKAN</t>
        </is>
      </c>
      <c r="E2641" s="4" t="inlineStr">
        <is>
          <t>Cumartesi</t>
        </is>
      </c>
      <c r="F2641" s="4" t="inlineStr">
        <is>
          <t>10.10.2026</t>
        </is>
      </c>
      <c r="G2641" s="4" t="inlineStr">
        <is>
          <t>07:36</t>
        </is>
      </c>
      <c r="H2641" s="4" t="inlineStr">
        <is>
          <t>10.10.2026</t>
        </is>
      </c>
      <c r="I2641" s="4" t="inlineStr">
        <is>
          <t>18:15</t>
        </is>
      </c>
      <c r="J2641" s="8" t="n">
        <v>8.5</v>
      </c>
      <c r="K2641" s="8" t="n">
        <v>7.5</v>
      </c>
      <c r="L2641" s="8" t="n">
        <v>1</v>
      </c>
      <c r="M2641" s="29" t="inlineStr">
        <is>
          <t>HALİL DİĞRENCİ</t>
        </is>
      </c>
    </row>
    <row r="2642">
      <c r="A2642" s="4" t="n">
        <v>2641</v>
      </c>
      <c r="B2642" s="4" t="inlineStr">
        <is>
          <t>01056</t>
        </is>
      </c>
      <c r="C2642" s="4" t="inlineStr">
        <is>
          <t>01056</t>
        </is>
      </c>
      <c r="D2642" s="29" t="inlineStr">
        <is>
          <t>MÜRVET ÇAKAN</t>
        </is>
      </c>
      <c r="E2642" s="4" t="inlineStr">
        <is>
          <t>Pazartesi</t>
        </is>
      </c>
      <c r="F2642" s="4" t="inlineStr">
        <is>
          <t>12.10.2026</t>
        </is>
      </c>
      <c r="G2642" s="4" t="inlineStr">
        <is>
          <t>07:36</t>
        </is>
      </c>
      <c r="H2642" s="4" t="inlineStr">
        <is>
          <t>12.10.2026</t>
        </is>
      </c>
      <c r="I2642" s="4" t="inlineStr">
        <is>
          <t>17:05</t>
        </is>
      </c>
      <c r="J2642" s="8" t="n">
        <v>7.5</v>
      </c>
      <c r="K2642" s="8" t="n">
        <v>7.5</v>
      </c>
      <c r="L2642" s="8" t="n">
        <v>0</v>
      </c>
      <c r="M2642" s="29" t="inlineStr">
        <is>
          <t>HALİL DİĞRENCİ</t>
        </is>
      </c>
    </row>
    <row r="2643">
      <c r="A2643" s="4" t="n">
        <v>2642</v>
      </c>
      <c r="B2643" s="4" t="inlineStr">
        <is>
          <t>01056</t>
        </is>
      </c>
      <c r="C2643" s="4" t="inlineStr">
        <is>
          <t>01056</t>
        </is>
      </c>
      <c r="D2643" s="29" t="inlineStr">
        <is>
          <t>MÜRVET ÇAKAN</t>
        </is>
      </c>
      <c r="E2643" s="4" t="inlineStr">
        <is>
          <t>Çarşamba</t>
        </is>
      </c>
      <c r="F2643" s="4" t="inlineStr">
        <is>
          <t>14.10.2026</t>
        </is>
      </c>
      <c r="G2643" s="4" t="inlineStr">
        <is>
          <t>07:35</t>
        </is>
      </c>
      <c r="H2643" s="4" t="inlineStr">
        <is>
          <t>14.10.2026</t>
        </is>
      </c>
      <c r="I2643" s="4" t="inlineStr">
        <is>
          <t>18:07</t>
        </is>
      </c>
      <c r="J2643" s="8" t="n">
        <v>8.5</v>
      </c>
      <c r="K2643" s="8" t="n">
        <v>7.5</v>
      </c>
      <c r="L2643" s="8" t="n">
        <v>1</v>
      </c>
      <c r="M2643" s="29" t="inlineStr">
        <is>
          <t>HALİL DİĞRENCİ</t>
        </is>
      </c>
    </row>
    <row r="2644">
      <c r="A2644" s="4" t="n">
        <v>2643</v>
      </c>
      <c r="B2644" s="4" t="inlineStr">
        <is>
          <t>01056</t>
        </is>
      </c>
      <c r="C2644" s="4" t="inlineStr">
        <is>
          <t>01056</t>
        </is>
      </c>
      <c r="D2644" s="29" t="inlineStr">
        <is>
          <t>MÜRVET ÇAKAN</t>
        </is>
      </c>
      <c r="E2644" s="4" t="inlineStr">
        <is>
          <t>Perşembe</t>
        </is>
      </c>
      <c r="F2644" s="4" t="inlineStr">
        <is>
          <t>15.10.2026</t>
        </is>
      </c>
      <c r="G2644" s="4" t="inlineStr">
        <is>
          <t>07:33</t>
        </is>
      </c>
      <c r="H2644" s="4" t="inlineStr">
        <is>
          <t>15.10.2026</t>
        </is>
      </c>
      <c r="I2644" s="4" t="inlineStr">
        <is>
          <t>17:02</t>
        </is>
      </c>
      <c r="J2644" s="8" t="n">
        <v>7.5</v>
      </c>
      <c r="K2644" s="8" t="n">
        <v>7.5</v>
      </c>
      <c r="L2644" s="8" t="n">
        <v>0</v>
      </c>
      <c r="M2644" s="29" t="inlineStr">
        <is>
          <t>HALİL DİĞRENCİ</t>
        </is>
      </c>
    </row>
    <row r="2645">
      <c r="A2645" s="4" t="n">
        <v>2644</v>
      </c>
      <c r="B2645" s="4" t="inlineStr">
        <is>
          <t>01056</t>
        </is>
      </c>
      <c r="C2645" s="4" t="inlineStr">
        <is>
          <t>01056</t>
        </is>
      </c>
      <c r="D2645" s="29" t="inlineStr">
        <is>
          <t>MÜRVET ÇAKAN</t>
        </is>
      </c>
      <c r="E2645" s="4" t="inlineStr">
        <is>
          <t>Cuma</t>
        </is>
      </c>
      <c r="F2645" s="4" t="inlineStr">
        <is>
          <t>16.10.2026</t>
        </is>
      </c>
      <c r="G2645" s="4" t="inlineStr">
        <is>
          <t>07:49</t>
        </is>
      </c>
      <c r="H2645" s="4" t="inlineStr">
        <is>
          <t>16.10.2026</t>
        </is>
      </c>
      <c r="I2645" s="4" t="inlineStr">
        <is>
          <t>17:16</t>
        </is>
      </c>
      <c r="J2645" s="8" t="n">
        <v>7.5</v>
      </c>
      <c r="K2645" s="8" t="n">
        <v>7.5</v>
      </c>
      <c r="L2645" s="8" t="n">
        <v>0</v>
      </c>
      <c r="M2645" s="29" t="inlineStr">
        <is>
          <t>HALİL DİĞRENCİ</t>
        </is>
      </c>
    </row>
    <row r="2646">
      <c r="A2646" s="4" t="n">
        <v>2645</v>
      </c>
      <c r="B2646" s="4" t="inlineStr">
        <is>
          <t>01056</t>
        </is>
      </c>
      <c r="C2646" s="4" t="inlineStr">
        <is>
          <t>01056</t>
        </is>
      </c>
      <c r="D2646" s="29" t="inlineStr">
        <is>
          <t>MÜRVET ÇAKAN</t>
        </is>
      </c>
      <c r="E2646" s="4" t="inlineStr">
        <is>
          <t>Cumartesi</t>
        </is>
      </c>
      <c r="F2646" s="4" t="inlineStr">
        <is>
          <t>17.10.2026</t>
        </is>
      </c>
      <c r="G2646" s="4" t="inlineStr">
        <is>
          <t>07:56</t>
        </is>
      </c>
      <c r="H2646" s="4" t="inlineStr">
        <is>
          <t>17.10.2026</t>
        </is>
      </c>
      <c r="I2646" s="4" t="inlineStr">
        <is>
          <t>17:54</t>
        </is>
      </c>
      <c r="J2646" s="8" t="n">
        <v>8.5</v>
      </c>
      <c r="K2646" s="8" t="n">
        <v>7.5</v>
      </c>
      <c r="L2646" s="8" t="n">
        <v>1</v>
      </c>
      <c r="M2646" s="29" t="inlineStr">
        <is>
          <t>HALİL DİĞRENCİ</t>
        </is>
      </c>
    </row>
    <row r="2647">
      <c r="A2647" s="4" t="n">
        <v>2646</v>
      </c>
      <c r="B2647" s="4" t="inlineStr">
        <is>
          <t>01056</t>
        </is>
      </c>
      <c r="C2647" s="4" t="inlineStr">
        <is>
          <t>01056</t>
        </is>
      </c>
      <c r="D2647" s="29" t="inlineStr">
        <is>
          <t>MÜRVET ÇAKAN</t>
        </is>
      </c>
      <c r="E2647" s="4" t="inlineStr">
        <is>
          <t>Pazartesi</t>
        </is>
      </c>
      <c r="F2647" s="4" t="inlineStr">
        <is>
          <t>19.10.2026</t>
        </is>
      </c>
      <c r="G2647" s="4" t="inlineStr">
        <is>
          <t>07:35</t>
        </is>
      </c>
      <c r="H2647" s="4" t="inlineStr">
        <is>
          <t>19.10.2026</t>
        </is>
      </c>
      <c r="I2647" s="4" t="inlineStr">
        <is>
          <t>17:48</t>
        </is>
      </c>
      <c r="J2647" s="8" t="n">
        <v>8.5</v>
      </c>
      <c r="K2647" s="8" t="n">
        <v>7.5</v>
      </c>
      <c r="L2647" s="8" t="n">
        <v>1</v>
      </c>
      <c r="M2647" s="29" t="inlineStr">
        <is>
          <t>HALİL DİĞRENCİ</t>
        </is>
      </c>
    </row>
    <row r="2648">
      <c r="A2648" s="4" t="n">
        <v>2647</v>
      </c>
      <c r="B2648" s="4" t="inlineStr">
        <is>
          <t>01056</t>
        </is>
      </c>
      <c r="C2648" s="4" t="inlineStr">
        <is>
          <t>01056</t>
        </is>
      </c>
      <c r="D2648" s="29" t="inlineStr">
        <is>
          <t>MÜRVET ÇAKAN</t>
        </is>
      </c>
      <c r="E2648" s="4" t="inlineStr">
        <is>
          <t>Salı</t>
        </is>
      </c>
      <c r="F2648" s="4" t="inlineStr">
        <is>
          <t>20.10.2026</t>
        </is>
      </c>
      <c r="G2648" s="4" t="inlineStr">
        <is>
          <t>07:31</t>
        </is>
      </c>
      <c r="H2648" s="4" t="inlineStr">
        <is>
          <t>20.10.2026</t>
        </is>
      </c>
      <c r="I2648" s="4" t="inlineStr">
        <is>
          <t>17:02</t>
        </is>
      </c>
      <c r="J2648" s="8" t="n">
        <v>7.5</v>
      </c>
      <c r="K2648" s="8" t="n">
        <v>7.5</v>
      </c>
      <c r="L2648" s="8" t="n">
        <v>0</v>
      </c>
      <c r="M2648" s="29" t="inlineStr">
        <is>
          <t>HALİL DİĞRENCİ</t>
        </is>
      </c>
    </row>
    <row r="2649">
      <c r="A2649" s="4" t="n">
        <v>2648</v>
      </c>
      <c r="B2649" s="4" t="inlineStr">
        <is>
          <t>00120</t>
        </is>
      </c>
      <c r="C2649" s="4" t="inlineStr">
        <is>
          <t>00120</t>
        </is>
      </c>
      <c r="D2649" s="29" t="inlineStr">
        <is>
          <t>MÜZEYYEN ERDİNÇ</t>
        </is>
      </c>
      <c r="E2649" s="4" t="inlineStr">
        <is>
          <t>Perşembe</t>
        </is>
      </c>
      <c r="F2649" s="4" t="inlineStr">
        <is>
          <t>1.10.2026</t>
        </is>
      </c>
      <c r="G2649" s="4" t="inlineStr">
        <is>
          <t>07:51</t>
        </is>
      </c>
      <c r="H2649" s="4" t="inlineStr">
        <is>
          <t>1.10.2026</t>
        </is>
      </c>
      <c r="I2649" s="4" t="inlineStr">
        <is>
          <t>17:29</t>
        </is>
      </c>
      <c r="J2649" s="8" t="n">
        <v>8</v>
      </c>
      <c r="K2649" s="8" t="n">
        <v>7.5</v>
      </c>
      <c r="L2649" s="8" t="n">
        <v>0.5</v>
      </c>
      <c r="M2649" s="29" t="inlineStr">
        <is>
          <t>BALIKESİR</t>
        </is>
      </c>
    </row>
    <row r="2650">
      <c r="A2650" s="4" t="n">
        <v>2649</v>
      </c>
      <c r="B2650" s="4" t="inlineStr">
        <is>
          <t>00120</t>
        </is>
      </c>
      <c r="C2650" s="4" t="inlineStr">
        <is>
          <t>00120</t>
        </is>
      </c>
      <c r="D2650" s="29" t="inlineStr">
        <is>
          <t>MÜZEYYEN ERDİNÇ</t>
        </is>
      </c>
      <c r="E2650" s="4" t="inlineStr">
        <is>
          <t>Cuma</t>
        </is>
      </c>
      <c r="F2650" s="4" t="inlineStr">
        <is>
          <t>2.10.2026</t>
        </is>
      </c>
      <c r="G2650" s="4" t="inlineStr">
        <is>
          <t>07:56</t>
        </is>
      </c>
      <c r="H2650" s="4" t="inlineStr">
        <is>
          <t>2.10.2026</t>
        </is>
      </c>
      <c r="I2650" s="4" t="inlineStr">
        <is>
          <t>17:46</t>
        </is>
      </c>
      <c r="J2650" s="8" t="n">
        <v>8.5</v>
      </c>
      <c r="K2650" s="8" t="n">
        <v>7.5</v>
      </c>
      <c r="L2650" s="8" t="n">
        <v>1</v>
      </c>
      <c r="M2650" s="29" t="inlineStr">
        <is>
          <t>BALIKESİR</t>
        </is>
      </c>
    </row>
    <row r="2651">
      <c r="A2651" s="4" t="n">
        <v>2650</v>
      </c>
      <c r="B2651" s="4" t="inlineStr">
        <is>
          <t>00120</t>
        </is>
      </c>
      <c r="C2651" s="4" t="inlineStr">
        <is>
          <t>00120</t>
        </is>
      </c>
      <c r="D2651" s="29" t="inlineStr">
        <is>
          <t>MÜZEYYEN ERDİNÇ</t>
        </is>
      </c>
      <c r="E2651" s="4" t="inlineStr">
        <is>
          <t>Cumartesi</t>
        </is>
      </c>
      <c r="F2651" s="4" t="inlineStr">
        <is>
          <t>3.10.2026</t>
        </is>
      </c>
      <c r="G2651" s="4" t="inlineStr">
        <is>
          <t>07:55</t>
        </is>
      </c>
      <c r="H2651" s="4" t="inlineStr">
        <is>
          <t>3.10.2026</t>
        </is>
      </c>
      <c r="I2651" s="4" t="inlineStr">
        <is>
          <t>17:36</t>
        </is>
      </c>
      <c r="J2651" s="8" t="n">
        <v>8</v>
      </c>
      <c r="K2651" s="8" t="n">
        <v>7.5</v>
      </c>
      <c r="L2651" s="8" t="n">
        <v>0.5</v>
      </c>
      <c r="M2651" s="29" t="inlineStr">
        <is>
          <t>BALIKESİR</t>
        </is>
      </c>
    </row>
    <row r="2652">
      <c r="A2652" s="4" t="n">
        <v>2651</v>
      </c>
      <c r="B2652" s="4" t="inlineStr">
        <is>
          <t>00120</t>
        </is>
      </c>
      <c r="C2652" s="4" t="inlineStr">
        <is>
          <t>00120</t>
        </is>
      </c>
      <c r="D2652" s="29" t="inlineStr">
        <is>
          <t>MÜZEYYEN ERDİNÇ</t>
        </is>
      </c>
      <c r="E2652" s="4" t="inlineStr">
        <is>
          <t>Pazartesi</t>
        </is>
      </c>
      <c r="F2652" s="4" t="inlineStr">
        <is>
          <t>5.10.2026</t>
        </is>
      </c>
      <c r="G2652" s="4" t="inlineStr">
        <is>
          <t>07:53</t>
        </is>
      </c>
      <c r="H2652" s="4" t="inlineStr">
        <is>
          <t>5.10.2026</t>
        </is>
      </c>
      <c r="I2652" s="4" t="inlineStr">
        <is>
          <t>17:05</t>
        </is>
      </c>
      <c r="J2652" s="8" t="n">
        <v>7.5</v>
      </c>
      <c r="K2652" s="8" t="n">
        <v>7.5</v>
      </c>
      <c r="L2652" s="8" t="n">
        <v>0</v>
      </c>
      <c r="M2652" s="29" t="inlineStr">
        <is>
          <t>BALIKESİR</t>
        </is>
      </c>
    </row>
    <row r="2653">
      <c r="A2653" s="4" t="n">
        <v>2652</v>
      </c>
      <c r="B2653" s="4" t="inlineStr">
        <is>
          <t>00120</t>
        </is>
      </c>
      <c r="C2653" s="4" t="inlineStr">
        <is>
          <t>00120</t>
        </is>
      </c>
      <c r="D2653" s="29" t="inlineStr">
        <is>
          <t>MÜZEYYEN ERDİNÇ</t>
        </is>
      </c>
      <c r="E2653" s="4" t="inlineStr">
        <is>
          <t>Salı</t>
        </is>
      </c>
      <c r="F2653" s="4" t="inlineStr">
        <is>
          <t>6.10.2026</t>
        </is>
      </c>
      <c r="G2653" s="4" t="inlineStr">
        <is>
          <t>07:51</t>
        </is>
      </c>
      <c r="H2653" s="4" t="inlineStr">
        <is>
          <t>6.10.2026</t>
        </is>
      </c>
      <c r="I2653" s="4" t="inlineStr">
        <is>
          <t>17:40</t>
        </is>
      </c>
      <c r="J2653" s="8" t="n">
        <v>8</v>
      </c>
      <c r="K2653" s="8" t="n">
        <v>7.5</v>
      </c>
      <c r="L2653" s="8" t="n">
        <v>0.5</v>
      </c>
      <c r="M2653" s="29" t="inlineStr">
        <is>
          <t>BALIKESİR</t>
        </is>
      </c>
    </row>
    <row r="2654">
      <c r="A2654" s="4" t="n">
        <v>2653</v>
      </c>
      <c r="B2654" s="4" t="inlineStr">
        <is>
          <t>00120</t>
        </is>
      </c>
      <c r="C2654" s="4" t="inlineStr">
        <is>
          <t>00120</t>
        </is>
      </c>
      <c r="D2654" s="29" t="inlineStr">
        <is>
          <t>MÜZEYYEN ERDİNÇ</t>
        </is>
      </c>
      <c r="E2654" s="4" t="inlineStr">
        <is>
          <t>Çarşamba</t>
        </is>
      </c>
      <c r="F2654" s="4" t="inlineStr">
        <is>
          <t>7.10.2026</t>
        </is>
      </c>
      <c r="G2654" s="4" t="inlineStr">
        <is>
          <t>07:50</t>
        </is>
      </c>
      <c r="H2654" s="4" t="inlineStr">
        <is>
          <t>7.10.2026</t>
        </is>
      </c>
      <c r="I2654" s="4" t="inlineStr">
        <is>
          <t>17:24</t>
        </is>
      </c>
      <c r="J2654" s="8" t="n">
        <v>8</v>
      </c>
      <c r="K2654" s="8" t="n">
        <v>7.5</v>
      </c>
      <c r="L2654" s="8" t="n">
        <v>0.5</v>
      </c>
      <c r="M2654" s="29" t="inlineStr">
        <is>
          <t>BALIKESİR</t>
        </is>
      </c>
    </row>
    <row r="2655">
      <c r="A2655" s="4" t="n">
        <v>2654</v>
      </c>
      <c r="B2655" s="4" t="inlineStr">
        <is>
          <t>00120</t>
        </is>
      </c>
      <c r="C2655" s="4" t="inlineStr">
        <is>
          <t>00120</t>
        </is>
      </c>
      <c r="D2655" s="29" t="inlineStr">
        <is>
          <t>MÜZEYYEN ERDİNÇ</t>
        </is>
      </c>
      <c r="E2655" s="4" t="inlineStr">
        <is>
          <t>Perşembe</t>
        </is>
      </c>
      <c r="F2655" s="4" t="inlineStr">
        <is>
          <t>8.10.2026</t>
        </is>
      </c>
      <c r="G2655" s="4" t="inlineStr">
        <is>
          <t>07:51</t>
        </is>
      </c>
      <c r="H2655" s="4" t="inlineStr">
        <is>
          <t>8.10.2026</t>
        </is>
      </c>
      <c r="I2655" s="4" t="inlineStr">
        <is>
          <t>17:35</t>
        </is>
      </c>
      <c r="J2655" s="8" t="n">
        <v>8</v>
      </c>
      <c r="K2655" s="8" t="n">
        <v>7.5</v>
      </c>
      <c r="L2655" s="8" t="n">
        <v>0.5</v>
      </c>
      <c r="M2655" s="29" t="inlineStr">
        <is>
          <t>BALIKESİR</t>
        </is>
      </c>
    </row>
    <row r="2656">
      <c r="A2656" s="4" t="n">
        <v>2655</v>
      </c>
      <c r="B2656" s="4" t="inlineStr">
        <is>
          <t>00120</t>
        </is>
      </c>
      <c r="C2656" s="4" t="inlineStr">
        <is>
          <t>00120</t>
        </is>
      </c>
      <c r="D2656" s="29" t="inlineStr">
        <is>
          <t>MÜZEYYEN ERDİNÇ</t>
        </is>
      </c>
      <c r="E2656" s="4" t="inlineStr">
        <is>
          <t>Cuma</t>
        </is>
      </c>
      <c r="F2656" s="4" t="inlineStr">
        <is>
          <t>9.10.2026</t>
        </is>
      </c>
      <c r="G2656" s="4" t="inlineStr">
        <is>
          <t>07:51</t>
        </is>
      </c>
      <c r="H2656" s="4" t="inlineStr">
        <is>
          <t>9.10.2026</t>
        </is>
      </c>
      <c r="I2656" s="4" t="inlineStr">
        <is>
          <t>17:43</t>
        </is>
      </c>
      <c r="J2656" s="8" t="n">
        <v>8</v>
      </c>
      <c r="K2656" s="8" t="n">
        <v>7.5</v>
      </c>
      <c r="L2656" s="8" t="n">
        <v>0.5</v>
      </c>
      <c r="M2656" s="29" t="inlineStr">
        <is>
          <t>BALIKESİR</t>
        </is>
      </c>
    </row>
    <row r="2657">
      <c r="A2657" s="4" t="n">
        <v>2656</v>
      </c>
      <c r="B2657" s="4" t="inlineStr">
        <is>
          <t>00120</t>
        </is>
      </c>
      <c r="C2657" s="4" t="inlineStr">
        <is>
          <t>00120</t>
        </is>
      </c>
      <c r="D2657" s="29" t="inlineStr">
        <is>
          <t>MÜZEYYEN ERDİNÇ</t>
        </is>
      </c>
      <c r="E2657" s="4" t="inlineStr">
        <is>
          <t>Cumartesi</t>
        </is>
      </c>
      <c r="F2657" s="4" t="inlineStr">
        <is>
          <t>10.10.2026</t>
        </is>
      </c>
      <c r="G2657" s="4" t="inlineStr">
        <is>
          <t>07:54</t>
        </is>
      </c>
      <c r="H2657" s="4" t="inlineStr">
        <is>
          <t>10.10.2026</t>
        </is>
      </c>
      <c r="I2657" s="4" t="inlineStr">
        <is>
          <t>18:10</t>
        </is>
      </c>
      <c r="J2657" s="8" t="n">
        <v>8.5</v>
      </c>
      <c r="K2657" s="8" t="n">
        <v>7.5</v>
      </c>
      <c r="L2657" s="8" t="n">
        <v>1</v>
      </c>
      <c r="M2657" s="29" t="inlineStr">
        <is>
          <t>BALIKESİR</t>
        </is>
      </c>
    </row>
    <row r="2658">
      <c r="A2658" s="4" t="n">
        <v>2657</v>
      </c>
      <c r="B2658" s="4" t="inlineStr">
        <is>
          <t>00120</t>
        </is>
      </c>
      <c r="C2658" s="4" t="inlineStr">
        <is>
          <t>00120</t>
        </is>
      </c>
      <c r="D2658" s="29" t="inlineStr">
        <is>
          <t>MÜZEYYEN ERDİNÇ</t>
        </is>
      </c>
      <c r="E2658" s="4" t="inlineStr">
        <is>
          <t>Pazartesi</t>
        </is>
      </c>
      <c r="F2658" s="4" t="inlineStr">
        <is>
          <t>12.10.2026</t>
        </is>
      </c>
      <c r="G2658" s="4" t="inlineStr">
        <is>
          <t>07:51</t>
        </is>
      </c>
      <c r="H2658" s="4" t="inlineStr">
        <is>
          <t>12.10.2026</t>
        </is>
      </c>
      <c r="I2658" s="4" t="inlineStr">
        <is>
          <t>17:02</t>
        </is>
      </c>
      <c r="J2658" s="8" t="n">
        <v>7.5</v>
      </c>
      <c r="K2658" s="8" t="n">
        <v>7.5</v>
      </c>
      <c r="L2658" s="8" t="n">
        <v>0</v>
      </c>
      <c r="M2658" s="29" t="inlineStr">
        <is>
          <t>BALIKESİR</t>
        </is>
      </c>
    </row>
    <row r="2659">
      <c r="A2659" s="4" t="n">
        <v>2658</v>
      </c>
      <c r="B2659" s="4" t="inlineStr">
        <is>
          <t>00120</t>
        </is>
      </c>
      <c r="C2659" s="4" t="inlineStr">
        <is>
          <t>00120</t>
        </is>
      </c>
      <c r="D2659" s="29" t="inlineStr">
        <is>
          <t>MÜZEYYEN ERDİNÇ</t>
        </is>
      </c>
      <c r="E2659" s="4" t="inlineStr">
        <is>
          <t>Salı</t>
        </is>
      </c>
      <c r="F2659" s="4" t="inlineStr">
        <is>
          <t>13.10.2026</t>
        </is>
      </c>
      <c r="G2659" s="4" t="inlineStr">
        <is>
          <t>07:49</t>
        </is>
      </c>
      <c r="H2659" s="4" t="inlineStr">
        <is>
          <t>13.10.2026</t>
        </is>
      </c>
      <c r="I2659" s="4" t="inlineStr">
        <is>
          <t>17:00</t>
        </is>
      </c>
      <c r="J2659" s="8" t="n">
        <v>7.5</v>
      </c>
      <c r="K2659" s="8" t="n">
        <v>7.5</v>
      </c>
      <c r="L2659" s="8" t="n">
        <v>0</v>
      </c>
      <c r="M2659" s="29" t="inlineStr">
        <is>
          <t>BALIKESİR</t>
        </is>
      </c>
    </row>
    <row r="2660">
      <c r="A2660" s="4" t="n">
        <v>2659</v>
      </c>
      <c r="B2660" s="4" t="inlineStr">
        <is>
          <t>00120</t>
        </is>
      </c>
      <c r="C2660" s="4" t="inlineStr">
        <is>
          <t>00120</t>
        </is>
      </c>
      <c r="D2660" s="29" t="inlineStr">
        <is>
          <t>MÜZEYYEN ERDİNÇ</t>
        </is>
      </c>
      <c r="E2660" s="4" t="inlineStr">
        <is>
          <t>Çarşamba</t>
        </is>
      </c>
      <c r="F2660" s="4" t="inlineStr">
        <is>
          <t>14.10.2026</t>
        </is>
      </c>
      <c r="G2660" s="4" t="inlineStr">
        <is>
          <t>07:50</t>
        </is>
      </c>
      <c r="H2660" s="4" t="inlineStr">
        <is>
          <t>14.10.2026</t>
        </is>
      </c>
      <c r="I2660" s="4" t="inlineStr">
        <is>
          <t>18:07</t>
        </is>
      </c>
      <c r="J2660" s="8" t="n">
        <v>8.5</v>
      </c>
      <c r="K2660" s="8" t="n">
        <v>7.5</v>
      </c>
      <c r="L2660" s="8" t="n">
        <v>1</v>
      </c>
      <c r="M2660" s="29" t="inlineStr">
        <is>
          <t>BALIKESİR</t>
        </is>
      </c>
    </row>
    <row r="2661">
      <c r="A2661" s="4" t="n">
        <v>2660</v>
      </c>
      <c r="B2661" s="4" t="inlineStr">
        <is>
          <t>00120</t>
        </is>
      </c>
      <c r="C2661" s="4" t="inlineStr">
        <is>
          <t>00120</t>
        </is>
      </c>
      <c r="D2661" s="29" t="inlineStr">
        <is>
          <t>MÜZEYYEN ERDİNÇ</t>
        </is>
      </c>
      <c r="E2661" s="4" t="inlineStr">
        <is>
          <t>Perşembe</t>
        </is>
      </c>
      <c r="F2661" s="4" t="inlineStr">
        <is>
          <t>15.10.2026</t>
        </is>
      </c>
      <c r="G2661" s="4" t="inlineStr">
        <is>
          <t>07:53</t>
        </is>
      </c>
      <c r="H2661" s="4" t="inlineStr">
        <is>
          <t>15.10.2026</t>
        </is>
      </c>
      <c r="I2661" s="4" t="inlineStr">
        <is>
          <t>17:01</t>
        </is>
      </c>
      <c r="J2661" s="8" t="n">
        <v>7.5</v>
      </c>
      <c r="K2661" s="8" t="n">
        <v>7.5</v>
      </c>
      <c r="L2661" s="8" t="n">
        <v>0</v>
      </c>
      <c r="M2661" s="29" t="inlineStr">
        <is>
          <t>BALIKESİR</t>
        </is>
      </c>
    </row>
    <row r="2662">
      <c r="A2662" s="4" t="n">
        <v>2661</v>
      </c>
      <c r="B2662" s="4" t="inlineStr">
        <is>
          <t>00120</t>
        </is>
      </c>
      <c r="C2662" s="4" t="inlineStr">
        <is>
          <t>00120</t>
        </is>
      </c>
      <c r="D2662" s="29" t="inlineStr">
        <is>
          <t>MÜZEYYEN ERDİNÇ</t>
        </is>
      </c>
      <c r="E2662" s="4" t="inlineStr">
        <is>
          <t>Cuma</t>
        </is>
      </c>
      <c r="F2662" s="4" t="inlineStr">
        <is>
          <t>16.10.2026</t>
        </is>
      </c>
      <c r="G2662" s="4" t="inlineStr">
        <is>
          <t>07:49</t>
        </is>
      </c>
      <c r="H2662" s="4" t="inlineStr">
        <is>
          <t>16.10.2026</t>
        </is>
      </c>
      <c r="I2662" s="4" t="inlineStr">
        <is>
          <t>17:17</t>
        </is>
      </c>
      <c r="J2662" s="8" t="n">
        <v>7.5</v>
      </c>
      <c r="K2662" s="8" t="n">
        <v>7.5</v>
      </c>
      <c r="L2662" s="8" t="n">
        <v>0</v>
      </c>
      <c r="M2662" s="29" t="inlineStr">
        <is>
          <t>BALIKESİR</t>
        </is>
      </c>
    </row>
    <row r="2663">
      <c r="A2663" s="4" t="n">
        <v>2662</v>
      </c>
      <c r="B2663" s="4" t="inlineStr">
        <is>
          <t>00120</t>
        </is>
      </c>
      <c r="C2663" s="4" t="inlineStr">
        <is>
          <t>00120</t>
        </is>
      </c>
      <c r="D2663" s="29" t="inlineStr">
        <is>
          <t>MÜZEYYEN ERDİNÇ</t>
        </is>
      </c>
      <c r="E2663" s="4" t="inlineStr">
        <is>
          <t>Cumartesi</t>
        </is>
      </c>
      <c r="F2663" s="4" t="inlineStr">
        <is>
          <t>17.10.2026</t>
        </is>
      </c>
      <c r="G2663" s="4" t="inlineStr">
        <is>
          <t>07:57</t>
        </is>
      </c>
      <c r="H2663" s="4" t="inlineStr">
        <is>
          <t>17.10.2026</t>
        </is>
      </c>
      <c r="I2663" s="4" t="inlineStr">
        <is>
          <t>17:52</t>
        </is>
      </c>
      <c r="J2663" s="8" t="n">
        <v>8.5</v>
      </c>
      <c r="K2663" s="8" t="n">
        <v>7.5</v>
      </c>
      <c r="L2663" s="8" t="n">
        <v>1</v>
      </c>
      <c r="M2663" s="29" t="inlineStr">
        <is>
          <t>BALIKESİR</t>
        </is>
      </c>
    </row>
    <row r="2664">
      <c r="A2664" s="4" t="n">
        <v>2663</v>
      </c>
      <c r="B2664" s="4" t="inlineStr">
        <is>
          <t>00120</t>
        </is>
      </c>
      <c r="C2664" s="4" t="inlineStr">
        <is>
          <t>00120</t>
        </is>
      </c>
      <c r="D2664" s="29" t="inlineStr">
        <is>
          <t>MÜZEYYEN ERDİNÇ</t>
        </is>
      </c>
      <c r="E2664" s="4" t="inlineStr">
        <is>
          <t>Pazartesi</t>
        </is>
      </c>
      <c r="F2664" s="4" t="inlineStr">
        <is>
          <t>19.10.2026</t>
        </is>
      </c>
      <c r="G2664" s="4" t="inlineStr">
        <is>
          <t>07:51</t>
        </is>
      </c>
      <c r="H2664" s="4" t="inlineStr">
        <is>
          <t>19.10.2026</t>
        </is>
      </c>
      <c r="I2664" s="4" t="inlineStr">
        <is>
          <t>17:44</t>
        </is>
      </c>
      <c r="J2664" s="8" t="n">
        <v>8</v>
      </c>
      <c r="K2664" s="8" t="n">
        <v>7.5</v>
      </c>
      <c r="L2664" s="8" t="n">
        <v>0.5</v>
      </c>
      <c r="M2664" s="29" t="inlineStr">
        <is>
          <t>BALIKESİR</t>
        </is>
      </c>
    </row>
    <row r="2665">
      <c r="A2665" s="4" t="n">
        <v>2664</v>
      </c>
      <c r="B2665" s="4" t="inlineStr">
        <is>
          <t>00120</t>
        </is>
      </c>
      <c r="C2665" s="4" t="inlineStr">
        <is>
          <t>00120</t>
        </is>
      </c>
      <c r="D2665" s="29" t="inlineStr">
        <is>
          <t>MÜZEYYEN ERDİNÇ</t>
        </is>
      </c>
      <c r="E2665" s="4" t="inlineStr">
        <is>
          <t>Salı</t>
        </is>
      </c>
      <c r="F2665" s="4" t="inlineStr">
        <is>
          <t>20.10.2026</t>
        </is>
      </c>
      <c r="G2665" s="4" t="inlineStr">
        <is>
          <t>07:49</t>
        </is>
      </c>
      <c r="H2665" s="4" t="inlineStr">
        <is>
          <t>20.10.2026</t>
        </is>
      </c>
      <c r="I2665" s="4" t="inlineStr">
        <is>
          <t>17:00</t>
        </is>
      </c>
      <c r="J2665" s="8" t="n">
        <v>7.5</v>
      </c>
      <c r="K2665" s="8" t="n">
        <v>7.5</v>
      </c>
      <c r="L2665" s="8" t="n">
        <v>0</v>
      </c>
      <c r="M2665" s="29" t="inlineStr">
        <is>
          <t>BALIKESİR</t>
        </is>
      </c>
    </row>
    <row r="2666">
      <c r="A2666" s="4" t="n">
        <v>2665</v>
      </c>
      <c r="B2666" s="4" t="inlineStr">
        <is>
          <t>00120</t>
        </is>
      </c>
      <c r="C2666" s="4" t="inlineStr">
        <is>
          <t>00120</t>
        </is>
      </c>
      <c r="D2666" s="29" t="inlineStr">
        <is>
          <t>MÜZEYYEN ERDİNÇ</t>
        </is>
      </c>
      <c r="E2666" s="4" t="inlineStr">
        <is>
          <t>Çarşamba</t>
        </is>
      </c>
      <c r="F2666" s="4" t="inlineStr">
        <is>
          <t>21.10.2026</t>
        </is>
      </c>
      <c r="G2666" s="4" t="inlineStr">
        <is>
          <t>07:50</t>
        </is>
      </c>
      <c r="H2666" s="4" t="inlineStr">
        <is>
          <t>21.10.2026</t>
        </is>
      </c>
      <c r="I2666" s="4" t="inlineStr">
        <is>
          <t>17:00</t>
        </is>
      </c>
      <c r="J2666" s="8" t="n">
        <v>7.5</v>
      </c>
      <c r="K2666" s="8" t="n">
        <v>7.5</v>
      </c>
      <c r="L2666" s="8" t="n">
        <v>0</v>
      </c>
      <c r="M2666" s="29" t="inlineStr">
        <is>
          <t>BALIKESİR</t>
        </is>
      </c>
    </row>
    <row r="2667">
      <c r="A2667" s="4" t="n">
        <v>2666</v>
      </c>
      <c r="B2667" s="4" t="inlineStr">
        <is>
          <t>00235</t>
        </is>
      </c>
      <c r="C2667" s="4" t="inlineStr">
        <is>
          <t>00235</t>
        </is>
      </c>
      <c r="D2667" s="29" t="inlineStr">
        <is>
          <t>NACİYE KARABULUT</t>
        </is>
      </c>
      <c r="E2667" s="4" t="inlineStr">
        <is>
          <t>Perşembe</t>
        </is>
      </c>
      <c r="F2667" s="4" t="inlineStr">
        <is>
          <t>1.10.2026</t>
        </is>
      </c>
      <c r="G2667" s="4" t="inlineStr">
        <is>
          <t>07:50</t>
        </is>
      </c>
      <c r="H2667" s="4" t="inlineStr">
        <is>
          <t>1.10.2026</t>
        </is>
      </c>
      <c r="I2667" s="4" t="inlineStr">
        <is>
          <t>17:25</t>
        </is>
      </c>
      <c r="J2667" s="8" t="n">
        <v>8</v>
      </c>
      <c r="K2667" s="8" t="n">
        <v>7.5</v>
      </c>
      <c r="L2667" s="8" t="n">
        <v>0.5</v>
      </c>
      <c r="M2667" s="29" t="inlineStr">
        <is>
          <t>BALIKESİR</t>
        </is>
      </c>
    </row>
    <row r="2668">
      <c r="A2668" s="4" t="n">
        <v>2667</v>
      </c>
      <c r="B2668" s="4" t="inlineStr">
        <is>
          <t>00235</t>
        </is>
      </c>
      <c r="C2668" s="4" t="inlineStr">
        <is>
          <t>00235</t>
        </is>
      </c>
      <c r="D2668" s="29" t="inlineStr">
        <is>
          <t>NACİYE KARABULUT</t>
        </is>
      </c>
      <c r="E2668" s="4" t="inlineStr">
        <is>
          <t>Cuma</t>
        </is>
      </c>
      <c r="F2668" s="4" t="inlineStr">
        <is>
          <t>2.10.2026</t>
        </is>
      </c>
      <c r="G2668" s="4" t="inlineStr">
        <is>
          <t>07:54</t>
        </is>
      </c>
      <c r="H2668" s="4" t="inlineStr">
        <is>
          <t>2.10.2026</t>
        </is>
      </c>
      <c r="I2668" s="4" t="inlineStr">
        <is>
          <t>17:43</t>
        </is>
      </c>
      <c r="J2668" s="8" t="n">
        <v>8</v>
      </c>
      <c r="K2668" s="8" t="n">
        <v>7.5</v>
      </c>
      <c r="L2668" s="8" t="n">
        <v>0.5</v>
      </c>
      <c r="M2668" s="29" t="inlineStr">
        <is>
          <t>BALIKESİR</t>
        </is>
      </c>
    </row>
    <row r="2669">
      <c r="A2669" s="4" t="n">
        <v>2668</v>
      </c>
      <c r="B2669" s="4" t="inlineStr">
        <is>
          <t>00235</t>
        </is>
      </c>
      <c r="C2669" s="4" t="inlineStr">
        <is>
          <t>00235</t>
        </is>
      </c>
      <c r="D2669" s="29" t="inlineStr">
        <is>
          <t>NACİYE KARABULUT</t>
        </is>
      </c>
      <c r="E2669" s="4" t="inlineStr">
        <is>
          <t>Cumartesi</t>
        </is>
      </c>
      <c r="F2669" s="4" t="inlineStr">
        <is>
          <t>3.10.2026</t>
        </is>
      </c>
      <c r="G2669" s="4" t="inlineStr">
        <is>
          <t>07:56</t>
        </is>
      </c>
      <c r="H2669" s="4" t="inlineStr">
        <is>
          <t>3.10.2026</t>
        </is>
      </c>
      <c r="I2669" s="4" t="inlineStr">
        <is>
          <t>17:34</t>
        </is>
      </c>
      <c r="J2669" s="8" t="n">
        <v>8</v>
      </c>
      <c r="K2669" s="8" t="n">
        <v>7.5</v>
      </c>
      <c r="L2669" s="8" t="n">
        <v>0.5</v>
      </c>
      <c r="M2669" s="29" t="inlineStr">
        <is>
          <t>BALIKESİR</t>
        </is>
      </c>
    </row>
    <row r="2670">
      <c r="A2670" s="4" t="n">
        <v>2669</v>
      </c>
      <c r="B2670" s="4" t="inlineStr">
        <is>
          <t>00235</t>
        </is>
      </c>
      <c r="C2670" s="4" t="inlineStr">
        <is>
          <t>00235</t>
        </is>
      </c>
      <c r="D2670" s="29" t="inlineStr">
        <is>
          <t>NACİYE KARABULUT</t>
        </is>
      </c>
      <c r="E2670" s="4" t="inlineStr">
        <is>
          <t>Pazartesi</t>
        </is>
      </c>
      <c r="F2670" s="4" t="inlineStr">
        <is>
          <t>5.10.2026</t>
        </is>
      </c>
      <c r="G2670" s="4" t="inlineStr">
        <is>
          <t>07:54</t>
        </is>
      </c>
      <c r="H2670" s="4" t="inlineStr">
        <is>
          <t>5.10.2026</t>
        </is>
      </c>
      <c r="I2670" s="4" t="inlineStr">
        <is>
          <t>17:01</t>
        </is>
      </c>
      <c r="J2670" s="8" t="n">
        <v>7.5</v>
      </c>
      <c r="K2670" s="8" t="n">
        <v>7.5</v>
      </c>
      <c r="L2670" s="8" t="n">
        <v>0</v>
      </c>
      <c r="M2670" s="29" t="inlineStr">
        <is>
          <t>BALIKESİR</t>
        </is>
      </c>
    </row>
    <row r="2671">
      <c r="A2671" s="4" t="n">
        <v>2670</v>
      </c>
      <c r="B2671" s="4" t="inlineStr">
        <is>
          <t>00235</t>
        </is>
      </c>
      <c r="C2671" s="4" t="inlineStr">
        <is>
          <t>00235</t>
        </is>
      </c>
      <c r="D2671" s="29" t="inlineStr">
        <is>
          <t>NACİYE KARABULUT</t>
        </is>
      </c>
      <c r="E2671" s="4" t="inlineStr">
        <is>
          <t>Salı</t>
        </is>
      </c>
      <c r="F2671" s="4" t="inlineStr">
        <is>
          <t>6.10.2026</t>
        </is>
      </c>
      <c r="G2671" s="4" t="inlineStr">
        <is>
          <t>07:51</t>
        </is>
      </c>
      <c r="H2671" s="4" t="inlineStr">
        <is>
          <t>6.10.2026</t>
        </is>
      </c>
      <c r="I2671" s="4" t="inlineStr">
        <is>
          <t>17:37</t>
        </is>
      </c>
      <c r="J2671" s="8" t="n">
        <v>8</v>
      </c>
      <c r="K2671" s="8" t="n">
        <v>7.5</v>
      </c>
      <c r="L2671" s="8" t="n">
        <v>0.5</v>
      </c>
      <c r="M2671" s="29" t="inlineStr">
        <is>
          <t>BALIKESİR</t>
        </is>
      </c>
    </row>
    <row r="2672">
      <c r="A2672" s="4" t="n">
        <v>2671</v>
      </c>
      <c r="B2672" s="4" t="inlineStr">
        <is>
          <t>00235</t>
        </is>
      </c>
      <c r="C2672" s="4" t="inlineStr">
        <is>
          <t>00235</t>
        </is>
      </c>
      <c r="D2672" s="29" t="inlineStr">
        <is>
          <t>NACİYE KARABULUT</t>
        </is>
      </c>
      <c r="E2672" s="4" t="inlineStr">
        <is>
          <t>Çarşamba</t>
        </is>
      </c>
      <c r="F2672" s="4" t="inlineStr">
        <is>
          <t>7.10.2026</t>
        </is>
      </c>
      <c r="G2672" s="4" t="inlineStr">
        <is>
          <t>07:48</t>
        </is>
      </c>
      <c r="H2672" s="4" t="inlineStr">
        <is>
          <t>7.10.2026</t>
        </is>
      </c>
      <c r="I2672" s="4" t="inlineStr">
        <is>
          <t>17:21</t>
        </is>
      </c>
      <c r="J2672" s="8" t="n">
        <v>8</v>
      </c>
      <c r="K2672" s="8" t="n">
        <v>7.5</v>
      </c>
      <c r="L2672" s="8" t="n">
        <v>0.5</v>
      </c>
      <c r="M2672" s="29" t="inlineStr">
        <is>
          <t>BALIKESİR</t>
        </is>
      </c>
    </row>
    <row r="2673">
      <c r="A2673" s="4" t="n">
        <v>2672</v>
      </c>
      <c r="B2673" s="4" t="inlineStr">
        <is>
          <t>00235</t>
        </is>
      </c>
      <c r="C2673" s="4" t="inlineStr">
        <is>
          <t>00235</t>
        </is>
      </c>
      <c r="D2673" s="29" t="inlineStr">
        <is>
          <t>NACİYE KARABULUT</t>
        </is>
      </c>
      <c r="E2673" s="4" t="inlineStr">
        <is>
          <t>Perşembe</t>
        </is>
      </c>
      <c r="F2673" s="4" t="inlineStr">
        <is>
          <t>8.10.2026</t>
        </is>
      </c>
      <c r="G2673" s="4" t="inlineStr">
        <is>
          <t>07:50</t>
        </is>
      </c>
      <c r="H2673" s="4" t="inlineStr">
        <is>
          <t>8.10.2026</t>
        </is>
      </c>
      <c r="I2673" s="4" t="inlineStr">
        <is>
          <t>17:32</t>
        </is>
      </c>
      <c r="J2673" s="8" t="n">
        <v>8</v>
      </c>
      <c r="K2673" s="8" t="n">
        <v>7.5</v>
      </c>
      <c r="L2673" s="8" t="n">
        <v>0.5</v>
      </c>
      <c r="M2673" s="29" t="inlineStr">
        <is>
          <t>BALIKESİR</t>
        </is>
      </c>
    </row>
    <row r="2674">
      <c r="A2674" s="4" t="n">
        <v>2673</v>
      </c>
      <c r="B2674" s="4" t="inlineStr">
        <is>
          <t>00235</t>
        </is>
      </c>
      <c r="C2674" s="4" t="inlineStr">
        <is>
          <t>00235</t>
        </is>
      </c>
      <c r="D2674" s="29" t="inlineStr">
        <is>
          <t>NACİYE KARABULUT</t>
        </is>
      </c>
      <c r="E2674" s="4" t="inlineStr">
        <is>
          <t>Cuma</t>
        </is>
      </c>
      <c r="F2674" s="4" t="inlineStr">
        <is>
          <t>9.10.2026</t>
        </is>
      </c>
      <c r="G2674" s="4" t="inlineStr">
        <is>
          <t>07:50</t>
        </is>
      </c>
      <c r="H2674" s="4" t="inlineStr">
        <is>
          <t>9.10.2026</t>
        </is>
      </c>
      <c r="I2674" s="4" t="inlineStr">
        <is>
          <t>17:40</t>
        </is>
      </c>
      <c r="J2674" s="8" t="n">
        <v>8</v>
      </c>
      <c r="K2674" s="8" t="n">
        <v>7.5</v>
      </c>
      <c r="L2674" s="8" t="n">
        <v>0.5</v>
      </c>
      <c r="M2674" s="29" t="inlineStr">
        <is>
          <t>BALIKESİR</t>
        </is>
      </c>
    </row>
    <row r="2675">
      <c r="A2675" s="4" t="n">
        <v>2674</v>
      </c>
      <c r="B2675" s="4" t="inlineStr">
        <is>
          <t>00235</t>
        </is>
      </c>
      <c r="C2675" s="4" t="inlineStr">
        <is>
          <t>00235</t>
        </is>
      </c>
      <c r="D2675" s="29" t="inlineStr">
        <is>
          <t>NACİYE KARABULUT</t>
        </is>
      </c>
      <c r="E2675" s="4" t="inlineStr">
        <is>
          <t>Cumartesi</t>
        </is>
      </c>
      <c r="F2675" s="4" t="inlineStr">
        <is>
          <t>10.10.2026</t>
        </is>
      </c>
      <c r="G2675" s="4" t="inlineStr">
        <is>
          <t>07:54</t>
        </is>
      </c>
      <c r="H2675" s="4" t="inlineStr">
        <is>
          <t>10.10.2026</t>
        </is>
      </c>
      <c r="I2675" s="4" t="inlineStr">
        <is>
          <t>18:08</t>
        </is>
      </c>
      <c r="J2675" s="8" t="n">
        <v>8.5</v>
      </c>
      <c r="K2675" s="8" t="n">
        <v>7.5</v>
      </c>
      <c r="L2675" s="8" t="n">
        <v>1</v>
      </c>
      <c r="M2675" s="29" t="inlineStr">
        <is>
          <t>BALIKESİR</t>
        </is>
      </c>
    </row>
    <row r="2676">
      <c r="A2676" s="4" t="n">
        <v>2675</v>
      </c>
      <c r="B2676" s="4" t="inlineStr">
        <is>
          <t>00235</t>
        </is>
      </c>
      <c r="C2676" s="4" t="inlineStr">
        <is>
          <t>00235</t>
        </is>
      </c>
      <c r="D2676" s="29" t="inlineStr">
        <is>
          <t>NACİYE KARABULUT</t>
        </is>
      </c>
      <c r="E2676" s="4" t="inlineStr">
        <is>
          <t>Pazartesi</t>
        </is>
      </c>
      <c r="F2676" s="4" t="inlineStr">
        <is>
          <t>12.10.2026</t>
        </is>
      </c>
      <c r="G2676" s="4" t="inlineStr">
        <is>
          <t>07:51</t>
        </is>
      </c>
      <c r="H2676" s="4" t="inlineStr">
        <is>
          <t>12.10.2026</t>
        </is>
      </c>
      <c r="I2676" s="4" t="inlineStr">
        <is>
          <t>17:00</t>
        </is>
      </c>
      <c r="J2676" s="8" t="n">
        <v>7.5</v>
      </c>
      <c r="K2676" s="8" t="n">
        <v>7.5</v>
      </c>
      <c r="L2676" s="8" t="n">
        <v>0</v>
      </c>
      <c r="M2676" s="29" t="inlineStr">
        <is>
          <t>BALIKESİR</t>
        </is>
      </c>
    </row>
    <row r="2677">
      <c r="A2677" s="4" t="n">
        <v>2676</v>
      </c>
      <c r="B2677" s="4" t="inlineStr">
        <is>
          <t>00235</t>
        </is>
      </c>
      <c r="C2677" s="4" t="inlineStr">
        <is>
          <t>00235</t>
        </is>
      </c>
      <c r="D2677" s="29" t="inlineStr">
        <is>
          <t>NACİYE KARABULUT</t>
        </is>
      </c>
      <c r="E2677" s="4" t="inlineStr">
        <is>
          <t>Salı</t>
        </is>
      </c>
      <c r="F2677" s="4" t="inlineStr">
        <is>
          <t>13.10.2026</t>
        </is>
      </c>
      <c r="G2677" s="4" t="inlineStr">
        <is>
          <t>07:49</t>
        </is>
      </c>
      <c r="H2677" s="4" t="inlineStr">
        <is>
          <t>13.10.2026</t>
        </is>
      </c>
      <c r="I2677" s="4" t="inlineStr">
        <is>
          <t>17:00</t>
        </is>
      </c>
      <c r="J2677" s="8" t="n">
        <v>7.5</v>
      </c>
      <c r="K2677" s="8" t="n">
        <v>7.5</v>
      </c>
      <c r="L2677" s="8" t="n">
        <v>0</v>
      </c>
      <c r="M2677" s="29" t="inlineStr">
        <is>
          <t>BALIKESİR</t>
        </is>
      </c>
    </row>
    <row r="2678">
      <c r="A2678" s="4" t="n">
        <v>2677</v>
      </c>
      <c r="B2678" s="4" t="inlineStr">
        <is>
          <t>00235</t>
        </is>
      </c>
      <c r="C2678" s="4" t="inlineStr">
        <is>
          <t>00235</t>
        </is>
      </c>
      <c r="D2678" s="29" t="inlineStr">
        <is>
          <t>NACİYE KARABULUT</t>
        </is>
      </c>
      <c r="E2678" s="4" t="inlineStr">
        <is>
          <t>Çarşamba</t>
        </is>
      </c>
      <c r="F2678" s="4" t="inlineStr">
        <is>
          <t>14.10.2026</t>
        </is>
      </c>
      <c r="G2678" s="4" t="inlineStr">
        <is>
          <t>07:50</t>
        </is>
      </c>
      <c r="H2678" s="4" t="inlineStr">
        <is>
          <t>14.10.2026</t>
        </is>
      </c>
      <c r="I2678" s="4" t="inlineStr">
        <is>
          <t>18:04</t>
        </is>
      </c>
      <c r="J2678" s="8" t="n">
        <v>8.5</v>
      </c>
      <c r="K2678" s="8" t="n">
        <v>7.5</v>
      </c>
      <c r="L2678" s="8" t="n">
        <v>1</v>
      </c>
      <c r="M2678" s="29" t="inlineStr">
        <is>
          <t>BALIKESİR</t>
        </is>
      </c>
    </row>
    <row r="2679">
      <c r="A2679" s="4" t="n">
        <v>2678</v>
      </c>
      <c r="B2679" s="4" t="inlineStr">
        <is>
          <t>00235</t>
        </is>
      </c>
      <c r="C2679" s="4" t="inlineStr">
        <is>
          <t>00235</t>
        </is>
      </c>
      <c r="D2679" s="29" t="inlineStr">
        <is>
          <t>NACİYE KARABULUT</t>
        </is>
      </c>
      <c r="E2679" s="4" t="inlineStr">
        <is>
          <t>Perşembe</t>
        </is>
      </c>
      <c r="F2679" s="4" t="inlineStr">
        <is>
          <t>15.10.2026</t>
        </is>
      </c>
      <c r="G2679" s="4" t="inlineStr">
        <is>
          <t>07:52</t>
        </is>
      </c>
      <c r="H2679" s="4" t="inlineStr">
        <is>
          <t>15.10.2026</t>
        </is>
      </c>
      <c r="I2679" s="4" t="inlineStr">
        <is>
          <t>17:02</t>
        </is>
      </c>
      <c r="J2679" s="8" t="n">
        <v>7.5</v>
      </c>
      <c r="K2679" s="8" t="n">
        <v>7.5</v>
      </c>
      <c r="L2679" s="8" t="n">
        <v>0</v>
      </c>
      <c r="M2679" s="29" t="inlineStr">
        <is>
          <t>BALIKESİR</t>
        </is>
      </c>
    </row>
    <row r="2680">
      <c r="A2680" s="4" t="n">
        <v>2679</v>
      </c>
      <c r="B2680" s="4" t="inlineStr">
        <is>
          <t>00235</t>
        </is>
      </c>
      <c r="C2680" s="4" t="inlineStr">
        <is>
          <t>00235</t>
        </is>
      </c>
      <c r="D2680" s="29" t="inlineStr">
        <is>
          <t>NACİYE KARABULUT</t>
        </is>
      </c>
      <c r="E2680" s="4" t="inlineStr">
        <is>
          <t>Cuma</t>
        </is>
      </c>
      <c r="F2680" s="4" t="inlineStr">
        <is>
          <t>16.10.2026</t>
        </is>
      </c>
      <c r="G2680" s="4" t="inlineStr">
        <is>
          <t>07:48</t>
        </is>
      </c>
      <c r="H2680" s="4" t="inlineStr">
        <is>
          <t>16.10.2026</t>
        </is>
      </c>
      <c r="I2680" s="4" t="inlineStr">
        <is>
          <t>17:14</t>
        </is>
      </c>
      <c r="J2680" s="8" t="n">
        <v>7.5</v>
      </c>
      <c r="K2680" s="8" t="n">
        <v>7.5</v>
      </c>
      <c r="L2680" s="8" t="n">
        <v>0</v>
      </c>
      <c r="M2680" s="29" t="inlineStr">
        <is>
          <t>BALIKESİR</t>
        </is>
      </c>
    </row>
    <row r="2681">
      <c r="A2681" s="4" t="n">
        <v>2680</v>
      </c>
      <c r="B2681" s="4" t="inlineStr">
        <is>
          <t>00235</t>
        </is>
      </c>
      <c r="C2681" s="4" t="inlineStr">
        <is>
          <t>00235</t>
        </is>
      </c>
      <c r="D2681" s="29" t="inlineStr">
        <is>
          <t>NACİYE KARABULUT</t>
        </is>
      </c>
      <c r="E2681" s="4" t="inlineStr">
        <is>
          <t>Cumartesi</t>
        </is>
      </c>
      <c r="F2681" s="4" t="inlineStr">
        <is>
          <t>17.10.2026</t>
        </is>
      </c>
      <c r="G2681" s="4" t="inlineStr">
        <is>
          <t>07:57</t>
        </is>
      </c>
      <c r="H2681" s="4" t="inlineStr">
        <is>
          <t>17.10.2026</t>
        </is>
      </c>
      <c r="I2681" s="4" t="inlineStr">
        <is>
          <t>17:48</t>
        </is>
      </c>
      <c r="J2681" s="8" t="n">
        <v>8.5</v>
      </c>
      <c r="K2681" s="8" t="n">
        <v>7.5</v>
      </c>
      <c r="L2681" s="8" t="n">
        <v>1</v>
      </c>
      <c r="M2681" s="29" t="inlineStr">
        <is>
          <t>BALIKESİR</t>
        </is>
      </c>
    </row>
    <row r="2682">
      <c r="A2682" s="4" t="n">
        <v>2681</v>
      </c>
      <c r="B2682" s="4" t="inlineStr">
        <is>
          <t>00235</t>
        </is>
      </c>
      <c r="C2682" s="4" t="inlineStr">
        <is>
          <t>00235</t>
        </is>
      </c>
      <c r="D2682" s="29" t="inlineStr">
        <is>
          <t>NACİYE KARABULUT</t>
        </is>
      </c>
      <c r="E2682" s="4" t="inlineStr">
        <is>
          <t>Pazartesi</t>
        </is>
      </c>
      <c r="F2682" s="4" t="inlineStr">
        <is>
          <t>19.10.2026</t>
        </is>
      </c>
      <c r="G2682" s="4" t="inlineStr">
        <is>
          <t>07:51</t>
        </is>
      </c>
      <c r="H2682" s="4" t="inlineStr">
        <is>
          <t>19.10.2026</t>
        </is>
      </c>
      <c r="I2682" s="4" t="inlineStr">
        <is>
          <t>17:41</t>
        </is>
      </c>
      <c r="J2682" s="8" t="n">
        <v>8</v>
      </c>
      <c r="K2682" s="8" t="n">
        <v>7.5</v>
      </c>
      <c r="L2682" s="8" t="n">
        <v>0.5</v>
      </c>
      <c r="M2682" s="29" t="inlineStr">
        <is>
          <t>BALIKESİR</t>
        </is>
      </c>
    </row>
    <row r="2683">
      <c r="A2683" s="4" t="n">
        <v>2682</v>
      </c>
      <c r="B2683" s="4" t="inlineStr">
        <is>
          <t>00235</t>
        </is>
      </c>
      <c r="C2683" s="4" t="inlineStr">
        <is>
          <t>00235</t>
        </is>
      </c>
      <c r="D2683" s="29" t="inlineStr">
        <is>
          <t>NACİYE KARABULUT</t>
        </is>
      </c>
      <c r="E2683" s="4" t="inlineStr">
        <is>
          <t>Salı</t>
        </is>
      </c>
      <c r="F2683" s="4" t="inlineStr">
        <is>
          <t>20.10.2026</t>
        </is>
      </c>
      <c r="G2683" s="4" t="inlineStr">
        <is>
          <t>07:48</t>
        </is>
      </c>
      <c r="H2683" s="4" t="inlineStr">
        <is>
          <t>20.10.2026</t>
        </is>
      </c>
      <c r="I2683" s="4" t="inlineStr">
        <is>
          <t>17:00</t>
        </is>
      </c>
      <c r="J2683" s="8" t="n">
        <v>7.5</v>
      </c>
      <c r="K2683" s="8" t="n">
        <v>7.5</v>
      </c>
      <c r="L2683" s="8" t="n">
        <v>0</v>
      </c>
      <c r="M2683" s="29" t="inlineStr">
        <is>
          <t>BALIKESİR</t>
        </is>
      </c>
    </row>
    <row r="2684">
      <c r="A2684" s="4" t="n">
        <v>2683</v>
      </c>
      <c r="B2684" s="4" t="inlineStr">
        <is>
          <t>00235</t>
        </is>
      </c>
      <c r="C2684" s="4" t="inlineStr">
        <is>
          <t>00235</t>
        </is>
      </c>
      <c r="D2684" s="29" t="inlineStr">
        <is>
          <t>NACİYE KARABULUT</t>
        </is>
      </c>
      <c r="E2684" s="4" t="inlineStr">
        <is>
          <t>Çarşamba</t>
        </is>
      </c>
      <c r="F2684" s="4" t="inlineStr">
        <is>
          <t>21.10.2026</t>
        </is>
      </c>
      <c r="G2684" s="4" t="inlineStr">
        <is>
          <t>07:51</t>
        </is>
      </c>
      <c r="H2684" s="4" t="inlineStr">
        <is>
          <t>21.10.2026</t>
        </is>
      </c>
      <c r="I2684" s="4" t="inlineStr">
        <is>
          <t>17:00</t>
        </is>
      </c>
      <c r="J2684" s="8" t="n">
        <v>7.5</v>
      </c>
      <c r="K2684" s="8" t="n">
        <v>7.5</v>
      </c>
      <c r="L2684" s="8" t="n">
        <v>0</v>
      </c>
      <c r="M2684" s="29" t="inlineStr">
        <is>
          <t>BALIKESİR</t>
        </is>
      </c>
    </row>
    <row r="2685">
      <c r="A2685" s="4" t="n">
        <v>2684</v>
      </c>
      <c r="B2685" s="4" t="inlineStr">
        <is>
          <t>00121</t>
        </is>
      </c>
      <c r="C2685" s="4" t="inlineStr">
        <is>
          <t>00121</t>
        </is>
      </c>
      <c r="D2685" s="29" t="inlineStr">
        <is>
          <t>NAİL AKSOY</t>
        </is>
      </c>
      <c r="E2685" s="4" t="inlineStr">
        <is>
          <t>Perşembe</t>
        </is>
      </c>
      <c r="F2685" s="4" t="inlineStr">
        <is>
          <t>1.10.2026</t>
        </is>
      </c>
      <c r="G2685" s="4" t="inlineStr">
        <is>
          <t>15:58</t>
        </is>
      </c>
      <c r="H2685" s="4" t="inlineStr">
        <is>
          <t>1.10.2026</t>
        </is>
      </c>
      <c r="I2685" s="4" t="inlineStr">
        <is>
          <t>23:57</t>
        </is>
      </c>
      <c r="J2685" s="8" t="n">
        <v>7.5</v>
      </c>
      <c r="K2685" s="8" t="n">
        <v>7.5</v>
      </c>
      <c r="L2685" s="8" t="n">
        <v>0</v>
      </c>
      <c r="M2685" s="29" t="inlineStr">
        <is>
          <t>SUSURLUK</t>
        </is>
      </c>
    </row>
    <row r="2686">
      <c r="A2686" s="4" t="n">
        <v>2685</v>
      </c>
      <c r="B2686" s="4" t="inlineStr">
        <is>
          <t>00121</t>
        </is>
      </c>
      <c r="C2686" s="4" t="inlineStr">
        <is>
          <t>00121</t>
        </is>
      </c>
      <c r="D2686" s="29" t="inlineStr">
        <is>
          <t>NAİL AKSOY</t>
        </is>
      </c>
      <c r="E2686" s="4" t="inlineStr">
        <is>
          <t>Cuma</t>
        </is>
      </c>
      <c r="F2686" s="4" t="inlineStr">
        <is>
          <t>2.10.2026</t>
        </is>
      </c>
      <c r="G2686" s="4" t="inlineStr">
        <is>
          <t>15:47</t>
        </is>
      </c>
      <c r="H2686" s="4" t="inlineStr">
        <is>
          <t>2.10.2026</t>
        </is>
      </c>
      <c r="I2686" s="4" t="inlineStr">
        <is>
          <t>23:57</t>
        </is>
      </c>
      <c r="J2686" s="8" t="n">
        <v>7.5</v>
      </c>
      <c r="K2686" s="8" t="n">
        <v>7.5</v>
      </c>
      <c r="L2686" s="8" t="n">
        <v>0</v>
      </c>
      <c r="M2686" s="29" t="inlineStr">
        <is>
          <t>SUSURLUK</t>
        </is>
      </c>
    </row>
    <row r="2687">
      <c r="A2687" s="4" t="n">
        <v>2686</v>
      </c>
      <c r="B2687" s="4" t="inlineStr">
        <is>
          <t>00121</t>
        </is>
      </c>
      <c r="C2687" s="4" t="inlineStr">
        <is>
          <t>00121</t>
        </is>
      </c>
      <c r="D2687" s="29" t="inlineStr">
        <is>
          <t>NAİL AKSOY</t>
        </is>
      </c>
      <c r="E2687" s="4" t="inlineStr">
        <is>
          <t>Cumartesi</t>
        </is>
      </c>
      <c r="F2687" s="4" t="inlineStr">
        <is>
          <t>3.10.2026</t>
        </is>
      </c>
      <c r="G2687" s="4" t="inlineStr">
        <is>
          <t>15:56</t>
        </is>
      </c>
      <c r="H2687" s="4" t="inlineStr">
        <is>
          <t>3.10.2026</t>
        </is>
      </c>
      <c r="I2687" s="4" t="inlineStr">
        <is>
          <t>23:57</t>
        </is>
      </c>
      <c r="J2687" s="8" t="n">
        <v>7.5</v>
      </c>
      <c r="K2687" s="8" t="n">
        <v>7.5</v>
      </c>
      <c r="L2687" s="8" t="n">
        <v>0</v>
      </c>
      <c r="M2687" s="29" t="inlineStr">
        <is>
          <t>SUSURLUK</t>
        </is>
      </c>
    </row>
    <row r="2688">
      <c r="A2688" s="4" t="n">
        <v>2687</v>
      </c>
      <c r="B2688" s="4" t="inlineStr">
        <is>
          <t>00121</t>
        </is>
      </c>
      <c r="C2688" s="4" t="inlineStr">
        <is>
          <t>00121</t>
        </is>
      </c>
      <c r="D2688" s="29" t="inlineStr">
        <is>
          <t>NAİL AKSOY</t>
        </is>
      </c>
      <c r="E2688" s="4" t="inlineStr">
        <is>
          <t>Pazar</t>
        </is>
      </c>
      <c r="F2688" s="4" t="inlineStr">
        <is>
          <t>4.10.2026</t>
        </is>
      </c>
      <c r="G2688" s="4" t="inlineStr">
        <is>
          <t>11:38</t>
        </is>
      </c>
      <c r="H2688" s="4" t="inlineStr">
        <is>
          <t>4.10.2026</t>
        </is>
      </c>
      <c r="I2688" s="4" t="inlineStr">
        <is>
          <t>23:57</t>
        </is>
      </c>
      <c r="J2688" s="8" t="n">
        <v>11</v>
      </c>
      <c r="K2688" s="8" t="n">
        <v>4</v>
      </c>
      <c r="L2688" s="8" t="n">
        <v>7</v>
      </c>
      <c r="M2688" s="29" t="inlineStr">
        <is>
          <t>SUSURLUK</t>
        </is>
      </c>
    </row>
    <row r="2689">
      <c r="A2689" s="4" t="n">
        <v>2688</v>
      </c>
      <c r="B2689" s="4" t="inlineStr">
        <is>
          <t>00121</t>
        </is>
      </c>
      <c r="C2689" s="4" t="inlineStr">
        <is>
          <t>00121</t>
        </is>
      </c>
      <c r="D2689" s="29" t="inlineStr">
        <is>
          <t>NAİL AKSOY</t>
        </is>
      </c>
      <c r="E2689" s="4" t="inlineStr">
        <is>
          <t>Pazartesi</t>
        </is>
      </c>
      <c r="F2689" s="4" t="inlineStr">
        <is>
          <t>5.10.2026</t>
        </is>
      </c>
      <c r="G2689" s="4" t="inlineStr">
        <is>
          <t>15:48</t>
        </is>
      </c>
      <c r="H2689" s="4" t="inlineStr">
        <is>
          <t>5.10.2026</t>
        </is>
      </c>
      <c r="I2689" s="4" t="inlineStr">
        <is>
          <t>23:59</t>
        </is>
      </c>
      <c r="J2689" s="8" t="n">
        <v>7.5</v>
      </c>
      <c r="K2689" s="8" t="n">
        <v>7.5</v>
      </c>
      <c r="L2689" s="8" t="n">
        <v>0</v>
      </c>
      <c r="M2689" s="29" t="inlineStr">
        <is>
          <t>SUSURLUK</t>
        </is>
      </c>
    </row>
    <row r="2690">
      <c r="A2690" s="4" t="n">
        <v>2689</v>
      </c>
      <c r="B2690" s="4" t="inlineStr">
        <is>
          <t>00121</t>
        </is>
      </c>
      <c r="C2690" s="4" t="inlineStr">
        <is>
          <t>00121</t>
        </is>
      </c>
      <c r="D2690" s="29" t="inlineStr">
        <is>
          <t>NAİL AKSOY</t>
        </is>
      </c>
      <c r="E2690" s="4" t="inlineStr">
        <is>
          <t>Salı</t>
        </is>
      </c>
      <c r="F2690" s="4" t="inlineStr">
        <is>
          <t>6.10.2026</t>
        </is>
      </c>
      <c r="G2690" s="4" t="inlineStr">
        <is>
          <t>15:59</t>
        </is>
      </c>
      <c r="H2690" s="4" t="inlineStr">
        <is>
          <t>6.10.2026</t>
        </is>
      </c>
      <c r="I2690" s="4" t="inlineStr">
        <is>
          <t>23:59</t>
        </is>
      </c>
      <c r="J2690" s="8" t="n">
        <v>7.5</v>
      </c>
      <c r="K2690" s="8" t="n">
        <v>7.5</v>
      </c>
      <c r="L2690" s="8" t="n">
        <v>0</v>
      </c>
      <c r="M2690" s="29" t="inlineStr">
        <is>
          <t>SUSURLUK</t>
        </is>
      </c>
    </row>
    <row r="2691">
      <c r="A2691" s="4" t="n">
        <v>2690</v>
      </c>
      <c r="B2691" s="4" t="inlineStr">
        <is>
          <t>00121</t>
        </is>
      </c>
      <c r="C2691" s="4" t="inlineStr">
        <is>
          <t>00121</t>
        </is>
      </c>
      <c r="D2691" s="29" t="inlineStr">
        <is>
          <t>NAİL AKSOY</t>
        </is>
      </c>
      <c r="E2691" s="4" t="inlineStr">
        <is>
          <t>Çarşamba</t>
        </is>
      </c>
      <c r="F2691" s="4" t="inlineStr">
        <is>
          <t>7.10.2026</t>
        </is>
      </c>
      <c r="G2691" s="4" t="inlineStr">
        <is>
          <t>15:49</t>
        </is>
      </c>
      <c r="H2691" s="4" t="inlineStr">
        <is>
          <t>7.10.2026</t>
        </is>
      </c>
      <c r="I2691" s="4" t="inlineStr">
        <is>
          <t>23:58</t>
        </is>
      </c>
      <c r="J2691" s="8" t="n">
        <v>7.5</v>
      </c>
      <c r="K2691" s="8" t="n">
        <v>7.5</v>
      </c>
      <c r="L2691" s="8" t="n">
        <v>0</v>
      </c>
      <c r="M2691" s="29" t="inlineStr">
        <is>
          <t>SUSURLUK</t>
        </is>
      </c>
    </row>
    <row r="2692">
      <c r="A2692" s="4" t="n">
        <v>2691</v>
      </c>
      <c r="B2692" s="4" t="inlineStr">
        <is>
          <t>00121</t>
        </is>
      </c>
      <c r="C2692" s="4" t="inlineStr">
        <is>
          <t>00121</t>
        </is>
      </c>
      <c r="D2692" s="29" t="inlineStr">
        <is>
          <t>NAİL AKSOY</t>
        </is>
      </c>
      <c r="E2692" s="4" t="inlineStr">
        <is>
          <t>Perşembe</t>
        </is>
      </c>
      <c r="F2692" s="4" t="inlineStr">
        <is>
          <t>8.10.2026</t>
        </is>
      </c>
      <c r="G2692" s="4" t="inlineStr">
        <is>
          <t>16:02</t>
        </is>
      </c>
      <c r="H2692" s="4" t="inlineStr">
        <is>
          <t>8.10.2026</t>
        </is>
      </c>
      <c r="I2692" s="4" t="inlineStr">
        <is>
          <t>23:58</t>
        </is>
      </c>
      <c r="J2692" s="8" t="n">
        <v>7.5</v>
      </c>
      <c r="K2692" s="8" t="n">
        <v>7.5</v>
      </c>
      <c r="L2692" s="8" t="n">
        <v>0</v>
      </c>
      <c r="M2692" s="29" t="inlineStr">
        <is>
          <t>SUSURLUK</t>
        </is>
      </c>
    </row>
    <row r="2693">
      <c r="A2693" s="4" t="n">
        <v>2692</v>
      </c>
      <c r="B2693" s="4" t="inlineStr">
        <is>
          <t>00121</t>
        </is>
      </c>
      <c r="C2693" s="4" t="inlineStr">
        <is>
          <t>00121</t>
        </is>
      </c>
      <c r="D2693" s="29" t="inlineStr">
        <is>
          <t>NAİL AKSOY</t>
        </is>
      </c>
      <c r="E2693" s="4" t="inlineStr">
        <is>
          <t>Cuma</t>
        </is>
      </c>
      <c r="F2693" s="4" t="inlineStr">
        <is>
          <t>9.10.2026</t>
        </is>
      </c>
      <c r="G2693" s="4" t="inlineStr">
        <is>
          <t>15:52</t>
        </is>
      </c>
      <c r="H2693" s="4" t="inlineStr">
        <is>
          <t>9.10.2026</t>
        </is>
      </c>
      <c r="I2693" s="4" t="inlineStr">
        <is>
          <t>23:58</t>
        </is>
      </c>
      <c r="J2693" s="8" t="n">
        <v>7.5</v>
      </c>
      <c r="K2693" s="8" t="n">
        <v>7.5</v>
      </c>
      <c r="L2693" s="8" t="n">
        <v>0</v>
      </c>
      <c r="M2693" s="29" t="inlineStr">
        <is>
          <t>SUSURLUK</t>
        </is>
      </c>
    </row>
    <row r="2694">
      <c r="A2694" s="4" t="n">
        <v>2693</v>
      </c>
      <c r="B2694" s="4" t="inlineStr">
        <is>
          <t>00121</t>
        </is>
      </c>
      <c r="C2694" s="4" t="inlineStr">
        <is>
          <t>00121</t>
        </is>
      </c>
      <c r="D2694" s="29" t="inlineStr">
        <is>
          <t>NAİL AKSOY</t>
        </is>
      </c>
      <c r="E2694" s="4" t="inlineStr">
        <is>
          <t>Cumartesi</t>
        </is>
      </c>
      <c r="F2694" s="4" t="inlineStr">
        <is>
          <t>10.10.2026</t>
        </is>
      </c>
      <c r="G2694" s="4" t="inlineStr">
        <is>
          <t>15:38</t>
        </is>
      </c>
      <c r="H2694" s="4" t="inlineStr">
        <is>
          <t>10.10.2026</t>
        </is>
      </c>
      <c r="I2694" s="4" t="inlineStr">
        <is>
          <t>23:57</t>
        </is>
      </c>
      <c r="J2694" s="8" t="n">
        <v>8</v>
      </c>
      <c r="K2694" s="8" t="n">
        <v>8</v>
      </c>
      <c r="L2694" s="8" t="n">
        <v>0</v>
      </c>
      <c r="M2694" s="29" t="inlineStr">
        <is>
          <t>SUSURLUK</t>
        </is>
      </c>
    </row>
    <row r="2695">
      <c r="A2695" s="4" t="n">
        <v>2694</v>
      </c>
      <c r="B2695" s="4" t="inlineStr">
        <is>
          <t>00121</t>
        </is>
      </c>
      <c r="C2695" s="4" t="inlineStr">
        <is>
          <t>00121</t>
        </is>
      </c>
      <c r="D2695" s="29" t="inlineStr">
        <is>
          <t>NAİL AKSOY</t>
        </is>
      </c>
      <c r="E2695" s="4" t="inlineStr">
        <is>
          <t>Pazar</t>
        </is>
      </c>
      <c r="F2695" s="4" t="inlineStr">
        <is>
          <t>11.10.2026</t>
        </is>
      </c>
      <c r="G2695" s="4" t="inlineStr">
        <is>
          <t>15:46</t>
        </is>
      </c>
      <c r="H2695" s="4" t="inlineStr">
        <is>
          <t>11.10.2026</t>
        </is>
      </c>
      <c r="I2695" s="4" t="inlineStr">
        <is>
          <t>23:59</t>
        </is>
      </c>
      <c r="J2695" s="8" t="n">
        <v>7.5</v>
      </c>
      <c r="K2695" s="8" t="n">
        <v>7.5</v>
      </c>
      <c r="L2695" s="8" t="n">
        <v>0</v>
      </c>
      <c r="M2695" s="29" t="inlineStr">
        <is>
          <t>SUSURLUK</t>
        </is>
      </c>
    </row>
    <row r="2696">
      <c r="A2696" s="4" t="n">
        <v>2695</v>
      </c>
      <c r="B2696" s="4" t="inlineStr">
        <is>
          <t>00121</t>
        </is>
      </c>
      <c r="C2696" s="4" t="inlineStr">
        <is>
          <t>00121</t>
        </is>
      </c>
      <c r="D2696" s="29" t="inlineStr">
        <is>
          <t>NAİL AKSOY</t>
        </is>
      </c>
      <c r="E2696" s="4" t="inlineStr">
        <is>
          <t>Pazartesi</t>
        </is>
      </c>
      <c r="F2696" s="4" t="inlineStr">
        <is>
          <t>12.10.2026</t>
        </is>
      </c>
      <c r="G2696" s="4" t="inlineStr">
        <is>
          <t>15:49</t>
        </is>
      </c>
      <c r="H2696" s="4" t="inlineStr">
        <is>
          <t>12.10.2026</t>
        </is>
      </c>
      <c r="I2696" s="4" t="inlineStr">
        <is>
          <t>23:56</t>
        </is>
      </c>
      <c r="J2696" s="8" t="n">
        <v>7.5</v>
      </c>
      <c r="K2696" s="8" t="n">
        <v>7.5</v>
      </c>
      <c r="L2696" s="8" t="n">
        <v>0</v>
      </c>
      <c r="M2696" s="29" t="inlineStr">
        <is>
          <t>SUSURLUK</t>
        </is>
      </c>
    </row>
    <row r="2697">
      <c r="A2697" s="4" t="n">
        <v>2696</v>
      </c>
      <c r="B2697" s="4" t="inlineStr">
        <is>
          <t>00121</t>
        </is>
      </c>
      <c r="C2697" s="4" t="inlineStr">
        <is>
          <t>00121</t>
        </is>
      </c>
      <c r="D2697" s="29" t="inlineStr">
        <is>
          <t>NAİL AKSOY</t>
        </is>
      </c>
      <c r="E2697" s="4" t="inlineStr">
        <is>
          <t>Salı</t>
        </is>
      </c>
      <c r="F2697" s="4" t="inlineStr">
        <is>
          <t>13.10.2026</t>
        </is>
      </c>
      <c r="G2697" s="4" t="inlineStr">
        <is>
          <t>23:48</t>
        </is>
      </c>
      <c r="H2697" s="4" t="inlineStr">
        <is>
          <t>13.10.2026</t>
        </is>
      </c>
      <c r="I2697" s="4" t="inlineStr">
        <is>
          <t>09:55</t>
        </is>
      </c>
      <c r="J2697" s="8" t="n">
        <v>9.5</v>
      </c>
      <c r="K2697" s="8" t="n">
        <v>7.5</v>
      </c>
      <c r="L2697" s="8" t="n">
        <v>2</v>
      </c>
      <c r="M2697" s="29" t="inlineStr">
        <is>
          <t>SUSURLUK</t>
        </is>
      </c>
    </row>
    <row r="2698">
      <c r="A2698" s="4" t="n">
        <v>2697</v>
      </c>
      <c r="B2698" s="4" t="inlineStr">
        <is>
          <t>00121</t>
        </is>
      </c>
      <c r="C2698" s="4" t="inlineStr">
        <is>
          <t>00121</t>
        </is>
      </c>
      <c r="D2698" s="29" t="inlineStr">
        <is>
          <t>NAİL AKSOY</t>
        </is>
      </c>
      <c r="E2698" s="4" t="inlineStr">
        <is>
          <t>Çarşamba</t>
        </is>
      </c>
      <c r="F2698" s="4" t="inlineStr">
        <is>
          <t>14.10.2026</t>
        </is>
      </c>
      <c r="G2698" s="4" t="inlineStr">
        <is>
          <t>23:46</t>
        </is>
      </c>
      <c r="H2698" s="4" t="inlineStr">
        <is>
          <t>14.10.2026</t>
        </is>
      </c>
      <c r="I2698" s="4" t="inlineStr">
        <is>
          <t>07:58</t>
        </is>
      </c>
      <c r="J2698" s="8" t="n">
        <v>7.5</v>
      </c>
      <c r="K2698" s="8" t="n">
        <v>7.5</v>
      </c>
      <c r="L2698" s="8" t="n">
        <v>0</v>
      </c>
      <c r="M2698" s="29" t="inlineStr">
        <is>
          <t>SUSURLUK</t>
        </is>
      </c>
    </row>
    <row r="2699">
      <c r="A2699" s="4" t="n">
        <v>2698</v>
      </c>
      <c r="B2699" s="4" t="inlineStr">
        <is>
          <t>00121</t>
        </is>
      </c>
      <c r="C2699" s="4" t="inlineStr">
        <is>
          <t>00121</t>
        </is>
      </c>
      <c r="D2699" s="29" t="inlineStr">
        <is>
          <t>NAİL AKSOY</t>
        </is>
      </c>
      <c r="E2699" s="4" t="inlineStr">
        <is>
          <t>Perşembe</t>
        </is>
      </c>
      <c r="F2699" s="4" t="inlineStr">
        <is>
          <t>15.10.2026</t>
        </is>
      </c>
      <c r="G2699" s="4" t="inlineStr">
        <is>
          <t>23:42</t>
        </is>
      </c>
      <c r="H2699" s="4" t="inlineStr">
        <is>
          <t>15.10.2026</t>
        </is>
      </c>
      <c r="I2699" s="4" t="inlineStr">
        <is>
          <t>07:56</t>
        </is>
      </c>
      <c r="J2699" s="8" t="n">
        <v>7.5</v>
      </c>
      <c r="K2699" s="8" t="n">
        <v>7.5</v>
      </c>
      <c r="L2699" s="8" t="n">
        <v>0</v>
      </c>
      <c r="M2699" s="29" t="inlineStr">
        <is>
          <t>SUSURLUK</t>
        </is>
      </c>
    </row>
    <row r="2700">
      <c r="A2700" s="4" t="n">
        <v>2699</v>
      </c>
      <c r="B2700" s="4" t="inlineStr">
        <is>
          <t>00121</t>
        </is>
      </c>
      <c r="C2700" s="4" t="inlineStr">
        <is>
          <t>00121</t>
        </is>
      </c>
      <c r="D2700" s="29" t="inlineStr">
        <is>
          <t>NAİL AKSOY</t>
        </is>
      </c>
      <c r="E2700" s="4" t="inlineStr">
        <is>
          <t>Cuma</t>
        </is>
      </c>
      <c r="F2700" s="4" t="inlineStr">
        <is>
          <t>16.10.2026</t>
        </is>
      </c>
      <c r="G2700" s="4" t="inlineStr">
        <is>
          <t>23:46</t>
        </is>
      </c>
      <c r="H2700" s="4" t="inlineStr">
        <is>
          <t>16.10.2026</t>
        </is>
      </c>
      <c r="I2700" s="4" t="inlineStr">
        <is>
          <t>07:58</t>
        </is>
      </c>
      <c r="J2700" s="8" t="n">
        <v>7.5</v>
      </c>
      <c r="K2700" s="8" t="n">
        <v>7.5</v>
      </c>
      <c r="L2700" s="8" t="n">
        <v>0</v>
      </c>
      <c r="M2700" s="29" t="inlineStr">
        <is>
          <t>SUSURLUK</t>
        </is>
      </c>
    </row>
    <row r="2701">
      <c r="A2701" s="4" t="n">
        <v>2700</v>
      </c>
      <c r="B2701" s="4" t="inlineStr">
        <is>
          <t>00121</t>
        </is>
      </c>
      <c r="C2701" s="4" t="inlineStr">
        <is>
          <t>00121</t>
        </is>
      </c>
      <c r="D2701" s="29" t="inlineStr">
        <is>
          <t>NAİL AKSOY</t>
        </is>
      </c>
      <c r="E2701" s="4" t="inlineStr">
        <is>
          <t>Cumartesi</t>
        </is>
      </c>
      <c r="F2701" s="4" t="inlineStr">
        <is>
          <t>17.10.2026</t>
        </is>
      </c>
      <c r="G2701" s="4" t="inlineStr">
        <is>
          <t>23:36</t>
        </is>
      </c>
      <c r="H2701" s="4" t="inlineStr">
        <is>
          <t>17.10.2026</t>
        </is>
      </c>
      <c r="I2701" s="4" t="inlineStr">
        <is>
          <t>08:00</t>
        </is>
      </c>
      <c r="J2701" s="8" t="n">
        <v>7.5</v>
      </c>
      <c r="K2701" s="8" t="n">
        <v>7.5</v>
      </c>
      <c r="L2701" s="8" t="n">
        <v>0</v>
      </c>
      <c r="M2701" s="29" t="inlineStr">
        <is>
          <t>SUSURLUK</t>
        </is>
      </c>
    </row>
    <row r="2702">
      <c r="A2702" s="4" t="n">
        <v>2701</v>
      </c>
      <c r="B2702" s="4" t="inlineStr">
        <is>
          <t>00121</t>
        </is>
      </c>
      <c r="C2702" s="4" t="inlineStr">
        <is>
          <t>00121</t>
        </is>
      </c>
      <c r="D2702" s="29" t="inlineStr">
        <is>
          <t>NAİL AKSOY</t>
        </is>
      </c>
      <c r="E2702" s="4" t="inlineStr">
        <is>
          <t>Pazar</t>
        </is>
      </c>
      <c r="F2702" s="4" t="inlineStr">
        <is>
          <t>18.10.2026</t>
        </is>
      </c>
      <c r="G2702" s="4" t="inlineStr">
        <is>
          <t>23:30</t>
        </is>
      </c>
      <c r="H2702" s="4" t="inlineStr">
        <is>
          <t>18.10.2026</t>
        </is>
      </c>
      <c r="I2702" s="4" t="inlineStr">
        <is>
          <t>07:56</t>
        </is>
      </c>
      <c r="J2702" s="8" t="n">
        <v>7.5</v>
      </c>
      <c r="K2702" s="8" t="n">
        <v>7.5</v>
      </c>
      <c r="L2702" s="8" t="n">
        <v>0</v>
      </c>
      <c r="M2702" s="29" t="inlineStr">
        <is>
          <t>SUSURLUK</t>
        </is>
      </c>
    </row>
    <row r="2703">
      <c r="A2703" s="4" t="n">
        <v>2702</v>
      </c>
      <c r="B2703" s="4" t="inlineStr">
        <is>
          <t>00121</t>
        </is>
      </c>
      <c r="C2703" s="4" t="inlineStr">
        <is>
          <t>00121</t>
        </is>
      </c>
      <c r="D2703" s="29" t="inlineStr">
        <is>
          <t>NAİL AKSOY</t>
        </is>
      </c>
      <c r="E2703" s="4" t="inlineStr">
        <is>
          <t>Pazartesi</t>
        </is>
      </c>
      <c r="F2703" s="4" t="inlineStr">
        <is>
          <t>19.10.2026</t>
        </is>
      </c>
      <c r="G2703" s="4" t="inlineStr">
        <is>
          <t>23:46</t>
        </is>
      </c>
      <c r="H2703" s="4" t="inlineStr">
        <is>
          <t>19.10.2026</t>
        </is>
      </c>
      <c r="I2703" s="4" t="inlineStr">
        <is>
          <t>07:59</t>
        </is>
      </c>
      <c r="J2703" s="8" t="n">
        <v>7.5</v>
      </c>
      <c r="K2703" s="8" t="n">
        <v>7.5</v>
      </c>
      <c r="L2703" s="8" t="n">
        <v>0</v>
      </c>
      <c r="M2703" s="29" t="inlineStr">
        <is>
          <t>SUSURLUK</t>
        </is>
      </c>
    </row>
    <row r="2704">
      <c r="A2704" s="4" t="n">
        <v>2703</v>
      </c>
      <c r="B2704" s="4" t="inlineStr">
        <is>
          <t>00121</t>
        </is>
      </c>
      <c r="C2704" s="4" t="inlineStr">
        <is>
          <t>00121</t>
        </is>
      </c>
      <c r="D2704" s="29" t="inlineStr">
        <is>
          <t>NAİL AKSOY</t>
        </is>
      </c>
      <c r="E2704" s="4" t="inlineStr">
        <is>
          <t>Salı</t>
        </is>
      </c>
      <c r="F2704" s="4" t="inlineStr">
        <is>
          <t>20.10.2026</t>
        </is>
      </c>
      <c r="G2704" s="4" t="inlineStr">
        <is>
          <t>23:48</t>
        </is>
      </c>
      <c r="H2704" s="4" t="inlineStr">
        <is>
          <t>20.10.2026</t>
        </is>
      </c>
      <c r="I2704" s="4" t="inlineStr">
        <is>
          <t>07:54</t>
        </is>
      </c>
      <c r="J2704" s="8" t="n">
        <v>7.5</v>
      </c>
      <c r="K2704" s="8" t="n">
        <v>7.5</v>
      </c>
      <c r="L2704" s="8" t="n">
        <v>0</v>
      </c>
      <c r="M2704" s="29" t="inlineStr">
        <is>
          <t>SUSURLUK</t>
        </is>
      </c>
    </row>
    <row r="2705">
      <c r="A2705" s="4" t="n">
        <v>2704</v>
      </c>
      <c r="B2705" s="4" t="inlineStr">
        <is>
          <t>01439</t>
        </is>
      </c>
      <c r="C2705" s="4" t="inlineStr">
        <is>
          <t>01439</t>
        </is>
      </c>
      <c r="D2705" s="29" t="inlineStr">
        <is>
          <t>NAZİFE TEMELLİ</t>
        </is>
      </c>
      <c r="E2705" s="4" t="inlineStr">
        <is>
          <t>Cumartesi</t>
        </is>
      </c>
      <c r="F2705" s="4" t="inlineStr">
        <is>
          <t>3.10.2026</t>
        </is>
      </c>
      <c r="G2705" s="4" t="inlineStr">
        <is>
          <t>-</t>
        </is>
      </c>
      <c r="H2705" s="4" t="inlineStr">
        <is>
          <t>3.10.2026</t>
        </is>
      </c>
      <c r="I2705" s="4" t="inlineStr">
        <is>
          <t>20:05</t>
        </is>
      </c>
      <c r="J2705" s="8" t="n">
        <v>10.5</v>
      </c>
      <c r="K2705" s="8" t="n">
        <v>7.5</v>
      </c>
      <c r="L2705" s="8" t="n">
        <v>3</v>
      </c>
      <c r="M2705" s="29" t="inlineStr">
        <is>
          <t>HALİL DİĞRENCİ</t>
        </is>
      </c>
    </row>
    <row r="2706">
      <c r="A2706" s="4" t="n">
        <v>2705</v>
      </c>
      <c r="B2706" s="4" t="inlineStr">
        <is>
          <t>01439</t>
        </is>
      </c>
      <c r="C2706" s="4" t="inlineStr">
        <is>
          <t>01439</t>
        </is>
      </c>
      <c r="D2706" s="29" t="inlineStr">
        <is>
          <t>NAZİFE TEMELLİ</t>
        </is>
      </c>
      <c r="E2706" s="4" t="inlineStr">
        <is>
          <t>Pazartesi</t>
        </is>
      </c>
      <c r="F2706" s="4" t="inlineStr">
        <is>
          <t>5.10.2026</t>
        </is>
      </c>
      <c r="G2706" s="4" t="inlineStr">
        <is>
          <t>08:16</t>
        </is>
      </c>
      <c r="H2706" s="4" t="inlineStr">
        <is>
          <t>5.10.2026</t>
        </is>
      </c>
      <c r="I2706" s="4" t="inlineStr">
        <is>
          <t>20:05</t>
        </is>
      </c>
      <c r="J2706" s="8" t="n">
        <v>10.5</v>
      </c>
      <c r="K2706" s="8" t="n">
        <v>7.5</v>
      </c>
      <c r="L2706" s="8" t="n">
        <v>3</v>
      </c>
      <c r="M2706" s="29" t="inlineStr">
        <is>
          <t>HALİL DİĞRENCİ</t>
        </is>
      </c>
    </row>
    <row r="2707">
      <c r="A2707" s="4" t="n">
        <v>2706</v>
      </c>
      <c r="B2707" s="4" t="inlineStr">
        <is>
          <t>01439</t>
        </is>
      </c>
      <c r="C2707" s="4" t="inlineStr">
        <is>
          <t>01439</t>
        </is>
      </c>
      <c r="D2707" s="29" t="inlineStr">
        <is>
          <t>NAZİFE TEMELLİ</t>
        </is>
      </c>
      <c r="E2707" s="4" t="inlineStr">
        <is>
          <t>Çarşamba</t>
        </is>
      </c>
      <c r="F2707" s="4" t="inlineStr">
        <is>
          <t>7.10.2026</t>
        </is>
      </c>
      <c r="G2707" s="4" t="inlineStr">
        <is>
          <t>07:56</t>
        </is>
      </c>
      <c r="H2707" s="4" t="inlineStr">
        <is>
          <t>7.10.2026</t>
        </is>
      </c>
      <c r="I2707" s="4" t="inlineStr">
        <is>
          <t>20:04</t>
        </is>
      </c>
      <c r="J2707" s="8" t="n">
        <v>10.5</v>
      </c>
      <c r="K2707" s="8" t="n">
        <v>7.5</v>
      </c>
      <c r="L2707" s="8" t="n">
        <v>3</v>
      </c>
      <c r="M2707" s="29" t="inlineStr">
        <is>
          <t>HALİL DİĞRENCİ</t>
        </is>
      </c>
    </row>
    <row r="2708">
      <c r="A2708" s="4" t="n">
        <v>2707</v>
      </c>
      <c r="B2708" s="4" t="inlineStr">
        <is>
          <t>01439</t>
        </is>
      </c>
      <c r="C2708" s="4" t="inlineStr">
        <is>
          <t>01439</t>
        </is>
      </c>
      <c r="D2708" s="29" t="inlineStr">
        <is>
          <t>NAZİFE TEMELLİ</t>
        </is>
      </c>
      <c r="E2708" s="4" t="inlineStr">
        <is>
          <t>Cuma</t>
        </is>
      </c>
      <c r="F2708" s="4" t="inlineStr">
        <is>
          <t>9.10.2026</t>
        </is>
      </c>
      <c r="G2708" s="4" t="inlineStr">
        <is>
          <t>07:53</t>
        </is>
      </c>
      <c r="H2708" s="4" t="inlineStr">
        <is>
          <t>9.10.2026</t>
        </is>
      </c>
      <c r="I2708" s="4" t="inlineStr">
        <is>
          <t>20:07</t>
        </is>
      </c>
      <c r="J2708" s="8" t="n">
        <v>10.5</v>
      </c>
      <c r="K2708" s="8" t="n">
        <v>7.5</v>
      </c>
      <c r="L2708" s="8" t="n">
        <v>3</v>
      </c>
      <c r="M2708" s="29" t="inlineStr">
        <is>
          <t>HALİL DİĞRENCİ</t>
        </is>
      </c>
    </row>
    <row r="2709">
      <c r="A2709" s="4" t="n">
        <v>2708</v>
      </c>
      <c r="B2709" s="4" t="inlineStr">
        <is>
          <t>01439</t>
        </is>
      </c>
      <c r="C2709" s="4" t="inlineStr">
        <is>
          <t>01439</t>
        </is>
      </c>
      <c r="D2709" s="29" t="inlineStr">
        <is>
          <t>NAZİFE TEMELLİ</t>
        </is>
      </c>
      <c r="E2709" s="4" t="inlineStr">
        <is>
          <t>Cumartesi</t>
        </is>
      </c>
      <c r="F2709" s="4" t="inlineStr">
        <is>
          <t>10.10.2026</t>
        </is>
      </c>
      <c r="G2709" s="4" t="inlineStr">
        <is>
          <t>08:00</t>
        </is>
      </c>
      <c r="H2709" s="4" t="inlineStr">
        <is>
          <t>10.10.2026</t>
        </is>
      </c>
      <c r="I2709" s="4" t="inlineStr">
        <is>
          <t>20:04</t>
        </is>
      </c>
      <c r="J2709" s="8" t="n">
        <v>10.5</v>
      </c>
      <c r="K2709" s="8" t="n">
        <v>7.5</v>
      </c>
      <c r="L2709" s="8" t="n">
        <v>3</v>
      </c>
      <c r="M2709" s="29" t="inlineStr">
        <is>
          <t>HALİL DİĞRENCİ</t>
        </is>
      </c>
    </row>
    <row r="2710">
      <c r="A2710" s="4" t="n">
        <v>2709</v>
      </c>
      <c r="B2710" s="4" t="inlineStr">
        <is>
          <t>01439</t>
        </is>
      </c>
      <c r="C2710" s="4" t="inlineStr">
        <is>
          <t>01439</t>
        </is>
      </c>
      <c r="D2710" s="29" t="inlineStr">
        <is>
          <t>NAZİFE TEMELLİ</t>
        </is>
      </c>
      <c r="E2710" s="4" t="inlineStr">
        <is>
          <t>Pazartesi</t>
        </is>
      </c>
      <c r="F2710" s="4" t="inlineStr">
        <is>
          <t>12.10.2026</t>
        </is>
      </c>
      <c r="G2710" s="4" t="inlineStr">
        <is>
          <t>08:00</t>
        </is>
      </c>
      <c r="H2710" s="4" t="inlineStr">
        <is>
          <t>12.10.2026</t>
        </is>
      </c>
      <c r="I2710" s="4" t="inlineStr">
        <is>
          <t>20:05</t>
        </is>
      </c>
      <c r="J2710" s="8" t="n">
        <v>10.5</v>
      </c>
      <c r="K2710" s="8" t="n">
        <v>7.5</v>
      </c>
      <c r="L2710" s="8" t="n">
        <v>3</v>
      </c>
      <c r="M2710" s="29" t="inlineStr">
        <is>
          <t>HALİL DİĞRENCİ</t>
        </is>
      </c>
    </row>
    <row r="2711">
      <c r="A2711" s="4" t="n">
        <v>2710</v>
      </c>
      <c r="B2711" s="4" t="inlineStr">
        <is>
          <t>01559</t>
        </is>
      </c>
      <c r="C2711" s="4" t="inlineStr">
        <is>
          <t>01559</t>
        </is>
      </c>
      <c r="D2711" s="29" t="inlineStr">
        <is>
          <t>NAZİRE OYMAK</t>
        </is>
      </c>
      <c r="E2711" s="4" t="inlineStr">
        <is>
          <t>Çarşamba</t>
        </is>
      </c>
      <c r="F2711" s="4" t="inlineStr">
        <is>
          <t>14.10.2026</t>
        </is>
      </c>
      <c r="G2711" s="4" t="inlineStr">
        <is>
          <t>08:00</t>
        </is>
      </c>
      <c r="H2711" s="4" t="inlineStr">
        <is>
          <t>14.10.2026</t>
        </is>
      </c>
      <c r="I2711" s="4" t="inlineStr">
        <is>
          <t>-</t>
        </is>
      </c>
      <c r="J2711" s="8" t="n">
        <v>7.5</v>
      </c>
      <c r="K2711" s="8" t="n">
        <v>7.5</v>
      </c>
      <c r="L2711" s="8" t="n">
        <v>0</v>
      </c>
      <c r="M2711" s="29" t="inlineStr">
        <is>
          <t>BİGADİÇ</t>
        </is>
      </c>
    </row>
    <row r="2712">
      <c r="A2712" s="4" t="n">
        <v>2711</v>
      </c>
      <c r="B2712" s="4" t="inlineStr">
        <is>
          <t>01559</t>
        </is>
      </c>
      <c r="C2712" s="4" t="inlineStr">
        <is>
          <t>01559</t>
        </is>
      </c>
      <c r="D2712" s="29" t="inlineStr">
        <is>
          <t>NAZİRE OYMAK</t>
        </is>
      </c>
      <c r="E2712" s="4" t="inlineStr">
        <is>
          <t>Perşembe</t>
        </is>
      </c>
      <c r="F2712" s="4" t="inlineStr">
        <is>
          <t>15.10.2026</t>
        </is>
      </c>
      <c r="G2712" s="4" t="inlineStr">
        <is>
          <t>08:09</t>
        </is>
      </c>
      <c r="H2712" s="4" t="inlineStr">
        <is>
          <t>15.10.2026</t>
        </is>
      </c>
      <c r="I2712" s="4" t="inlineStr">
        <is>
          <t>-</t>
        </is>
      </c>
      <c r="J2712" s="8" t="n">
        <v>7.5</v>
      </c>
      <c r="K2712" s="8" t="n">
        <v>7.5</v>
      </c>
      <c r="L2712" s="8" t="n">
        <v>0</v>
      </c>
      <c r="M2712" s="29" t="inlineStr">
        <is>
          <t>BİGADİÇ</t>
        </is>
      </c>
    </row>
    <row r="2713">
      <c r="A2713" s="4" t="n">
        <v>2712</v>
      </c>
      <c r="B2713" s="4" t="inlineStr">
        <is>
          <t>01559</t>
        </is>
      </c>
      <c r="C2713" s="4" t="inlineStr">
        <is>
          <t>01559</t>
        </is>
      </c>
      <c r="D2713" s="29" t="inlineStr">
        <is>
          <t>NAZİRE OYMAK</t>
        </is>
      </c>
      <c r="E2713" s="4" t="inlineStr">
        <is>
          <t>Cumartesi</t>
        </is>
      </c>
      <c r="F2713" s="4" t="inlineStr">
        <is>
          <t>17.10.2026</t>
        </is>
      </c>
      <c r="G2713" s="4" t="inlineStr">
        <is>
          <t>07:36</t>
        </is>
      </c>
      <c r="H2713" s="4" t="inlineStr">
        <is>
          <t>17.10.2026</t>
        </is>
      </c>
      <c r="I2713" s="4" t="inlineStr">
        <is>
          <t>-</t>
        </is>
      </c>
      <c r="J2713" s="8" t="n">
        <v>7.5</v>
      </c>
      <c r="K2713" s="8" t="n">
        <v>7.5</v>
      </c>
      <c r="L2713" s="8" t="n">
        <v>0</v>
      </c>
      <c r="M2713" s="29" t="inlineStr">
        <is>
          <t>BİGADİÇ</t>
        </is>
      </c>
    </row>
    <row r="2714">
      <c r="A2714" s="4" t="n">
        <v>2713</v>
      </c>
      <c r="B2714" s="4" t="inlineStr">
        <is>
          <t>01559</t>
        </is>
      </c>
      <c r="C2714" s="4" t="inlineStr">
        <is>
          <t>01559</t>
        </is>
      </c>
      <c r="D2714" s="29" t="inlineStr">
        <is>
          <t>NAZİRE OYMAK</t>
        </is>
      </c>
      <c r="E2714" s="4" t="inlineStr">
        <is>
          <t>Salı</t>
        </is>
      </c>
      <c r="F2714" s="4" t="inlineStr">
        <is>
          <t>20.10.2026</t>
        </is>
      </c>
      <c r="G2714" s="4" t="inlineStr">
        <is>
          <t>08:01</t>
        </is>
      </c>
      <c r="H2714" s="4" t="inlineStr">
        <is>
          <t>20.10.2026</t>
        </is>
      </c>
      <c r="I2714" s="4" t="inlineStr">
        <is>
          <t>-</t>
        </is>
      </c>
      <c r="J2714" s="8" t="n">
        <v>7.5</v>
      </c>
      <c r="K2714" s="8" t="n">
        <v>7.5</v>
      </c>
      <c r="L2714" s="8" t="n">
        <v>0</v>
      </c>
      <c r="M2714" s="29" t="inlineStr">
        <is>
          <t>BİGADİÇ</t>
        </is>
      </c>
    </row>
    <row r="2715">
      <c r="A2715" s="4" t="n">
        <v>2714</v>
      </c>
      <c r="B2715" s="4" t="inlineStr">
        <is>
          <t>01559</t>
        </is>
      </c>
      <c r="C2715" s="4" t="inlineStr">
        <is>
          <t>01559</t>
        </is>
      </c>
      <c r="D2715" s="29" t="inlineStr">
        <is>
          <t>NAZİRE OYMAK</t>
        </is>
      </c>
      <c r="E2715" s="4" t="inlineStr">
        <is>
          <t>Çarşamba</t>
        </is>
      </c>
      <c r="F2715" s="4" t="inlineStr">
        <is>
          <t>21.10.2026</t>
        </is>
      </c>
      <c r="G2715" s="4" t="inlineStr">
        <is>
          <t>07:57</t>
        </is>
      </c>
      <c r="H2715" s="4" t="inlineStr">
        <is>
          <t>21.10.2026</t>
        </is>
      </c>
      <c r="I2715" s="4" t="inlineStr">
        <is>
          <t>17:06</t>
        </is>
      </c>
      <c r="J2715" s="8" t="n">
        <v>7.5</v>
      </c>
      <c r="K2715" s="8" t="n">
        <v>7.5</v>
      </c>
      <c r="L2715" s="8" t="n">
        <v>0</v>
      </c>
      <c r="M2715" s="29" t="inlineStr">
        <is>
          <t>BİGADİÇ</t>
        </is>
      </c>
    </row>
    <row r="2716">
      <c r="A2716" s="4" t="n">
        <v>2715</v>
      </c>
      <c r="B2716" s="4" t="inlineStr">
        <is>
          <t>01178</t>
        </is>
      </c>
      <c r="C2716" s="4" t="inlineStr">
        <is>
          <t>01178</t>
        </is>
      </c>
      <c r="D2716" s="29" t="inlineStr">
        <is>
          <t>NAZMİYE ÇELİK</t>
        </is>
      </c>
      <c r="E2716" s="4" t="inlineStr">
        <is>
          <t>Perşembe</t>
        </is>
      </c>
      <c r="F2716" s="4" t="inlineStr">
        <is>
          <t>1.10.2026</t>
        </is>
      </c>
      <c r="G2716" s="4" t="inlineStr">
        <is>
          <t>08:04</t>
        </is>
      </c>
      <c r="H2716" s="4" t="inlineStr">
        <is>
          <t>1.10.2026</t>
        </is>
      </c>
      <c r="I2716" s="4" t="inlineStr">
        <is>
          <t>17:33</t>
        </is>
      </c>
      <c r="J2716" s="8" t="n">
        <v>8</v>
      </c>
      <c r="K2716" s="8" t="n">
        <v>7.5</v>
      </c>
      <c r="L2716" s="8" t="n">
        <v>0.5</v>
      </c>
      <c r="M2716" s="29" t="inlineStr">
        <is>
          <t>GÜVEN MUSTAFAKEMALPAŞA</t>
        </is>
      </c>
    </row>
    <row r="2717">
      <c r="A2717" s="4" t="n">
        <v>2716</v>
      </c>
      <c r="B2717" s="4" t="inlineStr">
        <is>
          <t>01178</t>
        </is>
      </c>
      <c r="C2717" s="4" t="inlineStr">
        <is>
          <t>01178</t>
        </is>
      </c>
      <c r="D2717" s="29" t="inlineStr">
        <is>
          <t>NAZMİYE ÇELİK</t>
        </is>
      </c>
      <c r="E2717" s="4" t="inlineStr">
        <is>
          <t>Cuma</t>
        </is>
      </c>
      <c r="F2717" s="4" t="inlineStr">
        <is>
          <t>2.10.2026</t>
        </is>
      </c>
      <c r="G2717" s="4" t="inlineStr">
        <is>
          <t>07:57</t>
        </is>
      </c>
      <c r="H2717" s="4" t="inlineStr">
        <is>
          <t>2.10.2026</t>
        </is>
      </c>
      <c r="I2717" s="4" t="inlineStr">
        <is>
          <t>17:53</t>
        </is>
      </c>
      <c r="J2717" s="8" t="n">
        <v>8.5</v>
      </c>
      <c r="K2717" s="8" t="n">
        <v>7.5</v>
      </c>
      <c r="L2717" s="8" t="n">
        <v>1</v>
      </c>
      <c r="M2717" s="29" t="inlineStr">
        <is>
          <t>GÜVEN MUSTAFAKEMALPAŞA</t>
        </is>
      </c>
    </row>
    <row r="2718">
      <c r="A2718" s="4" t="n">
        <v>2717</v>
      </c>
      <c r="B2718" s="4" t="inlineStr">
        <is>
          <t>01178</t>
        </is>
      </c>
      <c r="C2718" s="4" t="inlineStr">
        <is>
          <t>01178</t>
        </is>
      </c>
      <c r="D2718" s="29" t="inlineStr">
        <is>
          <t>NAZMİYE ÇELİK</t>
        </is>
      </c>
      <c r="E2718" s="4" t="inlineStr">
        <is>
          <t>Cumartesi</t>
        </is>
      </c>
      <c r="F2718" s="4" t="inlineStr">
        <is>
          <t>3.10.2026</t>
        </is>
      </c>
      <c r="G2718" s="4" t="inlineStr">
        <is>
          <t>07:50</t>
        </is>
      </c>
      <c r="H2718" s="4" t="inlineStr">
        <is>
          <t>3.10.2026</t>
        </is>
      </c>
      <c r="I2718" s="4" t="inlineStr">
        <is>
          <t>17:43</t>
        </is>
      </c>
      <c r="J2718" s="8" t="n">
        <v>8</v>
      </c>
      <c r="K2718" s="8" t="n">
        <v>7.5</v>
      </c>
      <c r="L2718" s="8" t="n">
        <v>0.5</v>
      </c>
      <c r="M2718" s="29" t="inlineStr">
        <is>
          <t>GÜVEN MUSTAFAKEMALPAŞA</t>
        </is>
      </c>
    </row>
    <row r="2719">
      <c r="A2719" s="4" t="n">
        <v>2718</v>
      </c>
      <c r="B2719" s="4" t="inlineStr">
        <is>
          <t>01178</t>
        </is>
      </c>
      <c r="C2719" s="4" t="inlineStr">
        <is>
          <t>01178</t>
        </is>
      </c>
      <c r="D2719" s="29" t="inlineStr">
        <is>
          <t>NAZMİYE ÇELİK</t>
        </is>
      </c>
      <c r="E2719" s="4" t="inlineStr">
        <is>
          <t>Pazartesi</t>
        </is>
      </c>
      <c r="F2719" s="4" t="inlineStr">
        <is>
          <t>5.10.2026</t>
        </is>
      </c>
      <c r="G2719" s="4" t="inlineStr">
        <is>
          <t>07:50</t>
        </is>
      </c>
      <c r="H2719" s="4" t="inlineStr">
        <is>
          <t>5.10.2026</t>
        </is>
      </c>
      <c r="I2719" s="4" t="inlineStr">
        <is>
          <t>17:07</t>
        </is>
      </c>
      <c r="J2719" s="8" t="n">
        <v>7.5</v>
      </c>
      <c r="K2719" s="8" t="n">
        <v>7.5</v>
      </c>
      <c r="L2719" s="8" t="n">
        <v>0</v>
      </c>
      <c r="M2719" s="29" t="inlineStr">
        <is>
          <t>GÜVEN MUSTAFAKEMALPAŞA</t>
        </is>
      </c>
    </row>
    <row r="2720">
      <c r="A2720" s="4" t="n">
        <v>2719</v>
      </c>
      <c r="B2720" s="4" t="inlineStr">
        <is>
          <t>01178</t>
        </is>
      </c>
      <c r="C2720" s="4" t="inlineStr">
        <is>
          <t>01178</t>
        </is>
      </c>
      <c r="D2720" s="29" t="inlineStr">
        <is>
          <t>NAZMİYE ÇELİK</t>
        </is>
      </c>
      <c r="E2720" s="4" t="inlineStr">
        <is>
          <t>Salı</t>
        </is>
      </c>
      <c r="F2720" s="4" t="inlineStr">
        <is>
          <t>6.10.2026</t>
        </is>
      </c>
      <c r="G2720" s="4" t="inlineStr">
        <is>
          <t>08:01</t>
        </is>
      </c>
      <c r="H2720" s="4" t="inlineStr">
        <is>
          <t>6.10.2026</t>
        </is>
      </c>
      <c r="I2720" s="4" t="inlineStr">
        <is>
          <t>17:45</t>
        </is>
      </c>
      <c r="J2720" s="8" t="n">
        <v>8.5</v>
      </c>
      <c r="K2720" s="8" t="n">
        <v>7.5</v>
      </c>
      <c r="L2720" s="8" t="n">
        <v>1</v>
      </c>
      <c r="M2720" s="29" t="inlineStr">
        <is>
          <t>GÜVEN MUSTAFAKEMALPAŞA</t>
        </is>
      </c>
    </row>
    <row r="2721">
      <c r="A2721" s="4" t="n">
        <v>2720</v>
      </c>
      <c r="B2721" s="4" t="inlineStr">
        <is>
          <t>01178</t>
        </is>
      </c>
      <c r="C2721" s="4" t="inlineStr">
        <is>
          <t>01178</t>
        </is>
      </c>
      <c r="D2721" s="29" t="inlineStr">
        <is>
          <t>NAZMİYE ÇELİK</t>
        </is>
      </c>
      <c r="E2721" s="4" t="inlineStr">
        <is>
          <t>Çarşamba</t>
        </is>
      </c>
      <c r="F2721" s="4" t="inlineStr">
        <is>
          <t>7.10.2026</t>
        </is>
      </c>
      <c r="G2721" s="4" t="inlineStr">
        <is>
          <t>07:53</t>
        </is>
      </c>
      <c r="H2721" s="4" t="inlineStr">
        <is>
          <t>7.10.2026</t>
        </is>
      </c>
      <c r="I2721" s="4" t="inlineStr">
        <is>
          <t>17:29</t>
        </is>
      </c>
      <c r="J2721" s="8" t="n">
        <v>8</v>
      </c>
      <c r="K2721" s="8" t="n">
        <v>7.5</v>
      </c>
      <c r="L2721" s="8" t="n">
        <v>0.5</v>
      </c>
      <c r="M2721" s="29" t="inlineStr">
        <is>
          <t>GÜVEN MUSTAFAKEMALPAŞA</t>
        </is>
      </c>
    </row>
    <row r="2722">
      <c r="A2722" s="4" t="n">
        <v>2721</v>
      </c>
      <c r="B2722" s="4" t="inlineStr">
        <is>
          <t>01178</t>
        </is>
      </c>
      <c r="C2722" s="4" t="inlineStr">
        <is>
          <t>01178</t>
        </is>
      </c>
      <c r="D2722" s="29" t="inlineStr">
        <is>
          <t>NAZMİYE ÇELİK</t>
        </is>
      </c>
      <c r="E2722" s="4" t="inlineStr">
        <is>
          <t>Perşembe</t>
        </is>
      </c>
      <c r="F2722" s="4" t="inlineStr">
        <is>
          <t>8.10.2026</t>
        </is>
      </c>
      <c r="G2722" s="4" t="inlineStr">
        <is>
          <t>07:55</t>
        </is>
      </c>
      <c r="H2722" s="4" t="inlineStr">
        <is>
          <t>8.10.2026</t>
        </is>
      </c>
      <c r="I2722" s="4" t="inlineStr">
        <is>
          <t>17:39</t>
        </is>
      </c>
      <c r="J2722" s="8" t="n">
        <v>8</v>
      </c>
      <c r="K2722" s="8" t="n">
        <v>7.5</v>
      </c>
      <c r="L2722" s="8" t="n">
        <v>0.5</v>
      </c>
      <c r="M2722" s="29" t="inlineStr">
        <is>
          <t>GÜVEN MUSTAFAKEMALPAŞA</t>
        </is>
      </c>
    </row>
    <row r="2723">
      <c r="A2723" s="4" t="n">
        <v>2722</v>
      </c>
      <c r="B2723" s="4" t="inlineStr">
        <is>
          <t>01178</t>
        </is>
      </c>
      <c r="C2723" s="4" t="inlineStr">
        <is>
          <t>01178</t>
        </is>
      </c>
      <c r="D2723" s="29" t="inlineStr">
        <is>
          <t>NAZMİYE ÇELİK</t>
        </is>
      </c>
      <c r="E2723" s="4" t="inlineStr">
        <is>
          <t>Cuma</t>
        </is>
      </c>
      <c r="F2723" s="4" t="inlineStr">
        <is>
          <t>9.10.2026</t>
        </is>
      </c>
      <c r="G2723" s="4" t="inlineStr">
        <is>
          <t>07:51</t>
        </is>
      </c>
      <c r="H2723" s="4" t="inlineStr">
        <is>
          <t>9.10.2026</t>
        </is>
      </c>
      <c r="I2723" s="4" t="inlineStr">
        <is>
          <t>17:48</t>
        </is>
      </c>
      <c r="J2723" s="8" t="n">
        <v>8.5</v>
      </c>
      <c r="K2723" s="8" t="n">
        <v>7.5</v>
      </c>
      <c r="L2723" s="8" t="n">
        <v>1</v>
      </c>
      <c r="M2723" s="29" t="inlineStr">
        <is>
          <t>GÜVEN MUSTAFAKEMALPAŞA</t>
        </is>
      </c>
    </row>
    <row r="2724">
      <c r="A2724" s="4" t="n">
        <v>2723</v>
      </c>
      <c r="B2724" s="4" t="inlineStr">
        <is>
          <t>01178</t>
        </is>
      </c>
      <c r="C2724" s="4" t="inlineStr">
        <is>
          <t>01178</t>
        </is>
      </c>
      <c r="D2724" s="29" t="inlineStr">
        <is>
          <t>NAZMİYE ÇELİK</t>
        </is>
      </c>
      <c r="E2724" s="4" t="inlineStr">
        <is>
          <t>Pazartesi</t>
        </is>
      </c>
      <c r="F2724" s="4" t="inlineStr">
        <is>
          <t>12.10.2026</t>
        </is>
      </c>
      <c r="G2724" s="4" t="inlineStr">
        <is>
          <t>07:53</t>
        </is>
      </c>
      <c r="H2724" s="4" t="inlineStr">
        <is>
          <t>12.10.2026</t>
        </is>
      </c>
      <c r="I2724" s="4" t="inlineStr">
        <is>
          <t>17:05</t>
        </is>
      </c>
      <c r="J2724" s="8" t="n">
        <v>7.5</v>
      </c>
      <c r="K2724" s="8" t="n">
        <v>7.5</v>
      </c>
      <c r="L2724" s="8" t="n">
        <v>0</v>
      </c>
      <c r="M2724" s="29" t="inlineStr">
        <is>
          <t>GÜVEN MUSTAFAKEMALPAŞA</t>
        </is>
      </c>
    </row>
    <row r="2725">
      <c r="A2725" s="4" t="n">
        <v>2724</v>
      </c>
      <c r="B2725" s="4" t="inlineStr">
        <is>
          <t>01178</t>
        </is>
      </c>
      <c r="C2725" s="4" t="inlineStr">
        <is>
          <t>01178</t>
        </is>
      </c>
      <c r="D2725" s="29" t="inlineStr">
        <is>
          <t>NAZMİYE ÇELİK</t>
        </is>
      </c>
      <c r="E2725" s="4" t="inlineStr">
        <is>
          <t>Çarşamba</t>
        </is>
      </c>
      <c r="F2725" s="4" t="inlineStr">
        <is>
          <t>14.10.2026</t>
        </is>
      </c>
      <c r="G2725" s="4" t="inlineStr">
        <is>
          <t>07:52</t>
        </is>
      </c>
      <c r="H2725" s="4" t="inlineStr">
        <is>
          <t>14.10.2026</t>
        </is>
      </c>
      <c r="I2725" s="4" t="inlineStr">
        <is>
          <t>18:10</t>
        </is>
      </c>
      <c r="J2725" s="8" t="n">
        <v>8.5</v>
      </c>
      <c r="K2725" s="8" t="n">
        <v>7.5</v>
      </c>
      <c r="L2725" s="8" t="n">
        <v>1</v>
      </c>
      <c r="M2725" s="29" t="inlineStr">
        <is>
          <t>GÜVEN MUSTAFAKEMALPAŞA</t>
        </is>
      </c>
    </row>
    <row r="2726">
      <c r="A2726" s="4" t="n">
        <v>2725</v>
      </c>
      <c r="B2726" s="4" t="inlineStr">
        <is>
          <t>01178</t>
        </is>
      </c>
      <c r="C2726" s="4" t="inlineStr">
        <is>
          <t>01178</t>
        </is>
      </c>
      <c r="D2726" s="29" t="inlineStr">
        <is>
          <t>NAZMİYE ÇELİK</t>
        </is>
      </c>
      <c r="E2726" s="4" t="inlineStr">
        <is>
          <t>Perşembe</t>
        </is>
      </c>
      <c r="F2726" s="4" t="inlineStr">
        <is>
          <t>15.10.2026</t>
        </is>
      </c>
      <c r="G2726" s="4" t="inlineStr">
        <is>
          <t>07:55</t>
        </is>
      </c>
      <c r="H2726" s="4" t="inlineStr">
        <is>
          <t>15.10.2026</t>
        </is>
      </c>
      <c r="I2726" s="4" t="inlineStr">
        <is>
          <t>17:05</t>
        </is>
      </c>
      <c r="J2726" s="8" t="n">
        <v>7.5</v>
      </c>
      <c r="K2726" s="8" t="n">
        <v>7.5</v>
      </c>
      <c r="L2726" s="8" t="n">
        <v>0</v>
      </c>
      <c r="M2726" s="29" t="inlineStr">
        <is>
          <t>GÜVEN MUSTAFAKEMALPAŞA</t>
        </is>
      </c>
    </row>
    <row r="2727">
      <c r="A2727" s="4" t="n">
        <v>2726</v>
      </c>
      <c r="B2727" s="4" t="inlineStr">
        <is>
          <t>01178</t>
        </is>
      </c>
      <c r="C2727" s="4" t="inlineStr">
        <is>
          <t>01178</t>
        </is>
      </c>
      <c r="D2727" s="29" t="inlineStr">
        <is>
          <t>NAZMİYE ÇELİK</t>
        </is>
      </c>
      <c r="E2727" s="4" t="inlineStr">
        <is>
          <t>Cuma</t>
        </is>
      </c>
      <c r="F2727" s="4" t="inlineStr">
        <is>
          <t>16.10.2026</t>
        </is>
      </c>
      <c r="G2727" s="4" t="inlineStr">
        <is>
          <t>07:52</t>
        </is>
      </c>
      <c r="H2727" s="4" t="inlineStr">
        <is>
          <t>16.10.2026</t>
        </is>
      </c>
      <c r="I2727" s="4" t="inlineStr">
        <is>
          <t>17:21</t>
        </is>
      </c>
      <c r="J2727" s="8" t="n">
        <v>8</v>
      </c>
      <c r="K2727" s="8" t="n">
        <v>7.5</v>
      </c>
      <c r="L2727" s="8" t="n">
        <v>0.5</v>
      </c>
      <c r="M2727" s="29" t="inlineStr">
        <is>
          <t>GÜVEN MUSTAFAKEMALPAŞA</t>
        </is>
      </c>
    </row>
    <row r="2728">
      <c r="A2728" s="4" t="n">
        <v>2727</v>
      </c>
      <c r="B2728" s="4" t="inlineStr">
        <is>
          <t>01178</t>
        </is>
      </c>
      <c r="C2728" s="4" t="inlineStr">
        <is>
          <t>01178</t>
        </is>
      </c>
      <c r="D2728" s="29" t="inlineStr">
        <is>
          <t>NAZMİYE ÇELİK</t>
        </is>
      </c>
      <c r="E2728" s="4" t="inlineStr">
        <is>
          <t>Cumartesi</t>
        </is>
      </c>
      <c r="F2728" s="4" t="inlineStr">
        <is>
          <t>17.10.2026</t>
        </is>
      </c>
      <c r="G2728" s="4" t="inlineStr">
        <is>
          <t>07:53</t>
        </is>
      </c>
      <c r="H2728" s="4" t="inlineStr">
        <is>
          <t>17.10.2026</t>
        </is>
      </c>
      <c r="I2728" s="4" t="inlineStr">
        <is>
          <t>17:57</t>
        </is>
      </c>
      <c r="J2728" s="8" t="n">
        <v>8.5</v>
      </c>
      <c r="K2728" s="8" t="n">
        <v>7.5</v>
      </c>
      <c r="L2728" s="8" t="n">
        <v>1</v>
      </c>
      <c r="M2728" s="29" t="inlineStr">
        <is>
          <t>GÜVEN MUSTAFAKEMALPAŞA</t>
        </is>
      </c>
    </row>
    <row r="2729">
      <c r="A2729" s="4" t="n">
        <v>2728</v>
      </c>
      <c r="B2729" s="4" t="inlineStr">
        <is>
          <t>01178</t>
        </is>
      </c>
      <c r="C2729" s="4" t="inlineStr">
        <is>
          <t>01178</t>
        </is>
      </c>
      <c r="D2729" s="29" t="inlineStr">
        <is>
          <t>NAZMİYE ÇELİK</t>
        </is>
      </c>
      <c r="E2729" s="4" t="inlineStr">
        <is>
          <t>Pazartesi</t>
        </is>
      </c>
      <c r="F2729" s="4" t="inlineStr">
        <is>
          <t>19.10.2026</t>
        </is>
      </c>
      <c r="G2729" s="4" t="inlineStr">
        <is>
          <t>07:51</t>
        </is>
      </c>
      <c r="H2729" s="4" t="inlineStr">
        <is>
          <t>19.10.2026</t>
        </is>
      </c>
      <c r="I2729" s="4" t="inlineStr">
        <is>
          <t>17:49</t>
        </is>
      </c>
      <c r="J2729" s="8" t="n">
        <v>8.5</v>
      </c>
      <c r="K2729" s="8" t="n">
        <v>7.5</v>
      </c>
      <c r="L2729" s="8" t="n">
        <v>1</v>
      </c>
      <c r="M2729" s="29" t="inlineStr">
        <is>
          <t>GÜVEN MUSTAFAKEMALPAŞA</t>
        </is>
      </c>
    </row>
    <row r="2730">
      <c r="A2730" s="4" t="n">
        <v>2729</v>
      </c>
      <c r="B2730" s="4" t="inlineStr">
        <is>
          <t>01178</t>
        </is>
      </c>
      <c r="C2730" s="4" t="inlineStr">
        <is>
          <t>01178</t>
        </is>
      </c>
      <c r="D2730" s="29" t="inlineStr">
        <is>
          <t>NAZMİYE ÇELİK</t>
        </is>
      </c>
      <c r="E2730" s="4" t="inlineStr">
        <is>
          <t>Salı</t>
        </is>
      </c>
      <c r="F2730" s="4" t="inlineStr">
        <is>
          <t>20.10.2026</t>
        </is>
      </c>
      <c r="G2730" s="4" t="inlineStr">
        <is>
          <t>07:52</t>
        </is>
      </c>
      <c r="H2730" s="4" t="inlineStr">
        <is>
          <t>20.10.2026</t>
        </is>
      </c>
      <c r="I2730" s="4" t="inlineStr">
        <is>
          <t>17:04</t>
        </is>
      </c>
      <c r="J2730" s="8" t="n">
        <v>7.5</v>
      </c>
      <c r="K2730" s="8" t="n">
        <v>7.5</v>
      </c>
      <c r="L2730" s="8" t="n">
        <v>0</v>
      </c>
      <c r="M2730" s="29" t="inlineStr">
        <is>
          <t>GÜVEN MUSTAFAKEMALPAŞA</t>
        </is>
      </c>
    </row>
    <row r="2731">
      <c r="A2731" s="4" t="n">
        <v>2730</v>
      </c>
      <c r="B2731" s="4" t="inlineStr">
        <is>
          <t>00974</t>
        </is>
      </c>
      <c r="C2731" s="4" t="inlineStr">
        <is>
          <t>00974</t>
        </is>
      </c>
      <c r="D2731" s="29" t="inlineStr">
        <is>
          <t>NECİFE BAĞ</t>
        </is>
      </c>
      <c r="E2731" s="4" t="inlineStr">
        <is>
          <t>Perşembe</t>
        </is>
      </c>
      <c r="F2731" s="4" t="inlineStr">
        <is>
          <t>1.10.2026</t>
        </is>
      </c>
      <c r="G2731" s="4" t="inlineStr">
        <is>
          <t>07:43</t>
        </is>
      </c>
      <c r="H2731" s="4" t="inlineStr">
        <is>
          <t>1.10.2026</t>
        </is>
      </c>
      <c r="I2731" s="4" t="inlineStr">
        <is>
          <t>17:33</t>
        </is>
      </c>
      <c r="J2731" s="8" t="n">
        <v>8</v>
      </c>
      <c r="K2731" s="8" t="n">
        <v>7.5</v>
      </c>
      <c r="L2731" s="8" t="n">
        <v>0.5</v>
      </c>
      <c r="M2731" s="29" t="inlineStr">
        <is>
          <t>KARACABEY</t>
        </is>
      </c>
    </row>
    <row r="2732">
      <c r="A2732" s="4" t="n">
        <v>2731</v>
      </c>
      <c r="B2732" s="4" t="inlineStr">
        <is>
          <t>00974</t>
        </is>
      </c>
      <c r="C2732" s="4" t="inlineStr">
        <is>
          <t>00974</t>
        </is>
      </c>
      <c r="D2732" s="29" t="inlineStr">
        <is>
          <t>NECİFE BAĞ</t>
        </is>
      </c>
      <c r="E2732" s="4" t="inlineStr">
        <is>
          <t>Cuma</t>
        </is>
      </c>
      <c r="F2732" s="4" t="inlineStr">
        <is>
          <t>2.10.2026</t>
        </is>
      </c>
      <c r="G2732" s="4" t="inlineStr">
        <is>
          <t>07:42</t>
        </is>
      </c>
      <c r="H2732" s="4" t="inlineStr">
        <is>
          <t>2.10.2026</t>
        </is>
      </c>
      <c r="I2732" s="4" t="inlineStr">
        <is>
          <t>17:52</t>
        </is>
      </c>
      <c r="J2732" s="8" t="n">
        <v>8.5</v>
      </c>
      <c r="K2732" s="8" t="n">
        <v>7.5</v>
      </c>
      <c r="L2732" s="8" t="n">
        <v>1</v>
      </c>
      <c r="M2732" s="29" t="inlineStr">
        <is>
          <t>KARACABEY</t>
        </is>
      </c>
    </row>
    <row r="2733">
      <c r="A2733" s="4" t="n">
        <v>2732</v>
      </c>
      <c r="B2733" s="4" t="inlineStr">
        <is>
          <t>00974</t>
        </is>
      </c>
      <c r="C2733" s="4" t="inlineStr">
        <is>
          <t>00974</t>
        </is>
      </c>
      <c r="D2733" s="29" t="inlineStr">
        <is>
          <t>NECİFE BAĞ</t>
        </is>
      </c>
      <c r="E2733" s="4" t="inlineStr">
        <is>
          <t>Cumartesi</t>
        </is>
      </c>
      <c r="F2733" s="4" t="inlineStr">
        <is>
          <t>3.10.2026</t>
        </is>
      </c>
      <c r="G2733" s="4" t="inlineStr">
        <is>
          <t>07:43</t>
        </is>
      </c>
      <c r="H2733" s="4" t="inlineStr">
        <is>
          <t>3.10.2026</t>
        </is>
      </c>
      <c r="I2733" s="4" t="inlineStr">
        <is>
          <t>17:40</t>
        </is>
      </c>
      <c r="J2733" s="8" t="n">
        <v>8</v>
      </c>
      <c r="K2733" s="8" t="n">
        <v>7.5</v>
      </c>
      <c r="L2733" s="8" t="n">
        <v>0.5</v>
      </c>
      <c r="M2733" s="29" t="inlineStr">
        <is>
          <t>KARACABEY</t>
        </is>
      </c>
    </row>
    <row r="2734">
      <c r="A2734" s="4" t="n">
        <v>2733</v>
      </c>
      <c r="B2734" s="4" t="inlineStr">
        <is>
          <t>00887</t>
        </is>
      </c>
      <c r="C2734" s="4" t="inlineStr">
        <is>
          <t>00887</t>
        </is>
      </c>
      <c r="D2734" s="29" t="inlineStr">
        <is>
          <t>NECLA ABİ</t>
        </is>
      </c>
      <c r="E2734" s="4" t="inlineStr">
        <is>
          <t>Cumartesi</t>
        </is>
      </c>
      <c r="F2734" s="4" t="inlineStr">
        <is>
          <t>3.10.2026</t>
        </is>
      </c>
      <c r="G2734" s="4" t="inlineStr">
        <is>
          <t>07:36</t>
        </is>
      </c>
      <c r="H2734" s="4" t="inlineStr">
        <is>
          <t>3.10.2026</t>
        </is>
      </c>
      <c r="I2734" s="4" t="inlineStr">
        <is>
          <t>17:41</t>
        </is>
      </c>
      <c r="J2734" s="8" t="n">
        <v>8</v>
      </c>
      <c r="K2734" s="8" t="n">
        <v>7.5</v>
      </c>
      <c r="L2734" s="8" t="n">
        <v>0.5</v>
      </c>
      <c r="M2734" s="29" t="inlineStr">
        <is>
          <t>GÜVEN TURİZM</t>
        </is>
      </c>
    </row>
    <row r="2735">
      <c r="A2735" s="4" t="n">
        <v>2734</v>
      </c>
      <c r="B2735" s="4" t="inlineStr">
        <is>
          <t>00887</t>
        </is>
      </c>
      <c r="C2735" s="4" t="inlineStr">
        <is>
          <t>00887</t>
        </is>
      </c>
      <c r="D2735" s="29" t="inlineStr">
        <is>
          <t>NECLA ABİ</t>
        </is>
      </c>
      <c r="E2735" s="4" t="inlineStr">
        <is>
          <t>Pazartesi</t>
        </is>
      </c>
      <c r="F2735" s="4" t="inlineStr">
        <is>
          <t>5.10.2026</t>
        </is>
      </c>
      <c r="G2735" s="4" t="inlineStr">
        <is>
          <t>07:39</t>
        </is>
      </c>
      <c r="H2735" s="4" t="inlineStr">
        <is>
          <t>5.10.2026</t>
        </is>
      </c>
      <c r="I2735" s="4" t="inlineStr">
        <is>
          <t>17:07</t>
        </is>
      </c>
      <c r="J2735" s="8" t="n">
        <v>7.5</v>
      </c>
      <c r="K2735" s="8" t="n">
        <v>7.5</v>
      </c>
      <c r="L2735" s="8" t="n">
        <v>0</v>
      </c>
      <c r="M2735" s="29" t="inlineStr">
        <is>
          <t>GÜVEN TURİZM</t>
        </is>
      </c>
    </row>
    <row r="2736">
      <c r="A2736" s="4" t="n">
        <v>2735</v>
      </c>
      <c r="B2736" s="4" t="inlineStr">
        <is>
          <t>00887</t>
        </is>
      </c>
      <c r="C2736" s="4" t="inlineStr">
        <is>
          <t>00887</t>
        </is>
      </c>
      <c r="D2736" s="29" t="inlineStr">
        <is>
          <t>NECLA ABİ</t>
        </is>
      </c>
      <c r="E2736" s="4" t="inlineStr">
        <is>
          <t>Salı</t>
        </is>
      </c>
      <c r="F2736" s="4" t="inlineStr">
        <is>
          <t>6.10.2026</t>
        </is>
      </c>
      <c r="G2736" s="4" t="inlineStr">
        <is>
          <t>07:42</t>
        </is>
      </c>
      <c r="H2736" s="4" t="inlineStr">
        <is>
          <t>6.10.2026</t>
        </is>
      </c>
      <c r="I2736" s="4" t="inlineStr">
        <is>
          <t>17:43</t>
        </is>
      </c>
      <c r="J2736" s="8" t="n">
        <v>8</v>
      </c>
      <c r="K2736" s="8" t="n">
        <v>7.5</v>
      </c>
      <c r="L2736" s="8" t="n">
        <v>0.5</v>
      </c>
      <c r="M2736" s="29" t="inlineStr">
        <is>
          <t>GÜVEN TURİZM</t>
        </is>
      </c>
    </row>
    <row r="2737">
      <c r="A2737" s="4" t="n">
        <v>2736</v>
      </c>
      <c r="B2737" s="4" t="inlineStr">
        <is>
          <t>00887</t>
        </is>
      </c>
      <c r="C2737" s="4" t="inlineStr">
        <is>
          <t>00887</t>
        </is>
      </c>
      <c r="D2737" s="29" t="inlineStr">
        <is>
          <t>NECLA ABİ</t>
        </is>
      </c>
      <c r="E2737" s="4" t="inlineStr">
        <is>
          <t>Çarşamba</t>
        </is>
      </c>
      <c r="F2737" s="4" t="inlineStr">
        <is>
          <t>7.10.2026</t>
        </is>
      </c>
      <c r="G2737" s="4" t="inlineStr">
        <is>
          <t>07:37</t>
        </is>
      </c>
      <c r="H2737" s="4" t="inlineStr">
        <is>
          <t>7.10.2026</t>
        </is>
      </c>
      <c r="I2737" s="4" t="inlineStr">
        <is>
          <t>17:28</t>
        </is>
      </c>
      <c r="J2737" s="8" t="n">
        <v>8</v>
      </c>
      <c r="K2737" s="8" t="n">
        <v>7.5</v>
      </c>
      <c r="L2737" s="8" t="n">
        <v>0.5</v>
      </c>
      <c r="M2737" s="29" t="inlineStr">
        <is>
          <t>GÜVEN TURİZM</t>
        </is>
      </c>
    </row>
    <row r="2738">
      <c r="A2738" s="4" t="n">
        <v>2737</v>
      </c>
      <c r="B2738" s="4" t="inlineStr">
        <is>
          <t>00887</t>
        </is>
      </c>
      <c r="C2738" s="4" t="inlineStr">
        <is>
          <t>00887</t>
        </is>
      </c>
      <c r="D2738" s="29" t="inlineStr">
        <is>
          <t>NECLA ABİ</t>
        </is>
      </c>
      <c r="E2738" s="4" t="inlineStr">
        <is>
          <t>Perşembe</t>
        </is>
      </c>
      <c r="F2738" s="4" t="inlineStr">
        <is>
          <t>8.10.2026</t>
        </is>
      </c>
      <c r="G2738" s="4" t="inlineStr">
        <is>
          <t>07:36</t>
        </is>
      </c>
      <c r="H2738" s="4" t="inlineStr">
        <is>
          <t>8.10.2026</t>
        </is>
      </c>
      <c r="I2738" s="4" t="inlineStr">
        <is>
          <t>17:38</t>
        </is>
      </c>
      <c r="J2738" s="8" t="n">
        <v>8</v>
      </c>
      <c r="K2738" s="8" t="n">
        <v>7.5</v>
      </c>
      <c r="L2738" s="8" t="n">
        <v>0.5</v>
      </c>
      <c r="M2738" s="29" t="inlineStr">
        <is>
          <t>GÜVEN TURİZM</t>
        </is>
      </c>
    </row>
    <row r="2739">
      <c r="A2739" s="4" t="n">
        <v>2738</v>
      </c>
      <c r="B2739" s="4" t="inlineStr">
        <is>
          <t>00887</t>
        </is>
      </c>
      <c r="C2739" s="4" t="inlineStr">
        <is>
          <t>00887</t>
        </is>
      </c>
      <c r="D2739" s="29" t="inlineStr">
        <is>
          <t>NECLA ABİ</t>
        </is>
      </c>
      <c r="E2739" s="4" t="inlineStr">
        <is>
          <t>Cuma</t>
        </is>
      </c>
      <c r="F2739" s="4" t="inlineStr">
        <is>
          <t>9.10.2026</t>
        </is>
      </c>
      <c r="G2739" s="4" t="inlineStr">
        <is>
          <t>07:38</t>
        </is>
      </c>
      <c r="H2739" s="4" t="inlineStr">
        <is>
          <t>9.10.2026</t>
        </is>
      </c>
      <c r="I2739" s="4" t="inlineStr">
        <is>
          <t>17:47</t>
        </is>
      </c>
      <c r="J2739" s="8" t="n">
        <v>8.5</v>
      </c>
      <c r="K2739" s="8" t="n">
        <v>7.5</v>
      </c>
      <c r="L2739" s="8" t="n">
        <v>1</v>
      </c>
      <c r="M2739" s="29" t="inlineStr">
        <is>
          <t>GÜVEN TURİZM</t>
        </is>
      </c>
    </row>
    <row r="2740">
      <c r="A2740" s="4" t="n">
        <v>2739</v>
      </c>
      <c r="B2740" s="4" t="inlineStr">
        <is>
          <t>00887</t>
        </is>
      </c>
      <c r="C2740" s="4" t="inlineStr">
        <is>
          <t>00887</t>
        </is>
      </c>
      <c r="D2740" s="29" t="inlineStr">
        <is>
          <t>NECLA ABİ</t>
        </is>
      </c>
      <c r="E2740" s="4" t="inlineStr">
        <is>
          <t>Cumartesi</t>
        </is>
      </c>
      <c r="F2740" s="4" t="inlineStr">
        <is>
          <t>10.10.2026</t>
        </is>
      </c>
      <c r="G2740" s="4" t="inlineStr">
        <is>
          <t>07:40</t>
        </is>
      </c>
      <c r="H2740" s="4" t="inlineStr">
        <is>
          <t>10.10.2026</t>
        </is>
      </c>
      <c r="I2740" s="4" t="inlineStr">
        <is>
          <t>18:14</t>
        </is>
      </c>
      <c r="J2740" s="8" t="n">
        <v>8.5</v>
      </c>
      <c r="K2740" s="8" t="n">
        <v>7.5</v>
      </c>
      <c r="L2740" s="8" t="n">
        <v>1</v>
      </c>
      <c r="M2740" s="29" t="inlineStr">
        <is>
          <t>GÜVEN TURİZM</t>
        </is>
      </c>
    </row>
    <row r="2741">
      <c r="A2741" s="4" t="n">
        <v>2740</v>
      </c>
      <c r="B2741" s="4" t="inlineStr">
        <is>
          <t>00887</t>
        </is>
      </c>
      <c r="C2741" s="4" t="inlineStr">
        <is>
          <t>00887</t>
        </is>
      </c>
      <c r="D2741" s="29" t="inlineStr">
        <is>
          <t>NECLA ABİ</t>
        </is>
      </c>
      <c r="E2741" s="4" t="inlineStr">
        <is>
          <t>Pazartesi</t>
        </is>
      </c>
      <c r="F2741" s="4" t="inlineStr">
        <is>
          <t>12.10.2026</t>
        </is>
      </c>
      <c r="G2741" s="4" t="inlineStr">
        <is>
          <t>07:45</t>
        </is>
      </c>
      <c r="H2741" s="4" t="inlineStr">
        <is>
          <t>12.10.2026</t>
        </is>
      </c>
      <c r="I2741" s="4" t="inlineStr">
        <is>
          <t>17:05</t>
        </is>
      </c>
      <c r="J2741" s="8" t="n">
        <v>7.5</v>
      </c>
      <c r="K2741" s="8" t="n">
        <v>7.5</v>
      </c>
      <c r="L2741" s="8" t="n">
        <v>0</v>
      </c>
      <c r="M2741" s="29" t="inlineStr">
        <is>
          <t>GÜVEN TURİZM</t>
        </is>
      </c>
    </row>
    <row r="2742">
      <c r="A2742" s="4" t="n">
        <v>2741</v>
      </c>
      <c r="B2742" s="4" t="inlineStr">
        <is>
          <t>00887</t>
        </is>
      </c>
      <c r="C2742" s="4" t="inlineStr">
        <is>
          <t>00887</t>
        </is>
      </c>
      <c r="D2742" s="29" t="inlineStr">
        <is>
          <t>NECLA ABİ</t>
        </is>
      </c>
      <c r="E2742" s="4" t="inlineStr">
        <is>
          <t>Salı</t>
        </is>
      </c>
      <c r="F2742" s="4" t="inlineStr">
        <is>
          <t>13.10.2026</t>
        </is>
      </c>
      <c r="G2742" s="4" t="inlineStr">
        <is>
          <t>07:41</t>
        </is>
      </c>
      <c r="H2742" s="4" t="inlineStr">
        <is>
          <t>13.10.2026</t>
        </is>
      </c>
      <c r="I2742" s="4" t="inlineStr">
        <is>
          <t>17:01</t>
        </is>
      </c>
      <c r="J2742" s="8" t="n">
        <v>7.5</v>
      </c>
      <c r="K2742" s="8" t="n">
        <v>7.5</v>
      </c>
      <c r="L2742" s="8" t="n">
        <v>0</v>
      </c>
      <c r="M2742" s="29" t="inlineStr">
        <is>
          <t>GÜVEN TURİZM</t>
        </is>
      </c>
    </row>
    <row r="2743">
      <c r="A2743" s="4" t="n">
        <v>2742</v>
      </c>
      <c r="B2743" s="4" t="inlineStr">
        <is>
          <t>00887</t>
        </is>
      </c>
      <c r="C2743" s="4" t="inlineStr">
        <is>
          <t>00887</t>
        </is>
      </c>
      <c r="D2743" s="29" t="inlineStr">
        <is>
          <t>NECLA ABİ</t>
        </is>
      </c>
      <c r="E2743" s="4" t="inlineStr">
        <is>
          <t>Çarşamba</t>
        </is>
      </c>
      <c r="F2743" s="4" t="inlineStr">
        <is>
          <t>14.10.2026</t>
        </is>
      </c>
      <c r="G2743" s="4" t="inlineStr">
        <is>
          <t>07:41</t>
        </is>
      </c>
      <c r="H2743" s="4" t="inlineStr">
        <is>
          <t>14.10.2026</t>
        </is>
      </c>
      <c r="I2743" s="4" t="inlineStr">
        <is>
          <t>18:08</t>
        </is>
      </c>
      <c r="J2743" s="8" t="n">
        <v>8.5</v>
      </c>
      <c r="K2743" s="8" t="n">
        <v>7.5</v>
      </c>
      <c r="L2743" s="8" t="n">
        <v>1</v>
      </c>
      <c r="M2743" s="29" t="inlineStr">
        <is>
          <t>GÜVEN TURİZM</t>
        </is>
      </c>
    </row>
    <row r="2744">
      <c r="A2744" s="4" t="n">
        <v>2743</v>
      </c>
      <c r="B2744" s="4" t="inlineStr">
        <is>
          <t>00887</t>
        </is>
      </c>
      <c r="C2744" s="4" t="inlineStr">
        <is>
          <t>00887</t>
        </is>
      </c>
      <c r="D2744" s="29" t="inlineStr">
        <is>
          <t>NECLA ABİ</t>
        </is>
      </c>
      <c r="E2744" s="4" t="inlineStr">
        <is>
          <t>Perşembe</t>
        </is>
      </c>
      <c r="F2744" s="4" t="inlineStr">
        <is>
          <t>15.10.2026</t>
        </is>
      </c>
      <c r="G2744" s="4" t="inlineStr">
        <is>
          <t>07:39</t>
        </is>
      </c>
      <c r="H2744" s="4" t="inlineStr">
        <is>
          <t>15.10.2026</t>
        </is>
      </c>
      <c r="I2744" s="4" t="inlineStr">
        <is>
          <t>17:05</t>
        </is>
      </c>
      <c r="J2744" s="8" t="n">
        <v>7.5</v>
      </c>
      <c r="K2744" s="8" t="n">
        <v>7.5</v>
      </c>
      <c r="L2744" s="8" t="n">
        <v>0</v>
      </c>
      <c r="M2744" s="29" t="inlineStr">
        <is>
          <t>GÜVEN TURİZM</t>
        </is>
      </c>
    </row>
    <row r="2745">
      <c r="A2745" s="4" t="n">
        <v>2744</v>
      </c>
      <c r="B2745" s="4" t="inlineStr">
        <is>
          <t>00887</t>
        </is>
      </c>
      <c r="C2745" s="4" t="inlineStr">
        <is>
          <t>00887</t>
        </is>
      </c>
      <c r="D2745" s="29" t="inlineStr">
        <is>
          <t>NECLA ABİ</t>
        </is>
      </c>
      <c r="E2745" s="4" t="inlineStr">
        <is>
          <t>Cumartesi</t>
        </is>
      </c>
      <c r="F2745" s="4" t="inlineStr">
        <is>
          <t>17.10.2026</t>
        </is>
      </c>
      <c r="G2745" s="4" t="inlineStr">
        <is>
          <t>07:38</t>
        </is>
      </c>
      <c r="H2745" s="4" t="inlineStr">
        <is>
          <t>17.10.2026</t>
        </is>
      </c>
      <c r="I2745" s="4" t="inlineStr">
        <is>
          <t>17:54</t>
        </is>
      </c>
      <c r="J2745" s="8" t="n">
        <v>8.5</v>
      </c>
      <c r="K2745" s="8" t="n">
        <v>7.5</v>
      </c>
      <c r="L2745" s="8" t="n">
        <v>1</v>
      </c>
      <c r="M2745" s="29" t="inlineStr">
        <is>
          <t>GÜVEN TURİZM</t>
        </is>
      </c>
    </row>
    <row r="2746">
      <c r="A2746" s="4" t="n">
        <v>2745</v>
      </c>
      <c r="B2746" s="4" t="inlineStr">
        <is>
          <t>00887</t>
        </is>
      </c>
      <c r="C2746" s="4" t="inlineStr">
        <is>
          <t>00887</t>
        </is>
      </c>
      <c r="D2746" s="29" t="inlineStr">
        <is>
          <t>NECLA ABİ</t>
        </is>
      </c>
      <c r="E2746" s="4" t="inlineStr">
        <is>
          <t>Pazartesi</t>
        </is>
      </c>
      <c r="F2746" s="4" t="inlineStr">
        <is>
          <t>19.10.2026</t>
        </is>
      </c>
      <c r="G2746" s="4" t="inlineStr">
        <is>
          <t>07:39</t>
        </is>
      </c>
      <c r="H2746" s="4" t="inlineStr">
        <is>
          <t>19.10.2026</t>
        </is>
      </c>
      <c r="I2746" s="4" t="inlineStr">
        <is>
          <t>17:48</t>
        </is>
      </c>
      <c r="J2746" s="8" t="n">
        <v>8.5</v>
      </c>
      <c r="K2746" s="8" t="n">
        <v>7.5</v>
      </c>
      <c r="L2746" s="8" t="n">
        <v>1</v>
      </c>
      <c r="M2746" s="29" t="inlineStr">
        <is>
          <t>GÜVEN TURİZM</t>
        </is>
      </c>
    </row>
    <row r="2747">
      <c r="A2747" s="4" t="n">
        <v>2746</v>
      </c>
      <c r="B2747" s="4" t="inlineStr">
        <is>
          <t>00887</t>
        </is>
      </c>
      <c r="C2747" s="4" t="inlineStr">
        <is>
          <t>00887</t>
        </is>
      </c>
      <c r="D2747" s="29" t="inlineStr">
        <is>
          <t>NECLA ABİ</t>
        </is>
      </c>
      <c r="E2747" s="4" t="inlineStr">
        <is>
          <t>Salı</t>
        </is>
      </c>
      <c r="F2747" s="4" t="inlineStr">
        <is>
          <t>20.10.2026</t>
        </is>
      </c>
      <c r="G2747" s="4" t="inlineStr">
        <is>
          <t>07:39</t>
        </is>
      </c>
      <c r="H2747" s="4" t="inlineStr">
        <is>
          <t>20.10.2026</t>
        </is>
      </c>
      <c r="I2747" s="4" t="inlineStr">
        <is>
          <t>17:03</t>
        </is>
      </c>
      <c r="J2747" s="8" t="n">
        <v>7.5</v>
      </c>
      <c r="K2747" s="8" t="n">
        <v>7.5</v>
      </c>
      <c r="L2747" s="8" t="n">
        <v>0</v>
      </c>
      <c r="M2747" s="29" t="inlineStr">
        <is>
          <t>GÜVEN TURİZM</t>
        </is>
      </c>
    </row>
    <row r="2748">
      <c r="A2748" s="4" t="n">
        <v>2747</v>
      </c>
      <c r="B2748" s="4" t="inlineStr">
        <is>
          <t>00887</t>
        </is>
      </c>
      <c r="C2748" s="4" t="inlineStr">
        <is>
          <t>00887</t>
        </is>
      </c>
      <c r="D2748" s="29" t="inlineStr">
        <is>
          <t>NECLA ABİ</t>
        </is>
      </c>
      <c r="E2748" s="4" t="inlineStr">
        <is>
          <t>Çarşamba</t>
        </is>
      </c>
      <c r="F2748" s="4" t="inlineStr">
        <is>
          <t>21.10.2026</t>
        </is>
      </c>
      <c r="G2748" s="4" t="inlineStr">
        <is>
          <t>07:48</t>
        </is>
      </c>
      <c r="H2748" s="4" t="inlineStr">
        <is>
          <t>21.10.2026</t>
        </is>
      </c>
      <c r="I2748" s="4" t="inlineStr">
        <is>
          <t>17:03</t>
        </is>
      </c>
      <c r="J2748" s="8" t="n">
        <v>7.5</v>
      </c>
      <c r="K2748" s="8" t="n">
        <v>7.5</v>
      </c>
      <c r="L2748" s="8" t="n">
        <v>0</v>
      </c>
      <c r="M2748" s="29" t="inlineStr">
        <is>
          <t>GÜVEN TURİZM</t>
        </is>
      </c>
    </row>
    <row r="2749">
      <c r="A2749" s="4" t="n">
        <v>2748</v>
      </c>
      <c r="B2749" s="4" t="inlineStr">
        <is>
          <t>00380</t>
        </is>
      </c>
      <c r="C2749" s="4" t="inlineStr">
        <is>
          <t>00380</t>
        </is>
      </c>
      <c r="D2749" s="29" t="inlineStr">
        <is>
          <t>NECMİ SEVER</t>
        </is>
      </c>
      <c r="E2749" s="4" t="inlineStr">
        <is>
          <t>Perşembe</t>
        </is>
      </c>
      <c r="F2749" s="4" t="inlineStr">
        <is>
          <t>1.10.2026</t>
        </is>
      </c>
      <c r="G2749" s="4" t="inlineStr">
        <is>
          <t>07:48</t>
        </is>
      </c>
      <c r="H2749" s="4" t="inlineStr">
        <is>
          <t>1.10.2026</t>
        </is>
      </c>
      <c r="I2749" s="4" t="inlineStr">
        <is>
          <t>17:18</t>
        </is>
      </c>
      <c r="J2749" s="8" t="n">
        <v>7.5</v>
      </c>
      <c r="K2749" s="8" t="n">
        <v>7.5</v>
      </c>
      <c r="L2749" s="8" t="n">
        <v>0</v>
      </c>
      <c r="M2749" s="29" t="inlineStr">
        <is>
          <t>GÖBEL</t>
        </is>
      </c>
    </row>
    <row r="2750">
      <c r="A2750" s="4" t="n">
        <v>2749</v>
      </c>
      <c r="B2750" s="4" t="inlineStr">
        <is>
          <t>00380</t>
        </is>
      </c>
      <c r="C2750" s="4" t="inlineStr">
        <is>
          <t>00380</t>
        </is>
      </c>
      <c r="D2750" s="29" t="inlineStr">
        <is>
          <t>NECMİ SEVER</t>
        </is>
      </c>
      <c r="E2750" s="4" t="inlineStr">
        <is>
          <t>Cuma</t>
        </is>
      </c>
      <c r="F2750" s="4" t="inlineStr">
        <is>
          <t>2.10.2026</t>
        </is>
      </c>
      <c r="G2750" s="4" t="inlineStr">
        <is>
          <t>07:58</t>
        </is>
      </c>
      <c r="H2750" s="4" t="inlineStr">
        <is>
          <t>2.10.2026</t>
        </is>
      </c>
      <c r="I2750" s="4" t="inlineStr">
        <is>
          <t>16:58</t>
        </is>
      </c>
      <c r="J2750" s="8" t="n">
        <v>7.5</v>
      </c>
      <c r="K2750" s="8" t="n">
        <v>7.5</v>
      </c>
      <c r="L2750" s="8" t="n">
        <v>0</v>
      </c>
      <c r="M2750" s="29" t="inlineStr">
        <is>
          <t>GÖBEL</t>
        </is>
      </c>
    </row>
    <row r="2751">
      <c r="A2751" s="4" t="n">
        <v>2750</v>
      </c>
      <c r="B2751" s="4" t="inlineStr">
        <is>
          <t>00380</t>
        </is>
      </c>
      <c r="C2751" s="4" t="inlineStr">
        <is>
          <t>00380</t>
        </is>
      </c>
      <c r="D2751" s="29" t="inlineStr">
        <is>
          <t>NECMİ SEVER</t>
        </is>
      </c>
      <c r="E2751" s="4" t="inlineStr">
        <is>
          <t>Cumartesi</t>
        </is>
      </c>
      <c r="F2751" s="4" t="inlineStr">
        <is>
          <t>3.10.2026</t>
        </is>
      </c>
      <c r="G2751" s="4" t="inlineStr">
        <is>
          <t>07:43</t>
        </is>
      </c>
      <c r="H2751" s="4" t="inlineStr">
        <is>
          <t>3.10.2026</t>
        </is>
      </c>
      <c r="I2751" s="4" t="inlineStr">
        <is>
          <t>15:57</t>
        </is>
      </c>
      <c r="J2751" s="8" t="n">
        <v>7.5</v>
      </c>
      <c r="K2751" s="8" t="n">
        <v>7.5</v>
      </c>
      <c r="L2751" s="8" t="n">
        <v>0</v>
      </c>
      <c r="M2751" s="29" t="inlineStr">
        <is>
          <t>GÖBEL</t>
        </is>
      </c>
    </row>
    <row r="2752">
      <c r="A2752" s="4" t="n">
        <v>2751</v>
      </c>
      <c r="B2752" s="4" t="inlineStr">
        <is>
          <t>00380</t>
        </is>
      </c>
      <c r="C2752" s="4" t="inlineStr">
        <is>
          <t>00380</t>
        </is>
      </c>
      <c r="D2752" s="29" t="inlineStr">
        <is>
          <t>NECMİ SEVER</t>
        </is>
      </c>
      <c r="E2752" s="4" t="inlineStr">
        <is>
          <t>Pazartesi</t>
        </is>
      </c>
      <c r="F2752" s="4" t="inlineStr">
        <is>
          <t>5.10.2026</t>
        </is>
      </c>
      <c r="G2752" s="4" t="inlineStr">
        <is>
          <t>07:56</t>
        </is>
      </c>
      <c r="H2752" s="4" t="inlineStr">
        <is>
          <t>5.10.2026</t>
        </is>
      </c>
      <c r="I2752" s="4" t="inlineStr">
        <is>
          <t>17:16</t>
        </is>
      </c>
      <c r="J2752" s="8" t="n">
        <v>7.5</v>
      </c>
      <c r="K2752" s="8" t="n">
        <v>7.5</v>
      </c>
      <c r="L2752" s="8" t="n">
        <v>0</v>
      </c>
      <c r="M2752" s="29" t="inlineStr">
        <is>
          <t>GÖBEL</t>
        </is>
      </c>
    </row>
    <row r="2753">
      <c r="A2753" s="4" t="n">
        <v>2752</v>
      </c>
      <c r="B2753" s="4" t="inlineStr">
        <is>
          <t>00380</t>
        </is>
      </c>
      <c r="C2753" s="4" t="inlineStr">
        <is>
          <t>00380</t>
        </is>
      </c>
      <c r="D2753" s="29" t="inlineStr">
        <is>
          <t>NECMİ SEVER</t>
        </is>
      </c>
      <c r="E2753" s="4" t="inlineStr">
        <is>
          <t>Salı</t>
        </is>
      </c>
      <c r="F2753" s="4" t="inlineStr">
        <is>
          <t>6.10.2026</t>
        </is>
      </c>
      <c r="G2753" s="4" t="inlineStr">
        <is>
          <t>07:48</t>
        </is>
      </c>
      <c r="H2753" s="4" t="inlineStr">
        <is>
          <t>6.10.2026</t>
        </is>
      </c>
      <c r="I2753" s="4" t="inlineStr">
        <is>
          <t>17:10</t>
        </is>
      </c>
      <c r="J2753" s="8" t="n">
        <v>7.5</v>
      </c>
      <c r="K2753" s="8" t="n">
        <v>7.5</v>
      </c>
      <c r="L2753" s="8" t="n">
        <v>0</v>
      </c>
      <c r="M2753" s="29" t="inlineStr">
        <is>
          <t>GÖBEL</t>
        </is>
      </c>
    </row>
    <row r="2754">
      <c r="A2754" s="4" t="n">
        <v>2753</v>
      </c>
      <c r="B2754" s="4" t="inlineStr">
        <is>
          <t>00380</t>
        </is>
      </c>
      <c r="C2754" s="4" t="inlineStr">
        <is>
          <t>00380</t>
        </is>
      </c>
      <c r="D2754" s="29" t="inlineStr">
        <is>
          <t>NECMİ SEVER</t>
        </is>
      </c>
      <c r="E2754" s="4" t="inlineStr">
        <is>
          <t>Çarşamba</t>
        </is>
      </c>
      <c r="F2754" s="4" t="inlineStr">
        <is>
          <t>7.10.2026</t>
        </is>
      </c>
      <c r="G2754" s="4" t="inlineStr">
        <is>
          <t>07:51</t>
        </is>
      </c>
      <c r="H2754" s="4" t="inlineStr">
        <is>
          <t>7.10.2026</t>
        </is>
      </c>
      <c r="I2754" s="4" t="inlineStr">
        <is>
          <t>16:56</t>
        </is>
      </c>
      <c r="J2754" s="8" t="n">
        <v>7.5</v>
      </c>
      <c r="K2754" s="8" t="n">
        <v>7.5</v>
      </c>
      <c r="L2754" s="8" t="n">
        <v>0</v>
      </c>
      <c r="M2754" s="29" t="inlineStr">
        <is>
          <t>GÖBEL</t>
        </is>
      </c>
    </row>
    <row r="2755">
      <c r="A2755" s="4" t="n">
        <v>2754</v>
      </c>
      <c r="B2755" s="4" t="inlineStr">
        <is>
          <t>00380</t>
        </is>
      </c>
      <c r="C2755" s="4" t="inlineStr">
        <is>
          <t>00380</t>
        </is>
      </c>
      <c r="D2755" s="29" t="inlineStr">
        <is>
          <t>NECMİ SEVER</t>
        </is>
      </c>
      <c r="E2755" s="4" t="inlineStr">
        <is>
          <t>Perşembe</t>
        </is>
      </c>
      <c r="F2755" s="4" t="inlineStr">
        <is>
          <t>8.10.2026</t>
        </is>
      </c>
      <c r="G2755" s="4" t="inlineStr">
        <is>
          <t>08:01</t>
        </is>
      </c>
      <c r="H2755" s="4" t="inlineStr">
        <is>
          <t>8.10.2026</t>
        </is>
      </c>
      <c r="I2755" s="4" t="inlineStr">
        <is>
          <t>17:07</t>
        </is>
      </c>
      <c r="J2755" s="8" t="n">
        <v>7.5</v>
      </c>
      <c r="K2755" s="8" t="n">
        <v>7.5</v>
      </c>
      <c r="L2755" s="8" t="n">
        <v>0</v>
      </c>
      <c r="M2755" s="29" t="inlineStr">
        <is>
          <t>GÖBEL</t>
        </is>
      </c>
    </row>
    <row r="2756">
      <c r="A2756" s="4" t="n">
        <v>2755</v>
      </c>
      <c r="B2756" s="4" t="inlineStr">
        <is>
          <t>00380</t>
        </is>
      </c>
      <c r="C2756" s="4" t="inlineStr">
        <is>
          <t>00380</t>
        </is>
      </c>
      <c r="D2756" s="29" t="inlineStr">
        <is>
          <t>NECMİ SEVER</t>
        </is>
      </c>
      <c r="E2756" s="4" t="inlineStr">
        <is>
          <t>Cuma</t>
        </is>
      </c>
      <c r="F2756" s="4" t="inlineStr">
        <is>
          <t>9.10.2026</t>
        </is>
      </c>
      <c r="G2756" s="4" t="inlineStr">
        <is>
          <t>08:02</t>
        </is>
      </c>
      <c r="H2756" s="4" t="inlineStr">
        <is>
          <t>9.10.2026</t>
        </is>
      </c>
      <c r="I2756" s="4" t="inlineStr">
        <is>
          <t>17:12</t>
        </is>
      </c>
      <c r="J2756" s="8" t="n">
        <v>7.5</v>
      </c>
      <c r="K2756" s="8" t="n">
        <v>7.5</v>
      </c>
      <c r="L2756" s="8" t="n">
        <v>0</v>
      </c>
      <c r="M2756" s="29" t="inlineStr">
        <is>
          <t>GÖBEL</t>
        </is>
      </c>
    </row>
    <row r="2757">
      <c r="A2757" s="4" t="n">
        <v>2756</v>
      </c>
      <c r="B2757" s="4" t="inlineStr">
        <is>
          <t>00380</t>
        </is>
      </c>
      <c r="C2757" s="4" t="inlineStr">
        <is>
          <t>00380</t>
        </is>
      </c>
      <c r="D2757" s="29" t="inlineStr">
        <is>
          <t>NECMİ SEVER</t>
        </is>
      </c>
      <c r="E2757" s="4" t="inlineStr">
        <is>
          <t>Cumartesi</t>
        </is>
      </c>
      <c r="F2757" s="4" t="inlineStr">
        <is>
          <t>10.10.2026</t>
        </is>
      </c>
      <c r="G2757" s="4" t="inlineStr">
        <is>
          <t>07:45</t>
        </is>
      </c>
      <c r="H2757" s="4" t="inlineStr">
        <is>
          <t>10.10.2026</t>
        </is>
      </c>
      <c r="I2757" s="4" t="inlineStr">
        <is>
          <t>16:54</t>
        </is>
      </c>
      <c r="J2757" s="8" t="n">
        <v>7.5</v>
      </c>
      <c r="K2757" s="8" t="n">
        <v>7.5</v>
      </c>
      <c r="L2757" s="8" t="n">
        <v>0</v>
      </c>
      <c r="M2757" s="29" t="inlineStr">
        <is>
          <t>GÖBEL</t>
        </is>
      </c>
    </row>
    <row r="2758">
      <c r="A2758" s="4" t="n">
        <v>2757</v>
      </c>
      <c r="B2758" s="4" t="inlineStr">
        <is>
          <t>00380</t>
        </is>
      </c>
      <c r="C2758" s="4" t="inlineStr">
        <is>
          <t>00380</t>
        </is>
      </c>
      <c r="D2758" s="29" t="inlineStr">
        <is>
          <t>NECMİ SEVER</t>
        </is>
      </c>
      <c r="E2758" s="4" t="inlineStr">
        <is>
          <t>Pazartesi</t>
        </is>
      </c>
      <c r="F2758" s="4" t="inlineStr">
        <is>
          <t>12.10.2026</t>
        </is>
      </c>
      <c r="G2758" s="4" t="inlineStr">
        <is>
          <t>08:00</t>
        </is>
      </c>
      <c r="H2758" s="4" t="inlineStr">
        <is>
          <t>12.10.2026</t>
        </is>
      </c>
      <c r="I2758" s="4" t="inlineStr">
        <is>
          <t>17:56</t>
        </is>
      </c>
      <c r="J2758" s="8" t="n">
        <v>8.5</v>
      </c>
      <c r="K2758" s="8" t="n">
        <v>7.5</v>
      </c>
      <c r="L2758" s="8" t="n">
        <v>1</v>
      </c>
      <c r="M2758" s="29" t="inlineStr">
        <is>
          <t>GÖBEL</t>
        </is>
      </c>
    </row>
    <row r="2759">
      <c r="A2759" s="4" t="n">
        <v>2758</v>
      </c>
      <c r="B2759" s="4" t="inlineStr">
        <is>
          <t>00380</t>
        </is>
      </c>
      <c r="C2759" s="4" t="inlineStr">
        <is>
          <t>00380</t>
        </is>
      </c>
      <c r="D2759" s="29" t="inlineStr">
        <is>
          <t>NECMİ SEVER</t>
        </is>
      </c>
      <c r="E2759" s="4" t="inlineStr">
        <is>
          <t>Salı</t>
        </is>
      </c>
      <c r="F2759" s="4" t="inlineStr">
        <is>
          <t>13.10.2026</t>
        </is>
      </c>
      <c r="G2759" s="4" t="inlineStr">
        <is>
          <t>07:52</t>
        </is>
      </c>
      <c r="H2759" s="4" t="inlineStr">
        <is>
          <t>13.10.2026</t>
        </is>
      </c>
      <c r="I2759" s="4" t="inlineStr">
        <is>
          <t>16:53</t>
        </is>
      </c>
      <c r="J2759" s="8" t="n">
        <v>7.5</v>
      </c>
      <c r="K2759" s="8" t="n">
        <v>7.5</v>
      </c>
      <c r="L2759" s="8" t="n">
        <v>0</v>
      </c>
      <c r="M2759" s="29" t="inlineStr">
        <is>
          <t>GÖBEL</t>
        </is>
      </c>
    </row>
    <row r="2760">
      <c r="A2760" s="4" t="n">
        <v>2759</v>
      </c>
      <c r="B2760" s="4" t="inlineStr">
        <is>
          <t>00380</t>
        </is>
      </c>
      <c r="C2760" s="4" t="inlineStr">
        <is>
          <t>00380</t>
        </is>
      </c>
      <c r="D2760" s="29" t="inlineStr">
        <is>
          <t>NECMİ SEVER</t>
        </is>
      </c>
      <c r="E2760" s="4" t="inlineStr">
        <is>
          <t>Çarşamba</t>
        </is>
      </c>
      <c r="F2760" s="4" t="inlineStr">
        <is>
          <t>14.10.2026</t>
        </is>
      </c>
      <c r="G2760" s="4" t="inlineStr">
        <is>
          <t>07:46</t>
        </is>
      </c>
      <c r="H2760" s="4" t="inlineStr">
        <is>
          <t>14.10.2026</t>
        </is>
      </c>
      <c r="I2760" s="4" t="inlineStr">
        <is>
          <t>16:56</t>
        </is>
      </c>
      <c r="J2760" s="8" t="n">
        <v>7.5</v>
      </c>
      <c r="K2760" s="8" t="n">
        <v>7.5</v>
      </c>
      <c r="L2760" s="8" t="n">
        <v>0</v>
      </c>
      <c r="M2760" s="29" t="inlineStr">
        <is>
          <t>GÖBEL</t>
        </is>
      </c>
    </row>
    <row r="2761">
      <c r="A2761" s="4" t="n">
        <v>2760</v>
      </c>
      <c r="B2761" s="4" t="inlineStr">
        <is>
          <t>00380</t>
        </is>
      </c>
      <c r="C2761" s="4" t="inlineStr">
        <is>
          <t>00380</t>
        </is>
      </c>
      <c r="D2761" s="29" t="inlineStr">
        <is>
          <t>NECMİ SEVER</t>
        </is>
      </c>
      <c r="E2761" s="4" t="inlineStr">
        <is>
          <t>Perşembe</t>
        </is>
      </c>
      <c r="F2761" s="4" t="inlineStr">
        <is>
          <t>15.10.2026</t>
        </is>
      </c>
      <c r="G2761" s="4" t="inlineStr">
        <is>
          <t>07:50</t>
        </is>
      </c>
      <c r="H2761" s="4" t="inlineStr">
        <is>
          <t>15.10.2026</t>
        </is>
      </c>
      <c r="I2761" s="4" t="inlineStr">
        <is>
          <t>16:57</t>
        </is>
      </c>
      <c r="J2761" s="8" t="n">
        <v>7.5</v>
      </c>
      <c r="K2761" s="8" t="n">
        <v>7.5</v>
      </c>
      <c r="L2761" s="8" t="n">
        <v>0</v>
      </c>
      <c r="M2761" s="29" t="inlineStr">
        <is>
          <t>GÖBEL</t>
        </is>
      </c>
    </row>
    <row r="2762">
      <c r="A2762" s="4" t="n">
        <v>2761</v>
      </c>
      <c r="B2762" s="4" t="inlineStr">
        <is>
          <t>00380</t>
        </is>
      </c>
      <c r="C2762" s="4" t="inlineStr">
        <is>
          <t>00380</t>
        </is>
      </c>
      <c r="D2762" s="29" t="inlineStr">
        <is>
          <t>NECMİ SEVER</t>
        </is>
      </c>
      <c r="E2762" s="4" t="inlineStr">
        <is>
          <t>Cuma</t>
        </is>
      </c>
      <c r="F2762" s="4" t="inlineStr">
        <is>
          <t>16.10.2026</t>
        </is>
      </c>
      <c r="G2762" s="4" t="inlineStr">
        <is>
          <t>07:51</t>
        </is>
      </c>
      <c r="H2762" s="4" t="inlineStr">
        <is>
          <t>16.10.2026</t>
        </is>
      </c>
      <c r="I2762" s="4" t="inlineStr">
        <is>
          <t>17:15</t>
        </is>
      </c>
      <c r="J2762" s="8" t="n">
        <v>7.5</v>
      </c>
      <c r="K2762" s="8" t="n">
        <v>7.5</v>
      </c>
      <c r="L2762" s="8" t="n">
        <v>0</v>
      </c>
      <c r="M2762" s="29" t="inlineStr">
        <is>
          <t>GÖBEL</t>
        </is>
      </c>
    </row>
    <row r="2763">
      <c r="A2763" s="4" t="n">
        <v>2762</v>
      </c>
      <c r="B2763" s="4" t="inlineStr">
        <is>
          <t>00380</t>
        </is>
      </c>
      <c r="C2763" s="4" t="inlineStr">
        <is>
          <t>00380</t>
        </is>
      </c>
      <c r="D2763" s="29" t="inlineStr">
        <is>
          <t>NECMİ SEVER</t>
        </is>
      </c>
      <c r="E2763" s="4" t="inlineStr">
        <is>
          <t>Cumartesi</t>
        </is>
      </c>
      <c r="F2763" s="4" t="inlineStr">
        <is>
          <t>17.10.2026</t>
        </is>
      </c>
      <c r="G2763" s="4" t="inlineStr">
        <is>
          <t>07:46</t>
        </is>
      </c>
      <c r="H2763" s="4" t="inlineStr">
        <is>
          <t>17.10.2026</t>
        </is>
      </c>
      <c r="I2763" s="4" t="inlineStr">
        <is>
          <t>16:59</t>
        </is>
      </c>
      <c r="J2763" s="8" t="n">
        <v>7.5</v>
      </c>
      <c r="K2763" s="8" t="n">
        <v>7.5</v>
      </c>
      <c r="L2763" s="8" t="n">
        <v>0</v>
      </c>
      <c r="M2763" s="29" t="inlineStr">
        <is>
          <t>GÖBEL</t>
        </is>
      </c>
    </row>
    <row r="2764">
      <c r="A2764" s="4" t="n">
        <v>2763</v>
      </c>
      <c r="B2764" s="4" t="inlineStr">
        <is>
          <t>00380</t>
        </is>
      </c>
      <c r="C2764" s="4" t="inlineStr">
        <is>
          <t>00380</t>
        </is>
      </c>
      <c r="D2764" s="29" t="inlineStr">
        <is>
          <t>NECMİ SEVER</t>
        </is>
      </c>
      <c r="E2764" s="4" t="inlineStr">
        <is>
          <t>Pazartesi</t>
        </is>
      </c>
      <c r="F2764" s="4" t="inlineStr">
        <is>
          <t>19.10.2026</t>
        </is>
      </c>
      <c r="G2764" s="4" t="inlineStr">
        <is>
          <t>07:45</t>
        </is>
      </c>
      <c r="H2764" s="4" t="inlineStr">
        <is>
          <t>19.10.2026</t>
        </is>
      </c>
      <c r="I2764" s="4" t="inlineStr">
        <is>
          <t>16:51</t>
        </is>
      </c>
      <c r="J2764" s="8" t="n">
        <v>7.5</v>
      </c>
      <c r="K2764" s="8" t="n">
        <v>7.5</v>
      </c>
      <c r="L2764" s="8" t="n">
        <v>0</v>
      </c>
      <c r="M2764" s="29" t="inlineStr">
        <is>
          <t>GÖBEL</t>
        </is>
      </c>
    </row>
    <row r="2765">
      <c r="A2765" s="4" t="n">
        <v>2764</v>
      </c>
      <c r="B2765" s="4" t="inlineStr">
        <is>
          <t>00380</t>
        </is>
      </c>
      <c r="C2765" s="4" t="inlineStr">
        <is>
          <t>00380</t>
        </is>
      </c>
      <c r="D2765" s="29" t="inlineStr">
        <is>
          <t>NECMİ SEVER</t>
        </is>
      </c>
      <c r="E2765" s="4" t="inlineStr">
        <is>
          <t>Salı</t>
        </is>
      </c>
      <c r="F2765" s="4" t="inlineStr">
        <is>
          <t>20.10.2026</t>
        </is>
      </c>
      <c r="G2765" s="4" t="inlineStr">
        <is>
          <t>08:03</t>
        </is>
      </c>
      <c r="H2765" s="4" t="inlineStr">
        <is>
          <t>20.10.2026</t>
        </is>
      </c>
      <c r="I2765" s="4" t="inlineStr">
        <is>
          <t>17:07</t>
        </is>
      </c>
      <c r="J2765" s="8" t="n">
        <v>7.5</v>
      </c>
      <c r="K2765" s="8" t="n">
        <v>7.5</v>
      </c>
      <c r="L2765" s="8" t="n">
        <v>0</v>
      </c>
      <c r="M2765" s="29" t="inlineStr">
        <is>
          <t>GÖBEL</t>
        </is>
      </c>
    </row>
    <row r="2766">
      <c r="A2766" s="4" t="n">
        <v>2765</v>
      </c>
      <c r="B2766" s="4" t="inlineStr">
        <is>
          <t>00380</t>
        </is>
      </c>
      <c r="C2766" s="4" t="inlineStr">
        <is>
          <t>00380</t>
        </is>
      </c>
      <c r="D2766" s="29" t="inlineStr">
        <is>
          <t>NECMİ SEVER</t>
        </is>
      </c>
      <c r="E2766" s="4" t="inlineStr">
        <is>
          <t>Çarşamba</t>
        </is>
      </c>
      <c r="F2766" s="4" t="inlineStr">
        <is>
          <t>21.10.2026</t>
        </is>
      </c>
      <c r="G2766" s="4" t="inlineStr">
        <is>
          <t>07:52</t>
        </is>
      </c>
      <c r="H2766" s="4" t="inlineStr">
        <is>
          <t>21.10.2026</t>
        </is>
      </c>
      <c r="I2766" s="4" t="inlineStr">
        <is>
          <t>17:01</t>
        </is>
      </c>
      <c r="J2766" s="8" t="n">
        <v>7.5</v>
      </c>
      <c r="K2766" s="8" t="n">
        <v>7.5</v>
      </c>
      <c r="L2766" s="8" t="n">
        <v>0</v>
      </c>
      <c r="M2766" s="29" t="inlineStr">
        <is>
          <t>GÖBEL</t>
        </is>
      </c>
    </row>
    <row r="2767">
      <c r="A2767" s="4" t="n">
        <v>2766</v>
      </c>
      <c r="B2767" s="4" t="inlineStr">
        <is>
          <t>00930</t>
        </is>
      </c>
      <c r="C2767" s="4" t="inlineStr">
        <is>
          <t>00930</t>
        </is>
      </c>
      <c r="D2767" s="29" t="inlineStr">
        <is>
          <t>NECMİYE ÜÜLKER</t>
        </is>
      </c>
      <c r="E2767" s="4" t="inlineStr">
        <is>
          <t>Perşembe</t>
        </is>
      </c>
      <c r="F2767" s="4" t="inlineStr">
        <is>
          <t>1.10.2026</t>
        </is>
      </c>
      <c r="G2767" s="4" t="inlineStr">
        <is>
          <t>07:57</t>
        </is>
      </c>
      <c r="H2767" s="4" t="inlineStr">
        <is>
          <t>1.10.2026</t>
        </is>
      </c>
      <c r="I2767" s="4" t="inlineStr">
        <is>
          <t>17:25</t>
        </is>
      </c>
      <c r="J2767" s="8" t="n">
        <v>8</v>
      </c>
      <c r="K2767" s="8" t="n">
        <v>7.5</v>
      </c>
      <c r="L2767" s="8" t="n">
        <v>0.5</v>
      </c>
      <c r="M2767" s="29" t="inlineStr">
        <is>
          <t>GÜVEN MUSTAFAKEMALPAŞA</t>
        </is>
      </c>
    </row>
    <row r="2768">
      <c r="A2768" s="4" t="n">
        <v>2767</v>
      </c>
      <c r="B2768" s="4" t="inlineStr">
        <is>
          <t>00930</t>
        </is>
      </c>
      <c r="C2768" s="4" t="inlineStr">
        <is>
          <t>00930</t>
        </is>
      </c>
      <c r="D2768" s="29" t="inlineStr">
        <is>
          <t>NECMİYE ÜÜLKER</t>
        </is>
      </c>
      <c r="E2768" s="4" t="inlineStr">
        <is>
          <t>Cuma</t>
        </is>
      </c>
      <c r="F2768" s="4" t="inlineStr">
        <is>
          <t>2.10.2026</t>
        </is>
      </c>
      <c r="G2768" s="4" t="inlineStr">
        <is>
          <t>07:57</t>
        </is>
      </c>
      <c r="H2768" s="4" t="inlineStr">
        <is>
          <t>2.10.2026</t>
        </is>
      </c>
      <c r="I2768" s="4" t="inlineStr">
        <is>
          <t>17:42</t>
        </is>
      </c>
      <c r="J2768" s="8" t="n">
        <v>8</v>
      </c>
      <c r="K2768" s="8" t="n">
        <v>7.5</v>
      </c>
      <c r="L2768" s="8" t="n">
        <v>0.5</v>
      </c>
      <c r="M2768" s="29" t="inlineStr">
        <is>
          <t>GÜVEN MUSTAFAKEMALPAŞA</t>
        </is>
      </c>
    </row>
    <row r="2769">
      <c r="A2769" s="4" t="n">
        <v>2768</v>
      </c>
      <c r="B2769" s="4" t="inlineStr">
        <is>
          <t>00930</t>
        </is>
      </c>
      <c r="C2769" s="4" t="inlineStr">
        <is>
          <t>00930</t>
        </is>
      </c>
      <c r="D2769" s="29" t="inlineStr">
        <is>
          <t>NECMİYE ÜÜLKER</t>
        </is>
      </c>
      <c r="E2769" s="4" t="inlineStr">
        <is>
          <t>Pazartesi</t>
        </is>
      </c>
      <c r="F2769" s="4" t="inlineStr">
        <is>
          <t>5.10.2026</t>
        </is>
      </c>
      <c r="G2769" s="4" t="inlineStr">
        <is>
          <t>07:50</t>
        </is>
      </c>
      <c r="H2769" s="4" t="inlineStr">
        <is>
          <t>5.10.2026</t>
        </is>
      </c>
      <c r="I2769" s="4" t="inlineStr">
        <is>
          <t>17:05</t>
        </is>
      </c>
      <c r="J2769" s="8" t="n">
        <v>7.5</v>
      </c>
      <c r="K2769" s="8" t="n">
        <v>7.5</v>
      </c>
      <c r="L2769" s="8" t="n">
        <v>0</v>
      </c>
      <c r="M2769" s="29" t="inlineStr">
        <is>
          <t>GÜVEN MUSTAFAKEMALPAŞA</t>
        </is>
      </c>
    </row>
    <row r="2770">
      <c r="A2770" s="4" t="n">
        <v>2769</v>
      </c>
      <c r="B2770" s="4" t="inlineStr">
        <is>
          <t>00930</t>
        </is>
      </c>
      <c r="C2770" s="4" t="inlineStr">
        <is>
          <t>00930</t>
        </is>
      </c>
      <c r="D2770" s="29" t="inlineStr">
        <is>
          <t>NECMİYE ÜÜLKER</t>
        </is>
      </c>
      <c r="E2770" s="4" t="inlineStr">
        <is>
          <t>Salı</t>
        </is>
      </c>
      <c r="F2770" s="4" t="inlineStr">
        <is>
          <t>6.10.2026</t>
        </is>
      </c>
      <c r="G2770" s="4" t="inlineStr">
        <is>
          <t>08:01</t>
        </is>
      </c>
      <c r="H2770" s="4" t="inlineStr">
        <is>
          <t>6.10.2026</t>
        </is>
      </c>
      <c r="I2770" s="4" t="inlineStr">
        <is>
          <t>17:36</t>
        </is>
      </c>
      <c r="J2770" s="8" t="n">
        <v>8</v>
      </c>
      <c r="K2770" s="8" t="n">
        <v>7.5</v>
      </c>
      <c r="L2770" s="8" t="n">
        <v>0.5</v>
      </c>
      <c r="M2770" s="29" t="inlineStr">
        <is>
          <t>GÜVEN MUSTAFAKEMALPAŞA</t>
        </is>
      </c>
    </row>
    <row r="2771">
      <c r="A2771" s="4" t="n">
        <v>2770</v>
      </c>
      <c r="B2771" s="4" t="inlineStr">
        <is>
          <t>00930</t>
        </is>
      </c>
      <c r="C2771" s="4" t="inlineStr">
        <is>
          <t>00930</t>
        </is>
      </c>
      <c r="D2771" s="29" t="inlineStr">
        <is>
          <t>NECMİYE ÜÜLKER</t>
        </is>
      </c>
      <c r="E2771" s="4" t="inlineStr">
        <is>
          <t>Çarşamba</t>
        </is>
      </c>
      <c r="F2771" s="4" t="inlineStr">
        <is>
          <t>7.10.2026</t>
        </is>
      </c>
      <c r="G2771" s="4" t="inlineStr">
        <is>
          <t>07:54</t>
        </is>
      </c>
      <c r="H2771" s="4" t="inlineStr">
        <is>
          <t>7.10.2026</t>
        </is>
      </c>
      <c r="I2771" s="4" t="inlineStr">
        <is>
          <t>17:22</t>
        </is>
      </c>
      <c r="J2771" s="8" t="n">
        <v>8</v>
      </c>
      <c r="K2771" s="8" t="n">
        <v>7.5</v>
      </c>
      <c r="L2771" s="8" t="n">
        <v>0.5</v>
      </c>
      <c r="M2771" s="29" t="inlineStr">
        <is>
          <t>GÜVEN MUSTAFAKEMALPAŞA</t>
        </is>
      </c>
    </row>
    <row r="2772">
      <c r="A2772" s="4" t="n">
        <v>2771</v>
      </c>
      <c r="B2772" s="4" t="inlineStr">
        <is>
          <t>00930</t>
        </is>
      </c>
      <c r="C2772" s="4" t="inlineStr">
        <is>
          <t>00930</t>
        </is>
      </c>
      <c r="D2772" s="29" t="inlineStr">
        <is>
          <t>NECMİYE ÜÜLKER</t>
        </is>
      </c>
      <c r="E2772" s="4" t="inlineStr">
        <is>
          <t>Perşembe</t>
        </is>
      </c>
      <c r="F2772" s="4" t="inlineStr">
        <is>
          <t>8.10.2026</t>
        </is>
      </c>
      <c r="G2772" s="4" t="inlineStr">
        <is>
          <t>07:55</t>
        </is>
      </c>
      <c r="H2772" s="4" t="inlineStr">
        <is>
          <t>8.10.2026</t>
        </is>
      </c>
      <c r="I2772" s="4" t="inlineStr">
        <is>
          <t>17:32</t>
        </is>
      </c>
      <c r="J2772" s="8" t="n">
        <v>8</v>
      </c>
      <c r="K2772" s="8" t="n">
        <v>7.5</v>
      </c>
      <c r="L2772" s="8" t="n">
        <v>0.5</v>
      </c>
      <c r="M2772" s="29" t="inlineStr">
        <is>
          <t>GÜVEN MUSTAFAKEMALPAŞA</t>
        </is>
      </c>
    </row>
    <row r="2773">
      <c r="A2773" s="4" t="n">
        <v>2772</v>
      </c>
      <c r="B2773" s="4" t="inlineStr">
        <is>
          <t>00930</t>
        </is>
      </c>
      <c r="C2773" s="4" t="inlineStr">
        <is>
          <t>00930</t>
        </is>
      </c>
      <c r="D2773" s="29" t="inlineStr">
        <is>
          <t>NECMİYE ÜÜLKER</t>
        </is>
      </c>
      <c r="E2773" s="4" t="inlineStr">
        <is>
          <t>Cuma</t>
        </is>
      </c>
      <c r="F2773" s="4" t="inlineStr">
        <is>
          <t>9.10.2026</t>
        </is>
      </c>
      <c r="G2773" s="4" t="inlineStr">
        <is>
          <t>07:52</t>
        </is>
      </c>
      <c r="H2773" s="4" t="inlineStr">
        <is>
          <t>9.10.2026</t>
        </is>
      </c>
      <c r="I2773" s="4" t="inlineStr">
        <is>
          <t>17:40</t>
        </is>
      </c>
      <c r="J2773" s="8" t="n">
        <v>8</v>
      </c>
      <c r="K2773" s="8" t="n">
        <v>7.5</v>
      </c>
      <c r="L2773" s="8" t="n">
        <v>0.5</v>
      </c>
      <c r="M2773" s="29" t="inlineStr">
        <is>
          <t>GÜVEN MUSTAFAKEMALPAŞA</t>
        </is>
      </c>
    </row>
    <row r="2774">
      <c r="A2774" s="4" t="n">
        <v>2773</v>
      </c>
      <c r="B2774" s="4" t="inlineStr">
        <is>
          <t>00930</t>
        </is>
      </c>
      <c r="C2774" s="4" t="inlineStr">
        <is>
          <t>00930</t>
        </is>
      </c>
      <c r="D2774" s="29" t="inlineStr">
        <is>
          <t>NECMİYE ÜÜLKER</t>
        </is>
      </c>
      <c r="E2774" s="4" t="inlineStr">
        <is>
          <t>Cumartesi</t>
        </is>
      </c>
      <c r="F2774" s="4" t="inlineStr">
        <is>
          <t>10.10.2026</t>
        </is>
      </c>
      <c r="G2774" s="4" t="inlineStr">
        <is>
          <t>07:49</t>
        </is>
      </c>
      <c r="H2774" s="4" t="inlineStr">
        <is>
          <t>10.10.2026</t>
        </is>
      </c>
      <c r="I2774" s="4" t="inlineStr">
        <is>
          <t>18:09</t>
        </is>
      </c>
      <c r="J2774" s="8" t="n">
        <v>8.5</v>
      </c>
      <c r="K2774" s="8" t="n">
        <v>7.5</v>
      </c>
      <c r="L2774" s="8" t="n">
        <v>1</v>
      </c>
      <c r="M2774" s="29" t="inlineStr">
        <is>
          <t>GÜVEN MUSTAFAKEMALPAŞA</t>
        </is>
      </c>
    </row>
    <row r="2775">
      <c r="A2775" s="4" t="n">
        <v>2774</v>
      </c>
      <c r="B2775" s="4" t="inlineStr">
        <is>
          <t>00930</t>
        </is>
      </c>
      <c r="C2775" s="4" t="inlineStr">
        <is>
          <t>00930</t>
        </is>
      </c>
      <c r="D2775" s="29" t="inlineStr">
        <is>
          <t>NECMİYE ÜÜLKER</t>
        </is>
      </c>
      <c r="E2775" s="4" t="inlineStr">
        <is>
          <t>Pazartesi</t>
        </is>
      </c>
      <c r="F2775" s="4" t="inlineStr">
        <is>
          <t>12.10.2026</t>
        </is>
      </c>
      <c r="G2775" s="4" t="inlineStr">
        <is>
          <t>07:53</t>
        </is>
      </c>
      <c r="H2775" s="4" t="inlineStr">
        <is>
          <t>12.10.2026</t>
        </is>
      </c>
      <c r="I2775" s="4" t="inlineStr">
        <is>
          <t>17:01</t>
        </is>
      </c>
      <c r="J2775" s="8" t="n">
        <v>7.5</v>
      </c>
      <c r="K2775" s="8" t="n">
        <v>7.5</v>
      </c>
      <c r="L2775" s="8" t="n">
        <v>0</v>
      </c>
      <c r="M2775" s="29" t="inlineStr">
        <is>
          <t>GÜVEN MUSTAFAKEMALPAŞA</t>
        </is>
      </c>
    </row>
    <row r="2776">
      <c r="A2776" s="4" t="n">
        <v>2775</v>
      </c>
      <c r="B2776" s="4" t="inlineStr">
        <is>
          <t>00930</t>
        </is>
      </c>
      <c r="C2776" s="4" t="inlineStr">
        <is>
          <t>00930</t>
        </is>
      </c>
      <c r="D2776" s="29" t="inlineStr">
        <is>
          <t>NECMİYE ÜÜLKER</t>
        </is>
      </c>
      <c r="E2776" s="4" t="inlineStr">
        <is>
          <t>Salı</t>
        </is>
      </c>
      <c r="F2776" s="4" t="inlineStr">
        <is>
          <t>13.10.2026</t>
        </is>
      </c>
      <c r="G2776" s="4" t="inlineStr">
        <is>
          <t>07:52</t>
        </is>
      </c>
      <c r="H2776" s="4" t="inlineStr">
        <is>
          <t>13.10.2026</t>
        </is>
      </c>
      <c r="I2776" s="4" t="inlineStr">
        <is>
          <t>17:02</t>
        </is>
      </c>
      <c r="J2776" s="8" t="n">
        <v>7.5</v>
      </c>
      <c r="K2776" s="8" t="n">
        <v>7.5</v>
      </c>
      <c r="L2776" s="8" t="n">
        <v>0</v>
      </c>
      <c r="M2776" s="29" t="inlineStr">
        <is>
          <t>GÜVEN MUSTAFAKEMALPAŞA</t>
        </is>
      </c>
    </row>
    <row r="2777">
      <c r="A2777" s="4" t="n">
        <v>2776</v>
      </c>
      <c r="B2777" s="4" t="inlineStr">
        <is>
          <t>00930</t>
        </is>
      </c>
      <c r="C2777" s="4" t="inlineStr">
        <is>
          <t>00930</t>
        </is>
      </c>
      <c r="D2777" s="29" t="inlineStr">
        <is>
          <t>NECMİYE ÜÜLKER</t>
        </is>
      </c>
      <c r="E2777" s="4" t="inlineStr">
        <is>
          <t>Çarşamba</t>
        </is>
      </c>
      <c r="F2777" s="4" t="inlineStr">
        <is>
          <t>14.10.2026</t>
        </is>
      </c>
      <c r="G2777" s="4" t="inlineStr">
        <is>
          <t>07:53</t>
        </is>
      </c>
      <c r="H2777" s="4" t="inlineStr">
        <is>
          <t>14.10.2026</t>
        </is>
      </c>
      <c r="I2777" s="4" t="inlineStr">
        <is>
          <t>18:04</t>
        </is>
      </c>
      <c r="J2777" s="8" t="n">
        <v>8.5</v>
      </c>
      <c r="K2777" s="8" t="n">
        <v>7.5</v>
      </c>
      <c r="L2777" s="8" t="n">
        <v>1</v>
      </c>
      <c r="M2777" s="29" t="inlineStr">
        <is>
          <t>GÜVEN MUSTAFAKEMALPAŞA</t>
        </is>
      </c>
    </row>
    <row r="2778">
      <c r="A2778" s="4" t="n">
        <v>2777</v>
      </c>
      <c r="B2778" s="4" t="inlineStr">
        <is>
          <t>00930</t>
        </is>
      </c>
      <c r="C2778" s="4" t="inlineStr">
        <is>
          <t>00930</t>
        </is>
      </c>
      <c r="D2778" s="29" t="inlineStr">
        <is>
          <t>NECMİYE ÜÜLKER</t>
        </is>
      </c>
      <c r="E2778" s="4" t="inlineStr">
        <is>
          <t>Perşembe</t>
        </is>
      </c>
      <c r="F2778" s="4" t="inlineStr">
        <is>
          <t>15.10.2026</t>
        </is>
      </c>
      <c r="G2778" s="4" t="inlineStr">
        <is>
          <t>07:55</t>
        </is>
      </c>
      <c r="H2778" s="4" t="inlineStr">
        <is>
          <t>15.10.2026</t>
        </is>
      </c>
      <c r="I2778" s="4" t="inlineStr">
        <is>
          <t>17:03</t>
        </is>
      </c>
      <c r="J2778" s="8" t="n">
        <v>7.5</v>
      </c>
      <c r="K2778" s="8" t="n">
        <v>7.5</v>
      </c>
      <c r="L2778" s="8" t="n">
        <v>0</v>
      </c>
      <c r="M2778" s="29" t="inlineStr">
        <is>
          <t>GÜVEN MUSTAFAKEMALPAŞA</t>
        </is>
      </c>
    </row>
    <row r="2779">
      <c r="A2779" s="4" t="n">
        <v>2778</v>
      </c>
      <c r="B2779" s="4" t="inlineStr">
        <is>
          <t>00930</t>
        </is>
      </c>
      <c r="C2779" s="4" t="inlineStr">
        <is>
          <t>00930</t>
        </is>
      </c>
      <c r="D2779" s="29" t="inlineStr">
        <is>
          <t>NECMİYE ÜÜLKER</t>
        </is>
      </c>
      <c r="E2779" s="4" t="inlineStr">
        <is>
          <t>Cuma</t>
        </is>
      </c>
      <c r="F2779" s="4" t="inlineStr">
        <is>
          <t>16.10.2026</t>
        </is>
      </c>
      <c r="G2779" s="4" t="inlineStr">
        <is>
          <t>07:53</t>
        </is>
      </c>
      <c r="H2779" s="4" t="inlineStr">
        <is>
          <t>16.10.2026</t>
        </is>
      </c>
      <c r="I2779" s="4" t="inlineStr">
        <is>
          <t>17:14</t>
        </is>
      </c>
      <c r="J2779" s="8" t="n">
        <v>7.5</v>
      </c>
      <c r="K2779" s="8" t="n">
        <v>7.5</v>
      </c>
      <c r="L2779" s="8" t="n">
        <v>0</v>
      </c>
      <c r="M2779" s="29" t="inlineStr">
        <is>
          <t>GÜVEN MUSTAFAKEMALPAŞA</t>
        </is>
      </c>
    </row>
    <row r="2780">
      <c r="A2780" s="4" t="n">
        <v>2779</v>
      </c>
      <c r="B2780" s="4" t="inlineStr">
        <is>
          <t>00930</t>
        </is>
      </c>
      <c r="C2780" s="4" t="inlineStr">
        <is>
          <t>00930</t>
        </is>
      </c>
      <c r="D2780" s="29" t="inlineStr">
        <is>
          <t>NECMİYE ÜÜLKER</t>
        </is>
      </c>
      <c r="E2780" s="4" t="inlineStr">
        <is>
          <t>Cumartesi</t>
        </is>
      </c>
      <c r="F2780" s="4" t="inlineStr">
        <is>
          <t>17.10.2026</t>
        </is>
      </c>
      <c r="G2780" s="4" t="inlineStr">
        <is>
          <t>07:53</t>
        </is>
      </c>
      <c r="H2780" s="4" t="inlineStr">
        <is>
          <t>17.10.2026</t>
        </is>
      </c>
      <c r="I2780" s="4" t="inlineStr">
        <is>
          <t>17:48</t>
        </is>
      </c>
      <c r="J2780" s="8" t="n">
        <v>8.5</v>
      </c>
      <c r="K2780" s="8" t="n">
        <v>7.5</v>
      </c>
      <c r="L2780" s="8" t="n">
        <v>1</v>
      </c>
      <c r="M2780" s="29" t="inlineStr">
        <is>
          <t>GÜVEN MUSTAFAKEMALPAŞA</t>
        </is>
      </c>
    </row>
    <row r="2781">
      <c r="A2781" s="4" t="n">
        <v>2780</v>
      </c>
      <c r="B2781" s="4" t="inlineStr">
        <is>
          <t>00930</t>
        </is>
      </c>
      <c r="C2781" s="4" t="inlineStr">
        <is>
          <t>00930</t>
        </is>
      </c>
      <c r="D2781" s="29" t="inlineStr">
        <is>
          <t>NECMİYE ÜÜLKER</t>
        </is>
      </c>
      <c r="E2781" s="4" t="inlineStr">
        <is>
          <t>Pazartesi</t>
        </is>
      </c>
      <c r="F2781" s="4" t="inlineStr">
        <is>
          <t>19.10.2026</t>
        </is>
      </c>
      <c r="G2781" s="4" t="inlineStr">
        <is>
          <t>07:52</t>
        </is>
      </c>
      <c r="H2781" s="4" t="inlineStr">
        <is>
          <t>19.10.2026</t>
        </is>
      </c>
      <c r="I2781" s="4" t="inlineStr">
        <is>
          <t>17:43</t>
        </is>
      </c>
      <c r="J2781" s="8" t="n">
        <v>8</v>
      </c>
      <c r="K2781" s="8" t="n">
        <v>7.5</v>
      </c>
      <c r="L2781" s="8" t="n">
        <v>0.5</v>
      </c>
      <c r="M2781" s="29" t="inlineStr">
        <is>
          <t>GÜVEN MUSTAFAKEMALPAŞA</t>
        </is>
      </c>
    </row>
    <row r="2782">
      <c r="A2782" s="4" t="n">
        <v>2781</v>
      </c>
      <c r="B2782" s="4" t="inlineStr">
        <is>
          <t>00930</t>
        </is>
      </c>
      <c r="C2782" s="4" t="inlineStr">
        <is>
          <t>00930</t>
        </is>
      </c>
      <c r="D2782" s="29" t="inlineStr">
        <is>
          <t>NECMİYE ÜÜLKER</t>
        </is>
      </c>
      <c r="E2782" s="4" t="inlineStr">
        <is>
          <t>Salı</t>
        </is>
      </c>
      <c r="F2782" s="4" t="inlineStr">
        <is>
          <t>20.10.2026</t>
        </is>
      </c>
      <c r="G2782" s="4" t="inlineStr">
        <is>
          <t>07:52</t>
        </is>
      </c>
      <c r="H2782" s="4" t="inlineStr">
        <is>
          <t>20.10.2026</t>
        </is>
      </c>
      <c r="I2782" s="4" t="inlineStr">
        <is>
          <t>17:01</t>
        </is>
      </c>
      <c r="J2782" s="8" t="n">
        <v>7.5</v>
      </c>
      <c r="K2782" s="8" t="n">
        <v>7.5</v>
      </c>
      <c r="L2782" s="8" t="n">
        <v>0</v>
      </c>
      <c r="M2782" s="29" t="inlineStr">
        <is>
          <t>GÜVEN MUSTAFAKEMALPAŞA</t>
        </is>
      </c>
    </row>
    <row r="2783">
      <c r="A2783" s="4" t="n">
        <v>2782</v>
      </c>
      <c r="B2783" s="4" t="inlineStr">
        <is>
          <t>00930</t>
        </is>
      </c>
      <c r="C2783" s="4" t="inlineStr">
        <is>
          <t>00930</t>
        </is>
      </c>
      <c r="D2783" s="29" t="inlineStr">
        <is>
          <t>NECMİYE ÜÜLKER</t>
        </is>
      </c>
      <c r="E2783" s="4" t="inlineStr">
        <is>
          <t>Çarşamba</t>
        </is>
      </c>
      <c r="F2783" s="4" t="inlineStr">
        <is>
          <t>21.10.2026</t>
        </is>
      </c>
      <c r="G2783" s="4" t="inlineStr">
        <is>
          <t>07:51</t>
        </is>
      </c>
      <c r="H2783" s="4" t="inlineStr">
        <is>
          <t>21.10.2026</t>
        </is>
      </c>
      <c r="I2783" s="4" t="inlineStr">
        <is>
          <t>17:01</t>
        </is>
      </c>
      <c r="J2783" s="8" t="n">
        <v>7.5</v>
      </c>
      <c r="K2783" s="8" t="n">
        <v>7.5</v>
      </c>
      <c r="L2783" s="8" t="n">
        <v>0</v>
      </c>
      <c r="M2783" s="29" t="inlineStr">
        <is>
          <t>GÜVEN MUSTAFAKEMALPAŞA</t>
        </is>
      </c>
    </row>
    <row r="2784">
      <c r="A2784" s="4" t="n">
        <v>2783</v>
      </c>
      <c r="B2784" s="4" t="inlineStr">
        <is>
          <t>00371</t>
        </is>
      </c>
      <c r="C2784" s="4" t="inlineStr">
        <is>
          <t>00371</t>
        </is>
      </c>
      <c r="D2784" s="29" t="inlineStr">
        <is>
          <t>NESRİN GÜZEL</t>
        </is>
      </c>
      <c r="E2784" s="4" t="inlineStr">
        <is>
          <t>Perşembe</t>
        </is>
      </c>
      <c r="F2784" s="4" t="inlineStr">
        <is>
          <t>1.10.2026</t>
        </is>
      </c>
      <c r="G2784" s="4" t="inlineStr">
        <is>
          <t>07:51</t>
        </is>
      </c>
      <c r="H2784" s="4" t="inlineStr">
        <is>
          <t>1.10.2026</t>
        </is>
      </c>
      <c r="I2784" s="4" t="inlineStr">
        <is>
          <t>17:29</t>
        </is>
      </c>
      <c r="J2784" s="8" t="n">
        <v>8</v>
      </c>
      <c r="K2784" s="8" t="n">
        <v>7.5</v>
      </c>
      <c r="L2784" s="8" t="n">
        <v>0.5</v>
      </c>
      <c r="M2784" s="29" t="inlineStr">
        <is>
          <t>BALIKESİR</t>
        </is>
      </c>
    </row>
    <row r="2785">
      <c r="A2785" s="4" t="n">
        <v>2784</v>
      </c>
      <c r="B2785" s="4" t="inlineStr">
        <is>
          <t>00371</t>
        </is>
      </c>
      <c r="C2785" s="4" t="inlineStr">
        <is>
          <t>00371</t>
        </is>
      </c>
      <c r="D2785" s="29" t="inlineStr">
        <is>
          <t>NESRİN GÜZEL</t>
        </is>
      </c>
      <c r="E2785" s="4" t="inlineStr">
        <is>
          <t>Cuma</t>
        </is>
      </c>
      <c r="F2785" s="4" t="inlineStr">
        <is>
          <t>2.10.2026</t>
        </is>
      </c>
      <c r="G2785" s="4" t="inlineStr">
        <is>
          <t>07:56</t>
        </is>
      </c>
      <c r="H2785" s="4" t="inlineStr">
        <is>
          <t>2.10.2026</t>
        </is>
      </c>
      <c r="I2785" s="4" t="inlineStr">
        <is>
          <t>17:42</t>
        </is>
      </c>
      <c r="J2785" s="8" t="n">
        <v>8</v>
      </c>
      <c r="K2785" s="8" t="n">
        <v>7.5</v>
      </c>
      <c r="L2785" s="8" t="n">
        <v>0.5</v>
      </c>
      <c r="M2785" s="29" t="inlineStr">
        <is>
          <t>BALIKESİR</t>
        </is>
      </c>
    </row>
    <row r="2786">
      <c r="A2786" s="4" t="n">
        <v>2785</v>
      </c>
      <c r="B2786" s="4" t="inlineStr">
        <is>
          <t>00371</t>
        </is>
      </c>
      <c r="C2786" s="4" t="inlineStr">
        <is>
          <t>00371</t>
        </is>
      </c>
      <c r="D2786" s="29" t="inlineStr">
        <is>
          <t>NESRİN GÜZEL</t>
        </is>
      </c>
      <c r="E2786" s="4" t="inlineStr">
        <is>
          <t>Cumartesi</t>
        </is>
      </c>
      <c r="F2786" s="4" t="inlineStr">
        <is>
          <t>3.10.2026</t>
        </is>
      </c>
      <c r="G2786" s="4" t="inlineStr">
        <is>
          <t>07:56</t>
        </is>
      </c>
      <c r="H2786" s="4" t="inlineStr">
        <is>
          <t>3.10.2026</t>
        </is>
      </c>
      <c r="I2786" s="4" t="inlineStr">
        <is>
          <t>17:36</t>
        </is>
      </c>
      <c r="J2786" s="8" t="n">
        <v>8</v>
      </c>
      <c r="K2786" s="8" t="n">
        <v>7.5</v>
      </c>
      <c r="L2786" s="8" t="n">
        <v>0.5</v>
      </c>
      <c r="M2786" s="29" t="inlineStr">
        <is>
          <t>BALIKESİR</t>
        </is>
      </c>
    </row>
    <row r="2787">
      <c r="A2787" s="4" t="n">
        <v>2786</v>
      </c>
      <c r="B2787" s="4" t="inlineStr">
        <is>
          <t>00371</t>
        </is>
      </c>
      <c r="C2787" s="4" t="inlineStr">
        <is>
          <t>00371</t>
        </is>
      </c>
      <c r="D2787" s="29" t="inlineStr">
        <is>
          <t>NESRİN GÜZEL</t>
        </is>
      </c>
      <c r="E2787" s="4" t="inlineStr">
        <is>
          <t>Pazartesi</t>
        </is>
      </c>
      <c r="F2787" s="4" t="inlineStr">
        <is>
          <t>5.10.2026</t>
        </is>
      </c>
      <c r="G2787" s="4" t="inlineStr">
        <is>
          <t>07:54</t>
        </is>
      </c>
      <c r="H2787" s="4" t="inlineStr">
        <is>
          <t>5.10.2026</t>
        </is>
      </c>
      <c r="I2787" s="4" t="inlineStr">
        <is>
          <t>17:01</t>
        </is>
      </c>
      <c r="J2787" s="8" t="n">
        <v>7.5</v>
      </c>
      <c r="K2787" s="8" t="n">
        <v>7.5</v>
      </c>
      <c r="L2787" s="8" t="n">
        <v>0</v>
      </c>
      <c r="M2787" s="29" t="inlineStr">
        <is>
          <t>BALIKESİR</t>
        </is>
      </c>
    </row>
    <row r="2788">
      <c r="A2788" s="4" t="n">
        <v>2787</v>
      </c>
      <c r="B2788" s="4" t="inlineStr">
        <is>
          <t>00371</t>
        </is>
      </c>
      <c r="C2788" s="4" t="inlineStr">
        <is>
          <t>00371</t>
        </is>
      </c>
      <c r="D2788" s="29" t="inlineStr">
        <is>
          <t>NESRİN GÜZEL</t>
        </is>
      </c>
      <c r="E2788" s="4" t="inlineStr">
        <is>
          <t>Salı</t>
        </is>
      </c>
      <c r="F2788" s="4" t="inlineStr">
        <is>
          <t>6.10.2026</t>
        </is>
      </c>
      <c r="G2788" s="4" t="inlineStr">
        <is>
          <t>07:50</t>
        </is>
      </c>
      <c r="H2788" s="4" t="inlineStr">
        <is>
          <t>6.10.2026</t>
        </is>
      </c>
      <c r="I2788" s="4" t="inlineStr">
        <is>
          <t>17:37</t>
        </is>
      </c>
      <c r="J2788" s="8" t="n">
        <v>8</v>
      </c>
      <c r="K2788" s="8" t="n">
        <v>7.5</v>
      </c>
      <c r="L2788" s="8" t="n">
        <v>0.5</v>
      </c>
      <c r="M2788" s="29" t="inlineStr">
        <is>
          <t>BALIKESİR</t>
        </is>
      </c>
    </row>
    <row r="2789">
      <c r="A2789" s="4" t="n">
        <v>2788</v>
      </c>
      <c r="B2789" s="4" t="inlineStr">
        <is>
          <t>00371</t>
        </is>
      </c>
      <c r="C2789" s="4" t="inlineStr">
        <is>
          <t>00371</t>
        </is>
      </c>
      <c r="D2789" s="29" t="inlineStr">
        <is>
          <t>NESRİN GÜZEL</t>
        </is>
      </c>
      <c r="E2789" s="4" t="inlineStr">
        <is>
          <t>Çarşamba</t>
        </is>
      </c>
      <c r="F2789" s="4" t="inlineStr">
        <is>
          <t>7.10.2026</t>
        </is>
      </c>
      <c r="G2789" s="4" t="inlineStr">
        <is>
          <t>07:49</t>
        </is>
      </c>
      <c r="H2789" s="4" t="inlineStr">
        <is>
          <t>7.10.2026</t>
        </is>
      </c>
      <c r="I2789" s="4" t="inlineStr">
        <is>
          <t>17:20</t>
        </is>
      </c>
      <c r="J2789" s="8" t="n">
        <v>7.5</v>
      </c>
      <c r="K2789" s="8" t="n">
        <v>7.5</v>
      </c>
      <c r="L2789" s="8" t="n">
        <v>0</v>
      </c>
      <c r="M2789" s="29" t="inlineStr">
        <is>
          <t>BALIKESİR</t>
        </is>
      </c>
    </row>
    <row r="2790">
      <c r="A2790" s="4" t="n">
        <v>2789</v>
      </c>
      <c r="B2790" s="4" t="inlineStr">
        <is>
          <t>00371</t>
        </is>
      </c>
      <c r="C2790" s="4" t="inlineStr">
        <is>
          <t>00371</t>
        </is>
      </c>
      <c r="D2790" s="29" t="inlineStr">
        <is>
          <t>NESRİN GÜZEL</t>
        </is>
      </c>
      <c r="E2790" s="4" t="inlineStr">
        <is>
          <t>Perşembe</t>
        </is>
      </c>
      <c r="F2790" s="4" t="inlineStr">
        <is>
          <t>8.10.2026</t>
        </is>
      </c>
      <c r="G2790" s="4" t="inlineStr">
        <is>
          <t>07:51</t>
        </is>
      </c>
      <c r="H2790" s="4" t="inlineStr">
        <is>
          <t>8.10.2026</t>
        </is>
      </c>
      <c r="I2790" s="4" t="inlineStr">
        <is>
          <t>17:31</t>
        </is>
      </c>
      <c r="J2790" s="8" t="n">
        <v>8</v>
      </c>
      <c r="K2790" s="8" t="n">
        <v>7.5</v>
      </c>
      <c r="L2790" s="8" t="n">
        <v>0.5</v>
      </c>
      <c r="M2790" s="29" t="inlineStr">
        <is>
          <t>BALIKESİR</t>
        </is>
      </c>
    </row>
    <row r="2791">
      <c r="A2791" s="4" t="n">
        <v>2790</v>
      </c>
      <c r="B2791" s="4" t="inlineStr">
        <is>
          <t>00371</t>
        </is>
      </c>
      <c r="C2791" s="4" t="inlineStr">
        <is>
          <t>00371</t>
        </is>
      </c>
      <c r="D2791" s="29" t="inlineStr">
        <is>
          <t>NESRİN GÜZEL</t>
        </is>
      </c>
      <c r="E2791" s="4" t="inlineStr">
        <is>
          <t>Cuma</t>
        </is>
      </c>
      <c r="F2791" s="4" t="inlineStr">
        <is>
          <t>9.10.2026</t>
        </is>
      </c>
      <c r="G2791" s="4" t="inlineStr">
        <is>
          <t>07:51</t>
        </is>
      </c>
      <c r="H2791" s="4" t="inlineStr">
        <is>
          <t>9.10.2026</t>
        </is>
      </c>
      <c r="I2791" s="4" t="inlineStr">
        <is>
          <t>17:40</t>
        </is>
      </c>
      <c r="J2791" s="8" t="n">
        <v>8</v>
      </c>
      <c r="K2791" s="8" t="n">
        <v>7.5</v>
      </c>
      <c r="L2791" s="8" t="n">
        <v>0.5</v>
      </c>
      <c r="M2791" s="29" t="inlineStr">
        <is>
          <t>BALIKESİR</t>
        </is>
      </c>
    </row>
    <row r="2792">
      <c r="A2792" s="4" t="n">
        <v>2791</v>
      </c>
      <c r="B2792" s="4" t="inlineStr">
        <is>
          <t>00371</t>
        </is>
      </c>
      <c r="C2792" s="4" t="inlineStr">
        <is>
          <t>00371</t>
        </is>
      </c>
      <c r="D2792" s="29" t="inlineStr">
        <is>
          <t>NESRİN GÜZEL</t>
        </is>
      </c>
      <c r="E2792" s="4" t="inlineStr">
        <is>
          <t>Pazartesi</t>
        </is>
      </c>
      <c r="F2792" s="4" t="inlineStr">
        <is>
          <t>12.10.2026</t>
        </is>
      </c>
      <c r="G2792" s="4" t="inlineStr">
        <is>
          <t>07:51</t>
        </is>
      </c>
      <c r="H2792" s="4" t="inlineStr">
        <is>
          <t>12.10.2026</t>
        </is>
      </c>
      <c r="I2792" s="4" t="inlineStr">
        <is>
          <t>17:00</t>
        </is>
      </c>
      <c r="J2792" s="8" t="n">
        <v>7.5</v>
      </c>
      <c r="K2792" s="8" t="n">
        <v>7.5</v>
      </c>
      <c r="L2792" s="8" t="n">
        <v>0</v>
      </c>
      <c r="M2792" s="29" t="inlineStr">
        <is>
          <t>BALIKESİR</t>
        </is>
      </c>
    </row>
    <row r="2793">
      <c r="A2793" s="4" t="n">
        <v>2792</v>
      </c>
      <c r="B2793" s="4" t="inlineStr">
        <is>
          <t>00371</t>
        </is>
      </c>
      <c r="C2793" s="4" t="inlineStr">
        <is>
          <t>00371</t>
        </is>
      </c>
      <c r="D2793" s="29" t="inlineStr">
        <is>
          <t>NESRİN GÜZEL</t>
        </is>
      </c>
      <c r="E2793" s="4" t="inlineStr">
        <is>
          <t>Salı</t>
        </is>
      </c>
      <c r="F2793" s="4" t="inlineStr">
        <is>
          <t>13.10.2026</t>
        </is>
      </c>
      <c r="G2793" s="4" t="inlineStr">
        <is>
          <t>07:49</t>
        </is>
      </c>
      <c r="H2793" s="4" t="inlineStr">
        <is>
          <t>13.10.2026</t>
        </is>
      </c>
      <c r="I2793" s="4" t="inlineStr">
        <is>
          <t>17:00</t>
        </is>
      </c>
      <c r="J2793" s="8" t="n">
        <v>7.5</v>
      </c>
      <c r="K2793" s="8" t="n">
        <v>7.5</v>
      </c>
      <c r="L2793" s="8" t="n">
        <v>0</v>
      </c>
      <c r="M2793" s="29" t="inlineStr">
        <is>
          <t>BALIKESİR</t>
        </is>
      </c>
    </row>
    <row r="2794">
      <c r="A2794" s="4" t="n">
        <v>2793</v>
      </c>
      <c r="B2794" s="4" t="inlineStr">
        <is>
          <t>00371</t>
        </is>
      </c>
      <c r="C2794" s="4" t="inlineStr">
        <is>
          <t>00371</t>
        </is>
      </c>
      <c r="D2794" s="29" t="inlineStr">
        <is>
          <t>NESRİN GÜZEL</t>
        </is>
      </c>
      <c r="E2794" s="4" t="inlineStr">
        <is>
          <t>Çarşamba</t>
        </is>
      </c>
      <c r="F2794" s="4" t="inlineStr">
        <is>
          <t>14.10.2026</t>
        </is>
      </c>
      <c r="G2794" s="4" t="inlineStr">
        <is>
          <t>07:49</t>
        </is>
      </c>
      <c r="H2794" s="4" t="inlineStr">
        <is>
          <t>14.10.2026</t>
        </is>
      </c>
      <c r="I2794" s="4" t="inlineStr">
        <is>
          <t>18:05</t>
        </is>
      </c>
      <c r="J2794" s="8" t="n">
        <v>8.5</v>
      </c>
      <c r="K2794" s="8" t="n">
        <v>7.5</v>
      </c>
      <c r="L2794" s="8" t="n">
        <v>1</v>
      </c>
      <c r="M2794" s="29" t="inlineStr">
        <is>
          <t>BALIKESİR</t>
        </is>
      </c>
    </row>
    <row r="2795">
      <c r="A2795" s="4" t="n">
        <v>2794</v>
      </c>
      <c r="B2795" s="4" t="inlineStr">
        <is>
          <t>00371</t>
        </is>
      </c>
      <c r="C2795" s="4" t="inlineStr">
        <is>
          <t>00371</t>
        </is>
      </c>
      <c r="D2795" s="29" t="inlineStr">
        <is>
          <t>NESRİN GÜZEL</t>
        </is>
      </c>
      <c r="E2795" s="4" t="inlineStr">
        <is>
          <t>Perşembe</t>
        </is>
      </c>
      <c r="F2795" s="4" t="inlineStr">
        <is>
          <t>15.10.2026</t>
        </is>
      </c>
      <c r="G2795" s="4" t="inlineStr">
        <is>
          <t>07:54</t>
        </is>
      </c>
      <c r="H2795" s="4" t="inlineStr">
        <is>
          <t>15.10.2026</t>
        </is>
      </c>
      <c r="I2795" s="4" t="inlineStr">
        <is>
          <t>17:01</t>
        </is>
      </c>
      <c r="J2795" s="8" t="n">
        <v>7.5</v>
      </c>
      <c r="K2795" s="8" t="n">
        <v>7.5</v>
      </c>
      <c r="L2795" s="8" t="n">
        <v>0</v>
      </c>
      <c r="M2795" s="29" t="inlineStr">
        <is>
          <t>BALIKESİR</t>
        </is>
      </c>
    </row>
    <row r="2796">
      <c r="A2796" s="4" t="n">
        <v>2795</v>
      </c>
      <c r="B2796" s="4" t="inlineStr">
        <is>
          <t>00371</t>
        </is>
      </c>
      <c r="C2796" s="4" t="inlineStr">
        <is>
          <t>00371</t>
        </is>
      </c>
      <c r="D2796" s="29" t="inlineStr">
        <is>
          <t>NESRİN GÜZEL</t>
        </is>
      </c>
      <c r="E2796" s="4" t="inlineStr">
        <is>
          <t>Cuma</t>
        </is>
      </c>
      <c r="F2796" s="4" t="inlineStr">
        <is>
          <t>16.10.2026</t>
        </is>
      </c>
      <c r="G2796" s="4" t="inlineStr">
        <is>
          <t>07:48</t>
        </is>
      </c>
      <c r="H2796" s="4" t="inlineStr">
        <is>
          <t>16.10.2026</t>
        </is>
      </c>
      <c r="I2796" s="4" t="inlineStr">
        <is>
          <t>17:13</t>
        </is>
      </c>
      <c r="J2796" s="8" t="n">
        <v>7.5</v>
      </c>
      <c r="K2796" s="8" t="n">
        <v>7.5</v>
      </c>
      <c r="L2796" s="8" t="n">
        <v>0</v>
      </c>
      <c r="M2796" s="29" t="inlineStr">
        <is>
          <t>BALIKESİR</t>
        </is>
      </c>
    </row>
    <row r="2797">
      <c r="A2797" s="4" t="n">
        <v>2796</v>
      </c>
      <c r="B2797" s="4" t="inlineStr">
        <is>
          <t>00371</t>
        </is>
      </c>
      <c r="C2797" s="4" t="inlineStr">
        <is>
          <t>00371</t>
        </is>
      </c>
      <c r="D2797" s="29" t="inlineStr">
        <is>
          <t>NESRİN GÜZEL</t>
        </is>
      </c>
      <c r="E2797" s="4" t="inlineStr">
        <is>
          <t>Cumartesi</t>
        </is>
      </c>
      <c r="F2797" s="4" t="inlineStr">
        <is>
          <t>17.10.2026</t>
        </is>
      </c>
      <c r="G2797" s="4" t="inlineStr">
        <is>
          <t>07:57</t>
        </is>
      </c>
      <c r="H2797" s="4" t="inlineStr">
        <is>
          <t>17.10.2026</t>
        </is>
      </c>
      <c r="I2797" s="4" t="inlineStr">
        <is>
          <t>17:48</t>
        </is>
      </c>
      <c r="J2797" s="8" t="n">
        <v>8.5</v>
      </c>
      <c r="K2797" s="8" t="n">
        <v>7.5</v>
      </c>
      <c r="L2797" s="8" t="n">
        <v>1</v>
      </c>
      <c r="M2797" s="29" t="inlineStr">
        <is>
          <t>BALIKESİR</t>
        </is>
      </c>
    </row>
    <row r="2798">
      <c r="A2798" s="4" t="n">
        <v>2797</v>
      </c>
      <c r="B2798" s="4" t="inlineStr">
        <is>
          <t>00371</t>
        </is>
      </c>
      <c r="C2798" s="4" t="inlineStr">
        <is>
          <t>00371</t>
        </is>
      </c>
      <c r="D2798" s="29" t="inlineStr">
        <is>
          <t>NESRİN GÜZEL</t>
        </is>
      </c>
      <c r="E2798" s="4" t="inlineStr">
        <is>
          <t>Pazartesi</t>
        </is>
      </c>
      <c r="F2798" s="4" t="inlineStr">
        <is>
          <t>19.10.2026</t>
        </is>
      </c>
      <c r="G2798" s="4" t="inlineStr">
        <is>
          <t>07:50</t>
        </is>
      </c>
      <c r="H2798" s="4" t="inlineStr">
        <is>
          <t>19.10.2026</t>
        </is>
      </c>
      <c r="I2798" s="4" t="inlineStr">
        <is>
          <t>17:41</t>
        </is>
      </c>
      <c r="J2798" s="8" t="n">
        <v>8</v>
      </c>
      <c r="K2798" s="8" t="n">
        <v>7.5</v>
      </c>
      <c r="L2798" s="8" t="n">
        <v>0.5</v>
      </c>
      <c r="M2798" s="29" t="inlineStr">
        <is>
          <t>BALIKESİR</t>
        </is>
      </c>
    </row>
    <row r="2799">
      <c r="A2799" s="4" t="n">
        <v>2798</v>
      </c>
      <c r="B2799" s="4" t="inlineStr">
        <is>
          <t>00371</t>
        </is>
      </c>
      <c r="C2799" s="4" t="inlineStr">
        <is>
          <t>00371</t>
        </is>
      </c>
      <c r="D2799" s="29" t="inlineStr">
        <is>
          <t>NESRİN GÜZEL</t>
        </is>
      </c>
      <c r="E2799" s="4" t="inlineStr">
        <is>
          <t>Salı</t>
        </is>
      </c>
      <c r="F2799" s="4" t="inlineStr">
        <is>
          <t>20.10.2026</t>
        </is>
      </c>
      <c r="G2799" s="4" t="inlineStr">
        <is>
          <t>07:48</t>
        </is>
      </c>
      <c r="H2799" s="4" t="inlineStr">
        <is>
          <t>20.10.2026</t>
        </is>
      </c>
      <c r="I2799" s="4" t="inlineStr">
        <is>
          <t>16:59</t>
        </is>
      </c>
      <c r="J2799" s="8" t="n">
        <v>7.5</v>
      </c>
      <c r="K2799" s="8" t="n">
        <v>7.5</v>
      </c>
      <c r="L2799" s="8" t="n">
        <v>0</v>
      </c>
      <c r="M2799" s="29" t="inlineStr">
        <is>
          <t>BALIKESİR</t>
        </is>
      </c>
    </row>
    <row r="2800">
      <c r="A2800" s="4" t="n">
        <v>2799</v>
      </c>
      <c r="B2800" s="4" t="inlineStr">
        <is>
          <t>00371</t>
        </is>
      </c>
      <c r="C2800" s="4" t="inlineStr">
        <is>
          <t>00371</t>
        </is>
      </c>
      <c r="D2800" s="29" t="inlineStr">
        <is>
          <t>NESRİN GÜZEL</t>
        </is>
      </c>
      <c r="E2800" s="4" t="inlineStr">
        <is>
          <t>Çarşamba</t>
        </is>
      </c>
      <c r="F2800" s="4" t="inlineStr">
        <is>
          <t>21.10.2026</t>
        </is>
      </c>
      <c r="G2800" s="4" t="inlineStr">
        <is>
          <t>07:50</t>
        </is>
      </c>
      <c r="H2800" s="4" t="inlineStr">
        <is>
          <t>21.10.2026</t>
        </is>
      </c>
      <c r="I2800" s="4" t="inlineStr">
        <is>
          <t>17:01</t>
        </is>
      </c>
      <c r="J2800" s="8" t="n">
        <v>7.5</v>
      </c>
      <c r="K2800" s="8" t="n">
        <v>7.5</v>
      </c>
      <c r="L2800" s="8" t="n">
        <v>0</v>
      </c>
      <c r="M2800" s="29" t="inlineStr">
        <is>
          <t>BALIKESİR</t>
        </is>
      </c>
    </row>
    <row r="2801">
      <c r="A2801" s="4" t="n">
        <v>2800</v>
      </c>
      <c r="B2801" s="4" t="inlineStr">
        <is>
          <t>01538</t>
        </is>
      </c>
      <c r="C2801" s="4" t="inlineStr">
        <is>
          <t>01538</t>
        </is>
      </c>
      <c r="D2801" s="29" t="inlineStr">
        <is>
          <t>NEVRUZ ABAK</t>
        </is>
      </c>
      <c r="E2801" s="4" t="inlineStr">
        <is>
          <t>Cuma</t>
        </is>
      </c>
      <c r="F2801" s="4" t="inlineStr">
        <is>
          <t>9.10.2026</t>
        </is>
      </c>
      <c r="G2801" s="4" t="inlineStr">
        <is>
          <t>07:47</t>
        </is>
      </c>
      <c r="H2801" s="4" t="inlineStr">
        <is>
          <t>9.10.2026</t>
        </is>
      </c>
      <c r="I2801" s="4" t="inlineStr">
        <is>
          <t>20:01</t>
        </is>
      </c>
      <c r="J2801" s="8" t="n">
        <v>10.5</v>
      </c>
      <c r="K2801" s="8" t="n">
        <v>7.5</v>
      </c>
      <c r="L2801" s="8" t="n">
        <v>3</v>
      </c>
      <c r="M2801" s="29" t="inlineStr">
        <is>
          <t>HALİL DİĞRENCİ</t>
        </is>
      </c>
    </row>
    <row r="2802">
      <c r="A2802" s="4" t="n">
        <v>2801</v>
      </c>
      <c r="B2802" s="4" t="inlineStr">
        <is>
          <t>01538</t>
        </is>
      </c>
      <c r="C2802" s="4" t="inlineStr">
        <is>
          <t>01538</t>
        </is>
      </c>
      <c r="D2802" s="29" t="inlineStr">
        <is>
          <t>NEVRUZ ABAK</t>
        </is>
      </c>
      <c r="E2802" s="4" t="inlineStr">
        <is>
          <t>Cumartesi</t>
        </is>
      </c>
      <c r="F2802" s="4" t="inlineStr">
        <is>
          <t>10.10.2026</t>
        </is>
      </c>
      <c r="G2802" s="4" t="inlineStr">
        <is>
          <t>07:39</t>
        </is>
      </c>
      <c r="H2802" s="4" t="inlineStr">
        <is>
          <t>10.10.2026</t>
        </is>
      </c>
      <c r="I2802" s="4" t="inlineStr">
        <is>
          <t>19:57</t>
        </is>
      </c>
      <c r="J2802" s="8" t="n">
        <v>10.5</v>
      </c>
      <c r="K2802" s="8" t="n">
        <v>7.5</v>
      </c>
      <c r="L2802" s="8" t="n">
        <v>3</v>
      </c>
      <c r="M2802" s="29" t="inlineStr">
        <is>
          <t>HALİL DİĞRENCİ</t>
        </is>
      </c>
    </row>
    <row r="2803">
      <c r="A2803" s="4" t="n">
        <v>2802</v>
      </c>
      <c r="B2803" s="4" t="inlineStr">
        <is>
          <t>01538</t>
        </is>
      </c>
      <c r="C2803" s="4" t="inlineStr">
        <is>
          <t>01538</t>
        </is>
      </c>
      <c r="D2803" s="29" t="inlineStr">
        <is>
          <t>NEVRUZ ABAK</t>
        </is>
      </c>
      <c r="E2803" s="4" t="inlineStr">
        <is>
          <t>Pazar</t>
        </is>
      </c>
      <c r="F2803" s="4" t="inlineStr">
        <is>
          <t>11.10.2026</t>
        </is>
      </c>
      <c r="G2803" s="4" t="inlineStr">
        <is>
          <t>07:55</t>
        </is>
      </c>
      <c r="H2803" s="4" t="inlineStr">
        <is>
          <t>11.10.2026</t>
        </is>
      </c>
      <c r="I2803" s="4" t="inlineStr">
        <is>
          <t>20:01</t>
        </is>
      </c>
      <c r="J2803" s="8" t="n">
        <v>10.5</v>
      </c>
      <c r="K2803" s="8" t="n">
        <v>7.5</v>
      </c>
      <c r="L2803" s="8" t="n">
        <v>3</v>
      </c>
      <c r="M2803" s="29" t="inlineStr">
        <is>
          <t>HALİL DİĞRENCİ</t>
        </is>
      </c>
    </row>
    <row r="2804">
      <c r="A2804" s="4" t="n">
        <v>2803</v>
      </c>
      <c r="B2804" s="4" t="inlineStr">
        <is>
          <t>01538</t>
        </is>
      </c>
      <c r="C2804" s="4" t="inlineStr">
        <is>
          <t>01538</t>
        </is>
      </c>
      <c r="D2804" s="29" t="inlineStr">
        <is>
          <t>NEVRUZ ABAK</t>
        </is>
      </c>
      <c r="E2804" s="4" t="inlineStr">
        <is>
          <t>Pazartesi</t>
        </is>
      </c>
      <c r="F2804" s="4" t="inlineStr">
        <is>
          <t>12.10.2026</t>
        </is>
      </c>
      <c r="G2804" s="4" t="inlineStr">
        <is>
          <t>07:41</t>
        </is>
      </c>
      <c r="H2804" s="4" t="inlineStr">
        <is>
          <t>12.10.2026</t>
        </is>
      </c>
      <c r="I2804" s="4" t="inlineStr">
        <is>
          <t>20:02</t>
        </is>
      </c>
      <c r="J2804" s="8" t="n">
        <v>10.5</v>
      </c>
      <c r="K2804" s="8" t="n">
        <v>7.5</v>
      </c>
      <c r="L2804" s="8" t="n">
        <v>3</v>
      </c>
      <c r="M2804" s="29" t="inlineStr">
        <is>
          <t>HALİL DİĞRENCİ</t>
        </is>
      </c>
    </row>
    <row r="2805">
      <c r="A2805" s="4" t="n">
        <v>2804</v>
      </c>
      <c r="B2805" s="4" t="inlineStr">
        <is>
          <t>01538</t>
        </is>
      </c>
      <c r="C2805" s="4" t="inlineStr">
        <is>
          <t>01538</t>
        </is>
      </c>
      <c r="D2805" s="29" t="inlineStr">
        <is>
          <t>NEVRUZ ABAK</t>
        </is>
      </c>
      <c r="E2805" s="4" t="inlineStr">
        <is>
          <t>Salı</t>
        </is>
      </c>
      <c r="F2805" s="4" t="inlineStr">
        <is>
          <t>13.10.2026</t>
        </is>
      </c>
      <c r="G2805" s="4" t="inlineStr">
        <is>
          <t>07:35</t>
        </is>
      </c>
      <c r="H2805" s="4" t="inlineStr">
        <is>
          <t>13.10.2026</t>
        </is>
      </c>
      <c r="I2805" s="4" t="inlineStr">
        <is>
          <t>20:03</t>
        </is>
      </c>
      <c r="J2805" s="8" t="n">
        <v>10.5</v>
      </c>
      <c r="K2805" s="8" t="n">
        <v>7.5</v>
      </c>
      <c r="L2805" s="8" t="n">
        <v>3</v>
      </c>
      <c r="M2805" s="29" t="inlineStr">
        <is>
          <t>HALİL DİĞRENCİ</t>
        </is>
      </c>
    </row>
    <row r="2806">
      <c r="A2806" s="4" t="n">
        <v>2805</v>
      </c>
      <c r="B2806" s="4" t="inlineStr">
        <is>
          <t>01538</t>
        </is>
      </c>
      <c r="C2806" s="4" t="inlineStr">
        <is>
          <t>01538</t>
        </is>
      </c>
      <c r="D2806" s="29" t="inlineStr">
        <is>
          <t>NEVRUZ ABAK</t>
        </is>
      </c>
      <c r="E2806" s="4" t="inlineStr">
        <is>
          <t>Çarşamba</t>
        </is>
      </c>
      <c r="F2806" s="4" t="inlineStr">
        <is>
          <t>14.10.2026</t>
        </is>
      </c>
      <c r="G2806" s="4" t="inlineStr">
        <is>
          <t>07:40</t>
        </is>
      </c>
      <c r="H2806" s="4" t="inlineStr">
        <is>
          <t>14.10.2026</t>
        </is>
      </c>
      <c r="I2806" s="4" t="inlineStr">
        <is>
          <t>20:02</t>
        </is>
      </c>
      <c r="J2806" s="8" t="n">
        <v>10.5</v>
      </c>
      <c r="K2806" s="8" t="n">
        <v>7.5</v>
      </c>
      <c r="L2806" s="8" t="n">
        <v>3</v>
      </c>
      <c r="M2806" s="29" t="inlineStr">
        <is>
          <t>HALİL DİĞRENCİ</t>
        </is>
      </c>
    </row>
    <row r="2807">
      <c r="A2807" s="4" t="n">
        <v>2806</v>
      </c>
      <c r="B2807" s="4" t="inlineStr">
        <is>
          <t>01538</t>
        </is>
      </c>
      <c r="C2807" s="4" t="inlineStr">
        <is>
          <t>01538</t>
        </is>
      </c>
      <c r="D2807" s="29" t="inlineStr">
        <is>
          <t>NEVRUZ ABAK</t>
        </is>
      </c>
      <c r="E2807" s="4" t="inlineStr">
        <is>
          <t>Perşembe</t>
        </is>
      </c>
      <c r="F2807" s="4" t="inlineStr">
        <is>
          <t>15.10.2026</t>
        </is>
      </c>
      <c r="G2807" s="4" t="inlineStr">
        <is>
          <t>07:36</t>
        </is>
      </c>
      <c r="H2807" s="4" t="inlineStr">
        <is>
          <t>15.10.2026</t>
        </is>
      </c>
      <c r="I2807" s="4" t="inlineStr">
        <is>
          <t>19:59</t>
        </is>
      </c>
      <c r="J2807" s="8" t="n">
        <v>10.5</v>
      </c>
      <c r="K2807" s="8" t="n">
        <v>7.5</v>
      </c>
      <c r="L2807" s="8" t="n">
        <v>3</v>
      </c>
      <c r="M2807" s="29" t="inlineStr">
        <is>
          <t>HALİL DİĞRENCİ</t>
        </is>
      </c>
    </row>
    <row r="2808">
      <c r="A2808" s="4" t="n">
        <v>2807</v>
      </c>
      <c r="B2808" s="4" t="inlineStr">
        <is>
          <t>01538</t>
        </is>
      </c>
      <c r="C2808" s="4" t="inlineStr">
        <is>
          <t>01538</t>
        </is>
      </c>
      <c r="D2808" s="29" t="inlineStr">
        <is>
          <t>NEVRUZ ABAK</t>
        </is>
      </c>
      <c r="E2808" s="4" t="inlineStr">
        <is>
          <t>Cuma</t>
        </is>
      </c>
      <c r="F2808" s="4" t="inlineStr">
        <is>
          <t>16.10.2026</t>
        </is>
      </c>
      <c r="G2808" s="4" t="inlineStr">
        <is>
          <t>07:54</t>
        </is>
      </c>
      <c r="H2808" s="4" t="inlineStr">
        <is>
          <t>16.10.2026</t>
        </is>
      </c>
      <c r="I2808" s="4" t="inlineStr">
        <is>
          <t>20:00</t>
        </is>
      </c>
      <c r="J2808" s="8" t="n">
        <v>10.5</v>
      </c>
      <c r="K2808" s="8" t="n">
        <v>7.5</v>
      </c>
      <c r="L2808" s="8" t="n">
        <v>3</v>
      </c>
      <c r="M2808" s="29" t="inlineStr">
        <is>
          <t>HALİL DİĞRENCİ</t>
        </is>
      </c>
    </row>
    <row r="2809">
      <c r="A2809" s="4" t="n">
        <v>2808</v>
      </c>
      <c r="B2809" s="4" t="inlineStr">
        <is>
          <t>01538</t>
        </is>
      </c>
      <c r="C2809" s="4" t="inlineStr">
        <is>
          <t>01538</t>
        </is>
      </c>
      <c r="D2809" s="29" t="inlineStr">
        <is>
          <t>NEVRUZ ABAK</t>
        </is>
      </c>
      <c r="E2809" s="4" t="inlineStr">
        <is>
          <t>Cumartesi</t>
        </is>
      </c>
      <c r="F2809" s="4" t="inlineStr">
        <is>
          <t>17.10.2026</t>
        </is>
      </c>
      <c r="G2809" s="4" t="inlineStr">
        <is>
          <t>07:59</t>
        </is>
      </c>
      <c r="H2809" s="4" t="inlineStr">
        <is>
          <t>17.10.2026</t>
        </is>
      </c>
      <c r="I2809" s="4" t="inlineStr">
        <is>
          <t>20:02</t>
        </is>
      </c>
      <c r="J2809" s="8" t="n">
        <v>10.5</v>
      </c>
      <c r="K2809" s="8" t="n">
        <v>7.5</v>
      </c>
      <c r="L2809" s="8" t="n">
        <v>3</v>
      </c>
      <c r="M2809" s="29" t="inlineStr">
        <is>
          <t>HALİL DİĞRENCİ</t>
        </is>
      </c>
    </row>
    <row r="2810">
      <c r="A2810" s="4" t="n">
        <v>2809</v>
      </c>
      <c r="B2810" s="4" t="inlineStr">
        <is>
          <t>01538</t>
        </is>
      </c>
      <c r="C2810" s="4" t="inlineStr">
        <is>
          <t>01538</t>
        </is>
      </c>
      <c r="D2810" s="29" t="inlineStr">
        <is>
          <t>NEVRUZ ABAK</t>
        </is>
      </c>
      <c r="E2810" s="4" t="inlineStr">
        <is>
          <t>Pazartesi</t>
        </is>
      </c>
      <c r="F2810" s="4" t="inlineStr">
        <is>
          <t>19.10.2026</t>
        </is>
      </c>
      <c r="G2810" s="4" t="inlineStr">
        <is>
          <t>07:36</t>
        </is>
      </c>
      <c r="H2810" s="4" t="inlineStr">
        <is>
          <t>19.10.2026</t>
        </is>
      </c>
      <c r="I2810" s="4" t="inlineStr">
        <is>
          <t>19:59</t>
        </is>
      </c>
      <c r="J2810" s="8" t="n">
        <v>0</v>
      </c>
      <c r="K2810" s="8" t="n">
        <v>0</v>
      </c>
      <c r="L2810" s="8" t="n">
        <v>0</v>
      </c>
      <c r="M2810" s="29" t="inlineStr">
        <is>
          <t>HALİL DİĞRENCİ</t>
        </is>
      </c>
    </row>
    <row r="2811">
      <c r="A2811" s="4" t="n">
        <v>2810</v>
      </c>
      <c r="B2811" s="4" t="inlineStr">
        <is>
          <t>01538</t>
        </is>
      </c>
      <c r="C2811" s="4" t="inlineStr">
        <is>
          <t>01538</t>
        </is>
      </c>
      <c r="D2811" s="29" t="inlineStr">
        <is>
          <t>NEVRUZ ABAK</t>
        </is>
      </c>
      <c r="E2811" s="4" t="inlineStr">
        <is>
          <t>Salı</t>
        </is>
      </c>
      <c r="F2811" s="4" t="inlineStr">
        <is>
          <t>20.10.2026</t>
        </is>
      </c>
      <c r="G2811" s="4" t="inlineStr">
        <is>
          <t>07:32</t>
        </is>
      </c>
      <c r="H2811" s="4" t="inlineStr">
        <is>
          <t>20.10.2026</t>
        </is>
      </c>
      <c r="I2811" s="4" t="inlineStr">
        <is>
          <t>17:05</t>
        </is>
      </c>
      <c r="J2811" s="8" t="n">
        <v>7.5</v>
      </c>
      <c r="K2811" s="8" t="n">
        <v>7.5</v>
      </c>
      <c r="L2811" s="8" t="n">
        <v>0</v>
      </c>
      <c r="M2811" s="29" t="inlineStr">
        <is>
          <t>HALİL DİĞRENCİ</t>
        </is>
      </c>
    </row>
    <row r="2812">
      <c r="A2812" s="4" t="n">
        <v>2811</v>
      </c>
      <c r="B2812" s="4" t="inlineStr">
        <is>
          <t>01538</t>
        </is>
      </c>
      <c r="C2812" s="4" t="inlineStr">
        <is>
          <t>01538</t>
        </is>
      </c>
      <c r="D2812" s="29" t="inlineStr">
        <is>
          <t>NEVRUZ ABAK</t>
        </is>
      </c>
      <c r="E2812" s="4" t="inlineStr">
        <is>
          <t>Çarşamba</t>
        </is>
      </c>
      <c r="F2812" s="4" t="inlineStr">
        <is>
          <t>21.10.2026</t>
        </is>
      </c>
      <c r="G2812" s="4" t="inlineStr">
        <is>
          <t>07:37</t>
        </is>
      </c>
      <c r="H2812" s="4" t="inlineStr">
        <is>
          <t>21.10.2026</t>
        </is>
      </c>
      <c r="I2812" s="4" t="inlineStr">
        <is>
          <t>17:04</t>
        </is>
      </c>
      <c r="J2812" s="8" t="n">
        <v>7.5</v>
      </c>
      <c r="K2812" s="8" t="n">
        <v>7.5</v>
      </c>
      <c r="L2812" s="8" t="n">
        <v>0</v>
      </c>
      <c r="M2812" s="29" t="inlineStr">
        <is>
          <t>HALİL DİĞRENCİ</t>
        </is>
      </c>
    </row>
    <row r="2813">
      <c r="A2813" s="4" t="n">
        <v>2812</v>
      </c>
      <c r="B2813" s="4" t="inlineStr">
        <is>
          <t>01551</t>
        </is>
      </c>
      <c r="C2813" s="4" t="inlineStr">
        <is>
          <t>01551</t>
        </is>
      </c>
      <c r="D2813" s="29" t="inlineStr">
        <is>
          <t>NEZAHAT AKDUMAN</t>
        </is>
      </c>
      <c r="E2813" s="4" t="inlineStr">
        <is>
          <t>Pazartesi</t>
        </is>
      </c>
      <c r="F2813" s="4" t="inlineStr">
        <is>
          <t>12.10.2026</t>
        </is>
      </c>
      <c r="G2813" s="4" t="inlineStr">
        <is>
          <t>-</t>
        </is>
      </c>
      <c r="H2813" s="4" t="inlineStr">
        <is>
          <t>12.10.2026</t>
        </is>
      </c>
      <c r="I2813" s="4" t="inlineStr">
        <is>
          <t>18:01</t>
        </is>
      </c>
      <c r="J2813" s="8" t="n">
        <v>8.5</v>
      </c>
      <c r="K2813" s="8" t="n">
        <v>7.5</v>
      </c>
      <c r="L2813" s="8" t="n">
        <v>1</v>
      </c>
      <c r="M2813" s="29" t="inlineStr">
        <is>
          <t>BİGADİÇ</t>
        </is>
      </c>
    </row>
    <row r="2814">
      <c r="A2814" s="4" t="n">
        <v>2813</v>
      </c>
      <c r="B2814" s="4" t="inlineStr">
        <is>
          <t>01551</t>
        </is>
      </c>
      <c r="C2814" s="4" t="inlineStr">
        <is>
          <t>01551</t>
        </is>
      </c>
      <c r="D2814" s="29" t="inlineStr">
        <is>
          <t>NEZAHAT AKDUMAN</t>
        </is>
      </c>
      <c r="E2814" s="4" t="inlineStr">
        <is>
          <t>Salı</t>
        </is>
      </c>
      <c r="F2814" s="4" t="inlineStr">
        <is>
          <t>13.10.2026</t>
        </is>
      </c>
      <c r="G2814" s="4" t="inlineStr">
        <is>
          <t>07:57</t>
        </is>
      </c>
      <c r="H2814" s="4" t="inlineStr">
        <is>
          <t>13.10.2026</t>
        </is>
      </c>
      <c r="I2814" s="4" t="inlineStr">
        <is>
          <t>17:05</t>
        </is>
      </c>
      <c r="J2814" s="8" t="n">
        <v>7.5</v>
      </c>
      <c r="K2814" s="8" t="n">
        <v>7.5</v>
      </c>
      <c r="L2814" s="8" t="n">
        <v>0</v>
      </c>
      <c r="M2814" s="29" t="inlineStr">
        <is>
          <t>BİGADİÇ</t>
        </is>
      </c>
    </row>
    <row r="2815">
      <c r="A2815" s="4" t="n">
        <v>2814</v>
      </c>
      <c r="B2815" s="4" t="inlineStr">
        <is>
          <t>01551</t>
        </is>
      </c>
      <c r="C2815" s="4" t="inlineStr">
        <is>
          <t>01551</t>
        </is>
      </c>
      <c r="D2815" s="29" t="inlineStr">
        <is>
          <t>NEZAHAT AKDUMAN</t>
        </is>
      </c>
      <c r="E2815" s="4" t="inlineStr">
        <is>
          <t>Çarşamba</t>
        </is>
      </c>
      <c r="F2815" s="4" t="inlineStr">
        <is>
          <t>14.10.2026</t>
        </is>
      </c>
      <c r="G2815" s="4" t="inlineStr">
        <is>
          <t>08:02</t>
        </is>
      </c>
      <c r="H2815" s="4" t="inlineStr">
        <is>
          <t>14.10.2026</t>
        </is>
      </c>
      <c r="I2815" s="4" t="inlineStr">
        <is>
          <t>17:32</t>
        </is>
      </c>
      <c r="J2815" s="8" t="n">
        <v>8</v>
      </c>
      <c r="K2815" s="8" t="n">
        <v>7.5</v>
      </c>
      <c r="L2815" s="8" t="n">
        <v>0.5</v>
      </c>
      <c r="M2815" s="29" t="inlineStr">
        <is>
          <t>BİGADİÇ</t>
        </is>
      </c>
    </row>
    <row r="2816">
      <c r="A2816" s="4" t="n">
        <v>2815</v>
      </c>
      <c r="B2816" s="4" t="inlineStr">
        <is>
          <t>01551</t>
        </is>
      </c>
      <c r="C2816" s="4" t="inlineStr">
        <is>
          <t>01551</t>
        </is>
      </c>
      <c r="D2816" s="29" t="inlineStr">
        <is>
          <t>NEZAHAT AKDUMAN</t>
        </is>
      </c>
      <c r="E2816" s="4" t="inlineStr">
        <is>
          <t>Perşembe</t>
        </is>
      </c>
      <c r="F2816" s="4" t="inlineStr">
        <is>
          <t>15.10.2026</t>
        </is>
      </c>
      <c r="G2816" s="4" t="inlineStr">
        <is>
          <t>07:44</t>
        </is>
      </c>
      <c r="H2816" s="4" t="inlineStr">
        <is>
          <t>15.10.2026</t>
        </is>
      </c>
      <c r="I2816" s="4" t="inlineStr">
        <is>
          <t>17:18</t>
        </is>
      </c>
      <c r="J2816" s="8" t="n">
        <v>7.5</v>
      </c>
      <c r="K2816" s="8" t="n">
        <v>7.5</v>
      </c>
      <c r="L2816" s="8" t="n">
        <v>0</v>
      </c>
      <c r="M2816" s="29" t="inlineStr">
        <is>
          <t>BİGADİÇ</t>
        </is>
      </c>
    </row>
    <row r="2817">
      <c r="A2817" s="4" t="n">
        <v>2816</v>
      </c>
      <c r="B2817" s="4" t="inlineStr">
        <is>
          <t>01551</t>
        </is>
      </c>
      <c r="C2817" s="4" t="inlineStr">
        <is>
          <t>01551</t>
        </is>
      </c>
      <c r="D2817" s="29" t="inlineStr">
        <is>
          <t>NEZAHAT AKDUMAN</t>
        </is>
      </c>
      <c r="E2817" s="4" t="inlineStr">
        <is>
          <t>Cuma</t>
        </is>
      </c>
      <c r="F2817" s="4" t="inlineStr">
        <is>
          <t>16.10.2026</t>
        </is>
      </c>
      <c r="G2817" s="4" t="inlineStr">
        <is>
          <t>07:59</t>
        </is>
      </c>
      <c r="H2817" s="4" t="inlineStr">
        <is>
          <t>16.10.2026</t>
        </is>
      </c>
      <c r="I2817" s="4" t="inlineStr">
        <is>
          <t>17:13</t>
        </is>
      </c>
      <c r="J2817" s="8" t="n">
        <v>7.5</v>
      </c>
      <c r="K2817" s="8" t="n">
        <v>7.5</v>
      </c>
      <c r="L2817" s="8" t="n">
        <v>0</v>
      </c>
      <c r="M2817" s="29" t="inlineStr">
        <is>
          <t>BİGADİÇ</t>
        </is>
      </c>
    </row>
    <row r="2818">
      <c r="A2818" s="4" t="n">
        <v>2817</v>
      </c>
      <c r="B2818" s="4" t="inlineStr">
        <is>
          <t>01551</t>
        </is>
      </c>
      <c r="C2818" s="4" t="inlineStr">
        <is>
          <t>01551</t>
        </is>
      </c>
      <c r="D2818" s="29" t="inlineStr">
        <is>
          <t>NEZAHAT AKDUMAN</t>
        </is>
      </c>
      <c r="E2818" s="4" t="inlineStr">
        <is>
          <t>Cumartesi</t>
        </is>
      </c>
      <c r="F2818" s="4" t="inlineStr">
        <is>
          <t>17.10.2026</t>
        </is>
      </c>
      <c r="G2818" s="4" t="inlineStr">
        <is>
          <t>08:02</t>
        </is>
      </c>
      <c r="H2818" s="4" t="inlineStr">
        <is>
          <t>17.10.2026</t>
        </is>
      </c>
      <c r="I2818" s="4" t="inlineStr">
        <is>
          <t>17:52</t>
        </is>
      </c>
      <c r="J2818" s="8" t="n">
        <v>8.5</v>
      </c>
      <c r="K2818" s="8" t="n">
        <v>7.5</v>
      </c>
      <c r="L2818" s="8" t="n">
        <v>1</v>
      </c>
      <c r="M2818" s="29" t="inlineStr">
        <is>
          <t>BİGADİÇ</t>
        </is>
      </c>
    </row>
    <row r="2819">
      <c r="A2819" s="4" t="n">
        <v>2818</v>
      </c>
      <c r="B2819" s="4" t="inlineStr">
        <is>
          <t>01551</t>
        </is>
      </c>
      <c r="C2819" s="4" t="inlineStr">
        <is>
          <t>01551</t>
        </is>
      </c>
      <c r="D2819" s="29" t="inlineStr">
        <is>
          <t>NEZAHAT AKDUMAN</t>
        </is>
      </c>
      <c r="E2819" s="4" t="inlineStr">
        <is>
          <t>Pazar</t>
        </is>
      </c>
      <c r="F2819" s="4" t="inlineStr">
        <is>
          <t>18.10.2026</t>
        </is>
      </c>
      <c r="G2819" s="4" t="inlineStr">
        <is>
          <t>08:05</t>
        </is>
      </c>
      <c r="H2819" s="4" t="inlineStr">
        <is>
          <t>18.10.2026</t>
        </is>
      </c>
      <c r="I2819" s="4" t="inlineStr">
        <is>
          <t>17:06</t>
        </is>
      </c>
      <c r="J2819" s="8" t="n">
        <v>7.5</v>
      </c>
      <c r="K2819" s="8" t="n">
        <v>7.5</v>
      </c>
      <c r="L2819" s="8" t="n">
        <v>0</v>
      </c>
      <c r="M2819" s="29" t="inlineStr">
        <is>
          <t>BİGADİÇ</t>
        </is>
      </c>
    </row>
    <row r="2820">
      <c r="A2820" s="4" t="n">
        <v>2819</v>
      </c>
      <c r="B2820" s="4" t="inlineStr">
        <is>
          <t>01551</t>
        </is>
      </c>
      <c r="C2820" s="4" t="inlineStr">
        <is>
          <t>01551</t>
        </is>
      </c>
      <c r="D2820" s="29" t="inlineStr">
        <is>
          <t>NEZAHAT AKDUMAN</t>
        </is>
      </c>
      <c r="E2820" s="4" t="inlineStr">
        <is>
          <t>Pazartesi</t>
        </is>
      </c>
      <c r="F2820" s="4" t="inlineStr">
        <is>
          <t>19.10.2026</t>
        </is>
      </c>
      <c r="G2820" s="4" t="inlineStr">
        <is>
          <t>07:48</t>
        </is>
      </c>
      <c r="H2820" s="4" t="inlineStr">
        <is>
          <t>19.10.2026</t>
        </is>
      </c>
      <c r="I2820" s="4" t="inlineStr">
        <is>
          <t>17:06</t>
        </is>
      </c>
      <c r="J2820" s="8" t="n">
        <v>7.5</v>
      </c>
      <c r="K2820" s="8" t="n">
        <v>7.5</v>
      </c>
      <c r="L2820" s="8" t="n">
        <v>0</v>
      </c>
      <c r="M2820" s="29" t="inlineStr">
        <is>
          <t>BİGADİÇ</t>
        </is>
      </c>
    </row>
    <row r="2821">
      <c r="A2821" s="4" t="n">
        <v>2820</v>
      </c>
      <c r="B2821" s="4" t="inlineStr">
        <is>
          <t>01551</t>
        </is>
      </c>
      <c r="C2821" s="4" t="inlineStr">
        <is>
          <t>01551</t>
        </is>
      </c>
      <c r="D2821" s="29" t="inlineStr">
        <is>
          <t>NEZAHAT AKDUMAN</t>
        </is>
      </c>
      <c r="E2821" s="4" t="inlineStr">
        <is>
          <t>Salı</t>
        </is>
      </c>
      <c r="F2821" s="4" t="inlineStr">
        <is>
          <t>20.10.2026</t>
        </is>
      </c>
      <c r="G2821" s="4" t="inlineStr">
        <is>
          <t>07:49</t>
        </is>
      </c>
      <c r="H2821" s="4" t="inlineStr">
        <is>
          <t>20.10.2026</t>
        </is>
      </c>
      <c r="I2821" s="4" t="inlineStr">
        <is>
          <t>17:09</t>
        </is>
      </c>
      <c r="J2821" s="8" t="n">
        <v>7.5</v>
      </c>
      <c r="K2821" s="8" t="n">
        <v>7.5</v>
      </c>
      <c r="L2821" s="8" t="n">
        <v>0</v>
      </c>
      <c r="M2821" s="29" t="inlineStr">
        <is>
          <t>BİGADİÇ</t>
        </is>
      </c>
    </row>
    <row r="2822">
      <c r="A2822" s="4" t="n">
        <v>2821</v>
      </c>
      <c r="B2822" s="4" t="inlineStr">
        <is>
          <t>01540</t>
        </is>
      </c>
      <c r="C2822" s="4" t="inlineStr">
        <is>
          <t>01540</t>
        </is>
      </c>
      <c r="D2822" s="29" t="inlineStr">
        <is>
          <t>NURAN ÜÇEBEY</t>
        </is>
      </c>
      <c r="E2822" s="4" t="inlineStr">
        <is>
          <t>Cuma</t>
        </is>
      </c>
      <c r="F2822" s="4" t="inlineStr">
        <is>
          <t>9.10.2026</t>
        </is>
      </c>
      <c r="G2822" s="4" t="inlineStr">
        <is>
          <t>07:47</t>
        </is>
      </c>
      <c r="H2822" s="4" t="inlineStr">
        <is>
          <t>9.10.2026</t>
        </is>
      </c>
      <c r="I2822" s="4" t="inlineStr">
        <is>
          <t>20:01</t>
        </is>
      </c>
      <c r="J2822" s="8" t="n">
        <v>10.5</v>
      </c>
      <c r="K2822" s="8" t="n">
        <v>7.5</v>
      </c>
      <c r="L2822" s="8" t="n">
        <v>3</v>
      </c>
      <c r="M2822" s="29" t="inlineStr">
        <is>
          <t>HALİL DİĞRENCİ</t>
        </is>
      </c>
    </row>
    <row r="2823">
      <c r="A2823" s="4" t="n">
        <v>2822</v>
      </c>
      <c r="B2823" s="4" t="inlineStr">
        <is>
          <t>01540</t>
        </is>
      </c>
      <c r="C2823" s="4" t="inlineStr">
        <is>
          <t>01540</t>
        </is>
      </c>
      <c r="D2823" s="29" t="inlineStr">
        <is>
          <t>NURAN ÜÇEBEY</t>
        </is>
      </c>
      <c r="E2823" s="4" t="inlineStr">
        <is>
          <t>Cumartesi</t>
        </is>
      </c>
      <c r="F2823" s="4" t="inlineStr">
        <is>
          <t>10.10.2026</t>
        </is>
      </c>
      <c r="G2823" s="4" t="inlineStr">
        <is>
          <t>07:39</t>
        </is>
      </c>
      <c r="H2823" s="4" t="inlineStr">
        <is>
          <t>10.10.2026</t>
        </is>
      </c>
      <c r="I2823" s="4" t="inlineStr">
        <is>
          <t>19:57</t>
        </is>
      </c>
      <c r="J2823" s="8" t="n">
        <v>10.5</v>
      </c>
      <c r="K2823" s="8" t="n">
        <v>7.5</v>
      </c>
      <c r="L2823" s="8" t="n">
        <v>3</v>
      </c>
      <c r="M2823" s="29" t="inlineStr">
        <is>
          <t>HALİL DİĞRENCİ</t>
        </is>
      </c>
    </row>
    <row r="2824">
      <c r="A2824" s="4" t="n">
        <v>2823</v>
      </c>
      <c r="B2824" s="4" t="inlineStr">
        <is>
          <t>01540</t>
        </is>
      </c>
      <c r="C2824" s="4" t="inlineStr">
        <is>
          <t>01540</t>
        </is>
      </c>
      <c r="D2824" s="29" t="inlineStr">
        <is>
          <t>NURAN ÜÇEBEY</t>
        </is>
      </c>
      <c r="E2824" s="4" t="inlineStr">
        <is>
          <t>Pazar</t>
        </is>
      </c>
      <c r="F2824" s="4" t="inlineStr">
        <is>
          <t>11.10.2026</t>
        </is>
      </c>
      <c r="G2824" s="4" t="inlineStr">
        <is>
          <t>07:55</t>
        </is>
      </c>
      <c r="H2824" s="4" t="inlineStr">
        <is>
          <t>11.10.2026</t>
        </is>
      </c>
      <c r="I2824" s="4" t="inlineStr">
        <is>
          <t>20:01</t>
        </is>
      </c>
      <c r="J2824" s="8" t="n">
        <v>10.5</v>
      </c>
      <c r="K2824" s="8" t="n">
        <v>7.5</v>
      </c>
      <c r="L2824" s="8" t="n">
        <v>3</v>
      </c>
      <c r="M2824" s="29" t="inlineStr">
        <is>
          <t>HALİL DİĞRENCİ</t>
        </is>
      </c>
    </row>
    <row r="2825">
      <c r="A2825" s="4" t="n">
        <v>2824</v>
      </c>
      <c r="B2825" s="4" t="inlineStr">
        <is>
          <t>01540</t>
        </is>
      </c>
      <c r="C2825" s="4" t="inlineStr">
        <is>
          <t>01540</t>
        </is>
      </c>
      <c r="D2825" s="29" t="inlineStr">
        <is>
          <t>NURAN ÜÇEBEY</t>
        </is>
      </c>
      <c r="E2825" s="4" t="inlineStr">
        <is>
          <t>Pazartesi</t>
        </is>
      </c>
      <c r="F2825" s="4" t="inlineStr">
        <is>
          <t>12.10.2026</t>
        </is>
      </c>
      <c r="G2825" s="4" t="inlineStr">
        <is>
          <t>07:41</t>
        </is>
      </c>
      <c r="H2825" s="4" t="inlineStr">
        <is>
          <t>12.10.2026</t>
        </is>
      </c>
      <c r="I2825" s="4" t="inlineStr">
        <is>
          <t>20:02</t>
        </is>
      </c>
      <c r="J2825" s="8" t="n">
        <v>10.5</v>
      </c>
      <c r="K2825" s="8" t="n">
        <v>7.5</v>
      </c>
      <c r="L2825" s="8" t="n">
        <v>3</v>
      </c>
      <c r="M2825" s="29" t="inlineStr">
        <is>
          <t>HALİL DİĞRENCİ</t>
        </is>
      </c>
    </row>
    <row r="2826">
      <c r="A2826" s="4" t="n">
        <v>2825</v>
      </c>
      <c r="B2826" s="4" t="inlineStr">
        <is>
          <t>01540</t>
        </is>
      </c>
      <c r="C2826" s="4" t="inlineStr">
        <is>
          <t>01540</t>
        </is>
      </c>
      <c r="D2826" s="29" t="inlineStr">
        <is>
          <t>NURAN ÜÇEBEY</t>
        </is>
      </c>
      <c r="E2826" s="4" t="inlineStr">
        <is>
          <t>Salı</t>
        </is>
      </c>
      <c r="F2826" s="4" t="inlineStr">
        <is>
          <t>13.10.2026</t>
        </is>
      </c>
      <c r="G2826" s="4" t="inlineStr">
        <is>
          <t>07:34</t>
        </is>
      </c>
      <c r="H2826" s="4" t="inlineStr">
        <is>
          <t>13.10.2026</t>
        </is>
      </c>
      <c r="I2826" s="4" t="inlineStr">
        <is>
          <t>17:02</t>
        </is>
      </c>
      <c r="J2826" s="8" t="n">
        <v>7.5</v>
      </c>
      <c r="K2826" s="8" t="n">
        <v>7.5</v>
      </c>
      <c r="L2826" s="8" t="n">
        <v>0</v>
      </c>
      <c r="M2826" s="29" t="inlineStr">
        <is>
          <t>HALİL DİĞRENCİ</t>
        </is>
      </c>
    </row>
    <row r="2827">
      <c r="A2827" s="4" t="n">
        <v>2826</v>
      </c>
      <c r="B2827" s="4" t="inlineStr">
        <is>
          <t>01540</t>
        </is>
      </c>
      <c r="C2827" s="4" t="inlineStr">
        <is>
          <t>01540</t>
        </is>
      </c>
      <c r="D2827" s="29" t="inlineStr">
        <is>
          <t>NURAN ÜÇEBEY</t>
        </is>
      </c>
      <c r="E2827" s="4" t="inlineStr">
        <is>
          <t>Çarşamba</t>
        </is>
      </c>
      <c r="F2827" s="4" t="inlineStr">
        <is>
          <t>14.10.2026</t>
        </is>
      </c>
      <c r="G2827" s="4" t="inlineStr">
        <is>
          <t>07:40</t>
        </is>
      </c>
      <c r="H2827" s="4" t="inlineStr">
        <is>
          <t>14.10.2026</t>
        </is>
      </c>
      <c r="I2827" s="4" t="inlineStr">
        <is>
          <t>20:02</t>
        </is>
      </c>
      <c r="J2827" s="8" t="n">
        <v>10.5</v>
      </c>
      <c r="K2827" s="8" t="n">
        <v>7.5</v>
      </c>
      <c r="L2827" s="8" t="n">
        <v>3</v>
      </c>
      <c r="M2827" s="29" t="inlineStr">
        <is>
          <t>HALİL DİĞRENCİ</t>
        </is>
      </c>
    </row>
    <row r="2828">
      <c r="A2828" s="4" t="n">
        <v>2827</v>
      </c>
      <c r="B2828" s="4" t="inlineStr">
        <is>
          <t>01540</t>
        </is>
      </c>
      <c r="C2828" s="4" t="inlineStr">
        <is>
          <t>01540</t>
        </is>
      </c>
      <c r="D2828" s="29" t="inlineStr">
        <is>
          <t>NURAN ÜÇEBEY</t>
        </is>
      </c>
      <c r="E2828" s="4" t="inlineStr">
        <is>
          <t>Perşembe</t>
        </is>
      </c>
      <c r="F2828" s="4" t="inlineStr">
        <is>
          <t>15.10.2026</t>
        </is>
      </c>
      <c r="G2828" s="4" t="inlineStr">
        <is>
          <t>07:36</t>
        </is>
      </c>
      <c r="H2828" s="4" t="inlineStr">
        <is>
          <t>15.10.2026</t>
        </is>
      </c>
      <c r="I2828" s="4" t="inlineStr">
        <is>
          <t>19:59</t>
        </is>
      </c>
      <c r="J2828" s="8" t="n">
        <v>10.5</v>
      </c>
      <c r="K2828" s="8" t="n">
        <v>7.5</v>
      </c>
      <c r="L2828" s="8" t="n">
        <v>3</v>
      </c>
      <c r="M2828" s="29" t="inlineStr">
        <is>
          <t>HALİL DİĞRENCİ</t>
        </is>
      </c>
    </row>
    <row r="2829">
      <c r="A2829" s="4" t="n">
        <v>2828</v>
      </c>
      <c r="B2829" s="4" t="inlineStr">
        <is>
          <t>01540</t>
        </is>
      </c>
      <c r="C2829" s="4" t="inlineStr">
        <is>
          <t>01540</t>
        </is>
      </c>
      <c r="D2829" s="29" t="inlineStr">
        <is>
          <t>NURAN ÜÇEBEY</t>
        </is>
      </c>
      <c r="E2829" s="4" t="inlineStr">
        <is>
          <t>Cumartesi</t>
        </is>
      </c>
      <c r="F2829" s="4" t="inlineStr">
        <is>
          <t>17.10.2026</t>
        </is>
      </c>
      <c r="G2829" s="4" t="inlineStr">
        <is>
          <t>07:59</t>
        </is>
      </c>
      <c r="H2829" s="4" t="inlineStr">
        <is>
          <t>17.10.2026</t>
        </is>
      </c>
      <c r="I2829" s="4" t="inlineStr">
        <is>
          <t>20:02</t>
        </is>
      </c>
      <c r="J2829" s="8" t="n">
        <v>10.5</v>
      </c>
      <c r="K2829" s="8" t="n">
        <v>7.5</v>
      </c>
      <c r="L2829" s="8" t="n">
        <v>3</v>
      </c>
      <c r="M2829" s="29" t="inlineStr">
        <is>
          <t>HALİL DİĞRENCİ</t>
        </is>
      </c>
    </row>
    <row r="2830">
      <c r="A2830" s="4" t="n">
        <v>2829</v>
      </c>
      <c r="B2830" s="4" t="inlineStr">
        <is>
          <t>01540</t>
        </is>
      </c>
      <c r="C2830" s="4" t="inlineStr">
        <is>
          <t>01540</t>
        </is>
      </c>
      <c r="D2830" s="29" t="inlineStr">
        <is>
          <t>NURAN ÜÇEBEY</t>
        </is>
      </c>
      <c r="E2830" s="4" t="inlineStr">
        <is>
          <t>Pazartesi</t>
        </is>
      </c>
      <c r="F2830" s="4" t="inlineStr">
        <is>
          <t>19.10.2026</t>
        </is>
      </c>
      <c r="G2830" s="4" t="inlineStr">
        <is>
          <t>07:36</t>
        </is>
      </c>
      <c r="H2830" s="4" t="inlineStr">
        <is>
          <t>19.10.2026</t>
        </is>
      </c>
      <c r="I2830" s="4" t="inlineStr">
        <is>
          <t>19:59</t>
        </is>
      </c>
      <c r="J2830" s="8" t="n">
        <v>10.5</v>
      </c>
      <c r="K2830" s="8" t="n">
        <v>7.5</v>
      </c>
      <c r="L2830" s="8" t="n">
        <v>3</v>
      </c>
      <c r="M2830" s="29" t="inlineStr">
        <is>
          <t>HALİL DİĞRENCİ</t>
        </is>
      </c>
    </row>
    <row r="2831">
      <c r="A2831" s="4" t="n">
        <v>2830</v>
      </c>
      <c r="B2831" s="4" t="inlineStr">
        <is>
          <t>01540</t>
        </is>
      </c>
      <c r="C2831" s="4" t="inlineStr">
        <is>
          <t>01540</t>
        </is>
      </c>
      <c r="D2831" s="29" t="inlineStr">
        <is>
          <t>NURAN ÜÇEBEY</t>
        </is>
      </c>
      <c r="E2831" s="4" t="inlineStr">
        <is>
          <t>Çarşamba</t>
        </is>
      </c>
      <c r="F2831" s="4" t="inlineStr">
        <is>
          <t>21.10.2026</t>
        </is>
      </c>
      <c r="G2831" s="4" t="inlineStr">
        <is>
          <t>07:37</t>
        </is>
      </c>
      <c r="H2831" s="4" t="inlineStr">
        <is>
          <t>21.10.2026</t>
        </is>
      </c>
      <c r="I2831" s="4" t="inlineStr">
        <is>
          <t>17:04</t>
        </is>
      </c>
      <c r="J2831" s="8" t="n">
        <v>7.5</v>
      </c>
      <c r="K2831" s="8" t="n">
        <v>7.5</v>
      </c>
      <c r="L2831" s="8" t="n">
        <v>0</v>
      </c>
      <c r="M2831" s="29" t="inlineStr">
        <is>
          <t>HALİL DİĞRENCİ</t>
        </is>
      </c>
    </row>
    <row r="2832">
      <c r="A2832" s="4" t="n">
        <v>2831</v>
      </c>
      <c r="B2832" s="4" t="inlineStr">
        <is>
          <t>00128</t>
        </is>
      </c>
      <c r="C2832" s="4" t="inlineStr">
        <is>
          <t>00128</t>
        </is>
      </c>
      <c r="D2832" s="29" t="inlineStr">
        <is>
          <t>NURAY AVCI</t>
        </is>
      </c>
      <c r="E2832" s="4" t="inlineStr">
        <is>
          <t>Perşembe</t>
        </is>
      </c>
      <c r="F2832" s="4" t="inlineStr">
        <is>
          <t>1.10.2026</t>
        </is>
      </c>
      <c r="G2832" s="4" t="inlineStr">
        <is>
          <t>07:50</t>
        </is>
      </c>
      <c r="H2832" s="4" t="inlineStr">
        <is>
          <t>1.10.2026</t>
        </is>
      </c>
      <c r="I2832" s="4" t="inlineStr">
        <is>
          <t>17:24</t>
        </is>
      </c>
      <c r="J2832" s="8" t="n">
        <v>8</v>
      </c>
      <c r="K2832" s="8" t="n">
        <v>7.5</v>
      </c>
      <c r="L2832" s="8" t="n">
        <v>0.5</v>
      </c>
      <c r="M2832" s="29" t="inlineStr">
        <is>
          <t>BALIKESİR</t>
        </is>
      </c>
    </row>
    <row r="2833">
      <c r="A2833" s="4" t="n">
        <v>2832</v>
      </c>
      <c r="B2833" s="4" t="inlineStr">
        <is>
          <t>00128</t>
        </is>
      </c>
      <c r="C2833" s="4" t="inlineStr">
        <is>
          <t>00128</t>
        </is>
      </c>
      <c r="D2833" s="29" t="inlineStr">
        <is>
          <t>NURAY AVCI</t>
        </is>
      </c>
      <c r="E2833" s="4" t="inlineStr">
        <is>
          <t>Cumartesi</t>
        </is>
      </c>
      <c r="F2833" s="4" t="inlineStr">
        <is>
          <t>3.10.2026</t>
        </is>
      </c>
      <c r="G2833" s="4" t="inlineStr">
        <is>
          <t>07:55</t>
        </is>
      </c>
      <c r="H2833" s="4" t="inlineStr">
        <is>
          <t>3.10.2026</t>
        </is>
      </c>
      <c r="I2833" s="4" t="inlineStr">
        <is>
          <t>17:31</t>
        </is>
      </c>
      <c r="J2833" s="8" t="n">
        <v>8</v>
      </c>
      <c r="K2833" s="8" t="n">
        <v>7.5</v>
      </c>
      <c r="L2833" s="8" t="n">
        <v>0.5</v>
      </c>
      <c r="M2833" s="29" t="inlineStr">
        <is>
          <t>BALIKESİR</t>
        </is>
      </c>
    </row>
    <row r="2834">
      <c r="A2834" s="4" t="n">
        <v>2833</v>
      </c>
      <c r="B2834" s="4" t="inlineStr">
        <is>
          <t>00128</t>
        </is>
      </c>
      <c r="C2834" s="4" t="inlineStr">
        <is>
          <t>00128</t>
        </is>
      </c>
      <c r="D2834" s="29" t="inlineStr">
        <is>
          <t>NURAY AVCI</t>
        </is>
      </c>
      <c r="E2834" s="4" t="inlineStr">
        <is>
          <t>Pazartesi</t>
        </is>
      </c>
      <c r="F2834" s="4" t="inlineStr">
        <is>
          <t>5.10.2026</t>
        </is>
      </c>
      <c r="G2834" s="4" t="inlineStr">
        <is>
          <t>07:53</t>
        </is>
      </c>
      <c r="H2834" s="4" t="inlineStr">
        <is>
          <t>5.10.2026</t>
        </is>
      </c>
      <c r="I2834" s="4" t="inlineStr">
        <is>
          <t>17:00</t>
        </is>
      </c>
      <c r="J2834" s="8" t="n">
        <v>7.5</v>
      </c>
      <c r="K2834" s="8" t="n">
        <v>7.5</v>
      </c>
      <c r="L2834" s="8" t="n">
        <v>0</v>
      </c>
      <c r="M2834" s="29" t="inlineStr">
        <is>
          <t>BALIKESİR</t>
        </is>
      </c>
    </row>
    <row r="2835">
      <c r="A2835" s="4" t="n">
        <v>2834</v>
      </c>
      <c r="B2835" s="4" t="inlineStr">
        <is>
          <t>00128</t>
        </is>
      </c>
      <c r="C2835" s="4" t="inlineStr">
        <is>
          <t>00128</t>
        </is>
      </c>
      <c r="D2835" s="29" t="inlineStr">
        <is>
          <t>NURAY AVCI</t>
        </is>
      </c>
      <c r="E2835" s="4" t="inlineStr">
        <is>
          <t>Salı</t>
        </is>
      </c>
      <c r="F2835" s="4" t="inlineStr">
        <is>
          <t>6.10.2026</t>
        </is>
      </c>
      <c r="G2835" s="4" t="inlineStr">
        <is>
          <t>07:52</t>
        </is>
      </c>
      <c r="H2835" s="4" t="inlineStr">
        <is>
          <t>6.10.2026</t>
        </is>
      </c>
      <c r="I2835" s="4" t="inlineStr">
        <is>
          <t>17:36</t>
        </is>
      </c>
      <c r="J2835" s="8" t="n">
        <v>8</v>
      </c>
      <c r="K2835" s="8" t="n">
        <v>7.5</v>
      </c>
      <c r="L2835" s="8" t="n">
        <v>0.5</v>
      </c>
      <c r="M2835" s="29" t="inlineStr">
        <is>
          <t>BALIKESİR</t>
        </is>
      </c>
    </row>
    <row r="2836">
      <c r="A2836" s="4" t="n">
        <v>2835</v>
      </c>
      <c r="B2836" s="4" t="inlineStr">
        <is>
          <t>00128</t>
        </is>
      </c>
      <c r="C2836" s="4" t="inlineStr">
        <is>
          <t>00128</t>
        </is>
      </c>
      <c r="D2836" s="29" t="inlineStr">
        <is>
          <t>NURAY AVCI</t>
        </is>
      </c>
      <c r="E2836" s="4" t="inlineStr">
        <is>
          <t>Çarşamba</t>
        </is>
      </c>
      <c r="F2836" s="4" t="inlineStr">
        <is>
          <t>7.10.2026</t>
        </is>
      </c>
      <c r="G2836" s="4" t="inlineStr">
        <is>
          <t>07:49</t>
        </is>
      </c>
      <c r="H2836" s="4" t="inlineStr">
        <is>
          <t>7.10.2026</t>
        </is>
      </c>
      <c r="I2836" s="4" t="inlineStr">
        <is>
          <t>17:19</t>
        </is>
      </c>
      <c r="J2836" s="8" t="n">
        <v>7.5</v>
      </c>
      <c r="K2836" s="8" t="n">
        <v>7.5</v>
      </c>
      <c r="L2836" s="8" t="n">
        <v>0</v>
      </c>
      <c r="M2836" s="29" t="inlineStr">
        <is>
          <t>BALIKESİR</t>
        </is>
      </c>
    </row>
    <row r="2837">
      <c r="A2837" s="4" t="n">
        <v>2836</v>
      </c>
      <c r="B2837" s="4" t="inlineStr">
        <is>
          <t>00128</t>
        </is>
      </c>
      <c r="C2837" s="4" t="inlineStr">
        <is>
          <t>00128</t>
        </is>
      </c>
      <c r="D2837" s="29" t="inlineStr">
        <is>
          <t>NURAY AVCI</t>
        </is>
      </c>
      <c r="E2837" s="4" t="inlineStr">
        <is>
          <t>Perşembe</t>
        </is>
      </c>
      <c r="F2837" s="4" t="inlineStr">
        <is>
          <t>8.10.2026</t>
        </is>
      </c>
      <c r="G2837" s="4" t="inlineStr">
        <is>
          <t>07:50</t>
        </is>
      </c>
      <c r="H2837" s="4" t="inlineStr">
        <is>
          <t>8.10.2026</t>
        </is>
      </c>
      <c r="I2837" s="4" t="inlineStr">
        <is>
          <t>17:30</t>
        </is>
      </c>
      <c r="J2837" s="8" t="n">
        <v>8</v>
      </c>
      <c r="K2837" s="8" t="n">
        <v>7.5</v>
      </c>
      <c r="L2837" s="8" t="n">
        <v>0.5</v>
      </c>
      <c r="M2837" s="29" t="inlineStr">
        <is>
          <t>BALIKESİR</t>
        </is>
      </c>
    </row>
    <row r="2838">
      <c r="A2838" s="4" t="n">
        <v>2837</v>
      </c>
      <c r="B2838" s="4" t="inlineStr">
        <is>
          <t>00128</t>
        </is>
      </c>
      <c r="C2838" s="4" t="inlineStr">
        <is>
          <t>00128</t>
        </is>
      </c>
      <c r="D2838" s="29" t="inlineStr">
        <is>
          <t>NURAY AVCI</t>
        </is>
      </c>
      <c r="E2838" s="4" t="inlineStr">
        <is>
          <t>Cuma</t>
        </is>
      </c>
      <c r="F2838" s="4" t="inlineStr">
        <is>
          <t>9.10.2026</t>
        </is>
      </c>
      <c r="G2838" s="4" t="inlineStr">
        <is>
          <t>07:51</t>
        </is>
      </c>
      <c r="H2838" s="4" t="inlineStr">
        <is>
          <t>9.10.2026</t>
        </is>
      </c>
      <c r="I2838" s="4" t="inlineStr">
        <is>
          <t>17:38</t>
        </is>
      </c>
      <c r="J2838" s="8" t="n">
        <v>8</v>
      </c>
      <c r="K2838" s="8" t="n">
        <v>7.5</v>
      </c>
      <c r="L2838" s="8" t="n">
        <v>0.5</v>
      </c>
      <c r="M2838" s="29" t="inlineStr">
        <is>
          <t>BALIKESİR</t>
        </is>
      </c>
    </row>
    <row r="2839">
      <c r="A2839" s="4" t="n">
        <v>2838</v>
      </c>
      <c r="B2839" s="4" t="inlineStr">
        <is>
          <t>00128</t>
        </is>
      </c>
      <c r="C2839" s="4" t="inlineStr">
        <is>
          <t>00128</t>
        </is>
      </c>
      <c r="D2839" s="29" t="inlineStr">
        <is>
          <t>NURAY AVCI</t>
        </is>
      </c>
      <c r="E2839" s="4" t="inlineStr">
        <is>
          <t>Cumartesi</t>
        </is>
      </c>
      <c r="F2839" s="4" t="inlineStr">
        <is>
          <t>10.10.2026</t>
        </is>
      </c>
      <c r="G2839" s="4" t="inlineStr">
        <is>
          <t>07:53</t>
        </is>
      </c>
      <c r="H2839" s="4" t="inlineStr">
        <is>
          <t>10.10.2026</t>
        </is>
      </c>
      <c r="I2839" s="4" t="inlineStr">
        <is>
          <t>18:05</t>
        </is>
      </c>
      <c r="J2839" s="8" t="n">
        <v>8.5</v>
      </c>
      <c r="K2839" s="8" t="n">
        <v>7.5</v>
      </c>
      <c r="L2839" s="8" t="n">
        <v>1</v>
      </c>
      <c r="M2839" s="29" t="inlineStr">
        <is>
          <t>BALIKESİR</t>
        </is>
      </c>
    </row>
    <row r="2840">
      <c r="A2840" s="4" t="n">
        <v>2839</v>
      </c>
      <c r="B2840" s="4" t="inlineStr">
        <is>
          <t>00128</t>
        </is>
      </c>
      <c r="C2840" s="4" t="inlineStr">
        <is>
          <t>00128</t>
        </is>
      </c>
      <c r="D2840" s="29" t="inlineStr">
        <is>
          <t>NURAY AVCI</t>
        </is>
      </c>
      <c r="E2840" s="4" t="inlineStr">
        <is>
          <t>Salı</t>
        </is>
      </c>
      <c r="F2840" s="4" t="inlineStr">
        <is>
          <t>13.10.2026</t>
        </is>
      </c>
      <c r="G2840" s="4" t="inlineStr">
        <is>
          <t>07:49</t>
        </is>
      </c>
      <c r="H2840" s="4" t="inlineStr">
        <is>
          <t>13.10.2026</t>
        </is>
      </c>
      <c r="I2840" s="4" t="inlineStr">
        <is>
          <t>16:59</t>
        </is>
      </c>
      <c r="J2840" s="8" t="n">
        <v>7.5</v>
      </c>
      <c r="K2840" s="8" t="n">
        <v>7.5</v>
      </c>
      <c r="L2840" s="8" t="n">
        <v>0</v>
      </c>
      <c r="M2840" s="29" t="inlineStr">
        <is>
          <t>BALIKESİR</t>
        </is>
      </c>
    </row>
    <row r="2841">
      <c r="A2841" s="4" t="n">
        <v>2840</v>
      </c>
      <c r="B2841" s="4" t="inlineStr">
        <is>
          <t>00128</t>
        </is>
      </c>
      <c r="C2841" s="4" t="inlineStr">
        <is>
          <t>00128</t>
        </is>
      </c>
      <c r="D2841" s="29" t="inlineStr">
        <is>
          <t>NURAY AVCI</t>
        </is>
      </c>
      <c r="E2841" s="4" t="inlineStr">
        <is>
          <t>Perşembe</t>
        </is>
      </c>
      <c r="F2841" s="4" t="inlineStr">
        <is>
          <t>15.10.2026</t>
        </is>
      </c>
      <c r="G2841" s="4" t="inlineStr">
        <is>
          <t>07:53</t>
        </is>
      </c>
      <c r="H2841" s="4" t="inlineStr">
        <is>
          <t>15.10.2026</t>
        </is>
      </c>
      <c r="I2841" s="4" t="inlineStr">
        <is>
          <t>17:01</t>
        </is>
      </c>
      <c r="J2841" s="8" t="n">
        <v>7.5</v>
      </c>
      <c r="K2841" s="8" t="n">
        <v>7.5</v>
      </c>
      <c r="L2841" s="8" t="n">
        <v>0</v>
      </c>
      <c r="M2841" s="29" t="inlineStr">
        <is>
          <t>BALIKESİR</t>
        </is>
      </c>
    </row>
    <row r="2842">
      <c r="A2842" s="4" t="n">
        <v>2841</v>
      </c>
      <c r="B2842" s="4" t="inlineStr">
        <is>
          <t>00128</t>
        </is>
      </c>
      <c r="C2842" s="4" t="inlineStr">
        <is>
          <t>00128</t>
        </is>
      </c>
      <c r="D2842" s="29" t="inlineStr">
        <is>
          <t>NURAY AVCI</t>
        </is>
      </c>
      <c r="E2842" s="4" t="inlineStr">
        <is>
          <t>Cuma</t>
        </is>
      </c>
      <c r="F2842" s="4" t="inlineStr">
        <is>
          <t>16.10.2026</t>
        </is>
      </c>
      <c r="G2842" s="4" t="inlineStr">
        <is>
          <t>07:49</t>
        </is>
      </c>
      <c r="H2842" s="4" t="inlineStr">
        <is>
          <t>16.10.2026</t>
        </is>
      </c>
      <c r="I2842" s="4" t="inlineStr">
        <is>
          <t>17:12</t>
        </is>
      </c>
      <c r="J2842" s="8" t="n">
        <v>7.5</v>
      </c>
      <c r="K2842" s="8" t="n">
        <v>7.5</v>
      </c>
      <c r="L2842" s="8" t="n">
        <v>0</v>
      </c>
      <c r="M2842" s="29" t="inlineStr">
        <is>
          <t>BALIKESİR</t>
        </is>
      </c>
    </row>
    <row r="2843">
      <c r="A2843" s="4" t="n">
        <v>2842</v>
      </c>
      <c r="B2843" s="4" t="inlineStr">
        <is>
          <t>00128</t>
        </is>
      </c>
      <c r="C2843" s="4" t="inlineStr">
        <is>
          <t>00128</t>
        </is>
      </c>
      <c r="D2843" s="29" t="inlineStr">
        <is>
          <t>NURAY AVCI</t>
        </is>
      </c>
      <c r="E2843" s="4" t="inlineStr">
        <is>
          <t>Cumartesi</t>
        </is>
      </c>
      <c r="F2843" s="4" t="inlineStr">
        <is>
          <t>17.10.2026</t>
        </is>
      </c>
      <c r="G2843" s="4" t="inlineStr">
        <is>
          <t>07:58</t>
        </is>
      </c>
      <c r="H2843" s="4" t="inlineStr">
        <is>
          <t>17.10.2026</t>
        </is>
      </c>
      <c r="I2843" s="4" t="inlineStr">
        <is>
          <t>17:47</t>
        </is>
      </c>
      <c r="J2843" s="8" t="n">
        <v>8.5</v>
      </c>
      <c r="K2843" s="8" t="n">
        <v>7.5</v>
      </c>
      <c r="L2843" s="8" t="n">
        <v>1</v>
      </c>
      <c r="M2843" s="29" t="inlineStr">
        <is>
          <t>BALIKESİR</t>
        </is>
      </c>
    </row>
    <row r="2844">
      <c r="A2844" s="4" t="n">
        <v>2843</v>
      </c>
      <c r="B2844" s="4" t="inlineStr">
        <is>
          <t>00128</t>
        </is>
      </c>
      <c r="C2844" s="4" t="inlineStr">
        <is>
          <t>00128</t>
        </is>
      </c>
      <c r="D2844" s="29" t="inlineStr">
        <is>
          <t>NURAY AVCI</t>
        </is>
      </c>
      <c r="E2844" s="4" t="inlineStr">
        <is>
          <t>Pazartesi</t>
        </is>
      </c>
      <c r="F2844" s="4" t="inlineStr">
        <is>
          <t>19.10.2026</t>
        </is>
      </c>
      <c r="G2844" s="4" t="inlineStr">
        <is>
          <t>07:50</t>
        </is>
      </c>
      <c r="H2844" s="4" t="inlineStr">
        <is>
          <t>19.10.2026</t>
        </is>
      </c>
      <c r="I2844" s="4" t="inlineStr">
        <is>
          <t>17:42</t>
        </is>
      </c>
      <c r="J2844" s="8" t="n">
        <v>8</v>
      </c>
      <c r="K2844" s="8" t="n">
        <v>7.5</v>
      </c>
      <c r="L2844" s="8" t="n">
        <v>0.5</v>
      </c>
      <c r="M2844" s="29" t="inlineStr">
        <is>
          <t>BALIKESİR</t>
        </is>
      </c>
    </row>
    <row r="2845">
      <c r="A2845" s="4" t="n">
        <v>2844</v>
      </c>
      <c r="B2845" s="4" t="inlineStr">
        <is>
          <t>00128</t>
        </is>
      </c>
      <c r="C2845" s="4" t="inlineStr">
        <is>
          <t>00128</t>
        </is>
      </c>
      <c r="D2845" s="29" t="inlineStr">
        <is>
          <t>NURAY AVCI</t>
        </is>
      </c>
      <c r="E2845" s="4" t="inlineStr">
        <is>
          <t>Salı</t>
        </is>
      </c>
      <c r="F2845" s="4" t="inlineStr">
        <is>
          <t>20.10.2026</t>
        </is>
      </c>
      <c r="G2845" s="4" t="inlineStr">
        <is>
          <t>07:49</t>
        </is>
      </c>
      <c r="H2845" s="4" t="inlineStr">
        <is>
          <t>20.10.2026</t>
        </is>
      </c>
      <c r="I2845" s="4" t="inlineStr">
        <is>
          <t>16:59</t>
        </is>
      </c>
      <c r="J2845" s="8" t="n">
        <v>7.5</v>
      </c>
      <c r="K2845" s="8" t="n">
        <v>7.5</v>
      </c>
      <c r="L2845" s="8" t="n">
        <v>0</v>
      </c>
      <c r="M2845" s="29" t="inlineStr">
        <is>
          <t>BALIKESİR</t>
        </is>
      </c>
    </row>
    <row r="2846">
      <c r="A2846" s="4" t="n">
        <v>2845</v>
      </c>
      <c r="B2846" s="4" t="inlineStr">
        <is>
          <t>00128</t>
        </is>
      </c>
      <c r="C2846" s="4" t="inlineStr">
        <is>
          <t>00128</t>
        </is>
      </c>
      <c r="D2846" s="29" t="inlineStr">
        <is>
          <t>NURAY AVCI</t>
        </is>
      </c>
      <c r="E2846" s="4" t="inlineStr">
        <is>
          <t>Çarşamba</t>
        </is>
      </c>
      <c r="F2846" s="4" t="inlineStr">
        <is>
          <t>21.10.2026</t>
        </is>
      </c>
      <c r="G2846" s="4" t="inlineStr">
        <is>
          <t>07:50</t>
        </is>
      </c>
      <c r="H2846" s="4" t="inlineStr">
        <is>
          <t>21.10.2026</t>
        </is>
      </c>
      <c r="I2846" s="4" t="inlineStr">
        <is>
          <t>16:59</t>
        </is>
      </c>
      <c r="J2846" s="8" t="n">
        <v>7.5</v>
      </c>
      <c r="K2846" s="8" t="n">
        <v>7.5</v>
      </c>
      <c r="L2846" s="8" t="n">
        <v>0</v>
      </c>
      <c r="M2846" s="29" t="inlineStr">
        <is>
          <t>BALIKESİR</t>
        </is>
      </c>
    </row>
    <row r="2847">
      <c r="A2847" s="4" t="n">
        <v>2846</v>
      </c>
      <c r="B2847" s="4" t="inlineStr">
        <is>
          <t>00129</t>
        </is>
      </c>
      <c r="C2847" s="4" t="inlineStr">
        <is>
          <t>00129</t>
        </is>
      </c>
      <c r="D2847" s="29" t="inlineStr">
        <is>
          <t>NURAY ELİSÇIKIŞ</t>
        </is>
      </c>
      <c r="E2847" s="4" t="inlineStr">
        <is>
          <t>Perşembe</t>
        </is>
      </c>
      <c r="F2847" s="4" t="inlineStr">
        <is>
          <t>1.10.2026</t>
        </is>
      </c>
      <c r="G2847" s="4" t="inlineStr">
        <is>
          <t>07:51</t>
        </is>
      </c>
      <c r="H2847" s="4" t="inlineStr">
        <is>
          <t>1.10.2026</t>
        </is>
      </c>
      <c r="I2847" s="4" t="inlineStr">
        <is>
          <t>17:23</t>
        </is>
      </c>
      <c r="J2847" s="8" t="n">
        <v>8</v>
      </c>
      <c r="K2847" s="8" t="n">
        <v>7.5</v>
      </c>
      <c r="L2847" s="8" t="n">
        <v>0.5</v>
      </c>
      <c r="M2847" s="29" t="inlineStr">
        <is>
          <t>BALIKESİR</t>
        </is>
      </c>
    </row>
    <row r="2848">
      <c r="A2848" s="4" t="n">
        <v>2847</v>
      </c>
      <c r="B2848" s="4" t="inlineStr">
        <is>
          <t>00129</t>
        </is>
      </c>
      <c r="C2848" s="4" t="inlineStr">
        <is>
          <t>00129</t>
        </is>
      </c>
      <c r="D2848" s="29" t="inlineStr">
        <is>
          <t>NURAY ELİSÇIKIŞ</t>
        </is>
      </c>
      <c r="E2848" s="4" t="inlineStr">
        <is>
          <t>Cuma</t>
        </is>
      </c>
      <c r="F2848" s="4" t="inlineStr">
        <is>
          <t>2.10.2026</t>
        </is>
      </c>
      <c r="G2848" s="4" t="inlineStr">
        <is>
          <t>07:56</t>
        </is>
      </c>
      <c r="H2848" s="4" t="inlineStr">
        <is>
          <t>2.10.2026</t>
        </is>
      </c>
      <c r="I2848" s="4" t="inlineStr">
        <is>
          <t>17:41</t>
        </is>
      </c>
      <c r="J2848" s="8" t="n">
        <v>8</v>
      </c>
      <c r="K2848" s="8" t="n">
        <v>7.5</v>
      </c>
      <c r="L2848" s="8" t="n">
        <v>0.5</v>
      </c>
      <c r="M2848" s="29" t="inlineStr">
        <is>
          <t>BALIKESİR</t>
        </is>
      </c>
    </row>
    <row r="2849">
      <c r="A2849" s="4" t="n">
        <v>2848</v>
      </c>
      <c r="B2849" s="4" t="inlineStr">
        <is>
          <t>00129</t>
        </is>
      </c>
      <c r="C2849" s="4" t="inlineStr">
        <is>
          <t>00129</t>
        </is>
      </c>
      <c r="D2849" s="29" t="inlineStr">
        <is>
          <t>NURAY ELİSÇIKIŞ</t>
        </is>
      </c>
      <c r="E2849" s="4" t="inlineStr">
        <is>
          <t>Cumartesi</t>
        </is>
      </c>
      <c r="F2849" s="4" t="inlineStr">
        <is>
          <t>3.10.2026</t>
        </is>
      </c>
      <c r="G2849" s="4" t="inlineStr">
        <is>
          <t>07:55</t>
        </is>
      </c>
      <c r="H2849" s="4" t="inlineStr">
        <is>
          <t>3.10.2026</t>
        </is>
      </c>
      <c r="I2849" s="4" t="inlineStr">
        <is>
          <t>17:31</t>
        </is>
      </c>
      <c r="J2849" s="8" t="n">
        <v>8</v>
      </c>
      <c r="K2849" s="8" t="n">
        <v>7.5</v>
      </c>
      <c r="L2849" s="8" t="n">
        <v>0.5</v>
      </c>
      <c r="M2849" s="29" t="inlineStr">
        <is>
          <t>BALIKESİR</t>
        </is>
      </c>
    </row>
    <row r="2850">
      <c r="A2850" s="4" t="n">
        <v>2849</v>
      </c>
      <c r="B2850" s="4" t="inlineStr">
        <is>
          <t>00129</t>
        </is>
      </c>
      <c r="C2850" s="4" t="inlineStr">
        <is>
          <t>00129</t>
        </is>
      </c>
      <c r="D2850" s="29" t="inlineStr">
        <is>
          <t>NURAY ELİSÇIKIŞ</t>
        </is>
      </c>
      <c r="E2850" s="4" t="inlineStr">
        <is>
          <t>Pazartesi</t>
        </is>
      </c>
      <c r="F2850" s="4" t="inlineStr">
        <is>
          <t>5.10.2026</t>
        </is>
      </c>
      <c r="G2850" s="4" t="inlineStr">
        <is>
          <t>07:52</t>
        </is>
      </c>
      <c r="H2850" s="4" t="inlineStr">
        <is>
          <t>5.10.2026</t>
        </is>
      </c>
      <c r="I2850" s="4" t="inlineStr">
        <is>
          <t>17:03</t>
        </is>
      </c>
      <c r="J2850" s="8" t="n">
        <v>7.5</v>
      </c>
      <c r="K2850" s="8" t="n">
        <v>7.5</v>
      </c>
      <c r="L2850" s="8" t="n">
        <v>0</v>
      </c>
      <c r="M2850" s="29" t="inlineStr">
        <is>
          <t>BALIKESİR</t>
        </is>
      </c>
    </row>
    <row r="2851">
      <c r="A2851" s="4" t="n">
        <v>2850</v>
      </c>
      <c r="B2851" s="4" t="inlineStr">
        <is>
          <t>00129</t>
        </is>
      </c>
      <c r="C2851" s="4" t="inlineStr">
        <is>
          <t>00129</t>
        </is>
      </c>
      <c r="D2851" s="29" t="inlineStr">
        <is>
          <t>NURAY ELİSÇIKIŞ</t>
        </is>
      </c>
      <c r="E2851" s="4" t="inlineStr">
        <is>
          <t>Salı</t>
        </is>
      </c>
      <c r="F2851" s="4" t="inlineStr">
        <is>
          <t>6.10.2026</t>
        </is>
      </c>
      <c r="G2851" s="4" t="inlineStr">
        <is>
          <t>07:52</t>
        </is>
      </c>
      <c r="H2851" s="4" t="inlineStr">
        <is>
          <t>6.10.2026</t>
        </is>
      </c>
      <c r="I2851" s="4" t="inlineStr">
        <is>
          <t>17:35</t>
        </is>
      </c>
      <c r="J2851" s="8" t="n">
        <v>8</v>
      </c>
      <c r="K2851" s="8" t="n">
        <v>7.5</v>
      </c>
      <c r="L2851" s="8" t="n">
        <v>0.5</v>
      </c>
      <c r="M2851" s="29" t="inlineStr">
        <is>
          <t>BALIKESİR</t>
        </is>
      </c>
    </row>
    <row r="2852">
      <c r="A2852" s="4" t="n">
        <v>2851</v>
      </c>
      <c r="B2852" s="4" t="inlineStr">
        <is>
          <t>00129</t>
        </is>
      </c>
      <c r="C2852" s="4" t="inlineStr">
        <is>
          <t>00129</t>
        </is>
      </c>
      <c r="D2852" s="29" t="inlineStr">
        <is>
          <t>NURAY ELİSÇIKIŞ</t>
        </is>
      </c>
      <c r="E2852" s="4" t="inlineStr">
        <is>
          <t>Çarşamba</t>
        </is>
      </c>
      <c r="F2852" s="4" t="inlineStr">
        <is>
          <t>7.10.2026</t>
        </is>
      </c>
      <c r="G2852" s="4" t="inlineStr">
        <is>
          <t>07:49</t>
        </is>
      </c>
      <c r="H2852" s="4" t="inlineStr">
        <is>
          <t>7.10.2026</t>
        </is>
      </c>
      <c r="I2852" s="4" t="inlineStr">
        <is>
          <t>17:19</t>
        </is>
      </c>
      <c r="J2852" s="8" t="n">
        <v>7.5</v>
      </c>
      <c r="K2852" s="8" t="n">
        <v>7.5</v>
      </c>
      <c r="L2852" s="8" t="n">
        <v>0</v>
      </c>
      <c r="M2852" s="29" t="inlineStr">
        <is>
          <t>BALIKESİR</t>
        </is>
      </c>
    </row>
    <row r="2853">
      <c r="A2853" s="4" t="n">
        <v>2852</v>
      </c>
      <c r="B2853" s="4" t="inlineStr">
        <is>
          <t>00129</t>
        </is>
      </c>
      <c r="C2853" s="4" t="inlineStr">
        <is>
          <t>00129</t>
        </is>
      </c>
      <c r="D2853" s="29" t="inlineStr">
        <is>
          <t>NURAY ELİSÇIKIŞ</t>
        </is>
      </c>
      <c r="E2853" s="4" t="inlineStr">
        <is>
          <t>Perşembe</t>
        </is>
      </c>
      <c r="F2853" s="4" t="inlineStr">
        <is>
          <t>8.10.2026</t>
        </is>
      </c>
      <c r="G2853" s="4" t="inlineStr">
        <is>
          <t>07:51</t>
        </is>
      </c>
      <c r="H2853" s="4" t="inlineStr">
        <is>
          <t>8.10.2026</t>
        </is>
      </c>
      <c r="I2853" s="4" t="inlineStr">
        <is>
          <t>17:30</t>
        </is>
      </c>
      <c r="J2853" s="8" t="n">
        <v>8</v>
      </c>
      <c r="K2853" s="8" t="n">
        <v>7.5</v>
      </c>
      <c r="L2853" s="8" t="n">
        <v>0.5</v>
      </c>
      <c r="M2853" s="29" t="inlineStr">
        <is>
          <t>BALIKESİR</t>
        </is>
      </c>
    </row>
    <row r="2854">
      <c r="A2854" s="4" t="n">
        <v>2853</v>
      </c>
      <c r="B2854" s="4" t="inlineStr">
        <is>
          <t>00129</t>
        </is>
      </c>
      <c r="C2854" s="4" t="inlineStr">
        <is>
          <t>00129</t>
        </is>
      </c>
      <c r="D2854" s="29" t="inlineStr">
        <is>
          <t>NURAY ELİSÇIKIŞ</t>
        </is>
      </c>
      <c r="E2854" s="4" t="inlineStr">
        <is>
          <t>Cuma</t>
        </is>
      </c>
      <c r="F2854" s="4" t="inlineStr">
        <is>
          <t>9.10.2026</t>
        </is>
      </c>
      <c r="G2854" s="4" t="inlineStr">
        <is>
          <t>07:51</t>
        </is>
      </c>
      <c r="H2854" s="4" t="inlineStr">
        <is>
          <t>9.10.2026</t>
        </is>
      </c>
      <c r="I2854" s="4" t="inlineStr">
        <is>
          <t>17:38</t>
        </is>
      </c>
      <c r="J2854" s="8" t="n">
        <v>8</v>
      </c>
      <c r="K2854" s="8" t="n">
        <v>7.5</v>
      </c>
      <c r="L2854" s="8" t="n">
        <v>0.5</v>
      </c>
      <c r="M2854" s="29" t="inlineStr">
        <is>
          <t>BALIKESİR</t>
        </is>
      </c>
    </row>
    <row r="2855">
      <c r="A2855" s="4" t="n">
        <v>2854</v>
      </c>
      <c r="B2855" s="4" t="inlineStr">
        <is>
          <t>00129</t>
        </is>
      </c>
      <c r="C2855" s="4" t="inlineStr">
        <is>
          <t>00129</t>
        </is>
      </c>
      <c r="D2855" s="29" t="inlineStr">
        <is>
          <t>NURAY ELİSÇIKIŞ</t>
        </is>
      </c>
      <c r="E2855" s="4" t="inlineStr">
        <is>
          <t>Cumartesi</t>
        </is>
      </c>
      <c r="F2855" s="4" t="inlineStr">
        <is>
          <t>10.10.2026</t>
        </is>
      </c>
      <c r="G2855" s="4" t="inlineStr">
        <is>
          <t>07:55</t>
        </is>
      </c>
      <c r="H2855" s="4" t="inlineStr">
        <is>
          <t>10.10.2026</t>
        </is>
      </c>
      <c r="I2855" s="4" t="inlineStr">
        <is>
          <t>18:05</t>
        </is>
      </c>
      <c r="J2855" s="8" t="n">
        <v>8.5</v>
      </c>
      <c r="K2855" s="8" t="n">
        <v>7.5</v>
      </c>
      <c r="L2855" s="8" t="n">
        <v>1</v>
      </c>
      <c r="M2855" s="29" t="inlineStr">
        <is>
          <t>BALIKESİR</t>
        </is>
      </c>
    </row>
    <row r="2856">
      <c r="A2856" s="4" t="n">
        <v>2855</v>
      </c>
      <c r="B2856" s="4" t="inlineStr">
        <is>
          <t>00129</t>
        </is>
      </c>
      <c r="C2856" s="4" t="inlineStr">
        <is>
          <t>00129</t>
        </is>
      </c>
      <c r="D2856" s="29" t="inlineStr">
        <is>
          <t>NURAY ELİSÇIKIŞ</t>
        </is>
      </c>
      <c r="E2856" s="4" t="inlineStr">
        <is>
          <t>Pazartesi</t>
        </is>
      </c>
      <c r="F2856" s="4" t="inlineStr">
        <is>
          <t>12.10.2026</t>
        </is>
      </c>
      <c r="G2856" s="4" t="inlineStr">
        <is>
          <t>07:52</t>
        </is>
      </c>
      <c r="H2856" s="4" t="inlineStr">
        <is>
          <t>12.10.2026</t>
        </is>
      </c>
      <c r="I2856" s="4" t="inlineStr">
        <is>
          <t>17:02</t>
        </is>
      </c>
      <c r="J2856" s="8" t="n">
        <v>7.5</v>
      </c>
      <c r="K2856" s="8" t="n">
        <v>7.5</v>
      </c>
      <c r="L2856" s="8" t="n">
        <v>0</v>
      </c>
      <c r="M2856" s="29" t="inlineStr">
        <is>
          <t>BALIKESİR</t>
        </is>
      </c>
    </row>
    <row r="2857">
      <c r="A2857" s="4" t="n">
        <v>2856</v>
      </c>
      <c r="B2857" s="4" t="inlineStr">
        <is>
          <t>00129</t>
        </is>
      </c>
      <c r="C2857" s="4" t="inlineStr">
        <is>
          <t>00129</t>
        </is>
      </c>
      <c r="D2857" s="29" t="inlineStr">
        <is>
          <t>NURAY ELİSÇIKIŞ</t>
        </is>
      </c>
      <c r="E2857" s="4" t="inlineStr">
        <is>
          <t>Salı</t>
        </is>
      </c>
      <c r="F2857" s="4" t="inlineStr">
        <is>
          <t>13.10.2026</t>
        </is>
      </c>
      <c r="G2857" s="4" t="inlineStr">
        <is>
          <t>07:50</t>
        </is>
      </c>
      <c r="H2857" s="4" t="inlineStr">
        <is>
          <t>13.10.2026</t>
        </is>
      </c>
      <c r="I2857" s="4" t="inlineStr">
        <is>
          <t>17:05</t>
        </is>
      </c>
      <c r="J2857" s="8" t="n">
        <v>7.5</v>
      </c>
      <c r="K2857" s="8" t="n">
        <v>7.5</v>
      </c>
      <c r="L2857" s="8" t="n">
        <v>0</v>
      </c>
      <c r="M2857" s="29" t="inlineStr">
        <is>
          <t>BALIKESİR</t>
        </is>
      </c>
    </row>
    <row r="2858">
      <c r="A2858" s="4" t="n">
        <v>2857</v>
      </c>
      <c r="B2858" s="4" t="inlineStr">
        <is>
          <t>00129</t>
        </is>
      </c>
      <c r="C2858" s="4" t="inlineStr">
        <is>
          <t>00129</t>
        </is>
      </c>
      <c r="D2858" s="29" t="inlineStr">
        <is>
          <t>NURAY ELİSÇIKIŞ</t>
        </is>
      </c>
      <c r="E2858" s="4" t="inlineStr">
        <is>
          <t>Çarşamba</t>
        </is>
      </c>
      <c r="F2858" s="4" t="inlineStr">
        <is>
          <t>14.10.2026</t>
        </is>
      </c>
      <c r="G2858" s="4" t="inlineStr">
        <is>
          <t>07:49</t>
        </is>
      </c>
      <c r="H2858" s="4" t="inlineStr">
        <is>
          <t>14.10.2026</t>
        </is>
      </c>
      <c r="I2858" s="4" t="inlineStr">
        <is>
          <t>18:01</t>
        </is>
      </c>
      <c r="J2858" s="8" t="n">
        <v>8.5</v>
      </c>
      <c r="K2858" s="8" t="n">
        <v>7.5</v>
      </c>
      <c r="L2858" s="8" t="n">
        <v>1</v>
      </c>
      <c r="M2858" s="29" t="inlineStr">
        <is>
          <t>BALIKESİR</t>
        </is>
      </c>
    </row>
    <row r="2859">
      <c r="A2859" s="4" t="n">
        <v>2858</v>
      </c>
      <c r="B2859" s="4" t="inlineStr">
        <is>
          <t>00129</t>
        </is>
      </c>
      <c r="C2859" s="4" t="inlineStr">
        <is>
          <t>00129</t>
        </is>
      </c>
      <c r="D2859" s="29" t="inlineStr">
        <is>
          <t>NURAY ELİSÇIKIŞ</t>
        </is>
      </c>
      <c r="E2859" s="4" t="inlineStr">
        <is>
          <t>Perşembe</t>
        </is>
      </c>
      <c r="F2859" s="4" t="inlineStr">
        <is>
          <t>15.10.2026</t>
        </is>
      </c>
      <c r="G2859" s="4" t="inlineStr">
        <is>
          <t>07:54</t>
        </is>
      </c>
      <c r="H2859" s="4" t="inlineStr">
        <is>
          <t>15.10.2026</t>
        </is>
      </c>
      <c r="I2859" s="4" t="inlineStr">
        <is>
          <t>17:02</t>
        </is>
      </c>
      <c r="J2859" s="8" t="n">
        <v>7.5</v>
      </c>
      <c r="K2859" s="8" t="n">
        <v>7.5</v>
      </c>
      <c r="L2859" s="8" t="n">
        <v>0</v>
      </c>
      <c r="M2859" s="29" t="inlineStr">
        <is>
          <t>BALIKESİR</t>
        </is>
      </c>
    </row>
    <row r="2860">
      <c r="A2860" s="4" t="n">
        <v>2859</v>
      </c>
      <c r="B2860" s="4" t="inlineStr">
        <is>
          <t>00129</t>
        </is>
      </c>
      <c r="C2860" s="4" t="inlineStr">
        <is>
          <t>00129</t>
        </is>
      </c>
      <c r="D2860" s="29" t="inlineStr">
        <is>
          <t>NURAY ELİSÇIKIŞ</t>
        </is>
      </c>
      <c r="E2860" s="4" t="inlineStr">
        <is>
          <t>Cuma</t>
        </is>
      </c>
      <c r="F2860" s="4" t="inlineStr">
        <is>
          <t>16.10.2026</t>
        </is>
      </c>
      <c r="G2860" s="4" t="inlineStr">
        <is>
          <t>07:50</t>
        </is>
      </c>
      <c r="H2860" s="4" t="inlineStr">
        <is>
          <t>16.10.2026</t>
        </is>
      </c>
      <c r="I2860" s="4" t="inlineStr">
        <is>
          <t>17:12</t>
        </is>
      </c>
      <c r="J2860" s="8" t="n">
        <v>7.5</v>
      </c>
      <c r="K2860" s="8" t="n">
        <v>7.5</v>
      </c>
      <c r="L2860" s="8" t="n">
        <v>0</v>
      </c>
      <c r="M2860" s="29" t="inlineStr">
        <is>
          <t>BALIKESİR</t>
        </is>
      </c>
    </row>
    <row r="2861">
      <c r="A2861" s="4" t="n">
        <v>2860</v>
      </c>
      <c r="B2861" s="4" t="inlineStr">
        <is>
          <t>00129</t>
        </is>
      </c>
      <c r="C2861" s="4" t="inlineStr">
        <is>
          <t>00129</t>
        </is>
      </c>
      <c r="D2861" s="29" t="inlineStr">
        <is>
          <t>NURAY ELİSÇIKIŞ</t>
        </is>
      </c>
      <c r="E2861" s="4" t="inlineStr">
        <is>
          <t>Cumartesi</t>
        </is>
      </c>
      <c r="F2861" s="4" t="inlineStr">
        <is>
          <t>17.10.2026</t>
        </is>
      </c>
      <c r="G2861" s="4" t="inlineStr">
        <is>
          <t>07:58</t>
        </is>
      </c>
      <c r="H2861" s="4" t="inlineStr">
        <is>
          <t>17.10.2026</t>
        </is>
      </c>
      <c r="I2861" s="4" t="inlineStr">
        <is>
          <t>17:46</t>
        </is>
      </c>
      <c r="J2861" s="8" t="n">
        <v>8.5</v>
      </c>
      <c r="K2861" s="8" t="n">
        <v>7.5</v>
      </c>
      <c r="L2861" s="8" t="n">
        <v>1</v>
      </c>
      <c r="M2861" s="29" t="inlineStr">
        <is>
          <t>BALIKESİR</t>
        </is>
      </c>
    </row>
    <row r="2862">
      <c r="A2862" s="4" t="n">
        <v>2861</v>
      </c>
      <c r="B2862" s="4" t="inlineStr">
        <is>
          <t>00129</t>
        </is>
      </c>
      <c r="C2862" s="4" t="inlineStr">
        <is>
          <t>00129</t>
        </is>
      </c>
      <c r="D2862" s="29" t="inlineStr">
        <is>
          <t>NURAY ELİSÇIKIŞ</t>
        </is>
      </c>
      <c r="E2862" s="4" t="inlineStr">
        <is>
          <t>Pazartesi</t>
        </is>
      </c>
      <c r="F2862" s="4" t="inlineStr">
        <is>
          <t>19.10.2026</t>
        </is>
      </c>
      <c r="G2862" s="4" t="inlineStr">
        <is>
          <t>07:51</t>
        </is>
      </c>
      <c r="H2862" s="4" t="inlineStr">
        <is>
          <t>19.10.2026</t>
        </is>
      </c>
      <c r="I2862" s="4" t="inlineStr">
        <is>
          <t>17:40</t>
        </is>
      </c>
      <c r="J2862" s="8" t="n">
        <v>8</v>
      </c>
      <c r="K2862" s="8" t="n">
        <v>7.5</v>
      </c>
      <c r="L2862" s="8" t="n">
        <v>0.5</v>
      </c>
      <c r="M2862" s="29" t="inlineStr">
        <is>
          <t>BALIKESİR</t>
        </is>
      </c>
    </row>
    <row r="2863">
      <c r="A2863" s="4" t="n">
        <v>2862</v>
      </c>
      <c r="B2863" s="4" t="inlineStr">
        <is>
          <t>00129</t>
        </is>
      </c>
      <c r="C2863" s="4" t="inlineStr">
        <is>
          <t>00129</t>
        </is>
      </c>
      <c r="D2863" s="29" t="inlineStr">
        <is>
          <t>NURAY ELİSÇIKIŞ</t>
        </is>
      </c>
      <c r="E2863" s="4" t="inlineStr">
        <is>
          <t>Salı</t>
        </is>
      </c>
      <c r="F2863" s="4" t="inlineStr">
        <is>
          <t>20.10.2026</t>
        </is>
      </c>
      <c r="G2863" s="4" t="inlineStr">
        <is>
          <t>07:48</t>
        </is>
      </c>
      <c r="H2863" s="4" t="inlineStr">
        <is>
          <t>20.10.2026</t>
        </is>
      </c>
      <c r="I2863" s="4" t="inlineStr">
        <is>
          <t>17:05</t>
        </is>
      </c>
      <c r="J2863" s="8" t="n">
        <v>7.5</v>
      </c>
      <c r="K2863" s="8" t="n">
        <v>7.5</v>
      </c>
      <c r="L2863" s="8" t="n">
        <v>0</v>
      </c>
      <c r="M2863" s="29" t="inlineStr">
        <is>
          <t>BALIKESİR</t>
        </is>
      </c>
    </row>
    <row r="2864">
      <c r="A2864" s="4" t="n">
        <v>2863</v>
      </c>
      <c r="B2864" s="4" t="inlineStr">
        <is>
          <t>00129</t>
        </is>
      </c>
      <c r="C2864" s="4" t="inlineStr">
        <is>
          <t>00129</t>
        </is>
      </c>
      <c r="D2864" s="29" t="inlineStr">
        <is>
          <t>NURAY ELİSÇIKIŞ</t>
        </is>
      </c>
      <c r="E2864" s="4" t="inlineStr">
        <is>
          <t>Çarşamba</t>
        </is>
      </c>
      <c r="F2864" s="4" t="inlineStr">
        <is>
          <t>21.10.2026</t>
        </is>
      </c>
      <c r="G2864" s="4" t="inlineStr">
        <is>
          <t>07:50</t>
        </is>
      </c>
      <c r="H2864" s="4" t="inlineStr">
        <is>
          <t>21.10.2026</t>
        </is>
      </c>
      <c r="I2864" s="4" t="inlineStr">
        <is>
          <t>17:00</t>
        </is>
      </c>
      <c r="J2864" s="8" t="n">
        <v>7.5</v>
      </c>
      <c r="K2864" s="8" t="n">
        <v>7.5</v>
      </c>
      <c r="L2864" s="8" t="n">
        <v>0</v>
      </c>
      <c r="M2864" s="29" t="inlineStr">
        <is>
          <t>BALIKESİR</t>
        </is>
      </c>
    </row>
    <row r="2865">
      <c r="A2865" s="4" t="n">
        <v>2864</v>
      </c>
      <c r="B2865" s="4" t="inlineStr">
        <is>
          <t>00236</t>
        </is>
      </c>
      <c r="C2865" s="4" t="inlineStr">
        <is>
          <t>00236</t>
        </is>
      </c>
      <c r="D2865" s="29" t="inlineStr">
        <is>
          <t>NURCAN EREN</t>
        </is>
      </c>
      <c r="E2865" s="4" t="inlineStr">
        <is>
          <t>Perşembe</t>
        </is>
      </c>
      <c r="F2865" s="4" t="inlineStr">
        <is>
          <t>1.10.2026</t>
        </is>
      </c>
      <c r="G2865" s="4" t="inlineStr">
        <is>
          <t>07:51</t>
        </is>
      </c>
      <c r="H2865" s="4" t="inlineStr">
        <is>
          <t>1.10.2026</t>
        </is>
      </c>
      <c r="I2865" s="4" t="inlineStr">
        <is>
          <t>17:24</t>
        </is>
      </c>
      <c r="J2865" s="8" t="n">
        <v>8</v>
      </c>
      <c r="K2865" s="8" t="n">
        <v>7.5</v>
      </c>
      <c r="L2865" s="8" t="n">
        <v>0.5</v>
      </c>
      <c r="M2865" s="29" t="inlineStr">
        <is>
          <t>BALIKESİR</t>
        </is>
      </c>
    </row>
    <row r="2866">
      <c r="A2866" s="4" t="n">
        <v>2865</v>
      </c>
      <c r="B2866" s="4" t="inlineStr">
        <is>
          <t>00236</t>
        </is>
      </c>
      <c r="C2866" s="4" t="inlineStr">
        <is>
          <t>00236</t>
        </is>
      </c>
      <c r="D2866" s="29" t="inlineStr">
        <is>
          <t>NURCAN EREN</t>
        </is>
      </c>
      <c r="E2866" s="4" t="inlineStr">
        <is>
          <t>Cuma</t>
        </is>
      </c>
      <c r="F2866" s="4" t="inlineStr">
        <is>
          <t>2.10.2026</t>
        </is>
      </c>
      <c r="G2866" s="4" t="inlineStr">
        <is>
          <t>07:56</t>
        </is>
      </c>
      <c r="H2866" s="4" t="inlineStr">
        <is>
          <t>2.10.2026</t>
        </is>
      </c>
      <c r="I2866" s="4" t="inlineStr">
        <is>
          <t>17:43</t>
        </is>
      </c>
      <c r="J2866" s="8" t="n">
        <v>8</v>
      </c>
      <c r="K2866" s="8" t="n">
        <v>7.5</v>
      </c>
      <c r="L2866" s="8" t="n">
        <v>0.5</v>
      </c>
      <c r="M2866" s="29" t="inlineStr">
        <is>
          <t>BALIKESİR</t>
        </is>
      </c>
    </row>
    <row r="2867">
      <c r="A2867" s="4" t="n">
        <v>2866</v>
      </c>
      <c r="B2867" s="4" t="inlineStr">
        <is>
          <t>00236</t>
        </is>
      </c>
      <c r="C2867" s="4" t="inlineStr">
        <is>
          <t>00236</t>
        </is>
      </c>
      <c r="D2867" s="29" t="inlineStr">
        <is>
          <t>NURCAN EREN</t>
        </is>
      </c>
      <c r="E2867" s="4" t="inlineStr">
        <is>
          <t>Cumartesi</t>
        </is>
      </c>
      <c r="F2867" s="4" t="inlineStr">
        <is>
          <t>3.10.2026</t>
        </is>
      </c>
      <c r="G2867" s="4" t="inlineStr">
        <is>
          <t>07:56</t>
        </is>
      </c>
      <c r="H2867" s="4" t="inlineStr">
        <is>
          <t>3.10.2026</t>
        </is>
      </c>
      <c r="I2867" s="4" t="inlineStr">
        <is>
          <t>17:33</t>
        </is>
      </c>
      <c r="J2867" s="8" t="n">
        <v>8</v>
      </c>
      <c r="K2867" s="8" t="n">
        <v>7.5</v>
      </c>
      <c r="L2867" s="8" t="n">
        <v>0.5</v>
      </c>
      <c r="M2867" s="29" t="inlineStr">
        <is>
          <t>BALIKESİR</t>
        </is>
      </c>
    </row>
    <row r="2868">
      <c r="A2868" s="4" t="n">
        <v>2867</v>
      </c>
      <c r="B2868" s="4" t="inlineStr">
        <is>
          <t>00236</t>
        </is>
      </c>
      <c r="C2868" s="4" t="inlineStr">
        <is>
          <t>00236</t>
        </is>
      </c>
      <c r="D2868" s="29" t="inlineStr">
        <is>
          <t>NURCAN EREN</t>
        </is>
      </c>
      <c r="E2868" s="4" t="inlineStr">
        <is>
          <t>Pazartesi</t>
        </is>
      </c>
      <c r="F2868" s="4" t="inlineStr">
        <is>
          <t>5.10.2026</t>
        </is>
      </c>
      <c r="G2868" s="4" t="inlineStr">
        <is>
          <t>07:52</t>
        </is>
      </c>
      <c r="H2868" s="4" t="inlineStr">
        <is>
          <t>5.10.2026</t>
        </is>
      </c>
      <c r="I2868" s="4" t="inlineStr">
        <is>
          <t>17:01</t>
        </is>
      </c>
      <c r="J2868" s="8" t="n">
        <v>7.5</v>
      </c>
      <c r="K2868" s="8" t="n">
        <v>7.5</v>
      </c>
      <c r="L2868" s="8" t="n">
        <v>0</v>
      </c>
      <c r="M2868" s="29" t="inlineStr">
        <is>
          <t>BALIKESİR</t>
        </is>
      </c>
    </row>
    <row r="2869">
      <c r="A2869" s="4" t="n">
        <v>2868</v>
      </c>
      <c r="B2869" s="4" t="inlineStr">
        <is>
          <t>00236</t>
        </is>
      </c>
      <c r="C2869" s="4" t="inlineStr">
        <is>
          <t>00236</t>
        </is>
      </c>
      <c r="D2869" s="29" t="inlineStr">
        <is>
          <t>NURCAN EREN</t>
        </is>
      </c>
      <c r="E2869" s="4" t="inlineStr">
        <is>
          <t>Çarşamba</t>
        </is>
      </c>
      <c r="F2869" s="4" t="inlineStr">
        <is>
          <t>7.10.2026</t>
        </is>
      </c>
      <c r="G2869" s="4" t="inlineStr">
        <is>
          <t>07:49</t>
        </is>
      </c>
      <c r="H2869" s="4" t="inlineStr">
        <is>
          <t>7.10.2026</t>
        </is>
      </c>
      <c r="I2869" s="4" t="inlineStr">
        <is>
          <t>17:21</t>
        </is>
      </c>
      <c r="J2869" s="8" t="n">
        <v>8</v>
      </c>
      <c r="K2869" s="8" t="n">
        <v>7.5</v>
      </c>
      <c r="L2869" s="8" t="n">
        <v>0.5</v>
      </c>
      <c r="M2869" s="29" t="inlineStr">
        <is>
          <t>BALIKESİR</t>
        </is>
      </c>
    </row>
    <row r="2870">
      <c r="A2870" s="4" t="n">
        <v>2869</v>
      </c>
      <c r="B2870" s="4" t="inlineStr">
        <is>
          <t>00236</t>
        </is>
      </c>
      <c r="C2870" s="4" t="inlineStr">
        <is>
          <t>00236</t>
        </is>
      </c>
      <c r="D2870" s="29" t="inlineStr">
        <is>
          <t>NURCAN EREN</t>
        </is>
      </c>
      <c r="E2870" s="4" t="inlineStr">
        <is>
          <t>Perşembe</t>
        </is>
      </c>
      <c r="F2870" s="4" t="inlineStr">
        <is>
          <t>8.10.2026</t>
        </is>
      </c>
      <c r="G2870" s="4" t="inlineStr">
        <is>
          <t>07:51</t>
        </is>
      </c>
      <c r="H2870" s="4" t="inlineStr">
        <is>
          <t>8.10.2026</t>
        </is>
      </c>
      <c r="I2870" s="4" t="inlineStr">
        <is>
          <t>17:31</t>
        </is>
      </c>
      <c r="J2870" s="8" t="n">
        <v>8</v>
      </c>
      <c r="K2870" s="8" t="n">
        <v>7.5</v>
      </c>
      <c r="L2870" s="8" t="n">
        <v>0.5</v>
      </c>
      <c r="M2870" s="29" t="inlineStr">
        <is>
          <t>BALIKESİR</t>
        </is>
      </c>
    </row>
    <row r="2871">
      <c r="A2871" s="4" t="n">
        <v>2870</v>
      </c>
      <c r="B2871" s="4" t="inlineStr">
        <is>
          <t>00236</t>
        </is>
      </c>
      <c r="C2871" s="4" t="inlineStr">
        <is>
          <t>00236</t>
        </is>
      </c>
      <c r="D2871" s="29" t="inlineStr">
        <is>
          <t>NURCAN EREN</t>
        </is>
      </c>
      <c r="E2871" s="4" t="inlineStr">
        <is>
          <t>Cuma</t>
        </is>
      </c>
      <c r="F2871" s="4" t="inlineStr">
        <is>
          <t>9.10.2026</t>
        </is>
      </c>
      <c r="G2871" s="4" t="inlineStr">
        <is>
          <t>07:50</t>
        </is>
      </c>
      <c r="H2871" s="4" t="inlineStr">
        <is>
          <t>9.10.2026</t>
        </is>
      </c>
      <c r="I2871" s="4" t="inlineStr">
        <is>
          <t>17:40</t>
        </is>
      </c>
      <c r="J2871" s="8" t="n">
        <v>8</v>
      </c>
      <c r="K2871" s="8" t="n">
        <v>7.5</v>
      </c>
      <c r="L2871" s="8" t="n">
        <v>0.5</v>
      </c>
      <c r="M2871" s="29" t="inlineStr">
        <is>
          <t>BALIKESİR</t>
        </is>
      </c>
    </row>
    <row r="2872">
      <c r="A2872" s="4" t="n">
        <v>2871</v>
      </c>
      <c r="B2872" s="4" t="inlineStr">
        <is>
          <t>00236</t>
        </is>
      </c>
      <c r="C2872" s="4" t="inlineStr">
        <is>
          <t>00236</t>
        </is>
      </c>
      <c r="D2872" s="29" t="inlineStr">
        <is>
          <t>NURCAN EREN</t>
        </is>
      </c>
      <c r="E2872" s="4" t="inlineStr">
        <is>
          <t>Cumartesi</t>
        </is>
      </c>
      <c r="F2872" s="4" t="inlineStr">
        <is>
          <t>10.10.2026</t>
        </is>
      </c>
      <c r="G2872" s="4" t="inlineStr">
        <is>
          <t>07:54</t>
        </is>
      </c>
      <c r="H2872" s="4" t="inlineStr">
        <is>
          <t>10.10.2026</t>
        </is>
      </c>
      <c r="I2872" s="4" t="inlineStr">
        <is>
          <t>18:07</t>
        </is>
      </c>
      <c r="J2872" s="8" t="n">
        <v>8.5</v>
      </c>
      <c r="K2872" s="8" t="n">
        <v>7.5</v>
      </c>
      <c r="L2872" s="8" t="n">
        <v>1</v>
      </c>
      <c r="M2872" s="29" t="inlineStr">
        <is>
          <t>BALIKESİR</t>
        </is>
      </c>
    </row>
    <row r="2873">
      <c r="A2873" s="4" t="n">
        <v>2872</v>
      </c>
      <c r="B2873" s="4" t="inlineStr">
        <is>
          <t>00236</t>
        </is>
      </c>
      <c r="C2873" s="4" t="inlineStr">
        <is>
          <t>00236</t>
        </is>
      </c>
      <c r="D2873" s="29" t="inlineStr">
        <is>
          <t>NURCAN EREN</t>
        </is>
      </c>
      <c r="E2873" s="4" t="inlineStr">
        <is>
          <t>Pazartesi</t>
        </is>
      </c>
      <c r="F2873" s="4" t="inlineStr">
        <is>
          <t>12.10.2026</t>
        </is>
      </c>
      <c r="G2873" s="4" t="inlineStr">
        <is>
          <t>07:52</t>
        </is>
      </c>
      <c r="H2873" s="4" t="inlineStr">
        <is>
          <t>12.10.2026</t>
        </is>
      </c>
      <c r="I2873" s="4" t="inlineStr">
        <is>
          <t>17:00</t>
        </is>
      </c>
      <c r="J2873" s="8" t="n">
        <v>7.5</v>
      </c>
      <c r="K2873" s="8" t="n">
        <v>7.5</v>
      </c>
      <c r="L2873" s="8" t="n">
        <v>0</v>
      </c>
      <c r="M2873" s="29" t="inlineStr">
        <is>
          <t>BALIKESİR</t>
        </is>
      </c>
    </row>
    <row r="2874">
      <c r="A2874" s="4" t="n">
        <v>2873</v>
      </c>
      <c r="B2874" s="4" t="inlineStr">
        <is>
          <t>00236</t>
        </is>
      </c>
      <c r="C2874" s="4" t="inlineStr">
        <is>
          <t>00236</t>
        </is>
      </c>
      <c r="D2874" s="29" t="inlineStr">
        <is>
          <t>NURCAN EREN</t>
        </is>
      </c>
      <c r="E2874" s="4" t="inlineStr">
        <is>
          <t>Salı</t>
        </is>
      </c>
      <c r="F2874" s="4" t="inlineStr">
        <is>
          <t>13.10.2026</t>
        </is>
      </c>
      <c r="G2874" s="4" t="inlineStr">
        <is>
          <t>07:50</t>
        </is>
      </c>
      <c r="H2874" s="4" t="inlineStr">
        <is>
          <t>13.10.2026</t>
        </is>
      </c>
      <c r="I2874" s="4" t="inlineStr">
        <is>
          <t>16:59</t>
        </is>
      </c>
      <c r="J2874" s="8" t="n">
        <v>7.5</v>
      </c>
      <c r="K2874" s="8" t="n">
        <v>7.5</v>
      </c>
      <c r="L2874" s="8" t="n">
        <v>0</v>
      </c>
      <c r="M2874" s="29" t="inlineStr">
        <is>
          <t>BALIKESİR</t>
        </is>
      </c>
    </row>
    <row r="2875">
      <c r="A2875" s="4" t="n">
        <v>2874</v>
      </c>
      <c r="B2875" s="4" t="inlineStr">
        <is>
          <t>00236</t>
        </is>
      </c>
      <c r="C2875" s="4" t="inlineStr">
        <is>
          <t>00236</t>
        </is>
      </c>
      <c r="D2875" s="29" t="inlineStr">
        <is>
          <t>NURCAN EREN</t>
        </is>
      </c>
      <c r="E2875" s="4" t="inlineStr">
        <is>
          <t>Çarşamba</t>
        </is>
      </c>
      <c r="F2875" s="4" t="inlineStr">
        <is>
          <t>14.10.2026</t>
        </is>
      </c>
      <c r="G2875" s="4" t="inlineStr">
        <is>
          <t>07:50</t>
        </is>
      </c>
      <c r="H2875" s="4" t="inlineStr">
        <is>
          <t>14.10.2026</t>
        </is>
      </c>
      <c r="I2875" s="4" t="inlineStr">
        <is>
          <t>18:03</t>
        </is>
      </c>
      <c r="J2875" s="8" t="n">
        <v>8.5</v>
      </c>
      <c r="K2875" s="8" t="n">
        <v>7.5</v>
      </c>
      <c r="L2875" s="8" t="n">
        <v>1</v>
      </c>
      <c r="M2875" s="29" t="inlineStr">
        <is>
          <t>BALIKESİR</t>
        </is>
      </c>
    </row>
    <row r="2876">
      <c r="A2876" s="4" t="n">
        <v>2875</v>
      </c>
      <c r="B2876" s="4" t="inlineStr">
        <is>
          <t>00236</t>
        </is>
      </c>
      <c r="C2876" s="4" t="inlineStr">
        <is>
          <t>00236</t>
        </is>
      </c>
      <c r="D2876" s="29" t="inlineStr">
        <is>
          <t>NURCAN EREN</t>
        </is>
      </c>
      <c r="E2876" s="4" t="inlineStr">
        <is>
          <t>Perşembe</t>
        </is>
      </c>
      <c r="F2876" s="4" t="inlineStr">
        <is>
          <t>15.10.2026</t>
        </is>
      </c>
      <c r="G2876" s="4" t="inlineStr">
        <is>
          <t>07:54</t>
        </is>
      </c>
      <c r="H2876" s="4" t="inlineStr">
        <is>
          <t>15.10.2026</t>
        </is>
      </c>
      <c r="I2876" s="4" t="inlineStr">
        <is>
          <t>17:02</t>
        </is>
      </c>
      <c r="J2876" s="8" t="n">
        <v>7.5</v>
      </c>
      <c r="K2876" s="8" t="n">
        <v>7.5</v>
      </c>
      <c r="L2876" s="8" t="n">
        <v>0</v>
      </c>
      <c r="M2876" s="29" t="inlineStr">
        <is>
          <t>BALIKESİR</t>
        </is>
      </c>
    </row>
    <row r="2877">
      <c r="A2877" s="4" t="n">
        <v>2876</v>
      </c>
      <c r="B2877" s="4" t="inlineStr">
        <is>
          <t>00236</t>
        </is>
      </c>
      <c r="C2877" s="4" t="inlineStr">
        <is>
          <t>00236</t>
        </is>
      </c>
      <c r="D2877" s="29" t="inlineStr">
        <is>
          <t>NURCAN EREN</t>
        </is>
      </c>
      <c r="E2877" s="4" t="inlineStr">
        <is>
          <t>Cuma</t>
        </is>
      </c>
      <c r="F2877" s="4" t="inlineStr">
        <is>
          <t>16.10.2026</t>
        </is>
      </c>
      <c r="G2877" s="4" t="inlineStr">
        <is>
          <t>07:49</t>
        </is>
      </c>
      <c r="H2877" s="4" t="inlineStr">
        <is>
          <t>16.10.2026</t>
        </is>
      </c>
      <c r="I2877" s="4" t="inlineStr">
        <is>
          <t>17:14</t>
        </is>
      </c>
      <c r="J2877" s="8" t="n">
        <v>7.5</v>
      </c>
      <c r="K2877" s="8" t="n">
        <v>7.5</v>
      </c>
      <c r="L2877" s="8" t="n">
        <v>0</v>
      </c>
      <c r="M2877" s="29" t="inlineStr">
        <is>
          <t>BALIKESİR</t>
        </is>
      </c>
    </row>
    <row r="2878">
      <c r="A2878" s="4" t="n">
        <v>2877</v>
      </c>
      <c r="B2878" s="4" t="inlineStr">
        <is>
          <t>00236</t>
        </is>
      </c>
      <c r="C2878" s="4" t="inlineStr">
        <is>
          <t>00236</t>
        </is>
      </c>
      <c r="D2878" s="29" t="inlineStr">
        <is>
          <t>NURCAN EREN</t>
        </is>
      </c>
      <c r="E2878" s="4" t="inlineStr">
        <is>
          <t>Cumartesi</t>
        </is>
      </c>
      <c r="F2878" s="4" t="inlineStr">
        <is>
          <t>17.10.2026</t>
        </is>
      </c>
      <c r="G2878" s="4" t="inlineStr">
        <is>
          <t>07:57</t>
        </is>
      </c>
      <c r="H2878" s="4" t="inlineStr">
        <is>
          <t>17.10.2026</t>
        </is>
      </c>
      <c r="I2878" s="4" t="inlineStr">
        <is>
          <t>17:48</t>
        </is>
      </c>
      <c r="J2878" s="8" t="n">
        <v>8.5</v>
      </c>
      <c r="K2878" s="8" t="n">
        <v>7.5</v>
      </c>
      <c r="L2878" s="8" t="n">
        <v>1</v>
      </c>
      <c r="M2878" s="29" t="inlineStr">
        <is>
          <t>BALIKESİR</t>
        </is>
      </c>
    </row>
    <row r="2879">
      <c r="A2879" s="4" t="n">
        <v>2878</v>
      </c>
      <c r="B2879" s="4" t="inlineStr">
        <is>
          <t>00236</t>
        </is>
      </c>
      <c r="C2879" s="4" t="inlineStr">
        <is>
          <t>00236</t>
        </is>
      </c>
      <c r="D2879" s="29" t="inlineStr">
        <is>
          <t>NURCAN EREN</t>
        </is>
      </c>
      <c r="E2879" s="4" t="inlineStr">
        <is>
          <t>Pazartesi</t>
        </is>
      </c>
      <c r="F2879" s="4" t="inlineStr">
        <is>
          <t>19.10.2026</t>
        </is>
      </c>
      <c r="G2879" s="4" t="inlineStr">
        <is>
          <t>07:51</t>
        </is>
      </c>
      <c r="H2879" s="4" t="inlineStr">
        <is>
          <t>19.10.2026</t>
        </is>
      </c>
      <c r="I2879" s="4" t="inlineStr">
        <is>
          <t>17:42</t>
        </is>
      </c>
      <c r="J2879" s="8" t="n">
        <v>8</v>
      </c>
      <c r="K2879" s="8" t="n">
        <v>7.5</v>
      </c>
      <c r="L2879" s="8" t="n">
        <v>0.5</v>
      </c>
      <c r="M2879" s="29" t="inlineStr">
        <is>
          <t>BALIKESİR</t>
        </is>
      </c>
    </row>
    <row r="2880">
      <c r="A2880" s="4" t="n">
        <v>2879</v>
      </c>
      <c r="B2880" s="4" t="inlineStr">
        <is>
          <t>00236</t>
        </is>
      </c>
      <c r="C2880" s="4" t="inlineStr">
        <is>
          <t>00236</t>
        </is>
      </c>
      <c r="D2880" s="29" t="inlineStr">
        <is>
          <t>NURCAN EREN</t>
        </is>
      </c>
      <c r="E2880" s="4" t="inlineStr">
        <is>
          <t>Salı</t>
        </is>
      </c>
      <c r="F2880" s="4" t="inlineStr">
        <is>
          <t>20.10.2026</t>
        </is>
      </c>
      <c r="G2880" s="4" t="inlineStr">
        <is>
          <t>07:49</t>
        </is>
      </c>
      <c r="H2880" s="4" t="inlineStr">
        <is>
          <t>20.10.2026</t>
        </is>
      </c>
      <c r="I2880" s="4" t="inlineStr">
        <is>
          <t>16:59</t>
        </is>
      </c>
      <c r="J2880" s="8" t="n">
        <v>7.5</v>
      </c>
      <c r="K2880" s="8" t="n">
        <v>7.5</v>
      </c>
      <c r="L2880" s="8" t="n">
        <v>0</v>
      </c>
      <c r="M2880" s="29" t="inlineStr">
        <is>
          <t>BALIKESİR</t>
        </is>
      </c>
    </row>
    <row r="2881">
      <c r="A2881" s="4" t="n">
        <v>2880</v>
      </c>
      <c r="B2881" s="4" t="inlineStr">
        <is>
          <t>00236</t>
        </is>
      </c>
      <c r="C2881" s="4" t="inlineStr">
        <is>
          <t>00236</t>
        </is>
      </c>
      <c r="D2881" s="29" t="inlineStr">
        <is>
          <t>NURCAN EREN</t>
        </is>
      </c>
      <c r="E2881" s="4" t="inlineStr">
        <is>
          <t>Çarşamba</t>
        </is>
      </c>
      <c r="F2881" s="4" t="inlineStr">
        <is>
          <t>21.10.2026</t>
        </is>
      </c>
      <c r="G2881" s="4" t="inlineStr">
        <is>
          <t>07:50</t>
        </is>
      </c>
      <c r="H2881" s="4" t="inlineStr">
        <is>
          <t>21.10.2026</t>
        </is>
      </c>
      <c r="I2881" s="4" t="inlineStr">
        <is>
          <t>17:00</t>
        </is>
      </c>
      <c r="J2881" s="8" t="n">
        <v>7.5</v>
      </c>
      <c r="K2881" s="8" t="n">
        <v>7.5</v>
      </c>
      <c r="L2881" s="8" t="n">
        <v>0</v>
      </c>
      <c r="M2881" s="29" t="inlineStr">
        <is>
          <t>BALIKESİR</t>
        </is>
      </c>
    </row>
    <row r="2882">
      <c r="A2882" s="4" t="n">
        <v>2881</v>
      </c>
      <c r="B2882" s="4" t="inlineStr">
        <is>
          <t>01064</t>
        </is>
      </c>
      <c r="C2882" s="4" t="inlineStr">
        <is>
          <t>01064</t>
        </is>
      </c>
      <c r="D2882" s="29" t="inlineStr">
        <is>
          <t>NURGÜL PARLAS</t>
        </is>
      </c>
      <c r="E2882" s="4" t="inlineStr">
        <is>
          <t>Perşembe</t>
        </is>
      </c>
      <c r="F2882" s="4" t="inlineStr">
        <is>
          <t>1.10.2026</t>
        </is>
      </c>
      <c r="G2882" s="4" t="inlineStr">
        <is>
          <t>15:49</t>
        </is>
      </c>
      <c r="H2882" s="4" t="inlineStr">
        <is>
          <t>1.10.2026</t>
        </is>
      </c>
      <c r="I2882" s="4" t="inlineStr">
        <is>
          <t>00:04</t>
        </is>
      </c>
      <c r="J2882" s="8" t="n">
        <v>7.5</v>
      </c>
      <c r="K2882" s="8" t="n">
        <v>7.5</v>
      </c>
      <c r="L2882" s="8" t="n">
        <v>0</v>
      </c>
      <c r="M2882" s="29" t="inlineStr">
        <is>
          <t>BİGADİÇ</t>
        </is>
      </c>
    </row>
    <row r="2883">
      <c r="A2883" s="4" t="n">
        <v>2882</v>
      </c>
      <c r="B2883" s="4" t="inlineStr">
        <is>
          <t>01064</t>
        </is>
      </c>
      <c r="C2883" s="4" t="inlineStr">
        <is>
          <t>01064</t>
        </is>
      </c>
      <c r="D2883" s="29" t="inlineStr">
        <is>
          <t>NURGÜL PARLAS</t>
        </is>
      </c>
      <c r="E2883" s="4" t="inlineStr">
        <is>
          <t>Cuma</t>
        </is>
      </c>
      <c r="F2883" s="4" t="inlineStr">
        <is>
          <t>2.10.2026</t>
        </is>
      </c>
      <c r="G2883" s="4" t="inlineStr">
        <is>
          <t>15:45</t>
        </is>
      </c>
      <c r="H2883" s="4" t="inlineStr">
        <is>
          <t>2.10.2026</t>
        </is>
      </c>
      <c r="I2883" s="4" t="inlineStr">
        <is>
          <t>00:01</t>
        </is>
      </c>
      <c r="J2883" s="8" t="n">
        <v>7.5</v>
      </c>
      <c r="K2883" s="8" t="n">
        <v>7.5</v>
      </c>
      <c r="L2883" s="8" t="n">
        <v>0</v>
      </c>
      <c r="M2883" s="29" t="inlineStr">
        <is>
          <t>BİGADİÇ</t>
        </is>
      </c>
    </row>
    <row r="2884">
      <c r="A2884" s="4" t="n">
        <v>2883</v>
      </c>
      <c r="B2884" s="4" t="inlineStr">
        <is>
          <t>01064</t>
        </is>
      </c>
      <c r="C2884" s="4" t="inlineStr">
        <is>
          <t>01064</t>
        </is>
      </c>
      <c r="D2884" s="29" t="inlineStr">
        <is>
          <t>NURGÜL PARLAS</t>
        </is>
      </c>
      <c r="E2884" s="4" t="inlineStr">
        <is>
          <t>Cumartesi</t>
        </is>
      </c>
      <c r="F2884" s="4" t="inlineStr">
        <is>
          <t>3.10.2026</t>
        </is>
      </c>
      <c r="G2884" s="4" t="inlineStr">
        <is>
          <t>16:07</t>
        </is>
      </c>
      <c r="H2884" s="4" t="inlineStr">
        <is>
          <t>3.10.2026</t>
        </is>
      </c>
      <c r="I2884" s="4" t="inlineStr">
        <is>
          <t>00:00</t>
        </is>
      </c>
      <c r="J2884" s="8" t="n">
        <v>7.5</v>
      </c>
      <c r="K2884" s="8" t="n">
        <v>7.5</v>
      </c>
      <c r="L2884" s="8" t="n">
        <v>0</v>
      </c>
      <c r="M2884" s="29" t="inlineStr">
        <is>
          <t>BİGADİÇ</t>
        </is>
      </c>
    </row>
    <row r="2885">
      <c r="A2885" s="4" t="n">
        <v>2884</v>
      </c>
      <c r="B2885" s="4" t="inlineStr">
        <is>
          <t>01064</t>
        </is>
      </c>
      <c r="C2885" s="4" t="inlineStr">
        <is>
          <t>01064</t>
        </is>
      </c>
      <c r="D2885" s="29" t="inlineStr">
        <is>
          <t>NURGÜL PARLAS</t>
        </is>
      </c>
      <c r="E2885" s="4" t="inlineStr">
        <is>
          <t>Pazartesi</t>
        </is>
      </c>
      <c r="F2885" s="4" t="inlineStr">
        <is>
          <t>5.10.2026</t>
        </is>
      </c>
      <c r="G2885" s="4" t="inlineStr">
        <is>
          <t>16:04</t>
        </is>
      </c>
      <c r="H2885" s="4" t="inlineStr">
        <is>
          <t>5.10.2026</t>
        </is>
      </c>
      <c r="I2885" s="4" t="inlineStr">
        <is>
          <t>00:02</t>
        </is>
      </c>
      <c r="J2885" s="8" t="n">
        <v>7.5</v>
      </c>
      <c r="K2885" s="8" t="n">
        <v>7.5</v>
      </c>
      <c r="L2885" s="8" t="n">
        <v>0</v>
      </c>
      <c r="M2885" s="29" t="inlineStr">
        <is>
          <t>BİGADİÇ</t>
        </is>
      </c>
    </row>
    <row r="2886">
      <c r="A2886" s="4" t="n">
        <v>2885</v>
      </c>
      <c r="B2886" s="4" t="inlineStr">
        <is>
          <t>01064</t>
        </is>
      </c>
      <c r="C2886" s="4" t="inlineStr">
        <is>
          <t>01064</t>
        </is>
      </c>
      <c r="D2886" s="29" t="inlineStr">
        <is>
          <t>NURGÜL PARLAS</t>
        </is>
      </c>
      <c r="E2886" s="4" t="inlineStr">
        <is>
          <t>Salı</t>
        </is>
      </c>
      <c r="F2886" s="4" t="inlineStr">
        <is>
          <t>6.10.2026</t>
        </is>
      </c>
      <c r="G2886" s="4" t="inlineStr">
        <is>
          <t>15:45</t>
        </is>
      </c>
      <c r="H2886" s="4" t="inlineStr">
        <is>
          <t>6.10.2026</t>
        </is>
      </c>
      <c r="I2886" s="4" t="inlineStr">
        <is>
          <t>00:02</t>
        </is>
      </c>
      <c r="J2886" s="8" t="n">
        <v>7.5</v>
      </c>
      <c r="K2886" s="8" t="n">
        <v>7.5</v>
      </c>
      <c r="L2886" s="8" t="n">
        <v>0</v>
      </c>
      <c r="M2886" s="29" t="inlineStr">
        <is>
          <t>BİGADİÇ</t>
        </is>
      </c>
    </row>
    <row r="2887">
      <c r="A2887" s="4" t="n">
        <v>2886</v>
      </c>
      <c r="B2887" s="4" t="inlineStr">
        <is>
          <t>01064</t>
        </is>
      </c>
      <c r="C2887" s="4" t="inlineStr">
        <is>
          <t>01064</t>
        </is>
      </c>
      <c r="D2887" s="29" t="inlineStr">
        <is>
          <t>NURGÜL PARLAS</t>
        </is>
      </c>
      <c r="E2887" s="4" t="inlineStr">
        <is>
          <t>Çarşamba</t>
        </is>
      </c>
      <c r="F2887" s="4" t="inlineStr">
        <is>
          <t>7.10.2026</t>
        </is>
      </c>
      <c r="G2887" s="4" t="inlineStr">
        <is>
          <t>15:54</t>
        </is>
      </c>
      <c r="H2887" s="4" t="inlineStr">
        <is>
          <t>7.10.2026</t>
        </is>
      </c>
      <c r="I2887" s="4" t="inlineStr">
        <is>
          <t>00:04</t>
        </is>
      </c>
      <c r="J2887" s="8" t="n">
        <v>7.5</v>
      </c>
      <c r="K2887" s="8" t="n">
        <v>7.5</v>
      </c>
      <c r="L2887" s="8" t="n">
        <v>0</v>
      </c>
      <c r="M2887" s="29" t="inlineStr">
        <is>
          <t>BİGADİÇ</t>
        </is>
      </c>
    </row>
    <row r="2888">
      <c r="A2888" s="4" t="n">
        <v>2887</v>
      </c>
      <c r="B2888" s="4" t="inlineStr">
        <is>
          <t>01064</t>
        </is>
      </c>
      <c r="C2888" s="4" t="inlineStr">
        <is>
          <t>01064</t>
        </is>
      </c>
      <c r="D2888" s="29" t="inlineStr">
        <is>
          <t>NURGÜL PARLAS</t>
        </is>
      </c>
      <c r="E2888" s="4" t="inlineStr">
        <is>
          <t>Perşembe</t>
        </is>
      </c>
      <c r="F2888" s="4" t="inlineStr">
        <is>
          <t>8.10.2026</t>
        </is>
      </c>
      <c r="G2888" s="4" t="inlineStr">
        <is>
          <t>15:53</t>
        </is>
      </c>
      <c r="H2888" s="4" t="inlineStr">
        <is>
          <t>8.10.2026</t>
        </is>
      </c>
      <c r="I2888" s="4" t="inlineStr">
        <is>
          <t>00:06</t>
        </is>
      </c>
      <c r="J2888" s="8" t="n">
        <v>7.5</v>
      </c>
      <c r="K2888" s="8" t="n">
        <v>7.5</v>
      </c>
      <c r="L2888" s="8" t="n">
        <v>0</v>
      </c>
      <c r="M2888" s="29" t="inlineStr">
        <is>
          <t>BİGADİÇ</t>
        </is>
      </c>
    </row>
    <row r="2889">
      <c r="A2889" s="4" t="n">
        <v>2888</v>
      </c>
      <c r="B2889" s="4" t="inlineStr">
        <is>
          <t>01064</t>
        </is>
      </c>
      <c r="C2889" s="4" t="inlineStr">
        <is>
          <t>01064</t>
        </is>
      </c>
      <c r="D2889" s="29" t="inlineStr">
        <is>
          <t>NURGÜL PARLAS</t>
        </is>
      </c>
      <c r="E2889" s="4" t="inlineStr">
        <is>
          <t>Cuma</t>
        </is>
      </c>
      <c r="F2889" s="4" t="inlineStr">
        <is>
          <t>9.10.2026</t>
        </is>
      </c>
      <c r="G2889" s="4" t="inlineStr">
        <is>
          <t>15:52</t>
        </is>
      </c>
      <c r="H2889" s="4" t="inlineStr">
        <is>
          <t>9.10.2026</t>
        </is>
      </c>
      <c r="I2889" s="4" t="inlineStr">
        <is>
          <t>00:00</t>
        </is>
      </c>
      <c r="J2889" s="8" t="n">
        <v>7.5</v>
      </c>
      <c r="K2889" s="8" t="n">
        <v>7.5</v>
      </c>
      <c r="L2889" s="8" t="n">
        <v>0</v>
      </c>
      <c r="M2889" s="29" t="inlineStr">
        <is>
          <t>BİGADİÇ</t>
        </is>
      </c>
    </row>
    <row r="2890">
      <c r="A2890" s="4" t="n">
        <v>2889</v>
      </c>
      <c r="B2890" s="4" t="inlineStr">
        <is>
          <t>01064</t>
        </is>
      </c>
      <c r="C2890" s="4" t="inlineStr">
        <is>
          <t>01064</t>
        </is>
      </c>
      <c r="D2890" s="29" t="inlineStr">
        <is>
          <t>NURGÜL PARLAS</t>
        </is>
      </c>
      <c r="E2890" s="4" t="inlineStr">
        <is>
          <t>Cumartesi</t>
        </is>
      </c>
      <c r="F2890" s="4" t="inlineStr">
        <is>
          <t>10.10.2026</t>
        </is>
      </c>
      <c r="G2890" s="4" t="inlineStr">
        <is>
          <t>15:53</t>
        </is>
      </c>
      <c r="H2890" s="4" t="inlineStr">
        <is>
          <t>10.10.2026</t>
        </is>
      </c>
      <c r="I2890" s="4" t="inlineStr">
        <is>
          <t>00:06</t>
        </is>
      </c>
      <c r="J2890" s="8" t="n">
        <v>7.5</v>
      </c>
      <c r="K2890" s="8" t="n">
        <v>7.5</v>
      </c>
      <c r="L2890" s="8" t="n">
        <v>0</v>
      </c>
      <c r="M2890" s="29" t="inlineStr">
        <is>
          <t>BİGADİÇ</t>
        </is>
      </c>
    </row>
    <row r="2891">
      <c r="A2891" s="4" t="n">
        <v>2890</v>
      </c>
      <c r="B2891" s="4" t="inlineStr">
        <is>
          <t>01064</t>
        </is>
      </c>
      <c r="C2891" s="4" t="inlineStr">
        <is>
          <t>01064</t>
        </is>
      </c>
      <c r="D2891" s="29" t="inlineStr">
        <is>
          <t>NURGÜL PARLAS</t>
        </is>
      </c>
      <c r="E2891" s="4" t="inlineStr">
        <is>
          <t>Pazartesi</t>
        </is>
      </c>
      <c r="F2891" s="4" t="inlineStr">
        <is>
          <t>12.10.2026</t>
        </is>
      </c>
      <c r="G2891" s="4" t="inlineStr">
        <is>
          <t>15:45</t>
        </is>
      </c>
      <c r="H2891" s="4" t="inlineStr">
        <is>
          <t>12.10.2026</t>
        </is>
      </c>
      <c r="I2891" s="4" t="inlineStr">
        <is>
          <t>00:01</t>
        </is>
      </c>
      <c r="J2891" s="8" t="n">
        <v>7.5</v>
      </c>
      <c r="K2891" s="8" t="n">
        <v>7.5</v>
      </c>
      <c r="L2891" s="8" t="n">
        <v>0</v>
      </c>
      <c r="M2891" s="29" t="inlineStr">
        <is>
          <t>BİGADİÇ</t>
        </is>
      </c>
    </row>
    <row r="2892">
      <c r="A2892" s="4" t="n">
        <v>2891</v>
      </c>
      <c r="B2892" s="4" t="inlineStr">
        <is>
          <t>01064</t>
        </is>
      </c>
      <c r="C2892" s="4" t="inlineStr">
        <is>
          <t>01064</t>
        </is>
      </c>
      <c r="D2892" s="29" t="inlineStr">
        <is>
          <t>NURGÜL PARLAS</t>
        </is>
      </c>
      <c r="E2892" s="4" t="inlineStr">
        <is>
          <t>Salı</t>
        </is>
      </c>
      <c r="F2892" s="4" t="inlineStr">
        <is>
          <t>13.10.2026</t>
        </is>
      </c>
      <c r="G2892" s="4" t="inlineStr">
        <is>
          <t>15:54</t>
        </is>
      </c>
      <c r="H2892" s="4" t="inlineStr">
        <is>
          <t>13.10.2026</t>
        </is>
      </c>
      <c r="I2892" s="4" t="inlineStr">
        <is>
          <t>00:01</t>
        </is>
      </c>
      <c r="J2892" s="8" t="n">
        <v>7.5</v>
      </c>
      <c r="K2892" s="8" t="n">
        <v>7.5</v>
      </c>
      <c r="L2892" s="8" t="n">
        <v>0</v>
      </c>
      <c r="M2892" s="29" t="inlineStr">
        <is>
          <t>BİGADİÇ</t>
        </is>
      </c>
    </row>
    <row r="2893">
      <c r="A2893" s="4" t="n">
        <v>2892</v>
      </c>
      <c r="B2893" s="4" t="inlineStr">
        <is>
          <t>01064</t>
        </is>
      </c>
      <c r="C2893" s="4" t="inlineStr">
        <is>
          <t>01064</t>
        </is>
      </c>
      <c r="D2893" s="29" t="inlineStr">
        <is>
          <t>NURGÜL PARLAS</t>
        </is>
      </c>
      <c r="E2893" s="4" t="inlineStr">
        <is>
          <t>Çarşamba</t>
        </is>
      </c>
      <c r="F2893" s="4" t="inlineStr">
        <is>
          <t>14.10.2026</t>
        </is>
      </c>
      <c r="G2893" s="4" t="inlineStr">
        <is>
          <t>15:55</t>
        </is>
      </c>
      <c r="H2893" s="4" t="inlineStr">
        <is>
          <t>14.10.2026</t>
        </is>
      </c>
      <c r="I2893" s="4" t="inlineStr">
        <is>
          <t>00:31</t>
        </is>
      </c>
      <c r="J2893" s="8" t="n">
        <v>8</v>
      </c>
      <c r="K2893" s="8" t="n">
        <v>7.5</v>
      </c>
      <c r="L2893" s="8" t="n">
        <v>0.5</v>
      </c>
      <c r="M2893" s="29" t="inlineStr">
        <is>
          <t>BİGADİÇ</t>
        </is>
      </c>
    </row>
    <row r="2894">
      <c r="A2894" s="4" t="n">
        <v>2893</v>
      </c>
      <c r="B2894" s="4" t="inlineStr">
        <is>
          <t>01064</t>
        </is>
      </c>
      <c r="C2894" s="4" t="inlineStr">
        <is>
          <t>01064</t>
        </is>
      </c>
      <c r="D2894" s="29" t="inlineStr">
        <is>
          <t>NURGÜL PARLAS</t>
        </is>
      </c>
      <c r="E2894" s="4" t="inlineStr">
        <is>
          <t>Perşembe</t>
        </is>
      </c>
      <c r="F2894" s="4" t="inlineStr">
        <is>
          <t>15.10.2026</t>
        </is>
      </c>
      <c r="G2894" s="4" t="inlineStr">
        <is>
          <t>15:58</t>
        </is>
      </c>
      <c r="H2894" s="4" t="inlineStr">
        <is>
          <t>15.10.2026</t>
        </is>
      </c>
      <c r="I2894" s="4" t="inlineStr">
        <is>
          <t>00:00</t>
        </is>
      </c>
      <c r="J2894" s="8" t="n">
        <v>7.5</v>
      </c>
      <c r="K2894" s="8" t="n">
        <v>7.5</v>
      </c>
      <c r="L2894" s="8" t="n">
        <v>0</v>
      </c>
      <c r="M2894" s="29" t="inlineStr">
        <is>
          <t>BİGADİÇ</t>
        </is>
      </c>
    </row>
    <row r="2895">
      <c r="A2895" s="4" t="n">
        <v>2894</v>
      </c>
      <c r="B2895" s="4" t="inlineStr">
        <is>
          <t>01064</t>
        </is>
      </c>
      <c r="C2895" s="4" t="inlineStr">
        <is>
          <t>01064</t>
        </is>
      </c>
      <c r="D2895" s="29" t="inlineStr">
        <is>
          <t>NURGÜL PARLAS</t>
        </is>
      </c>
      <c r="E2895" s="4" t="inlineStr">
        <is>
          <t>Cuma</t>
        </is>
      </c>
      <c r="F2895" s="4" t="inlineStr">
        <is>
          <t>16.10.2026</t>
        </is>
      </c>
      <c r="G2895" s="4" t="inlineStr">
        <is>
          <t>15:58</t>
        </is>
      </c>
      <c r="H2895" s="4" t="inlineStr">
        <is>
          <t>16.10.2026</t>
        </is>
      </c>
      <c r="I2895" s="4" t="inlineStr">
        <is>
          <t>23:59</t>
        </is>
      </c>
      <c r="J2895" s="8" t="n">
        <v>7.5</v>
      </c>
      <c r="K2895" s="8" t="n">
        <v>7.5</v>
      </c>
      <c r="L2895" s="8" t="n">
        <v>0</v>
      </c>
      <c r="M2895" s="29" t="inlineStr">
        <is>
          <t>BİGADİÇ</t>
        </is>
      </c>
    </row>
    <row r="2896">
      <c r="A2896" s="4" t="n">
        <v>2895</v>
      </c>
      <c r="B2896" s="4" t="inlineStr">
        <is>
          <t>01064</t>
        </is>
      </c>
      <c r="C2896" s="4" t="inlineStr">
        <is>
          <t>01064</t>
        </is>
      </c>
      <c r="D2896" s="29" t="inlineStr">
        <is>
          <t>NURGÜL PARLAS</t>
        </is>
      </c>
      <c r="E2896" s="4" t="inlineStr">
        <is>
          <t>Cumartesi</t>
        </is>
      </c>
      <c r="F2896" s="4" t="inlineStr">
        <is>
          <t>17.10.2026</t>
        </is>
      </c>
      <c r="G2896" s="4" t="inlineStr">
        <is>
          <t>15:53</t>
        </is>
      </c>
      <c r="H2896" s="4" t="inlineStr">
        <is>
          <t>17.10.2026</t>
        </is>
      </c>
      <c r="I2896" s="4" t="inlineStr">
        <is>
          <t>00:00</t>
        </is>
      </c>
      <c r="J2896" s="8" t="n">
        <v>7.5</v>
      </c>
      <c r="K2896" s="8" t="n">
        <v>7.5</v>
      </c>
      <c r="L2896" s="8" t="n">
        <v>0</v>
      </c>
      <c r="M2896" s="29" t="inlineStr">
        <is>
          <t>BİGADİÇ</t>
        </is>
      </c>
    </row>
    <row r="2897">
      <c r="A2897" s="4" t="n">
        <v>2896</v>
      </c>
      <c r="B2897" s="4" t="inlineStr">
        <is>
          <t>01064</t>
        </is>
      </c>
      <c r="C2897" s="4" t="inlineStr">
        <is>
          <t>01064</t>
        </is>
      </c>
      <c r="D2897" s="29" t="inlineStr">
        <is>
          <t>NURGÜL PARLAS</t>
        </is>
      </c>
      <c r="E2897" s="4" t="inlineStr">
        <is>
          <t>Pazartesi</t>
        </is>
      </c>
      <c r="F2897" s="4" t="inlineStr">
        <is>
          <t>19.10.2026</t>
        </is>
      </c>
      <c r="G2897" s="4" t="inlineStr">
        <is>
          <t>15:53</t>
        </is>
      </c>
      <c r="H2897" s="4" t="inlineStr">
        <is>
          <t>19.10.2026</t>
        </is>
      </c>
      <c r="I2897" s="4" t="inlineStr">
        <is>
          <t>00:03</t>
        </is>
      </c>
      <c r="J2897" s="8" t="n">
        <v>7.5</v>
      </c>
      <c r="K2897" s="8" t="n">
        <v>7.5</v>
      </c>
      <c r="L2897" s="8" t="n">
        <v>0</v>
      </c>
      <c r="M2897" s="29" t="inlineStr">
        <is>
          <t>BİGADİÇ</t>
        </is>
      </c>
    </row>
    <row r="2898">
      <c r="A2898" s="4" t="n">
        <v>2897</v>
      </c>
      <c r="B2898" s="4" t="inlineStr">
        <is>
          <t>01064</t>
        </is>
      </c>
      <c r="C2898" s="4" t="inlineStr">
        <is>
          <t>01064</t>
        </is>
      </c>
      <c r="D2898" s="29" t="inlineStr">
        <is>
          <t>NURGÜL PARLAS</t>
        </is>
      </c>
      <c r="E2898" s="4" t="inlineStr">
        <is>
          <t>Salı</t>
        </is>
      </c>
      <c r="F2898" s="4" t="inlineStr">
        <is>
          <t>20.10.2026</t>
        </is>
      </c>
      <c r="G2898" s="4" t="inlineStr">
        <is>
          <t>16:04</t>
        </is>
      </c>
      <c r="H2898" s="4" t="inlineStr">
        <is>
          <t>20.10.2026</t>
        </is>
      </c>
      <c r="I2898" s="4" t="inlineStr">
        <is>
          <t>00:01</t>
        </is>
      </c>
      <c r="J2898" s="8" t="n">
        <v>7.5</v>
      </c>
      <c r="K2898" s="8" t="n">
        <v>7.5</v>
      </c>
      <c r="L2898" s="8" t="n">
        <v>0</v>
      </c>
      <c r="M2898" s="29" t="inlineStr">
        <is>
          <t>BİGADİÇ</t>
        </is>
      </c>
    </row>
    <row r="2899">
      <c r="A2899" s="4" t="n">
        <v>2898</v>
      </c>
      <c r="B2899" s="4" t="inlineStr">
        <is>
          <t>01064</t>
        </is>
      </c>
      <c r="C2899" s="4" t="inlineStr">
        <is>
          <t>01064</t>
        </is>
      </c>
      <c r="D2899" s="29" t="inlineStr">
        <is>
          <t>NURGÜL PARLAS</t>
        </is>
      </c>
      <c r="E2899" s="4" t="inlineStr">
        <is>
          <t>Çarşamba</t>
        </is>
      </c>
      <c r="F2899" s="4" t="inlineStr">
        <is>
          <t>21.10.2026</t>
        </is>
      </c>
      <c r="G2899" s="4" t="inlineStr">
        <is>
          <t>15:52</t>
        </is>
      </c>
      <c r="H2899" s="4" t="inlineStr">
        <is>
          <t>21.10.2026</t>
        </is>
      </c>
      <c r="I2899" s="4" t="inlineStr">
        <is>
          <t>-</t>
        </is>
      </c>
      <c r="J2899" s="8" t="n">
        <v>7.5</v>
      </c>
      <c r="K2899" s="8" t="n">
        <v>7.5</v>
      </c>
      <c r="L2899" s="8" t="n">
        <v>0</v>
      </c>
      <c r="M2899" s="29" t="inlineStr">
        <is>
          <t>BİGADİÇ</t>
        </is>
      </c>
    </row>
    <row r="2900">
      <c r="A2900" s="4" t="n">
        <v>2899</v>
      </c>
      <c r="B2900" s="4" t="inlineStr">
        <is>
          <t>01352</t>
        </is>
      </c>
      <c r="C2900" s="4" t="inlineStr">
        <is>
          <t>01352</t>
        </is>
      </c>
      <c r="D2900" s="29" t="inlineStr">
        <is>
          <t>NURGÜL ADIGÜL</t>
        </is>
      </c>
      <c r="E2900" s="4" t="inlineStr">
        <is>
          <t>Perşembe</t>
        </is>
      </c>
      <c r="F2900" s="4" t="inlineStr">
        <is>
          <t>1.10.2026</t>
        </is>
      </c>
      <c r="G2900" s="4" t="inlineStr">
        <is>
          <t>15:49</t>
        </is>
      </c>
      <c r="H2900" s="4" t="inlineStr">
        <is>
          <t>1.10.2026</t>
        </is>
      </c>
      <c r="I2900" s="4" t="inlineStr">
        <is>
          <t>00:04</t>
        </is>
      </c>
      <c r="J2900" s="8" t="n">
        <v>7.5</v>
      </c>
      <c r="K2900" s="8" t="n">
        <v>7.5</v>
      </c>
      <c r="L2900" s="8" t="n">
        <v>0</v>
      </c>
      <c r="M2900" s="29" t="inlineStr">
        <is>
          <t>BİGADİÇ</t>
        </is>
      </c>
    </row>
    <row r="2901">
      <c r="A2901" s="4" t="n">
        <v>2900</v>
      </c>
      <c r="B2901" s="4" t="inlineStr">
        <is>
          <t>01352</t>
        </is>
      </c>
      <c r="C2901" s="4" t="inlineStr">
        <is>
          <t>01352</t>
        </is>
      </c>
      <c r="D2901" s="29" t="inlineStr">
        <is>
          <t>NURGÜL ADIGÜL</t>
        </is>
      </c>
      <c r="E2901" s="4" t="inlineStr">
        <is>
          <t>Cuma</t>
        </is>
      </c>
      <c r="F2901" s="4" t="inlineStr">
        <is>
          <t>2.10.2026</t>
        </is>
      </c>
      <c r="G2901" s="4" t="inlineStr">
        <is>
          <t>15:45</t>
        </is>
      </c>
      <c r="H2901" s="4" t="inlineStr">
        <is>
          <t>2.10.2026</t>
        </is>
      </c>
      <c r="I2901" s="4" t="inlineStr">
        <is>
          <t>00:01</t>
        </is>
      </c>
      <c r="J2901" s="8" t="n">
        <v>7.5</v>
      </c>
      <c r="K2901" s="8" t="n">
        <v>7.5</v>
      </c>
      <c r="L2901" s="8" t="n">
        <v>0</v>
      </c>
      <c r="M2901" s="29" t="inlineStr">
        <is>
          <t>BİGADİÇ</t>
        </is>
      </c>
    </row>
    <row r="2902">
      <c r="A2902" s="4" t="n">
        <v>2901</v>
      </c>
      <c r="B2902" s="4" t="inlineStr">
        <is>
          <t>01352</t>
        </is>
      </c>
      <c r="C2902" s="4" t="inlineStr">
        <is>
          <t>01352</t>
        </is>
      </c>
      <c r="D2902" s="29" t="inlineStr">
        <is>
          <t>NURGÜL ADIGÜL</t>
        </is>
      </c>
      <c r="E2902" s="4" t="inlineStr">
        <is>
          <t>Cumartesi</t>
        </is>
      </c>
      <c r="F2902" s="4" t="inlineStr">
        <is>
          <t>3.10.2026</t>
        </is>
      </c>
      <c r="G2902" s="4" t="inlineStr">
        <is>
          <t>16:05</t>
        </is>
      </c>
      <c r="H2902" s="4" t="inlineStr">
        <is>
          <t>3.10.2026</t>
        </is>
      </c>
      <c r="I2902" s="4" t="inlineStr">
        <is>
          <t>00:00</t>
        </is>
      </c>
      <c r="J2902" s="8" t="n">
        <v>7.5</v>
      </c>
      <c r="K2902" s="8" t="n">
        <v>7.5</v>
      </c>
      <c r="L2902" s="8" t="n">
        <v>0</v>
      </c>
      <c r="M2902" s="29" t="inlineStr">
        <is>
          <t>BİGADİÇ</t>
        </is>
      </c>
    </row>
    <row r="2903">
      <c r="A2903" s="4" t="n">
        <v>2902</v>
      </c>
      <c r="B2903" s="4" t="inlineStr">
        <is>
          <t>01352</t>
        </is>
      </c>
      <c r="C2903" s="4" t="inlineStr">
        <is>
          <t>01352</t>
        </is>
      </c>
      <c r="D2903" s="29" t="inlineStr">
        <is>
          <t>NURGÜL ADIGÜL</t>
        </is>
      </c>
      <c r="E2903" s="4" t="inlineStr">
        <is>
          <t>Pazartesi</t>
        </is>
      </c>
      <c r="F2903" s="4" t="inlineStr">
        <is>
          <t>5.10.2026</t>
        </is>
      </c>
      <c r="G2903" s="4" t="inlineStr">
        <is>
          <t>16:04</t>
        </is>
      </c>
      <c r="H2903" s="4" t="inlineStr">
        <is>
          <t>5.10.2026</t>
        </is>
      </c>
      <c r="I2903" s="4" t="inlineStr">
        <is>
          <t>00:02</t>
        </is>
      </c>
      <c r="J2903" s="8" t="n">
        <v>7.5</v>
      </c>
      <c r="K2903" s="8" t="n">
        <v>7.5</v>
      </c>
      <c r="L2903" s="8" t="n">
        <v>0</v>
      </c>
      <c r="M2903" s="29" t="inlineStr">
        <is>
          <t>BİGADİÇ</t>
        </is>
      </c>
    </row>
    <row r="2904">
      <c r="A2904" s="4" t="n">
        <v>2903</v>
      </c>
      <c r="B2904" s="4" t="inlineStr">
        <is>
          <t>01352</t>
        </is>
      </c>
      <c r="C2904" s="4" t="inlineStr">
        <is>
          <t>01352</t>
        </is>
      </c>
      <c r="D2904" s="29" t="inlineStr">
        <is>
          <t>NURGÜL ADIGÜL</t>
        </is>
      </c>
      <c r="E2904" s="4" t="inlineStr">
        <is>
          <t>Salı</t>
        </is>
      </c>
      <c r="F2904" s="4" t="inlineStr">
        <is>
          <t>6.10.2026</t>
        </is>
      </c>
      <c r="G2904" s="4" t="inlineStr">
        <is>
          <t>15:45</t>
        </is>
      </c>
      <c r="H2904" s="4" t="inlineStr">
        <is>
          <t>6.10.2026</t>
        </is>
      </c>
      <c r="I2904" s="4" t="inlineStr">
        <is>
          <t>00:02</t>
        </is>
      </c>
      <c r="J2904" s="8" t="n">
        <v>7.5</v>
      </c>
      <c r="K2904" s="8" t="n">
        <v>7.5</v>
      </c>
      <c r="L2904" s="8" t="n">
        <v>0</v>
      </c>
      <c r="M2904" s="29" t="inlineStr">
        <is>
          <t>BİGADİÇ</t>
        </is>
      </c>
    </row>
    <row r="2905">
      <c r="A2905" s="4" t="n">
        <v>2904</v>
      </c>
      <c r="B2905" s="4" t="inlineStr">
        <is>
          <t>01352</t>
        </is>
      </c>
      <c r="C2905" s="4" t="inlineStr">
        <is>
          <t>01352</t>
        </is>
      </c>
      <c r="D2905" s="29" t="inlineStr">
        <is>
          <t>NURGÜL ADIGÜL</t>
        </is>
      </c>
      <c r="E2905" s="4" t="inlineStr">
        <is>
          <t>Çarşamba</t>
        </is>
      </c>
      <c r="F2905" s="4" t="inlineStr">
        <is>
          <t>7.10.2026</t>
        </is>
      </c>
      <c r="G2905" s="4" t="inlineStr">
        <is>
          <t>15:54</t>
        </is>
      </c>
      <c r="H2905" s="4" t="inlineStr">
        <is>
          <t>7.10.2026</t>
        </is>
      </c>
      <c r="I2905" s="4" t="inlineStr">
        <is>
          <t>23:58</t>
        </is>
      </c>
      <c r="J2905" s="8" t="n">
        <v>7.5</v>
      </c>
      <c r="K2905" s="8" t="n">
        <v>7.5</v>
      </c>
      <c r="L2905" s="8" t="n">
        <v>0</v>
      </c>
      <c r="M2905" s="29" t="inlineStr">
        <is>
          <t>BİGADİÇ</t>
        </is>
      </c>
    </row>
    <row r="2906">
      <c r="A2906" s="4" t="n">
        <v>2905</v>
      </c>
      <c r="B2906" s="4" t="inlineStr">
        <is>
          <t>01352</t>
        </is>
      </c>
      <c r="C2906" s="4" t="inlineStr">
        <is>
          <t>01352</t>
        </is>
      </c>
      <c r="D2906" s="29" t="inlineStr">
        <is>
          <t>NURGÜL ADIGÜL</t>
        </is>
      </c>
      <c r="E2906" s="4" t="inlineStr">
        <is>
          <t>Perşembe</t>
        </is>
      </c>
      <c r="F2906" s="4" t="inlineStr">
        <is>
          <t>8.10.2026</t>
        </is>
      </c>
      <c r="G2906" s="4" t="inlineStr">
        <is>
          <t>15:53</t>
        </is>
      </c>
      <c r="H2906" s="4" t="inlineStr">
        <is>
          <t>8.10.2026</t>
        </is>
      </c>
      <c r="I2906" s="4" t="inlineStr">
        <is>
          <t>00:01</t>
        </is>
      </c>
      <c r="J2906" s="8" t="n">
        <v>7.5</v>
      </c>
      <c r="K2906" s="8" t="n">
        <v>7.5</v>
      </c>
      <c r="L2906" s="8" t="n">
        <v>0</v>
      </c>
      <c r="M2906" s="29" t="inlineStr">
        <is>
          <t>BİGADİÇ</t>
        </is>
      </c>
    </row>
    <row r="2907">
      <c r="A2907" s="4" t="n">
        <v>2906</v>
      </c>
      <c r="B2907" s="4" t="inlineStr">
        <is>
          <t>01352</t>
        </is>
      </c>
      <c r="C2907" s="4" t="inlineStr">
        <is>
          <t>01352</t>
        </is>
      </c>
      <c r="D2907" s="29" t="inlineStr">
        <is>
          <t>NURGÜL ADIGÜL</t>
        </is>
      </c>
      <c r="E2907" s="4" t="inlineStr">
        <is>
          <t>Cuma</t>
        </is>
      </c>
      <c r="F2907" s="4" t="inlineStr">
        <is>
          <t>9.10.2026</t>
        </is>
      </c>
      <c r="G2907" s="4" t="inlineStr">
        <is>
          <t>15:51</t>
        </is>
      </c>
      <c r="H2907" s="4" t="inlineStr">
        <is>
          <t>9.10.2026</t>
        </is>
      </c>
      <c r="I2907" s="4" t="inlineStr">
        <is>
          <t>00:00</t>
        </is>
      </c>
      <c r="J2907" s="8" t="n">
        <v>7.5</v>
      </c>
      <c r="K2907" s="8" t="n">
        <v>7.5</v>
      </c>
      <c r="L2907" s="8" t="n">
        <v>0</v>
      </c>
      <c r="M2907" s="29" t="inlineStr">
        <is>
          <t>BİGADİÇ</t>
        </is>
      </c>
    </row>
    <row r="2908">
      <c r="A2908" s="4" t="n">
        <v>2907</v>
      </c>
      <c r="B2908" s="4" t="inlineStr">
        <is>
          <t>01352</t>
        </is>
      </c>
      <c r="C2908" s="4" t="inlineStr">
        <is>
          <t>01352</t>
        </is>
      </c>
      <c r="D2908" s="29" t="inlineStr">
        <is>
          <t>NURGÜL ADIGÜL</t>
        </is>
      </c>
      <c r="E2908" s="4" t="inlineStr">
        <is>
          <t>Cumartesi</t>
        </is>
      </c>
      <c r="F2908" s="4" t="inlineStr">
        <is>
          <t>10.10.2026</t>
        </is>
      </c>
      <c r="G2908" s="4" t="inlineStr">
        <is>
          <t>15:53</t>
        </is>
      </c>
      <c r="H2908" s="4" t="inlineStr">
        <is>
          <t>10.10.2026</t>
        </is>
      </c>
      <c r="I2908" s="4" t="inlineStr">
        <is>
          <t>00:04</t>
        </is>
      </c>
      <c r="J2908" s="8" t="n">
        <v>7.5</v>
      </c>
      <c r="K2908" s="8" t="n">
        <v>7.5</v>
      </c>
      <c r="L2908" s="8" t="n">
        <v>0</v>
      </c>
      <c r="M2908" s="29" t="inlineStr">
        <is>
          <t>BİGADİÇ</t>
        </is>
      </c>
    </row>
    <row r="2909">
      <c r="A2909" s="4" t="n">
        <v>2908</v>
      </c>
      <c r="B2909" s="4" t="inlineStr">
        <is>
          <t>01352</t>
        </is>
      </c>
      <c r="C2909" s="4" t="inlineStr">
        <is>
          <t>01352</t>
        </is>
      </c>
      <c r="D2909" s="29" t="inlineStr">
        <is>
          <t>NURGÜL ADIGÜL</t>
        </is>
      </c>
      <c r="E2909" s="4" t="inlineStr">
        <is>
          <t>Pazartesi</t>
        </is>
      </c>
      <c r="F2909" s="4" t="inlineStr">
        <is>
          <t>12.10.2026</t>
        </is>
      </c>
      <c r="G2909" s="4" t="inlineStr">
        <is>
          <t>15:45</t>
        </is>
      </c>
      <c r="H2909" s="4" t="inlineStr">
        <is>
          <t>12.10.2026</t>
        </is>
      </c>
      <c r="I2909" s="4" t="inlineStr">
        <is>
          <t>00:00</t>
        </is>
      </c>
      <c r="J2909" s="8" t="n">
        <v>7.5</v>
      </c>
      <c r="K2909" s="8" t="n">
        <v>7.5</v>
      </c>
      <c r="L2909" s="8" t="n">
        <v>0</v>
      </c>
      <c r="M2909" s="29" t="inlineStr">
        <is>
          <t>BİGADİÇ</t>
        </is>
      </c>
    </row>
    <row r="2910">
      <c r="A2910" s="4" t="n">
        <v>2909</v>
      </c>
      <c r="B2910" s="4" t="inlineStr">
        <is>
          <t>01352</t>
        </is>
      </c>
      <c r="C2910" s="4" t="inlineStr">
        <is>
          <t>01352</t>
        </is>
      </c>
      <c r="D2910" s="29" t="inlineStr">
        <is>
          <t>NURGÜL ADIGÜL</t>
        </is>
      </c>
      <c r="E2910" s="4" t="inlineStr">
        <is>
          <t>Salı</t>
        </is>
      </c>
      <c r="F2910" s="4" t="inlineStr">
        <is>
          <t>13.10.2026</t>
        </is>
      </c>
      <c r="G2910" s="4" t="inlineStr">
        <is>
          <t>15:54</t>
        </is>
      </c>
      <c r="H2910" s="4" t="inlineStr">
        <is>
          <t>13.10.2026</t>
        </is>
      </c>
      <c r="I2910" s="4" t="inlineStr">
        <is>
          <t>00:01</t>
        </is>
      </c>
      <c r="J2910" s="8" t="n">
        <v>7.5</v>
      </c>
      <c r="K2910" s="8" t="n">
        <v>7.5</v>
      </c>
      <c r="L2910" s="8" t="n">
        <v>0</v>
      </c>
      <c r="M2910" s="29" t="inlineStr">
        <is>
          <t>BİGADİÇ</t>
        </is>
      </c>
    </row>
    <row r="2911">
      <c r="A2911" s="4" t="n">
        <v>2910</v>
      </c>
      <c r="B2911" s="4" t="inlineStr">
        <is>
          <t>01352</t>
        </is>
      </c>
      <c r="C2911" s="4" t="inlineStr">
        <is>
          <t>01352</t>
        </is>
      </c>
      <c r="D2911" s="29" t="inlineStr">
        <is>
          <t>NURGÜL ADIGÜL</t>
        </is>
      </c>
      <c r="E2911" s="4" t="inlineStr">
        <is>
          <t>Çarşamba</t>
        </is>
      </c>
      <c r="F2911" s="4" t="inlineStr">
        <is>
          <t>14.10.2026</t>
        </is>
      </c>
      <c r="G2911" s="4" t="inlineStr">
        <is>
          <t>15:55</t>
        </is>
      </c>
      <c r="H2911" s="4" t="inlineStr">
        <is>
          <t>14.10.2026</t>
        </is>
      </c>
      <c r="I2911" s="4" t="inlineStr">
        <is>
          <t>00:30</t>
        </is>
      </c>
      <c r="J2911" s="8" t="n">
        <v>8</v>
      </c>
      <c r="K2911" s="8" t="n">
        <v>7.5</v>
      </c>
      <c r="L2911" s="8" t="n">
        <v>0.5</v>
      </c>
      <c r="M2911" s="29" t="inlineStr">
        <is>
          <t>BİGADİÇ</t>
        </is>
      </c>
    </row>
    <row r="2912">
      <c r="A2912" s="4" t="n">
        <v>2911</v>
      </c>
      <c r="B2912" s="4" t="inlineStr">
        <is>
          <t>01352</t>
        </is>
      </c>
      <c r="C2912" s="4" t="inlineStr">
        <is>
          <t>01352</t>
        </is>
      </c>
      <c r="D2912" s="29" t="inlineStr">
        <is>
          <t>NURGÜL ADIGÜL</t>
        </is>
      </c>
      <c r="E2912" s="4" t="inlineStr">
        <is>
          <t>Perşembe</t>
        </is>
      </c>
      <c r="F2912" s="4" t="inlineStr">
        <is>
          <t>15.10.2026</t>
        </is>
      </c>
      <c r="G2912" s="4" t="inlineStr">
        <is>
          <t>15:58</t>
        </is>
      </c>
      <c r="H2912" s="4" t="inlineStr">
        <is>
          <t>15.10.2026</t>
        </is>
      </c>
      <c r="I2912" s="4" t="inlineStr">
        <is>
          <t>00:00</t>
        </is>
      </c>
      <c r="J2912" s="8" t="n">
        <v>7.5</v>
      </c>
      <c r="K2912" s="8" t="n">
        <v>7.5</v>
      </c>
      <c r="L2912" s="8" t="n">
        <v>0</v>
      </c>
      <c r="M2912" s="29" t="inlineStr">
        <is>
          <t>BİGADİÇ</t>
        </is>
      </c>
    </row>
    <row r="2913">
      <c r="A2913" s="4" t="n">
        <v>2912</v>
      </c>
      <c r="B2913" s="4" t="inlineStr">
        <is>
          <t>01352</t>
        </is>
      </c>
      <c r="C2913" s="4" t="inlineStr">
        <is>
          <t>01352</t>
        </is>
      </c>
      <c r="D2913" s="29" t="inlineStr">
        <is>
          <t>NURGÜL ADIGÜL</t>
        </is>
      </c>
      <c r="E2913" s="4" t="inlineStr">
        <is>
          <t>Cuma</t>
        </is>
      </c>
      <c r="F2913" s="4" t="inlineStr">
        <is>
          <t>16.10.2026</t>
        </is>
      </c>
      <c r="G2913" s="4" t="inlineStr">
        <is>
          <t>15:57</t>
        </is>
      </c>
      <c r="H2913" s="4" t="inlineStr">
        <is>
          <t>16.10.2026</t>
        </is>
      </c>
      <c r="I2913" s="4" t="inlineStr">
        <is>
          <t>23:59</t>
        </is>
      </c>
      <c r="J2913" s="8" t="n">
        <v>7.5</v>
      </c>
      <c r="K2913" s="8" t="n">
        <v>7.5</v>
      </c>
      <c r="L2913" s="8" t="n">
        <v>0</v>
      </c>
      <c r="M2913" s="29" t="inlineStr">
        <is>
          <t>BİGADİÇ</t>
        </is>
      </c>
    </row>
    <row r="2914">
      <c r="A2914" s="4" t="n">
        <v>2913</v>
      </c>
      <c r="B2914" s="4" t="inlineStr">
        <is>
          <t>01352</t>
        </is>
      </c>
      <c r="C2914" s="4" t="inlineStr">
        <is>
          <t>01352</t>
        </is>
      </c>
      <c r="D2914" s="29" t="inlineStr">
        <is>
          <t>NURGÜL ADIGÜL</t>
        </is>
      </c>
      <c r="E2914" s="4" t="inlineStr">
        <is>
          <t>Cumartesi</t>
        </is>
      </c>
      <c r="F2914" s="4" t="inlineStr">
        <is>
          <t>17.10.2026</t>
        </is>
      </c>
      <c r="G2914" s="4" t="inlineStr">
        <is>
          <t>15:53</t>
        </is>
      </c>
      <c r="H2914" s="4" t="inlineStr">
        <is>
          <t>17.10.2026</t>
        </is>
      </c>
      <c r="I2914" s="4" t="inlineStr">
        <is>
          <t>00:00</t>
        </is>
      </c>
      <c r="J2914" s="8" t="n">
        <v>7.5</v>
      </c>
      <c r="K2914" s="8" t="n">
        <v>7.5</v>
      </c>
      <c r="L2914" s="8" t="n">
        <v>0</v>
      </c>
      <c r="M2914" s="29" t="inlineStr">
        <is>
          <t>BİGADİÇ</t>
        </is>
      </c>
    </row>
    <row r="2915">
      <c r="A2915" s="4" t="n">
        <v>2914</v>
      </c>
      <c r="B2915" s="4" t="inlineStr">
        <is>
          <t>01352</t>
        </is>
      </c>
      <c r="C2915" s="4" t="inlineStr">
        <is>
          <t>01352</t>
        </is>
      </c>
      <c r="D2915" s="29" t="inlineStr">
        <is>
          <t>NURGÜL ADIGÜL</t>
        </is>
      </c>
      <c r="E2915" s="4" t="inlineStr">
        <is>
          <t>Pazartesi</t>
        </is>
      </c>
      <c r="F2915" s="4" t="inlineStr">
        <is>
          <t>19.10.2026</t>
        </is>
      </c>
      <c r="G2915" s="4" t="inlineStr">
        <is>
          <t>15:53</t>
        </is>
      </c>
      <c r="H2915" s="4" t="inlineStr">
        <is>
          <t>19.10.2026</t>
        </is>
      </c>
      <c r="I2915" s="4" t="inlineStr">
        <is>
          <t>00:02</t>
        </is>
      </c>
      <c r="J2915" s="8" t="n">
        <v>7.5</v>
      </c>
      <c r="K2915" s="8" t="n">
        <v>7.5</v>
      </c>
      <c r="L2915" s="8" t="n">
        <v>0</v>
      </c>
      <c r="M2915" s="29" t="inlineStr">
        <is>
          <t>BİGADİÇ</t>
        </is>
      </c>
    </row>
    <row r="2916">
      <c r="A2916" s="4" t="n">
        <v>2915</v>
      </c>
      <c r="B2916" s="4" t="inlineStr">
        <is>
          <t>01352</t>
        </is>
      </c>
      <c r="C2916" s="4" t="inlineStr">
        <is>
          <t>01352</t>
        </is>
      </c>
      <c r="D2916" s="29" t="inlineStr">
        <is>
          <t>NURGÜL ADIGÜL</t>
        </is>
      </c>
      <c r="E2916" s="4" t="inlineStr">
        <is>
          <t>Salı</t>
        </is>
      </c>
      <c r="F2916" s="4" t="inlineStr">
        <is>
          <t>20.10.2026</t>
        </is>
      </c>
      <c r="G2916" s="4" t="inlineStr">
        <is>
          <t>16:04</t>
        </is>
      </c>
      <c r="H2916" s="4" t="inlineStr">
        <is>
          <t>20.10.2026</t>
        </is>
      </c>
      <c r="I2916" s="4" t="inlineStr">
        <is>
          <t>00:01</t>
        </is>
      </c>
      <c r="J2916" s="8" t="n">
        <v>7.5</v>
      </c>
      <c r="K2916" s="8" t="n">
        <v>7.5</v>
      </c>
      <c r="L2916" s="8" t="n">
        <v>0</v>
      </c>
      <c r="M2916" s="29" t="inlineStr">
        <is>
          <t>BİGADİÇ</t>
        </is>
      </c>
    </row>
    <row r="2917">
      <c r="A2917" s="4" t="n">
        <v>2916</v>
      </c>
      <c r="B2917" s="4" t="inlineStr">
        <is>
          <t>01352</t>
        </is>
      </c>
      <c r="C2917" s="4" t="inlineStr">
        <is>
          <t>01352</t>
        </is>
      </c>
      <c r="D2917" s="29" t="inlineStr">
        <is>
          <t>NURGÜL ADIGÜL</t>
        </is>
      </c>
      <c r="E2917" s="4" t="inlineStr">
        <is>
          <t>Çarşamba</t>
        </is>
      </c>
      <c r="F2917" s="4" t="inlineStr">
        <is>
          <t>21.10.2026</t>
        </is>
      </c>
      <c r="G2917" s="4" t="inlineStr">
        <is>
          <t>15:51</t>
        </is>
      </c>
      <c r="H2917" s="4" t="inlineStr">
        <is>
          <t>21.10.2026</t>
        </is>
      </c>
      <c r="I2917" s="4" t="inlineStr">
        <is>
          <t>-</t>
        </is>
      </c>
      <c r="J2917" s="8" t="n">
        <v>7.5</v>
      </c>
      <c r="K2917" s="8" t="n">
        <v>7.5</v>
      </c>
      <c r="L2917" s="8" t="n">
        <v>0</v>
      </c>
      <c r="M2917" s="29" t="inlineStr">
        <is>
          <t>BİGADİÇ</t>
        </is>
      </c>
    </row>
    <row r="2918">
      <c r="A2918" s="4" t="n">
        <v>2917</v>
      </c>
      <c r="B2918" s="4" t="inlineStr">
        <is>
          <t>01441</t>
        </is>
      </c>
      <c r="C2918" s="4" t="inlineStr">
        <is>
          <t>01441</t>
        </is>
      </c>
      <c r="D2918" s="29" t="inlineStr">
        <is>
          <t>NURHAN ARABACI</t>
        </is>
      </c>
      <c r="E2918" s="4" t="inlineStr">
        <is>
          <t>Cuma</t>
        </is>
      </c>
      <c r="F2918" s="4" t="inlineStr">
        <is>
          <t>2.10.2026</t>
        </is>
      </c>
      <c r="G2918" s="4" t="inlineStr">
        <is>
          <t>-</t>
        </is>
      </c>
      <c r="H2918" s="4" t="inlineStr">
        <is>
          <t>2.10.2026</t>
        </is>
      </c>
      <c r="I2918" s="4" t="inlineStr">
        <is>
          <t>17:54</t>
        </is>
      </c>
      <c r="J2918" s="8" t="n">
        <v>8.5</v>
      </c>
      <c r="K2918" s="8" t="n">
        <v>7.5</v>
      </c>
      <c r="L2918" s="8" t="n">
        <v>1</v>
      </c>
      <c r="M2918" s="29" t="inlineStr">
        <is>
          <t>HALİL DİĞRENCİ</t>
        </is>
      </c>
    </row>
    <row r="2919">
      <c r="A2919" s="4" t="n">
        <v>2918</v>
      </c>
      <c r="B2919" s="4" t="inlineStr">
        <is>
          <t>01441</t>
        </is>
      </c>
      <c r="C2919" s="4" t="inlineStr">
        <is>
          <t>01441</t>
        </is>
      </c>
      <c r="D2919" s="29" t="inlineStr">
        <is>
          <t>NURHAN ARABACI</t>
        </is>
      </c>
      <c r="E2919" s="4" t="inlineStr">
        <is>
          <t>Cumartesi</t>
        </is>
      </c>
      <c r="F2919" s="4" t="inlineStr">
        <is>
          <t>3.10.2026</t>
        </is>
      </c>
      <c r="G2919" s="4" t="inlineStr">
        <is>
          <t>07:36</t>
        </is>
      </c>
      <c r="H2919" s="4" t="inlineStr">
        <is>
          <t>3.10.2026</t>
        </is>
      </c>
      <c r="I2919" s="4" t="inlineStr">
        <is>
          <t>17:43</t>
        </is>
      </c>
      <c r="J2919" s="8" t="n">
        <v>8</v>
      </c>
      <c r="K2919" s="8" t="n">
        <v>7.5</v>
      </c>
      <c r="L2919" s="8" t="n">
        <v>0.5</v>
      </c>
      <c r="M2919" s="29" t="inlineStr">
        <is>
          <t>HALİL DİĞRENCİ</t>
        </is>
      </c>
    </row>
    <row r="2920">
      <c r="A2920" s="4" t="n">
        <v>2919</v>
      </c>
      <c r="B2920" s="4" t="inlineStr">
        <is>
          <t>01441</t>
        </is>
      </c>
      <c r="C2920" s="4" t="inlineStr">
        <is>
          <t>01441</t>
        </is>
      </c>
      <c r="D2920" s="29" t="inlineStr">
        <is>
          <t>NURHAN ARABACI</t>
        </is>
      </c>
      <c r="E2920" s="4" t="inlineStr">
        <is>
          <t>Pazartesi</t>
        </is>
      </c>
      <c r="F2920" s="4" t="inlineStr">
        <is>
          <t>5.10.2026</t>
        </is>
      </c>
      <c r="G2920" s="4" t="inlineStr">
        <is>
          <t>07:39</t>
        </is>
      </c>
      <c r="H2920" s="4" t="inlineStr">
        <is>
          <t>5.10.2026</t>
        </is>
      </c>
      <c r="I2920" s="4" t="inlineStr">
        <is>
          <t>17:07</t>
        </is>
      </c>
      <c r="J2920" s="8" t="n">
        <v>7.5</v>
      </c>
      <c r="K2920" s="8" t="n">
        <v>7.5</v>
      </c>
      <c r="L2920" s="8" t="n">
        <v>0</v>
      </c>
      <c r="M2920" s="29" t="inlineStr">
        <is>
          <t>HALİL DİĞRENCİ</t>
        </is>
      </c>
    </row>
    <row r="2921">
      <c r="A2921" s="4" t="n">
        <v>2920</v>
      </c>
      <c r="B2921" s="4" t="inlineStr">
        <is>
          <t>01441</t>
        </is>
      </c>
      <c r="C2921" s="4" t="inlineStr">
        <is>
          <t>01441</t>
        </is>
      </c>
      <c r="D2921" s="29" t="inlineStr">
        <is>
          <t>NURHAN ARABACI</t>
        </is>
      </c>
      <c r="E2921" s="4" t="inlineStr">
        <is>
          <t>Salı</t>
        </is>
      </c>
      <c r="F2921" s="4" t="inlineStr">
        <is>
          <t>6.10.2026</t>
        </is>
      </c>
      <c r="G2921" s="4" t="inlineStr">
        <is>
          <t>07:41</t>
        </is>
      </c>
      <c r="H2921" s="4" t="inlineStr">
        <is>
          <t>6.10.2026</t>
        </is>
      </c>
      <c r="I2921" s="4" t="inlineStr">
        <is>
          <t>17:43</t>
        </is>
      </c>
      <c r="J2921" s="8" t="n">
        <v>8</v>
      </c>
      <c r="K2921" s="8" t="n">
        <v>7.5</v>
      </c>
      <c r="L2921" s="8" t="n">
        <v>0.5</v>
      </c>
      <c r="M2921" s="29" t="inlineStr">
        <is>
          <t>HALİL DİĞRENCİ</t>
        </is>
      </c>
    </row>
    <row r="2922">
      <c r="A2922" s="4" t="n">
        <v>2921</v>
      </c>
      <c r="B2922" s="4" t="inlineStr">
        <is>
          <t>01441</t>
        </is>
      </c>
      <c r="C2922" s="4" t="inlineStr">
        <is>
          <t>01441</t>
        </is>
      </c>
      <c r="D2922" s="29" t="inlineStr">
        <is>
          <t>NURHAN ARABACI</t>
        </is>
      </c>
      <c r="E2922" s="4" t="inlineStr">
        <is>
          <t>Çarşamba</t>
        </is>
      </c>
      <c r="F2922" s="4" t="inlineStr">
        <is>
          <t>7.10.2026</t>
        </is>
      </c>
      <c r="G2922" s="4" t="inlineStr">
        <is>
          <t>07:37</t>
        </is>
      </c>
      <c r="H2922" s="4" t="inlineStr">
        <is>
          <t>7.10.2026</t>
        </is>
      </c>
      <c r="I2922" s="4" t="inlineStr">
        <is>
          <t>17:27</t>
        </is>
      </c>
      <c r="J2922" s="8" t="n">
        <v>8</v>
      </c>
      <c r="K2922" s="8" t="n">
        <v>7.5</v>
      </c>
      <c r="L2922" s="8" t="n">
        <v>0.5</v>
      </c>
      <c r="M2922" s="29" t="inlineStr">
        <is>
          <t>HALİL DİĞRENCİ</t>
        </is>
      </c>
    </row>
    <row r="2923">
      <c r="A2923" s="4" t="n">
        <v>2922</v>
      </c>
      <c r="B2923" s="4" t="inlineStr">
        <is>
          <t>01535</t>
        </is>
      </c>
      <c r="C2923" s="4" t="inlineStr">
        <is>
          <t>01535</t>
        </is>
      </c>
      <c r="D2923" s="29" t="inlineStr">
        <is>
          <t>NURHAYAT AY</t>
        </is>
      </c>
      <c r="E2923" s="4" t="inlineStr">
        <is>
          <t>Perşembe</t>
        </is>
      </c>
      <c r="F2923" s="4" t="inlineStr">
        <is>
          <t>8.10.2026</t>
        </is>
      </c>
      <c r="G2923" s="4" t="inlineStr">
        <is>
          <t>08:05</t>
        </is>
      </c>
      <c r="H2923" s="4" t="inlineStr">
        <is>
          <t>8.10.2026</t>
        </is>
      </c>
      <c r="I2923" s="4" t="inlineStr">
        <is>
          <t>17:07</t>
        </is>
      </c>
      <c r="J2923" s="8" t="n">
        <v>7.5</v>
      </c>
      <c r="K2923" s="8" t="n">
        <v>7.5</v>
      </c>
      <c r="L2923" s="8" t="n">
        <v>0</v>
      </c>
      <c r="M2923" s="29" t="inlineStr">
        <is>
          <t>HALİL DİĞRENCİ</t>
        </is>
      </c>
    </row>
    <row r="2924">
      <c r="A2924" s="4" t="n">
        <v>2923</v>
      </c>
      <c r="B2924" s="4" t="inlineStr">
        <is>
          <t>00003</t>
        </is>
      </c>
      <c r="C2924" s="4" t="inlineStr">
        <is>
          <t>00003</t>
        </is>
      </c>
      <c r="D2924" s="29" t="inlineStr">
        <is>
          <t>NURİ GÜLSER</t>
        </is>
      </c>
      <c r="E2924" s="4" t="inlineStr">
        <is>
          <t>Perşembe</t>
        </is>
      </c>
      <c r="F2924" s="4" t="inlineStr">
        <is>
          <t>1.10.2026</t>
        </is>
      </c>
      <c r="G2924" s="4" t="inlineStr">
        <is>
          <t>07:46</t>
        </is>
      </c>
      <c r="H2924" s="4" t="inlineStr">
        <is>
          <t>1.10.2026</t>
        </is>
      </c>
      <c r="I2924" s="4" t="inlineStr">
        <is>
          <t>16:13</t>
        </is>
      </c>
      <c r="J2924" s="8" t="n">
        <v>7.5</v>
      </c>
      <c r="K2924" s="8" t="n">
        <v>7.5</v>
      </c>
      <c r="L2924" s="8" t="n">
        <v>0</v>
      </c>
      <c r="M2924" s="29" t="inlineStr">
        <is>
          <t>GÖBEL</t>
        </is>
      </c>
    </row>
    <row r="2925">
      <c r="A2925" s="4" t="n">
        <v>2924</v>
      </c>
      <c r="B2925" s="4" t="inlineStr">
        <is>
          <t>00003</t>
        </is>
      </c>
      <c r="C2925" s="4" t="inlineStr">
        <is>
          <t>00003</t>
        </is>
      </c>
      <c r="D2925" s="29" t="inlineStr">
        <is>
          <t>NURİ GÜLSER</t>
        </is>
      </c>
      <c r="E2925" s="4" t="inlineStr">
        <is>
          <t>Cuma</t>
        </is>
      </c>
      <c r="F2925" s="4" t="inlineStr">
        <is>
          <t>2.10.2026</t>
        </is>
      </c>
      <c r="G2925" s="4" t="inlineStr">
        <is>
          <t>07:40</t>
        </is>
      </c>
      <c r="H2925" s="4" t="inlineStr">
        <is>
          <t>2.10.2026</t>
        </is>
      </c>
      <c r="I2925" s="4" t="inlineStr">
        <is>
          <t>15:51</t>
        </is>
      </c>
      <c r="J2925" s="8" t="n">
        <v>7.5</v>
      </c>
      <c r="K2925" s="8" t="n">
        <v>7.5</v>
      </c>
      <c r="L2925" s="8" t="n">
        <v>0</v>
      </c>
      <c r="M2925" s="29" t="inlineStr">
        <is>
          <t>GÖBEL</t>
        </is>
      </c>
    </row>
    <row r="2926">
      <c r="A2926" s="4" t="n">
        <v>2925</v>
      </c>
      <c r="B2926" s="4" t="inlineStr">
        <is>
          <t>00003</t>
        </is>
      </c>
      <c r="C2926" s="4" t="inlineStr">
        <is>
          <t>00003</t>
        </is>
      </c>
      <c r="D2926" s="29" t="inlineStr">
        <is>
          <t>NURİ GÜLSER</t>
        </is>
      </c>
      <c r="E2926" s="4" t="inlineStr">
        <is>
          <t>Cumartesi</t>
        </is>
      </c>
      <c r="F2926" s="4" t="inlineStr">
        <is>
          <t>3.10.2026</t>
        </is>
      </c>
      <c r="G2926" s="4" t="inlineStr">
        <is>
          <t>07:43</t>
        </is>
      </c>
      <c r="H2926" s="4" t="inlineStr">
        <is>
          <t>3.10.2026</t>
        </is>
      </c>
      <c r="I2926" s="4" t="inlineStr">
        <is>
          <t>15:57</t>
        </is>
      </c>
      <c r="J2926" s="8" t="n">
        <v>7.5</v>
      </c>
      <c r="K2926" s="8" t="n">
        <v>7.5</v>
      </c>
      <c r="L2926" s="8" t="n">
        <v>0</v>
      </c>
      <c r="M2926" s="29" t="inlineStr">
        <is>
          <t>GÖBEL</t>
        </is>
      </c>
    </row>
    <row r="2927">
      <c r="A2927" s="4" t="n">
        <v>2926</v>
      </c>
      <c r="B2927" s="4" t="inlineStr">
        <is>
          <t>00003</t>
        </is>
      </c>
      <c r="C2927" s="4" t="inlineStr">
        <is>
          <t>00003</t>
        </is>
      </c>
      <c r="D2927" s="29" t="inlineStr">
        <is>
          <t>NURİ GÜLSER</t>
        </is>
      </c>
      <c r="E2927" s="4" t="inlineStr">
        <is>
          <t>Pazar</t>
        </is>
      </c>
      <c r="F2927" s="4" t="inlineStr">
        <is>
          <t>4.10.2026</t>
        </is>
      </c>
      <c r="G2927" s="4" t="inlineStr">
        <is>
          <t>07:44</t>
        </is>
      </c>
      <c r="H2927" s="4" t="inlineStr">
        <is>
          <t>4.10.2026</t>
        </is>
      </c>
      <c r="I2927" s="4" t="inlineStr">
        <is>
          <t>16:12</t>
        </is>
      </c>
      <c r="J2927" s="8" t="n">
        <v>7.5</v>
      </c>
      <c r="K2927" s="8" t="n">
        <v>7.5</v>
      </c>
      <c r="L2927" s="8" t="n">
        <v>0</v>
      </c>
      <c r="M2927" s="29" t="inlineStr">
        <is>
          <t>GÖBEL</t>
        </is>
      </c>
    </row>
    <row r="2928">
      <c r="A2928" s="4" t="n">
        <v>2927</v>
      </c>
      <c r="B2928" s="4" t="inlineStr">
        <is>
          <t>00003</t>
        </is>
      </c>
      <c r="C2928" s="4" t="inlineStr">
        <is>
          <t>00003</t>
        </is>
      </c>
      <c r="D2928" s="29" t="inlineStr">
        <is>
          <t>NURİ GÜLSER</t>
        </is>
      </c>
      <c r="E2928" s="4" t="inlineStr">
        <is>
          <t>Pazartesi</t>
        </is>
      </c>
      <c r="F2928" s="4" t="inlineStr">
        <is>
          <t>5.10.2026</t>
        </is>
      </c>
      <c r="G2928" s="4" t="inlineStr">
        <is>
          <t>13:34</t>
        </is>
      </c>
      <c r="H2928" s="4" t="inlineStr">
        <is>
          <t>5.10.2026</t>
        </is>
      </c>
      <c r="I2928" s="4" t="inlineStr">
        <is>
          <t>15:52</t>
        </is>
      </c>
      <c r="J2928" s="8" t="n">
        <v>2.5</v>
      </c>
      <c r="K2928" s="8" t="n">
        <v>2.5</v>
      </c>
      <c r="L2928" s="8" t="n">
        <v>0</v>
      </c>
      <c r="M2928" s="29" t="inlineStr">
        <is>
          <t>GÖBEL</t>
        </is>
      </c>
    </row>
    <row r="2929">
      <c r="A2929" s="4" t="n">
        <v>2928</v>
      </c>
      <c r="B2929" s="4" t="inlineStr">
        <is>
          <t>00003</t>
        </is>
      </c>
      <c r="C2929" s="4" t="inlineStr">
        <is>
          <t>00003</t>
        </is>
      </c>
      <c r="D2929" s="29" t="inlineStr">
        <is>
          <t>NURİ GÜLSER</t>
        </is>
      </c>
      <c r="E2929" s="4" t="inlineStr">
        <is>
          <t>Salı</t>
        </is>
      </c>
      <c r="F2929" s="4" t="inlineStr">
        <is>
          <t>6.10.2026</t>
        </is>
      </c>
      <c r="G2929" s="4" t="inlineStr">
        <is>
          <t>07:45</t>
        </is>
      </c>
      <c r="H2929" s="4" t="inlineStr">
        <is>
          <t>6.10.2026</t>
        </is>
      </c>
      <c r="I2929" s="4" t="inlineStr">
        <is>
          <t>16:01</t>
        </is>
      </c>
      <c r="J2929" s="8" t="n">
        <v>7.5</v>
      </c>
      <c r="K2929" s="8" t="n">
        <v>7.5</v>
      </c>
      <c r="L2929" s="8" t="n">
        <v>0</v>
      </c>
      <c r="M2929" s="29" t="inlineStr">
        <is>
          <t>GÖBEL</t>
        </is>
      </c>
    </row>
    <row r="2930">
      <c r="A2930" s="4" t="n">
        <v>2929</v>
      </c>
      <c r="B2930" s="4" t="inlineStr">
        <is>
          <t>00003</t>
        </is>
      </c>
      <c r="C2930" s="4" t="inlineStr">
        <is>
          <t>00003</t>
        </is>
      </c>
      <c r="D2930" s="29" t="inlineStr">
        <is>
          <t>NURİ GÜLSER</t>
        </is>
      </c>
      <c r="E2930" s="4" t="inlineStr">
        <is>
          <t>Çarşamba</t>
        </is>
      </c>
      <c r="F2930" s="4" t="inlineStr">
        <is>
          <t>7.10.2026</t>
        </is>
      </c>
      <c r="G2930" s="4" t="inlineStr">
        <is>
          <t>07:43</t>
        </is>
      </c>
      <c r="H2930" s="4" t="inlineStr">
        <is>
          <t>7.10.2026</t>
        </is>
      </c>
      <c r="I2930" s="4" t="inlineStr">
        <is>
          <t>16:01</t>
        </is>
      </c>
      <c r="J2930" s="8" t="n">
        <v>7.5</v>
      </c>
      <c r="K2930" s="8" t="n">
        <v>7.5</v>
      </c>
      <c r="L2930" s="8" t="n">
        <v>0</v>
      </c>
      <c r="M2930" s="29" t="inlineStr">
        <is>
          <t>GÖBEL</t>
        </is>
      </c>
    </row>
    <row r="2931">
      <c r="A2931" s="4" t="n">
        <v>2930</v>
      </c>
      <c r="B2931" s="4" t="inlineStr">
        <is>
          <t>00003</t>
        </is>
      </c>
      <c r="C2931" s="4" t="inlineStr">
        <is>
          <t>00003</t>
        </is>
      </c>
      <c r="D2931" s="29" t="inlineStr">
        <is>
          <t>NURİ GÜLSER</t>
        </is>
      </c>
      <c r="E2931" s="4" t="inlineStr">
        <is>
          <t>Perşembe</t>
        </is>
      </c>
      <c r="F2931" s="4" t="inlineStr">
        <is>
          <t>8.10.2026</t>
        </is>
      </c>
      <c r="G2931" s="4" t="inlineStr">
        <is>
          <t>07:43</t>
        </is>
      </c>
      <c r="H2931" s="4" t="inlineStr">
        <is>
          <t>8.10.2026</t>
        </is>
      </c>
      <c r="I2931" s="4" t="inlineStr">
        <is>
          <t>16:03</t>
        </is>
      </c>
      <c r="J2931" s="8" t="n">
        <v>7.5</v>
      </c>
      <c r="K2931" s="8" t="n">
        <v>7.5</v>
      </c>
      <c r="L2931" s="8" t="n">
        <v>0</v>
      </c>
      <c r="M2931" s="29" t="inlineStr">
        <is>
          <t>GÖBEL</t>
        </is>
      </c>
    </row>
    <row r="2932">
      <c r="A2932" s="4" t="n">
        <v>2931</v>
      </c>
      <c r="B2932" s="4" t="inlineStr">
        <is>
          <t>00003</t>
        </is>
      </c>
      <c r="C2932" s="4" t="inlineStr">
        <is>
          <t>00003</t>
        </is>
      </c>
      <c r="D2932" s="29" t="inlineStr">
        <is>
          <t>NURİ GÜLSER</t>
        </is>
      </c>
      <c r="E2932" s="4" t="inlineStr">
        <is>
          <t>Cuma</t>
        </is>
      </c>
      <c r="F2932" s="4" t="inlineStr">
        <is>
          <t>9.10.2026</t>
        </is>
      </c>
      <c r="G2932" s="4" t="inlineStr">
        <is>
          <t>07:42</t>
        </is>
      </c>
      <c r="H2932" s="4" t="inlineStr">
        <is>
          <t>9.10.2026</t>
        </is>
      </c>
      <c r="I2932" s="4" t="inlineStr">
        <is>
          <t>16:01</t>
        </is>
      </c>
      <c r="J2932" s="8" t="n">
        <v>7.5</v>
      </c>
      <c r="K2932" s="8" t="n">
        <v>7.5</v>
      </c>
      <c r="L2932" s="8" t="n">
        <v>0</v>
      </c>
      <c r="M2932" s="29" t="inlineStr">
        <is>
          <t>GÖBEL</t>
        </is>
      </c>
    </row>
    <row r="2933">
      <c r="A2933" s="4" t="n">
        <v>2932</v>
      </c>
      <c r="B2933" s="4" t="inlineStr">
        <is>
          <t>00003</t>
        </is>
      </c>
      <c r="C2933" s="4" t="inlineStr">
        <is>
          <t>00003</t>
        </is>
      </c>
      <c r="D2933" s="29" t="inlineStr">
        <is>
          <t>NURİ GÜLSER</t>
        </is>
      </c>
      <c r="E2933" s="4" t="inlineStr">
        <is>
          <t>Cumartesi</t>
        </is>
      </c>
      <c r="F2933" s="4" t="inlineStr">
        <is>
          <t>10.10.2026</t>
        </is>
      </c>
      <c r="G2933" s="4" t="inlineStr">
        <is>
          <t>07:45</t>
        </is>
      </c>
      <c r="H2933" s="4" t="inlineStr">
        <is>
          <t>10.10.2026</t>
        </is>
      </c>
      <c r="I2933" s="4" t="inlineStr">
        <is>
          <t>16:06</t>
        </is>
      </c>
      <c r="J2933" s="8" t="n">
        <v>7.5</v>
      </c>
      <c r="K2933" s="8" t="n">
        <v>7.5</v>
      </c>
      <c r="L2933" s="8" t="n">
        <v>0</v>
      </c>
      <c r="M2933" s="29" t="inlineStr">
        <is>
          <t>GÖBEL</t>
        </is>
      </c>
    </row>
    <row r="2934">
      <c r="A2934" s="4" t="n">
        <v>2933</v>
      </c>
      <c r="B2934" s="4" t="inlineStr">
        <is>
          <t>00003</t>
        </is>
      </c>
      <c r="C2934" s="4" t="inlineStr">
        <is>
          <t>00003</t>
        </is>
      </c>
      <c r="D2934" s="29" t="inlineStr">
        <is>
          <t>NURİ GÜLSER</t>
        </is>
      </c>
      <c r="E2934" s="4" t="inlineStr">
        <is>
          <t>Pazartesi</t>
        </is>
      </c>
      <c r="F2934" s="4" t="inlineStr">
        <is>
          <t>12.10.2026</t>
        </is>
      </c>
      <c r="G2934" s="4" t="inlineStr">
        <is>
          <t>07:42</t>
        </is>
      </c>
      <c r="H2934" s="4" t="inlineStr">
        <is>
          <t>12.10.2026</t>
        </is>
      </c>
      <c r="I2934" s="4" t="inlineStr">
        <is>
          <t>15:52</t>
        </is>
      </c>
      <c r="J2934" s="8" t="n">
        <v>7.5</v>
      </c>
      <c r="K2934" s="8" t="n">
        <v>7.5</v>
      </c>
      <c r="L2934" s="8" t="n">
        <v>0</v>
      </c>
      <c r="M2934" s="29" t="inlineStr">
        <is>
          <t>GÖBEL</t>
        </is>
      </c>
    </row>
    <row r="2935">
      <c r="A2935" s="4" t="n">
        <v>2934</v>
      </c>
      <c r="B2935" s="4" t="inlineStr">
        <is>
          <t>00003</t>
        </is>
      </c>
      <c r="C2935" s="4" t="inlineStr">
        <is>
          <t>00003</t>
        </is>
      </c>
      <c r="D2935" s="29" t="inlineStr">
        <is>
          <t>NURİ GÜLSER</t>
        </is>
      </c>
      <c r="E2935" s="4" t="inlineStr">
        <is>
          <t>Salı</t>
        </is>
      </c>
      <c r="F2935" s="4" t="inlineStr">
        <is>
          <t>13.10.2026</t>
        </is>
      </c>
      <c r="G2935" s="4" t="inlineStr">
        <is>
          <t>07:49</t>
        </is>
      </c>
      <c r="H2935" s="4" t="inlineStr">
        <is>
          <t>13.10.2026</t>
        </is>
      </c>
      <c r="I2935" s="4" t="inlineStr">
        <is>
          <t>16:04</t>
        </is>
      </c>
      <c r="J2935" s="8" t="n">
        <v>7.5</v>
      </c>
      <c r="K2935" s="8" t="n">
        <v>7.5</v>
      </c>
      <c r="L2935" s="8" t="n">
        <v>0</v>
      </c>
      <c r="M2935" s="29" t="inlineStr">
        <is>
          <t>GÖBEL</t>
        </is>
      </c>
    </row>
    <row r="2936">
      <c r="A2936" s="4" t="n">
        <v>2935</v>
      </c>
      <c r="B2936" s="4" t="inlineStr">
        <is>
          <t>00003</t>
        </is>
      </c>
      <c r="C2936" s="4" t="inlineStr">
        <is>
          <t>00003</t>
        </is>
      </c>
      <c r="D2936" s="29" t="inlineStr">
        <is>
          <t>NURİ GÜLSER</t>
        </is>
      </c>
      <c r="E2936" s="4" t="inlineStr">
        <is>
          <t>Çarşamba</t>
        </is>
      </c>
      <c r="F2936" s="4" t="inlineStr">
        <is>
          <t>14.10.2026</t>
        </is>
      </c>
      <c r="G2936" s="4" t="inlineStr">
        <is>
          <t>10:04</t>
        </is>
      </c>
      <c r="H2936" s="4" t="inlineStr">
        <is>
          <t>14.10.2026</t>
        </is>
      </c>
      <c r="I2936" s="4" t="inlineStr">
        <is>
          <t>16:00</t>
        </is>
      </c>
      <c r="J2936" s="8" t="n">
        <v>7.5</v>
      </c>
      <c r="K2936" s="8" t="n">
        <v>7.5</v>
      </c>
      <c r="L2936" s="8" t="n">
        <v>0</v>
      </c>
      <c r="M2936" s="29" t="inlineStr">
        <is>
          <t>GÖBEL</t>
        </is>
      </c>
    </row>
    <row r="2937">
      <c r="A2937" s="4" t="n">
        <v>2936</v>
      </c>
      <c r="B2937" s="4" t="inlineStr">
        <is>
          <t>00003</t>
        </is>
      </c>
      <c r="C2937" s="4" t="inlineStr">
        <is>
          <t>00003</t>
        </is>
      </c>
      <c r="D2937" s="29" t="inlineStr">
        <is>
          <t>NURİ GÜLSER</t>
        </is>
      </c>
      <c r="E2937" s="4" t="inlineStr">
        <is>
          <t>Perşembe</t>
        </is>
      </c>
      <c r="F2937" s="4" t="inlineStr">
        <is>
          <t>15.10.2026</t>
        </is>
      </c>
      <c r="G2937" s="4" t="inlineStr">
        <is>
          <t>07:50</t>
        </is>
      </c>
      <c r="H2937" s="4" t="inlineStr">
        <is>
          <t>15.10.2026</t>
        </is>
      </c>
      <c r="I2937" s="4" t="inlineStr">
        <is>
          <t>-</t>
        </is>
      </c>
      <c r="J2937" s="8" t="n">
        <v>7.5</v>
      </c>
      <c r="K2937" s="8" t="n">
        <v>7.5</v>
      </c>
      <c r="L2937" s="8" t="n">
        <v>0</v>
      </c>
      <c r="M2937" s="29" t="inlineStr">
        <is>
          <t>GÖBEL</t>
        </is>
      </c>
    </row>
    <row r="2938">
      <c r="A2938" s="4" t="n">
        <v>2937</v>
      </c>
      <c r="B2938" s="4" t="inlineStr">
        <is>
          <t>00003</t>
        </is>
      </c>
      <c r="C2938" s="4" t="inlineStr">
        <is>
          <t>00003</t>
        </is>
      </c>
      <c r="D2938" s="29" t="inlineStr">
        <is>
          <t>NURİ GÜLSER</t>
        </is>
      </c>
      <c r="E2938" s="4" t="inlineStr">
        <is>
          <t>Cuma</t>
        </is>
      </c>
      <c r="F2938" s="4" t="inlineStr">
        <is>
          <t>16.10.2026</t>
        </is>
      </c>
      <c r="G2938" s="4" t="inlineStr">
        <is>
          <t>07:48</t>
        </is>
      </c>
      <c r="H2938" s="4" t="inlineStr">
        <is>
          <t>16.10.2026</t>
        </is>
      </c>
      <c r="I2938" s="4" t="inlineStr">
        <is>
          <t>16:41</t>
        </is>
      </c>
      <c r="J2938" s="8" t="n">
        <v>7</v>
      </c>
      <c r="K2938" s="8" t="n">
        <v>7</v>
      </c>
      <c r="L2938" s="8" t="n">
        <v>0</v>
      </c>
      <c r="M2938" s="29" t="inlineStr">
        <is>
          <t>GÖBEL</t>
        </is>
      </c>
    </row>
    <row r="2939">
      <c r="A2939" s="4" t="n">
        <v>2938</v>
      </c>
      <c r="B2939" s="4" t="inlineStr">
        <is>
          <t>00003</t>
        </is>
      </c>
      <c r="C2939" s="4" t="inlineStr">
        <is>
          <t>00003</t>
        </is>
      </c>
      <c r="D2939" s="29" t="inlineStr">
        <is>
          <t>NURİ GÜLSER</t>
        </is>
      </c>
      <c r="E2939" s="4" t="inlineStr">
        <is>
          <t>Cumartesi</t>
        </is>
      </c>
      <c r="F2939" s="4" t="inlineStr">
        <is>
          <t>17.10.2026</t>
        </is>
      </c>
      <c r="G2939" s="4" t="inlineStr">
        <is>
          <t>07:46</t>
        </is>
      </c>
      <c r="H2939" s="4" t="inlineStr">
        <is>
          <t>17.10.2026</t>
        </is>
      </c>
      <c r="I2939" s="4" t="inlineStr">
        <is>
          <t>15:51</t>
        </is>
      </c>
      <c r="J2939" s="8" t="n">
        <v>7.5</v>
      </c>
      <c r="K2939" s="8" t="n">
        <v>7.5</v>
      </c>
      <c r="L2939" s="8" t="n">
        <v>0</v>
      </c>
      <c r="M2939" s="29" t="inlineStr">
        <is>
          <t>GÖBEL</t>
        </is>
      </c>
    </row>
    <row r="2940">
      <c r="A2940" s="4" t="n">
        <v>2939</v>
      </c>
      <c r="B2940" s="4" t="inlineStr">
        <is>
          <t>00003</t>
        </is>
      </c>
      <c r="C2940" s="4" t="inlineStr">
        <is>
          <t>00003</t>
        </is>
      </c>
      <c r="D2940" s="29" t="inlineStr">
        <is>
          <t>NURİ GÜLSER</t>
        </is>
      </c>
      <c r="E2940" s="4" t="inlineStr">
        <is>
          <t>Pazar</t>
        </is>
      </c>
      <c r="F2940" s="4" t="inlineStr">
        <is>
          <t>18.10.2026</t>
        </is>
      </c>
      <c r="G2940" s="4" t="inlineStr">
        <is>
          <t>08:00</t>
        </is>
      </c>
      <c r="H2940" s="4" t="inlineStr">
        <is>
          <t>18.10.2026</t>
        </is>
      </c>
      <c r="I2940" s="4" t="inlineStr">
        <is>
          <t>15:40</t>
        </is>
      </c>
      <c r="J2940" s="8" t="n">
        <v>6</v>
      </c>
      <c r="K2940" s="8" t="n">
        <v>6</v>
      </c>
      <c r="L2940" s="8" t="n">
        <v>0</v>
      </c>
      <c r="M2940" s="29" t="inlineStr">
        <is>
          <t>GÖBEL</t>
        </is>
      </c>
    </row>
    <row r="2941">
      <c r="A2941" s="4" t="n">
        <v>2940</v>
      </c>
      <c r="B2941" s="4" t="inlineStr">
        <is>
          <t>00003</t>
        </is>
      </c>
      <c r="C2941" s="4" t="inlineStr">
        <is>
          <t>00003</t>
        </is>
      </c>
      <c r="D2941" s="29" t="inlineStr">
        <is>
          <t>NURİ GÜLSER</t>
        </is>
      </c>
      <c r="E2941" s="4" t="inlineStr">
        <is>
          <t>Pazartesi</t>
        </is>
      </c>
      <c r="F2941" s="4" t="inlineStr">
        <is>
          <t>19.10.2026</t>
        </is>
      </c>
      <c r="G2941" s="4" t="inlineStr">
        <is>
          <t>07:45</t>
        </is>
      </c>
      <c r="H2941" s="4" t="inlineStr">
        <is>
          <t>19.10.2026</t>
        </is>
      </c>
      <c r="I2941" s="4" t="inlineStr">
        <is>
          <t>15:57</t>
        </is>
      </c>
      <c r="J2941" s="8" t="n">
        <v>7.5</v>
      </c>
      <c r="K2941" s="8" t="n">
        <v>7.5</v>
      </c>
      <c r="L2941" s="8" t="n">
        <v>0</v>
      </c>
      <c r="M2941" s="29" t="inlineStr">
        <is>
          <t>GÖBEL</t>
        </is>
      </c>
    </row>
    <row r="2942">
      <c r="A2942" s="4" t="n">
        <v>2941</v>
      </c>
      <c r="B2942" s="4" t="inlineStr">
        <is>
          <t>00003</t>
        </is>
      </c>
      <c r="C2942" s="4" t="inlineStr">
        <is>
          <t>00003</t>
        </is>
      </c>
      <c r="D2942" s="29" t="inlineStr">
        <is>
          <t>NURİ GÜLSER</t>
        </is>
      </c>
      <c r="E2942" s="4" t="inlineStr">
        <is>
          <t>Salı</t>
        </is>
      </c>
      <c r="F2942" s="4" t="inlineStr">
        <is>
          <t>20.10.2026</t>
        </is>
      </c>
      <c r="G2942" s="4" t="inlineStr">
        <is>
          <t>07:47</t>
        </is>
      </c>
      <c r="H2942" s="4" t="inlineStr">
        <is>
          <t>20.10.2026</t>
        </is>
      </c>
      <c r="I2942" s="4" t="inlineStr">
        <is>
          <t>-</t>
        </is>
      </c>
      <c r="J2942" s="8" t="n">
        <v>7.5</v>
      </c>
      <c r="K2942" s="8" t="n">
        <v>7.5</v>
      </c>
      <c r="L2942" s="8" t="n">
        <v>0</v>
      </c>
      <c r="M2942" s="29" t="inlineStr">
        <is>
          <t>GÖBEL</t>
        </is>
      </c>
    </row>
    <row r="2943">
      <c r="A2943" s="4" t="n">
        <v>2942</v>
      </c>
      <c r="B2943" s="4" t="inlineStr">
        <is>
          <t>00003</t>
        </is>
      </c>
      <c r="C2943" s="4" t="inlineStr">
        <is>
          <t>00003</t>
        </is>
      </c>
      <c r="D2943" s="29" t="inlineStr">
        <is>
          <t>NURİ GÜLSER</t>
        </is>
      </c>
      <c r="E2943" s="4" t="inlineStr">
        <is>
          <t>Çarşamba</t>
        </is>
      </c>
      <c r="F2943" s="4" t="inlineStr">
        <is>
          <t>21.10.2026</t>
        </is>
      </c>
      <c r="G2943" s="4" t="inlineStr">
        <is>
          <t>07:47</t>
        </is>
      </c>
      <c r="H2943" s="4" t="inlineStr">
        <is>
          <t>21.10.2026</t>
        </is>
      </c>
      <c r="I2943" s="4" t="inlineStr">
        <is>
          <t>15:49</t>
        </is>
      </c>
      <c r="J2943" s="8" t="n">
        <v>6.5</v>
      </c>
      <c r="K2943" s="8" t="n">
        <v>6.5</v>
      </c>
      <c r="L2943" s="8" t="n">
        <v>0</v>
      </c>
      <c r="M2943" s="29" t="inlineStr">
        <is>
          <t>GÖBEL</t>
        </is>
      </c>
    </row>
    <row r="2944">
      <c r="A2944" s="4" t="n">
        <v>2943</v>
      </c>
      <c r="B2944" s="4" t="inlineStr">
        <is>
          <t>00237</t>
        </is>
      </c>
      <c r="C2944" s="4" t="inlineStr">
        <is>
          <t>00237</t>
        </is>
      </c>
      <c r="D2944" s="29" t="inlineStr">
        <is>
          <t>NURİYE AKKUŞ</t>
        </is>
      </c>
      <c r="E2944" s="4" t="inlineStr">
        <is>
          <t>Perşembe</t>
        </is>
      </c>
      <c r="F2944" s="4" t="inlineStr">
        <is>
          <t>1.10.2026</t>
        </is>
      </c>
      <c r="G2944" s="4" t="inlineStr">
        <is>
          <t>07:44</t>
        </is>
      </c>
      <c r="H2944" s="4" t="inlineStr">
        <is>
          <t>1.10.2026</t>
        </is>
      </c>
      <c r="I2944" s="4" t="inlineStr">
        <is>
          <t>17:30</t>
        </is>
      </c>
      <c r="J2944" s="8" t="n">
        <v>8</v>
      </c>
      <c r="K2944" s="8" t="n">
        <v>7.5</v>
      </c>
      <c r="L2944" s="8" t="n">
        <v>0.5</v>
      </c>
      <c r="M2944" s="29" t="inlineStr">
        <is>
          <t>BANDIRMA</t>
        </is>
      </c>
    </row>
    <row r="2945">
      <c r="A2945" s="4" t="n">
        <v>2944</v>
      </c>
      <c r="B2945" s="4" t="inlineStr">
        <is>
          <t>00237</t>
        </is>
      </c>
      <c r="C2945" s="4" t="inlineStr">
        <is>
          <t>00237</t>
        </is>
      </c>
      <c r="D2945" s="29" t="inlineStr">
        <is>
          <t>NURİYE AKKUŞ</t>
        </is>
      </c>
      <c r="E2945" s="4" t="inlineStr">
        <is>
          <t>Cuma</t>
        </is>
      </c>
      <c r="F2945" s="4" t="inlineStr">
        <is>
          <t>2.10.2026</t>
        </is>
      </c>
      <c r="G2945" s="4" t="inlineStr">
        <is>
          <t>07:43</t>
        </is>
      </c>
      <c r="H2945" s="4" t="inlineStr">
        <is>
          <t>2.10.2026</t>
        </is>
      </c>
      <c r="I2945" s="4" t="inlineStr">
        <is>
          <t>17:48</t>
        </is>
      </c>
      <c r="J2945" s="8" t="n">
        <v>8.5</v>
      </c>
      <c r="K2945" s="8" t="n">
        <v>7.5</v>
      </c>
      <c r="L2945" s="8" t="n">
        <v>1</v>
      </c>
      <c r="M2945" s="29" t="inlineStr">
        <is>
          <t>BANDIRMA</t>
        </is>
      </c>
    </row>
    <row r="2946">
      <c r="A2946" s="4" t="n">
        <v>2945</v>
      </c>
      <c r="B2946" s="4" t="inlineStr">
        <is>
          <t>00237</t>
        </is>
      </c>
      <c r="C2946" s="4" t="inlineStr">
        <is>
          <t>00237</t>
        </is>
      </c>
      <c r="D2946" s="29" t="inlineStr">
        <is>
          <t>NURİYE AKKUŞ</t>
        </is>
      </c>
      <c r="E2946" s="4" t="inlineStr">
        <is>
          <t>Pazartesi</t>
        </is>
      </c>
      <c r="F2946" s="4" t="inlineStr">
        <is>
          <t>5.10.2026</t>
        </is>
      </c>
      <c r="G2946" s="4" t="inlineStr">
        <is>
          <t>07:44</t>
        </is>
      </c>
      <c r="H2946" s="4" t="inlineStr">
        <is>
          <t>5.10.2026</t>
        </is>
      </c>
      <c r="I2946" s="4" t="inlineStr">
        <is>
          <t>17:05</t>
        </is>
      </c>
      <c r="J2946" s="8" t="n">
        <v>7.5</v>
      </c>
      <c r="K2946" s="8" t="n">
        <v>7.5</v>
      </c>
      <c r="L2946" s="8" t="n">
        <v>0</v>
      </c>
      <c r="M2946" s="29" t="inlineStr">
        <is>
          <t>BANDIRMA</t>
        </is>
      </c>
    </row>
    <row r="2947">
      <c r="A2947" s="4" t="n">
        <v>2946</v>
      </c>
      <c r="B2947" s="4" t="inlineStr">
        <is>
          <t>00237</t>
        </is>
      </c>
      <c r="C2947" s="4" t="inlineStr">
        <is>
          <t>00237</t>
        </is>
      </c>
      <c r="D2947" s="29" t="inlineStr">
        <is>
          <t>NURİYE AKKUŞ</t>
        </is>
      </c>
      <c r="E2947" s="4" t="inlineStr">
        <is>
          <t>Salı</t>
        </is>
      </c>
      <c r="F2947" s="4" t="inlineStr">
        <is>
          <t>6.10.2026</t>
        </is>
      </c>
      <c r="G2947" s="4" t="inlineStr">
        <is>
          <t>07:43</t>
        </is>
      </c>
      <c r="H2947" s="4" t="inlineStr">
        <is>
          <t>6.10.2026</t>
        </is>
      </c>
      <c r="I2947" s="4" t="inlineStr">
        <is>
          <t>17:44</t>
        </is>
      </c>
      <c r="J2947" s="8" t="n">
        <v>8</v>
      </c>
      <c r="K2947" s="8" t="n">
        <v>7.5</v>
      </c>
      <c r="L2947" s="8" t="n">
        <v>0.5</v>
      </c>
      <c r="M2947" s="29" t="inlineStr">
        <is>
          <t>BANDIRMA</t>
        </is>
      </c>
    </row>
    <row r="2948">
      <c r="A2948" s="4" t="n">
        <v>2947</v>
      </c>
      <c r="B2948" s="4" t="inlineStr">
        <is>
          <t>00237</t>
        </is>
      </c>
      <c r="C2948" s="4" t="inlineStr">
        <is>
          <t>00237</t>
        </is>
      </c>
      <c r="D2948" s="29" t="inlineStr">
        <is>
          <t>NURİYE AKKUŞ</t>
        </is>
      </c>
      <c r="E2948" s="4" t="inlineStr">
        <is>
          <t>Çarşamba</t>
        </is>
      </c>
      <c r="F2948" s="4" t="inlineStr">
        <is>
          <t>7.10.2026</t>
        </is>
      </c>
      <c r="G2948" s="4" t="inlineStr">
        <is>
          <t>07:44</t>
        </is>
      </c>
      <c r="H2948" s="4" t="inlineStr">
        <is>
          <t>7.10.2026</t>
        </is>
      </c>
      <c r="I2948" s="4" t="inlineStr">
        <is>
          <t>17:28</t>
        </is>
      </c>
      <c r="J2948" s="8" t="n">
        <v>8</v>
      </c>
      <c r="K2948" s="8" t="n">
        <v>7.5</v>
      </c>
      <c r="L2948" s="8" t="n">
        <v>0.5</v>
      </c>
      <c r="M2948" s="29" t="inlineStr">
        <is>
          <t>BANDIRMA</t>
        </is>
      </c>
    </row>
    <row r="2949">
      <c r="A2949" s="4" t="n">
        <v>2948</v>
      </c>
      <c r="B2949" s="4" t="inlineStr">
        <is>
          <t>00237</t>
        </is>
      </c>
      <c r="C2949" s="4" t="inlineStr">
        <is>
          <t>00237</t>
        </is>
      </c>
      <c r="D2949" s="29" t="inlineStr">
        <is>
          <t>NURİYE AKKUŞ</t>
        </is>
      </c>
      <c r="E2949" s="4" t="inlineStr">
        <is>
          <t>Perşembe</t>
        </is>
      </c>
      <c r="F2949" s="4" t="inlineStr">
        <is>
          <t>8.10.2026</t>
        </is>
      </c>
      <c r="G2949" s="4" t="inlineStr">
        <is>
          <t>07:44</t>
        </is>
      </c>
      <c r="H2949" s="4" t="inlineStr">
        <is>
          <t>8.10.2026</t>
        </is>
      </c>
      <c r="I2949" s="4" t="inlineStr">
        <is>
          <t>17:37</t>
        </is>
      </c>
      <c r="J2949" s="8" t="n">
        <v>8</v>
      </c>
      <c r="K2949" s="8" t="n">
        <v>7.5</v>
      </c>
      <c r="L2949" s="8" t="n">
        <v>0.5</v>
      </c>
      <c r="M2949" s="29" t="inlineStr">
        <is>
          <t>BANDIRMA</t>
        </is>
      </c>
    </row>
    <row r="2950">
      <c r="A2950" s="4" t="n">
        <v>2949</v>
      </c>
      <c r="B2950" s="4" t="inlineStr">
        <is>
          <t>00237</t>
        </is>
      </c>
      <c r="C2950" s="4" t="inlineStr">
        <is>
          <t>00237</t>
        </is>
      </c>
      <c r="D2950" s="29" t="inlineStr">
        <is>
          <t>NURİYE AKKUŞ</t>
        </is>
      </c>
      <c r="E2950" s="4" t="inlineStr">
        <is>
          <t>Cuma</t>
        </is>
      </c>
      <c r="F2950" s="4" t="inlineStr">
        <is>
          <t>9.10.2026</t>
        </is>
      </c>
      <c r="G2950" s="4" t="inlineStr">
        <is>
          <t>07:41</t>
        </is>
      </c>
      <c r="H2950" s="4" t="inlineStr">
        <is>
          <t>9.10.2026</t>
        </is>
      </c>
      <c r="I2950" s="4" t="inlineStr">
        <is>
          <t>17:46</t>
        </is>
      </c>
      <c r="J2950" s="8" t="n">
        <v>8.5</v>
      </c>
      <c r="K2950" s="8" t="n">
        <v>7.5</v>
      </c>
      <c r="L2950" s="8" t="n">
        <v>1</v>
      </c>
      <c r="M2950" s="29" t="inlineStr">
        <is>
          <t>BANDIRMA</t>
        </is>
      </c>
    </row>
    <row r="2951">
      <c r="A2951" s="4" t="n">
        <v>2950</v>
      </c>
      <c r="B2951" s="4" t="inlineStr">
        <is>
          <t>00237</t>
        </is>
      </c>
      <c r="C2951" s="4" t="inlineStr">
        <is>
          <t>00237</t>
        </is>
      </c>
      <c r="D2951" s="29" t="inlineStr">
        <is>
          <t>NURİYE AKKUŞ</t>
        </is>
      </c>
      <c r="E2951" s="4" t="inlineStr">
        <is>
          <t>Cumartesi</t>
        </is>
      </c>
      <c r="F2951" s="4" t="inlineStr">
        <is>
          <t>10.10.2026</t>
        </is>
      </c>
      <c r="G2951" s="4" t="inlineStr">
        <is>
          <t>07:41</t>
        </is>
      </c>
      <c r="H2951" s="4" t="inlineStr">
        <is>
          <t>10.10.2026</t>
        </is>
      </c>
      <c r="I2951" s="4" t="inlineStr">
        <is>
          <t>18:12</t>
        </is>
      </c>
      <c r="J2951" s="8" t="n">
        <v>8.5</v>
      </c>
      <c r="K2951" s="8" t="n">
        <v>7.5</v>
      </c>
      <c r="L2951" s="8" t="n">
        <v>1</v>
      </c>
      <c r="M2951" s="29" t="inlineStr">
        <is>
          <t>BANDIRMA</t>
        </is>
      </c>
    </row>
    <row r="2952">
      <c r="A2952" s="4" t="n">
        <v>2951</v>
      </c>
      <c r="B2952" s="4" t="inlineStr">
        <is>
          <t>00237</t>
        </is>
      </c>
      <c r="C2952" s="4" t="inlineStr">
        <is>
          <t>00237</t>
        </is>
      </c>
      <c r="D2952" s="29" t="inlineStr">
        <is>
          <t>NURİYE AKKUŞ</t>
        </is>
      </c>
      <c r="E2952" s="4" t="inlineStr">
        <is>
          <t>Pazartesi</t>
        </is>
      </c>
      <c r="F2952" s="4" t="inlineStr">
        <is>
          <t>12.10.2026</t>
        </is>
      </c>
      <c r="G2952" s="4" t="inlineStr">
        <is>
          <t>07:48</t>
        </is>
      </c>
      <c r="H2952" s="4" t="inlineStr">
        <is>
          <t>12.10.2026</t>
        </is>
      </c>
      <c r="I2952" s="4" t="inlineStr">
        <is>
          <t>17:03</t>
        </is>
      </c>
      <c r="J2952" s="8" t="n">
        <v>7.5</v>
      </c>
      <c r="K2952" s="8" t="n">
        <v>7.5</v>
      </c>
      <c r="L2952" s="8" t="n">
        <v>0</v>
      </c>
      <c r="M2952" s="29" t="inlineStr">
        <is>
          <t>BANDIRMA</t>
        </is>
      </c>
    </row>
    <row r="2953">
      <c r="A2953" s="4" t="n">
        <v>2952</v>
      </c>
      <c r="B2953" s="4" t="inlineStr">
        <is>
          <t>00237</t>
        </is>
      </c>
      <c r="C2953" s="4" t="inlineStr">
        <is>
          <t>00237</t>
        </is>
      </c>
      <c r="D2953" s="29" t="inlineStr">
        <is>
          <t>NURİYE AKKUŞ</t>
        </is>
      </c>
      <c r="E2953" s="4" t="inlineStr">
        <is>
          <t>Salı</t>
        </is>
      </c>
      <c r="F2953" s="4" t="inlineStr">
        <is>
          <t>13.10.2026</t>
        </is>
      </c>
      <c r="G2953" s="4" t="inlineStr">
        <is>
          <t>07:46</t>
        </is>
      </c>
      <c r="H2953" s="4" t="inlineStr">
        <is>
          <t>13.10.2026</t>
        </is>
      </c>
      <c r="I2953" s="4" t="inlineStr">
        <is>
          <t>17:02</t>
        </is>
      </c>
      <c r="J2953" s="8" t="n">
        <v>7.5</v>
      </c>
      <c r="K2953" s="8" t="n">
        <v>7.5</v>
      </c>
      <c r="L2953" s="8" t="n">
        <v>0</v>
      </c>
      <c r="M2953" s="29" t="inlineStr">
        <is>
          <t>BANDIRMA</t>
        </is>
      </c>
    </row>
    <row r="2954">
      <c r="A2954" s="4" t="n">
        <v>2953</v>
      </c>
      <c r="B2954" s="4" t="inlineStr">
        <is>
          <t>00237</t>
        </is>
      </c>
      <c r="C2954" s="4" t="inlineStr">
        <is>
          <t>00237</t>
        </is>
      </c>
      <c r="D2954" s="29" t="inlineStr">
        <is>
          <t>NURİYE AKKUŞ</t>
        </is>
      </c>
      <c r="E2954" s="4" t="inlineStr">
        <is>
          <t>Çarşamba</t>
        </is>
      </c>
      <c r="F2954" s="4" t="inlineStr">
        <is>
          <t>14.10.2026</t>
        </is>
      </c>
      <c r="G2954" s="4" t="inlineStr">
        <is>
          <t>07:48</t>
        </is>
      </c>
      <c r="H2954" s="4" t="inlineStr">
        <is>
          <t>14.10.2026</t>
        </is>
      </c>
      <c r="I2954" s="4" t="inlineStr">
        <is>
          <t>18:07</t>
        </is>
      </c>
      <c r="J2954" s="8" t="n">
        <v>8.5</v>
      </c>
      <c r="K2954" s="8" t="n">
        <v>7.5</v>
      </c>
      <c r="L2954" s="8" t="n">
        <v>1</v>
      </c>
      <c r="M2954" s="29" t="inlineStr">
        <is>
          <t>BANDIRMA</t>
        </is>
      </c>
    </row>
    <row r="2955">
      <c r="A2955" s="4" t="n">
        <v>2954</v>
      </c>
      <c r="B2955" s="4" t="inlineStr">
        <is>
          <t>00237</t>
        </is>
      </c>
      <c r="C2955" s="4" t="inlineStr">
        <is>
          <t>00237</t>
        </is>
      </c>
      <c r="D2955" s="29" t="inlineStr">
        <is>
          <t>NURİYE AKKUŞ</t>
        </is>
      </c>
      <c r="E2955" s="4" t="inlineStr">
        <is>
          <t>Perşembe</t>
        </is>
      </c>
      <c r="F2955" s="4" t="inlineStr">
        <is>
          <t>15.10.2026</t>
        </is>
      </c>
      <c r="G2955" s="4" t="inlineStr">
        <is>
          <t>07:44</t>
        </is>
      </c>
      <c r="H2955" s="4" t="inlineStr">
        <is>
          <t>15.10.2026</t>
        </is>
      </c>
      <c r="I2955" s="4" t="inlineStr">
        <is>
          <t>17:05</t>
        </is>
      </c>
      <c r="J2955" s="8" t="n">
        <v>7.5</v>
      </c>
      <c r="K2955" s="8" t="n">
        <v>7.5</v>
      </c>
      <c r="L2955" s="8" t="n">
        <v>0</v>
      </c>
      <c r="M2955" s="29" t="inlineStr">
        <is>
          <t>BANDIRMA</t>
        </is>
      </c>
    </row>
    <row r="2956">
      <c r="A2956" s="4" t="n">
        <v>2955</v>
      </c>
      <c r="B2956" s="4" t="inlineStr">
        <is>
          <t>00237</t>
        </is>
      </c>
      <c r="C2956" s="4" t="inlineStr">
        <is>
          <t>00237</t>
        </is>
      </c>
      <c r="D2956" s="29" t="inlineStr">
        <is>
          <t>NURİYE AKKUŞ</t>
        </is>
      </c>
      <c r="E2956" s="4" t="inlineStr">
        <is>
          <t>Pazartesi</t>
        </is>
      </c>
      <c r="F2956" s="4" t="inlineStr">
        <is>
          <t>19.10.2026</t>
        </is>
      </c>
      <c r="G2956" s="4" t="inlineStr">
        <is>
          <t>07:56</t>
        </is>
      </c>
      <c r="H2956" s="4" t="inlineStr">
        <is>
          <t>19.10.2026</t>
        </is>
      </c>
      <c r="I2956" s="4" t="inlineStr">
        <is>
          <t>17:47</t>
        </is>
      </c>
      <c r="J2956" s="8" t="n">
        <v>8.5</v>
      </c>
      <c r="K2956" s="8" t="n">
        <v>7.5</v>
      </c>
      <c r="L2956" s="8" t="n">
        <v>1</v>
      </c>
      <c r="M2956" s="29" t="inlineStr">
        <is>
          <t>BANDIRMA</t>
        </is>
      </c>
    </row>
    <row r="2957">
      <c r="A2957" s="4" t="n">
        <v>2956</v>
      </c>
      <c r="B2957" s="4" t="inlineStr">
        <is>
          <t>00137</t>
        </is>
      </c>
      <c r="C2957" s="4" t="inlineStr">
        <is>
          <t>00137</t>
        </is>
      </c>
      <c r="D2957" s="29" t="inlineStr">
        <is>
          <t>NURTEN CAN</t>
        </is>
      </c>
      <c r="E2957" s="4" t="inlineStr">
        <is>
          <t>Perşembe</t>
        </is>
      </c>
      <c r="F2957" s="4" t="inlineStr">
        <is>
          <t>1.10.2026</t>
        </is>
      </c>
      <c r="G2957" s="4" t="inlineStr">
        <is>
          <t>07:38</t>
        </is>
      </c>
      <c r="H2957" s="4" t="inlineStr">
        <is>
          <t>1.10.2026</t>
        </is>
      </c>
      <c r="I2957" s="4" t="inlineStr">
        <is>
          <t>17:01</t>
        </is>
      </c>
      <c r="J2957" s="8" t="n">
        <v>7.5</v>
      </c>
      <c r="K2957" s="8" t="n">
        <v>7.5</v>
      </c>
      <c r="L2957" s="8" t="n">
        <v>0</v>
      </c>
      <c r="M2957" s="29" t="inlineStr">
        <is>
          <t>SUSURLUK TUR-REŞAT</t>
        </is>
      </c>
    </row>
    <row r="2958">
      <c r="A2958" s="4" t="n">
        <v>2957</v>
      </c>
      <c r="B2958" s="4" t="inlineStr">
        <is>
          <t>00137</t>
        </is>
      </c>
      <c r="C2958" s="4" t="inlineStr">
        <is>
          <t>00137</t>
        </is>
      </c>
      <c r="D2958" s="29" t="inlineStr">
        <is>
          <t>NURTEN CAN</t>
        </is>
      </c>
      <c r="E2958" s="4" t="inlineStr">
        <is>
          <t>Cuma</t>
        </is>
      </c>
      <c r="F2958" s="4" t="inlineStr">
        <is>
          <t>2.10.2026</t>
        </is>
      </c>
      <c r="G2958" s="4" t="inlineStr">
        <is>
          <t>07:43</t>
        </is>
      </c>
      <c r="H2958" s="4" t="inlineStr">
        <is>
          <t>2.10.2026</t>
        </is>
      </c>
      <c r="I2958" s="4" t="inlineStr">
        <is>
          <t>17:04</t>
        </is>
      </c>
      <c r="J2958" s="8" t="n">
        <v>7.5</v>
      </c>
      <c r="K2958" s="8" t="n">
        <v>7.5</v>
      </c>
      <c r="L2958" s="8" t="n">
        <v>0</v>
      </c>
      <c r="M2958" s="29" t="inlineStr">
        <is>
          <t>SUSURLUK TUR-REŞAT</t>
        </is>
      </c>
    </row>
    <row r="2959">
      <c r="A2959" s="4" t="n">
        <v>2958</v>
      </c>
      <c r="B2959" s="4" t="inlineStr">
        <is>
          <t>00137</t>
        </is>
      </c>
      <c r="C2959" s="4" t="inlineStr">
        <is>
          <t>00137</t>
        </is>
      </c>
      <c r="D2959" s="29" t="inlineStr">
        <is>
          <t>NURTEN CAN</t>
        </is>
      </c>
      <c r="E2959" s="4" t="inlineStr">
        <is>
          <t>Cumartesi</t>
        </is>
      </c>
      <c r="F2959" s="4" t="inlineStr">
        <is>
          <t>3.10.2026</t>
        </is>
      </c>
      <c r="G2959" s="4" t="inlineStr">
        <is>
          <t>07:45</t>
        </is>
      </c>
      <c r="H2959" s="4" t="inlineStr">
        <is>
          <t>3.10.2026</t>
        </is>
      </c>
      <c r="I2959" s="4" t="inlineStr">
        <is>
          <t>17:04</t>
        </is>
      </c>
      <c r="J2959" s="8" t="n">
        <v>7.5</v>
      </c>
      <c r="K2959" s="8" t="n">
        <v>7.5</v>
      </c>
      <c r="L2959" s="8" t="n">
        <v>0</v>
      </c>
      <c r="M2959" s="29" t="inlineStr">
        <is>
          <t>SUSURLUK TUR-REŞAT</t>
        </is>
      </c>
    </row>
    <row r="2960">
      <c r="A2960" s="4" t="n">
        <v>2959</v>
      </c>
      <c r="B2960" s="4" t="inlineStr">
        <is>
          <t>00137</t>
        </is>
      </c>
      <c r="C2960" s="4" t="inlineStr">
        <is>
          <t>00137</t>
        </is>
      </c>
      <c r="D2960" s="29" t="inlineStr">
        <is>
          <t>NURTEN CAN</t>
        </is>
      </c>
      <c r="E2960" s="4" t="inlineStr">
        <is>
          <t>Pazartesi</t>
        </is>
      </c>
      <c r="F2960" s="4" t="inlineStr">
        <is>
          <t>5.10.2026</t>
        </is>
      </c>
      <c r="G2960" s="4" t="inlineStr">
        <is>
          <t>07:43</t>
        </is>
      </c>
      <c r="H2960" s="4" t="inlineStr">
        <is>
          <t>5.10.2026</t>
        </is>
      </c>
      <c r="I2960" s="4" t="inlineStr">
        <is>
          <t>19:17</t>
        </is>
      </c>
      <c r="J2960" s="8" t="n">
        <v>9.5</v>
      </c>
      <c r="K2960" s="8" t="n">
        <v>7.5</v>
      </c>
      <c r="L2960" s="8" t="n">
        <v>2</v>
      </c>
      <c r="M2960" s="29" t="inlineStr">
        <is>
          <t>SUSURLUK TUR-REŞAT</t>
        </is>
      </c>
    </row>
    <row r="2961">
      <c r="A2961" s="4" t="n">
        <v>2960</v>
      </c>
      <c r="B2961" s="4" t="inlineStr">
        <is>
          <t>00137</t>
        </is>
      </c>
      <c r="C2961" s="4" t="inlineStr">
        <is>
          <t>00137</t>
        </is>
      </c>
      <c r="D2961" s="29" t="inlineStr">
        <is>
          <t>NURTEN CAN</t>
        </is>
      </c>
      <c r="E2961" s="4" t="inlineStr">
        <is>
          <t>Salı</t>
        </is>
      </c>
      <c r="F2961" s="4" t="inlineStr">
        <is>
          <t>6.10.2026</t>
        </is>
      </c>
      <c r="G2961" s="4" t="inlineStr">
        <is>
          <t>07:43</t>
        </is>
      </c>
      <c r="H2961" s="4" t="inlineStr">
        <is>
          <t>6.10.2026</t>
        </is>
      </c>
      <c r="I2961" s="4" t="inlineStr">
        <is>
          <t>17:10</t>
        </is>
      </c>
      <c r="J2961" s="8" t="n">
        <v>7.5</v>
      </c>
      <c r="K2961" s="8" t="n">
        <v>7.5</v>
      </c>
      <c r="L2961" s="8" t="n">
        <v>0</v>
      </c>
      <c r="M2961" s="29" t="inlineStr">
        <is>
          <t>SUSURLUK TUR-REŞAT</t>
        </is>
      </c>
    </row>
    <row r="2962">
      <c r="A2962" s="4" t="n">
        <v>2961</v>
      </c>
      <c r="B2962" s="4" t="inlineStr">
        <is>
          <t>00137</t>
        </is>
      </c>
      <c r="C2962" s="4" t="inlineStr">
        <is>
          <t>00137</t>
        </is>
      </c>
      <c r="D2962" s="29" t="inlineStr">
        <is>
          <t>NURTEN CAN</t>
        </is>
      </c>
      <c r="E2962" s="4" t="inlineStr">
        <is>
          <t>Çarşamba</t>
        </is>
      </c>
      <c r="F2962" s="4" t="inlineStr">
        <is>
          <t>7.10.2026</t>
        </is>
      </c>
      <c r="G2962" s="4" t="inlineStr">
        <is>
          <t>07:41</t>
        </is>
      </c>
      <c r="H2962" s="4" t="inlineStr">
        <is>
          <t>7.10.2026</t>
        </is>
      </c>
      <c r="I2962" s="4" t="inlineStr">
        <is>
          <t>19:18</t>
        </is>
      </c>
      <c r="J2962" s="8" t="n">
        <v>9.5</v>
      </c>
      <c r="K2962" s="8" t="n">
        <v>7.5</v>
      </c>
      <c r="L2962" s="8" t="n">
        <v>2</v>
      </c>
      <c r="M2962" s="29" t="inlineStr">
        <is>
          <t>SUSURLUK TUR-REŞAT</t>
        </is>
      </c>
    </row>
    <row r="2963">
      <c r="A2963" s="4" t="n">
        <v>2962</v>
      </c>
      <c r="B2963" s="4" t="inlineStr">
        <is>
          <t>00137</t>
        </is>
      </c>
      <c r="C2963" s="4" t="inlineStr">
        <is>
          <t>00137</t>
        </is>
      </c>
      <c r="D2963" s="29" t="inlineStr">
        <is>
          <t>NURTEN CAN</t>
        </is>
      </c>
      <c r="E2963" s="4" t="inlineStr">
        <is>
          <t>Perşembe</t>
        </is>
      </c>
      <c r="F2963" s="4" t="inlineStr">
        <is>
          <t>8.10.2026</t>
        </is>
      </c>
      <c r="G2963" s="4" t="inlineStr">
        <is>
          <t>07:44</t>
        </is>
      </c>
      <c r="H2963" s="4" t="inlineStr">
        <is>
          <t>8.10.2026</t>
        </is>
      </c>
      <c r="I2963" s="4" t="inlineStr">
        <is>
          <t>17:06</t>
        </is>
      </c>
      <c r="J2963" s="8" t="n">
        <v>7.5</v>
      </c>
      <c r="K2963" s="8" t="n">
        <v>7.5</v>
      </c>
      <c r="L2963" s="8" t="n">
        <v>0</v>
      </c>
      <c r="M2963" s="29" t="inlineStr">
        <is>
          <t>SUSURLUK TUR-REŞAT</t>
        </is>
      </c>
    </row>
    <row r="2964">
      <c r="A2964" s="4" t="n">
        <v>2963</v>
      </c>
      <c r="B2964" s="4" t="inlineStr">
        <is>
          <t>00137</t>
        </is>
      </c>
      <c r="C2964" s="4" t="inlineStr">
        <is>
          <t>00137</t>
        </is>
      </c>
      <c r="D2964" s="29" t="inlineStr">
        <is>
          <t>NURTEN CAN</t>
        </is>
      </c>
      <c r="E2964" s="4" t="inlineStr">
        <is>
          <t>Cuma</t>
        </is>
      </c>
      <c r="F2964" s="4" t="inlineStr">
        <is>
          <t>9.10.2026</t>
        </is>
      </c>
      <c r="G2964" s="4" t="inlineStr">
        <is>
          <t>07:47</t>
        </is>
      </c>
      <c r="H2964" s="4" t="inlineStr">
        <is>
          <t>9.10.2026</t>
        </is>
      </c>
      <c r="I2964" s="4" t="inlineStr">
        <is>
          <t>17:09</t>
        </is>
      </c>
      <c r="J2964" s="8" t="n">
        <v>7.5</v>
      </c>
      <c r="K2964" s="8" t="n">
        <v>7.5</v>
      </c>
      <c r="L2964" s="8" t="n">
        <v>0</v>
      </c>
      <c r="M2964" s="29" t="inlineStr">
        <is>
          <t>SUSURLUK TUR-REŞAT</t>
        </is>
      </c>
    </row>
    <row r="2965">
      <c r="A2965" s="4" t="n">
        <v>2964</v>
      </c>
      <c r="B2965" s="4" t="inlineStr">
        <is>
          <t>00137</t>
        </is>
      </c>
      <c r="C2965" s="4" t="inlineStr">
        <is>
          <t>00137</t>
        </is>
      </c>
      <c r="D2965" s="29" t="inlineStr">
        <is>
          <t>NURTEN CAN</t>
        </is>
      </c>
      <c r="E2965" s="4" t="inlineStr">
        <is>
          <t>Cumartesi</t>
        </is>
      </c>
      <c r="F2965" s="4" t="inlineStr">
        <is>
          <t>10.10.2026</t>
        </is>
      </c>
      <c r="G2965" s="4" t="inlineStr">
        <is>
          <t>07:47</t>
        </is>
      </c>
      <c r="H2965" s="4" t="inlineStr">
        <is>
          <t>10.10.2026</t>
        </is>
      </c>
      <c r="I2965" s="4" t="inlineStr">
        <is>
          <t>17:10</t>
        </is>
      </c>
      <c r="J2965" s="8" t="n">
        <v>7.5</v>
      </c>
      <c r="K2965" s="8" t="n">
        <v>7.5</v>
      </c>
      <c r="L2965" s="8" t="n">
        <v>0</v>
      </c>
      <c r="M2965" s="29" t="inlineStr">
        <is>
          <t>SUSURLUK TUR-REŞAT</t>
        </is>
      </c>
    </row>
    <row r="2966">
      <c r="A2966" s="4" t="n">
        <v>2965</v>
      </c>
      <c r="B2966" s="4" t="inlineStr">
        <is>
          <t>00137</t>
        </is>
      </c>
      <c r="C2966" s="4" t="inlineStr">
        <is>
          <t>00137</t>
        </is>
      </c>
      <c r="D2966" s="29" t="inlineStr">
        <is>
          <t>NURTEN CAN</t>
        </is>
      </c>
      <c r="E2966" s="4" t="inlineStr">
        <is>
          <t>Pazartesi</t>
        </is>
      </c>
      <c r="F2966" s="4" t="inlineStr">
        <is>
          <t>12.10.2026</t>
        </is>
      </c>
      <c r="G2966" s="4" t="inlineStr">
        <is>
          <t>07:49</t>
        </is>
      </c>
      <c r="H2966" s="4" t="inlineStr">
        <is>
          <t>12.10.2026</t>
        </is>
      </c>
      <c r="I2966" s="4" t="inlineStr">
        <is>
          <t>17:02</t>
        </is>
      </c>
      <c r="J2966" s="8" t="n">
        <v>7.5</v>
      </c>
      <c r="K2966" s="8" t="n">
        <v>7.5</v>
      </c>
      <c r="L2966" s="8" t="n">
        <v>0</v>
      </c>
      <c r="M2966" s="29" t="inlineStr">
        <is>
          <t>SUSURLUK TUR-REŞAT</t>
        </is>
      </c>
    </row>
    <row r="2967">
      <c r="A2967" s="4" t="n">
        <v>2966</v>
      </c>
      <c r="B2967" s="4" t="inlineStr">
        <is>
          <t>00137</t>
        </is>
      </c>
      <c r="C2967" s="4" t="inlineStr">
        <is>
          <t>00137</t>
        </is>
      </c>
      <c r="D2967" s="29" t="inlineStr">
        <is>
          <t>NURTEN CAN</t>
        </is>
      </c>
      <c r="E2967" s="4" t="inlineStr">
        <is>
          <t>Salı</t>
        </is>
      </c>
      <c r="F2967" s="4" t="inlineStr">
        <is>
          <t>13.10.2026</t>
        </is>
      </c>
      <c r="G2967" s="4" t="inlineStr">
        <is>
          <t>07:48</t>
        </is>
      </c>
      <c r="H2967" s="4" t="inlineStr">
        <is>
          <t>13.10.2026</t>
        </is>
      </c>
      <c r="I2967" s="4" t="inlineStr">
        <is>
          <t>18:59</t>
        </is>
      </c>
      <c r="J2967" s="8" t="n">
        <v>9.5</v>
      </c>
      <c r="K2967" s="8" t="n">
        <v>7.5</v>
      </c>
      <c r="L2967" s="8" t="n">
        <v>2</v>
      </c>
      <c r="M2967" s="29" t="inlineStr">
        <is>
          <t>SUSURLUK TUR-REŞAT</t>
        </is>
      </c>
    </row>
    <row r="2968">
      <c r="A2968" s="4" t="n">
        <v>2967</v>
      </c>
      <c r="B2968" s="4" t="inlineStr">
        <is>
          <t>00137</t>
        </is>
      </c>
      <c r="C2968" s="4" t="inlineStr">
        <is>
          <t>00137</t>
        </is>
      </c>
      <c r="D2968" s="29" t="inlineStr">
        <is>
          <t>NURTEN CAN</t>
        </is>
      </c>
      <c r="E2968" s="4" t="inlineStr">
        <is>
          <t>Çarşamba</t>
        </is>
      </c>
      <c r="F2968" s="4" t="inlineStr">
        <is>
          <t>14.10.2026</t>
        </is>
      </c>
      <c r="G2968" s="4" t="inlineStr">
        <is>
          <t>07:48</t>
        </is>
      </c>
      <c r="H2968" s="4" t="inlineStr">
        <is>
          <t>14.10.2026</t>
        </is>
      </c>
      <c r="I2968" s="4" t="inlineStr">
        <is>
          <t>19:19</t>
        </is>
      </c>
      <c r="J2968" s="8" t="n">
        <v>9.5</v>
      </c>
      <c r="K2968" s="8" t="n">
        <v>7.5</v>
      </c>
      <c r="L2968" s="8" t="n">
        <v>2</v>
      </c>
      <c r="M2968" s="29" t="inlineStr">
        <is>
          <t>SUSURLUK TUR-REŞAT</t>
        </is>
      </c>
    </row>
    <row r="2969">
      <c r="A2969" s="4" t="n">
        <v>2968</v>
      </c>
      <c r="B2969" s="4" t="inlineStr">
        <is>
          <t>00137</t>
        </is>
      </c>
      <c r="C2969" s="4" t="inlineStr">
        <is>
          <t>00137</t>
        </is>
      </c>
      <c r="D2969" s="29" t="inlineStr">
        <is>
          <t>NURTEN CAN</t>
        </is>
      </c>
      <c r="E2969" s="4" t="inlineStr">
        <is>
          <t>Perşembe</t>
        </is>
      </c>
      <c r="F2969" s="4" t="inlineStr">
        <is>
          <t>15.10.2026</t>
        </is>
      </c>
      <c r="G2969" s="4" t="inlineStr">
        <is>
          <t>07:50</t>
        </is>
      </c>
      <c r="H2969" s="4" t="inlineStr">
        <is>
          <t>15.10.2026</t>
        </is>
      </c>
      <c r="I2969" s="4" t="inlineStr">
        <is>
          <t>19:14</t>
        </is>
      </c>
      <c r="J2969" s="8" t="n">
        <v>9.5</v>
      </c>
      <c r="K2969" s="8" t="n">
        <v>7.5</v>
      </c>
      <c r="L2969" s="8" t="n">
        <v>2</v>
      </c>
      <c r="M2969" s="29" t="inlineStr">
        <is>
          <t>SUSURLUK TUR-REŞAT</t>
        </is>
      </c>
    </row>
    <row r="2970">
      <c r="A2970" s="4" t="n">
        <v>2969</v>
      </c>
      <c r="B2970" s="4" t="inlineStr">
        <is>
          <t>00137</t>
        </is>
      </c>
      <c r="C2970" s="4" t="inlineStr">
        <is>
          <t>00137</t>
        </is>
      </c>
      <c r="D2970" s="29" t="inlineStr">
        <is>
          <t>NURTEN CAN</t>
        </is>
      </c>
      <c r="E2970" s="4" t="inlineStr">
        <is>
          <t>Cuma</t>
        </is>
      </c>
      <c r="F2970" s="4" t="inlineStr">
        <is>
          <t>16.10.2026</t>
        </is>
      </c>
      <c r="G2970" s="4" t="inlineStr">
        <is>
          <t>07:40</t>
        </is>
      </c>
      <c r="H2970" s="4" t="inlineStr">
        <is>
          <t>16.10.2026</t>
        </is>
      </c>
      <c r="I2970" s="4" t="inlineStr">
        <is>
          <t>17:06</t>
        </is>
      </c>
      <c r="J2970" s="8" t="n">
        <v>7.5</v>
      </c>
      <c r="K2970" s="8" t="n">
        <v>7.5</v>
      </c>
      <c r="L2970" s="8" t="n">
        <v>0</v>
      </c>
      <c r="M2970" s="29" t="inlineStr">
        <is>
          <t>SUSURLUK TUR-REŞAT</t>
        </is>
      </c>
    </row>
    <row r="2971">
      <c r="A2971" s="4" t="n">
        <v>2970</v>
      </c>
      <c r="B2971" s="4" t="inlineStr">
        <is>
          <t>00137</t>
        </is>
      </c>
      <c r="C2971" s="4" t="inlineStr">
        <is>
          <t>00137</t>
        </is>
      </c>
      <c r="D2971" s="29" t="inlineStr">
        <is>
          <t>NURTEN CAN</t>
        </is>
      </c>
      <c r="E2971" s="4" t="inlineStr">
        <is>
          <t>Cumartesi</t>
        </is>
      </c>
      <c r="F2971" s="4" t="inlineStr">
        <is>
          <t>17.10.2026</t>
        </is>
      </c>
      <c r="G2971" s="4" t="inlineStr">
        <is>
          <t>07:49</t>
        </is>
      </c>
      <c r="H2971" s="4" t="inlineStr">
        <is>
          <t>17.10.2026</t>
        </is>
      </c>
      <c r="I2971" s="4" t="inlineStr">
        <is>
          <t>21:22</t>
        </is>
      </c>
      <c r="J2971" s="8" t="n">
        <v>12</v>
      </c>
      <c r="K2971" s="8" t="n">
        <v>7.5</v>
      </c>
      <c r="L2971" s="8" t="n">
        <v>4.5</v>
      </c>
      <c r="M2971" s="29" t="inlineStr">
        <is>
          <t>SUSURLUK TUR-REŞAT</t>
        </is>
      </c>
    </row>
    <row r="2972">
      <c r="A2972" s="4" t="n">
        <v>2971</v>
      </c>
      <c r="B2972" s="4" t="inlineStr">
        <is>
          <t>00137</t>
        </is>
      </c>
      <c r="C2972" s="4" t="inlineStr">
        <is>
          <t>00137</t>
        </is>
      </c>
      <c r="D2972" s="29" t="inlineStr">
        <is>
          <t>NURTEN CAN</t>
        </is>
      </c>
      <c r="E2972" s="4" t="inlineStr">
        <is>
          <t>Pazartesi</t>
        </is>
      </c>
      <c r="F2972" s="4" t="inlineStr">
        <is>
          <t>19.10.2026</t>
        </is>
      </c>
      <c r="G2972" s="4" t="inlineStr">
        <is>
          <t>07:42</t>
        </is>
      </c>
      <c r="H2972" s="4" t="inlineStr">
        <is>
          <t>19.10.2026</t>
        </is>
      </c>
      <c r="I2972" s="4" t="inlineStr">
        <is>
          <t>17:06</t>
        </is>
      </c>
      <c r="J2972" s="8" t="n">
        <v>7.5</v>
      </c>
      <c r="K2972" s="8" t="n">
        <v>7.5</v>
      </c>
      <c r="L2972" s="8" t="n">
        <v>0</v>
      </c>
      <c r="M2972" s="29" t="inlineStr">
        <is>
          <t>SUSURLUK TUR-REŞAT</t>
        </is>
      </c>
    </row>
    <row r="2973">
      <c r="A2973" s="4" t="n">
        <v>2972</v>
      </c>
      <c r="B2973" s="4" t="inlineStr">
        <is>
          <t>00137</t>
        </is>
      </c>
      <c r="C2973" s="4" t="inlineStr">
        <is>
          <t>00137</t>
        </is>
      </c>
      <c r="D2973" s="29" t="inlineStr">
        <is>
          <t>NURTEN CAN</t>
        </is>
      </c>
      <c r="E2973" s="4" t="inlineStr">
        <is>
          <t>Salı</t>
        </is>
      </c>
      <c r="F2973" s="4" t="inlineStr">
        <is>
          <t>20.10.2026</t>
        </is>
      </c>
      <c r="G2973" s="4" t="inlineStr">
        <is>
          <t>07:41</t>
        </is>
      </c>
      <c r="H2973" s="4" t="inlineStr">
        <is>
          <t>20.10.2026</t>
        </is>
      </c>
      <c r="I2973" s="4" t="inlineStr">
        <is>
          <t>17:07</t>
        </is>
      </c>
      <c r="J2973" s="8" t="n">
        <v>7.5</v>
      </c>
      <c r="K2973" s="8" t="n">
        <v>7.5</v>
      </c>
      <c r="L2973" s="8" t="n">
        <v>0</v>
      </c>
      <c r="M2973" s="29" t="inlineStr">
        <is>
          <t>SUSURLUK TUR-REŞAT</t>
        </is>
      </c>
    </row>
    <row r="2974">
      <c r="A2974" s="4" t="n">
        <v>2973</v>
      </c>
      <c r="B2974" s="4" t="inlineStr">
        <is>
          <t>00137</t>
        </is>
      </c>
      <c r="C2974" s="4" t="inlineStr">
        <is>
          <t>00137</t>
        </is>
      </c>
      <c r="D2974" s="29" t="inlineStr">
        <is>
          <t>NURTEN CAN</t>
        </is>
      </c>
      <c r="E2974" s="4" t="inlineStr">
        <is>
          <t>Çarşamba</t>
        </is>
      </c>
      <c r="F2974" s="4" t="inlineStr">
        <is>
          <t>21.10.2026</t>
        </is>
      </c>
      <c r="G2974" s="4" t="inlineStr">
        <is>
          <t>07:46</t>
        </is>
      </c>
      <c r="H2974" s="4" t="inlineStr">
        <is>
          <t>21.10.2026</t>
        </is>
      </c>
      <c r="I2974" s="4" t="inlineStr">
        <is>
          <t>16:59</t>
        </is>
      </c>
      <c r="J2974" s="8" t="n">
        <v>7.5</v>
      </c>
      <c r="K2974" s="8" t="n">
        <v>7.5</v>
      </c>
      <c r="L2974" s="8" t="n">
        <v>0</v>
      </c>
      <c r="M2974" s="29" t="inlineStr">
        <is>
          <t>SUSURLUK TUR-REŞAT</t>
        </is>
      </c>
    </row>
    <row r="2975">
      <c r="A2975" s="4" t="n">
        <v>2974</v>
      </c>
      <c r="B2975" s="4" t="inlineStr">
        <is>
          <t>00931</t>
        </is>
      </c>
      <c r="C2975" s="4" t="inlineStr">
        <is>
          <t>00931</t>
        </is>
      </c>
      <c r="D2975" s="29" t="inlineStr">
        <is>
          <t>NURTEN ERDEM</t>
        </is>
      </c>
      <c r="E2975" s="4" t="inlineStr">
        <is>
          <t>Perşembe</t>
        </is>
      </c>
      <c r="F2975" s="4" t="inlineStr">
        <is>
          <t>1.10.2026</t>
        </is>
      </c>
      <c r="G2975" s="4" t="inlineStr">
        <is>
          <t>07:57</t>
        </is>
      </c>
      <c r="H2975" s="4" t="inlineStr">
        <is>
          <t>1.10.2026</t>
        </is>
      </c>
      <c r="I2975" s="4" t="inlineStr">
        <is>
          <t>17:32</t>
        </is>
      </c>
      <c r="J2975" s="8" t="n">
        <v>8</v>
      </c>
      <c r="K2975" s="8" t="n">
        <v>7.5</v>
      </c>
      <c r="L2975" s="8" t="n">
        <v>0.5</v>
      </c>
      <c r="M2975" s="29" t="inlineStr">
        <is>
          <t>GÜVEN MUSTAFAKEMALPAŞA</t>
        </is>
      </c>
    </row>
    <row r="2976">
      <c r="A2976" s="4" t="n">
        <v>2975</v>
      </c>
      <c r="B2976" s="4" t="inlineStr">
        <is>
          <t>00931</t>
        </is>
      </c>
      <c r="C2976" s="4" t="inlineStr">
        <is>
          <t>00931</t>
        </is>
      </c>
      <c r="D2976" s="29" t="inlineStr">
        <is>
          <t>NURTEN ERDEM</t>
        </is>
      </c>
      <c r="E2976" s="4" t="inlineStr">
        <is>
          <t>Cumartesi</t>
        </is>
      </c>
      <c r="F2976" s="4" t="inlineStr">
        <is>
          <t>3.10.2026</t>
        </is>
      </c>
      <c r="G2976" s="4" t="inlineStr">
        <is>
          <t>07:50</t>
        </is>
      </c>
      <c r="H2976" s="4" t="inlineStr">
        <is>
          <t>3.10.2026</t>
        </is>
      </c>
      <c r="I2976" s="4" t="inlineStr">
        <is>
          <t>17:39</t>
        </is>
      </c>
      <c r="J2976" s="8" t="n">
        <v>8</v>
      </c>
      <c r="K2976" s="8" t="n">
        <v>7.5</v>
      </c>
      <c r="L2976" s="8" t="n">
        <v>0.5</v>
      </c>
      <c r="M2976" s="29" t="inlineStr">
        <is>
          <t>GÜVEN MUSTAFAKEMALPAŞA</t>
        </is>
      </c>
    </row>
    <row r="2977">
      <c r="A2977" s="4" t="n">
        <v>2976</v>
      </c>
      <c r="B2977" s="4" t="inlineStr">
        <is>
          <t>00931</t>
        </is>
      </c>
      <c r="C2977" s="4" t="inlineStr">
        <is>
          <t>00931</t>
        </is>
      </c>
      <c r="D2977" s="29" t="inlineStr">
        <is>
          <t>NURTEN ERDEM</t>
        </is>
      </c>
      <c r="E2977" s="4" t="inlineStr">
        <is>
          <t>Pazartesi</t>
        </is>
      </c>
      <c r="F2977" s="4" t="inlineStr">
        <is>
          <t>5.10.2026</t>
        </is>
      </c>
      <c r="G2977" s="4" t="inlineStr">
        <is>
          <t>07:50</t>
        </is>
      </c>
      <c r="H2977" s="4" t="inlineStr">
        <is>
          <t>5.10.2026</t>
        </is>
      </c>
      <c r="I2977" s="4" t="inlineStr">
        <is>
          <t>17:07</t>
        </is>
      </c>
      <c r="J2977" s="8" t="n">
        <v>7.5</v>
      </c>
      <c r="K2977" s="8" t="n">
        <v>7.5</v>
      </c>
      <c r="L2977" s="8" t="n">
        <v>0</v>
      </c>
      <c r="M2977" s="29" t="inlineStr">
        <is>
          <t>GÜVEN MUSTAFAKEMALPAŞA</t>
        </is>
      </c>
    </row>
    <row r="2978">
      <c r="A2978" s="4" t="n">
        <v>2977</v>
      </c>
      <c r="B2978" s="4" t="inlineStr">
        <is>
          <t>00931</t>
        </is>
      </c>
      <c r="C2978" s="4" t="inlineStr">
        <is>
          <t>00931</t>
        </is>
      </c>
      <c r="D2978" s="29" t="inlineStr">
        <is>
          <t>NURTEN ERDEM</t>
        </is>
      </c>
      <c r="E2978" s="4" t="inlineStr">
        <is>
          <t>Salı</t>
        </is>
      </c>
      <c r="F2978" s="4" t="inlineStr">
        <is>
          <t>6.10.2026</t>
        </is>
      </c>
      <c r="G2978" s="4" t="inlineStr">
        <is>
          <t>08:01</t>
        </is>
      </c>
      <c r="H2978" s="4" t="inlineStr">
        <is>
          <t>6.10.2026</t>
        </is>
      </c>
      <c r="I2978" s="4" t="inlineStr">
        <is>
          <t>17:45</t>
        </is>
      </c>
      <c r="J2978" s="8" t="n">
        <v>8.5</v>
      </c>
      <c r="K2978" s="8" t="n">
        <v>7.5</v>
      </c>
      <c r="L2978" s="8" t="n">
        <v>1</v>
      </c>
      <c r="M2978" s="29" t="inlineStr">
        <is>
          <t>GÜVEN MUSTAFAKEMALPAŞA</t>
        </is>
      </c>
    </row>
    <row r="2979">
      <c r="A2979" s="4" t="n">
        <v>2978</v>
      </c>
      <c r="B2979" s="4" t="inlineStr">
        <is>
          <t>00931</t>
        </is>
      </c>
      <c r="C2979" s="4" t="inlineStr">
        <is>
          <t>00931</t>
        </is>
      </c>
      <c r="D2979" s="29" t="inlineStr">
        <is>
          <t>NURTEN ERDEM</t>
        </is>
      </c>
      <c r="E2979" s="4" t="inlineStr">
        <is>
          <t>Çarşamba</t>
        </is>
      </c>
      <c r="F2979" s="4" t="inlineStr">
        <is>
          <t>7.10.2026</t>
        </is>
      </c>
      <c r="G2979" s="4" t="inlineStr">
        <is>
          <t>07:53</t>
        </is>
      </c>
      <c r="H2979" s="4" t="inlineStr">
        <is>
          <t>7.10.2026</t>
        </is>
      </c>
      <c r="I2979" s="4" t="inlineStr">
        <is>
          <t>17:26</t>
        </is>
      </c>
      <c r="J2979" s="8" t="n">
        <v>8</v>
      </c>
      <c r="K2979" s="8" t="n">
        <v>7.5</v>
      </c>
      <c r="L2979" s="8" t="n">
        <v>0.5</v>
      </c>
      <c r="M2979" s="29" t="inlineStr">
        <is>
          <t>GÜVEN MUSTAFAKEMALPAŞA</t>
        </is>
      </c>
    </row>
    <row r="2980">
      <c r="A2980" s="4" t="n">
        <v>2979</v>
      </c>
      <c r="B2980" s="4" t="inlineStr">
        <is>
          <t>00931</t>
        </is>
      </c>
      <c r="C2980" s="4" t="inlineStr">
        <is>
          <t>00931</t>
        </is>
      </c>
      <c r="D2980" s="29" t="inlineStr">
        <is>
          <t>NURTEN ERDEM</t>
        </is>
      </c>
      <c r="E2980" s="4" t="inlineStr">
        <is>
          <t>Perşembe</t>
        </is>
      </c>
      <c r="F2980" s="4" t="inlineStr">
        <is>
          <t>8.10.2026</t>
        </is>
      </c>
      <c r="G2980" s="4" t="inlineStr">
        <is>
          <t>07:51</t>
        </is>
      </c>
      <c r="H2980" s="4" t="inlineStr">
        <is>
          <t>8.10.2026</t>
        </is>
      </c>
      <c r="I2980" s="4" t="inlineStr">
        <is>
          <t>17:39</t>
        </is>
      </c>
      <c r="J2980" s="8" t="n">
        <v>8</v>
      </c>
      <c r="K2980" s="8" t="n">
        <v>7.5</v>
      </c>
      <c r="L2980" s="8" t="n">
        <v>0.5</v>
      </c>
      <c r="M2980" s="29" t="inlineStr">
        <is>
          <t>GÜVEN MUSTAFAKEMALPAŞA</t>
        </is>
      </c>
    </row>
    <row r="2981">
      <c r="A2981" s="4" t="n">
        <v>2980</v>
      </c>
      <c r="B2981" s="4" t="inlineStr">
        <is>
          <t>00931</t>
        </is>
      </c>
      <c r="C2981" s="4" t="inlineStr">
        <is>
          <t>00931</t>
        </is>
      </c>
      <c r="D2981" s="29" t="inlineStr">
        <is>
          <t>NURTEN ERDEM</t>
        </is>
      </c>
      <c r="E2981" s="4" t="inlineStr">
        <is>
          <t>Cuma</t>
        </is>
      </c>
      <c r="F2981" s="4" t="inlineStr">
        <is>
          <t>9.10.2026</t>
        </is>
      </c>
      <c r="G2981" s="4" t="inlineStr">
        <is>
          <t>07:51</t>
        </is>
      </c>
      <c r="H2981" s="4" t="inlineStr">
        <is>
          <t>9.10.2026</t>
        </is>
      </c>
      <c r="I2981" s="4" t="inlineStr">
        <is>
          <t>17:47</t>
        </is>
      </c>
      <c r="J2981" s="8" t="n">
        <v>8.5</v>
      </c>
      <c r="K2981" s="8" t="n">
        <v>7.5</v>
      </c>
      <c r="L2981" s="8" t="n">
        <v>1</v>
      </c>
      <c r="M2981" s="29" t="inlineStr">
        <is>
          <t>GÜVEN MUSTAFAKEMALPAŞA</t>
        </is>
      </c>
    </row>
    <row r="2982">
      <c r="A2982" s="4" t="n">
        <v>2981</v>
      </c>
      <c r="B2982" s="4" t="inlineStr">
        <is>
          <t>00931</t>
        </is>
      </c>
      <c r="C2982" s="4" t="inlineStr">
        <is>
          <t>00931</t>
        </is>
      </c>
      <c r="D2982" s="29" t="inlineStr">
        <is>
          <t>NURTEN ERDEM</t>
        </is>
      </c>
      <c r="E2982" s="4" t="inlineStr">
        <is>
          <t>Cumartesi</t>
        </is>
      </c>
      <c r="F2982" s="4" t="inlineStr">
        <is>
          <t>10.10.2026</t>
        </is>
      </c>
      <c r="G2982" s="4" t="inlineStr">
        <is>
          <t>07:49</t>
        </is>
      </c>
      <c r="H2982" s="4" t="inlineStr">
        <is>
          <t>10.10.2026</t>
        </is>
      </c>
      <c r="I2982" s="4" t="inlineStr">
        <is>
          <t>18:15</t>
        </is>
      </c>
      <c r="J2982" s="8" t="n">
        <v>8.5</v>
      </c>
      <c r="K2982" s="8" t="n">
        <v>7.5</v>
      </c>
      <c r="L2982" s="8" t="n">
        <v>1</v>
      </c>
      <c r="M2982" s="29" t="inlineStr">
        <is>
          <t>GÜVEN MUSTAFAKEMALPAŞA</t>
        </is>
      </c>
    </row>
    <row r="2983">
      <c r="A2983" s="4" t="n">
        <v>2982</v>
      </c>
      <c r="B2983" s="4" t="inlineStr">
        <is>
          <t>00931</t>
        </is>
      </c>
      <c r="C2983" s="4" t="inlineStr">
        <is>
          <t>00931</t>
        </is>
      </c>
      <c r="D2983" s="29" t="inlineStr">
        <is>
          <t>NURTEN ERDEM</t>
        </is>
      </c>
      <c r="E2983" s="4" t="inlineStr">
        <is>
          <t>Pazartesi</t>
        </is>
      </c>
      <c r="F2983" s="4" t="inlineStr">
        <is>
          <t>12.10.2026</t>
        </is>
      </c>
      <c r="G2983" s="4" t="inlineStr">
        <is>
          <t>07:54</t>
        </is>
      </c>
      <c r="H2983" s="4" t="inlineStr">
        <is>
          <t>12.10.2026</t>
        </is>
      </c>
      <c r="I2983" s="4" t="inlineStr">
        <is>
          <t>17:05</t>
        </is>
      </c>
      <c r="J2983" s="8" t="n">
        <v>7.5</v>
      </c>
      <c r="K2983" s="8" t="n">
        <v>7.5</v>
      </c>
      <c r="L2983" s="8" t="n">
        <v>0</v>
      </c>
      <c r="M2983" s="29" t="inlineStr">
        <is>
          <t>GÜVEN MUSTAFAKEMALPAŞA</t>
        </is>
      </c>
    </row>
    <row r="2984">
      <c r="A2984" s="4" t="n">
        <v>2983</v>
      </c>
      <c r="B2984" s="4" t="inlineStr">
        <is>
          <t>00931</t>
        </is>
      </c>
      <c r="C2984" s="4" t="inlineStr">
        <is>
          <t>00931</t>
        </is>
      </c>
      <c r="D2984" s="29" t="inlineStr">
        <is>
          <t>NURTEN ERDEM</t>
        </is>
      </c>
      <c r="E2984" s="4" t="inlineStr">
        <is>
          <t>Salı</t>
        </is>
      </c>
      <c r="F2984" s="4" t="inlineStr">
        <is>
          <t>13.10.2026</t>
        </is>
      </c>
      <c r="G2984" s="4" t="inlineStr">
        <is>
          <t>07:51</t>
        </is>
      </c>
      <c r="H2984" s="4" t="inlineStr">
        <is>
          <t>13.10.2026</t>
        </is>
      </c>
      <c r="I2984" s="4" t="inlineStr">
        <is>
          <t>17:02</t>
        </is>
      </c>
      <c r="J2984" s="8" t="n">
        <v>7.5</v>
      </c>
      <c r="K2984" s="8" t="n">
        <v>7.5</v>
      </c>
      <c r="L2984" s="8" t="n">
        <v>0</v>
      </c>
      <c r="M2984" s="29" t="inlineStr">
        <is>
          <t>GÜVEN MUSTAFAKEMALPAŞA</t>
        </is>
      </c>
    </row>
    <row r="2985">
      <c r="A2985" s="4" t="n">
        <v>2984</v>
      </c>
      <c r="B2985" s="4" t="inlineStr">
        <is>
          <t>00931</t>
        </is>
      </c>
      <c r="C2985" s="4" t="inlineStr">
        <is>
          <t>00931</t>
        </is>
      </c>
      <c r="D2985" s="29" t="inlineStr">
        <is>
          <t>NURTEN ERDEM</t>
        </is>
      </c>
      <c r="E2985" s="4" t="inlineStr">
        <is>
          <t>Çarşamba</t>
        </is>
      </c>
      <c r="F2985" s="4" t="inlineStr">
        <is>
          <t>14.10.2026</t>
        </is>
      </c>
      <c r="G2985" s="4" t="inlineStr">
        <is>
          <t>07:52</t>
        </is>
      </c>
      <c r="H2985" s="4" t="inlineStr">
        <is>
          <t>14.10.2026</t>
        </is>
      </c>
      <c r="I2985" s="4" t="inlineStr">
        <is>
          <t>18:10</t>
        </is>
      </c>
      <c r="J2985" s="8" t="n">
        <v>8.5</v>
      </c>
      <c r="K2985" s="8" t="n">
        <v>7.5</v>
      </c>
      <c r="L2985" s="8" t="n">
        <v>1</v>
      </c>
      <c r="M2985" s="29" t="inlineStr">
        <is>
          <t>GÜVEN MUSTAFAKEMALPAŞA</t>
        </is>
      </c>
    </row>
    <row r="2986">
      <c r="A2986" s="4" t="n">
        <v>2985</v>
      </c>
      <c r="B2986" s="4" t="inlineStr">
        <is>
          <t>00931</t>
        </is>
      </c>
      <c r="C2986" s="4" t="inlineStr">
        <is>
          <t>00931</t>
        </is>
      </c>
      <c r="D2986" s="29" t="inlineStr">
        <is>
          <t>NURTEN ERDEM</t>
        </is>
      </c>
      <c r="E2986" s="4" t="inlineStr">
        <is>
          <t>Perşembe</t>
        </is>
      </c>
      <c r="F2986" s="4" t="inlineStr">
        <is>
          <t>15.10.2026</t>
        </is>
      </c>
      <c r="G2986" s="4" t="inlineStr">
        <is>
          <t>07:55</t>
        </is>
      </c>
      <c r="H2986" s="4" t="inlineStr">
        <is>
          <t>15.10.2026</t>
        </is>
      </c>
      <c r="I2986" s="4" t="inlineStr">
        <is>
          <t>17:04</t>
        </is>
      </c>
      <c r="J2986" s="8" t="n">
        <v>7.5</v>
      </c>
      <c r="K2986" s="8" t="n">
        <v>7.5</v>
      </c>
      <c r="L2986" s="8" t="n">
        <v>0</v>
      </c>
      <c r="M2986" s="29" t="inlineStr">
        <is>
          <t>GÜVEN MUSTAFAKEMALPAŞA</t>
        </is>
      </c>
    </row>
    <row r="2987">
      <c r="A2987" s="4" t="n">
        <v>2986</v>
      </c>
      <c r="B2987" s="4" t="inlineStr">
        <is>
          <t>00931</t>
        </is>
      </c>
      <c r="C2987" s="4" t="inlineStr">
        <is>
          <t>00931</t>
        </is>
      </c>
      <c r="D2987" s="29" t="inlineStr">
        <is>
          <t>NURTEN ERDEM</t>
        </is>
      </c>
      <c r="E2987" s="4" t="inlineStr">
        <is>
          <t>Cuma</t>
        </is>
      </c>
      <c r="F2987" s="4" t="inlineStr">
        <is>
          <t>16.10.2026</t>
        </is>
      </c>
      <c r="G2987" s="4" t="inlineStr">
        <is>
          <t>07:51</t>
        </is>
      </c>
      <c r="H2987" s="4" t="inlineStr">
        <is>
          <t>16.10.2026</t>
        </is>
      </c>
      <c r="I2987" s="4" t="inlineStr">
        <is>
          <t>17:25</t>
        </is>
      </c>
      <c r="J2987" s="8" t="n">
        <v>8</v>
      </c>
      <c r="K2987" s="8" t="n">
        <v>7.5</v>
      </c>
      <c r="L2987" s="8" t="n">
        <v>0.5</v>
      </c>
      <c r="M2987" s="29" t="inlineStr">
        <is>
          <t>GÜVEN MUSTAFAKEMALPAŞA</t>
        </is>
      </c>
    </row>
    <row r="2988">
      <c r="A2988" s="4" t="n">
        <v>2987</v>
      </c>
      <c r="B2988" s="4" t="inlineStr">
        <is>
          <t>00931</t>
        </is>
      </c>
      <c r="C2988" s="4" t="inlineStr">
        <is>
          <t>00931</t>
        </is>
      </c>
      <c r="D2988" s="29" t="inlineStr">
        <is>
          <t>NURTEN ERDEM</t>
        </is>
      </c>
      <c r="E2988" s="4" t="inlineStr">
        <is>
          <t>Cumartesi</t>
        </is>
      </c>
      <c r="F2988" s="4" t="inlineStr">
        <is>
          <t>17.10.2026</t>
        </is>
      </c>
      <c r="G2988" s="4" t="inlineStr">
        <is>
          <t>07:54</t>
        </is>
      </c>
      <c r="H2988" s="4" t="inlineStr">
        <is>
          <t>17.10.2026</t>
        </is>
      </c>
      <c r="I2988" s="4" t="inlineStr">
        <is>
          <t>17:52</t>
        </is>
      </c>
      <c r="J2988" s="8" t="n">
        <v>8.5</v>
      </c>
      <c r="K2988" s="8" t="n">
        <v>7.5</v>
      </c>
      <c r="L2988" s="8" t="n">
        <v>1</v>
      </c>
      <c r="M2988" s="29" t="inlineStr">
        <is>
          <t>GÜVEN MUSTAFAKEMALPAŞA</t>
        </is>
      </c>
    </row>
    <row r="2989">
      <c r="A2989" s="4" t="n">
        <v>2988</v>
      </c>
      <c r="B2989" s="4" t="inlineStr">
        <is>
          <t>00931</t>
        </is>
      </c>
      <c r="C2989" s="4" t="inlineStr">
        <is>
          <t>00931</t>
        </is>
      </c>
      <c r="D2989" s="29" t="inlineStr">
        <is>
          <t>NURTEN ERDEM</t>
        </is>
      </c>
      <c r="E2989" s="4" t="inlineStr">
        <is>
          <t>Pazartesi</t>
        </is>
      </c>
      <c r="F2989" s="4" t="inlineStr">
        <is>
          <t>19.10.2026</t>
        </is>
      </c>
      <c r="G2989" s="4" t="inlineStr">
        <is>
          <t>07:50</t>
        </is>
      </c>
      <c r="H2989" s="4" t="inlineStr">
        <is>
          <t>19.10.2026</t>
        </is>
      </c>
      <c r="I2989" s="4" t="inlineStr">
        <is>
          <t>17:48</t>
        </is>
      </c>
      <c r="J2989" s="8" t="n">
        <v>8.5</v>
      </c>
      <c r="K2989" s="8" t="n">
        <v>7.5</v>
      </c>
      <c r="L2989" s="8" t="n">
        <v>1</v>
      </c>
      <c r="M2989" s="29" t="inlineStr">
        <is>
          <t>GÜVEN MUSTAFAKEMALPAŞA</t>
        </is>
      </c>
    </row>
    <row r="2990">
      <c r="A2990" s="4" t="n">
        <v>2989</v>
      </c>
      <c r="B2990" s="4" t="inlineStr">
        <is>
          <t>00931</t>
        </is>
      </c>
      <c r="C2990" s="4" t="inlineStr">
        <is>
          <t>00931</t>
        </is>
      </c>
      <c r="D2990" s="29" t="inlineStr">
        <is>
          <t>NURTEN ERDEM</t>
        </is>
      </c>
      <c r="E2990" s="4" t="inlineStr">
        <is>
          <t>Salı</t>
        </is>
      </c>
      <c r="F2990" s="4" t="inlineStr">
        <is>
          <t>20.10.2026</t>
        </is>
      </c>
      <c r="G2990" s="4" t="inlineStr">
        <is>
          <t>07:52</t>
        </is>
      </c>
      <c r="H2990" s="4" t="inlineStr">
        <is>
          <t>20.10.2026</t>
        </is>
      </c>
      <c r="I2990" s="4" t="inlineStr">
        <is>
          <t>17:02</t>
        </is>
      </c>
      <c r="J2990" s="8" t="n">
        <v>7.5</v>
      </c>
      <c r="K2990" s="8" t="n">
        <v>7.5</v>
      </c>
      <c r="L2990" s="8" t="n">
        <v>0</v>
      </c>
      <c r="M2990" s="29" t="inlineStr">
        <is>
          <t>GÜVEN MUSTAFAKEMALPAŞA</t>
        </is>
      </c>
    </row>
    <row r="2991">
      <c r="A2991" s="4" t="n">
        <v>2990</v>
      </c>
      <c r="B2991" s="4" t="inlineStr">
        <is>
          <t>00931</t>
        </is>
      </c>
      <c r="C2991" s="4" t="inlineStr">
        <is>
          <t>00931</t>
        </is>
      </c>
      <c r="D2991" s="29" t="inlineStr">
        <is>
          <t>NURTEN ERDEM</t>
        </is>
      </c>
      <c r="E2991" s="4" t="inlineStr">
        <is>
          <t>Çarşamba</t>
        </is>
      </c>
      <c r="F2991" s="4" t="inlineStr">
        <is>
          <t>21.10.2026</t>
        </is>
      </c>
      <c r="G2991" s="4" t="inlineStr">
        <is>
          <t>07:48</t>
        </is>
      </c>
      <c r="H2991" s="4" t="inlineStr">
        <is>
          <t>21.10.2026</t>
        </is>
      </c>
      <c r="I2991" s="4" t="inlineStr">
        <is>
          <t>17:04</t>
        </is>
      </c>
      <c r="J2991" s="8" t="n">
        <v>7.5</v>
      </c>
      <c r="K2991" s="8" t="n">
        <v>7.5</v>
      </c>
      <c r="L2991" s="8" t="n">
        <v>0</v>
      </c>
      <c r="M2991" s="29" t="inlineStr">
        <is>
          <t>GÜVEN MUSTAFAKEMALPAŞA</t>
        </is>
      </c>
    </row>
    <row r="2992">
      <c r="A2992" s="4" t="n">
        <v>2991</v>
      </c>
      <c r="B2992" s="4" t="inlineStr">
        <is>
          <t>01443</t>
        </is>
      </c>
      <c r="C2992" s="4" t="inlineStr">
        <is>
          <t>01443</t>
        </is>
      </c>
      <c r="D2992" s="29" t="inlineStr">
        <is>
          <t>OSMAN GÖNÜL</t>
        </is>
      </c>
      <c r="E2992" s="4" t="inlineStr">
        <is>
          <t>Cuma</t>
        </is>
      </c>
      <c r="F2992" s="4" t="inlineStr">
        <is>
          <t>2.10.2026</t>
        </is>
      </c>
      <c r="G2992" s="4" t="inlineStr">
        <is>
          <t>19:50</t>
        </is>
      </c>
      <c r="H2992" s="4" t="inlineStr">
        <is>
          <t>2.10.2026</t>
        </is>
      </c>
      <c r="I2992" s="4" t="inlineStr">
        <is>
          <t>08:05</t>
        </is>
      </c>
      <c r="J2992" s="8" t="n">
        <v>10.5</v>
      </c>
      <c r="K2992" s="8" t="n">
        <v>7.5</v>
      </c>
      <c r="L2992" s="8" t="n">
        <v>3</v>
      </c>
      <c r="M2992" s="29" t="inlineStr">
        <is>
          <t>HALİL DİĞRENCİ</t>
        </is>
      </c>
    </row>
    <row r="2993">
      <c r="A2993" s="4" t="n">
        <v>2992</v>
      </c>
      <c r="B2993" s="4" t="inlineStr">
        <is>
          <t>01443</t>
        </is>
      </c>
      <c r="C2993" s="4" t="inlineStr">
        <is>
          <t>01443</t>
        </is>
      </c>
      <c r="D2993" s="29" t="inlineStr">
        <is>
          <t>OSMAN GÖNÜL</t>
        </is>
      </c>
      <c r="E2993" s="4" t="inlineStr">
        <is>
          <t>Cumartesi</t>
        </is>
      </c>
      <c r="F2993" s="4" t="inlineStr">
        <is>
          <t>3.10.2026</t>
        </is>
      </c>
      <c r="G2993" s="4" t="inlineStr">
        <is>
          <t>19:52</t>
        </is>
      </c>
      <c r="H2993" s="4" t="inlineStr">
        <is>
          <t>3.10.2026</t>
        </is>
      </c>
      <c r="I2993" s="4" t="inlineStr">
        <is>
          <t>07:54</t>
        </is>
      </c>
      <c r="J2993" s="8" t="n">
        <v>10.5</v>
      </c>
      <c r="K2993" s="8" t="n">
        <v>7.5</v>
      </c>
      <c r="L2993" s="8" t="n">
        <v>3</v>
      </c>
      <c r="M2993" s="29" t="inlineStr">
        <is>
          <t>HALİL DİĞRENCİ</t>
        </is>
      </c>
    </row>
    <row r="2994">
      <c r="A2994" s="4" t="n">
        <v>2993</v>
      </c>
      <c r="B2994" s="4" t="inlineStr">
        <is>
          <t>01443</t>
        </is>
      </c>
      <c r="C2994" s="4" t="inlineStr">
        <is>
          <t>01443</t>
        </is>
      </c>
      <c r="D2994" s="29" t="inlineStr">
        <is>
          <t>OSMAN GÖNÜL</t>
        </is>
      </c>
      <c r="E2994" s="4" t="inlineStr">
        <is>
          <t>Salı</t>
        </is>
      </c>
      <c r="F2994" s="4" t="inlineStr">
        <is>
          <t>6.10.2026</t>
        </is>
      </c>
      <c r="G2994" s="4" t="inlineStr">
        <is>
          <t>19:55</t>
        </is>
      </c>
      <c r="H2994" s="4" t="inlineStr">
        <is>
          <t>6.10.2026</t>
        </is>
      </c>
      <c r="I2994" s="4" t="inlineStr">
        <is>
          <t>08:07</t>
        </is>
      </c>
      <c r="J2994" s="8" t="n">
        <v>10.5</v>
      </c>
      <c r="K2994" s="8" t="n">
        <v>7.5</v>
      </c>
      <c r="L2994" s="8" t="n">
        <v>3</v>
      </c>
      <c r="M2994" s="29" t="inlineStr">
        <is>
          <t>HALİL DİĞRENCİ</t>
        </is>
      </c>
    </row>
    <row r="2995">
      <c r="A2995" s="4" t="n">
        <v>2994</v>
      </c>
      <c r="B2995" s="4" t="inlineStr">
        <is>
          <t>01443</t>
        </is>
      </c>
      <c r="C2995" s="4" t="inlineStr">
        <is>
          <t>01443</t>
        </is>
      </c>
      <c r="D2995" s="29" t="inlineStr">
        <is>
          <t>OSMAN GÖNÜL</t>
        </is>
      </c>
      <c r="E2995" s="4" t="inlineStr">
        <is>
          <t>Çarşamba</t>
        </is>
      </c>
      <c r="F2995" s="4" t="inlineStr">
        <is>
          <t>7.10.2026</t>
        </is>
      </c>
      <c r="G2995" s="4" t="inlineStr">
        <is>
          <t>19:53</t>
        </is>
      </c>
      <c r="H2995" s="4" t="inlineStr">
        <is>
          <t>7.10.2026</t>
        </is>
      </c>
      <c r="I2995" s="4" t="inlineStr">
        <is>
          <t>08:05</t>
        </is>
      </c>
      <c r="J2995" s="8" t="n">
        <v>10.5</v>
      </c>
      <c r="K2995" s="8" t="n">
        <v>7.5</v>
      </c>
      <c r="L2995" s="8" t="n">
        <v>3</v>
      </c>
      <c r="M2995" s="29" t="inlineStr">
        <is>
          <t>HALİL DİĞRENCİ</t>
        </is>
      </c>
    </row>
    <row r="2996">
      <c r="A2996" s="4" t="n">
        <v>2995</v>
      </c>
      <c r="B2996" s="4" t="inlineStr">
        <is>
          <t>01443</t>
        </is>
      </c>
      <c r="C2996" s="4" t="inlineStr">
        <is>
          <t>01443</t>
        </is>
      </c>
      <c r="D2996" s="29" t="inlineStr">
        <is>
          <t>OSMAN GÖNÜL</t>
        </is>
      </c>
      <c r="E2996" s="4" t="inlineStr">
        <is>
          <t>Perşembe</t>
        </is>
      </c>
      <c r="F2996" s="4" t="inlineStr">
        <is>
          <t>8.10.2026</t>
        </is>
      </c>
      <c r="G2996" s="4" t="inlineStr">
        <is>
          <t>20:02</t>
        </is>
      </c>
      <c r="H2996" s="4" t="inlineStr">
        <is>
          <t>8.10.2026</t>
        </is>
      </c>
      <c r="I2996" s="4" t="inlineStr">
        <is>
          <t>08:07</t>
        </is>
      </c>
      <c r="J2996" s="8" t="n">
        <v>10.5</v>
      </c>
      <c r="K2996" s="8" t="n">
        <v>7.5</v>
      </c>
      <c r="L2996" s="8" t="n">
        <v>3</v>
      </c>
      <c r="M2996" s="29" t="inlineStr">
        <is>
          <t>HALİL DİĞRENCİ</t>
        </is>
      </c>
    </row>
    <row r="2997">
      <c r="A2997" s="4" t="n">
        <v>2996</v>
      </c>
      <c r="B2997" s="4" t="inlineStr">
        <is>
          <t>01443</t>
        </is>
      </c>
      <c r="C2997" s="4" t="inlineStr">
        <is>
          <t>01443</t>
        </is>
      </c>
      <c r="D2997" s="29" t="inlineStr">
        <is>
          <t>OSMAN GÖNÜL</t>
        </is>
      </c>
      <c r="E2997" s="4" t="inlineStr">
        <is>
          <t>Cuma</t>
        </is>
      </c>
      <c r="F2997" s="4" t="inlineStr">
        <is>
          <t>9.10.2026</t>
        </is>
      </c>
      <c r="G2997" s="4" t="inlineStr">
        <is>
          <t>20:02</t>
        </is>
      </c>
      <c r="H2997" s="4" t="inlineStr">
        <is>
          <t>9.10.2026</t>
        </is>
      </c>
      <c r="I2997" s="4" t="inlineStr">
        <is>
          <t>08:06</t>
        </is>
      </c>
      <c r="J2997" s="8" t="n">
        <v>10.5</v>
      </c>
      <c r="K2997" s="8" t="n">
        <v>7.5</v>
      </c>
      <c r="L2997" s="8" t="n">
        <v>3</v>
      </c>
      <c r="M2997" s="29" t="inlineStr">
        <is>
          <t>HALİL DİĞRENCİ</t>
        </is>
      </c>
    </row>
    <row r="2998">
      <c r="A2998" s="4" t="n">
        <v>2997</v>
      </c>
      <c r="B2998" s="4" t="inlineStr">
        <is>
          <t>01443</t>
        </is>
      </c>
      <c r="C2998" s="4" t="inlineStr">
        <is>
          <t>01443</t>
        </is>
      </c>
      <c r="D2998" s="29" t="inlineStr">
        <is>
          <t>OSMAN GÖNÜL</t>
        </is>
      </c>
      <c r="E2998" s="4" t="inlineStr">
        <is>
          <t>Cumartesi</t>
        </is>
      </c>
      <c r="F2998" s="4" t="inlineStr">
        <is>
          <t>10.10.2026</t>
        </is>
      </c>
      <c r="G2998" s="4" t="inlineStr">
        <is>
          <t>19:54</t>
        </is>
      </c>
      <c r="H2998" s="4" t="inlineStr">
        <is>
          <t>10.10.2026</t>
        </is>
      </c>
      <c r="I2998" s="4" t="inlineStr">
        <is>
          <t>08:10</t>
        </is>
      </c>
      <c r="J2998" s="8" t="n">
        <v>10.5</v>
      </c>
      <c r="K2998" s="8" t="n">
        <v>7.5</v>
      </c>
      <c r="L2998" s="8" t="n">
        <v>3</v>
      </c>
      <c r="M2998" s="29" t="inlineStr">
        <is>
          <t>HALİL DİĞRENCİ</t>
        </is>
      </c>
    </row>
    <row r="2999">
      <c r="A2999" s="4" t="n">
        <v>2998</v>
      </c>
      <c r="B2999" s="4" t="inlineStr">
        <is>
          <t>01443</t>
        </is>
      </c>
      <c r="C2999" s="4" t="inlineStr">
        <is>
          <t>01443</t>
        </is>
      </c>
      <c r="D2999" s="29" t="inlineStr">
        <is>
          <t>OSMAN GÖNÜL</t>
        </is>
      </c>
      <c r="E2999" s="4" t="inlineStr">
        <is>
          <t>Pazartesi</t>
        </is>
      </c>
      <c r="F2999" s="4" t="inlineStr">
        <is>
          <t>12.10.2026</t>
        </is>
      </c>
      <c r="G2999" s="4" t="inlineStr">
        <is>
          <t>20:00</t>
        </is>
      </c>
      <c r="H2999" s="4" t="inlineStr">
        <is>
          <t>12.10.2026</t>
        </is>
      </c>
      <c r="I2999" s="4" t="inlineStr">
        <is>
          <t>08:02</t>
        </is>
      </c>
      <c r="J2999" s="8" t="n">
        <v>10.5</v>
      </c>
      <c r="K2999" s="8" t="n">
        <v>7.5</v>
      </c>
      <c r="L2999" s="8" t="n">
        <v>3</v>
      </c>
      <c r="M2999" s="29" t="inlineStr">
        <is>
          <t>HALİL DİĞRENCİ</t>
        </is>
      </c>
    </row>
    <row r="3000">
      <c r="A3000" s="4" t="n">
        <v>2999</v>
      </c>
      <c r="B3000" s="4" t="inlineStr">
        <is>
          <t>01443</t>
        </is>
      </c>
      <c r="C3000" s="4" t="inlineStr">
        <is>
          <t>01443</t>
        </is>
      </c>
      <c r="D3000" s="29" t="inlineStr">
        <is>
          <t>OSMAN GÖNÜL</t>
        </is>
      </c>
      <c r="E3000" s="4" t="inlineStr">
        <is>
          <t>Salı</t>
        </is>
      </c>
      <c r="F3000" s="4" t="inlineStr">
        <is>
          <t>13.10.2026</t>
        </is>
      </c>
      <c r="G3000" s="4" t="inlineStr">
        <is>
          <t>19:53</t>
        </is>
      </c>
      <c r="H3000" s="4" t="inlineStr">
        <is>
          <t>13.10.2026</t>
        </is>
      </c>
      <c r="I3000" s="4" t="inlineStr">
        <is>
          <t>07:55</t>
        </is>
      </c>
      <c r="J3000" s="8" t="n">
        <v>10.5</v>
      </c>
      <c r="K3000" s="8" t="n">
        <v>7.5</v>
      </c>
      <c r="L3000" s="8" t="n">
        <v>3</v>
      </c>
      <c r="M3000" s="29" t="inlineStr">
        <is>
          <t>HALİL DİĞRENCİ</t>
        </is>
      </c>
    </row>
    <row r="3001">
      <c r="A3001" s="4" t="n">
        <v>3000</v>
      </c>
      <c r="B3001" s="4" t="inlineStr">
        <is>
          <t>01443</t>
        </is>
      </c>
      <c r="C3001" s="4" t="inlineStr">
        <is>
          <t>01443</t>
        </is>
      </c>
      <c r="D3001" s="29" t="inlineStr">
        <is>
          <t>OSMAN GÖNÜL</t>
        </is>
      </c>
      <c r="E3001" s="4" t="inlineStr">
        <is>
          <t>Çarşamba</t>
        </is>
      </c>
      <c r="F3001" s="4" t="inlineStr">
        <is>
          <t>14.10.2026</t>
        </is>
      </c>
      <c r="G3001" s="4" t="inlineStr">
        <is>
          <t>20:06</t>
        </is>
      </c>
      <c r="H3001" s="4" t="inlineStr">
        <is>
          <t>14.10.2026</t>
        </is>
      </c>
      <c r="I3001" s="4" t="inlineStr">
        <is>
          <t>08:00</t>
        </is>
      </c>
      <c r="J3001" s="8" t="n">
        <v>10.5</v>
      </c>
      <c r="K3001" s="8" t="n">
        <v>7.5</v>
      </c>
      <c r="L3001" s="8" t="n">
        <v>3</v>
      </c>
      <c r="M3001" s="29" t="inlineStr">
        <is>
          <t>HALİL DİĞRENCİ</t>
        </is>
      </c>
    </row>
    <row r="3002">
      <c r="A3002" s="4" t="n">
        <v>3001</v>
      </c>
      <c r="B3002" s="4" t="inlineStr">
        <is>
          <t>01443</t>
        </is>
      </c>
      <c r="C3002" s="4" t="inlineStr">
        <is>
          <t>01443</t>
        </is>
      </c>
      <c r="D3002" s="29" t="inlineStr">
        <is>
          <t>OSMAN GÖNÜL</t>
        </is>
      </c>
      <c r="E3002" s="4" t="inlineStr">
        <is>
          <t>Pazartesi</t>
        </is>
      </c>
      <c r="F3002" s="4" t="inlineStr">
        <is>
          <t>19.10.2026</t>
        </is>
      </c>
      <c r="G3002" s="4" t="inlineStr">
        <is>
          <t>20:14</t>
        </is>
      </c>
      <c r="H3002" s="4" t="inlineStr">
        <is>
          <t>19.10.2026</t>
        </is>
      </c>
      <c r="I3002" s="4" t="inlineStr">
        <is>
          <t>08:07</t>
        </is>
      </c>
      <c r="J3002" s="8" t="n">
        <v>10.5</v>
      </c>
      <c r="K3002" s="8" t="n">
        <v>7.5</v>
      </c>
      <c r="L3002" s="8" t="n">
        <v>3</v>
      </c>
      <c r="M3002" s="29" t="inlineStr">
        <is>
          <t>HALİL DİĞRENCİ</t>
        </is>
      </c>
    </row>
    <row r="3003">
      <c r="A3003" s="4" t="n">
        <v>3002</v>
      </c>
      <c r="B3003" s="4" t="inlineStr">
        <is>
          <t>01561</t>
        </is>
      </c>
      <c r="C3003" s="4" t="inlineStr">
        <is>
          <t>01561</t>
        </is>
      </c>
      <c r="D3003" s="29" t="inlineStr">
        <is>
          <t>OSMAN AKDOĞAN</t>
        </is>
      </c>
      <c r="E3003" s="4" t="inlineStr">
        <is>
          <t>Perşembe</t>
        </is>
      </c>
      <c r="F3003" s="4" t="inlineStr">
        <is>
          <t>15.10.2026</t>
        </is>
      </c>
      <c r="G3003" s="4" t="inlineStr">
        <is>
          <t>07:49</t>
        </is>
      </c>
      <c r="H3003" s="4" t="inlineStr">
        <is>
          <t>15.10.2026</t>
        </is>
      </c>
      <c r="I3003" s="4" t="inlineStr">
        <is>
          <t>16:59</t>
        </is>
      </c>
      <c r="J3003" s="8" t="n">
        <v>7.5</v>
      </c>
      <c r="K3003" s="8" t="n">
        <v>7.5</v>
      </c>
      <c r="L3003" s="8" t="n">
        <v>0</v>
      </c>
      <c r="M3003" s="29" t="inlineStr">
        <is>
          <t>HALİL DİĞRENCİ</t>
        </is>
      </c>
    </row>
    <row r="3004">
      <c r="A3004" s="4" t="n">
        <v>3003</v>
      </c>
      <c r="B3004" s="4" t="inlineStr">
        <is>
          <t>01561</t>
        </is>
      </c>
      <c r="C3004" s="4" t="inlineStr">
        <is>
          <t>01561</t>
        </is>
      </c>
      <c r="D3004" s="29" t="inlineStr">
        <is>
          <t>OSMAN AKDOĞAN</t>
        </is>
      </c>
      <c r="E3004" s="4" t="inlineStr">
        <is>
          <t>Cuma</t>
        </is>
      </c>
      <c r="F3004" s="4" t="inlineStr">
        <is>
          <t>16.10.2026</t>
        </is>
      </c>
      <c r="G3004" s="4" t="inlineStr">
        <is>
          <t>07:41</t>
        </is>
      </c>
      <c r="H3004" s="4" t="inlineStr">
        <is>
          <t>16.10.2026</t>
        </is>
      </c>
      <c r="I3004" s="4" t="inlineStr">
        <is>
          <t>17:00</t>
        </is>
      </c>
      <c r="J3004" s="8" t="n">
        <v>7.5</v>
      </c>
      <c r="K3004" s="8" t="n">
        <v>7.5</v>
      </c>
      <c r="L3004" s="8" t="n">
        <v>0</v>
      </c>
      <c r="M3004" s="29" t="inlineStr">
        <is>
          <t>HALİL DİĞRENCİ</t>
        </is>
      </c>
    </row>
    <row r="3005">
      <c r="A3005" s="4" t="n">
        <v>3004</v>
      </c>
      <c r="B3005" s="4" t="inlineStr">
        <is>
          <t>01561</t>
        </is>
      </c>
      <c r="C3005" s="4" t="inlineStr">
        <is>
          <t>01561</t>
        </is>
      </c>
      <c r="D3005" s="29" t="inlineStr">
        <is>
          <t>OSMAN AKDOĞAN</t>
        </is>
      </c>
      <c r="E3005" s="4" t="inlineStr">
        <is>
          <t>Cumartesi</t>
        </is>
      </c>
      <c r="F3005" s="4" t="inlineStr">
        <is>
          <t>17.10.2026</t>
        </is>
      </c>
      <c r="G3005" s="4" t="inlineStr">
        <is>
          <t>07:49</t>
        </is>
      </c>
      <c r="H3005" s="4" t="inlineStr">
        <is>
          <t>17.10.2026</t>
        </is>
      </c>
      <c r="I3005" s="4" t="inlineStr">
        <is>
          <t>16:57</t>
        </is>
      </c>
      <c r="J3005" s="8" t="n">
        <v>7.5</v>
      </c>
      <c r="K3005" s="8" t="n">
        <v>7.5</v>
      </c>
      <c r="L3005" s="8" t="n">
        <v>0</v>
      </c>
      <c r="M3005" s="29" t="inlineStr">
        <is>
          <t>HALİL DİĞRENCİ</t>
        </is>
      </c>
    </row>
    <row r="3006">
      <c r="A3006" s="4" t="n">
        <v>3005</v>
      </c>
      <c r="B3006" s="4" t="inlineStr">
        <is>
          <t>01561</t>
        </is>
      </c>
      <c r="C3006" s="4" t="inlineStr">
        <is>
          <t>01561</t>
        </is>
      </c>
      <c r="D3006" s="29" t="inlineStr">
        <is>
          <t>OSMAN AKDOĞAN</t>
        </is>
      </c>
      <c r="E3006" s="4" t="inlineStr">
        <is>
          <t>Pazartesi</t>
        </is>
      </c>
      <c r="F3006" s="4" t="inlineStr">
        <is>
          <t>19.10.2026</t>
        </is>
      </c>
      <c r="G3006" s="4" t="inlineStr">
        <is>
          <t>07:41</t>
        </is>
      </c>
      <c r="H3006" s="4" t="inlineStr">
        <is>
          <t>19.10.2026</t>
        </is>
      </c>
      <c r="I3006" s="4" t="inlineStr">
        <is>
          <t>17:00</t>
        </is>
      </c>
      <c r="J3006" s="8" t="n">
        <v>7.5</v>
      </c>
      <c r="K3006" s="8" t="n">
        <v>7.5</v>
      </c>
      <c r="L3006" s="8" t="n">
        <v>0</v>
      </c>
      <c r="M3006" s="29" t="inlineStr">
        <is>
          <t>HALİL DİĞRENCİ</t>
        </is>
      </c>
    </row>
    <row r="3007">
      <c r="A3007" s="4" t="n">
        <v>3006</v>
      </c>
      <c r="B3007" s="4" t="inlineStr">
        <is>
          <t>01561</t>
        </is>
      </c>
      <c r="C3007" s="4" t="inlineStr">
        <is>
          <t>01561</t>
        </is>
      </c>
      <c r="D3007" s="29" t="inlineStr">
        <is>
          <t>OSMAN AKDOĞAN</t>
        </is>
      </c>
      <c r="E3007" s="4" t="inlineStr">
        <is>
          <t>Salı</t>
        </is>
      </c>
      <c r="F3007" s="4" t="inlineStr">
        <is>
          <t>20.10.2026</t>
        </is>
      </c>
      <c r="G3007" s="4" t="inlineStr">
        <is>
          <t>07:41</t>
        </is>
      </c>
      <c r="H3007" s="4" t="inlineStr">
        <is>
          <t>20.10.2026</t>
        </is>
      </c>
      <c r="I3007" s="4" t="inlineStr">
        <is>
          <t>17:00</t>
        </is>
      </c>
      <c r="J3007" s="8" t="n">
        <v>7.5</v>
      </c>
      <c r="K3007" s="8" t="n">
        <v>7.5</v>
      </c>
      <c r="L3007" s="8" t="n">
        <v>0</v>
      </c>
      <c r="M3007" s="29" t="inlineStr">
        <is>
          <t>HALİL DİĞRENCİ</t>
        </is>
      </c>
    </row>
    <row r="3008">
      <c r="A3008" s="4" t="n">
        <v>3007</v>
      </c>
      <c r="B3008" s="4" t="inlineStr">
        <is>
          <t>01561</t>
        </is>
      </c>
      <c r="C3008" s="4" t="inlineStr">
        <is>
          <t>01561</t>
        </is>
      </c>
      <c r="D3008" s="29" t="inlineStr">
        <is>
          <t>OSMAN AKDOĞAN</t>
        </is>
      </c>
      <c r="E3008" s="4" t="inlineStr">
        <is>
          <t>Çarşamba</t>
        </is>
      </c>
      <c r="F3008" s="4" t="inlineStr">
        <is>
          <t>21.10.2026</t>
        </is>
      </c>
      <c r="G3008" s="4" t="inlineStr">
        <is>
          <t>07:46</t>
        </is>
      </c>
      <c r="H3008" s="4" t="inlineStr">
        <is>
          <t>21.10.2026</t>
        </is>
      </c>
      <c r="I3008" s="4" t="inlineStr">
        <is>
          <t>17:00</t>
        </is>
      </c>
      <c r="J3008" s="8" t="n">
        <v>7.5</v>
      </c>
      <c r="K3008" s="8" t="n">
        <v>7.5</v>
      </c>
      <c r="L3008" s="8" t="n">
        <v>0</v>
      </c>
      <c r="M3008" s="29" t="inlineStr">
        <is>
          <t>HALİL DİĞRENCİ</t>
        </is>
      </c>
    </row>
    <row r="3009">
      <c r="A3009" s="4" t="n">
        <v>3008</v>
      </c>
      <c r="B3009" s="4" t="inlineStr">
        <is>
          <t>00006</t>
        </is>
      </c>
      <c r="C3009" s="4" t="inlineStr">
        <is>
          <t>00006</t>
        </is>
      </c>
      <c r="D3009" s="29" t="inlineStr">
        <is>
          <t>OZAN BUĞA</t>
        </is>
      </c>
      <c r="E3009" s="4" t="inlineStr">
        <is>
          <t>Perşembe</t>
        </is>
      </c>
      <c r="F3009" s="4" t="inlineStr">
        <is>
          <t>1.10.2026</t>
        </is>
      </c>
      <c r="G3009" s="4" t="inlineStr">
        <is>
          <t>15:23</t>
        </is>
      </c>
      <c r="H3009" s="4" t="inlineStr">
        <is>
          <t>1.10.2026</t>
        </is>
      </c>
      <c r="I3009" s="4" t="inlineStr">
        <is>
          <t>00:02</t>
        </is>
      </c>
      <c r="J3009" s="8" t="n">
        <v>7.5</v>
      </c>
      <c r="K3009" s="8" t="n">
        <v>7.5</v>
      </c>
      <c r="L3009" s="8" t="n">
        <v>0</v>
      </c>
      <c r="M3009" s="29" t="inlineStr">
        <is>
          <t>MKP</t>
        </is>
      </c>
    </row>
    <row r="3010">
      <c r="A3010" s="4" t="n">
        <v>3009</v>
      </c>
      <c r="B3010" s="4" t="inlineStr">
        <is>
          <t>00006</t>
        </is>
      </c>
      <c r="C3010" s="4" t="inlineStr">
        <is>
          <t>00006</t>
        </is>
      </c>
      <c r="D3010" s="29" t="inlineStr">
        <is>
          <t>OZAN BUĞA</t>
        </is>
      </c>
      <c r="E3010" s="4" t="inlineStr">
        <is>
          <t>Cuma</t>
        </is>
      </c>
      <c r="F3010" s="4" t="inlineStr">
        <is>
          <t>2.10.2026</t>
        </is>
      </c>
      <c r="G3010" s="4" t="inlineStr">
        <is>
          <t>15:59</t>
        </is>
      </c>
      <c r="H3010" s="4" t="inlineStr">
        <is>
          <t>2.10.2026</t>
        </is>
      </c>
      <c r="I3010" s="4" t="inlineStr">
        <is>
          <t>23:56</t>
        </is>
      </c>
      <c r="J3010" s="8" t="n">
        <v>7.5</v>
      </c>
      <c r="K3010" s="8" t="n">
        <v>7.5</v>
      </c>
      <c r="L3010" s="8" t="n">
        <v>0</v>
      </c>
      <c r="M3010" s="29" t="inlineStr">
        <is>
          <t>MKP</t>
        </is>
      </c>
    </row>
    <row r="3011">
      <c r="A3011" s="4" t="n">
        <v>3010</v>
      </c>
      <c r="B3011" s="4" t="inlineStr">
        <is>
          <t>00006</t>
        </is>
      </c>
      <c r="C3011" s="4" t="inlineStr">
        <is>
          <t>00006</t>
        </is>
      </c>
      <c r="D3011" s="29" t="inlineStr">
        <is>
          <t>OZAN BUĞA</t>
        </is>
      </c>
      <c r="E3011" s="4" t="inlineStr">
        <is>
          <t>Cumartesi</t>
        </is>
      </c>
      <c r="F3011" s="4" t="inlineStr">
        <is>
          <t>3.10.2026</t>
        </is>
      </c>
      <c r="G3011" s="4" t="inlineStr">
        <is>
          <t>15:35</t>
        </is>
      </c>
      <c r="H3011" s="4" t="inlineStr">
        <is>
          <t>3.10.2026</t>
        </is>
      </c>
      <c r="I3011" s="4" t="inlineStr">
        <is>
          <t>23:57</t>
        </is>
      </c>
      <c r="J3011" s="8" t="n">
        <v>8</v>
      </c>
      <c r="K3011" s="8" t="n">
        <v>8</v>
      </c>
      <c r="L3011" s="8" t="n">
        <v>0</v>
      </c>
      <c r="M3011" s="29" t="inlineStr">
        <is>
          <t>MKP</t>
        </is>
      </c>
    </row>
    <row r="3012">
      <c r="A3012" s="4" t="n">
        <v>3011</v>
      </c>
      <c r="B3012" s="4" t="inlineStr">
        <is>
          <t>00006</t>
        </is>
      </c>
      <c r="C3012" s="4" t="inlineStr">
        <is>
          <t>00006</t>
        </is>
      </c>
      <c r="D3012" s="29" t="inlineStr">
        <is>
          <t>OZAN BUĞA</t>
        </is>
      </c>
      <c r="E3012" s="4" t="inlineStr">
        <is>
          <t>Pazartesi</t>
        </is>
      </c>
      <c r="F3012" s="4" t="inlineStr">
        <is>
          <t>5.10.2026</t>
        </is>
      </c>
      <c r="G3012" s="4" t="inlineStr">
        <is>
          <t>23:41</t>
        </is>
      </c>
      <c r="H3012" s="4" t="inlineStr">
        <is>
          <t>5.10.2026</t>
        </is>
      </c>
      <c r="I3012" s="4" t="inlineStr">
        <is>
          <t>09:46</t>
        </is>
      </c>
      <c r="J3012" s="8" t="n">
        <v>9.5</v>
      </c>
      <c r="K3012" s="8" t="n">
        <v>7.5</v>
      </c>
      <c r="L3012" s="8" t="n">
        <v>2</v>
      </c>
      <c r="M3012" s="29" t="inlineStr">
        <is>
          <t>MKP</t>
        </is>
      </c>
    </row>
    <row r="3013">
      <c r="A3013" s="4" t="n">
        <v>3012</v>
      </c>
      <c r="B3013" s="4" t="inlineStr">
        <is>
          <t>00006</t>
        </is>
      </c>
      <c r="C3013" s="4" t="inlineStr">
        <is>
          <t>00006</t>
        </is>
      </c>
      <c r="D3013" s="29" t="inlineStr">
        <is>
          <t>OZAN BUĞA</t>
        </is>
      </c>
      <c r="E3013" s="4" t="inlineStr">
        <is>
          <t>Salı</t>
        </is>
      </c>
      <c r="F3013" s="4" t="inlineStr">
        <is>
          <t>6.10.2026</t>
        </is>
      </c>
      <c r="G3013" s="4" t="inlineStr">
        <is>
          <t>22:58</t>
        </is>
      </c>
      <c r="H3013" s="4" t="inlineStr">
        <is>
          <t>6.10.2026</t>
        </is>
      </c>
      <c r="I3013" s="4" t="inlineStr">
        <is>
          <t>08:11</t>
        </is>
      </c>
      <c r="J3013" s="8" t="n">
        <v>7.5</v>
      </c>
      <c r="K3013" s="8" t="n">
        <v>7.5</v>
      </c>
      <c r="L3013" s="8" t="n">
        <v>0</v>
      </c>
      <c r="M3013" s="29" t="inlineStr">
        <is>
          <t>MKP</t>
        </is>
      </c>
    </row>
    <row r="3014">
      <c r="A3014" s="4" t="n">
        <v>3013</v>
      </c>
      <c r="B3014" s="4" t="inlineStr">
        <is>
          <t>00006</t>
        </is>
      </c>
      <c r="C3014" s="4" t="inlineStr">
        <is>
          <t>00006</t>
        </is>
      </c>
      <c r="D3014" s="29" t="inlineStr">
        <is>
          <t>OZAN BUĞA</t>
        </is>
      </c>
      <c r="E3014" s="4" t="inlineStr">
        <is>
          <t>Çarşamba</t>
        </is>
      </c>
      <c r="F3014" s="4" t="inlineStr">
        <is>
          <t>7.10.2026</t>
        </is>
      </c>
      <c r="G3014" s="4" t="inlineStr">
        <is>
          <t>23:37</t>
        </is>
      </c>
      <c r="H3014" s="4" t="inlineStr">
        <is>
          <t>7.10.2026</t>
        </is>
      </c>
      <c r="I3014" s="4" t="inlineStr">
        <is>
          <t>08:57</t>
        </is>
      </c>
      <c r="J3014" s="8" t="n">
        <v>8.5</v>
      </c>
      <c r="K3014" s="8" t="n">
        <v>7.5</v>
      </c>
      <c r="L3014" s="8" t="n">
        <v>1</v>
      </c>
      <c r="M3014" s="29" t="inlineStr">
        <is>
          <t>MKP</t>
        </is>
      </c>
    </row>
    <row r="3015">
      <c r="A3015" s="4" t="n">
        <v>3014</v>
      </c>
      <c r="B3015" s="4" t="inlineStr">
        <is>
          <t>00006</t>
        </is>
      </c>
      <c r="C3015" s="4" t="inlineStr">
        <is>
          <t>00006</t>
        </is>
      </c>
      <c r="D3015" s="29" t="inlineStr">
        <is>
          <t>OZAN BUĞA</t>
        </is>
      </c>
      <c r="E3015" s="4" t="inlineStr">
        <is>
          <t>Perşembe</t>
        </is>
      </c>
      <c r="F3015" s="4" t="inlineStr">
        <is>
          <t>8.10.2026</t>
        </is>
      </c>
      <c r="G3015" s="4" t="inlineStr">
        <is>
          <t>23:06</t>
        </is>
      </c>
      <c r="H3015" s="4" t="inlineStr">
        <is>
          <t>8.10.2026</t>
        </is>
      </c>
      <c r="I3015" s="4" t="inlineStr">
        <is>
          <t>07:53</t>
        </is>
      </c>
      <c r="J3015" s="8" t="n">
        <v>7.5</v>
      </c>
      <c r="K3015" s="8" t="n">
        <v>7.5</v>
      </c>
      <c r="L3015" s="8" t="n">
        <v>0</v>
      </c>
      <c r="M3015" s="29" t="inlineStr">
        <is>
          <t>MKP</t>
        </is>
      </c>
    </row>
    <row r="3016">
      <c r="A3016" s="4" t="n">
        <v>3015</v>
      </c>
      <c r="B3016" s="4" t="inlineStr">
        <is>
          <t>00006</t>
        </is>
      </c>
      <c r="C3016" s="4" t="inlineStr">
        <is>
          <t>00006</t>
        </is>
      </c>
      <c r="D3016" s="29" t="inlineStr">
        <is>
          <t>OZAN BUĞA</t>
        </is>
      </c>
      <c r="E3016" s="4" t="inlineStr">
        <is>
          <t>Cuma</t>
        </is>
      </c>
      <c r="F3016" s="4" t="inlineStr">
        <is>
          <t>9.10.2026</t>
        </is>
      </c>
      <c r="G3016" s="4" t="inlineStr">
        <is>
          <t>23:10</t>
        </is>
      </c>
      <c r="H3016" s="4" t="inlineStr">
        <is>
          <t>9.10.2026</t>
        </is>
      </c>
      <c r="I3016" s="4" t="inlineStr">
        <is>
          <t>08:06</t>
        </is>
      </c>
      <c r="J3016" s="8" t="n">
        <v>7.5</v>
      </c>
      <c r="K3016" s="8" t="n">
        <v>7.5</v>
      </c>
      <c r="L3016" s="8" t="n">
        <v>0</v>
      </c>
      <c r="M3016" s="29" t="inlineStr">
        <is>
          <t>MKP</t>
        </is>
      </c>
    </row>
    <row r="3017">
      <c r="A3017" s="4" t="n">
        <v>3016</v>
      </c>
      <c r="B3017" s="4" t="inlineStr">
        <is>
          <t>00006</t>
        </is>
      </c>
      <c r="C3017" s="4" t="inlineStr">
        <is>
          <t>00006</t>
        </is>
      </c>
      <c r="D3017" s="29" t="inlineStr">
        <is>
          <t>OZAN BUĞA</t>
        </is>
      </c>
      <c r="E3017" s="4" t="inlineStr">
        <is>
          <t>Cumartesi</t>
        </is>
      </c>
      <c r="F3017" s="4" t="inlineStr">
        <is>
          <t>10.10.2026</t>
        </is>
      </c>
      <c r="G3017" s="4" t="inlineStr">
        <is>
          <t>23:50</t>
        </is>
      </c>
      <c r="H3017" s="4" t="inlineStr">
        <is>
          <t>10.10.2026</t>
        </is>
      </c>
      <c r="I3017" s="4" t="inlineStr">
        <is>
          <t>07:31</t>
        </is>
      </c>
      <c r="J3017" s="8" t="n">
        <v>7</v>
      </c>
      <c r="K3017" s="8" t="n">
        <v>7</v>
      </c>
      <c r="L3017" s="8" t="n">
        <v>0</v>
      </c>
      <c r="M3017" s="29" t="inlineStr">
        <is>
          <t>MKP</t>
        </is>
      </c>
    </row>
    <row r="3018">
      <c r="A3018" s="4" t="n">
        <v>3017</v>
      </c>
      <c r="B3018" s="4" t="inlineStr">
        <is>
          <t>00006</t>
        </is>
      </c>
      <c r="C3018" s="4" t="inlineStr">
        <is>
          <t>00006</t>
        </is>
      </c>
      <c r="D3018" s="29" t="inlineStr">
        <is>
          <t>OZAN BUĞA</t>
        </is>
      </c>
      <c r="E3018" s="4" t="inlineStr">
        <is>
          <t>Pazar</t>
        </is>
      </c>
      <c r="F3018" s="4" t="inlineStr">
        <is>
          <t>11.10.2026</t>
        </is>
      </c>
      <c r="G3018" s="4" t="inlineStr">
        <is>
          <t>22:47</t>
        </is>
      </c>
      <c r="H3018" s="4" t="inlineStr">
        <is>
          <t>11.10.2026</t>
        </is>
      </c>
      <c r="I3018" s="4" t="inlineStr">
        <is>
          <t>07:34</t>
        </is>
      </c>
      <c r="J3018" s="8" t="n">
        <v>7</v>
      </c>
      <c r="K3018" s="8" t="n">
        <v>7</v>
      </c>
      <c r="L3018" s="8" t="n">
        <v>0</v>
      </c>
      <c r="M3018" s="29" t="inlineStr">
        <is>
          <t>MKP</t>
        </is>
      </c>
    </row>
    <row r="3019">
      <c r="A3019" s="4" t="n">
        <v>3018</v>
      </c>
      <c r="B3019" s="4" t="inlineStr">
        <is>
          <t>00006</t>
        </is>
      </c>
      <c r="C3019" s="4" t="inlineStr">
        <is>
          <t>00006</t>
        </is>
      </c>
      <c r="D3019" s="29" t="inlineStr">
        <is>
          <t>OZAN BUĞA</t>
        </is>
      </c>
      <c r="E3019" s="4" t="inlineStr">
        <is>
          <t>Pazartesi</t>
        </is>
      </c>
      <c r="F3019" s="4" t="inlineStr">
        <is>
          <t>12.10.2026</t>
        </is>
      </c>
      <c r="G3019" s="4" t="inlineStr">
        <is>
          <t>15:53</t>
        </is>
      </c>
      <c r="H3019" s="4" t="inlineStr">
        <is>
          <t>12.10.2026</t>
        </is>
      </c>
      <c r="I3019" s="4" t="inlineStr">
        <is>
          <t>23:54</t>
        </is>
      </c>
      <c r="J3019" s="8" t="n">
        <v>7.5</v>
      </c>
      <c r="K3019" s="8" t="n">
        <v>7.5</v>
      </c>
      <c r="L3019" s="8" t="n">
        <v>0</v>
      </c>
      <c r="M3019" s="29" t="inlineStr">
        <is>
          <t>MKP</t>
        </is>
      </c>
    </row>
    <row r="3020">
      <c r="A3020" s="4" t="n">
        <v>3019</v>
      </c>
      <c r="B3020" s="4" t="inlineStr">
        <is>
          <t>00006</t>
        </is>
      </c>
      <c r="C3020" s="4" t="inlineStr">
        <is>
          <t>00006</t>
        </is>
      </c>
      <c r="D3020" s="29" t="inlineStr">
        <is>
          <t>OZAN BUĞA</t>
        </is>
      </c>
      <c r="E3020" s="4" t="inlineStr">
        <is>
          <t>Salı</t>
        </is>
      </c>
      <c r="F3020" s="4" t="inlineStr">
        <is>
          <t>13.10.2026</t>
        </is>
      </c>
      <c r="G3020" s="4" t="inlineStr">
        <is>
          <t>15:33</t>
        </is>
      </c>
      <c r="H3020" s="4" t="inlineStr">
        <is>
          <t>13.10.2026</t>
        </is>
      </c>
      <c r="I3020" s="4" t="inlineStr">
        <is>
          <t>23:54</t>
        </is>
      </c>
      <c r="J3020" s="8" t="n">
        <v>8</v>
      </c>
      <c r="K3020" s="8" t="n">
        <v>8</v>
      </c>
      <c r="L3020" s="8" t="n">
        <v>0</v>
      </c>
      <c r="M3020" s="29" t="inlineStr">
        <is>
          <t>MKP</t>
        </is>
      </c>
    </row>
    <row r="3021">
      <c r="A3021" s="4" t="n">
        <v>3020</v>
      </c>
      <c r="B3021" s="4" t="inlineStr">
        <is>
          <t>00006</t>
        </is>
      </c>
      <c r="C3021" s="4" t="inlineStr">
        <is>
          <t>00006</t>
        </is>
      </c>
      <c r="D3021" s="29" t="inlineStr">
        <is>
          <t>OZAN BUĞA</t>
        </is>
      </c>
      <c r="E3021" s="4" t="inlineStr">
        <is>
          <t>Çarşamba</t>
        </is>
      </c>
      <c r="F3021" s="4" t="inlineStr">
        <is>
          <t>14.10.2026</t>
        </is>
      </c>
      <c r="G3021" s="4" t="inlineStr">
        <is>
          <t>15:39</t>
        </is>
      </c>
      <c r="H3021" s="4" t="inlineStr">
        <is>
          <t>14.10.2026</t>
        </is>
      </c>
      <c r="I3021" s="4" t="inlineStr">
        <is>
          <t>00:04</t>
        </is>
      </c>
      <c r="J3021" s="8" t="n">
        <v>6.82</v>
      </c>
      <c r="K3021" s="8" t="n">
        <v>6.82</v>
      </c>
      <c r="L3021" s="8" t="n">
        <v>0</v>
      </c>
      <c r="M3021" s="29" t="inlineStr">
        <is>
          <t>MKP</t>
        </is>
      </c>
    </row>
    <row r="3022">
      <c r="A3022" s="4" t="n">
        <v>3021</v>
      </c>
      <c r="B3022" s="4" t="inlineStr">
        <is>
          <t>00006</t>
        </is>
      </c>
      <c r="C3022" s="4" t="inlineStr">
        <is>
          <t>00006</t>
        </is>
      </c>
      <c r="D3022" s="29" t="inlineStr">
        <is>
          <t>OZAN BUĞA</t>
        </is>
      </c>
      <c r="E3022" s="4" t="inlineStr">
        <is>
          <t>Perşembe</t>
        </is>
      </c>
      <c r="F3022" s="4" t="inlineStr">
        <is>
          <t>15.10.2026</t>
        </is>
      </c>
      <c r="G3022" s="4" t="inlineStr">
        <is>
          <t>15:38</t>
        </is>
      </c>
      <c r="H3022" s="4" t="inlineStr">
        <is>
          <t>15.10.2026</t>
        </is>
      </c>
      <c r="I3022" s="4" t="inlineStr">
        <is>
          <t>23:54</t>
        </is>
      </c>
      <c r="J3022" s="8" t="n">
        <v>8</v>
      </c>
      <c r="K3022" s="8" t="n">
        <v>8</v>
      </c>
      <c r="L3022" s="8" t="n">
        <v>0</v>
      </c>
      <c r="M3022" s="29" t="inlineStr">
        <is>
          <t>MKP</t>
        </is>
      </c>
    </row>
    <row r="3023">
      <c r="A3023" s="4" t="n">
        <v>3022</v>
      </c>
      <c r="B3023" s="4" t="inlineStr">
        <is>
          <t>00006</t>
        </is>
      </c>
      <c r="C3023" s="4" t="inlineStr">
        <is>
          <t>00006</t>
        </is>
      </c>
      <c r="D3023" s="29" t="inlineStr">
        <is>
          <t>OZAN BUĞA</t>
        </is>
      </c>
      <c r="E3023" s="4" t="inlineStr">
        <is>
          <t>Cuma</t>
        </is>
      </c>
      <c r="F3023" s="4" t="inlineStr">
        <is>
          <t>16.10.2026</t>
        </is>
      </c>
      <c r="G3023" s="4" t="inlineStr">
        <is>
          <t>14:37</t>
        </is>
      </c>
      <c r="H3023" s="4" t="inlineStr">
        <is>
          <t>16.10.2026</t>
        </is>
      </c>
      <c r="I3023" s="4" t="inlineStr">
        <is>
          <t>21:55</t>
        </is>
      </c>
      <c r="J3023" s="8" t="n">
        <v>7</v>
      </c>
      <c r="K3023" s="8" t="n">
        <v>7</v>
      </c>
      <c r="L3023" s="8" t="n">
        <v>0</v>
      </c>
      <c r="M3023" s="29" t="inlineStr">
        <is>
          <t>MKP</t>
        </is>
      </c>
    </row>
    <row r="3024">
      <c r="A3024" s="4" t="n">
        <v>3023</v>
      </c>
      <c r="B3024" s="4" t="inlineStr">
        <is>
          <t>00006</t>
        </is>
      </c>
      <c r="C3024" s="4" t="inlineStr">
        <is>
          <t>00006</t>
        </is>
      </c>
      <c r="D3024" s="29" t="inlineStr">
        <is>
          <t>OZAN BUĞA</t>
        </is>
      </c>
      <c r="E3024" s="4" t="inlineStr">
        <is>
          <t>Cumartesi</t>
        </is>
      </c>
      <c r="F3024" s="4" t="inlineStr">
        <is>
          <t>17.10.2026</t>
        </is>
      </c>
      <c r="G3024" s="4" t="inlineStr">
        <is>
          <t>15:34</t>
        </is>
      </c>
      <c r="H3024" s="4" t="inlineStr">
        <is>
          <t>17.10.2026</t>
        </is>
      </c>
      <c r="I3024" s="4" t="inlineStr">
        <is>
          <t>20:43</t>
        </is>
      </c>
      <c r="J3024" s="8" t="n">
        <v>4.5</v>
      </c>
      <c r="K3024" s="8" t="n">
        <v>4.5</v>
      </c>
      <c r="L3024" s="8" t="n">
        <v>0</v>
      </c>
      <c r="M3024" s="29" t="inlineStr">
        <is>
          <t>MKP</t>
        </is>
      </c>
    </row>
    <row r="3025">
      <c r="A3025" s="4" t="n">
        <v>3024</v>
      </c>
      <c r="B3025" s="4" t="inlineStr">
        <is>
          <t>00006</t>
        </is>
      </c>
      <c r="C3025" s="4" t="inlineStr">
        <is>
          <t>00006</t>
        </is>
      </c>
      <c r="D3025" s="29" t="inlineStr">
        <is>
          <t>OZAN BUĞA</t>
        </is>
      </c>
      <c r="E3025" s="4" t="inlineStr">
        <is>
          <t>Pazartesi</t>
        </is>
      </c>
      <c r="F3025" s="4" t="inlineStr">
        <is>
          <t>19.10.2026</t>
        </is>
      </c>
      <c r="G3025" s="4" t="inlineStr">
        <is>
          <t>07:54</t>
        </is>
      </c>
      <c r="H3025" s="4" t="inlineStr">
        <is>
          <t>19.10.2026</t>
        </is>
      </c>
      <c r="I3025" s="4" t="inlineStr">
        <is>
          <t>08:08</t>
        </is>
      </c>
      <c r="J3025" s="8" t="n">
        <v>11.45</v>
      </c>
      <c r="K3025" s="8" t="n">
        <v>7.5</v>
      </c>
      <c r="L3025" s="8" t="n">
        <v>3.95</v>
      </c>
      <c r="M3025" s="29" t="inlineStr">
        <is>
          <t>MKP</t>
        </is>
      </c>
    </row>
    <row r="3026">
      <c r="A3026" s="4" t="n">
        <v>3025</v>
      </c>
      <c r="B3026" s="4" t="inlineStr">
        <is>
          <t>00006</t>
        </is>
      </c>
      <c r="C3026" s="4" t="inlineStr">
        <is>
          <t>00006</t>
        </is>
      </c>
      <c r="D3026" s="29" t="inlineStr">
        <is>
          <t>OZAN BUĞA</t>
        </is>
      </c>
      <c r="E3026" s="4" t="inlineStr">
        <is>
          <t>Çarşamba</t>
        </is>
      </c>
      <c r="F3026" s="4" t="inlineStr">
        <is>
          <t>21.10.2026</t>
        </is>
      </c>
      <c r="G3026" s="4" t="inlineStr">
        <is>
          <t>07:52</t>
        </is>
      </c>
      <c r="H3026" s="4" t="inlineStr">
        <is>
          <t>21.10.2026</t>
        </is>
      </c>
      <c r="I3026" s="4" t="inlineStr">
        <is>
          <t>16:34</t>
        </is>
      </c>
      <c r="J3026" s="8" t="n">
        <v>7</v>
      </c>
      <c r="K3026" s="8" t="n">
        <v>7</v>
      </c>
      <c r="L3026" s="8" t="n">
        <v>0</v>
      </c>
      <c r="M3026" s="29" t="inlineStr">
        <is>
          <t>MKP</t>
        </is>
      </c>
    </row>
    <row r="3027">
      <c r="A3027" s="4" t="n">
        <v>3026</v>
      </c>
      <c r="B3027" s="4" t="inlineStr">
        <is>
          <t>01349</t>
        </is>
      </c>
      <c r="C3027" s="4" t="inlineStr">
        <is>
          <t>01349</t>
        </is>
      </c>
      <c r="D3027" s="29" t="inlineStr">
        <is>
          <t>ÖMÜR SEPETÇİ</t>
        </is>
      </c>
      <c r="E3027" s="4" t="inlineStr">
        <is>
          <t>Perşembe</t>
        </is>
      </c>
      <c r="F3027" s="4" t="inlineStr">
        <is>
          <t>1.10.2026</t>
        </is>
      </c>
      <c r="G3027" s="4" t="inlineStr">
        <is>
          <t>08:03</t>
        </is>
      </c>
      <c r="H3027" s="4" t="inlineStr">
        <is>
          <t>1.10.2026</t>
        </is>
      </c>
      <c r="I3027" s="4" t="inlineStr">
        <is>
          <t>17:23</t>
        </is>
      </c>
      <c r="J3027" s="8" t="n">
        <v>8</v>
      </c>
      <c r="K3027" s="8" t="n">
        <v>7.5</v>
      </c>
      <c r="L3027" s="8" t="n">
        <v>0.5</v>
      </c>
      <c r="M3027" s="29" t="inlineStr">
        <is>
          <t>GÜVEN MUSTAFAKEMALPAŞA</t>
        </is>
      </c>
    </row>
    <row r="3028">
      <c r="A3028" s="4" t="n">
        <v>3027</v>
      </c>
      <c r="B3028" s="4" t="inlineStr">
        <is>
          <t>01349</t>
        </is>
      </c>
      <c r="C3028" s="4" t="inlineStr">
        <is>
          <t>01349</t>
        </is>
      </c>
      <c r="D3028" s="29" t="inlineStr">
        <is>
          <t>ÖMÜR SEPETÇİ</t>
        </is>
      </c>
      <c r="E3028" s="4" t="inlineStr">
        <is>
          <t>Cumartesi</t>
        </is>
      </c>
      <c r="F3028" s="4" t="inlineStr">
        <is>
          <t>3.10.2026</t>
        </is>
      </c>
      <c r="G3028" s="4" t="inlineStr">
        <is>
          <t>07:54</t>
        </is>
      </c>
      <c r="H3028" s="4" t="inlineStr">
        <is>
          <t>3.10.2026</t>
        </is>
      </c>
      <c r="I3028" s="4" t="inlineStr">
        <is>
          <t>-</t>
        </is>
      </c>
      <c r="J3028" s="8" t="n">
        <v>7.5</v>
      </c>
      <c r="K3028" s="8" t="n">
        <v>7.5</v>
      </c>
      <c r="L3028" s="8" t="n">
        <v>0</v>
      </c>
      <c r="M3028" s="29" t="inlineStr">
        <is>
          <t>GÜVEN MUSTAFAKEMALPAŞA</t>
        </is>
      </c>
    </row>
    <row r="3029">
      <c r="A3029" s="4" t="n">
        <v>3028</v>
      </c>
      <c r="B3029" s="4" t="inlineStr">
        <is>
          <t>01349</t>
        </is>
      </c>
      <c r="C3029" s="4" t="inlineStr">
        <is>
          <t>01349</t>
        </is>
      </c>
      <c r="D3029" s="29" t="inlineStr">
        <is>
          <t>ÖMÜR SEPETÇİ</t>
        </is>
      </c>
      <c r="E3029" s="4" t="inlineStr">
        <is>
          <t>Pazartesi</t>
        </is>
      </c>
      <c r="F3029" s="4" t="inlineStr">
        <is>
          <t>5.10.2026</t>
        </is>
      </c>
      <c r="G3029" s="4" t="inlineStr">
        <is>
          <t>07:51</t>
        </is>
      </c>
      <c r="H3029" s="4" t="inlineStr">
        <is>
          <t>5.10.2026</t>
        </is>
      </c>
      <c r="I3029" s="4" t="inlineStr">
        <is>
          <t>17:08</t>
        </is>
      </c>
      <c r="J3029" s="8" t="n">
        <v>7.5</v>
      </c>
      <c r="K3029" s="8" t="n">
        <v>7.5</v>
      </c>
      <c r="L3029" s="8" t="n">
        <v>0</v>
      </c>
      <c r="M3029" s="29" t="inlineStr">
        <is>
          <t>GÜVEN MUSTAFAKEMALPAŞA</t>
        </is>
      </c>
    </row>
    <row r="3030">
      <c r="A3030" s="4" t="n">
        <v>3029</v>
      </c>
      <c r="B3030" s="4" t="inlineStr">
        <is>
          <t>01349</t>
        </is>
      </c>
      <c r="C3030" s="4" t="inlineStr">
        <is>
          <t>01349</t>
        </is>
      </c>
      <c r="D3030" s="29" t="inlineStr">
        <is>
          <t>ÖMÜR SEPETÇİ</t>
        </is>
      </c>
      <c r="E3030" s="4" t="inlineStr">
        <is>
          <t>Salı</t>
        </is>
      </c>
      <c r="F3030" s="4" t="inlineStr">
        <is>
          <t>6.10.2026</t>
        </is>
      </c>
      <c r="G3030" s="4" t="inlineStr">
        <is>
          <t>08:01</t>
        </is>
      </c>
      <c r="H3030" s="4" t="inlineStr">
        <is>
          <t>6.10.2026</t>
        </is>
      </c>
      <c r="I3030" s="4" t="inlineStr">
        <is>
          <t>07:53</t>
        </is>
      </c>
      <c r="J3030" s="8" t="n">
        <v>14</v>
      </c>
      <c r="K3030" s="8" t="n">
        <v>7.5</v>
      </c>
      <c r="L3030" s="8" t="n">
        <v>6.5</v>
      </c>
      <c r="M3030" s="29" t="inlineStr">
        <is>
          <t>GÜVEN MUSTAFAKEMALPAŞA</t>
        </is>
      </c>
    </row>
    <row r="3031">
      <c r="A3031" s="4" t="n">
        <v>3030</v>
      </c>
      <c r="B3031" s="4" t="inlineStr">
        <is>
          <t>01349</t>
        </is>
      </c>
      <c r="C3031" s="4" t="inlineStr">
        <is>
          <t>01349</t>
        </is>
      </c>
      <c r="D3031" s="29" t="inlineStr">
        <is>
          <t>ÖMÜR SEPETÇİ</t>
        </is>
      </c>
      <c r="E3031" s="4" t="inlineStr">
        <is>
          <t>Çarşamba</t>
        </is>
      </c>
      <c r="F3031" s="4" t="inlineStr">
        <is>
          <t>7.10.2026</t>
        </is>
      </c>
      <c r="G3031" s="4" t="inlineStr">
        <is>
          <t>21:52</t>
        </is>
      </c>
      <c r="H3031" s="4" t="inlineStr">
        <is>
          <t>7.10.2026</t>
        </is>
      </c>
      <c r="I3031" s="4" t="inlineStr">
        <is>
          <t>08:00</t>
        </is>
      </c>
      <c r="J3031" s="8" t="n">
        <v>7.5</v>
      </c>
      <c r="K3031" s="8" t="n">
        <v>5.5</v>
      </c>
      <c r="L3031" s="8" t="n">
        <v>2</v>
      </c>
      <c r="M3031" s="29" t="inlineStr">
        <is>
          <t>GÜVEN MUSTAFAKEMALPAŞA</t>
        </is>
      </c>
    </row>
    <row r="3032">
      <c r="A3032" s="4" t="n">
        <v>3031</v>
      </c>
      <c r="B3032" s="4" t="inlineStr">
        <is>
          <t>01349</t>
        </is>
      </c>
      <c r="C3032" s="4" t="inlineStr">
        <is>
          <t>01349</t>
        </is>
      </c>
      <c r="D3032" s="29" t="inlineStr">
        <is>
          <t>ÖMÜR SEPETÇİ</t>
        </is>
      </c>
      <c r="E3032" s="4" t="inlineStr">
        <is>
          <t>Cuma</t>
        </is>
      </c>
      <c r="F3032" s="4" t="inlineStr">
        <is>
          <t>9.10.2026</t>
        </is>
      </c>
      <c r="G3032" s="4" t="inlineStr">
        <is>
          <t>07:52</t>
        </is>
      </c>
      <c r="H3032" s="4" t="inlineStr">
        <is>
          <t>9.10.2026</t>
        </is>
      </c>
      <c r="I3032" s="4" t="inlineStr">
        <is>
          <t>17:38</t>
        </is>
      </c>
      <c r="J3032" s="8" t="n">
        <v>8</v>
      </c>
      <c r="K3032" s="8" t="n">
        <v>7.5</v>
      </c>
      <c r="L3032" s="8" t="n">
        <v>0.5</v>
      </c>
      <c r="M3032" s="29" t="inlineStr">
        <is>
          <t>GÜVEN MUSTAFAKEMALPAŞA</t>
        </is>
      </c>
    </row>
    <row r="3033">
      <c r="A3033" s="4" t="n">
        <v>3032</v>
      </c>
      <c r="B3033" s="4" t="inlineStr">
        <is>
          <t>01349</t>
        </is>
      </c>
      <c r="C3033" s="4" t="inlineStr">
        <is>
          <t>01349</t>
        </is>
      </c>
      <c r="D3033" s="29" t="inlineStr">
        <is>
          <t>ÖMÜR SEPETÇİ</t>
        </is>
      </c>
      <c r="E3033" s="4" t="inlineStr">
        <is>
          <t>Pazartesi</t>
        </is>
      </c>
      <c r="F3033" s="4" t="inlineStr">
        <is>
          <t>12.10.2026</t>
        </is>
      </c>
      <c r="G3033" s="4" t="inlineStr">
        <is>
          <t>07:56</t>
        </is>
      </c>
      <c r="H3033" s="4" t="inlineStr">
        <is>
          <t>12.10.2026</t>
        </is>
      </c>
      <c r="I3033" s="4" t="inlineStr">
        <is>
          <t>17:02</t>
        </is>
      </c>
      <c r="J3033" s="8" t="n">
        <v>7.5</v>
      </c>
      <c r="K3033" s="8" t="n">
        <v>7.5</v>
      </c>
      <c r="L3033" s="8" t="n">
        <v>0</v>
      </c>
      <c r="M3033" s="29" t="inlineStr">
        <is>
          <t>GÜVEN MUSTAFAKEMALPAŞA</t>
        </is>
      </c>
    </row>
    <row r="3034">
      <c r="A3034" s="4" t="n">
        <v>3033</v>
      </c>
      <c r="B3034" s="4" t="inlineStr">
        <is>
          <t>01349</t>
        </is>
      </c>
      <c r="C3034" s="4" t="inlineStr">
        <is>
          <t>01349</t>
        </is>
      </c>
      <c r="D3034" s="29" t="inlineStr">
        <is>
          <t>ÖMÜR SEPETÇİ</t>
        </is>
      </c>
      <c r="E3034" s="4" t="inlineStr">
        <is>
          <t>Salı</t>
        </is>
      </c>
      <c r="F3034" s="4" t="inlineStr">
        <is>
          <t>13.10.2026</t>
        </is>
      </c>
      <c r="G3034" s="4" t="inlineStr">
        <is>
          <t>07:52</t>
        </is>
      </c>
      <c r="H3034" s="4" t="inlineStr">
        <is>
          <t>13.10.2026</t>
        </is>
      </c>
      <c r="I3034" s="4" t="inlineStr">
        <is>
          <t>17:07</t>
        </is>
      </c>
      <c r="J3034" s="8" t="n">
        <v>7.5</v>
      </c>
      <c r="K3034" s="8" t="n">
        <v>7.5</v>
      </c>
      <c r="L3034" s="8" t="n">
        <v>0</v>
      </c>
      <c r="M3034" s="29" t="inlineStr">
        <is>
          <t>GÜVEN MUSTAFAKEMALPAŞA</t>
        </is>
      </c>
    </row>
    <row r="3035">
      <c r="A3035" s="4" t="n">
        <v>3034</v>
      </c>
      <c r="B3035" s="4" t="inlineStr">
        <is>
          <t>01349</t>
        </is>
      </c>
      <c r="C3035" s="4" t="inlineStr">
        <is>
          <t>01349</t>
        </is>
      </c>
      <c r="D3035" s="29" t="inlineStr">
        <is>
          <t>ÖMÜR SEPETÇİ</t>
        </is>
      </c>
      <c r="E3035" s="4" t="inlineStr">
        <is>
          <t>Çarşamba</t>
        </is>
      </c>
      <c r="F3035" s="4" t="inlineStr">
        <is>
          <t>14.10.2026</t>
        </is>
      </c>
      <c r="G3035" s="4" t="inlineStr">
        <is>
          <t>07:53</t>
        </is>
      </c>
      <c r="H3035" s="4" t="inlineStr">
        <is>
          <t>14.10.2026</t>
        </is>
      </c>
      <c r="I3035" s="4" t="inlineStr">
        <is>
          <t>17:30</t>
        </is>
      </c>
      <c r="J3035" s="8" t="n">
        <v>8</v>
      </c>
      <c r="K3035" s="8" t="n">
        <v>7.5</v>
      </c>
      <c r="L3035" s="8" t="n">
        <v>0.5</v>
      </c>
      <c r="M3035" s="29" t="inlineStr">
        <is>
          <t>GÜVEN MUSTAFAKEMALPAŞA</t>
        </is>
      </c>
    </row>
    <row r="3036">
      <c r="A3036" s="4" t="n">
        <v>3035</v>
      </c>
      <c r="B3036" s="4" t="inlineStr">
        <is>
          <t>01349</t>
        </is>
      </c>
      <c r="C3036" s="4" t="inlineStr">
        <is>
          <t>01349</t>
        </is>
      </c>
      <c r="D3036" s="29" t="inlineStr">
        <is>
          <t>ÖMÜR SEPETÇİ</t>
        </is>
      </c>
      <c r="E3036" s="4" t="inlineStr">
        <is>
          <t>Perşembe</t>
        </is>
      </c>
      <c r="F3036" s="4" t="inlineStr">
        <is>
          <t>15.10.2026</t>
        </is>
      </c>
      <c r="G3036" s="4" t="inlineStr">
        <is>
          <t>07:55</t>
        </is>
      </c>
      <c r="H3036" s="4" t="inlineStr">
        <is>
          <t>15.10.2026</t>
        </is>
      </c>
      <c r="I3036" s="4" t="inlineStr">
        <is>
          <t>17:02</t>
        </is>
      </c>
      <c r="J3036" s="8" t="n">
        <v>7.5</v>
      </c>
      <c r="K3036" s="8" t="n">
        <v>7.5</v>
      </c>
      <c r="L3036" s="8" t="n">
        <v>0</v>
      </c>
      <c r="M3036" s="29" t="inlineStr">
        <is>
          <t>GÜVEN MUSTAFAKEMALPAŞA</t>
        </is>
      </c>
    </row>
    <row r="3037">
      <c r="A3037" s="4" t="n">
        <v>3036</v>
      </c>
      <c r="B3037" s="4" t="inlineStr">
        <is>
          <t>01349</t>
        </is>
      </c>
      <c r="C3037" s="4" t="inlineStr">
        <is>
          <t>01349</t>
        </is>
      </c>
      <c r="D3037" s="29" t="inlineStr">
        <is>
          <t>ÖMÜR SEPETÇİ</t>
        </is>
      </c>
      <c r="E3037" s="4" t="inlineStr">
        <is>
          <t>Cuma</t>
        </is>
      </c>
      <c r="F3037" s="4" t="inlineStr">
        <is>
          <t>16.10.2026</t>
        </is>
      </c>
      <c r="G3037" s="4" t="inlineStr">
        <is>
          <t>07:53</t>
        </is>
      </c>
      <c r="H3037" s="4" t="inlineStr">
        <is>
          <t>16.10.2026</t>
        </is>
      </c>
      <c r="I3037" s="4" t="inlineStr">
        <is>
          <t>17:04</t>
        </is>
      </c>
      <c r="J3037" s="8" t="n">
        <v>7.5</v>
      </c>
      <c r="K3037" s="8" t="n">
        <v>7.5</v>
      </c>
      <c r="L3037" s="8" t="n">
        <v>0</v>
      </c>
      <c r="M3037" s="29" t="inlineStr">
        <is>
          <t>GÜVEN MUSTAFAKEMALPAŞA</t>
        </is>
      </c>
    </row>
    <row r="3038">
      <c r="A3038" s="4" t="n">
        <v>3037</v>
      </c>
      <c r="B3038" s="4" t="inlineStr">
        <is>
          <t>01349</t>
        </is>
      </c>
      <c r="C3038" s="4" t="inlineStr">
        <is>
          <t>01349</t>
        </is>
      </c>
      <c r="D3038" s="29" t="inlineStr">
        <is>
          <t>ÖMÜR SEPETÇİ</t>
        </is>
      </c>
      <c r="E3038" s="4" t="inlineStr">
        <is>
          <t>Cumartesi</t>
        </is>
      </c>
      <c r="F3038" s="4" t="inlineStr">
        <is>
          <t>17.10.2026</t>
        </is>
      </c>
      <c r="G3038" s="4" t="inlineStr">
        <is>
          <t>07:55</t>
        </is>
      </c>
      <c r="H3038" s="4" t="inlineStr">
        <is>
          <t>17.10.2026</t>
        </is>
      </c>
      <c r="I3038" s="4" t="inlineStr">
        <is>
          <t>17:47</t>
        </is>
      </c>
      <c r="J3038" s="8" t="n">
        <v>8.5</v>
      </c>
      <c r="K3038" s="8" t="n">
        <v>7.5</v>
      </c>
      <c r="L3038" s="8" t="n">
        <v>1</v>
      </c>
      <c r="M3038" s="29" t="inlineStr">
        <is>
          <t>GÜVEN MUSTAFAKEMALPAŞA</t>
        </is>
      </c>
    </row>
    <row r="3039">
      <c r="A3039" s="4" t="n">
        <v>3038</v>
      </c>
      <c r="B3039" s="4" t="inlineStr">
        <is>
          <t>01349</t>
        </is>
      </c>
      <c r="C3039" s="4" t="inlineStr">
        <is>
          <t>01349</t>
        </is>
      </c>
      <c r="D3039" s="29" t="inlineStr">
        <is>
          <t>ÖMÜR SEPETÇİ</t>
        </is>
      </c>
      <c r="E3039" s="4" t="inlineStr">
        <is>
          <t>Pazartesi</t>
        </is>
      </c>
      <c r="F3039" s="4" t="inlineStr">
        <is>
          <t>19.10.2026</t>
        </is>
      </c>
      <c r="G3039" s="4" t="inlineStr">
        <is>
          <t>07:53</t>
        </is>
      </c>
      <c r="H3039" s="4" t="inlineStr">
        <is>
          <t>19.10.2026</t>
        </is>
      </c>
      <c r="I3039" s="4" t="inlineStr">
        <is>
          <t>17:39</t>
        </is>
      </c>
      <c r="J3039" s="8" t="n">
        <v>8</v>
      </c>
      <c r="K3039" s="8" t="n">
        <v>7.5</v>
      </c>
      <c r="L3039" s="8" t="n">
        <v>0.5</v>
      </c>
      <c r="M3039" s="29" t="inlineStr">
        <is>
          <t>GÜVEN MUSTAFAKEMALPAŞA</t>
        </is>
      </c>
    </row>
    <row r="3040">
      <c r="A3040" s="4" t="n">
        <v>3039</v>
      </c>
      <c r="B3040" s="4" t="inlineStr">
        <is>
          <t>01349</t>
        </is>
      </c>
      <c r="C3040" s="4" t="inlineStr">
        <is>
          <t>01349</t>
        </is>
      </c>
      <c r="D3040" s="29" t="inlineStr">
        <is>
          <t>ÖMÜR SEPETÇİ</t>
        </is>
      </c>
      <c r="E3040" s="4" t="inlineStr">
        <is>
          <t>Salı</t>
        </is>
      </c>
      <c r="F3040" s="4" t="inlineStr">
        <is>
          <t>20.10.2026</t>
        </is>
      </c>
      <c r="G3040" s="4" t="inlineStr">
        <is>
          <t>07:53</t>
        </is>
      </c>
      <c r="H3040" s="4" t="inlineStr">
        <is>
          <t>20.10.2026</t>
        </is>
      </c>
      <c r="I3040" s="4" t="inlineStr">
        <is>
          <t>17:04</t>
        </is>
      </c>
      <c r="J3040" s="8" t="n">
        <v>7.5</v>
      </c>
      <c r="K3040" s="8" t="n">
        <v>7.5</v>
      </c>
      <c r="L3040" s="8" t="n">
        <v>0</v>
      </c>
      <c r="M3040" s="29" t="inlineStr">
        <is>
          <t>GÜVEN MUSTAFAKEMALPAŞA</t>
        </is>
      </c>
    </row>
    <row r="3041">
      <c r="A3041" s="4" t="n">
        <v>3040</v>
      </c>
      <c r="B3041" s="4" t="inlineStr">
        <is>
          <t>00139</t>
        </is>
      </c>
      <c r="C3041" s="4" t="inlineStr">
        <is>
          <t>00139</t>
        </is>
      </c>
      <c r="D3041" s="29" t="inlineStr">
        <is>
          <t>ÖMÜRLÜ FERİK</t>
        </is>
      </c>
      <c r="E3041" s="4" t="inlineStr">
        <is>
          <t>Perşembe</t>
        </is>
      </c>
      <c r="F3041" s="4" t="inlineStr">
        <is>
          <t>1.10.2026</t>
        </is>
      </c>
      <c r="G3041" s="4" t="inlineStr">
        <is>
          <t>07:41</t>
        </is>
      </c>
      <c r="H3041" s="4" t="inlineStr">
        <is>
          <t>1.10.2026</t>
        </is>
      </c>
      <c r="I3041" s="4" t="inlineStr">
        <is>
          <t>17:33</t>
        </is>
      </c>
      <c r="J3041" s="8" t="n">
        <v>8</v>
      </c>
      <c r="K3041" s="8" t="n">
        <v>7.5</v>
      </c>
      <c r="L3041" s="8" t="n">
        <v>0.5</v>
      </c>
      <c r="M3041" s="29" t="inlineStr">
        <is>
          <t>MKP</t>
        </is>
      </c>
    </row>
    <row r="3042">
      <c r="A3042" s="4" t="n">
        <v>3041</v>
      </c>
      <c r="B3042" s="4" t="inlineStr">
        <is>
          <t>00139</t>
        </is>
      </c>
      <c r="C3042" s="4" t="inlineStr">
        <is>
          <t>00139</t>
        </is>
      </c>
      <c r="D3042" s="29" t="inlineStr">
        <is>
          <t>ÖMÜRLÜ FERİK</t>
        </is>
      </c>
      <c r="E3042" s="4" t="inlineStr">
        <is>
          <t>Cuma</t>
        </is>
      </c>
      <c r="F3042" s="4" t="inlineStr">
        <is>
          <t>2.10.2026</t>
        </is>
      </c>
      <c r="G3042" s="4" t="inlineStr">
        <is>
          <t>07:45</t>
        </is>
      </c>
      <c r="H3042" s="4" t="inlineStr">
        <is>
          <t>2.10.2026</t>
        </is>
      </c>
      <c r="I3042" s="4" t="inlineStr">
        <is>
          <t>-</t>
        </is>
      </c>
      <c r="J3042" s="8" t="n">
        <v>7.5</v>
      </c>
      <c r="K3042" s="8" t="n">
        <v>7.5</v>
      </c>
      <c r="L3042" s="8" t="n">
        <v>0</v>
      </c>
      <c r="M3042" s="29" t="inlineStr">
        <is>
          <t>MKP</t>
        </is>
      </c>
    </row>
    <row r="3043">
      <c r="A3043" s="4" t="n">
        <v>3042</v>
      </c>
      <c r="B3043" s="4" t="inlineStr">
        <is>
          <t>00139</t>
        </is>
      </c>
      <c r="C3043" s="4" t="inlineStr">
        <is>
          <t>00139</t>
        </is>
      </c>
      <c r="D3043" s="29" t="inlineStr">
        <is>
          <t>ÖMÜRLÜ FERİK</t>
        </is>
      </c>
      <c r="E3043" s="4" t="inlineStr">
        <is>
          <t>Cumartesi</t>
        </is>
      </c>
      <c r="F3043" s="4" t="inlineStr">
        <is>
          <t>3.10.2026</t>
        </is>
      </c>
      <c r="G3043" s="4" t="inlineStr">
        <is>
          <t>07:42</t>
        </is>
      </c>
      <c r="H3043" s="4" t="inlineStr">
        <is>
          <t>3.10.2026</t>
        </is>
      </c>
      <c r="I3043" s="4" t="inlineStr">
        <is>
          <t>19:56</t>
        </is>
      </c>
      <c r="J3043" s="8" t="n">
        <v>10.5</v>
      </c>
      <c r="K3043" s="8" t="n">
        <v>7.5</v>
      </c>
      <c r="L3043" s="8" t="n">
        <v>3</v>
      </c>
      <c r="M3043" s="29" t="inlineStr">
        <is>
          <t>MKP</t>
        </is>
      </c>
    </row>
    <row r="3044">
      <c r="A3044" s="4" t="n">
        <v>3043</v>
      </c>
      <c r="B3044" s="4" t="inlineStr">
        <is>
          <t>00139</t>
        </is>
      </c>
      <c r="C3044" s="4" t="inlineStr">
        <is>
          <t>00139</t>
        </is>
      </c>
      <c r="D3044" s="29" t="inlineStr">
        <is>
          <t>ÖMÜRLÜ FERİK</t>
        </is>
      </c>
      <c r="E3044" s="4" t="inlineStr">
        <is>
          <t>Pazar</t>
        </is>
      </c>
      <c r="F3044" s="4" t="inlineStr">
        <is>
          <t>4.10.2026</t>
        </is>
      </c>
      <c r="G3044" s="4" t="inlineStr">
        <is>
          <t>07:56</t>
        </is>
      </c>
      <c r="H3044" s="4" t="inlineStr">
        <is>
          <t>4.10.2026</t>
        </is>
      </c>
      <c r="I3044" s="4" t="inlineStr">
        <is>
          <t>20:00</t>
        </is>
      </c>
      <c r="J3044" s="8" t="n">
        <v>10.5</v>
      </c>
      <c r="K3044" s="8" t="n">
        <v>7.5</v>
      </c>
      <c r="L3044" s="8" t="n">
        <v>3</v>
      </c>
      <c r="M3044" s="29" t="inlineStr">
        <is>
          <t>MKP</t>
        </is>
      </c>
    </row>
    <row r="3045">
      <c r="A3045" s="4" t="n">
        <v>3044</v>
      </c>
      <c r="B3045" s="4" t="inlineStr">
        <is>
          <t>00139</t>
        </is>
      </c>
      <c r="C3045" s="4" t="inlineStr">
        <is>
          <t>00139</t>
        </is>
      </c>
      <c r="D3045" s="29" t="inlineStr">
        <is>
          <t>ÖMÜRLÜ FERİK</t>
        </is>
      </c>
      <c r="E3045" s="4" t="inlineStr">
        <is>
          <t>Pazartesi</t>
        </is>
      </c>
      <c r="F3045" s="4" t="inlineStr">
        <is>
          <t>5.10.2026</t>
        </is>
      </c>
      <c r="G3045" s="4" t="inlineStr">
        <is>
          <t>07:50</t>
        </is>
      </c>
      <c r="H3045" s="4" t="inlineStr">
        <is>
          <t>5.10.2026</t>
        </is>
      </c>
      <c r="I3045" s="4" t="inlineStr">
        <is>
          <t>20:01</t>
        </is>
      </c>
      <c r="J3045" s="8" t="n">
        <v>10.5</v>
      </c>
      <c r="K3045" s="8" t="n">
        <v>7.5</v>
      </c>
      <c r="L3045" s="8" t="n">
        <v>3</v>
      </c>
      <c r="M3045" s="29" t="inlineStr">
        <is>
          <t>MKP</t>
        </is>
      </c>
    </row>
    <row r="3046">
      <c r="A3046" s="4" t="n">
        <v>3045</v>
      </c>
      <c r="B3046" s="4" t="inlineStr">
        <is>
          <t>00139</t>
        </is>
      </c>
      <c r="C3046" s="4" t="inlineStr">
        <is>
          <t>00139</t>
        </is>
      </c>
      <c r="D3046" s="29" t="inlineStr">
        <is>
          <t>ÖMÜRLÜ FERİK</t>
        </is>
      </c>
      <c r="E3046" s="4" t="inlineStr">
        <is>
          <t>Salı</t>
        </is>
      </c>
      <c r="F3046" s="4" t="inlineStr">
        <is>
          <t>6.10.2026</t>
        </is>
      </c>
      <c r="G3046" s="4" t="inlineStr">
        <is>
          <t>07:47</t>
        </is>
      </c>
      <c r="H3046" s="4" t="inlineStr">
        <is>
          <t>6.10.2026</t>
        </is>
      </c>
      <c r="I3046" s="4" t="inlineStr">
        <is>
          <t>17:44</t>
        </is>
      </c>
      <c r="J3046" s="8" t="n">
        <v>8</v>
      </c>
      <c r="K3046" s="8" t="n">
        <v>7.5</v>
      </c>
      <c r="L3046" s="8" t="n">
        <v>0.5</v>
      </c>
      <c r="M3046" s="29" t="inlineStr">
        <is>
          <t>MKP</t>
        </is>
      </c>
    </row>
    <row r="3047">
      <c r="A3047" s="4" t="n">
        <v>3046</v>
      </c>
      <c r="B3047" s="4" t="inlineStr">
        <is>
          <t>00139</t>
        </is>
      </c>
      <c r="C3047" s="4" t="inlineStr">
        <is>
          <t>00139</t>
        </is>
      </c>
      <c r="D3047" s="29" t="inlineStr">
        <is>
          <t>ÖMÜRLÜ FERİK</t>
        </is>
      </c>
      <c r="E3047" s="4" t="inlineStr">
        <is>
          <t>Çarşamba</t>
        </is>
      </c>
      <c r="F3047" s="4" t="inlineStr">
        <is>
          <t>7.10.2026</t>
        </is>
      </c>
      <c r="G3047" s="4" t="inlineStr">
        <is>
          <t>07:46</t>
        </is>
      </c>
      <c r="H3047" s="4" t="inlineStr">
        <is>
          <t>7.10.2026</t>
        </is>
      </c>
      <c r="I3047" s="4" t="inlineStr">
        <is>
          <t>20:08</t>
        </is>
      </c>
      <c r="J3047" s="8" t="n">
        <v>10.5</v>
      </c>
      <c r="K3047" s="8" t="n">
        <v>7.5</v>
      </c>
      <c r="L3047" s="8" t="n">
        <v>3</v>
      </c>
      <c r="M3047" s="29" t="inlineStr">
        <is>
          <t>MKP</t>
        </is>
      </c>
    </row>
    <row r="3048">
      <c r="A3048" s="4" t="n">
        <v>3047</v>
      </c>
      <c r="B3048" s="4" t="inlineStr">
        <is>
          <t>00139</t>
        </is>
      </c>
      <c r="C3048" s="4" t="inlineStr">
        <is>
          <t>00139</t>
        </is>
      </c>
      <c r="D3048" s="29" t="inlineStr">
        <is>
          <t>ÖMÜRLÜ FERİK</t>
        </is>
      </c>
      <c r="E3048" s="4" t="inlineStr">
        <is>
          <t>Perşembe</t>
        </is>
      </c>
      <c r="F3048" s="4" t="inlineStr">
        <is>
          <t>8.10.2026</t>
        </is>
      </c>
      <c r="G3048" s="4" t="inlineStr">
        <is>
          <t>07:52</t>
        </is>
      </c>
      <c r="H3048" s="4" t="inlineStr">
        <is>
          <t>8.10.2026</t>
        </is>
      </c>
      <c r="I3048" s="4" t="inlineStr">
        <is>
          <t>17:37</t>
        </is>
      </c>
      <c r="J3048" s="8" t="n">
        <v>8</v>
      </c>
      <c r="K3048" s="8" t="n">
        <v>7.5</v>
      </c>
      <c r="L3048" s="8" t="n">
        <v>0.5</v>
      </c>
      <c r="M3048" s="29" t="inlineStr">
        <is>
          <t>MKP</t>
        </is>
      </c>
    </row>
    <row r="3049">
      <c r="A3049" s="4" t="n">
        <v>3048</v>
      </c>
      <c r="B3049" s="4" t="inlineStr">
        <is>
          <t>00139</t>
        </is>
      </c>
      <c r="C3049" s="4" t="inlineStr">
        <is>
          <t>00139</t>
        </is>
      </c>
      <c r="D3049" s="29" t="inlineStr">
        <is>
          <t>ÖMÜRLÜ FERİK</t>
        </is>
      </c>
      <c r="E3049" s="4" t="inlineStr">
        <is>
          <t>Cuma</t>
        </is>
      </c>
      <c r="F3049" s="4" t="inlineStr">
        <is>
          <t>9.10.2026</t>
        </is>
      </c>
      <c r="G3049" s="4" t="inlineStr">
        <is>
          <t>07:50</t>
        </is>
      </c>
      <c r="H3049" s="4" t="inlineStr">
        <is>
          <t>9.10.2026</t>
        </is>
      </c>
      <c r="I3049" s="4" t="inlineStr">
        <is>
          <t>17:43</t>
        </is>
      </c>
      <c r="J3049" s="8" t="n">
        <v>8</v>
      </c>
      <c r="K3049" s="8" t="n">
        <v>7.5</v>
      </c>
      <c r="L3049" s="8" t="n">
        <v>0.5</v>
      </c>
      <c r="M3049" s="29" t="inlineStr">
        <is>
          <t>MKP</t>
        </is>
      </c>
    </row>
    <row r="3050">
      <c r="A3050" s="4" t="n">
        <v>3049</v>
      </c>
      <c r="B3050" s="4" t="inlineStr">
        <is>
          <t>00139</t>
        </is>
      </c>
      <c r="C3050" s="4" t="inlineStr">
        <is>
          <t>00139</t>
        </is>
      </c>
      <c r="D3050" s="29" t="inlineStr">
        <is>
          <t>ÖMÜRLÜ FERİK</t>
        </is>
      </c>
      <c r="E3050" s="4" t="inlineStr">
        <is>
          <t>Cumartesi</t>
        </is>
      </c>
      <c r="F3050" s="4" t="inlineStr">
        <is>
          <t>10.10.2026</t>
        </is>
      </c>
      <c r="G3050" s="4" t="inlineStr">
        <is>
          <t>07:45</t>
        </is>
      </c>
      <c r="H3050" s="4" t="inlineStr">
        <is>
          <t>10.10.2026</t>
        </is>
      </c>
      <c r="I3050" s="4" t="inlineStr">
        <is>
          <t>20:10</t>
        </is>
      </c>
      <c r="J3050" s="8" t="n">
        <v>10.5</v>
      </c>
      <c r="K3050" s="8" t="n">
        <v>7.5</v>
      </c>
      <c r="L3050" s="8" t="n">
        <v>3</v>
      </c>
      <c r="M3050" s="29" t="inlineStr">
        <is>
          <t>MKP</t>
        </is>
      </c>
    </row>
    <row r="3051">
      <c r="A3051" s="4" t="n">
        <v>3050</v>
      </c>
      <c r="B3051" s="4" t="inlineStr">
        <is>
          <t>00139</t>
        </is>
      </c>
      <c r="C3051" s="4" t="inlineStr">
        <is>
          <t>00139</t>
        </is>
      </c>
      <c r="D3051" s="29" t="inlineStr">
        <is>
          <t>ÖMÜRLÜ FERİK</t>
        </is>
      </c>
      <c r="E3051" s="4" t="inlineStr">
        <is>
          <t>Pazar</t>
        </is>
      </c>
      <c r="F3051" s="4" t="inlineStr">
        <is>
          <t>11.10.2026</t>
        </is>
      </c>
      <c r="G3051" s="4" t="inlineStr">
        <is>
          <t>08:54</t>
        </is>
      </c>
      <c r="H3051" s="4" t="inlineStr">
        <is>
          <t>11.10.2026</t>
        </is>
      </c>
      <c r="I3051" s="4" t="inlineStr">
        <is>
          <t>20:08</t>
        </is>
      </c>
      <c r="J3051" s="8" t="n">
        <v>9.5</v>
      </c>
      <c r="K3051" s="8" t="n">
        <v>6.5</v>
      </c>
      <c r="L3051" s="8" t="n">
        <v>3</v>
      </c>
      <c r="M3051" s="29" t="inlineStr">
        <is>
          <t>MKP</t>
        </is>
      </c>
    </row>
    <row r="3052">
      <c r="A3052" s="4" t="n">
        <v>3051</v>
      </c>
      <c r="B3052" s="4" t="inlineStr">
        <is>
          <t>00139</t>
        </is>
      </c>
      <c r="C3052" s="4" t="inlineStr">
        <is>
          <t>00139</t>
        </is>
      </c>
      <c r="D3052" s="29" t="inlineStr">
        <is>
          <t>ÖMÜRLÜ FERİK</t>
        </is>
      </c>
      <c r="E3052" s="4" t="inlineStr">
        <is>
          <t>Pazartesi</t>
        </is>
      </c>
      <c r="F3052" s="4" t="inlineStr">
        <is>
          <t>12.10.2026</t>
        </is>
      </c>
      <c r="G3052" s="4" t="inlineStr">
        <is>
          <t>07:46</t>
        </is>
      </c>
      <c r="H3052" s="4" t="inlineStr">
        <is>
          <t>12.10.2026</t>
        </is>
      </c>
      <c r="I3052" s="4" t="inlineStr">
        <is>
          <t>17:07</t>
        </is>
      </c>
      <c r="J3052" s="8" t="n">
        <v>7.5</v>
      </c>
      <c r="K3052" s="8" t="n">
        <v>7.5</v>
      </c>
      <c r="L3052" s="8" t="n">
        <v>0</v>
      </c>
      <c r="M3052" s="29" t="inlineStr">
        <is>
          <t>MKP</t>
        </is>
      </c>
    </row>
    <row r="3053">
      <c r="A3053" s="4" t="n">
        <v>3052</v>
      </c>
      <c r="B3053" s="4" t="inlineStr">
        <is>
          <t>00139</t>
        </is>
      </c>
      <c r="C3053" s="4" t="inlineStr">
        <is>
          <t>00139</t>
        </is>
      </c>
      <c r="D3053" s="29" t="inlineStr">
        <is>
          <t>ÖMÜRLÜ FERİK</t>
        </is>
      </c>
      <c r="E3053" s="4" t="inlineStr">
        <is>
          <t>Salı</t>
        </is>
      </c>
      <c r="F3053" s="4" t="inlineStr">
        <is>
          <t>13.10.2026</t>
        </is>
      </c>
      <c r="G3053" s="4" t="inlineStr">
        <is>
          <t>07:48</t>
        </is>
      </c>
      <c r="H3053" s="4" t="inlineStr">
        <is>
          <t>13.10.2026</t>
        </is>
      </c>
      <c r="I3053" s="4" t="inlineStr">
        <is>
          <t>17:04</t>
        </is>
      </c>
      <c r="J3053" s="8" t="n">
        <v>7.5</v>
      </c>
      <c r="K3053" s="8" t="n">
        <v>7.5</v>
      </c>
      <c r="L3053" s="8" t="n">
        <v>0</v>
      </c>
      <c r="M3053" s="29" t="inlineStr">
        <is>
          <t>MKP</t>
        </is>
      </c>
    </row>
    <row r="3054">
      <c r="A3054" s="4" t="n">
        <v>3053</v>
      </c>
      <c r="B3054" s="4" t="inlineStr">
        <is>
          <t>00139</t>
        </is>
      </c>
      <c r="C3054" s="4" t="inlineStr">
        <is>
          <t>00139</t>
        </is>
      </c>
      <c r="D3054" s="29" t="inlineStr">
        <is>
          <t>ÖMÜRLÜ FERİK</t>
        </is>
      </c>
      <c r="E3054" s="4" t="inlineStr">
        <is>
          <t>Çarşamba</t>
        </is>
      </c>
      <c r="F3054" s="4" t="inlineStr">
        <is>
          <t>14.10.2026</t>
        </is>
      </c>
      <c r="G3054" s="4" t="inlineStr">
        <is>
          <t>07:58</t>
        </is>
      </c>
      <c r="H3054" s="4" t="inlineStr">
        <is>
          <t>14.10.2026</t>
        </is>
      </c>
      <c r="I3054" s="4" t="inlineStr">
        <is>
          <t>20:15</t>
        </is>
      </c>
      <c r="J3054" s="8" t="n">
        <v>10.5</v>
      </c>
      <c r="K3054" s="8" t="n">
        <v>7.5</v>
      </c>
      <c r="L3054" s="8" t="n">
        <v>3</v>
      </c>
      <c r="M3054" s="29" t="inlineStr">
        <is>
          <t>MKP</t>
        </is>
      </c>
    </row>
    <row r="3055">
      <c r="A3055" s="4" t="n">
        <v>3054</v>
      </c>
      <c r="B3055" s="4" t="inlineStr">
        <is>
          <t>00139</t>
        </is>
      </c>
      <c r="C3055" s="4" t="inlineStr">
        <is>
          <t>00139</t>
        </is>
      </c>
      <c r="D3055" s="29" t="inlineStr">
        <is>
          <t>ÖMÜRLÜ FERİK</t>
        </is>
      </c>
      <c r="E3055" s="4" t="inlineStr">
        <is>
          <t>Perşembe</t>
        </is>
      </c>
      <c r="F3055" s="4" t="inlineStr">
        <is>
          <t>15.10.2026</t>
        </is>
      </c>
      <c r="G3055" s="4" t="inlineStr">
        <is>
          <t>08:00</t>
        </is>
      </c>
      <c r="H3055" s="4" t="inlineStr">
        <is>
          <t>15.10.2026</t>
        </is>
      </c>
      <c r="I3055" s="4" t="inlineStr">
        <is>
          <t>20:09</t>
        </is>
      </c>
      <c r="J3055" s="8" t="n">
        <v>10.5</v>
      </c>
      <c r="K3055" s="8" t="n">
        <v>7.5</v>
      </c>
      <c r="L3055" s="8" t="n">
        <v>3</v>
      </c>
      <c r="M3055" s="29" t="inlineStr">
        <is>
          <t>MKP</t>
        </is>
      </c>
    </row>
    <row r="3056">
      <c r="A3056" s="4" t="n">
        <v>3055</v>
      </c>
      <c r="B3056" s="4" t="inlineStr">
        <is>
          <t>00139</t>
        </is>
      </c>
      <c r="C3056" s="4" t="inlineStr">
        <is>
          <t>00139</t>
        </is>
      </c>
      <c r="D3056" s="29" t="inlineStr">
        <is>
          <t>ÖMÜRLÜ FERİK</t>
        </is>
      </c>
      <c r="E3056" s="4" t="inlineStr">
        <is>
          <t>Cuma</t>
        </is>
      </c>
      <c r="F3056" s="4" t="inlineStr">
        <is>
          <t>16.10.2026</t>
        </is>
      </c>
      <c r="G3056" s="4" t="inlineStr">
        <is>
          <t>07:44</t>
        </is>
      </c>
      <c r="H3056" s="4" t="inlineStr">
        <is>
          <t>16.10.2026</t>
        </is>
      </c>
      <c r="I3056" s="4" t="inlineStr">
        <is>
          <t>17:23</t>
        </is>
      </c>
      <c r="J3056" s="8" t="n">
        <v>8</v>
      </c>
      <c r="K3056" s="8" t="n">
        <v>7.5</v>
      </c>
      <c r="L3056" s="8" t="n">
        <v>0.5</v>
      </c>
      <c r="M3056" s="29" t="inlineStr">
        <is>
          <t>MKP</t>
        </is>
      </c>
    </row>
    <row r="3057">
      <c r="A3057" s="4" t="n">
        <v>3056</v>
      </c>
      <c r="B3057" s="4" t="inlineStr">
        <is>
          <t>00139</t>
        </is>
      </c>
      <c r="C3057" s="4" t="inlineStr">
        <is>
          <t>00139</t>
        </is>
      </c>
      <c r="D3057" s="29" t="inlineStr">
        <is>
          <t>ÖMÜRLÜ FERİK</t>
        </is>
      </c>
      <c r="E3057" s="4" t="inlineStr">
        <is>
          <t>Cumartesi</t>
        </is>
      </c>
      <c r="F3057" s="4" t="inlineStr">
        <is>
          <t>17.10.2026</t>
        </is>
      </c>
      <c r="G3057" s="4" t="inlineStr">
        <is>
          <t>07:48</t>
        </is>
      </c>
      <c r="H3057" s="4" t="inlineStr">
        <is>
          <t>17.10.2026</t>
        </is>
      </c>
      <c r="I3057" s="4" t="inlineStr">
        <is>
          <t>20:04</t>
        </is>
      </c>
      <c r="J3057" s="8" t="n">
        <v>10.5</v>
      </c>
      <c r="K3057" s="8" t="n">
        <v>7.5</v>
      </c>
      <c r="L3057" s="8" t="n">
        <v>3</v>
      </c>
      <c r="M3057" s="29" t="inlineStr">
        <is>
          <t>MKP</t>
        </is>
      </c>
    </row>
    <row r="3058">
      <c r="A3058" s="4" t="n">
        <v>3057</v>
      </c>
      <c r="B3058" s="4" t="inlineStr">
        <is>
          <t>00139</t>
        </is>
      </c>
      <c r="C3058" s="4" t="inlineStr">
        <is>
          <t>00139</t>
        </is>
      </c>
      <c r="D3058" s="29" t="inlineStr">
        <is>
          <t>ÖMÜRLÜ FERİK</t>
        </is>
      </c>
      <c r="E3058" s="4" t="inlineStr">
        <is>
          <t>Pazartesi</t>
        </is>
      </c>
      <c r="F3058" s="4" t="inlineStr">
        <is>
          <t>19.10.2026</t>
        </is>
      </c>
      <c r="G3058" s="4" t="inlineStr">
        <is>
          <t>07:46</t>
        </is>
      </c>
      <c r="H3058" s="4" t="inlineStr">
        <is>
          <t>19.10.2026</t>
        </is>
      </c>
      <c r="I3058" s="4" t="inlineStr">
        <is>
          <t>17:53</t>
        </is>
      </c>
      <c r="J3058" s="8" t="n">
        <v>8.5</v>
      </c>
      <c r="K3058" s="8" t="n">
        <v>7.5</v>
      </c>
      <c r="L3058" s="8" t="n">
        <v>1</v>
      </c>
      <c r="M3058" s="29" t="inlineStr">
        <is>
          <t>MKP</t>
        </is>
      </c>
    </row>
    <row r="3059">
      <c r="A3059" s="4" t="n">
        <v>3058</v>
      </c>
      <c r="B3059" s="4" t="inlineStr">
        <is>
          <t>00139</t>
        </is>
      </c>
      <c r="C3059" s="4" t="inlineStr">
        <is>
          <t>00139</t>
        </is>
      </c>
      <c r="D3059" s="29" t="inlineStr">
        <is>
          <t>ÖMÜRLÜ FERİK</t>
        </is>
      </c>
      <c r="E3059" s="4" t="inlineStr">
        <is>
          <t>Salı</t>
        </is>
      </c>
      <c r="F3059" s="4" t="inlineStr">
        <is>
          <t>20.10.2026</t>
        </is>
      </c>
      <c r="G3059" s="4" t="inlineStr">
        <is>
          <t>07:47</t>
        </is>
      </c>
      <c r="H3059" s="4" t="inlineStr">
        <is>
          <t>20.10.2026</t>
        </is>
      </c>
      <c r="I3059" s="4" t="inlineStr">
        <is>
          <t>20:01</t>
        </is>
      </c>
      <c r="J3059" s="8" t="n">
        <v>10.5</v>
      </c>
      <c r="K3059" s="8" t="n">
        <v>7.5</v>
      </c>
      <c r="L3059" s="8" t="n">
        <v>3</v>
      </c>
      <c r="M3059" s="29" t="inlineStr">
        <is>
          <t>MKP</t>
        </is>
      </c>
    </row>
    <row r="3060">
      <c r="A3060" s="4" t="n">
        <v>3059</v>
      </c>
      <c r="B3060" s="4" t="inlineStr">
        <is>
          <t>00139</t>
        </is>
      </c>
      <c r="C3060" s="4" t="inlineStr">
        <is>
          <t>00139</t>
        </is>
      </c>
      <c r="D3060" s="29" t="inlineStr">
        <is>
          <t>ÖMÜRLÜ FERİK</t>
        </is>
      </c>
      <c r="E3060" s="4" t="inlineStr">
        <is>
          <t>Çarşamba</t>
        </is>
      </c>
      <c r="F3060" s="4" t="inlineStr">
        <is>
          <t>21.10.2026</t>
        </is>
      </c>
      <c r="G3060" s="4" t="inlineStr">
        <is>
          <t>07:45</t>
        </is>
      </c>
      <c r="H3060" s="4" t="inlineStr">
        <is>
          <t>21.10.2026</t>
        </is>
      </c>
      <c r="I3060" s="4" t="inlineStr">
        <is>
          <t>17:07</t>
        </is>
      </c>
      <c r="J3060" s="8" t="n">
        <v>7.5</v>
      </c>
      <c r="K3060" s="8" t="n">
        <v>7.5</v>
      </c>
      <c r="L3060" s="8" t="n">
        <v>0</v>
      </c>
      <c r="M3060" s="29" t="inlineStr">
        <is>
          <t>MKP</t>
        </is>
      </c>
    </row>
    <row r="3061">
      <c r="A3061" s="4" t="n">
        <v>3060</v>
      </c>
      <c r="B3061" s="4" t="inlineStr">
        <is>
          <t>01444</t>
        </is>
      </c>
      <c r="C3061" s="4" t="inlineStr">
        <is>
          <t>01444</t>
        </is>
      </c>
      <c r="D3061" s="29" t="inlineStr">
        <is>
          <t>ÖZLEM BEYİRKEN</t>
        </is>
      </c>
      <c r="E3061" s="4" t="inlineStr">
        <is>
          <t>Cuma</t>
        </is>
      </c>
      <c r="F3061" s="4" t="inlineStr">
        <is>
          <t>2.10.2026</t>
        </is>
      </c>
      <c r="G3061" s="4" t="inlineStr">
        <is>
          <t>-</t>
        </is>
      </c>
      <c r="H3061" s="4" t="inlineStr">
        <is>
          <t>2.10.2026</t>
        </is>
      </c>
      <c r="I3061" s="4" t="inlineStr">
        <is>
          <t>20:02</t>
        </is>
      </c>
      <c r="J3061" s="8" t="n">
        <v>10.5</v>
      </c>
      <c r="K3061" s="8" t="n">
        <v>7.5</v>
      </c>
      <c r="L3061" s="8" t="n">
        <v>3</v>
      </c>
      <c r="M3061" s="29" t="inlineStr">
        <is>
          <t>HALİL DİĞRENCİ</t>
        </is>
      </c>
    </row>
    <row r="3062">
      <c r="A3062" s="4" t="n">
        <v>3061</v>
      </c>
      <c r="B3062" s="4" t="inlineStr">
        <is>
          <t>01444</t>
        </is>
      </c>
      <c r="C3062" s="4" t="inlineStr">
        <is>
          <t>01444</t>
        </is>
      </c>
      <c r="D3062" s="29" t="inlineStr">
        <is>
          <t>ÖZLEM BEYİRKEN</t>
        </is>
      </c>
      <c r="E3062" s="4" t="inlineStr">
        <is>
          <t>Cumartesi</t>
        </is>
      </c>
      <c r="F3062" s="4" t="inlineStr">
        <is>
          <t>3.10.2026</t>
        </is>
      </c>
      <c r="G3062" s="4" t="inlineStr">
        <is>
          <t>08:01</t>
        </is>
      </c>
      <c r="H3062" s="4" t="inlineStr">
        <is>
          <t>3.10.2026</t>
        </is>
      </c>
      <c r="I3062" s="4" t="inlineStr">
        <is>
          <t>17:21</t>
        </is>
      </c>
      <c r="J3062" s="8" t="n">
        <v>8</v>
      </c>
      <c r="K3062" s="8" t="n">
        <v>7.5</v>
      </c>
      <c r="L3062" s="8" t="n">
        <v>0.5</v>
      </c>
      <c r="M3062" s="29" t="inlineStr">
        <is>
          <t>HALİL DİĞRENCİ</t>
        </is>
      </c>
    </row>
    <row r="3063">
      <c r="A3063" s="4" t="n">
        <v>3062</v>
      </c>
      <c r="B3063" s="4" t="inlineStr">
        <is>
          <t>01444</t>
        </is>
      </c>
      <c r="C3063" s="4" t="inlineStr">
        <is>
          <t>01444</t>
        </is>
      </c>
      <c r="D3063" s="29" t="inlineStr">
        <is>
          <t>ÖZLEM BEYİRKEN</t>
        </is>
      </c>
      <c r="E3063" s="4" t="inlineStr">
        <is>
          <t>Salı</t>
        </is>
      </c>
      <c r="F3063" s="4" t="inlineStr">
        <is>
          <t>6.10.2026</t>
        </is>
      </c>
      <c r="G3063" s="4" t="inlineStr">
        <is>
          <t>07:58</t>
        </is>
      </c>
      <c r="H3063" s="4" t="inlineStr">
        <is>
          <t>6.10.2026</t>
        </is>
      </c>
      <c r="I3063" s="4" t="inlineStr">
        <is>
          <t>20:00</t>
        </is>
      </c>
      <c r="J3063" s="8" t="n">
        <v>10.5</v>
      </c>
      <c r="K3063" s="8" t="n">
        <v>7.5</v>
      </c>
      <c r="L3063" s="8" t="n">
        <v>3</v>
      </c>
      <c r="M3063" s="29" t="inlineStr">
        <is>
          <t>HALİL DİĞRENCİ</t>
        </is>
      </c>
    </row>
    <row r="3064">
      <c r="A3064" s="4" t="n">
        <v>3063</v>
      </c>
      <c r="B3064" s="4" t="inlineStr">
        <is>
          <t>01444</t>
        </is>
      </c>
      <c r="C3064" s="4" t="inlineStr">
        <is>
          <t>01444</t>
        </is>
      </c>
      <c r="D3064" s="29" t="inlineStr">
        <is>
          <t>ÖZLEM BEYİRKEN</t>
        </is>
      </c>
      <c r="E3064" s="4" t="inlineStr">
        <is>
          <t>Çarşamba</t>
        </is>
      </c>
      <c r="F3064" s="4" t="inlineStr">
        <is>
          <t>7.10.2026</t>
        </is>
      </c>
      <c r="G3064" s="4" t="inlineStr">
        <is>
          <t>07:47</t>
        </is>
      </c>
      <c r="H3064" s="4" t="inlineStr">
        <is>
          <t>7.10.2026</t>
        </is>
      </c>
      <c r="I3064" s="4" t="inlineStr">
        <is>
          <t>20:00</t>
        </is>
      </c>
      <c r="J3064" s="8" t="n">
        <v>10.5</v>
      </c>
      <c r="K3064" s="8" t="n">
        <v>7.5</v>
      </c>
      <c r="L3064" s="8" t="n">
        <v>3</v>
      </c>
      <c r="M3064" s="29" t="inlineStr">
        <is>
          <t>HALİL DİĞRENCİ</t>
        </is>
      </c>
    </row>
    <row r="3065">
      <c r="A3065" s="4" t="n">
        <v>3064</v>
      </c>
      <c r="B3065" s="4" t="inlineStr">
        <is>
          <t>01444</t>
        </is>
      </c>
      <c r="C3065" s="4" t="inlineStr">
        <is>
          <t>01444</t>
        </is>
      </c>
      <c r="D3065" s="29" t="inlineStr">
        <is>
          <t>ÖZLEM BEYİRKEN</t>
        </is>
      </c>
      <c r="E3065" s="4" t="inlineStr">
        <is>
          <t>Cuma</t>
        </is>
      </c>
      <c r="F3065" s="4" t="inlineStr">
        <is>
          <t>9.10.2026</t>
        </is>
      </c>
      <c r="G3065" s="4" t="inlineStr">
        <is>
          <t>07:55</t>
        </is>
      </c>
      <c r="H3065" s="4" t="inlineStr">
        <is>
          <t>9.10.2026</t>
        </is>
      </c>
      <c r="I3065" s="4" t="inlineStr">
        <is>
          <t>20:00</t>
        </is>
      </c>
      <c r="J3065" s="8" t="n">
        <v>10.5</v>
      </c>
      <c r="K3065" s="8" t="n">
        <v>7.5</v>
      </c>
      <c r="L3065" s="8" t="n">
        <v>3</v>
      </c>
      <c r="M3065" s="29" t="inlineStr">
        <is>
          <t>HALİL DİĞRENCİ</t>
        </is>
      </c>
    </row>
    <row r="3066">
      <c r="A3066" s="4" t="n">
        <v>3065</v>
      </c>
      <c r="B3066" s="4" t="inlineStr">
        <is>
          <t>01444</t>
        </is>
      </c>
      <c r="C3066" s="4" t="inlineStr">
        <is>
          <t>01444</t>
        </is>
      </c>
      <c r="D3066" s="29" t="inlineStr">
        <is>
          <t>ÖZLEM BEYİRKEN</t>
        </is>
      </c>
      <c r="E3066" s="4" t="inlineStr">
        <is>
          <t>Cumartesi</t>
        </is>
      </c>
      <c r="F3066" s="4" t="inlineStr">
        <is>
          <t>10.10.2026</t>
        </is>
      </c>
      <c r="G3066" s="4" t="inlineStr">
        <is>
          <t>07:58</t>
        </is>
      </c>
      <c r="H3066" s="4" t="inlineStr">
        <is>
          <t>10.10.2026</t>
        </is>
      </c>
      <c r="I3066" s="4" t="inlineStr">
        <is>
          <t>19:57</t>
        </is>
      </c>
      <c r="J3066" s="8" t="n">
        <v>10.5</v>
      </c>
      <c r="K3066" s="8" t="n">
        <v>7.5</v>
      </c>
      <c r="L3066" s="8" t="n">
        <v>3</v>
      </c>
      <c r="M3066" s="29" t="inlineStr">
        <is>
          <t>HALİL DİĞRENCİ</t>
        </is>
      </c>
    </row>
    <row r="3067">
      <c r="A3067" s="4" t="n">
        <v>3066</v>
      </c>
      <c r="B3067" s="4" t="inlineStr">
        <is>
          <t>01444</t>
        </is>
      </c>
      <c r="C3067" s="4" t="inlineStr">
        <is>
          <t>01444</t>
        </is>
      </c>
      <c r="D3067" s="29" t="inlineStr">
        <is>
          <t>ÖZLEM BEYİRKEN</t>
        </is>
      </c>
      <c r="E3067" s="4" t="inlineStr">
        <is>
          <t>Pazartesi</t>
        </is>
      </c>
      <c r="F3067" s="4" t="inlineStr">
        <is>
          <t>12.10.2026</t>
        </is>
      </c>
      <c r="G3067" s="4" t="inlineStr">
        <is>
          <t>08:00</t>
        </is>
      </c>
      <c r="H3067" s="4" t="inlineStr">
        <is>
          <t>12.10.2026</t>
        </is>
      </c>
      <c r="I3067" s="4" t="inlineStr">
        <is>
          <t>17:02</t>
        </is>
      </c>
      <c r="J3067" s="8" t="n">
        <v>7.5</v>
      </c>
      <c r="K3067" s="8" t="n">
        <v>7.5</v>
      </c>
      <c r="L3067" s="8" t="n">
        <v>0</v>
      </c>
      <c r="M3067" s="29" t="inlineStr">
        <is>
          <t>HALİL DİĞRENCİ</t>
        </is>
      </c>
    </row>
    <row r="3068">
      <c r="A3068" s="4" t="n">
        <v>3067</v>
      </c>
      <c r="B3068" s="4" t="inlineStr">
        <is>
          <t>01444</t>
        </is>
      </c>
      <c r="C3068" s="4" t="inlineStr">
        <is>
          <t>01444</t>
        </is>
      </c>
      <c r="D3068" s="29" t="inlineStr">
        <is>
          <t>ÖZLEM BEYİRKEN</t>
        </is>
      </c>
      <c r="E3068" s="4" t="inlineStr">
        <is>
          <t>Çarşamba</t>
        </is>
      </c>
      <c r="F3068" s="4" t="inlineStr">
        <is>
          <t>14.10.2026</t>
        </is>
      </c>
      <c r="G3068" s="4" t="inlineStr">
        <is>
          <t>07:53</t>
        </is>
      </c>
      <c r="H3068" s="4" t="inlineStr">
        <is>
          <t>14.10.2026</t>
        </is>
      </c>
      <c r="I3068" s="4" t="inlineStr">
        <is>
          <t>20:02</t>
        </is>
      </c>
      <c r="J3068" s="8" t="n">
        <v>10.5</v>
      </c>
      <c r="K3068" s="8" t="n">
        <v>7.5</v>
      </c>
      <c r="L3068" s="8" t="n">
        <v>3</v>
      </c>
      <c r="M3068" s="29" t="inlineStr">
        <is>
          <t>HALİL DİĞRENCİ</t>
        </is>
      </c>
    </row>
    <row r="3069">
      <c r="A3069" s="4" t="n">
        <v>3068</v>
      </c>
      <c r="B3069" s="4" t="inlineStr">
        <is>
          <t>01444</t>
        </is>
      </c>
      <c r="C3069" s="4" t="inlineStr">
        <is>
          <t>01444</t>
        </is>
      </c>
      <c r="D3069" s="29" t="inlineStr">
        <is>
          <t>ÖZLEM BEYİRKEN</t>
        </is>
      </c>
      <c r="E3069" s="4" t="inlineStr">
        <is>
          <t>Perşembe</t>
        </is>
      </c>
      <c r="F3069" s="4" t="inlineStr">
        <is>
          <t>15.10.2026</t>
        </is>
      </c>
      <c r="G3069" s="4" t="inlineStr">
        <is>
          <t>07:59</t>
        </is>
      </c>
      <c r="H3069" s="4" t="inlineStr">
        <is>
          <t>15.10.2026</t>
        </is>
      </c>
      <c r="I3069" s="4" t="inlineStr">
        <is>
          <t>19:58</t>
        </is>
      </c>
      <c r="J3069" s="8" t="n">
        <v>10.5</v>
      </c>
      <c r="K3069" s="8" t="n">
        <v>7.5</v>
      </c>
      <c r="L3069" s="8" t="n">
        <v>3</v>
      </c>
      <c r="M3069" s="29" t="inlineStr">
        <is>
          <t>HALİL DİĞRENCİ</t>
        </is>
      </c>
    </row>
    <row r="3070">
      <c r="A3070" s="4" t="n">
        <v>3069</v>
      </c>
      <c r="B3070" s="4" t="inlineStr">
        <is>
          <t>01444</t>
        </is>
      </c>
      <c r="C3070" s="4" t="inlineStr">
        <is>
          <t>01444</t>
        </is>
      </c>
      <c r="D3070" s="29" t="inlineStr">
        <is>
          <t>ÖZLEM BEYİRKEN</t>
        </is>
      </c>
      <c r="E3070" s="4" t="inlineStr">
        <is>
          <t>Pazartesi</t>
        </is>
      </c>
      <c r="F3070" s="4" t="inlineStr">
        <is>
          <t>19.10.2026</t>
        </is>
      </c>
      <c r="G3070" s="4" t="inlineStr">
        <is>
          <t>08:00</t>
        </is>
      </c>
      <c r="H3070" s="4" t="inlineStr">
        <is>
          <t>19.10.2026</t>
        </is>
      </c>
      <c r="I3070" s="4" t="inlineStr">
        <is>
          <t>19:58</t>
        </is>
      </c>
      <c r="J3070" s="8" t="n">
        <v>10.5</v>
      </c>
      <c r="K3070" s="8" t="n">
        <v>7.5</v>
      </c>
      <c r="L3070" s="8" t="n">
        <v>3</v>
      </c>
      <c r="M3070" s="29" t="inlineStr">
        <is>
          <t>HALİL DİĞRENCİ</t>
        </is>
      </c>
    </row>
    <row r="3071">
      <c r="A3071" s="4" t="n">
        <v>3070</v>
      </c>
      <c r="B3071" s="4" t="inlineStr">
        <is>
          <t>01444</t>
        </is>
      </c>
      <c r="C3071" s="4" t="inlineStr">
        <is>
          <t>01444</t>
        </is>
      </c>
      <c r="D3071" s="29" t="inlineStr">
        <is>
          <t>ÖZLEM BEYİRKEN</t>
        </is>
      </c>
      <c r="E3071" s="4" t="inlineStr">
        <is>
          <t>Çarşamba</t>
        </is>
      </c>
      <c r="F3071" s="4" t="inlineStr">
        <is>
          <t>21.10.2026</t>
        </is>
      </c>
      <c r="G3071" s="4" t="inlineStr">
        <is>
          <t>07:54</t>
        </is>
      </c>
      <c r="H3071" s="4" t="inlineStr">
        <is>
          <t>21.10.2026</t>
        </is>
      </c>
      <c r="I3071" s="4" t="inlineStr">
        <is>
          <t>16:58</t>
        </is>
      </c>
      <c r="J3071" s="8" t="n">
        <v>7.5</v>
      </c>
      <c r="K3071" s="8" t="n">
        <v>7.5</v>
      </c>
      <c r="L3071" s="8" t="n">
        <v>0</v>
      </c>
      <c r="M3071" s="29" t="inlineStr">
        <is>
          <t>HALİL DİĞRENCİ</t>
        </is>
      </c>
    </row>
    <row r="3072">
      <c r="A3072" s="4" t="n">
        <v>3071</v>
      </c>
      <c r="B3072" s="4" t="inlineStr">
        <is>
          <t>01445</t>
        </is>
      </c>
      <c r="C3072" s="4" t="inlineStr">
        <is>
          <t>01445</t>
        </is>
      </c>
      <c r="D3072" s="29" t="inlineStr">
        <is>
          <t>ÖZLEM BİLGİÇ</t>
        </is>
      </c>
      <c r="E3072" s="4" t="inlineStr">
        <is>
          <t>Cuma</t>
        </is>
      </c>
      <c r="F3072" s="4" t="inlineStr">
        <is>
          <t>2.10.2026</t>
        </is>
      </c>
      <c r="G3072" s="4" t="inlineStr">
        <is>
          <t>17:55</t>
        </is>
      </c>
      <c r="H3072" s="4" t="inlineStr">
        <is>
          <t>2.10.2026</t>
        </is>
      </c>
      <c r="I3072" s="4" t="inlineStr">
        <is>
          <t>-</t>
        </is>
      </c>
      <c r="J3072" s="8" t="n">
        <v>7.5</v>
      </c>
      <c r="K3072" s="8" t="n">
        <v>7.5</v>
      </c>
      <c r="L3072" s="8" t="n">
        <v>0</v>
      </c>
      <c r="M3072" s="29" t="inlineStr">
        <is>
          <t>HALİL DİĞRENCİ</t>
        </is>
      </c>
    </row>
    <row r="3073">
      <c r="A3073" s="4" t="n">
        <v>3072</v>
      </c>
      <c r="B3073" s="4" t="inlineStr">
        <is>
          <t>01445</t>
        </is>
      </c>
      <c r="C3073" s="4" t="inlineStr">
        <is>
          <t>01445</t>
        </is>
      </c>
      <c r="D3073" s="29" t="inlineStr">
        <is>
          <t>ÖZLEM BİLGİÇ</t>
        </is>
      </c>
      <c r="E3073" s="4" t="inlineStr">
        <is>
          <t>Cumartesi</t>
        </is>
      </c>
      <c r="F3073" s="4" t="inlineStr">
        <is>
          <t>3.10.2026</t>
        </is>
      </c>
      <c r="G3073" s="4" t="inlineStr">
        <is>
          <t>07:42</t>
        </is>
      </c>
      <c r="H3073" s="4" t="inlineStr">
        <is>
          <t>3.10.2026</t>
        </is>
      </c>
      <c r="I3073" s="4" t="inlineStr">
        <is>
          <t>17:31</t>
        </is>
      </c>
      <c r="J3073" s="8" t="n">
        <v>8</v>
      </c>
      <c r="K3073" s="8" t="n">
        <v>7.5</v>
      </c>
      <c r="L3073" s="8" t="n">
        <v>0.5</v>
      </c>
      <c r="M3073" s="29" t="inlineStr">
        <is>
          <t>HALİL DİĞRENCİ</t>
        </is>
      </c>
    </row>
    <row r="3074">
      <c r="A3074" s="4" t="n">
        <v>3073</v>
      </c>
      <c r="B3074" s="4" t="inlineStr">
        <is>
          <t>01445</t>
        </is>
      </c>
      <c r="C3074" s="4" t="inlineStr">
        <is>
          <t>01445</t>
        </is>
      </c>
      <c r="D3074" s="29" t="inlineStr">
        <is>
          <t>ÖZLEM BİLGİÇ</t>
        </is>
      </c>
      <c r="E3074" s="4" t="inlineStr">
        <is>
          <t>Pazartesi</t>
        </is>
      </c>
      <c r="F3074" s="4" t="inlineStr">
        <is>
          <t>5.10.2026</t>
        </is>
      </c>
      <c r="G3074" s="4" t="inlineStr">
        <is>
          <t>07:45</t>
        </is>
      </c>
      <c r="H3074" s="4" t="inlineStr">
        <is>
          <t>5.10.2026</t>
        </is>
      </c>
      <c r="I3074" s="4" t="inlineStr">
        <is>
          <t>17:06</t>
        </is>
      </c>
      <c r="J3074" s="8" t="n">
        <v>7.5</v>
      </c>
      <c r="K3074" s="8" t="n">
        <v>7.5</v>
      </c>
      <c r="L3074" s="8" t="n">
        <v>0</v>
      </c>
      <c r="M3074" s="29" t="inlineStr">
        <is>
          <t>HALİL DİĞRENCİ</t>
        </is>
      </c>
    </row>
    <row r="3075">
      <c r="A3075" s="4" t="n">
        <v>3074</v>
      </c>
      <c r="B3075" s="4" t="inlineStr">
        <is>
          <t>01445</t>
        </is>
      </c>
      <c r="C3075" s="4" t="inlineStr">
        <is>
          <t>01445</t>
        </is>
      </c>
      <c r="D3075" s="29" t="inlineStr">
        <is>
          <t>ÖZLEM BİLGİÇ</t>
        </is>
      </c>
      <c r="E3075" s="4" t="inlineStr">
        <is>
          <t>Salı</t>
        </is>
      </c>
      <c r="F3075" s="4" t="inlineStr">
        <is>
          <t>6.10.2026</t>
        </is>
      </c>
      <c r="G3075" s="4" t="inlineStr">
        <is>
          <t>07:45</t>
        </is>
      </c>
      <c r="H3075" s="4" t="inlineStr">
        <is>
          <t>6.10.2026</t>
        </is>
      </c>
      <c r="I3075" s="4" t="inlineStr">
        <is>
          <t>17:43</t>
        </is>
      </c>
      <c r="J3075" s="8" t="n">
        <v>8</v>
      </c>
      <c r="K3075" s="8" t="n">
        <v>7.5</v>
      </c>
      <c r="L3075" s="8" t="n">
        <v>0.5</v>
      </c>
      <c r="M3075" s="29" t="inlineStr">
        <is>
          <t>HALİL DİĞRENCİ</t>
        </is>
      </c>
    </row>
    <row r="3076">
      <c r="A3076" s="4" t="n">
        <v>3075</v>
      </c>
      <c r="B3076" s="4" t="inlineStr">
        <is>
          <t>01445</t>
        </is>
      </c>
      <c r="C3076" s="4" t="inlineStr">
        <is>
          <t>01445</t>
        </is>
      </c>
      <c r="D3076" s="29" t="inlineStr">
        <is>
          <t>ÖZLEM BİLGİÇ</t>
        </is>
      </c>
      <c r="E3076" s="4" t="inlineStr">
        <is>
          <t>Çarşamba</t>
        </is>
      </c>
      <c r="F3076" s="4" t="inlineStr">
        <is>
          <t>7.10.2026</t>
        </is>
      </c>
      <c r="G3076" s="4" t="inlineStr">
        <is>
          <t>07:40</t>
        </is>
      </c>
      <c r="H3076" s="4" t="inlineStr">
        <is>
          <t>7.10.2026</t>
        </is>
      </c>
      <c r="I3076" s="4" t="inlineStr">
        <is>
          <t>17:29</t>
        </is>
      </c>
      <c r="J3076" s="8" t="n">
        <v>8</v>
      </c>
      <c r="K3076" s="8" t="n">
        <v>7.5</v>
      </c>
      <c r="L3076" s="8" t="n">
        <v>0.5</v>
      </c>
      <c r="M3076" s="29" t="inlineStr">
        <is>
          <t>HALİL DİĞRENCİ</t>
        </is>
      </c>
    </row>
    <row r="3077">
      <c r="A3077" s="4" t="n">
        <v>3076</v>
      </c>
      <c r="B3077" s="4" t="inlineStr">
        <is>
          <t>01445</t>
        </is>
      </c>
      <c r="C3077" s="4" t="inlineStr">
        <is>
          <t>01445</t>
        </is>
      </c>
      <c r="D3077" s="29" t="inlineStr">
        <is>
          <t>ÖZLEM BİLGİÇ</t>
        </is>
      </c>
      <c r="E3077" s="4" t="inlineStr">
        <is>
          <t>Perşembe</t>
        </is>
      </c>
      <c r="F3077" s="4" t="inlineStr">
        <is>
          <t>8.10.2026</t>
        </is>
      </c>
      <c r="G3077" s="4" t="inlineStr">
        <is>
          <t>07:43</t>
        </is>
      </c>
      <c r="H3077" s="4" t="inlineStr">
        <is>
          <t>8.10.2026</t>
        </is>
      </c>
      <c r="I3077" s="4" t="inlineStr">
        <is>
          <t>17:36</t>
        </is>
      </c>
      <c r="J3077" s="8" t="n">
        <v>8</v>
      </c>
      <c r="K3077" s="8" t="n">
        <v>7.5</v>
      </c>
      <c r="L3077" s="8" t="n">
        <v>0.5</v>
      </c>
      <c r="M3077" s="29" t="inlineStr">
        <is>
          <t>HALİL DİĞRENCİ</t>
        </is>
      </c>
    </row>
    <row r="3078">
      <c r="A3078" s="4" t="n">
        <v>3077</v>
      </c>
      <c r="B3078" s="4" t="inlineStr">
        <is>
          <t>01445</t>
        </is>
      </c>
      <c r="C3078" s="4" t="inlineStr">
        <is>
          <t>01445</t>
        </is>
      </c>
      <c r="D3078" s="29" t="inlineStr">
        <is>
          <t>ÖZLEM BİLGİÇ</t>
        </is>
      </c>
      <c r="E3078" s="4" t="inlineStr">
        <is>
          <t>Cuma</t>
        </is>
      </c>
      <c r="F3078" s="4" t="inlineStr">
        <is>
          <t>9.10.2026</t>
        </is>
      </c>
      <c r="G3078" s="4" t="inlineStr">
        <is>
          <t>07:39</t>
        </is>
      </c>
      <c r="H3078" s="4" t="inlineStr">
        <is>
          <t>9.10.2026</t>
        </is>
      </c>
      <c r="I3078" s="4" t="inlineStr">
        <is>
          <t>17:46</t>
        </is>
      </c>
      <c r="J3078" s="8" t="n">
        <v>8.5</v>
      </c>
      <c r="K3078" s="8" t="n">
        <v>7.5</v>
      </c>
      <c r="L3078" s="8" t="n">
        <v>1</v>
      </c>
      <c r="M3078" s="29" t="inlineStr">
        <is>
          <t>HALİL DİĞRENCİ</t>
        </is>
      </c>
    </row>
    <row r="3079">
      <c r="A3079" s="4" t="n">
        <v>3078</v>
      </c>
      <c r="B3079" s="4" t="inlineStr">
        <is>
          <t>01445</t>
        </is>
      </c>
      <c r="C3079" s="4" t="inlineStr">
        <is>
          <t>01445</t>
        </is>
      </c>
      <c r="D3079" s="29" t="inlineStr">
        <is>
          <t>ÖZLEM BİLGİÇ</t>
        </is>
      </c>
      <c r="E3079" s="4" t="inlineStr">
        <is>
          <t>Cumartesi</t>
        </is>
      </c>
      <c r="F3079" s="4" t="inlineStr">
        <is>
          <t>10.10.2026</t>
        </is>
      </c>
      <c r="G3079" s="4" t="inlineStr">
        <is>
          <t>07:42</t>
        </is>
      </c>
      <c r="H3079" s="4" t="inlineStr">
        <is>
          <t>10.10.2026</t>
        </is>
      </c>
      <c r="I3079" s="4" t="inlineStr">
        <is>
          <t>18:17</t>
        </is>
      </c>
      <c r="J3079" s="8" t="n">
        <v>8.5</v>
      </c>
      <c r="K3079" s="8" t="n">
        <v>7.5</v>
      </c>
      <c r="L3079" s="8" t="n">
        <v>1</v>
      </c>
      <c r="M3079" s="29" t="inlineStr">
        <is>
          <t>HALİL DİĞRENCİ</t>
        </is>
      </c>
    </row>
    <row r="3080">
      <c r="A3080" s="4" t="n">
        <v>3079</v>
      </c>
      <c r="B3080" s="4" t="inlineStr">
        <is>
          <t>01445</t>
        </is>
      </c>
      <c r="C3080" s="4" t="inlineStr">
        <is>
          <t>01445</t>
        </is>
      </c>
      <c r="D3080" s="29" t="inlineStr">
        <is>
          <t>ÖZLEM BİLGİÇ</t>
        </is>
      </c>
      <c r="E3080" s="4" t="inlineStr">
        <is>
          <t>Pazartesi</t>
        </is>
      </c>
      <c r="F3080" s="4" t="inlineStr">
        <is>
          <t>12.10.2026</t>
        </is>
      </c>
      <c r="G3080" s="4" t="inlineStr">
        <is>
          <t>07:47</t>
        </is>
      </c>
      <c r="H3080" s="4" t="inlineStr">
        <is>
          <t>12.10.2026</t>
        </is>
      </c>
      <c r="I3080" s="4" t="inlineStr">
        <is>
          <t>17:03</t>
        </is>
      </c>
      <c r="J3080" s="8" t="n">
        <v>7.5</v>
      </c>
      <c r="K3080" s="8" t="n">
        <v>7.5</v>
      </c>
      <c r="L3080" s="8" t="n">
        <v>0</v>
      </c>
      <c r="M3080" s="29" t="inlineStr">
        <is>
          <t>HALİL DİĞRENCİ</t>
        </is>
      </c>
    </row>
    <row r="3081">
      <c r="A3081" s="4" t="n">
        <v>3080</v>
      </c>
      <c r="B3081" s="4" t="inlineStr">
        <is>
          <t>01445</t>
        </is>
      </c>
      <c r="C3081" s="4" t="inlineStr">
        <is>
          <t>01445</t>
        </is>
      </c>
      <c r="D3081" s="29" t="inlineStr">
        <is>
          <t>ÖZLEM BİLGİÇ</t>
        </is>
      </c>
      <c r="E3081" s="4" t="inlineStr">
        <is>
          <t>Salı</t>
        </is>
      </c>
      <c r="F3081" s="4" t="inlineStr">
        <is>
          <t>13.10.2026</t>
        </is>
      </c>
      <c r="G3081" s="4" t="inlineStr">
        <is>
          <t>07:44</t>
        </is>
      </c>
      <c r="H3081" s="4" t="inlineStr">
        <is>
          <t>13.10.2026</t>
        </is>
      </c>
      <c r="I3081" s="4" t="inlineStr">
        <is>
          <t>17:03</t>
        </is>
      </c>
      <c r="J3081" s="8" t="n">
        <v>7.5</v>
      </c>
      <c r="K3081" s="8" t="n">
        <v>7.5</v>
      </c>
      <c r="L3081" s="8" t="n">
        <v>0</v>
      </c>
      <c r="M3081" s="29" t="inlineStr">
        <is>
          <t>HALİL DİĞRENCİ</t>
        </is>
      </c>
    </row>
    <row r="3082">
      <c r="A3082" s="4" t="n">
        <v>3081</v>
      </c>
      <c r="B3082" s="4" t="inlineStr">
        <is>
          <t>01445</t>
        </is>
      </c>
      <c r="C3082" s="4" t="inlineStr">
        <is>
          <t>01445</t>
        </is>
      </c>
      <c r="D3082" s="29" t="inlineStr">
        <is>
          <t>ÖZLEM BİLGİÇ</t>
        </is>
      </c>
      <c r="E3082" s="4" t="inlineStr">
        <is>
          <t>Çarşamba</t>
        </is>
      </c>
      <c r="F3082" s="4" t="inlineStr">
        <is>
          <t>14.10.2026</t>
        </is>
      </c>
      <c r="G3082" s="4" t="inlineStr">
        <is>
          <t>07:47</t>
        </is>
      </c>
      <c r="H3082" s="4" t="inlineStr">
        <is>
          <t>14.10.2026</t>
        </is>
      </c>
      <c r="I3082" s="4" t="inlineStr">
        <is>
          <t>18:07</t>
        </is>
      </c>
      <c r="J3082" s="8" t="n">
        <v>8.5</v>
      </c>
      <c r="K3082" s="8" t="n">
        <v>7.5</v>
      </c>
      <c r="L3082" s="8" t="n">
        <v>1</v>
      </c>
      <c r="M3082" s="29" t="inlineStr">
        <is>
          <t>HALİL DİĞRENCİ</t>
        </is>
      </c>
    </row>
    <row r="3083">
      <c r="A3083" s="4" t="n">
        <v>3082</v>
      </c>
      <c r="B3083" s="4" t="inlineStr">
        <is>
          <t>01445</t>
        </is>
      </c>
      <c r="C3083" s="4" t="inlineStr">
        <is>
          <t>01445</t>
        </is>
      </c>
      <c r="D3083" s="29" t="inlineStr">
        <is>
          <t>ÖZLEM BİLGİÇ</t>
        </is>
      </c>
      <c r="E3083" s="4" t="inlineStr">
        <is>
          <t>Perşembe</t>
        </is>
      </c>
      <c r="F3083" s="4" t="inlineStr">
        <is>
          <t>15.10.2026</t>
        </is>
      </c>
      <c r="G3083" s="4" t="inlineStr">
        <is>
          <t>07:46</t>
        </is>
      </c>
      <c r="H3083" s="4" t="inlineStr">
        <is>
          <t>15.10.2026</t>
        </is>
      </c>
      <c r="I3083" s="4" t="inlineStr">
        <is>
          <t>17:05</t>
        </is>
      </c>
      <c r="J3083" s="8" t="n">
        <v>7.5</v>
      </c>
      <c r="K3083" s="8" t="n">
        <v>7.5</v>
      </c>
      <c r="L3083" s="8" t="n">
        <v>0</v>
      </c>
      <c r="M3083" s="29" t="inlineStr">
        <is>
          <t>HALİL DİĞRENCİ</t>
        </is>
      </c>
    </row>
    <row r="3084">
      <c r="A3084" s="4" t="n">
        <v>3083</v>
      </c>
      <c r="B3084" s="4" t="inlineStr">
        <is>
          <t>01445</t>
        </is>
      </c>
      <c r="C3084" s="4" t="inlineStr">
        <is>
          <t>01445</t>
        </is>
      </c>
      <c r="D3084" s="29" t="inlineStr">
        <is>
          <t>ÖZLEM BİLGİÇ</t>
        </is>
      </c>
      <c r="E3084" s="4" t="inlineStr">
        <is>
          <t>Cuma</t>
        </is>
      </c>
      <c r="F3084" s="4" t="inlineStr">
        <is>
          <t>16.10.2026</t>
        </is>
      </c>
      <c r="G3084" s="4" t="inlineStr">
        <is>
          <t>07:41</t>
        </is>
      </c>
      <c r="H3084" s="4" t="inlineStr">
        <is>
          <t>16.10.2026</t>
        </is>
      </c>
      <c r="I3084" s="4" t="inlineStr">
        <is>
          <t>17:18</t>
        </is>
      </c>
      <c r="J3084" s="8" t="n">
        <v>7.5</v>
      </c>
      <c r="K3084" s="8" t="n">
        <v>7.5</v>
      </c>
      <c r="L3084" s="8" t="n">
        <v>0</v>
      </c>
      <c r="M3084" s="29" t="inlineStr">
        <is>
          <t>HALİL DİĞRENCİ</t>
        </is>
      </c>
    </row>
    <row r="3085">
      <c r="A3085" s="4" t="n">
        <v>3084</v>
      </c>
      <c r="B3085" s="4" t="inlineStr">
        <is>
          <t>01445</t>
        </is>
      </c>
      <c r="C3085" s="4" t="inlineStr">
        <is>
          <t>01445</t>
        </is>
      </c>
      <c r="D3085" s="29" t="inlineStr">
        <is>
          <t>ÖZLEM BİLGİÇ</t>
        </is>
      </c>
      <c r="E3085" s="4" t="inlineStr">
        <is>
          <t>Cumartesi</t>
        </is>
      </c>
      <c r="F3085" s="4" t="inlineStr">
        <is>
          <t>17.10.2026</t>
        </is>
      </c>
      <c r="G3085" s="4" t="inlineStr">
        <is>
          <t>07:44</t>
        </is>
      </c>
      <c r="H3085" s="4" t="inlineStr">
        <is>
          <t>17.10.2026</t>
        </is>
      </c>
      <c r="I3085" s="4" t="inlineStr">
        <is>
          <t>17:53</t>
        </is>
      </c>
      <c r="J3085" s="8" t="n">
        <v>8.5</v>
      </c>
      <c r="K3085" s="8" t="n">
        <v>7.5</v>
      </c>
      <c r="L3085" s="8" t="n">
        <v>1</v>
      </c>
      <c r="M3085" s="29" t="inlineStr">
        <is>
          <t>HALİL DİĞRENCİ</t>
        </is>
      </c>
    </row>
    <row r="3086">
      <c r="A3086" s="4" t="n">
        <v>3085</v>
      </c>
      <c r="B3086" s="4" t="inlineStr">
        <is>
          <t>01445</t>
        </is>
      </c>
      <c r="C3086" s="4" t="inlineStr">
        <is>
          <t>01445</t>
        </is>
      </c>
      <c r="D3086" s="29" t="inlineStr">
        <is>
          <t>ÖZLEM BİLGİÇ</t>
        </is>
      </c>
      <c r="E3086" s="4" t="inlineStr">
        <is>
          <t>Salı</t>
        </is>
      </c>
      <c r="F3086" s="4" t="inlineStr">
        <is>
          <t>20.10.2026</t>
        </is>
      </c>
      <c r="G3086" s="4" t="inlineStr">
        <is>
          <t>07:50</t>
        </is>
      </c>
      <c r="H3086" s="4" t="inlineStr">
        <is>
          <t>20.10.2026</t>
        </is>
      </c>
      <c r="I3086" s="4" t="inlineStr">
        <is>
          <t>17:05</t>
        </is>
      </c>
      <c r="J3086" s="8" t="n">
        <v>7.5</v>
      </c>
      <c r="K3086" s="8" t="n">
        <v>7.5</v>
      </c>
      <c r="L3086" s="8" t="n">
        <v>0</v>
      </c>
      <c r="M3086" s="29" t="inlineStr">
        <is>
          <t>HALİL DİĞRENCİ</t>
        </is>
      </c>
    </row>
    <row r="3087">
      <c r="A3087" s="4" t="n">
        <v>3086</v>
      </c>
      <c r="B3087" s="4" t="inlineStr">
        <is>
          <t>01445</t>
        </is>
      </c>
      <c r="C3087" s="4" t="inlineStr">
        <is>
          <t>01445</t>
        </is>
      </c>
      <c r="D3087" s="29" t="inlineStr">
        <is>
          <t>ÖZLEM BİLGİÇ</t>
        </is>
      </c>
      <c r="E3087" s="4" t="inlineStr">
        <is>
          <t>Çarşamba</t>
        </is>
      </c>
      <c r="F3087" s="4" t="inlineStr">
        <is>
          <t>21.10.2026</t>
        </is>
      </c>
      <c r="G3087" s="4" t="inlineStr">
        <is>
          <t>07:47</t>
        </is>
      </c>
      <c r="H3087" s="4" t="inlineStr">
        <is>
          <t>21.10.2026</t>
        </is>
      </c>
      <c r="I3087" s="4" t="inlineStr">
        <is>
          <t>17:05</t>
        </is>
      </c>
      <c r="J3087" s="8" t="n">
        <v>7.5</v>
      </c>
      <c r="K3087" s="8" t="n">
        <v>7.5</v>
      </c>
      <c r="L3087" s="8" t="n">
        <v>0</v>
      </c>
      <c r="M3087" s="29" t="inlineStr">
        <is>
          <t>HALİL DİĞRENCİ</t>
        </is>
      </c>
    </row>
    <row r="3088">
      <c r="A3088" s="4" t="n">
        <v>3087</v>
      </c>
      <c r="B3088" s="4" t="inlineStr">
        <is>
          <t>01376</t>
        </is>
      </c>
      <c r="C3088" s="4" t="inlineStr">
        <is>
          <t>01376</t>
        </is>
      </c>
      <c r="D3088" s="29" t="inlineStr">
        <is>
          <t>PERİHAN YOZAN</t>
        </is>
      </c>
      <c r="E3088" s="4" t="inlineStr">
        <is>
          <t>Cumartesi</t>
        </is>
      </c>
      <c r="F3088" s="4" t="inlineStr">
        <is>
          <t>3.10.2026</t>
        </is>
      </c>
      <c r="G3088" s="4" t="inlineStr">
        <is>
          <t>08:12</t>
        </is>
      </c>
      <c r="H3088" s="4" t="inlineStr">
        <is>
          <t>3.10.2026</t>
        </is>
      </c>
      <c r="I3088" s="4" t="inlineStr">
        <is>
          <t>20:05</t>
        </is>
      </c>
      <c r="J3088" s="8" t="n">
        <v>0</v>
      </c>
      <c r="K3088" s="8" t="n">
        <v>0</v>
      </c>
      <c r="L3088" s="8" t="n">
        <v>0</v>
      </c>
      <c r="M3088" s="29" t="inlineStr">
        <is>
          <t>HALİL DİĞRENCİ</t>
        </is>
      </c>
    </row>
    <row r="3089">
      <c r="A3089" s="4" t="n">
        <v>3088</v>
      </c>
      <c r="B3089" s="4" t="inlineStr">
        <is>
          <t>01376</t>
        </is>
      </c>
      <c r="C3089" s="4" t="inlineStr">
        <is>
          <t>01376</t>
        </is>
      </c>
      <c r="D3089" s="29" t="inlineStr">
        <is>
          <t>PERİHAN YOZAN</t>
        </is>
      </c>
      <c r="E3089" s="4" t="inlineStr">
        <is>
          <t>Pazar</t>
        </is>
      </c>
      <c r="F3089" s="4" t="inlineStr">
        <is>
          <t>4.10.2026</t>
        </is>
      </c>
      <c r="G3089" s="4" t="inlineStr">
        <is>
          <t>07:36</t>
        </is>
      </c>
      <c r="H3089" s="4" t="inlineStr">
        <is>
          <t>4.10.2026</t>
        </is>
      </c>
      <c r="I3089" s="4" t="inlineStr">
        <is>
          <t>17:17</t>
        </is>
      </c>
      <c r="J3089" s="8" t="n">
        <v>7.5</v>
      </c>
      <c r="K3089" s="8" t="n">
        <v>7.5</v>
      </c>
      <c r="L3089" s="8" t="n">
        <v>0</v>
      </c>
      <c r="M3089" s="29" t="inlineStr">
        <is>
          <t>HALİL DİĞRENCİ</t>
        </is>
      </c>
    </row>
    <row r="3090">
      <c r="A3090" s="4" t="n">
        <v>3089</v>
      </c>
      <c r="B3090" s="4" t="inlineStr">
        <is>
          <t>01376</t>
        </is>
      </c>
      <c r="C3090" s="4" t="inlineStr">
        <is>
          <t>01376</t>
        </is>
      </c>
      <c r="D3090" s="29" t="inlineStr">
        <is>
          <t>PERİHAN YOZAN</t>
        </is>
      </c>
      <c r="E3090" s="4" t="inlineStr">
        <is>
          <t>Pazartesi</t>
        </is>
      </c>
      <c r="F3090" s="4" t="inlineStr">
        <is>
          <t>5.10.2026</t>
        </is>
      </c>
      <c r="G3090" s="4" t="inlineStr">
        <is>
          <t>08:15</t>
        </is>
      </c>
      <c r="H3090" s="4" t="inlineStr">
        <is>
          <t>5.10.2026</t>
        </is>
      </c>
      <c r="I3090" s="4" t="inlineStr">
        <is>
          <t>17:13</t>
        </is>
      </c>
      <c r="J3090" s="8" t="n">
        <v>7.5</v>
      </c>
      <c r="K3090" s="8" t="n">
        <v>7.5</v>
      </c>
      <c r="L3090" s="8" t="n">
        <v>0</v>
      </c>
      <c r="M3090" s="29" t="inlineStr">
        <is>
          <t>HALİL DİĞRENCİ</t>
        </is>
      </c>
    </row>
    <row r="3091">
      <c r="A3091" s="4" t="n">
        <v>3090</v>
      </c>
      <c r="B3091" s="4" t="inlineStr">
        <is>
          <t>01376</t>
        </is>
      </c>
      <c r="C3091" s="4" t="inlineStr">
        <is>
          <t>01376</t>
        </is>
      </c>
      <c r="D3091" s="29" t="inlineStr">
        <is>
          <t>PERİHAN YOZAN</t>
        </is>
      </c>
      <c r="E3091" s="4" t="inlineStr">
        <is>
          <t>Salı</t>
        </is>
      </c>
      <c r="F3091" s="4" t="inlineStr">
        <is>
          <t>6.10.2026</t>
        </is>
      </c>
      <c r="G3091" s="4" t="inlineStr">
        <is>
          <t>08:04</t>
        </is>
      </c>
      <c r="H3091" s="4" t="inlineStr">
        <is>
          <t>6.10.2026</t>
        </is>
      </c>
      <c r="I3091" s="4" t="inlineStr">
        <is>
          <t>20:01</t>
        </is>
      </c>
      <c r="J3091" s="8" t="n">
        <v>10.5</v>
      </c>
      <c r="K3091" s="8" t="n">
        <v>7.5</v>
      </c>
      <c r="L3091" s="8" t="n">
        <v>3</v>
      </c>
      <c r="M3091" s="29" t="inlineStr">
        <is>
          <t>HALİL DİĞRENCİ</t>
        </is>
      </c>
    </row>
    <row r="3092">
      <c r="A3092" s="4" t="n">
        <v>3091</v>
      </c>
      <c r="B3092" s="4" t="inlineStr">
        <is>
          <t>01376</t>
        </is>
      </c>
      <c r="C3092" s="4" t="inlineStr">
        <is>
          <t>01376</t>
        </is>
      </c>
      <c r="D3092" s="29" t="inlineStr">
        <is>
          <t>PERİHAN YOZAN</t>
        </is>
      </c>
      <c r="E3092" s="4" t="inlineStr">
        <is>
          <t>Çarşamba</t>
        </is>
      </c>
      <c r="F3092" s="4" t="inlineStr">
        <is>
          <t>7.10.2026</t>
        </is>
      </c>
      <c r="G3092" s="4" t="inlineStr">
        <is>
          <t>07:58</t>
        </is>
      </c>
      <c r="H3092" s="4" t="inlineStr">
        <is>
          <t>7.10.2026</t>
        </is>
      </c>
      <c r="I3092" s="4" t="inlineStr">
        <is>
          <t>20:04</t>
        </is>
      </c>
      <c r="J3092" s="8" t="n">
        <v>10.5</v>
      </c>
      <c r="K3092" s="8" t="n">
        <v>7.5</v>
      </c>
      <c r="L3092" s="8" t="n">
        <v>3</v>
      </c>
      <c r="M3092" s="29" t="inlineStr">
        <is>
          <t>HALİL DİĞRENCİ</t>
        </is>
      </c>
    </row>
    <row r="3093">
      <c r="A3093" s="4" t="n">
        <v>3092</v>
      </c>
      <c r="B3093" s="4" t="inlineStr">
        <is>
          <t>01376</t>
        </is>
      </c>
      <c r="C3093" s="4" t="inlineStr">
        <is>
          <t>01376</t>
        </is>
      </c>
      <c r="D3093" s="29" t="inlineStr">
        <is>
          <t>PERİHAN YOZAN</t>
        </is>
      </c>
      <c r="E3093" s="4" t="inlineStr">
        <is>
          <t>Cuma</t>
        </is>
      </c>
      <c r="F3093" s="4" t="inlineStr">
        <is>
          <t>9.10.2026</t>
        </is>
      </c>
      <c r="G3093" s="4" t="inlineStr">
        <is>
          <t>07:57</t>
        </is>
      </c>
      <c r="H3093" s="4" t="inlineStr">
        <is>
          <t>9.10.2026</t>
        </is>
      </c>
      <c r="I3093" s="4" t="inlineStr">
        <is>
          <t>20:08</t>
        </is>
      </c>
      <c r="J3093" s="8" t="n">
        <v>10.5</v>
      </c>
      <c r="K3093" s="8" t="n">
        <v>7.5</v>
      </c>
      <c r="L3093" s="8" t="n">
        <v>3</v>
      </c>
      <c r="M3093" s="29" t="inlineStr">
        <is>
          <t>HALİL DİĞRENCİ</t>
        </is>
      </c>
    </row>
    <row r="3094">
      <c r="A3094" s="4" t="n">
        <v>3093</v>
      </c>
      <c r="B3094" s="4" t="inlineStr">
        <is>
          <t>01376</t>
        </is>
      </c>
      <c r="C3094" s="4" t="inlineStr">
        <is>
          <t>01376</t>
        </is>
      </c>
      <c r="D3094" s="29" t="inlineStr">
        <is>
          <t>PERİHAN YOZAN</t>
        </is>
      </c>
      <c r="E3094" s="4" t="inlineStr">
        <is>
          <t>Cumartesi</t>
        </is>
      </c>
      <c r="F3094" s="4" t="inlineStr">
        <is>
          <t>10.10.2026</t>
        </is>
      </c>
      <c r="G3094" s="4" t="inlineStr">
        <is>
          <t>08:01</t>
        </is>
      </c>
      <c r="H3094" s="4" t="inlineStr">
        <is>
          <t>10.10.2026</t>
        </is>
      </c>
      <c r="I3094" s="4" t="inlineStr">
        <is>
          <t>17:03</t>
        </is>
      </c>
      <c r="J3094" s="8" t="n">
        <v>7.5</v>
      </c>
      <c r="K3094" s="8" t="n">
        <v>7.5</v>
      </c>
      <c r="L3094" s="8" t="n">
        <v>0</v>
      </c>
      <c r="M3094" s="29" t="inlineStr">
        <is>
          <t>HALİL DİĞRENCİ</t>
        </is>
      </c>
    </row>
    <row r="3095">
      <c r="A3095" s="4" t="n">
        <v>3094</v>
      </c>
      <c r="B3095" s="4" t="inlineStr">
        <is>
          <t>01376</t>
        </is>
      </c>
      <c r="C3095" s="4" t="inlineStr">
        <is>
          <t>01376</t>
        </is>
      </c>
      <c r="D3095" s="29" t="inlineStr">
        <is>
          <t>PERİHAN YOZAN</t>
        </is>
      </c>
      <c r="E3095" s="4" t="inlineStr">
        <is>
          <t>Pazartesi</t>
        </is>
      </c>
      <c r="F3095" s="4" t="inlineStr">
        <is>
          <t>12.10.2026</t>
        </is>
      </c>
      <c r="G3095" s="4" t="inlineStr">
        <is>
          <t>08:16</t>
        </is>
      </c>
      <c r="H3095" s="4" t="inlineStr">
        <is>
          <t>12.10.2026</t>
        </is>
      </c>
      <c r="I3095" s="4" t="inlineStr">
        <is>
          <t>17:04</t>
        </is>
      </c>
      <c r="J3095" s="8" t="n">
        <v>7.5</v>
      </c>
      <c r="K3095" s="8" t="n">
        <v>7.5</v>
      </c>
      <c r="L3095" s="8" t="n">
        <v>0</v>
      </c>
      <c r="M3095" s="29" t="inlineStr">
        <is>
          <t>HALİL DİĞRENCİ</t>
        </is>
      </c>
    </row>
    <row r="3096">
      <c r="A3096" s="4" t="n">
        <v>3095</v>
      </c>
      <c r="B3096" s="4" t="inlineStr">
        <is>
          <t>01376</t>
        </is>
      </c>
      <c r="C3096" s="4" t="inlineStr">
        <is>
          <t>01376</t>
        </is>
      </c>
      <c r="D3096" s="29" t="inlineStr">
        <is>
          <t>PERİHAN YOZAN</t>
        </is>
      </c>
      <c r="E3096" s="4" t="inlineStr">
        <is>
          <t>Salı</t>
        </is>
      </c>
      <c r="F3096" s="4" t="inlineStr">
        <is>
          <t>13.10.2026</t>
        </is>
      </c>
      <c r="G3096" s="4" t="inlineStr">
        <is>
          <t>07:59</t>
        </is>
      </c>
      <c r="H3096" s="4" t="inlineStr">
        <is>
          <t>13.10.2026</t>
        </is>
      </c>
      <c r="I3096" s="4" t="inlineStr">
        <is>
          <t>20:03</t>
        </is>
      </c>
      <c r="J3096" s="8" t="n">
        <v>10.5</v>
      </c>
      <c r="K3096" s="8" t="n">
        <v>7.5</v>
      </c>
      <c r="L3096" s="8" t="n">
        <v>3</v>
      </c>
      <c r="M3096" s="29" t="inlineStr">
        <is>
          <t>HALİL DİĞRENCİ</t>
        </is>
      </c>
    </row>
    <row r="3097">
      <c r="A3097" s="4" t="n">
        <v>3096</v>
      </c>
      <c r="B3097" s="4" t="inlineStr">
        <is>
          <t>01376</t>
        </is>
      </c>
      <c r="C3097" s="4" t="inlineStr">
        <is>
          <t>01376</t>
        </is>
      </c>
      <c r="D3097" s="29" t="inlineStr">
        <is>
          <t>PERİHAN YOZAN</t>
        </is>
      </c>
      <c r="E3097" s="4" t="inlineStr">
        <is>
          <t>Çarşamba</t>
        </is>
      </c>
      <c r="F3097" s="4" t="inlineStr">
        <is>
          <t>14.10.2026</t>
        </is>
      </c>
      <c r="G3097" s="4" t="inlineStr">
        <is>
          <t>08:00</t>
        </is>
      </c>
      <c r="H3097" s="4" t="inlineStr">
        <is>
          <t>14.10.2026</t>
        </is>
      </c>
      <c r="I3097" s="4" t="inlineStr">
        <is>
          <t>20:05</t>
        </is>
      </c>
      <c r="J3097" s="8" t="n">
        <v>10.5</v>
      </c>
      <c r="K3097" s="8" t="n">
        <v>7.5</v>
      </c>
      <c r="L3097" s="8" t="n">
        <v>3</v>
      </c>
      <c r="M3097" s="29" t="inlineStr">
        <is>
          <t>HALİL DİĞRENCİ</t>
        </is>
      </c>
    </row>
    <row r="3098">
      <c r="A3098" s="4" t="n">
        <v>3097</v>
      </c>
      <c r="B3098" s="4" t="inlineStr">
        <is>
          <t>01376</t>
        </is>
      </c>
      <c r="C3098" s="4" t="inlineStr">
        <is>
          <t>01376</t>
        </is>
      </c>
      <c r="D3098" s="29" t="inlineStr">
        <is>
          <t>PERİHAN YOZAN</t>
        </is>
      </c>
      <c r="E3098" s="4" t="inlineStr">
        <is>
          <t>Pazartesi</t>
        </is>
      </c>
      <c r="F3098" s="4" t="inlineStr">
        <is>
          <t>19.10.2026</t>
        </is>
      </c>
      <c r="G3098" s="4" t="inlineStr">
        <is>
          <t>08:08</t>
        </is>
      </c>
      <c r="H3098" s="4" t="inlineStr">
        <is>
          <t>19.10.2026</t>
        </is>
      </c>
      <c r="I3098" s="4" t="inlineStr">
        <is>
          <t>20:06</t>
        </is>
      </c>
      <c r="J3098" s="8" t="n">
        <v>10.5</v>
      </c>
      <c r="K3098" s="8" t="n">
        <v>7.5</v>
      </c>
      <c r="L3098" s="8" t="n">
        <v>3</v>
      </c>
      <c r="M3098" s="29" t="inlineStr">
        <is>
          <t>HALİL DİĞRENCİ</t>
        </is>
      </c>
    </row>
    <row r="3099">
      <c r="A3099" s="4" t="n">
        <v>3098</v>
      </c>
      <c r="B3099" s="4" t="inlineStr">
        <is>
          <t>01447</t>
        </is>
      </c>
      <c r="C3099" s="4" t="inlineStr">
        <is>
          <t>01447</t>
        </is>
      </c>
      <c r="D3099" s="29" t="inlineStr">
        <is>
          <t>RABİA KIRCALI</t>
        </is>
      </c>
      <c r="E3099" s="4" t="inlineStr">
        <is>
          <t>Cuma</t>
        </is>
      </c>
      <c r="F3099" s="4" t="inlineStr">
        <is>
          <t>2.10.2026</t>
        </is>
      </c>
      <c r="G3099" s="4" t="inlineStr">
        <is>
          <t>-</t>
        </is>
      </c>
      <c r="H3099" s="4" t="inlineStr">
        <is>
          <t>2.10.2026</t>
        </is>
      </c>
      <c r="I3099" s="4" t="inlineStr">
        <is>
          <t>20:03</t>
        </is>
      </c>
      <c r="J3099" s="8" t="n">
        <v>10.5</v>
      </c>
      <c r="K3099" s="8" t="n">
        <v>7.5</v>
      </c>
      <c r="L3099" s="8" t="n">
        <v>3</v>
      </c>
      <c r="M3099" s="29" t="inlineStr">
        <is>
          <t>HALİL DİĞRENCİ</t>
        </is>
      </c>
    </row>
    <row r="3100">
      <c r="A3100" s="4" t="n">
        <v>3099</v>
      </c>
      <c r="B3100" s="4" t="inlineStr">
        <is>
          <t>01447</t>
        </is>
      </c>
      <c r="C3100" s="4" t="inlineStr">
        <is>
          <t>01447</t>
        </is>
      </c>
      <c r="D3100" s="29" t="inlineStr">
        <is>
          <t>RABİA KIRCALI</t>
        </is>
      </c>
      <c r="E3100" s="4" t="inlineStr">
        <is>
          <t>Pazar</t>
        </is>
      </c>
      <c r="F3100" s="4" t="inlineStr">
        <is>
          <t>4.10.2026</t>
        </is>
      </c>
      <c r="G3100" s="4" t="inlineStr">
        <is>
          <t>07:35</t>
        </is>
      </c>
      <c r="H3100" s="4" t="inlineStr">
        <is>
          <t>4.10.2026</t>
        </is>
      </c>
      <c r="I3100" s="4" t="inlineStr">
        <is>
          <t>17:08</t>
        </is>
      </c>
      <c r="J3100" s="8" t="n">
        <v>7.5</v>
      </c>
      <c r="K3100" s="8" t="n">
        <v>7.5</v>
      </c>
      <c r="L3100" s="8" t="n">
        <v>0</v>
      </c>
      <c r="M3100" s="29" t="inlineStr">
        <is>
          <t>HALİL DİĞRENCİ</t>
        </is>
      </c>
    </row>
    <row r="3101">
      <c r="A3101" s="4" t="n">
        <v>3100</v>
      </c>
      <c r="B3101" s="4" t="inlineStr">
        <is>
          <t>01447</t>
        </is>
      </c>
      <c r="C3101" s="4" t="inlineStr">
        <is>
          <t>01447</t>
        </is>
      </c>
      <c r="D3101" s="29" t="inlineStr">
        <is>
          <t>RABİA KIRCALI</t>
        </is>
      </c>
      <c r="E3101" s="4" t="inlineStr">
        <is>
          <t>Salı</t>
        </is>
      </c>
      <c r="F3101" s="4" t="inlineStr">
        <is>
          <t>6.10.2026</t>
        </is>
      </c>
      <c r="G3101" s="4" t="inlineStr">
        <is>
          <t>08:05</t>
        </is>
      </c>
      <c r="H3101" s="4" t="inlineStr">
        <is>
          <t>6.10.2026</t>
        </is>
      </c>
      <c r="I3101" s="4" t="inlineStr">
        <is>
          <t>19:59</t>
        </is>
      </c>
      <c r="J3101" s="8" t="n">
        <v>10.5</v>
      </c>
      <c r="K3101" s="8" t="n">
        <v>7.5</v>
      </c>
      <c r="L3101" s="8" t="n">
        <v>3</v>
      </c>
      <c r="M3101" s="29" t="inlineStr">
        <is>
          <t>HALİL DİĞRENCİ</t>
        </is>
      </c>
    </row>
    <row r="3102">
      <c r="A3102" s="4" t="n">
        <v>3101</v>
      </c>
      <c r="B3102" s="4" t="inlineStr">
        <is>
          <t>01447</t>
        </is>
      </c>
      <c r="C3102" s="4" t="inlineStr">
        <is>
          <t>01447</t>
        </is>
      </c>
      <c r="D3102" s="29" t="inlineStr">
        <is>
          <t>RABİA KIRCALI</t>
        </is>
      </c>
      <c r="E3102" s="4" t="inlineStr">
        <is>
          <t>Çarşamba</t>
        </is>
      </c>
      <c r="F3102" s="4" t="inlineStr">
        <is>
          <t>7.10.2026</t>
        </is>
      </c>
      <c r="G3102" s="4" t="inlineStr">
        <is>
          <t>07:56</t>
        </is>
      </c>
      <c r="H3102" s="4" t="inlineStr">
        <is>
          <t>7.10.2026</t>
        </is>
      </c>
      <c r="I3102" s="4" t="inlineStr">
        <is>
          <t>20:02</t>
        </is>
      </c>
      <c r="J3102" s="8" t="n">
        <v>10.5</v>
      </c>
      <c r="K3102" s="8" t="n">
        <v>7.5</v>
      </c>
      <c r="L3102" s="8" t="n">
        <v>3</v>
      </c>
      <c r="M3102" s="29" t="inlineStr">
        <is>
          <t>HALİL DİĞRENCİ</t>
        </is>
      </c>
    </row>
    <row r="3103">
      <c r="A3103" s="4" t="n">
        <v>3102</v>
      </c>
      <c r="B3103" s="4" t="inlineStr">
        <is>
          <t>01447</t>
        </is>
      </c>
      <c r="C3103" s="4" t="inlineStr">
        <is>
          <t>01447</t>
        </is>
      </c>
      <c r="D3103" s="29" t="inlineStr">
        <is>
          <t>RABİA KIRCALI</t>
        </is>
      </c>
      <c r="E3103" s="4" t="inlineStr">
        <is>
          <t>Perşembe</t>
        </is>
      </c>
      <c r="F3103" s="4" t="inlineStr">
        <is>
          <t>8.10.2026</t>
        </is>
      </c>
      <c r="G3103" s="4" t="inlineStr">
        <is>
          <t>07:52</t>
        </is>
      </c>
      <c r="H3103" s="4" t="inlineStr">
        <is>
          <t>8.10.2026</t>
        </is>
      </c>
      <c r="I3103" s="4" t="inlineStr">
        <is>
          <t>19:59</t>
        </is>
      </c>
      <c r="J3103" s="8" t="n">
        <v>10.5</v>
      </c>
      <c r="K3103" s="8" t="n">
        <v>7.5</v>
      </c>
      <c r="L3103" s="8" t="n">
        <v>3</v>
      </c>
      <c r="M3103" s="29" t="inlineStr">
        <is>
          <t>HALİL DİĞRENCİ</t>
        </is>
      </c>
    </row>
    <row r="3104">
      <c r="A3104" s="4" t="n">
        <v>3103</v>
      </c>
      <c r="B3104" s="4" t="inlineStr">
        <is>
          <t>01447</t>
        </is>
      </c>
      <c r="C3104" s="4" t="inlineStr">
        <is>
          <t>01447</t>
        </is>
      </c>
      <c r="D3104" s="29" t="inlineStr">
        <is>
          <t>RABİA KIRCALI</t>
        </is>
      </c>
      <c r="E3104" s="4" t="inlineStr">
        <is>
          <t>Cumartesi</t>
        </is>
      </c>
      <c r="F3104" s="4" t="inlineStr">
        <is>
          <t>10.10.2026</t>
        </is>
      </c>
      <c r="G3104" s="4" t="inlineStr">
        <is>
          <t>08:04</t>
        </is>
      </c>
      <c r="H3104" s="4" t="inlineStr">
        <is>
          <t>10.10.2026</t>
        </is>
      </c>
      <c r="I3104" s="4" t="inlineStr">
        <is>
          <t>19:57</t>
        </is>
      </c>
      <c r="J3104" s="8" t="n">
        <v>10.5</v>
      </c>
      <c r="K3104" s="8" t="n">
        <v>7.5</v>
      </c>
      <c r="L3104" s="8" t="n">
        <v>3</v>
      </c>
      <c r="M3104" s="29" t="inlineStr">
        <is>
          <t>HALİL DİĞRENCİ</t>
        </is>
      </c>
    </row>
    <row r="3105">
      <c r="A3105" s="4" t="n">
        <v>3104</v>
      </c>
      <c r="B3105" s="4" t="inlineStr">
        <is>
          <t>01447</t>
        </is>
      </c>
      <c r="C3105" s="4" t="inlineStr">
        <is>
          <t>01447</t>
        </is>
      </c>
      <c r="D3105" s="29" t="inlineStr">
        <is>
          <t>RABİA KIRCALI</t>
        </is>
      </c>
      <c r="E3105" s="4" t="inlineStr">
        <is>
          <t>Pazartesi</t>
        </is>
      </c>
      <c r="F3105" s="4" t="inlineStr">
        <is>
          <t>12.10.2026</t>
        </is>
      </c>
      <c r="G3105" s="4" t="inlineStr">
        <is>
          <t>08:07</t>
        </is>
      </c>
      <c r="H3105" s="4" t="inlineStr">
        <is>
          <t>12.10.2026</t>
        </is>
      </c>
      <c r="I3105" s="4" t="inlineStr">
        <is>
          <t>20:03</t>
        </is>
      </c>
      <c r="J3105" s="8" t="n">
        <v>10.5</v>
      </c>
      <c r="K3105" s="8" t="n">
        <v>7.5</v>
      </c>
      <c r="L3105" s="8" t="n">
        <v>3</v>
      </c>
      <c r="M3105" s="29" t="inlineStr">
        <is>
          <t>HALİL DİĞRENCİ</t>
        </is>
      </c>
    </row>
    <row r="3106">
      <c r="A3106" s="4" t="n">
        <v>3105</v>
      </c>
      <c r="B3106" s="4" t="inlineStr">
        <is>
          <t>01447</t>
        </is>
      </c>
      <c r="C3106" s="4" t="inlineStr">
        <is>
          <t>01447</t>
        </is>
      </c>
      <c r="D3106" s="29" t="inlineStr">
        <is>
          <t>RABİA KIRCALI</t>
        </is>
      </c>
      <c r="E3106" s="4" t="inlineStr">
        <is>
          <t>Çarşamba</t>
        </is>
      </c>
      <c r="F3106" s="4" t="inlineStr">
        <is>
          <t>14.10.2026</t>
        </is>
      </c>
      <c r="G3106" s="4" t="inlineStr">
        <is>
          <t>08:00</t>
        </is>
      </c>
      <c r="H3106" s="4" t="inlineStr">
        <is>
          <t>14.10.2026</t>
        </is>
      </c>
      <c r="I3106" s="4" t="inlineStr">
        <is>
          <t>19:55</t>
        </is>
      </c>
      <c r="J3106" s="8" t="n">
        <v>10.5</v>
      </c>
      <c r="K3106" s="8" t="n">
        <v>7.5</v>
      </c>
      <c r="L3106" s="8" t="n">
        <v>3</v>
      </c>
      <c r="M3106" s="29" t="inlineStr">
        <is>
          <t>HALİL DİĞRENCİ</t>
        </is>
      </c>
    </row>
    <row r="3107">
      <c r="A3107" s="4" t="n">
        <v>3106</v>
      </c>
      <c r="B3107" s="4" t="inlineStr">
        <is>
          <t>01447</t>
        </is>
      </c>
      <c r="C3107" s="4" t="inlineStr">
        <is>
          <t>01447</t>
        </is>
      </c>
      <c r="D3107" s="29" t="inlineStr">
        <is>
          <t>RABİA KIRCALI</t>
        </is>
      </c>
      <c r="E3107" s="4" t="inlineStr">
        <is>
          <t>Perşembe</t>
        </is>
      </c>
      <c r="F3107" s="4" t="inlineStr">
        <is>
          <t>15.10.2026</t>
        </is>
      </c>
      <c r="G3107" s="4" t="inlineStr">
        <is>
          <t>08:10</t>
        </is>
      </c>
      <c r="H3107" s="4" t="inlineStr">
        <is>
          <t>15.10.2026</t>
        </is>
      </c>
      <c r="I3107" s="4" t="inlineStr">
        <is>
          <t>19:59</t>
        </is>
      </c>
      <c r="J3107" s="8" t="n">
        <v>10.5</v>
      </c>
      <c r="K3107" s="8" t="n">
        <v>7.5</v>
      </c>
      <c r="L3107" s="8" t="n">
        <v>3</v>
      </c>
      <c r="M3107" s="29" t="inlineStr">
        <is>
          <t>HALİL DİĞRENCİ</t>
        </is>
      </c>
    </row>
    <row r="3108">
      <c r="A3108" s="4" t="n">
        <v>3107</v>
      </c>
      <c r="B3108" s="4" t="inlineStr">
        <is>
          <t>01447</t>
        </is>
      </c>
      <c r="C3108" s="4" t="inlineStr">
        <is>
          <t>01447</t>
        </is>
      </c>
      <c r="D3108" s="29" t="inlineStr">
        <is>
          <t>RABİA KIRCALI</t>
        </is>
      </c>
      <c r="E3108" s="4" t="inlineStr">
        <is>
          <t>Pazartesi</t>
        </is>
      </c>
      <c r="F3108" s="4" t="inlineStr">
        <is>
          <t>19.10.2026</t>
        </is>
      </c>
      <c r="G3108" s="4" t="inlineStr">
        <is>
          <t>08:05</t>
        </is>
      </c>
      <c r="H3108" s="4" t="inlineStr">
        <is>
          <t>19.10.2026</t>
        </is>
      </c>
      <c r="I3108" s="4" t="inlineStr">
        <is>
          <t>19:59</t>
        </is>
      </c>
      <c r="J3108" s="8" t="n">
        <v>10.5</v>
      </c>
      <c r="K3108" s="8" t="n">
        <v>7.5</v>
      </c>
      <c r="L3108" s="8" t="n">
        <v>3</v>
      </c>
      <c r="M3108" s="29" t="inlineStr">
        <is>
          <t>HALİL DİĞRENCİ</t>
        </is>
      </c>
    </row>
    <row r="3109">
      <c r="A3109" s="4" t="n">
        <v>3108</v>
      </c>
      <c r="B3109" s="4" t="inlineStr">
        <is>
          <t>01447</t>
        </is>
      </c>
      <c r="C3109" s="4" t="inlineStr">
        <is>
          <t>01447</t>
        </is>
      </c>
      <c r="D3109" s="29" t="inlineStr">
        <is>
          <t>RABİA KIRCALI</t>
        </is>
      </c>
      <c r="E3109" s="4" t="inlineStr">
        <is>
          <t>Salı</t>
        </is>
      </c>
      <c r="F3109" s="4" t="inlineStr">
        <is>
          <t>20.10.2026</t>
        </is>
      </c>
      <c r="G3109" s="4" t="inlineStr">
        <is>
          <t>08:01</t>
        </is>
      </c>
      <c r="H3109" s="4" t="inlineStr">
        <is>
          <t>20.10.2026</t>
        </is>
      </c>
      <c r="I3109" s="4" t="inlineStr">
        <is>
          <t>17:06</t>
        </is>
      </c>
      <c r="J3109" s="8" t="n">
        <v>7.5</v>
      </c>
      <c r="K3109" s="8" t="n">
        <v>7.5</v>
      </c>
      <c r="L3109" s="8" t="n">
        <v>0</v>
      </c>
      <c r="M3109" s="29" t="inlineStr">
        <is>
          <t>HALİL DİĞRENCİ</t>
        </is>
      </c>
    </row>
    <row r="3110">
      <c r="A3110" s="4" t="n">
        <v>3109</v>
      </c>
      <c r="B3110" s="4" t="inlineStr">
        <is>
          <t>01447</t>
        </is>
      </c>
      <c r="C3110" s="4" t="inlineStr">
        <is>
          <t>01447</t>
        </is>
      </c>
      <c r="D3110" s="29" t="inlineStr">
        <is>
          <t>RABİA KIRCALI</t>
        </is>
      </c>
      <c r="E3110" s="4" t="inlineStr">
        <is>
          <t>Çarşamba</t>
        </is>
      </c>
      <c r="F3110" s="4" t="inlineStr">
        <is>
          <t>21.10.2026</t>
        </is>
      </c>
      <c r="G3110" s="4" t="inlineStr">
        <is>
          <t>07:57</t>
        </is>
      </c>
      <c r="H3110" s="4" t="inlineStr">
        <is>
          <t>21.10.2026</t>
        </is>
      </c>
      <c r="I3110" s="4" t="inlineStr">
        <is>
          <t>17:05</t>
        </is>
      </c>
      <c r="J3110" s="8" t="n">
        <v>7.5</v>
      </c>
      <c r="K3110" s="8" t="n">
        <v>7.5</v>
      </c>
      <c r="L3110" s="8" t="n">
        <v>0</v>
      </c>
      <c r="M3110" s="29" t="inlineStr">
        <is>
          <t>HALİL DİĞRENCİ</t>
        </is>
      </c>
    </row>
    <row r="3111">
      <c r="A3111" s="4" t="n">
        <v>3110</v>
      </c>
      <c r="B3111" s="4" t="inlineStr">
        <is>
          <t>00238</t>
        </is>
      </c>
      <c r="C3111" s="4" t="inlineStr">
        <is>
          <t>00238</t>
        </is>
      </c>
      <c r="D3111" s="29" t="inlineStr">
        <is>
          <t>RABİYE ÇENECİOĞLU</t>
        </is>
      </c>
      <c r="E3111" s="4" t="inlineStr">
        <is>
          <t>Perşembe</t>
        </is>
      </c>
      <c r="F3111" s="4" t="inlineStr">
        <is>
          <t>1.10.2026</t>
        </is>
      </c>
      <c r="G3111" s="4" t="inlineStr">
        <is>
          <t>07:51</t>
        </is>
      </c>
      <c r="H3111" s="4" t="inlineStr">
        <is>
          <t>1.10.2026</t>
        </is>
      </c>
      <c r="I3111" s="4" t="inlineStr">
        <is>
          <t>17:26</t>
        </is>
      </c>
      <c r="J3111" s="8" t="n">
        <v>8</v>
      </c>
      <c r="K3111" s="8" t="n">
        <v>7.5</v>
      </c>
      <c r="L3111" s="8" t="n">
        <v>0.5</v>
      </c>
      <c r="M3111" s="29" t="inlineStr">
        <is>
          <t>BALIKESİR</t>
        </is>
      </c>
    </row>
    <row r="3112">
      <c r="A3112" s="4" t="n">
        <v>3111</v>
      </c>
      <c r="B3112" s="4" t="inlineStr">
        <is>
          <t>00238</t>
        </is>
      </c>
      <c r="C3112" s="4" t="inlineStr">
        <is>
          <t>00238</t>
        </is>
      </c>
      <c r="D3112" s="29" t="inlineStr">
        <is>
          <t>RABİYE ÇENECİOĞLU</t>
        </is>
      </c>
      <c r="E3112" s="4" t="inlineStr">
        <is>
          <t>Cuma</t>
        </is>
      </c>
      <c r="F3112" s="4" t="inlineStr">
        <is>
          <t>2.10.2026</t>
        </is>
      </c>
      <c r="G3112" s="4" t="inlineStr">
        <is>
          <t>07:56</t>
        </is>
      </c>
      <c r="H3112" s="4" t="inlineStr">
        <is>
          <t>2.10.2026</t>
        </is>
      </c>
      <c r="I3112" s="4" t="inlineStr">
        <is>
          <t>17:43</t>
        </is>
      </c>
      <c r="J3112" s="8" t="n">
        <v>8</v>
      </c>
      <c r="K3112" s="8" t="n">
        <v>7.5</v>
      </c>
      <c r="L3112" s="8" t="n">
        <v>0.5</v>
      </c>
      <c r="M3112" s="29" t="inlineStr">
        <is>
          <t>BALIKESİR</t>
        </is>
      </c>
    </row>
    <row r="3113">
      <c r="A3113" s="4" t="n">
        <v>3112</v>
      </c>
      <c r="B3113" s="4" t="inlineStr">
        <is>
          <t>00238</t>
        </is>
      </c>
      <c r="C3113" s="4" t="inlineStr">
        <is>
          <t>00238</t>
        </is>
      </c>
      <c r="D3113" s="29" t="inlineStr">
        <is>
          <t>RABİYE ÇENECİOĞLU</t>
        </is>
      </c>
      <c r="E3113" s="4" t="inlineStr">
        <is>
          <t>Cumartesi</t>
        </is>
      </c>
      <c r="F3113" s="4" t="inlineStr">
        <is>
          <t>3.10.2026</t>
        </is>
      </c>
      <c r="G3113" s="4" t="inlineStr">
        <is>
          <t>07:55</t>
        </is>
      </c>
      <c r="H3113" s="4" t="inlineStr">
        <is>
          <t>3.10.2026</t>
        </is>
      </c>
      <c r="I3113" s="4" t="inlineStr">
        <is>
          <t>17:35</t>
        </is>
      </c>
      <c r="J3113" s="8" t="n">
        <v>8</v>
      </c>
      <c r="K3113" s="8" t="n">
        <v>7.5</v>
      </c>
      <c r="L3113" s="8" t="n">
        <v>0.5</v>
      </c>
      <c r="M3113" s="29" t="inlineStr">
        <is>
          <t>BALIKESİR</t>
        </is>
      </c>
    </row>
    <row r="3114">
      <c r="A3114" s="4" t="n">
        <v>3113</v>
      </c>
      <c r="B3114" s="4" t="inlineStr">
        <is>
          <t>00238</t>
        </is>
      </c>
      <c r="C3114" s="4" t="inlineStr">
        <is>
          <t>00238</t>
        </is>
      </c>
      <c r="D3114" s="29" t="inlineStr">
        <is>
          <t>RABİYE ÇENECİOĞLU</t>
        </is>
      </c>
      <c r="E3114" s="4" t="inlineStr">
        <is>
          <t>Pazartesi</t>
        </is>
      </c>
      <c r="F3114" s="4" t="inlineStr">
        <is>
          <t>5.10.2026</t>
        </is>
      </c>
      <c r="G3114" s="4" t="inlineStr">
        <is>
          <t>07:53</t>
        </is>
      </c>
      <c r="H3114" s="4" t="inlineStr">
        <is>
          <t>5.10.2026</t>
        </is>
      </c>
      <c r="I3114" s="4" t="inlineStr">
        <is>
          <t>17:03</t>
        </is>
      </c>
      <c r="J3114" s="8" t="n">
        <v>7.5</v>
      </c>
      <c r="K3114" s="8" t="n">
        <v>7.5</v>
      </c>
      <c r="L3114" s="8" t="n">
        <v>0</v>
      </c>
      <c r="M3114" s="29" t="inlineStr">
        <is>
          <t>BALIKESİR</t>
        </is>
      </c>
    </row>
    <row r="3115">
      <c r="A3115" s="4" t="n">
        <v>3114</v>
      </c>
      <c r="B3115" s="4" t="inlineStr">
        <is>
          <t>00238</t>
        </is>
      </c>
      <c r="C3115" s="4" t="inlineStr">
        <is>
          <t>00238</t>
        </is>
      </c>
      <c r="D3115" s="29" t="inlineStr">
        <is>
          <t>RABİYE ÇENECİOĞLU</t>
        </is>
      </c>
      <c r="E3115" s="4" t="inlineStr">
        <is>
          <t>Salı</t>
        </is>
      </c>
      <c r="F3115" s="4" t="inlineStr">
        <is>
          <t>6.10.2026</t>
        </is>
      </c>
      <c r="G3115" s="4" t="inlineStr">
        <is>
          <t>07:51</t>
        </is>
      </c>
      <c r="H3115" s="4" t="inlineStr">
        <is>
          <t>6.10.2026</t>
        </is>
      </c>
      <c r="I3115" s="4" t="inlineStr">
        <is>
          <t>17:39</t>
        </is>
      </c>
      <c r="J3115" s="8" t="n">
        <v>8</v>
      </c>
      <c r="K3115" s="8" t="n">
        <v>7.5</v>
      </c>
      <c r="L3115" s="8" t="n">
        <v>0.5</v>
      </c>
      <c r="M3115" s="29" t="inlineStr">
        <is>
          <t>BALIKESİR</t>
        </is>
      </c>
    </row>
    <row r="3116">
      <c r="A3116" s="4" t="n">
        <v>3115</v>
      </c>
      <c r="B3116" s="4" t="inlineStr">
        <is>
          <t>00238</t>
        </is>
      </c>
      <c r="C3116" s="4" t="inlineStr">
        <is>
          <t>00238</t>
        </is>
      </c>
      <c r="D3116" s="29" t="inlineStr">
        <is>
          <t>RABİYE ÇENECİOĞLU</t>
        </is>
      </c>
      <c r="E3116" s="4" t="inlineStr">
        <is>
          <t>Çarşamba</t>
        </is>
      </c>
      <c r="F3116" s="4" t="inlineStr">
        <is>
          <t>7.10.2026</t>
        </is>
      </c>
      <c r="G3116" s="4" t="inlineStr">
        <is>
          <t>07:48</t>
        </is>
      </c>
      <c r="H3116" s="4" t="inlineStr">
        <is>
          <t>7.10.2026</t>
        </is>
      </c>
      <c r="I3116" s="4" t="inlineStr">
        <is>
          <t>17:20</t>
        </is>
      </c>
      <c r="J3116" s="8" t="n">
        <v>7.5</v>
      </c>
      <c r="K3116" s="8" t="n">
        <v>7.5</v>
      </c>
      <c r="L3116" s="8" t="n">
        <v>0</v>
      </c>
      <c r="M3116" s="29" t="inlineStr">
        <is>
          <t>BALIKESİR</t>
        </is>
      </c>
    </row>
    <row r="3117">
      <c r="A3117" s="4" t="n">
        <v>3116</v>
      </c>
      <c r="B3117" s="4" t="inlineStr">
        <is>
          <t>00238</t>
        </is>
      </c>
      <c r="C3117" s="4" t="inlineStr">
        <is>
          <t>00238</t>
        </is>
      </c>
      <c r="D3117" s="29" t="inlineStr">
        <is>
          <t>RABİYE ÇENECİOĞLU</t>
        </is>
      </c>
      <c r="E3117" s="4" t="inlineStr">
        <is>
          <t>Perşembe</t>
        </is>
      </c>
      <c r="F3117" s="4" t="inlineStr">
        <is>
          <t>8.10.2026</t>
        </is>
      </c>
      <c r="G3117" s="4" t="inlineStr">
        <is>
          <t>07:50</t>
        </is>
      </c>
      <c r="H3117" s="4" t="inlineStr">
        <is>
          <t>8.10.2026</t>
        </is>
      </c>
      <c r="I3117" s="4" t="inlineStr">
        <is>
          <t>17:32</t>
        </is>
      </c>
      <c r="J3117" s="8" t="n">
        <v>8</v>
      </c>
      <c r="K3117" s="8" t="n">
        <v>7.5</v>
      </c>
      <c r="L3117" s="8" t="n">
        <v>0.5</v>
      </c>
      <c r="M3117" s="29" t="inlineStr">
        <is>
          <t>BALIKESİR</t>
        </is>
      </c>
    </row>
    <row r="3118">
      <c r="A3118" s="4" t="n">
        <v>3117</v>
      </c>
      <c r="B3118" s="4" t="inlineStr">
        <is>
          <t>00238</t>
        </is>
      </c>
      <c r="C3118" s="4" t="inlineStr">
        <is>
          <t>00238</t>
        </is>
      </c>
      <c r="D3118" s="29" t="inlineStr">
        <is>
          <t>RABİYE ÇENECİOĞLU</t>
        </is>
      </c>
      <c r="E3118" s="4" t="inlineStr">
        <is>
          <t>Cuma</t>
        </is>
      </c>
      <c r="F3118" s="4" t="inlineStr">
        <is>
          <t>9.10.2026</t>
        </is>
      </c>
      <c r="G3118" s="4" t="inlineStr">
        <is>
          <t>07:51</t>
        </is>
      </c>
      <c r="H3118" s="4" t="inlineStr">
        <is>
          <t>9.10.2026</t>
        </is>
      </c>
      <c r="I3118" s="4" t="inlineStr">
        <is>
          <t>17:41</t>
        </is>
      </c>
      <c r="J3118" s="8" t="n">
        <v>8</v>
      </c>
      <c r="K3118" s="8" t="n">
        <v>7.5</v>
      </c>
      <c r="L3118" s="8" t="n">
        <v>0.5</v>
      </c>
      <c r="M3118" s="29" t="inlineStr">
        <is>
          <t>BALIKESİR</t>
        </is>
      </c>
    </row>
    <row r="3119">
      <c r="A3119" s="4" t="n">
        <v>3118</v>
      </c>
      <c r="B3119" s="4" t="inlineStr">
        <is>
          <t>00238</t>
        </is>
      </c>
      <c r="C3119" s="4" t="inlineStr">
        <is>
          <t>00238</t>
        </is>
      </c>
      <c r="D3119" s="29" t="inlineStr">
        <is>
          <t>RABİYE ÇENECİOĞLU</t>
        </is>
      </c>
      <c r="E3119" s="4" t="inlineStr">
        <is>
          <t>Cumartesi</t>
        </is>
      </c>
      <c r="F3119" s="4" t="inlineStr">
        <is>
          <t>10.10.2026</t>
        </is>
      </c>
      <c r="G3119" s="4" t="inlineStr">
        <is>
          <t>07:53</t>
        </is>
      </c>
      <c r="H3119" s="4" t="inlineStr">
        <is>
          <t>10.10.2026</t>
        </is>
      </c>
      <c r="I3119" s="4" t="inlineStr">
        <is>
          <t>18:09</t>
        </is>
      </c>
      <c r="J3119" s="8" t="n">
        <v>8.5</v>
      </c>
      <c r="K3119" s="8" t="n">
        <v>7.5</v>
      </c>
      <c r="L3119" s="8" t="n">
        <v>1</v>
      </c>
      <c r="M3119" s="29" t="inlineStr">
        <is>
          <t>BALIKESİR</t>
        </is>
      </c>
    </row>
    <row r="3120">
      <c r="A3120" s="4" t="n">
        <v>3119</v>
      </c>
      <c r="B3120" s="4" t="inlineStr">
        <is>
          <t>00238</t>
        </is>
      </c>
      <c r="C3120" s="4" t="inlineStr">
        <is>
          <t>00238</t>
        </is>
      </c>
      <c r="D3120" s="29" t="inlineStr">
        <is>
          <t>RABİYE ÇENECİOĞLU</t>
        </is>
      </c>
      <c r="E3120" s="4" t="inlineStr">
        <is>
          <t>Pazartesi</t>
        </is>
      </c>
      <c r="F3120" s="4" t="inlineStr">
        <is>
          <t>12.10.2026</t>
        </is>
      </c>
      <c r="G3120" s="4" t="inlineStr">
        <is>
          <t>07:51</t>
        </is>
      </c>
      <c r="H3120" s="4" t="inlineStr">
        <is>
          <t>12.10.2026</t>
        </is>
      </c>
      <c r="I3120" s="4" t="inlineStr">
        <is>
          <t>17:01</t>
        </is>
      </c>
      <c r="J3120" s="8" t="n">
        <v>7.5</v>
      </c>
      <c r="K3120" s="8" t="n">
        <v>7.5</v>
      </c>
      <c r="L3120" s="8" t="n">
        <v>0</v>
      </c>
      <c r="M3120" s="29" t="inlineStr">
        <is>
          <t>BALIKESİR</t>
        </is>
      </c>
    </row>
    <row r="3121">
      <c r="A3121" s="4" t="n">
        <v>3120</v>
      </c>
      <c r="B3121" s="4" t="inlineStr">
        <is>
          <t>00238</t>
        </is>
      </c>
      <c r="C3121" s="4" t="inlineStr">
        <is>
          <t>00238</t>
        </is>
      </c>
      <c r="D3121" s="29" t="inlineStr">
        <is>
          <t>RABİYE ÇENECİOĞLU</t>
        </is>
      </c>
      <c r="E3121" s="4" t="inlineStr">
        <is>
          <t>Salı</t>
        </is>
      </c>
      <c r="F3121" s="4" t="inlineStr">
        <is>
          <t>13.10.2026</t>
        </is>
      </c>
      <c r="G3121" s="4" t="inlineStr">
        <is>
          <t>07:49</t>
        </is>
      </c>
      <c r="H3121" s="4" t="inlineStr">
        <is>
          <t>13.10.2026</t>
        </is>
      </c>
      <c r="I3121" s="4" t="inlineStr">
        <is>
          <t>17:01</t>
        </is>
      </c>
      <c r="J3121" s="8" t="n">
        <v>7.5</v>
      </c>
      <c r="K3121" s="8" t="n">
        <v>7.5</v>
      </c>
      <c r="L3121" s="8" t="n">
        <v>0</v>
      </c>
      <c r="M3121" s="29" t="inlineStr">
        <is>
          <t>BALIKESİR</t>
        </is>
      </c>
    </row>
    <row r="3122">
      <c r="A3122" s="4" t="n">
        <v>3121</v>
      </c>
      <c r="B3122" s="4" t="inlineStr">
        <is>
          <t>00238</t>
        </is>
      </c>
      <c r="C3122" s="4" t="inlineStr">
        <is>
          <t>00238</t>
        </is>
      </c>
      <c r="D3122" s="29" t="inlineStr">
        <is>
          <t>RABİYE ÇENECİOĞLU</t>
        </is>
      </c>
      <c r="E3122" s="4" t="inlineStr">
        <is>
          <t>Çarşamba</t>
        </is>
      </c>
      <c r="F3122" s="4" t="inlineStr">
        <is>
          <t>14.10.2026</t>
        </is>
      </c>
      <c r="G3122" s="4" t="inlineStr">
        <is>
          <t>07:50</t>
        </is>
      </c>
      <c r="H3122" s="4" t="inlineStr">
        <is>
          <t>14.10.2026</t>
        </is>
      </c>
      <c r="I3122" s="4" t="inlineStr">
        <is>
          <t>18:04</t>
        </is>
      </c>
      <c r="J3122" s="8" t="n">
        <v>8.5</v>
      </c>
      <c r="K3122" s="8" t="n">
        <v>7.5</v>
      </c>
      <c r="L3122" s="8" t="n">
        <v>1</v>
      </c>
      <c r="M3122" s="29" t="inlineStr">
        <is>
          <t>BALIKESİR</t>
        </is>
      </c>
    </row>
    <row r="3123">
      <c r="A3123" s="4" t="n">
        <v>3122</v>
      </c>
      <c r="B3123" s="4" t="inlineStr">
        <is>
          <t>00238</t>
        </is>
      </c>
      <c r="C3123" s="4" t="inlineStr">
        <is>
          <t>00238</t>
        </is>
      </c>
      <c r="D3123" s="29" t="inlineStr">
        <is>
          <t>RABİYE ÇENECİOĞLU</t>
        </is>
      </c>
      <c r="E3123" s="4" t="inlineStr">
        <is>
          <t>Perşembe</t>
        </is>
      </c>
      <c r="F3123" s="4" t="inlineStr">
        <is>
          <t>15.10.2026</t>
        </is>
      </c>
      <c r="G3123" s="4" t="inlineStr">
        <is>
          <t>07:52</t>
        </is>
      </c>
      <c r="H3123" s="4" t="inlineStr">
        <is>
          <t>15.10.2026</t>
        </is>
      </c>
      <c r="I3123" s="4" t="inlineStr">
        <is>
          <t>17:02</t>
        </is>
      </c>
      <c r="J3123" s="8" t="n">
        <v>7.5</v>
      </c>
      <c r="K3123" s="8" t="n">
        <v>7.5</v>
      </c>
      <c r="L3123" s="8" t="n">
        <v>0</v>
      </c>
      <c r="M3123" s="29" t="inlineStr">
        <is>
          <t>BALIKESİR</t>
        </is>
      </c>
    </row>
    <row r="3124">
      <c r="A3124" s="4" t="n">
        <v>3123</v>
      </c>
      <c r="B3124" s="4" t="inlineStr">
        <is>
          <t>00238</t>
        </is>
      </c>
      <c r="C3124" s="4" t="inlineStr">
        <is>
          <t>00238</t>
        </is>
      </c>
      <c r="D3124" s="29" t="inlineStr">
        <is>
          <t>RABİYE ÇENECİOĞLU</t>
        </is>
      </c>
      <c r="E3124" s="4" t="inlineStr">
        <is>
          <t>Cuma</t>
        </is>
      </c>
      <c r="F3124" s="4" t="inlineStr">
        <is>
          <t>16.10.2026</t>
        </is>
      </c>
      <c r="G3124" s="4" t="inlineStr">
        <is>
          <t>07:49</t>
        </is>
      </c>
      <c r="H3124" s="4" t="inlineStr">
        <is>
          <t>16.10.2026</t>
        </is>
      </c>
      <c r="I3124" s="4" t="inlineStr">
        <is>
          <t>17:14</t>
        </is>
      </c>
      <c r="J3124" s="8" t="n">
        <v>7.5</v>
      </c>
      <c r="K3124" s="8" t="n">
        <v>7.5</v>
      </c>
      <c r="L3124" s="8" t="n">
        <v>0</v>
      </c>
      <c r="M3124" s="29" t="inlineStr">
        <is>
          <t>BALIKESİR</t>
        </is>
      </c>
    </row>
    <row r="3125">
      <c r="A3125" s="4" t="n">
        <v>3124</v>
      </c>
      <c r="B3125" s="4" t="inlineStr">
        <is>
          <t>00238</t>
        </is>
      </c>
      <c r="C3125" s="4" t="inlineStr">
        <is>
          <t>00238</t>
        </is>
      </c>
      <c r="D3125" s="29" t="inlineStr">
        <is>
          <t>RABİYE ÇENECİOĞLU</t>
        </is>
      </c>
      <c r="E3125" s="4" t="inlineStr">
        <is>
          <t>Cumartesi</t>
        </is>
      </c>
      <c r="F3125" s="4" t="inlineStr">
        <is>
          <t>17.10.2026</t>
        </is>
      </c>
      <c r="G3125" s="4" t="inlineStr">
        <is>
          <t>07:57</t>
        </is>
      </c>
      <c r="H3125" s="4" t="inlineStr">
        <is>
          <t>17.10.2026</t>
        </is>
      </c>
      <c r="I3125" s="4" t="inlineStr">
        <is>
          <t>17:48</t>
        </is>
      </c>
      <c r="J3125" s="8" t="n">
        <v>8.5</v>
      </c>
      <c r="K3125" s="8" t="n">
        <v>7.5</v>
      </c>
      <c r="L3125" s="8" t="n">
        <v>1</v>
      </c>
      <c r="M3125" s="29" t="inlineStr">
        <is>
          <t>BALIKESİR</t>
        </is>
      </c>
    </row>
    <row r="3126">
      <c r="A3126" s="4" t="n">
        <v>3125</v>
      </c>
      <c r="B3126" s="4" t="inlineStr">
        <is>
          <t>00238</t>
        </is>
      </c>
      <c r="C3126" s="4" t="inlineStr">
        <is>
          <t>00238</t>
        </is>
      </c>
      <c r="D3126" s="29" t="inlineStr">
        <is>
          <t>RABİYE ÇENECİOĞLU</t>
        </is>
      </c>
      <c r="E3126" s="4" t="inlineStr">
        <is>
          <t>Pazartesi</t>
        </is>
      </c>
      <c r="F3126" s="4" t="inlineStr">
        <is>
          <t>19.10.2026</t>
        </is>
      </c>
      <c r="G3126" s="4" t="inlineStr">
        <is>
          <t>07:51</t>
        </is>
      </c>
      <c r="H3126" s="4" t="inlineStr">
        <is>
          <t>19.10.2026</t>
        </is>
      </c>
      <c r="I3126" s="4" t="inlineStr">
        <is>
          <t>17:42</t>
        </is>
      </c>
      <c r="J3126" s="8" t="n">
        <v>8</v>
      </c>
      <c r="K3126" s="8" t="n">
        <v>7.5</v>
      </c>
      <c r="L3126" s="8" t="n">
        <v>0.5</v>
      </c>
      <c r="M3126" s="29" t="inlineStr">
        <is>
          <t>BALIKESİR</t>
        </is>
      </c>
    </row>
    <row r="3127">
      <c r="A3127" s="4" t="n">
        <v>3126</v>
      </c>
      <c r="B3127" s="4" t="inlineStr">
        <is>
          <t>00238</t>
        </is>
      </c>
      <c r="C3127" s="4" t="inlineStr">
        <is>
          <t>00238</t>
        </is>
      </c>
      <c r="D3127" s="29" t="inlineStr">
        <is>
          <t>RABİYE ÇENECİOĞLU</t>
        </is>
      </c>
      <c r="E3127" s="4" t="inlineStr">
        <is>
          <t>Çarşamba</t>
        </is>
      </c>
      <c r="F3127" s="4" t="inlineStr">
        <is>
          <t>21.10.2026</t>
        </is>
      </c>
      <c r="G3127" s="4" t="inlineStr">
        <is>
          <t>07:50</t>
        </is>
      </c>
      <c r="H3127" s="4" t="inlineStr">
        <is>
          <t>21.10.2026</t>
        </is>
      </c>
      <c r="I3127" s="4" t="inlineStr">
        <is>
          <t>17:01</t>
        </is>
      </c>
      <c r="J3127" s="8" t="n">
        <v>7.5</v>
      </c>
      <c r="K3127" s="8" t="n">
        <v>7.5</v>
      </c>
      <c r="L3127" s="8" t="n">
        <v>0</v>
      </c>
      <c r="M3127" s="29" t="inlineStr">
        <is>
          <t>BALIKESİR</t>
        </is>
      </c>
    </row>
    <row r="3128">
      <c r="A3128" s="4" t="n">
        <v>3127</v>
      </c>
      <c r="B3128" s="4" t="inlineStr">
        <is>
          <t>01446</t>
        </is>
      </c>
      <c r="C3128" s="4" t="inlineStr">
        <is>
          <t>01446</t>
        </is>
      </c>
      <c r="D3128" s="29" t="inlineStr">
        <is>
          <t>RAİBA DURMA</t>
        </is>
      </c>
      <c r="E3128" s="4" t="inlineStr">
        <is>
          <t>Cuma</t>
        </is>
      </c>
      <c r="F3128" s="4" t="inlineStr">
        <is>
          <t>2.10.2026</t>
        </is>
      </c>
      <c r="G3128" s="4" t="inlineStr">
        <is>
          <t>19:45</t>
        </is>
      </c>
      <c r="H3128" s="4" t="inlineStr">
        <is>
          <t>2.10.2026</t>
        </is>
      </c>
      <c r="I3128" s="4" t="inlineStr">
        <is>
          <t>07:54</t>
        </is>
      </c>
      <c r="J3128" s="8" t="n">
        <v>10.5</v>
      </c>
      <c r="K3128" s="8" t="n">
        <v>7.5</v>
      </c>
      <c r="L3128" s="8" t="n">
        <v>3</v>
      </c>
      <c r="M3128" s="29" t="inlineStr">
        <is>
          <t>HALİL DİĞRENCİ</t>
        </is>
      </c>
    </row>
    <row r="3129">
      <c r="A3129" s="4" t="n">
        <v>3128</v>
      </c>
      <c r="B3129" s="4" t="inlineStr">
        <is>
          <t>01446</t>
        </is>
      </c>
      <c r="C3129" s="4" t="inlineStr">
        <is>
          <t>01446</t>
        </is>
      </c>
      <c r="D3129" s="29" t="inlineStr">
        <is>
          <t>RAİBA DURMA</t>
        </is>
      </c>
      <c r="E3129" s="4" t="inlineStr">
        <is>
          <t>Cumartesi</t>
        </is>
      </c>
      <c r="F3129" s="4" t="inlineStr">
        <is>
          <t>3.10.2026</t>
        </is>
      </c>
      <c r="G3129" s="4" t="inlineStr">
        <is>
          <t>19:53</t>
        </is>
      </c>
      <c r="H3129" s="4" t="inlineStr">
        <is>
          <t>3.10.2026</t>
        </is>
      </c>
      <c r="I3129" s="4" t="inlineStr">
        <is>
          <t>07:56</t>
        </is>
      </c>
      <c r="J3129" s="8" t="n">
        <v>10.5</v>
      </c>
      <c r="K3129" s="8" t="n">
        <v>7.5</v>
      </c>
      <c r="L3129" s="8" t="n">
        <v>3</v>
      </c>
      <c r="M3129" s="29" t="inlineStr">
        <is>
          <t>HALİL DİĞRENCİ</t>
        </is>
      </c>
    </row>
    <row r="3130">
      <c r="A3130" s="4" t="n">
        <v>3129</v>
      </c>
      <c r="B3130" s="4" t="inlineStr">
        <is>
          <t>01446</t>
        </is>
      </c>
      <c r="C3130" s="4" t="inlineStr">
        <is>
          <t>01446</t>
        </is>
      </c>
      <c r="D3130" s="29" t="inlineStr">
        <is>
          <t>RAİBA DURMA</t>
        </is>
      </c>
      <c r="E3130" s="4" t="inlineStr">
        <is>
          <t>Pazar</t>
        </is>
      </c>
      <c r="F3130" s="4" t="inlineStr">
        <is>
          <t>4.10.2026</t>
        </is>
      </c>
      <c r="G3130" s="4" t="inlineStr">
        <is>
          <t>20:00</t>
        </is>
      </c>
      <c r="H3130" s="4" t="inlineStr">
        <is>
          <t>4.10.2026</t>
        </is>
      </c>
      <c r="I3130" s="4" t="inlineStr">
        <is>
          <t>08:00</t>
        </is>
      </c>
      <c r="J3130" s="8" t="n">
        <v>10.5</v>
      </c>
      <c r="K3130" s="8" t="n">
        <v>7.5</v>
      </c>
      <c r="L3130" s="8" t="n">
        <v>3</v>
      </c>
      <c r="M3130" s="29" t="inlineStr">
        <is>
          <t>HALİL DİĞRENCİ</t>
        </is>
      </c>
    </row>
    <row r="3131">
      <c r="A3131" s="4" t="n">
        <v>3130</v>
      </c>
      <c r="B3131" s="4" t="inlineStr">
        <is>
          <t>01446</t>
        </is>
      </c>
      <c r="C3131" s="4" t="inlineStr">
        <is>
          <t>01446</t>
        </is>
      </c>
      <c r="D3131" s="29" t="inlineStr">
        <is>
          <t>RAİBA DURMA</t>
        </is>
      </c>
      <c r="E3131" s="4" t="inlineStr">
        <is>
          <t>Pazartesi</t>
        </is>
      </c>
      <c r="F3131" s="4" t="inlineStr">
        <is>
          <t>5.10.2026</t>
        </is>
      </c>
      <c r="G3131" s="4" t="inlineStr">
        <is>
          <t>19:57</t>
        </is>
      </c>
      <c r="H3131" s="4" t="inlineStr">
        <is>
          <t>5.10.2026</t>
        </is>
      </c>
      <c r="I3131" s="4" t="inlineStr">
        <is>
          <t>07:50</t>
        </is>
      </c>
      <c r="J3131" s="8" t="n">
        <v>10.5</v>
      </c>
      <c r="K3131" s="8" t="n">
        <v>7.5</v>
      </c>
      <c r="L3131" s="8" t="n">
        <v>3</v>
      </c>
      <c r="M3131" s="29" t="inlineStr">
        <is>
          <t>HALİL DİĞRENCİ</t>
        </is>
      </c>
    </row>
    <row r="3132">
      <c r="A3132" s="4" t="n">
        <v>3131</v>
      </c>
      <c r="B3132" s="4" t="inlineStr">
        <is>
          <t>01446</t>
        </is>
      </c>
      <c r="C3132" s="4" t="inlineStr">
        <is>
          <t>01446</t>
        </is>
      </c>
      <c r="D3132" s="29" t="inlineStr">
        <is>
          <t>RAİBA DURMA</t>
        </is>
      </c>
      <c r="E3132" s="4" t="inlineStr">
        <is>
          <t>Çarşamba</t>
        </is>
      </c>
      <c r="F3132" s="4" t="inlineStr">
        <is>
          <t>7.10.2026</t>
        </is>
      </c>
      <c r="G3132" s="4" t="inlineStr">
        <is>
          <t>19:56</t>
        </is>
      </c>
      <c r="H3132" s="4" t="inlineStr">
        <is>
          <t>7.10.2026</t>
        </is>
      </c>
      <c r="I3132" s="4" t="inlineStr">
        <is>
          <t>07:56</t>
        </is>
      </c>
      <c r="J3132" s="8" t="n">
        <v>10.5</v>
      </c>
      <c r="K3132" s="8" t="n">
        <v>7.5</v>
      </c>
      <c r="L3132" s="8" t="n">
        <v>3</v>
      </c>
      <c r="M3132" s="29" t="inlineStr">
        <is>
          <t>HALİL DİĞRENCİ</t>
        </is>
      </c>
    </row>
    <row r="3133">
      <c r="A3133" s="4" t="n">
        <v>3132</v>
      </c>
      <c r="B3133" s="4" t="inlineStr">
        <is>
          <t>01446</t>
        </is>
      </c>
      <c r="C3133" s="4" t="inlineStr">
        <is>
          <t>01446</t>
        </is>
      </c>
      <c r="D3133" s="29" t="inlineStr">
        <is>
          <t>RAİBA DURMA</t>
        </is>
      </c>
      <c r="E3133" s="4" t="inlineStr">
        <is>
          <t>Perşembe</t>
        </is>
      </c>
      <c r="F3133" s="4" t="inlineStr">
        <is>
          <t>8.10.2026</t>
        </is>
      </c>
      <c r="G3133" s="4" t="inlineStr">
        <is>
          <t>19:58</t>
        </is>
      </c>
      <c r="H3133" s="4" t="inlineStr">
        <is>
          <t>8.10.2026</t>
        </is>
      </c>
      <c r="I3133" s="4" t="inlineStr">
        <is>
          <t>07:57</t>
        </is>
      </c>
      <c r="J3133" s="8" t="n">
        <v>10.5</v>
      </c>
      <c r="K3133" s="8" t="n">
        <v>7.5</v>
      </c>
      <c r="L3133" s="8" t="n">
        <v>3</v>
      </c>
      <c r="M3133" s="29" t="inlineStr">
        <is>
          <t>HALİL DİĞRENCİ</t>
        </is>
      </c>
    </row>
    <row r="3134">
      <c r="A3134" s="4" t="n">
        <v>3133</v>
      </c>
      <c r="B3134" s="4" t="inlineStr">
        <is>
          <t>01446</t>
        </is>
      </c>
      <c r="C3134" s="4" t="inlineStr">
        <is>
          <t>01446</t>
        </is>
      </c>
      <c r="D3134" s="29" t="inlineStr">
        <is>
          <t>RAİBA DURMA</t>
        </is>
      </c>
      <c r="E3134" s="4" t="inlineStr">
        <is>
          <t>Cuma</t>
        </is>
      </c>
      <c r="F3134" s="4" t="inlineStr">
        <is>
          <t>9.10.2026</t>
        </is>
      </c>
      <c r="G3134" s="4" t="inlineStr">
        <is>
          <t>20:03</t>
        </is>
      </c>
      <c r="H3134" s="4" t="inlineStr">
        <is>
          <t>9.10.2026</t>
        </is>
      </c>
      <c r="I3134" s="4" t="inlineStr">
        <is>
          <t>07:57</t>
        </is>
      </c>
      <c r="J3134" s="8" t="n">
        <v>10.5</v>
      </c>
      <c r="K3134" s="8" t="n">
        <v>7.5</v>
      </c>
      <c r="L3134" s="8" t="n">
        <v>3</v>
      </c>
      <c r="M3134" s="29" t="inlineStr">
        <is>
          <t>HALİL DİĞRENCİ</t>
        </is>
      </c>
    </row>
    <row r="3135">
      <c r="A3135" s="4" t="n">
        <v>3134</v>
      </c>
      <c r="B3135" s="4" t="inlineStr">
        <is>
          <t>01446</t>
        </is>
      </c>
      <c r="C3135" s="4" t="inlineStr">
        <is>
          <t>01446</t>
        </is>
      </c>
      <c r="D3135" s="29" t="inlineStr">
        <is>
          <t>RAİBA DURMA</t>
        </is>
      </c>
      <c r="E3135" s="4" t="inlineStr">
        <is>
          <t>Pazar</t>
        </is>
      </c>
      <c r="F3135" s="4" t="inlineStr">
        <is>
          <t>11.10.2026</t>
        </is>
      </c>
      <c r="G3135" s="4" t="inlineStr">
        <is>
          <t>20:17</t>
        </is>
      </c>
      <c r="H3135" s="4" t="inlineStr">
        <is>
          <t>11.10.2026</t>
        </is>
      </c>
      <c r="I3135" s="4" t="inlineStr">
        <is>
          <t>07:59</t>
        </is>
      </c>
      <c r="J3135" s="8" t="n">
        <v>10.5</v>
      </c>
      <c r="K3135" s="8" t="n">
        <v>7.5</v>
      </c>
      <c r="L3135" s="8" t="n">
        <v>3</v>
      </c>
      <c r="M3135" s="29" t="inlineStr">
        <is>
          <t>HALİL DİĞRENCİ</t>
        </is>
      </c>
    </row>
    <row r="3136">
      <c r="A3136" s="4" t="n">
        <v>3135</v>
      </c>
      <c r="B3136" s="4" t="inlineStr">
        <is>
          <t>01446</t>
        </is>
      </c>
      <c r="C3136" s="4" t="inlineStr">
        <is>
          <t>01446</t>
        </is>
      </c>
      <c r="D3136" s="29" t="inlineStr">
        <is>
          <t>RAİBA DURMA</t>
        </is>
      </c>
      <c r="E3136" s="4" t="inlineStr">
        <is>
          <t>Pazartesi</t>
        </is>
      </c>
      <c r="F3136" s="4" t="inlineStr">
        <is>
          <t>12.10.2026</t>
        </is>
      </c>
      <c r="G3136" s="4" t="inlineStr">
        <is>
          <t>20:01</t>
        </is>
      </c>
      <c r="H3136" s="4" t="inlineStr">
        <is>
          <t>12.10.2026</t>
        </is>
      </c>
      <c r="I3136" s="4" t="inlineStr">
        <is>
          <t>07:54</t>
        </is>
      </c>
      <c r="J3136" s="8" t="n">
        <v>10.5</v>
      </c>
      <c r="K3136" s="8" t="n">
        <v>7.5</v>
      </c>
      <c r="L3136" s="8" t="n">
        <v>3</v>
      </c>
      <c r="M3136" s="29" t="inlineStr">
        <is>
          <t>HALİL DİĞRENCİ</t>
        </is>
      </c>
    </row>
    <row r="3137">
      <c r="A3137" s="4" t="n">
        <v>3136</v>
      </c>
      <c r="B3137" s="4" t="inlineStr">
        <is>
          <t>01446</t>
        </is>
      </c>
      <c r="C3137" s="4" t="inlineStr">
        <is>
          <t>01446</t>
        </is>
      </c>
      <c r="D3137" s="29" t="inlineStr">
        <is>
          <t>RAİBA DURMA</t>
        </is>
      </c>
      <c r="E3137" s="4" t="inlineStr">
        <is>
          <t>Salı</t>
        </is>
      </c>
      <c r="F3137" s="4" t="inlineStr">
        <is>
          <t>13.10.2026</t>
        </is>
      </c>
      <c r="G3137" s="4" t="inlineStr">
        <is>
          <t>20:00</t>
        </is>
      </c>
      <c r="H3137" s="4" t="inlineStr">
        <is>
          <t>13.10.2026</t>
        </is>
      </c>
      <c r="I3137" s="4" t="inlineStr">
        <is>
          <t>07:56</t>
        </is>
      </c>
      <c r="J3137" s="8" t="n">
        <v>10.5</v>
      </c>
      <c r="K3137" s="8" t="n">
        <v>7.5</v>
      </c>
      <c r="L3137" s="8" t="n">
        <v>3</v>
      </c>
      <c r="M3137" s="29" t="inlineStr">
        <is>
          <t>HALİL DİĞRENCİ</t>
        </is>
      </c>
    </row>
    <row r="3138">
      <c r="A3138" s="4" t="n">
        <v>3137</v>
      </c>
      <c r="B3138" s="4" t="inlineStr">
        <is>
          <t>01446</t>
        </is>
      </c>
      <c r="C3138" s="4" t="inlineStr">
        <is>
          <t>01446</t>
        </is>
      </c>
      <c r="D3138" s="29" t="inlineStr">
        <is>
          <t>RAİBA DURMA</t>
        </is>
      </c>
      <c r="E3138" s="4" t="inlineStr">
        <is>
          <t>Çarşamba</t>
        </is>
      </c>
      <c r="F3138" s="4" t="inlineStr">
        <is>
          <t>14.10.2026</t>
        </is>
      </c>
      <c r="G3138" s="4" t="inlineStr">
        <is>
          <t>20:15</t>
        </is>
      </c>
      <c r="H3138" s="4" t="inlineStr">
        <is>
          <t>14.10.2026</t>
        </is>
      </c>
      <c r="I3138" s="4" t="inlineStr">
        <is>
          <t>07:57</t>
        </is>
      </c>
      <c r="J3138" s="8" t="n">
        <v>10.5</v>
      </c>
      <c r="K3138" s="8" t="n">
        <v>7.5</v>
      </c>
      <c r="L3138" s="8" t="n">
        <v>3</v>
      </c>
      <c r="M3138" s="29" t="inlineStr">
        <is>
          <t>HALİL DİĞRENCİ</t>
        </is>
      </c>
    </row>
    <row r="3139">
      <c r="A3139" s="4" t="n">
        <v>3138</v>
      </c>
      <c r="B3139" s="4" t="inlineStr">
        <is>
          <t>01446</t>
        </is>
      </c>
      <c r="C3139" s="4" t="inlineStr">
        <is>
          <t>01446</t>
        </is>
      </c>
      <c r="D3139" s="29" t="inlineStr">
        <is>
          <t>RAİBA DURMA</t>
        </is>
      </c>
      <c r="E3139" s="4" t="inlineStr">
        <is>
          <t>Perşembe</t>
        </is>
      </c>
      <c r="F3139" s="4" t="inlineStr">
        <is>
          <t>15.10.2026</t>
        </is>
      </c>
      <c r="G3139" s="4" t="inlineStr">
        <is>
          <t>20:11</t>
        </is>
      </c>
      <c r="H3139" s="4" t="inlineStr">
        <is>
          <t>15.10.2026</t>
        </is>
      </c>
      <c r="I3139" s="4" t="inlineStr">
        <is>
          <t>07:56</t>
        </is>
      </c>
      <c r="J3139" s="8" t="n">
        <v>10.5</v>
      </c>
      <c r="K3139" s="8" t="n">
        <v>7.5</v>
      </c>
      <c r="L3139" s="8" t="n">
        <v>3</v>
      </c>
      <c r="M3139" s="29" t="inlineStr">
        <is>
          <t>HALİL DİĞRENCİ</t>
        </is>
      </c>
    </row>
    <row r="3140">
      <c r="A3140" s="4" t="n">
        <v>3139</v>
      </c>
      <c r="B3140" s="4" t="inlineStr">
        <is>
          <t>01446</t>
        </is>
      </c>
      <c r="C3140" s="4" t="inlineStr">
        <is>
          <t>01446</t>
        </is>
      </c>
      <c r="D3140" s="29" t="inlineStr">
        <is>
          <t>RAİBA DURMA</t>
        </is>
      </c>
      <c r="E3140" s="4" t="inlineStr">
        <is>
          <t>Pazar</t>
        </is>
      </c>
      <c r="F3140" s="4" t="inlineStr">
        <is>
          <t>18.10.2026</t>
        </is>
      </c>
      <c r="G3140" s="4" t="inlineStr">
        <is>
          <t>08:15</t>
        </is>
      </c>
      <c r="H3140" s="4" t="inlineStr">
        <is>
          <t>18.10.2026</t>
        </is>
      </c>
      <c r="I3140" s="4" t="inlineStr">
        <is>
          <t>20:00</t>
        </is>
      </c>
      <c r="J3140" s="8" t="n">
        <v>10.5</v>
      </c>
      <c r="K3140" s="8" t="n">
        <v>7.5</v>
      </c>
      <c r="L3140" s="8" t="n">
        <v>3</v>
      </c>
      <c r="M3140" s="29" t="inlineStr">
        <is>
          <t>HALİL DİĞRENCİ</t>
        </is>
      </c>
    </row>
    <row r="3141">
      <c r="A3141" s="4" t="n">
        <v>3140</v>
      </c>
      <c r="B3141" s="4" t="inlineStr">
        <is>
          <t>00145</t>
        </is>
      </c>
      <c r="C3141" s="4" t="inlineStr">
        <is>
          <t>00145</t>
        </is>
      </c>
      <c r="D3141" s="29" t="inlineStr">
        <is>
          <t>RAMAZAN KÜÇÜKÇÇAKIR</t>
        </is>
      </c>
      <c r="E3141" s="4" t="inlineStr">
        <is>
          <t>Perşembe</t>
        </is>
      </c>
      <c r="F3141" s="4" t="inlineStr">
        <is>
          <t>1.10.2026</t>
        </is>
      </c>
      <c r="G3141" s="4" t="inlineStr">
        <is>
          <t>07:53</t>
        </is>
      </c>
      <c r="H3141" s="4" t="inlineStr">
        <is>
          <t>1.10.2026</t>
        </is>
      </c>
      <c r="I3141" s="4" t="inlineStr">
        <is>
          <t>16:59</t>
        </is>
      </c>
      <c r="J3141" s="8" t="n">
        <v>7.5</v>
      </c>
      <c r="K3141" s="8" t="n">
        <v>7.5</v>
      </c>
      <c r="L3141" s="8" t="n">
        <v>0</v>
      </c>
      <c r="M3141" s="29" t="inlineStr">
        <is>
          <t>SUSURLUK</t>
        </is>
      </c>
    </row>
    <row r="3142">
      <c r="A3142" s="4" t="n">
        <v>3141</v>
      </c>
      <c r="B3142" s="4" t="inlineStr">
        <is>
          <t>00145</t>
        </is>
      </c>
      <c r="C3142" s="4" t="inlineStr">
        <is>
          <t>00145</t>
        </is>
      </c>
      <c r="D3142" s="29" t="inlineStr">
        <is>
          <t>RAMAZAN KÜÇÜKÇÇAKIR</t>
        </is>
      </c>
      <c r="E3142" s="4" t="inlineStr">
        <is>
          <t>Cuma</t>
        </is>
      </c>
      <c r="F3142" s="4" t="inlineStr">
        <is>
          <t>2.10.2026</t>
        </is>
      </c>
      <c r="G3142" s="4" t="inlineStr">
        <is>
          <t>07:49</t>
        </is>
      </c>
      <c r="H3142" s="4" t="inlineStr">
        <is>
          <t>2.10.2026</t>
        </is>
      </c>
      <c r="I3142" s="4" t="inlineStr">
        <is>
          <t>16:54</t>
        </is>
      </c>
      <c r="J3142" s="8" t="n">
        <v>7.5</v>
      </c>
      <c r="K3142" s="8" t="n">
        <v>7.5</v>
      </c>
      <c r="L3142" s="8" t="n">
        <v>0</v>
      </c>
      <c r="M3142" s="29" t="inlineStr">
        <is>
          <t>SUSURLUK</t>
        </is>
      </c>
    </row>
    <row r="3143">
      <c r="A3143" s="4" t="n">
        <v>3142</v>
      </c>
      <c r="B3143" s="4" t="inlineStr">
        <is>
          <t>00145</t>
        </is>
      </c>
      <c r="C3143" s="4" t="inlineStr">
        <is>
          <t>00145</t>
        </is>
      </c>
      <c r="D3143" s="29" t="inlineStr">
        <is>
          <t>RAMAZAN KÜÇÜKÇÇAKIR</t>
        </is>
      </c>
      <c r="E3143" s="4" t="inlineStr">
        <is>
          <t>Cumartesi</t>
        </is>
      </c>
      <c r="F3143" s="4" t="inlineStr">
        <is>
          <t>3.10.2026</t>
        </is>
      </c>
      <c r="G3143" s="4" t="inlineStr">
        <is>
          <t>07:54</t>
        </is>
      </c>
      <c r="H3143" s="4" t="inlineStr">
        <is>
          <t>3.10.2026</t>
        </is>
      </c>
      <c r="I3143" s="4" t="inlineStr">
        <is>
          <t>16:57</t>
        </is>
      </c>
      <c r="J3143" s="8" t="n">
        <v>7.5</v>
      </c>
      <c r="K3143" s="8" t="n">
        <v>7.5</v>
      </c>
      <c r="L3143" s="8" t="n">
        <v>0</v>
      </c>
      <c r="M3143" s="29" t="inlineStr">
        <is>
          <t>SUSURLUK</t>
        </is>
      </c>
    </row>
    <row r="3144">
      <c r="A3144" s="4" t="n">
        <v>3143</v>
      </c>
      <c r="B3144" s="4" t="inlineStr">
        <is>
          <t>00145</t>
        </is>
      </c>
      <c r="C3144" s="4" t="inlineStr">
        <is>
          <t>00145</t>
        </is>
      </c>
      <c r="D3144" s="29" t="inlineStr">
        <is>
          <t>RAMAZAN KÜÇÜKÇÇAKIR</t>
        </is>
      </c>
      <c r="E3144" s="4" t="inlineStr">
        <is>
          <t>Pazartesi</t>
        </is>
      </c>
      <c r="F3144" s="4" t="inlineStr">
        <is>
          <t>5.10.2026</t>
        </is>
      </c>
      <c r="G3144" s="4" t="inlineStr">
        <is>
          <t>07:39</t>
        </is>
      </c>
      <c r="H3144" s="4" t="inlineStr">
        <is>
          <t>5.10.2026</t>
        </is>
      </c>
      <c r="I3144" s="4" t="inlineStr">
        <is>
          <t>16:05</t>
        </is>
      </c>
      <c r="J3144" s="8" t="n">
        <v>7.5</v>
      </c>
      <c r="K3144" s="8" t="n">
        <v>7.5</v>
      </c>
      <c r="L3144" s="8" t="n">
        <v>0</v>
      </c>
      <c r="M3144" s="29" t="inlineStr">
        <is>
          <t>SUSURLUK</t>
        </is>
      </c>
    </row>
    <row r="3145">
      <c r="A3145" s="4" t="n">
        <v>3144</v>
      </c>
      <c r="B3145" s="4" t="inlineStr">
        <is>
          <t>00145</t>
        </is>
      </c>
      <c r="C3145" s="4" t="inlineStr">
        <is>
          <t>00145</t>
        </is>
      </c>
      <c r="D3145" s="29" t="inlineStr">
        <is>
          <t>RAMAZAN KÜÇÜKÇÇAKIR</t>
        </is>
      </c>
      <c r="E3145" s="4" t="inlineStr">
        <is>
          <t>Salı</t>
        </is>
      </c>
      <c r="F3145" s="4" t="inlineStr">
        <is>
          <t>6.10.2026</t>
        </is>
      </c>
      <c r="G3145" s="4" t="inlineStr">
        <is>
          <t>09:24</t>
        </is>
      </c>
      <c r="H3145" s="4" t="inlineStr">
        <is>
          <t>6.10.2026</t>
        </is>
      </c>
      <c r="I3145" s="4" t="inlineStr">
        <is>
          <t>17:07</t>
        </is>
      </c>
      <c r="J3145" s="8" t="n">
        <v>6</v>
      </c>
      <c r="K3145" s="8" t="n">
        <v>6</v>
      </c>
      <c r="L3145" s="8" t="n">
        <v>0</v>
      </c>
      <c r="M3145" s="29" t="inlineStr">
        <is>
          <t>SUSURLUK</t>
        </is>
      </c>
    </row>
    <row r="3146">
      <c r="A3146" s="4" t="n">
        <v>3145</v>
      </c>
      <c r="B3146" s="4" t="inlineStr">
        <is>
          <t>00145</t>
        </is>
      </c>
      <c r="C3146" s="4" t="inlineStr">
        <is>
          <t>00145</t>
        </is>
      </c>
      <c r="D3146" s="29" t="inlineStr">
        <is>
          <t>RAMAZAN KÜÇÜKÇÇAKIR</t>
        </is>
      </c>
      <c r="E3146" s="4" t="inlineStr">
        <is>
          <t>Çarşamba</t>
        </is>
      </c>
      <c r="F3146" s="4" t="inlineStr">
        <is>
          <t>7.10.2026</t>
        </is>
      </c>
      <c r="G3146" s="4" t="inlineStr">
        <is>
          <t>07:57</t>
        </is>
      </c>
      <c r="H3146" s="4" t="inlineStr">
        <is>
          <t>7.10.2026</t>
        </is>
      </c>
      <c r="I3146" s="4" t="inlineStr">
        <is>
          <t>16:58</t>
        </is>
      </c>
      <c r="J3146" s="8" t="n">
        <v>7.5</v>
      </c>
      <c r="K3146" s="8" t="n">
        <v>7.5</v>
      </c>
      <c r="L3146" s="8" t="n">
        <v>0</v>
      </c>
      <c r="M3146" s="29" t="inlineStr">
        <is>
          <t>SUSURLUK</t>
        </is>
      </c>
    </row>
    <row r="3147">
      <c r="A3147" s="4" t="n">
        <v>3146</v>
      </c>
      <c r="B3147" s="4" t="inlineStr">
        <is>
          <t>00145</t>
        </is>
      </c>
      <c r="C3147" s="4" t="inlineStr">
        <is>
          <t>00145</t>
        </is>
      </c>
      <c r="D3147" s="29" t="inlineStr">
        <is>
          <t>RAMAZAN KÜÇÜKÇÇAKIR</t>
        </is>
      </c>
      <c r="E3147" s="4" t="inlineStr">
        <is>
          <t>Perşembe</t>
        </is>
      </c>
      <c r="F3147" s="4" t="inlineStr">
        <is>
          <t>8.10.2026</t>
        </is>
      </c>
      <c r="G3147" s="4" t="inlineStr">
        <is>
          <t>07:58</t>
        </is>
      </c>
      <c r="H3147" s="4" t="inlineStr">
        <is>
          <t>8.10.2026</t>
        </is>
      </c>
      <c r="I3147" s="4" t="inlineStr">
        <is>
          <t>16:51</t>
        </is>
      </c>
      <c r="J3147" s="8" t="n">
        <v>7.5</v>
      </c>
      <c r="K3147" s="8" t="n">
        <v>7.5</v>
      </c>
      <c r="L3147" s="8" t="n">
        <v>0</v>
      </c>
      <c r="M3147" s="29" t="inlineStr">
        <is>
          <t>SUSURLUK</t>
        </is>
      </c>
    </row>
    <row r="3148">
      <c r="A3148" s="4" t="n">
        <v>3147</v>
      </c>
      <c r="B3148" s="4" t="inlineStr">
        <is>
          <t>00145</t>
        </is>
      </c>
      <c r="C3148" s="4" t="inlineStr">
        <is>
          <t>00145</t>
        </is>
      </c>
      <c r="D3148" s="29" t="inlineStr">
        <is>
          <t>RAMAZAN KÜÇÜKÇÇAKIR</t>
        </is>
      </c>
      <c r="E3148" s="4" t="inlineStr">
        <is>
          <t>Cuma</t>
        </is>
      </c>
      <c r="F3148" s="4" t="inlineStr">
        <is>
          <t>9.10.2026</t>
        </is>
      </c>
      <c r="G3148" s="4" t="inlineStr">
        <is>
          <t>08:09</t>
        </is>
      </c>
      <c r="H3148" s="4" t="inlineStr">
        <is>
          <t>9.10.2026</t>
        </is>
      </c>
      <c r="I3148" s="4" t="inlineStr">
        <is>
          <t>16:53</t>
        </is>
      </c>
      <c r="J3148" s="8" t="n">
        <v>7.5</v>
      </c>
      <c r="K3148" s="8" t="n">
        <v>7.5</v>
      </c>
      <c r="L3148" s="8" t="n">
        <v>0</v>
      </c>
      <c r="M3148" s="29" t="inlineStr">
        <is>
          <t>SUSURLUK</t>
        </is>
      </c>
    </row>
    <row r="3149">
      <c r="A3149" s="4" t="n">
        <v>3148</v>
      </c>
      <c r="B3149" s="4" t="inlineStr">
        <is>
          <t>00145</t>
        </is>
      </c>
      <c r="C3149" s="4" t="inlineStr">
        <is>
          <t>00145</t>
        </is>
      </c>
      <c r="D3149" s="29" t="inlineStr">
        <is>
          <t>RAMAZAN KÜÇÜKÇÇAKIR</t>
        </is>
      </c>
      <c r="E3149" s="4" t="inlineStr">
        <is>
          <t>Cumartesi</t>
        </is>
      </c>
      <c r="F3149" s="4" t="inlineStr">
        <is>
          <t>10.10.2026</t>
        </is>
      </c>
      <c r="G3149" s="4" t="inlineStr">
        <is>
          <t>07:56</t>
        </is>
      </c>
      <c r="H3149" s="4" t="inlineStr">
        <is>
          <t>10.10.2026</t>
        </is>
      </c>
      <c r="I3149" s="4" t="inlineStr">
        <is>
          <t>16:53</t>
        </is>
      </c>
      <c r="J3149" s="8" t="n">
        <v>7.5</v>
      </c>
      <c r="K3149" s="8" t="n">
        <v>7.5</v>
      </c>
      <c r="L3149" s="8" t="n">
        <v>0</v>
      </c>
      <c r="M3149" s="29" t="inlineStr">
        <is>
          <t>SUSURLUK</t>
        </is>
      </c>
    </row>
    <row r="3150">
      <c r="A3150" s="4" t="n">
        <v>3149</v>
      </c>
      <c r="B3150" s="4" t="inlineStr">
        <is>
          <t>00145</t>
        </is>
      </c>
      <c r="C3150" s="4" t="inlineStr">
        <is>
          <t>00145</t>
        </is>
      </c>
      <c r="D3150" s="29" t="inlineStr">
        <is>
          <t>RAMAZAN KÜÇÜKÇÇAKIR</t>
        </is>
      </c>
      <c r="E3150" s="4" t="inlineStr">
        <is>
          <t>Pazar</t>
        </is>
      </c>
      <c r="F3150" s="4" t="inlineStr">
        <is>
          <t>11.10.2026</t>
        </is>
      </c>
      <c r="G3150" s="4" t="inlineStr">
        <is>
          <t>07:41</t>
        </is>
      </c>
      <c r="H3150" s="4" t="inlineStr">
        <is>
          <t>11.10.2026</t>
        </is>
      </c>
      <c r="I3150" s="4" t="inlineStr">
        <is>
          <t>15:52</t>
        </is>
      </c>
      <c r="J3150" s="8" t="n">
        <v>7.5</v>
      </c>
      <c r="K3150" s="8" t="n">
        <v>7.5</v>
      </c>
      <c r="L3150" s="8" t="n">
        <v>0</v>
      </c>
      <c r="M3150" s="29" t="inlineStr">
        <is>
          <t>SUSURLUK</t>
        </is>
      </c>
    </row>
    <row r="3151">
      <c r="A3151" s="4" t="n">
        <v>3150</v>
      </c>
      <c r="B3151" s="4" t="inlineStr">
        <is>
          <t>00145</t>
        </is>
      </c>
      <c r="C3151" s="4" t="inlineStr">
        <is>
          <t>00145</t>
        </is>
      </c>
      <c r="D3151" s="29" t="inlineStr">
        <is>
          <t>RAMAZAN KÜÇÜKÇÇAKIR</t>
        </is>
      </c>
      <c r="E3151" s="4" t="inlineStr">
        <is>
          <t>Pazartesi</t>
        </is>
      </c>
      <c r="F3151" s="4" t="inlineStr">
        <is>
          <t>12.10.2026</t>
        </is>
      </c>
      <c r="G3151" s="4" t="inlineStr">
        <is>
          <t>07:56</t>
        </is>
      </c>
      <c r="H3151" s="4" t="inlineStr">
        <is>
          <t>12.10.2026</t>
        </is>
      </c>
      <c r="I3151" s="4" t="inlineStr">
        <is>
          <t>16:55</t>
        </is>
      </c>
      <c r="J3151" s="8" t="n">
        <v>7.5</v>
      </c>
      <c r="K3151" s="8" t="n">
        <v>7.5</v>
      </c>
      <c r="L3151" s="8" t="n">
        <v>0</v>
      </c>
      <c r="M3151" s="29" t="inlineStr">
        <is>
          <t>SUSURLUK</t>
        </is>
      </c>
    </row>
    <row r="3152">
      <c r="A3152" s="4" t="n">
        <v>3151</v>
      </c>
      <c r="B3152" s="4" t="inlineStr">
        <is>
          <t>00145</t>
        </is>
      </c>
      <c r="C3152" s="4" t="inlineStr">
        <is>
          <t>00145</t>
        </is>
      </c>
      <c r="D3152" s="29" t="inlineStr">
        <is>
          <t>RAMAZAN KÜÇÜKÇÇAKIR</t>
        </is>
      </c>
      <c r="E3152" s="4" t="inlineStr">
        <is>
          <t>Salı</t>
        </is>
      </c>
      <c r="F3152" s="4" t="inlineStr">
        <is>
          <t>13.10.2026</t>
        </is>
      </c>
      <c r="G3152" s="4" t="inlineStr">
        <is>
          <t>07:43</t>
        </is>
      </c>
      <c r="H3152" s="4" t="inlineStr">
        <is>
          <t>13.10.2026</t>
        </is>
      </c>
      <c r="I3152" s="4" t="inlineStr">
        <is>
          <t>16:53</t>
        </is>
      </c>
      <c r="J3152" s="8" t="n">
        <v>7.5</v>
      </c>
      <c r="K3152" s="8" t="n">
        <v>7.5</v>
      </c>
      <c r="L3152" s="8" t="n">
        <v>0</v>
      </c>
      <c r="M3152" s="29" t="inlineStr">
        <is>
          <t>SUSURLUK</t>
        </is>
      </c>
    </row>
    <row r="3153">
      <c r="A3153" s="4" t="n">
        <v>3152</v>
      </c>
      <c r="B3153" s="4" t="inlineStr">
        <is>
          <t>00145</t>
        </is>
      </c>
      <c r="C3153" s="4" t="inlineStr">
        <is>
          <t>00145</t>
        </is>
      </c>
      <c r="D3153" s="29" t="inlineStr">
        <is>
          <t>RAMAZAN KÜÇÜKÇÇAKIR</t>
        </is>
      </c>
      <c r="E3153" s="4" t="inlineStr">
        <is>
          <t>Çarşamba</t>
        </is>
      </c>
      <c r="F3153" s="4" t="inlineStr">
        <is>
          <t>14.10.2026</t>
        </is>
      </c>
      <c r="G3153" s="4" t="inlineStr">
        <is>
          <t>08:42</t>
        </is>
      </c>
      <c r="H3153" s="4" t="inlineStr">
        <is>
          <t>14.10.2026</t>
        </is>
      </c>
      <c r="I3153" s="4" t="inlineStr">
        <is>
          <t>16:55</t>
        </is>
      </c>
      <c r="J3153" s="8" t="n">
        <v>7</v>
      </c>
      <c r="K3153" s="8" t="n">
        <v>7</v>
      </c>
      <c r="L3153" s="8" t="n">
        <v>0</v>
      </c>
      <c r="M3153" s="29" t="inlineStr">
        <is>
          <t>SUSURLUK</t>
        </is>
      </c>
    </row>
    <row r="3154">
      <c r="A3154" s="4" t="n">
        <v>3153</v>
      </c>
      <c r="B3154" s="4" t="inlineStr">
        <is>
          <t>00145</t>
        </is>
      </c>
      <c r="C3154" s="4" t="inlineStr">
        <is>
          <t>00145</t>
        </is>
      </c>
      <c r="D3154" s="29" t="inlineStr">
        <is>
          <t>RAMAZAN KÜÇÜKÇÇAKIR</t>
        </is>
      </c>
      <c r="E3154" s="4" t="inlineStr">
        <is>
          <t>Perşembe</t>
        </is>
      </c>
      <c r="F3154" s="4" t="inlineStr">
        <is>
          <t>15.10.2026</t>
        </is>
      </c>
      <c r="G3154" s="4" t="inlineStr">
        <is>
          <t>07:53</t>
        </is>
      </c>
      <c r="H3154" s="4" t="inlineStr">
        <is>
          <t>15.10.2026</t>
        </is>
      </c>
      <c r="I3154" s="4" t="inlineStr">
        <is>
          <t>17:00</t>
        </is>
      </c>
      <c r="J3154" s="8" t="n">
        <v>7.5</v>
      </c>
      <c r="K3154" s="8" t="n">
        <v>7.5</v>
      </c>
      <c r="L3154" s="8" t="n">
        <v>0</v>
      </c>
      <c r="M3154" s="29" t="inlineStr">
        <is>
          <t>SUSURLUK</t>
        </is>
      </c>
    </row>
    <row r="3155">
      <c r="A3155" s="4" t="n">
        <v>3154</v>
      </c>
      <c r="B3155" s="4" t="inlineStr">
        <is>
          <t>00145</t>
        </is>
      </c>
      <c r="C3155" s="4" t="inlineStr">
        <is>
          <t>00145</t>
        </is>
      </c>
      <c r="D3155" s="29" t="inlineStr">
        <is>
          <t>RAMAZAN KÜÇÜKÇÇAKIR</t>
        </is>
      </c>
      <c r="E3155" s="4" t="inlineStr">
        <is>
          <t>Cuma</t>
        </is>
      </c>
      <c r="F3155" s="4" t="inlineStr">
        <is>
          <t>16.10.2026</t>
        </is>
      </c>
      <c r="G3155" s="4" t="inlineStr">
        <is>
          <t>07:50</t>
        </is>
      </c>
      <c r="H3155" s="4" t="inlineStr">
        <is>
          <t>16.10.2026</t>
        </is>
      </c>
      <c r="I3155" s="4" t="inlineStr">
        <is>
          <t>17:28</t>
        </is>
      </c>
      <c r="J3155" s="8" t="n">
        <v>8</v>
      </c>
      <c r="K3155" s="8" t="n">
        <v>7.5</v>
      </c>
      <c r="L3155" s="8" t="n">
        <v>0.5</v>
      </c>
      <c r="M3155" s="29" t="inlineStr">
        <is>
          <t>SUSURLUK</t>
        </is>
      </c>
    </row>
    <row r="3156">
      <c r="A3156" s="4" t="n">
        <v>3155</v>
      </c>
      <c r="B3156" s="4" t="inlineStr">
        <is>
          <t>00145</t>
        </is>
      </c>
      <c r="C3156" s="4" t="inlineStr">
        <is>
          <t>00145</t>
        </is>
      </c>
      <c r="D3156" s="29" t="inlineStr">
        <is>
          <t>RAMAZAN KÜÇÜKÇÇAKIR</t>
        </is>
      </c>
      <c r="E3156" s="4" t="inlineStr">
        <is>
          <t>Cumartesi</t>
        </is>
      </c>
      <c r="F3156" s="4" t="inlineStr">
        <is>
          <t>17.10.2026</t>
        </is>
      </c>
      <c r="G3156" s="4" t="inlineStr">
        <is>
          <t>07:40</t>
        </is>
      </c>
      <c r="H3156" s="4" t="inlineStr">
        <is>
          <t>17.10.2026</t>
        </is>
      </c>
      <c r="I3156" s="4" t="inlineStr">
        <is>
          <t>16:51</t>
        </is>
      </c>
      <c r="J3156" s="8" t="n">
        <v>7.5</v>
      </c>
      <c r="K3156" s="8" t="n">
        <v>7.5</v>
      </c>
      <c r="L3156" s="8" t="n">
        <v>0</v>
      </c>
      <c r="M3156" s="29" t="inlineStr">
        <is>
          <t>SUSURLUK</t>
        </is>
      </c>
    </row>
    <row r="3157">
      <c r="A3157" s="4" t="n">
        <v>3156</v>
      </c>
      <c r="B3157" s="4" t="inlineStr">
        <is>
          <t>00145</t>
        </is>
      </c>
      <c r="C3157" s="4" t="inlineStr">
        <is>
          <t>00145</t>
        </is>
      </c>
      <c r="D3157" s="29" t="inlineStr">
        <is>
          <t>RAMAZAN KÜÇÜKÇÇAKIR</t>
        </is>
      </c>
      <c r="E3157" s="4" t="inlineStr">
        <is>
          <t>Pazar</t>
        </is>
      </c>
      <c r="F3157" s="4" t="inlineStr">
        <is>
          <t>18.10.2026</t>
        </is>
      </c>
      <c r="G3157" s="4" t="inlineStr">
        <is>
          <t>06:57</t>
        </is>
      </c>
      <c r="H3157" s="4" t="inlineStr">
        <is>
          <t>18.10.2026</t>
        </is>
      </c>
      <c r="I3157" s="4" t="inlineStr">
        <is>
          <t>15:53</t>
        </is>
      </c>
      <c r="J3157" s="8" t="n">
        <v>7.5</v>
      </c>
      <c r="K3157" s="8" t="n">
        <v>7.5</v>
      </c>
      <c r="L3157" s="8" t="n">
        <v>0</v>
      </c>
      <c r="M3157" s="29" t="inlineStr">
        <is>
          <t>SUSURLUK</t>
        </is>
      </c>
    </row>
    <row r="3158">
      <c r="A3158" s="4" t="n">
        <v>3157</v>
      </c>
      <c r="B3158" s="4" t="inlineStr">
        <is>
          <t>00145</t>
        </is>
      </c>
      <c r="C3158" s="4" t="inlineStr">
        <is>
          <t>00145</t>
        </is>
      </c>
      <c r="D3158" s="29" t="inlineStr">
        <is>
          <t>RAMAZAN KÜÇÜKÇÇAKIR</t>
        </is>
      </c>
      <c r="E3158" s="4" t="inlineStr">
        <is>
          <t>Pazartesi</t>
        </is>
      </c>
      <c r="F3158" s="4" t="inlineStr">
        <is>
          <t>19.10.2026</t>
        </is>
      </c>
      <c r="G3158" s="4" t="inlineStr">
        <is>
          <t>08:04</t>
        </is>
      </c>
      <c r="H3158" s="4" t="inlineStr">
        <is>
          <t>19.10.2026</t>
        </is>
      </c>
      <c r="I3158" s="4" t="inlineStr">
        <is>
          <t>16:01</t>
        </is>
      </c>
      <c r="J3158" s="8" t="n">
        <v>7.5</v>
      </c>
      <c r="K3158" s="8" t="n">
        <v>7.5</v>
      </c>
      <c r="L3158" s="8" t="n">
        <v>0</v>
      </c>
      <c r="M3158" s="29" t="inlineStr">
        <is>
          <t>SUSURLUK</t>
        </is>
      </c>
    </row>
    <row r="3159">
      <c r="A3159" s="4" t="n">
        <v>3158</v>
      </c>
      <c r="B3159" s="4" t="inlineStr">
        <is>
          <t>00145</t>
        </is>
      </c>
      <c r="C3159" s="4" t="inlineStr">
        <is>
          <t>00145</t>
        </is>
      </c>
      <c r="D3159" s="29" t="inlineStr">
        <is>
          <t>RAMAZAN KÜÇÜKÇÇAKIR</t>
        </is>
      </c>
      <c r="E3159" s="4" t="inlineStr">
        <is>
          <t>Salı</t>
        </is>
      </c>
      <c r="F3159" s="4" t="inlineStr">
        <is>
          <t>20.10.2026</t>
        </is>
      </c>
      <c r="G3159" s="4" t="inlineStr">
        <is>
          <t>07:54</t>
        </is>
      </c>
      <c r="H3159" s="4" t="inlineStr">
        <is>
          <t>20.10.2026</t>
        </is>
      </c>
      <c r="I3159" s="4" t="inlineStr">
        <is>
          <t>18:33</t>
        </is>
      </c>
      <c r="J3159" s="8" t="n">
        <v>9</v>
      </c>
      <c r="K3159" s="8" t="n">
        <v>7.5</v>
      </c>
      <c r="L3159" s="8" t="n">
        <v>1.5</v>
      </c>
      <c r="M3159" s="29" t="inlineStr">
        <is>
          <t>SUSURLUK</t>
        </is>
      </c>
    </row>
    <row r="3160">
      <c r="A3160" s="4" t="n">
        <v>3159</v>
      </c>
      <c r="B3160" s="4" t="inlineStr">
        <is>
          <t>00145</t>
        </is>
      </c>
      <c r="C3160" s="4" t="inlineStr">
        <is>
          <t>00145</t>
        </is>
      </c>
      <c r="D3160" s="29" t="inlineStr">
        <is>
          <t>RAMAZAN KÜÇÜKÇÇAKIR</t>
        </is>
      </c>
      <c r="E3160" s="4" t="inlineStr">
        <is>
          <t>Çarşamba</t>
        </is>
      </c>
      <c r="F3160" s="4" t="inlineStr">
        <is>
          <t>21.10.2026</t>
        </is>
      </c>
      <c r="G3160" s="4" t="inlineStr">
        <is>
          <t>07:45</t>
        </is>
      </c>
      <c r="H3160" s="4" t="inlineStr">
        <is>
          <t>21.10.2026</t>
        </is>
      </c>
      <c r="I3160" s="4" t="inlineStr">
        <is>
          <t>13:52</t>
        </is>
      </c>
      <c r="J3160" s="8" t="n">
        <v>4.5</v>
      </c>
      <c r="K3160" s="8" t="n">
        <v>4.5</v>
      </c>
      <c r="L3160" s="8" t="n">
        <v>0</v>
      </c>
      <c r="M3160" s="29" t="inlineStr">
        <is>
          <t>SUSURLUK</t>
        </is>
      </c>
    </row>
    <row r="3161">
      <c r="A3161" s="4" t="n">
        <v>3160</v>
      </c>
      <c r="B3161" s="4" t="inlineStr">
        <is>
          <t>01316</t>
        </is>
      </c>
      <c r="C3161" s="4" t="inlineStr">
        <is>
          <t>01316</t>
        </is>
      </c>
      <c r="D3161" s="29" t="inlineStr">
        <is>
          <t>RECEP İÇÖZ</t>
        </is>
      </c>
      <c r="E3161" s="4" t="inlineStr">
        <is>
          <t>Perşembe</t>
        </is>
      </c>
      <c r="F3161" s="4" t="inlineStr">
        <is>
          <t>1.10.2026</t>
        </is>
      </c>
      <c r="G3161" s="4" t="inlineStr">
        <is>
          <t>07:39</t>
        </is>
      </c>
      <c r="H3161" s="4" t="inlineStr">
        <is>
          <t>1.10.2026</t>
        </is>
      </c>
      <c r="I3161" s="4" t="inlineStr">
        <is>
          <t>17:00</t>
        </is>
      </c>
      <c r="J3161" s="8" t="n">
        <v>7.5</v>
      </c>
      <c r="K3161" s="8" t="n">
        <v>7.5</v>
      </c>
      <c r="L3161" s="8" t="n">
        <v>0</v>
      </c>
      <c r="M3161" s="29" t="inlineStr">
        <is>
          <t>GÖBEL</t>
        </is>
      </c>
    </row>
    <row r="3162">
      <c r="A3162" s="4" t="n">
        <v>3161</v>
      </c>
      <c r="B3162" s="4" t="inlineStr">
        <is>
          <t>01316</t>
        </is>
      </c>
      <c r="C3162" s="4" t="inlineStr">
        <is>
          <t>01316</t>
        </is>
      </c>
      <c r="D3162" s="29" t="inlineStr">
        <is>
          <t>RECEP İÇÖZ</t>
        </is>
      </c>
      <c r="E3162" s="4" t="inlineStr">
        <is>
          <t>Cuma</t>
        </is>
      </c>
      <c r="F3162" s="4" t="inlineStr">
        <is>
          <t>2.10.2026</t>
        </is>
      </c>
      <c r="G3162" s="4" t="inlineStr">
        <is>
          <t>07:38</t>
        </is>
      </c>
      <c r="H3162" s="4" t="inlineStr">
        <is>
          <t>2.10.2026</t>
        </is>
      </c>
      <c r="I3162" s="4" t="inlineStr">
        <is>
          <t>16:58</t>
        </is>
      </c>
      <c r="J3162" s="8" t="n">
        <v>7.5</v>
      </c>
      <c r="K3162" s="8" t="n">
        <v>7.5</v>
      </c>
      <c r="L3162" s="8" t="n">
        <v>0</v>
      </c>
      <c r="M3162" s="29" t="inlineStr">
        <is>
          <t>GÖBEL</t>
        </is>
      </c>
    </row>
    <row r="3163">
      <c r="A3163" s="4" t="n">
        <v>3162</v>
      </c>
      <c r="B3163" s="4" t="inlineStr">
        <is>
          <t>01316</t>
        </is>
      </c>
      <c r="C3163" s="4" t="inlineStr">
        <is>
          <t>01316</t>
        </is>
      </c>
      <c r="D3163" s="29" t="inlineStr">
        <is>
          <t>RECEP İÇÖZ</t>
        </is>
      </c>
      <c r="E3163" s="4" t="inlineStr">
        <is>
          <t>Cumartesi</t>
        </is>
      </c>
      <c r="F3163" s="4" t="inlineStr">
        <is>
          <t>3.10.2026</t>
        </is>
      </c>
      <c r="G3163" s="4" t="inlineStr">
        <is>
          <t>07:41</t>
        </is>
      </c>
      <c r="H3163" s="4" t="inlineStr">
        <is>
          <t>3.10.2026</t>
        </is>
      </c>
      <c r="I3163" s="4" t="inlineStr">
        <is>
          <t>16:58</t>
        </is>
      </c>
      <c r="J3163" s="8" t="n">
        <v>7.5</v>
      </c>
      <c r="K3163" s="8" t="n">
        <v>7.5</v>
      </c>
      <c r="L3163" s="8" t="n">
        <v>0</v>
      </c>
      <c r="M3163" s="29" t="inlineStr">
        <is>
          <t>GÖBEL</t>
        </is>
      </c>
    </row>
    <row r="3164">
      <c r="A3164" s="4" t="n">
        <v>3163</v>
      </c>
      <c r="B3164" s="4" t="inlineStr">
        <is>
          <t>01316</t>
        </is>
      </c>
      <c r="C3164" s="4" t="inlineStr">
        <is>
          <t>01316</t>
        </is>
      </c>
      <c r="D3164" s="29" t="inlineStr">
        <is>
          <t>RECEP İÇÖZ</t>
        </is>
      </c>
      <c r="E3164" s="4" t="inlineStr">
        <is>
          <t>Pazar</t>
        </is>
      </c>
      <c r="F3164" s="4" t="inlineStr">
        <is>
          <t>4.10.2026</t>
        </is>
      </c>
      <c r="G3164" s="4" t="inlineStr">
        <is>
          <t>07:41</t>
        </is>
      </c>
      <c r="H3164" s="4" t="inlineStr">
        <is>
          <t>4.10.2026</t>
        </is>
      </c>
      <c r="I3164" s="4" t="inlineStr">
        <is>
          <t>16:54</t>
        </is>
      </c>
      <c r="J3164" s="8" t="n">
        <v>7.5</v>
      </c>
      <c r="K3164" s="8" t="n">
        <v>7.5</v>
      </c>
      <c r="L3164" s="8" t="n">
        <v>0</v>
      </c>
      <c r="M3164" s="29" t="inlineStr">
        <is>
          <t>GÖBEL</t>
        </is>
      </c>
    </row>
    <row r="3165">
      <c r="A3165" s="4" t="n">
        <v>3164</v>
      </c>
      <c r="B3165" s="4" t="inlineStr">
        <is>
          <t>01316</t>
        </is>
      </c>
      <c r="C3165" s="4" t="inlineStr">
        <is>
          <t>01316</t>
        </is>
      </c>
      <c r="D3165" s="29" t="inlineStr">
        <is>
          <t>RECEP İÇÖZ</t>
        </is>
      </c>
      <c r="E3165" s="4" t="inlineStr">
        <is>
          <t>Pazartesi</t>
        </is>
      </c>
      <c r="F3165" s="4" t="inlineStr">
        <is>
          <t>5.10.2026</t>
        </is>
      </c>
      <c r="G3165" s="4" t="inlineStr">
        <is>
          <t>07:45</t>
        </is>
      </c>
      <c r="H3165" s="4" t="inlineStr">
        <is>
          <t>5.10.2026</t>
        </is>
      </c>
      <c r="I3165" s="4" t="inlineStr">
        <is>
          <t>13:33</t>
        </is>
      </c>
      <c r="J3165" s="8" t="n">
        <v>4</v>
      </c>
      <c r="K3165" s="8" t="n">
        <v>4</v>
      </c>
      <c r="L3165" s="8" t="n">
        <v>0</v>
      </c>
      <c r="M3165" s="29" t="inlineStr">
        <is>
          <t>GÖBEL</t>
        </is>
      </c>
    </row>
    <row r="3166">
      <c r="A3166" s="4" t="n">
        <v>3165</v>
      </c>
      <c r="B3166" s="4" t="inlineStr">
        <is>
          <t>01316</t>
        </is>
      </c>
      <c r="C3166" s="4" t="inlineStr">
        <is>
          <t>01316</t>
        </is>
      </c>
      <c r="D3166" s="29" t="inlineStr">
        <is>
          <t>RECEP İÇÖZ</t>
        </is>
      </c>
      <c r="E3166" s="4" t="inlineStr">
        <is>
          <t>Salı</t>
        </is>
      </c>
      <c r="F3166" s="4" t="inlineStr">
        <is>
          <t>6.10.2026</t>
        </is>
      </c>
      <c r="G3166" s="4" t="inlineStr">
        <is>
          <t>07:40</t>
        </is>
      </c>
      <c r="H3166" s="4" t="inlineStr">
        <is>
          <t>6.10.2026</t>
        </is>
      </c>
      <c r="I3166" s="4" t="inlineStr">
        <is>
          <t>18:22</t>
        </is>
      </c>
      <c r="J3166" s="8" t="n">
        <v>9</v>
      </c>
      <c r="K3166" s="8" t="n">
        <v>7.5</v>
      </c>
      <c r="L3166" s="8" t="n">
        <v>1.5</v>
      </c>
      <c r="M3166" s="29" t="inlineStr">
        <is>
          <t>GÖBEL</t>
        </is>
      </c>
    </row>
    <row r="3167">
      <c r="A3167" s="4" t="n">
        <v>3166</v>
      </c>
      <c r="B3167" s="4" t="inlineStr">
        <is>
          <t>01316</t>
        </is>
      </c>
      <c r="C3167" s="4" t="inlineStr">
        <is>
          <t>01316</t>
        </is>
      </c>
      <c r="D3167" s="29" t="inlineStr">
        <is>
          <t>RECEP İÇÖZ</t>
        </is>
      </c>
      <c r="E3167" s="4" t="inlineStr">
        <is>
          <t>Çarşamba</t>
        </is>
      </c>
      <c r="F3167" s="4" t="inlineStr">
        <is>
          <t>7.10.2026</t>
        </is>
      </c>
      <c r="G3167" s="4" t="inlineStr">
        <is>
          <t>07:51</t>
        </is>
      </c>
      <c r="H3167" s="4" t="inlineStr">
        <is>
          <t>7.10.2026</t>
        </is>
      </c>
      <c r="I3167" s="4" t="inlineStr">
        <is>
          <t>16:56</t>
        </is>
      </c>
      <c r="J3167" s="8" t="n">
        <v>7.5</v>
      </c>
      <c r="K3167" s="8" t="n">
        <v>7.5</v>
      </c>
      <c r="L3167" s="8" t="n">
        <v>0</v>
      </c>
      <c r="M3167" s="29" t="inlineStr">
        <is>
          <t>GÖBEL</t>
        </is>
      </c>
    </row>
    <row r="3168">
      <c r="A3168" s="4" t="n">
        <v>3167</v>
      </c>
      <c r="B3168" s="4" t="inlineStr">
        <is>
          <t>01316</t>
        </is>
      </c>
      <c r="C3168" s="4" t="inlineStr">
        <is>
          <t>01316</t>
        </is>
      </c>
      <c r="D3168" s="29" t="inlineStr">
        <is>
          <t>RECEP İÇÖZ</t>
        </is>
      </c>
      <c r="E3168" s="4" t="inlineStr">
        <is>
          <t>Perşembe</t>
        </is>
      </c>
      <c r="F3168" s="4" t="inlineStr">
        <is>
          <t>8.10.2026</t>
        </is>
      </c>
      <c r="G3168" s="4" t="inlineStr">
        <is>
          <t>07:41</t>
        </is>
      </c>
      <c r="H3168" s="4" t="inlineStr">
        <is>
          <t>8.10.2026</t>
        </is>
      </c>
      <c r="I3168" s="4" t="inlineStr">
        <is>
          <t>16:54</t>
        </is>
      </c>
      <c r="J3168" s="8" t="n">
        <v>7.5</v>
      </c>
      <c r="K3168" s="8" t="n">
        <v>7.5</v>
      </c>
      <c r="L3168" s="8" t="n">
        <v>0</v>
      </c>
      <c r="M3168" s="29" t="inlineStr">
        <is>
          <t>GÖBEL</t>
        </is>
      </c>
    </row>
    <row r="3169">
      <c r="A3169" s="4" t="n">
        <v>3168</v>
      </c>
      <c r="B3169" s="4" t="inlineStr">
        <is>
          <t>01316</t>
        </is>
      </c>
      <c r="C3169" s="4" t="inlineStr">
        <is>
          <t>01316</t>
        </is>
      </c>
      <c r="D3169" s="29" t="inlineStr">
        <is>
          <t>RECEP İÇÖZ</t>
        </is>
      </c>
      <c r="E3169" s="4" t="inlineStr">
        <is>
          <t>Cuma</t>
        </is>
      </c>
      <c r="F3169" s="4" t="inlineStr">
        <is>
          <t>9.10.2026</t>
        </is>
      </c>
      <c r="G3169" s="4" t="inlineStr">
        <is>
          <t>07:43</t>
        </is>
      </c>
      <c r="H3169" s="4" t="inlineStr">
        <is>
          <t>9.10.2026</t>
        </is>
      </c>
      <c r="I3169" s="4" t="inlineStr">
        <is>
          <t>16:56</t>
        </is>
      </c>
      <c r="J3169" s="8" t="n">
        <v>7.5</v>
      </c>
      <c r="K3169" s="8" t="n">
        <v>7.5</v>
      </c>
      <c r="L3169" s="8" t="n">
        <v>0</v>
      </c>
      <c r="M3169" s="29" t="inlineStr">
        <is>
          <t>GÖBEL</t>
        </is>
      </c>
    </row>
    <row r="3170">
      <c r="A3170" s="4" t="n">
        <v>3169</v>
      </c>
      <c r="B3170" s="4" t="inlineStr">
        <is>
          <t>01316</t>
        </is>
      </c>
      <c r="C3170" s="4" t="inlineStr">
        <is>
          <t>01316</t>
        </is>
      </c>
      <c r="D3170" s="29" t="inlineStr">
        <is>
          <t>RECEP İÇÖZ</t>
        </is>
      </c>
      <c r="E3170" s="4" t="inlineStr">
        <is>
          <t>Cumartesi</t>
        </is>
      </c>
      <c r="F3170" s="4" t="inlineStr">
        <is>
          <t>10.10.2026</t>
        </is>
      </c>
      <c r="G3170" s="4" t="inlineStr">
        <is>
          <t>07:55</t>
        </is>
      </c>
      <c r="H3170" s="4" t="inlineStr">
        <is>
          <t>10.10.2026</t>
        </is>
      </c>
      <c r="I3170" s="4" t="inlineStr">
        <is>
          <t>16:54</t>
        </is>
      </c>
      <c r="J3170" s="8" t="n">
        <v>7.5</v>
      </c>
      <c r="K3170" s="8" t="n">
        <v>7.5</v>
      </c>
      <c r="L3170" s="8" t="n">
        <v>0</v>
      </c>
      <c r="M3170" s="29" t="inlineStr">
        <is>
          <t>GÖBEL</t>
        </is>
      </c>
    </row>
    <row r="3171">
      <c r="A3171" s="4" t="n">
        <v>3170</v>
      </c>
      <c r="B3171" s="4" t="inlineStr">
        <is>
          <t>01316</t>
        </is>
      </c>
      <c r="C3171" s="4" t="inlineStr">
        <is>
          <t>01316</t>
        </is>
      </c>
      <c r="D3171" s="29" t="inlineStr">
        <is>
          <t>RECEP İÇÖZ</t>
        </is>
      </c>
      <c r="E3171" s="4" t="inlineStr">
        <is>
          <t>Pazar</t>
        </is>
      </c>
      <c r="F3171" s="4" t="inlineStr">
        <is>
          <t>11.10.2026</t>
        </is>
      </c>
      <c r="G3171" s="4" t="inlineStr">
        <is>
          <t>07:49</t>
        </is>
      </c>
      <c r="H3171" s="4" t="inlineStr">
        <is>
          <t>11.10.2026</t>
        </is>
      </c>
      <c r="I3171" s="4" t="inlineStr">
        <is>
          <t>16:58</t>
        </is>
      </c>
      <c r="J3171" s="8" t="n">
        <v>7.5</v>
      </c>
      <c r="K3171" s="8" t="n">
        <v>7.5</v>
      </c>
      <c r="L3171" s="8" t="n">
        <v>0</v>
      </c>
      <c r="M3171" s="29" t="inlineStr">
        <is>
          <t>GÖBEL</t>
        </is>
      </c>
    </row>
    <row r="3172">
      <c r="A3172" s="4" t="n">
        <v>3171</v>
      </c>
      <c r="B3172" s="4" t="inlineStr">
        <is>
          <t>01316</t>
        </is>
      </c>
      <c r="C3172" s="4" t="inlineStr">
        <is>
          <t>01316</t>
        </is>
      </c>
      <c r="D3172" s="29" t="inlineStr">
        <is>
          <t>RECEP İÇÖZ</t>
        </is>
      </c>
      <c r="E3172" s="4" t="inlineStr">
        <is>
          <t>Pazartesi</t>
        </is>
      </c>
      <c r="F3172" s="4" t="inlineStr">
        <is>
          <t>12.10.2026</t>
        </is>
      </c>
      <c r="G3172" s="4" t="inlineStr">
        <is>
          <t>07:41</t>
        </is>
      </c>
      <c r="H3172" s="4" t="inlineStr">
        <is>
          <t>12.10.2026</t>
        </is>
      </c>
      <c r="I3172" s="4" t="inlineStr">
        <is>
          <t>12:12</t>
        </is>
      </c>
      <c r="J3172" s="8" t="n">
        <v>4</v>
      </c>
      <c r="K3172" s="8" t="n">
        <v>4</v>
      </c>
      <c r="L3172" s="8" t="n">
        <v>0</v>
      </c>
      <c r="M3172" s="29" t="inlineStr">
        <is>
          <t>GÖBEL</t>
        </is>
      </c>
    </row>
    <row r="3173">
      <c r="A3173" s="4" t="n">
        <v>3172</v>
      </c>
      <c r="B3173" s="4" t="inlineStr">
        <is>
          <t>01316</t>
        </is>
      </c>
      <c r="C3173" s="4" t="inlineStr">
        <is>
          <t>01316</t>
        </is>
      </c>
      <c r="D3173" s="29" t="inlineStr">
        <is>
          <t>RECEP İÇÖZ</t>
        </is>
      </c>
      <c r="E3173" s="4" t="inlineStr">
        <is>
          <t>Salı</t>
        </is>
      </c>
      <c r="F3173" s="4" t="inlineStr">
        <is>
          <t>13.10.2026</t>
        </is>
      </c>
      <c r="G3173" s="4" t="inlineStr">
        <is>
          <t>07:41</t>
        </is>
      </c>
      <c r="H3173" s="4" t="inlineStr">
        <is>
          <t>13.10.2026</t>
        </is>
      </c>
      <c r="I3173" s="4" t="inlineStr">
        <is>
          <t>16:52</t>
        </is>
      </c>
      <c r="J3173" s="8" t="n">
        <v>7.5</v>
      </c>
      <c r="K3173" s="8" t="n">
        <v>7.5</v>
      </c>
      <c r="L3173" s="8" t="n">
        <v>0</v>
      </c>
      <c r="M3173" s="29" t="inlineStr">
        <is>
          <t>GÖBEL</t>
        </is>
      </c>
    </row>
    <row r="3174">
      <c r="A3174" s="4" t="n">
        <v>3173</v>
      </c>
      <c r="B3174" s="4" t="inlineStr">
        <is>
          <t>01316</t>
        </is>
      </c>
      <c r="C3174" s="4" t="inlineStr">
        <is>
          <t>01316</t>
        </is>
      </c>
      <c r="D3174" s="29" t="inlineStr">
        <is>
          <t>RECEP İÇÖZ</t>
        </is>
      </c>
      <c r="E3174" s="4" t="inlineStr">
        <is>
          <t>Çarşamba</t>
        </is>
      </c>
      <c r="F3174" s="4" t="inlineStr">
        <is>
          <t>14.10.2026</t>
        </is>
      </c>
      <c r="G3174" s="4" t="inlineStr">
        <is>
          <t>07:40</t>
        </is>
      </c>
      <c r="H3174" s="4" t="inlineStr">
        <is>
          <t>14.10.2026</t>
        </is>
      </c>
      <c r="I3174" s="4" t="inlineStr">
        <is>
          <t>16:56</t>
        </is>
      </c>
      <c r="J3174" s="8" t="n">
        <v>7.5</v>
      </c>
      <c r="K3174" s="8" t="n">
        <v>7.5</v>
      </c>
      <c r="L3174" s="8" t="n">
        <v>0</v>
      </c>
      <c r="M3174" s="29" t="inlineStr">
        <is>
          <t>GÖBEL</t>
        </is>
      </c>
    </row>
    <row r="3175">
      <c r="A3175" s="4" t="n">
        <v>3174</v>
      </c>
      <c r="B3175" s="4" t="inlineStr">
        <is>
          <t>01316</t>
        </is>
      </c>
      <c r="C3175" s="4" t="inlineStr">
        <is>
          <t>01316</t>
        </is>
      </c>
      <c r="D3175" s="29" t="inlineStr">
        <is>
          <t>RECEP İÇÖZ</t>
        </is>
      </c>
      <c r="E3175" s="4" t="inlineStr">
        <is>
          <t>Perşembe</t>
        </is>
      </c>
      <c r="F3175" s="4" t="inlineStr">
        <is>
          <t>15.10.2026</t>
        </is>
      </c>
      <c r="G3175" s="4" t="inlineStr">
        <is>
          <t>09:11</t>
        </is>
      </c>
      <c r="H3175" s="4" t="inlineStr">
        <is>
          <t>15.10.2026</t>
        </is>
      </c>
      <c r="I3175" s="4" t="inlineStr">
        <is>
          <t>16:54</t>
        </is>
      </c>
      <c r="J3175" s="8" t="n">
        <v>6.5</v>
      </c>
      <c r="K3175" s="8" t="n">
        <v>6.5</v>
      </c>
      <c r="L3175" s="8" t="n">
        <v>0</v>
      </c>
      <c r="M3175" s="29" t="inlineStr">
        <is>
          <t>GÖBEL</t>
        </is>
      </c>
    </row>
    <row r="3176">
      <c r="A3176" s="4" t="n">
        <v>3175</v>
      </c>
      <c r="B3176" s="4" t="inlineStr">
        <is>
          <t>01316</t>
        </is>
      </c>
      <c r="C3176" s="4" t="inlineStr">
        <is>
          <t>01316</t>
        </is>
      </c>
      <c r="D3176" s="29" t="inlineStr">
        <is>
          <t>RECEP İÇÖZ</t>
        </is>
      </c>
      <c r="E3176" s="4" t="inlineStr">
        <is>
          <t>Cuma</t>
        </is>
      </c>
      <c r="F3176" s="4" t="inlineStr">
        <is>
          <t>16.10.2026</t>
        </is>
      </c>
      <c r="G3176" s="4" t="inlineStr">
        <is>
          <t>07:41</t>
        </is>
      </c>
      <c r="H3176" s="4" t="inlineStr">
        <is>
          <t>16.10.2026</t>
        </is>
      </c>
      <c r="I3176" s="4" t="inlineStr">
        <is>
          <t>16:58</t>
        </is>
      </c>
      <c r="J3176" s="8" t="n">
        <v>7.5</v>
      </c>
      <c r="K3176" s="8" t="n">
        <v>7.5</v>
      </c>
      <c r="L3176" s="8" t="n">
        <v>0</v>
      </c>
      <c r="M3176" s="29" t="inlineStr">
        <is>
          <t>GÖBEL</t>
        </is>
      </c>
    </row>
    <row r="3177">
      <c r="A3177" s="4" t="n">
        <v>3176</v>
      </c>
      <c r="B3177" s="4" t="inlineStr">
        <is>
          <t>01316</t>
        </is>
      </c>
      <c r="C3177" s="4" t="inlineStr">
        <is>
          <t>01316</t>
        </is>
      </c>
      <c r="D3177" s="29" t="inlineStr">
        <is>
          <t>RECEP İÇÖZ</t>
        </is>
      </c>
      <c r="E3177" s="4" t="inlineStr">
        <is>
          <t>Cumartesi</t>
        </is>
      </c>
      <c r="F3177" s="4" t="inlineStr">
        <is>
          <t>17.10.2026</t>
        </is>
      </c>
      <c r="G3177" s="4" t="inlineStr">
        <is>
          <t>07:37</t>
        </is>
      </c>
      <c r="H3177" s="4" t="inlineStr">
        <is>
          <t>17.10.2026</t>
        </is>
      </c>
      <c r="I3177" s="4" t="inlineStr">
        <is>
          <t>16:54</t>
        </is>
      </c>
      <c r="J3177" s="8" t="n">
        <v>7.5</v>
      </c>
      <c r="K3177" s="8" t="n">
        <v>7.5</v>
      </c>
      <c r="L3177" s="8" t="n">
        <v>0</v>
      </c>
      <c r="M3177" s="29" t="inlineStr">
        <is>
          <t>GÖBEL</t>
        </is>
      </c>
    </row>
    <row r="3178">
      <c r="A3178" s="4" t="n">
        <v>3177</v>
      </c>
      <c r="B3178" s="4" t="inlineStr">
        <is>
          <t>01316</t>
        </is>
      </c>
      <c r="C3178" s="4" t="inlineStr">
        <is>
          <t>01316</t>
        </is>
      </c>
      <c r="D3178" s="29" t="inlineStr">
        <is>
          <t>RECEP İÇÖZ</t>
        </is>
      </c>
      <c r="E3178" s="4" t="inlineStr">
        <is>
          <t>Pazar</t>
        </is>
      </c>
      <c r="F3178" s="4" t="inlineStr">
        <is>
          <t>18.10.2026</t>
        </is>
      </c>
      <c r="G3178" s="4" t="inlineStr">
        <is>
          <t>07:41</t>
        </is>
      </c>
      <c r="H3178" s="4" t="inlineStr">
        <is>
          <t>18.10.2026</t>
        </is>
      </c>
      <c r="I3178" s="4" t="inlineStr">
        <is>
          <t>16:57</t>
        </is>
      </c>
      <c r="J3178" s="8" t="n">
        <v>7.5</v>
      </c>
      <c r="K3178" s="8" t="n">
        <v>7.5</v>
      </c>
      <c r="L3178" s="8" t="n">
        <v>0</v>
      </c>
      <c r="M3178" s="29" t="inlineStr">
        <is>
          <t>GÖBEL</t>
        </is>
      </c>
    </row>
    <row r="3179">
      <c r="A3179" s="4" t="n">
        <v>3178</v>
      </c>
      <c r="B3179" s="4" t="inlineStr">
        <is>
          <t>01316</t>
        </is>
      </c>
      <c r="C3179" s="4" t="inlineStr">
        <is>
          <t>01316</t>
        </is>
      </c>
      <c r="D3179" s="29" t="inlineStr">
        <is>
          <t>RECEP İÇÖZ</t>
        </is>
      </c>
      <c r="E3179" s="4" t="inlineStr">
        <is>
          <t>Pazartesi</t>
        </is>
      </c>
      <c r="F3179" s="4" t="inlineStr">
        <is>
          <t>19.10.2026</t>
        </is>
      </c>
      <c r="G3179" s="4" t="inlineStr">
        <is>
          <t>07:37</t>
        </is>
      </c>
      <c r="H3179" s="4" t="inlineStr">
        <is>
          <t>19.10.2026</t>
        </is>
      </c>
      <c r="I3179" s="4" t="inlineStr">
        <is>
          <t>16:56</t>
        </is>
      </c>
      <c r="J3179" s="8" t="n">
        <v>7.5</v>
      </c>
      <c r="K3179" s="8" t="n">
        <v>7.5</v>
      </c>
      <c r="L3179" s="8" t="n">
        <v>0</v>
      </c>
      <c r="M3179" s="29" t="inlineStr">
        <is>
          <t>GÖBEL</t>
        </is>
      </c>
    </row>
    <row r="3180">
      <c r="A3180" s="4" t="n">
        <v>3179</v>
      </c>
      <c r="B3180" s="4" t="inlineStr">
        <is>
          <t>01316</t>
        </is>
      </c>
      <c r="C3180" s="4" t="inlineStr">
        <is>
          <t>01316</t>
        </is>
      </c>
      <c r="D3180" s="29" t="inlineStr">
        <is>
          <t>RECEP İÇÖZ</t>
        </is>
      </c>
      <c r="E3180" s="4" t="inlineStr">
        <is>
          <t>Salı</t>
        </is>
      </c>
      <c r="F3180" s="4" t="inlineStr">
        <is>
          <t>20.10.2026</t>
        </is>
      </c>
      <c r="G3180" s="4" t="inlineStr">
        <is>
          <t>07:41</t>
        </is>
      </c>
      <c r="H3180" s="4" t="inlineStr">
        <is>
          <t>20.10.2026</t>
        </is>
      </c>
      <c r="I3180" s="4" t="inlineStr">
        <is>
          <t>16:53</t>
        </is>
      </c>
      <c r="J3180" s="8" t="n">
        <v>7.5</v>
      </c>
      <c r="K3180" s="8" t="n">
        <v>7.5</v>
      </c>
      <c r="L3180" s="8" t="n">
        <v>0</v>
      </c>
      <c r="M3180" s="29" t="inlineStr">
        <is>
          <t>GÖBEL</t>
        </is>
      </c>
    </row>
    <row r="3181">
      <c r="A3181" s="4" t="n">
        <v>3180</v>
      </c>
      <c r="B3181" s="4" t="inlineStr">
        <is>
          <t>01316</t>
        </is>
      </c>
      <c r="C3181" s="4" t="inlineStr">
        <is>
          <t>01316</t>
        </is>
      </c>
      <c r="D3181" s="29" t="inlineStr">
        <is>
          <t>RECEP İÇÖZ</t>
        </is>
      </c>
      <c r="E3181" s="4" t="inlineStr">
        <is>
          <t>Çarşamba</t>
        </is>
      </c>
      <c r="F3181" s="4" t="inlineStr">
        <is>
          <t>21.10.2026</t>
        </is>
      </c>
      <c r="G3181" s="4" t="inlineStr">
        <is>
          <t>07:40</t>
        </is>
      </c>
      <c r="H3181" s="4" t="inlineStr">
        <is>
          <t>21.10.2026</t>
        </is>
      </c>
      <c r="I3181" s="4" t="inlineStr">
        <is>
          <t>-</t>
        </is>
      </c>
      <c r="J3181" s="8" t="n">
        <v>7.5</v>
      </c>
      <c r="K3181" s="8" t="n">
        <v>7.5</v>
      </c>
      <c r="L3181" s="8" t="n">
        <v>0</v>
      </c>
      <c r="M3181" s="29" t="inlineStr">
        <is>
          <t>GÖBEL</t>
        </is>
      </c>
    </row>
    <row r="3182">
      <c r="A3182" s="4" t="n">
        <v>3181</v>
      </c>
      <c r="B3182" s="4" t="inlineStr">
        <is>
          <t>01448</t>
        </is>
      </c>
      <c r="C3182" s="4" t="inlineStr">
        <is>
          <t>01448</t>
        </is>
      </c>
      <c r="D3182" s="29" t="inlineStr">
        <is>
          <t>İREMZİYE FİDAN</t>
        </is>
      </c>
      <c r="E3182" s="4" t="inlineStr">
        <is>
          <t>Cumartesi</t>
        </is>
      </c>
      <c r="F3182" s="4" t="inlineStr">
        <is>
          <t>3.10.2026</t>
        </is>
      </c>
      <c r="G3182" s="4" t="inlineStr">
        <is>
          <t>07:49</t>
        </is>
      </c>
      <c r="H3182" s="4" t="inlineStr">
        <is>
          <t>3.10.2026</t>
        </is>
      </c>
      <c r="I3182" s="4" t="inlineStr">
        <is>
          <t>17:38</t>
        </is>
      </c>
      <c r="J3182" s="8" t="n">
        <v>8</v>
      </c>
      <c r="K3182" s="8" t="n">
        <v>7.5</v>
      </c>
      <c r="L3182" s="8" t="n">
        <v>0.5</v>
      </c>
      <c r="M3182" s="29" t="inlineStr">
        <is>
          <t>HALİL DİĞRENCİ</t>
        </is>
      </c>
    </row>
    <row r="3183">
      <c r="A3183" s="4" t="n">
        <v>3182</v>
      </c>
      <c r="B3183" s="4" t="inlineStr">
        <is>
          <t>01448</t>
        </is>
      </c>
      <c r="C3183" s="4" t="inlineStr">
        <is>
          <t>01448</t>
        </is>
      </c>
      <c r="D3183" s="29" t="inlineStr">
        <is>
          <t>İREMZİYE FİDAN</t>
        </is>
      </c>
      <c r="E3183" s="4" t="inlineStr">
        <is>
          <t>Pazartesi</t>
        </is>
      </c>
      <c r="F3183" s="4" t="inlineStr">
        <is>
          <t>5.10.2026</t>
        </is>
      </c>
      <c r="G3183" s="4" t="inlineStr">
        <is>
          <t>07:59</t>
        </is>
      </c>
      <c r="H3183" s="4" t="inlineStr">
        <is>
          <t>5.10.2026</t>
        </is>
      </c>
      <c r="I3183" s="4" t="inlineStr">
        <is>
          <t>17:05</t>
        </is>
      </c>
      <c r="J3183" s="8" t="n">
        <v>7.5</v>
      </c>
      <c r="K3183" s="8" t="n">
        <v>7.5</v>
      </c>
      <c r="L3183" s="8" t="n">
        <v>0</v>
      </c>
      <c r="M3183" s="29" t="inlineStr">
        <is>
          <t>HALİL DİĞRENCİ</t>
        </is>
      </c>
    </row>
    <row r="3184">
      <c r="A3184" s="4" t="n">
        <v>3183</v>
      </c>
      <c r="B3184" s="4" t="inlineStr">
        <is>
          <t>01448</t>
        </is>
      </c>
      <c r="C3184" s="4" t="inlineStr">
        <is>
          <t>01448</t>
        </is>
      </c>
      <c r="D3184" s="29" t="inlineStr">
        <is>
          <t>İREMZİYE FİDAN</t>
        </is>
      </c>
      <c r="E3184" s="4" t="inlineStr">
        <is>
          <t>Salı</t>
        </is>
      </c>
      <c r="F3184" s="4" t="inlineStr">
        <is>
          <t>6.10.2026</t>
        </is>
      </c>
      <c r="G3184" s="4" t="inlineStr">
        <is>
          <t>07:35</t>
        </is>
      </c>
      <c r="H3184" s="4" t="inlineStr">
        <is>
          <t>6.10.2026</t>
        </is>
      </c>
      <c r="I3184" s="4" t="inlineStr">
        <is>
          <t>17:42</t>
        </is>
      </c>
      <c r="J3184" s="8" t="n">
        <v>8</v>
      </c>
      <c r="K3184" s="8" t="n">
        <v>7.5</v>
      </c>
      <c r="L3184" s="8" t="n">
        <v>0.5</v>
      </c>
      <c r="M3184" s="29" t="inlineStr">
        <is>
          <t>HALİL DİĞRENCİ</t>
        </is>
      </c>
    </row>
    <row r="3185">
      <c r="A3185" s="4" t="n">
        <v>3184</v>
      </c>
      <c r="B3185" s="4" t="inlineStr">
        <is>
          <t>01448</t>
        </is>
      </c>
      <c r="C3185" s="4" t="inlineStr">
        <is>
          <t>01448</t>
        </is>
      </c>
      <c r="D3185" s="29" t="inlineStr">
        <is>
          <t>İREMZİYE FİDAN</t>
        </is>
      </c>
      <c r="E3185" s="4" t="inlineStr">
        <is>
          <t>Çarşamba</t>
        </is>
      </c>
      <c r="F3185" s="4" t="inlineStr">
        <is>
          <t>7.10.2026</t>
        </is>
      </c>
      <c r="G3185" s="4" t="inlineStr">
        <is>
          <t>07:33</t>
        </is>
      </c>
      <c r="H3185" s="4" t="inlineStr">
        <is>
          <t>7.10.2026</t>
        </is>
      </c>
      <c r="I3185" s="4" t="inlineStr">
        <is>
          <t>17:25</t>
        </is>
      </c>
      <c r="J3185" s="8" t="n">
        <v>8</v>
      </c>
      <c r="K3185" s="8" t="n">
        <v>7.5</v>
      </c>
      <c r="L3185" s="8" t="n">
        <v>0.5</v>
      </c>
      <c r="M3185" s="29" t="inlineStr">
        <is>
          <t>HALİL DİĞRENCİ</t>
        </is>
      </c>
    </row>
    <row r="3186">
      <c r="A3186" s="4" t="n">
        <v>3185</v>
      </c>
      <c r="B3186" s="4" t="inlineStr">
        <is>
          <t>01448</t>
        </is>
      </c>
      <c r="C3186" s="4" t="inlineStr">
        <is>
          <t>01448</t>
        </is>
      </c>
      <c r="D3186" s="29" t="inlineStr">
        <is>
          <t>İREMZİYE FİDAN</t>
        </is>
      </c>
      <c r="E3186" s="4" t="inlineStr">
        <is>
          <t>Perşembe</t>
        </is>
      </c>
      <c r="F3186" s="4" t="inlineStr">
        <is>
          <t>8.10.2026</t>
        </is>
      </c>
      <c r="G3186" s="4" t="inlineStr">
        <is>
          <t>07:33</t>
        </is>
      </c>
      <c r="H3186" s="4" t="inlineStr">
        <is>
          <t>8.10.2026</t>
        </is>
      </c>
      <c r="I3186" s="4" t="inlineStr">
        <is>
          <t>17:36</t>
        </is>
      </c>
      <c r="J3186" s="8" t="n">
        <v>8</v>
      </c>
      <c r="K3186" s="8" t="n">
        <v>7.5</v>
      </c>
      <c r="L3186" s="8" t="n">
        <v>0.5</v>
      </c>
      <c r="M3186" s="29" t="inlineStr">
        <is>
          <t>HALİL DİĞRENCİ</t>
        </is>
      </c>
    </row>
    <row r="3187">
      <c r="A3187" s="4" t="n">
        <v>3186</v>
      </c>
      <c r="B3187" s="4" t="inlineStr">
        <is>
          <t>01448</t>
        </is>
      </c>
      <c r="C3187" s="4" t="inlineStr">
        <is>
          <t>01448</t>
        </is>
      </c>
      <c r="D3187" s="29" t="inlineStr">
        <is>
          <t>İREMZİYE FİDAN</t>
        </is>
      </c>
      <c r="E3187" s="4" t="inlineStr">
        <is>
          <t>Cuma</t>
        </is>
      </c>
      <c r="F3187" s="4" t="inlineStr">
        <is>
          <t>9.10.2026</t>
        </is>
      </c>
      <c r="G3187" s="4" t="inlineStr">
        <is>
          <t>07:29</t>
        </is>
      </c>
      <c r="H3187" s="4" t="inlineStr">
        <is>
          <t>9.10.2026</t>
        </is>
      </c>
      <c r="I3187" s="4" t="inlineStr">
        <is>
          <t>17:47</t>
        </is>
      </c>
      <c r="J3187" s="8" t="n">
        <v>8.5</v>
      </c>
      <c r="K3187" s="8" t="n">
        <v>7.5</v>
      </c>
      <c r="L3187" s="8" t="n">
        <v>1</v>
      </c>
      <c r="M3187" s="29" t="inlineStr">
        <is>
          <t>HALİL DİĞRENCİ</t>
        </is>
      </c>
    </row>
    <row r="3188">
      <c r="A3188" s="4" t="n">
        <v>3187</v>
      </c>
      <c r="B3188" s="4" t="inlineStr">
        <is>
          <t>01448</t>
        </is>
      </c>
      <c r="C3188" s="4" t="inlineStr">
        <is>
          <t>01448</t>
        </is>
      </c>
      <c r="D3188" s="29" t="inlineStr">
        <is>
          <t>İREMZİYE FİDAN</t>
        </is>
      </c>
      <c r="E3188" s="4" t="inlineStr">
        <is>
          <t>Cumartesi</t>
        </is>
      </c>
      <c r="F3188" s="4" t="inlineStr">
        <is>
          <t>10.10.2026</t>
        </is>
      </c>
      <c r="G3188" s="4" t="inlineStr">
        <is>
          <t>07:38</t>
        </is>
      </c>
      <c r="H3188" s="4" t="inlineStr">
        <is>
          <t>10.10.2026</t>
        </is>
      </c>
      <c r="I3188" s="4" t="inlineStr">
        <is>
          <t>18:12</t>
        </is>
      </c>
      <c r="J3188" s="8" t="n">
        <v>8.5</v>
      </c>
      <c r="K3188" s="8" t="n">
        <v>7.5</v>
      </c>
      <c r="L3188" s="8" t="n">
        <v>1</v>
      </c>
      <c r="M3188" s="29" t="inlineStr">
        <is>
          <t>HALİL DİĞRENCİ</t>
        </is>
      </c>
    </row>
    <row r="3189">
      <c r="A3189" s="4" t="n">
        <v>3188</v>
      </c>
      <c r="B3189" s="4" t="inlineStr">
        <is>
          <t>01448</t>
        </is>
      </c>
      <c r="C3189" s="4" t="inlineStr">
        <is>
          <t>01448</t>
        </is>
      </c>
      <c r="D3189" s="29" t="inlineStr">
        <is>
          <t>İREMZİYE FİDAN</t>
        </is>
      </c>
      <c r="E3189" s="4" t="inlineStr">
        <is>
          <t>Pazartesi</t>
        </is>
      </c>
      <c r="F3189" s="4" t="inlineStr">
        <is>
          <t>12.10.2026</t>
        </is>
      </c>
      <c r="G3189" s="4" t="inlineStr">
        <is>
          <t>07:41</t>
        </is>
      </c>
      <c r="H3189" s="4" t="inlineStr">
        <is>
          <t>12.10.2026</t>
        </is>
      </c>
      <c r="I3189" s="4" t="inlineStr">
        <is>
          <t>17:04</t>
        </is>
      </c>
      <c r="J3189" s="8" t="n">
        <v>7.5</v>
      </c>
      <c r="K3189" s="8" t="n">
        <v>7.5</v>
      </c>
      <c r="L3189" s="8" t="n">
        <v>0</v>
      </c>
      <c r="M3189" s="29" t="inlineStr">
        <is>
          <t>HALİL DİĞRENCİ</t>
        </is>
      </c>
    </row>
    <row r="3190">
      <c r="A3190" s="4" t="n">
        <v>3189</v>
      </c>
      <c r="B3190" s="4" t="inlineStr">
        <is>
          <t>01448</t>
        </is>
      </c>
      <c r="C3190" s="4" t="inlineStr">
        <is>
          <t>01448</t>
        </is>
      </c>
      <c r="D3190" s="29" t="inlineStr">
        <is>
          <t>İREMZİYE FİDAN</t>
        </is>
      </c>
      <c r="E3190" s="4" t="inlineStr">
        <is>
          <t>Salı</t>
        </is>
      </c>
      <c r="F3190" s="4" t="inlineStr">
        <is>
          <t>13.10.2026</t>
        </is>
      </c>
      <c r="G3190" s="4" t="inlineStr">
        <is>
          <t>07:37</t>
        </is>
      </c>
      <c r="H3190" s="4" t="inlineStr">
        <is>
          <t>13.10.2026</t>
        </is>
      </c>
      <c r="I3190" s="4" t="inlineStr">
        <is>
          <t>17:01</t>
        </is>
      </c>
      <c r="J3190" s="8" t="n">
        <v>7.5</v>
      </c>
      <c r="K3190" s="8" t="n">
        <v>7.5</v>
      </c>
      <c r="L3190" s="8" t="n">
        <v>0</v>
      </c>
      <c r="M3190" s="29" t="inlineStr">
        <is>
          <t>HALİL DİĞRENCİ</t>
        </is>
      </c>
    </row>
    <row r="3191">
      <c r="A3191" s="4" t="n">
        <v>3190</v>
      </c>
      <c r="B3191" s="4" t="inlineStr">
        <is>
          <t>01448</t>
        </is>
      </c>
      <c r="C3191" s="4" t="inlineStr">
        <is>
          <t>01448</t>
        </is>
      </c>
      <c r="D3191" s="29" t="inlineStr">
        <is>
          <t>İREMZİYE FİDAN</t>
        </is>
      </c>
      <c r="E3191" s="4" t="inlineStr">
        <is>
          <t>Çarşamba</t>
        </is>
      </c>
      <c r="F3191" s="4" t="inlineStr">
        <is>
          <t>14.10.2026</t>
        </is>
      </c>
      <c r="G3191" s="4" t="inlineStr">
        <is>
          <t>07:36</t>
        </is>
      </c>
      <c r="H3191" s="4" t="inlineStr">
        <is>
          <t>14.10.2026</t>
        </is>
      </c>
      <c r="I3191" s="4" t="inlineStr">
        <is>
          <t>18:07</t>
        </is>
      </c>
      <c r="J3191" s="8" t="n">
        <v>8.5</v>
      </c>
      <c r="K3191" s="8" t="n">
        <v>7.5</v>
      </c>
      <c r="L3191" s="8" t="n">
        <v>1</v>
      </c>
      <c r="M3191" s="29" t="inlineStr">
        <is>
          <t>HALİL DİĞRENCİ</t>
        </is>
      </c>
    </row>
    <row r="3192">
      <c r="A3192" s="4" t="n">
        <v>3191</v>
      </c>
      <c r="B3192" s="4" t="inlineStr">
        <is>
          <t>01448</t>
        </is>
      </c>
      <c r="C3192" s="4" t="inlineStr">
        <is>
          <t>01448</t>
        </is>
      </c>
      <c r="D3192" s="29" t="inlineStr">
        <is>
          <t>İREMZİYE FİDAN</t>
        </is>
      </c>
      <c r="E3192" s="4" t="inlineStr">
        <is>
          <t>Perşembe</t>
        </is>
      </c>
      <c r="F3192" s="4" t="inlineStr">
        <is>
          <t>15.10.2026</t>
        </is>
      </c>
      <c r="G3192" s="4" t="inlineStr">
        <is>
          <t>07:35</t>
        </is>
      </c>
      <c r="H3192" s="4" t="inlineStr">
        <is>
          <t>15.10.2026</t>
        </is>
      </c>
      <c r="I3192" s="4" t="inlineStr">
        <is>
          <t>17:03</t>
        </is>
      </c>
      <c r="J3192" s="8" t="n">
        <v>7.5</v>
      </c>
      <c r="K3192" s="8" t="n">
        <v>7.5</v>
      </c>
      <c r="L3192" s="8" t="n">
        <v>0</v>
      </c>
      <c r="M3192" s="29" t="inlineStr">
        <is>
          <t>HALİL DİĞRENCİ</t>
        </is>
      </c>
    </row>
    <row r="3193">
      <c r="A3193" s="4" t="n">
        <v>3192</v>
      </c>
      <c r="B3193" s="4" t="inlineStr">
        <is>
          <t>01448</t>
        </is>
      </c>
      <c r="C3193" s="4" t="inlineStr">
        <is>
          <t>01448</t>
        </is>
      </c>
      <c r="D3193" s="29" t="inlineStr">
        <is>
          <t>İREMZİYE FİDAN</t>
        </is>
      </c>
      <c r="E3193" s="4" t="inlineStr">
        <is>
          <t>Cuma</t>
        </is>
      </c>
      <c r="F3193" s="4" t="inlineStr">
        <is>
          <t>16.10.2026</t>
        </is>
      </c>
      <c r="G3193" s="4" t="inlineStr">
        <is>
          <t>07:51</t>
        </is>
      </c>
      <c r="H3193" s="4" t="inlineStr">
        <is>
          <t>16.10.2026</t>
        </is>
      </c>
      <c r="I3193" s="4" t="inlineStr">
        <is>
          <t>17:24</t>
        </is>
      </c>
      <c r="J3193" s="8" t="n">
        <v>8</v>
      </c>
      <c r="K3193" s="8" t="n">
        <v>7.5</v>
      </c>
      <c r="L3193" s="8" t="n">
        <v>0.5</v>
      </c>
      <c r="M3193" s="29" t="inlineStr">
        <is>
          <t>HALİL DİĞRENCİ</t>
        </is>
      </c>
    </row>
    <row r="3194">
      <c r="A3194" s="4" t="n">
        <v>3193</v>
      </c>
      <c r="B3194" s="4" t="inlineStr">
        <is>
          <t>01448</t>
        </is>
      </c>
      <c r="C3194" s="4" t="inlineStr">
        <is>
          <t>01448</t>
        </is>
      </c>
      <c r="D3194" s="29" t="inlineStr">
        <is>
          <t>İREMZİYE FİDAN</t>
        </is>
      </c>
      <c r="E3194" s="4" t="inlineStr">
        <is>
          <t>Cumartesi</t>
        </is>
      </c>
      <c r="F3194" s="4" t="inlineStr">
        <is>
          <t>17.10.2026</t>
        </is>
      </c>
      <c r="G3194" s="4" t="inlineStr">
        <is>
          <t>07:54</t>
        </is>
      </c>
      <c r="H3194" s="4" t="inlineStr">
        <is>
          <t>17.10.2026</t>
        </is>
      </c>
      <c r="I3194" s="4" t="inlineStr">
        <is>
          <t>17:53</t>
        </is>
      </c>
      <c r="J3194" s="8" t="n">
        <v>8.5</v>
      </c>
      <c r="K3194" s="8" t="n">
        <v>7.5</v>
      </c>
      <c r="L3194" s="8" t="n">
        <v>1</v>
      </c>
      <c r="M3194" s="29" t="inlineStr">
        <is>
          <t>HALİL DİĞRENCİ</t>
        </is>
      </c>
    </row>
    <row r="3195">
      <c r="A3195" s="4" t="n">
        <v>3194</v>
      </c>
      <c r="B3195" s="4" t="inlineStr">
        <is>
          <t>01448</t>
        </is>
      </c>
      <c r="C3195" s="4" t="inlineStr">
        <is>
          <t>01448</t>
        </is>
      </c>
      <c r="D3195" s="29" t="inlineStr">
        <is>
          <t>İREMZİYE FİDAN</t>
        </is>
      </c>
      <c r="E3195" s="4" t="inlineStr">
        <is>
          <t>Pazartesi</t>
        </is>
      </c>
      <c r="F3195" s="4" t="inlineStr">
        <is>
          <t>19.10.2026</t>
        </is>
      </c>
      <c r="G3195" s="4" t="inlineStr">
        <is>
          <t>08:01</t>
        </is>
      </c>
      <c r="H3195" s="4" t="inlineStr">
        <is>
          <t>19.10.2026</t>
        </is>
      </c>
      <c r="I3195" s="4" t="inlineStr">
        <is>
          <t>17:46</t>
        </is>
      </c>
      <c r="J3195" s="8" t="n">
        <v>8.5</v>
      </c>
      <c r="K3195" s="8" t="n">
        <v>7.5</v>
      </c>
      <c r="L3195" s="8" t="n">
        <v>1</v>
      </c>
      <c r="M3195" s="29" t="inlineStr">
        <is>
          <t>HALİL DİĞRENCİ</t>
        </is>
      </c>
    </row>
    <row r="3196">
      <c r="A3196" s="4" t="n">
        <v>3195</v>
      </c>
      <c r="B3196" s="4" t="inlineStr">
        <is>
          <t>01448</t>
        </is>
      </c>
      <c r="C3196" s="4" t="inlineStr">
        <is>
          <t>01448</t>
        </is>
      </c>
      <c r="D3196" s="29" t="inlineStr">
        <is>
          <t>İREMZİYE FİDAN</t>
        </is>
      </c>
      <c r="E3196" s="4" t="inlineStr">
        <is>
          <t>Salı</t>
        </is>
      </c>
      <c r="F3196" s="4" t="inlineStr">
        <is>
          <t>20.10.2026</t>
        </is>
      </c>
      <c r="G3196" s="4" t="inlineStr">
        <is>
          <t>07:56</t>
        </is>
      </c>
      <c r="H3196" s="4" t="inlineStr">
        <is>
          <t>20.10.2026</t>
        </is>
      </c>
      <c r="I3196" s="4" t="inlineStr">
        <is>
          <t>17:03</t>
        </is>
      </c>
      <c r="J3196" s="8" t="n">
        <v>7.5</v>
      </c>
      <c r="K3196" s="8" t="n">
        <v>7.5</v>
      </c>
      <c r="L3196" s="8" t="n">
        <v>0</v>
      </c>
      <c r="M3196" s="29" t="inlineStr">
        <is>
          <t>HALİL DİĞRENCİ</t>
        </is>
      </c>
    </row>
    <row r="3197">
      <c r="A3197" s="4" t="n">
        <v>3196</v>
      </c>
      <c r="B3197" s="4" t="inlineStr">
        <is>
          <t>01448</t>
        </is>
      </c>
      <c r="C3197" s="4" t="inlineStr">
        <is>
          <t>01448</t>
        </is>
      </c>
      <c r="D3197" s="29" t="inlineStr">
        <is>
          <t>İREMZİYE FİDAN</t>
        </is>
      </c>
      <c r="E3197" s="4" t="inlineStr">
        <is>
          <t>Çarşamba</t>
        </is>
      </c>
      <c r="F3197" s="4" t="inlineStr">
        <is>
          <t>21.10.2026</t>
        </is>
      </c>
      <c r="G3197" s="4" t="inlineStr">
        <is>
          <t>07:56</t>
        </is>
      </c>
      <c r="H3197" s="4" t="inlineStr">
        <is>
          <t>21.10.2026</t>
        </is>
      </c>
      <c r="I3197" s="4" t="inlineStr">
        <is>
          <t>17:03</t>
        </is>
      </c>
      <c r="J3197" s="8" t="n">
        <v>7.5</v>
      </c>
      <c r="K3197" s="8" t="n">
        <v>7.5</v>
      </c>
      <c r="L3197" s="8" t="n">
        <v>0</v>
      </c>
      <c r="M3197" s="29" t="inlineStr">
        <is>
          <t>HALİL DİĞRENCİ</t>
        </is>
      </c>
    </row>
    <row r="3198">
      <c r="A3198" s="4" t="n">
        <v>3197</v>
      </c>
      <c r="B3198" s="4" t="inlineStr">
        <is>
          <t>00146</t>
        </is>
      </c>
      <c r="C3198" s="4" t="inlineStr">
        <is>
          <t>00146</t>
        </is>
      </c>
      <c r="D3198" s="29" t="inlineStr">
        <is>
          <t>RIDVAN DEMİRDAK</t>
        </is>
      </c>
      <c r="E3198" s="4" t="inlineStr">
        <is>
          <t>Perşembe</t>
        </is>
      </c>
      <c r="F3198" s="4" t="inlineStr">
        <is>
          <t>1.10.2026</t>
        </is>
      </c>
      <c r="G3198" s="4" t="inlineStr">
        <is>
          <t>23:56</t>
        </is>
      </c>
      <c r="H3198" s="4" t="inlineStr">
        <is>
          <t>1.10.2026</t>
        </is>
      </c>
      <c r="I3198" s="4" t="inlineStr">
        <is>
          <t>07:52</t>
        </is>
      </c>
      <c r="J3198" s="8" t="n">
        <v>7.5</v>
      </c>
      <c r="K3198" s="8" t="n">
        <v>7.5</v>
      </c>
      <c r="L3198" s="8" t="n">
        <v>0</v>
      </c>
      <c r="M3198" s="29" t="inlineStr">
        <is>
          <t>GÖBEL</t>
        </is>
      </c>
    </row>
    <row r="3199">
      <c r="A3199" s="4" t="n">
        <v>3198</v>
      </c>
      <c r="B3199" s="4" t="inlineStr">
        <is>
          <t>00146</t>
        </is>
      </c>
      <c r="C3199" s="4" t="inlineStr">
        <is>
          <t>00146</t>
        </is>
      </c>
      <c r="D3199" s="29" t="inlineStr">
        <is>
          <t>RIDVAN DEMİRDAK</t>
        </is>
      </c>
      <c r="E3199" s="4" t="inlineStr">
        <is>
          <t>Cuma</t>
        </is>
      </c>
      <c r="F3199" s="4" t="inlineStr">
        <is>
          <t>2.10.2026</t>
        </is>
      </c>
      <c r="G3199" s="4" t="inlineStr">
        <is>
          <t>23:47</t>
        </is>
      </c>
      <c r="H3199" s="4" t="inlineStr">
        <is>
          <t>2.10.2026</t>
        </is>
      </c>
      <c r="I3199" s="4" t="inlineStr">
        <is>
          <t>07:58</t>
        </is>
      </c>
      <c r="J3199" s="8" t="n">
        <v>7.5</v>
      </c>
      <c r="K3199" s="8" t="n">
        <v>7.5</v>
      </c>
      <c r="L3199" s="8" t="n">
        <v>0</v>
      </c>
      <c r="M3199" s="29" t="inlineStr">
        <is>
          <t>GÖBEL</t>
        </is>
      </c>
    </row>
    <row r="3200">
      <c r="A3200" s="4" t="n">
        <v>3199</v>
      </c>
      <c r="B3200" s="4" t="inlineStr">
        <is>
          <t>00146</t>
        </is>
      </c>
      <c r="C3200" s="4" t="inlineStr">
        <is>
          <t>00146</t>
        </is>
      </c>
      <c r="D3200" s="29" t="inlineStr">
        <is>
          <t>RIDVAN DEMİRDAK</t>
        </is>
      </c>
      <c r="E3200" s="4" t="inlineStr">
        <is>
          <t>Cumartesi</t>
        </is>
      </c>
      <c r="F3200" s="4" t="inlineStr">
        <is>
          <t>3.10.2026</t>
        </is>
      </c>
      <c r="G3200" s="4" t="inlineStr">
        <is>
          <t>23:56</t>
        </is>
      </c>
      <c r="H3200" s="4" t="inlineStr">
        <is>
          <t>3.10.2026</t>
        </is>
      </c>
      <c r="I3200" s="4" t="inlineStr">
        <is>
          <t>07:59</t>
        </is>
      </c>
      <c r="J3200" s="8" t="n">
        <v>7.5</v>
      </c>
      <c r="K3200" s="8" t="n">
        <v>7.5</v>
      </c>
      <c r="L3200" s="8" t="n">
        <v>0</v>
      </c>
      <c r="M3200" s="29" t="inlineStr">
        <is>
          <t>GÖBEL</t>
        </is>
      </c>
    </row>
    <row r="3201">
      <c r="A3201" s="4" t="n">
        <v>3200</v>
      </c>
      <c r="B3201" s="4" t="inlineStr">
        <is>
          <t>00146</t>
        </is>
      </c>
      <c r="C3201" s="4" t="inlineStr">
        <is>
          <t>00146</t>
        </is>
      </c>
      <c r="D3201" s="29" t="inlineStr">
        <is>
          <t>RIDVAN DEMİRDAK</t>
        </is>
      </c>
      <c r="E3201" s="4" t="inlineStr">
        <is>
          <t>Pazar</t>
        </is>
      </c>
      <c r="F3201" s="4" t="inlineStr">
        <is>
          <t>4.10.2026</t>
        </is>
      </c>
      <c r="G3201" s="4" t="inlineStr">
        <is>
          <t>23:57</t>
        </is>
      </c>
      <c r="H3201" s="4" t="inlineStr">
        <is>
          <t>4.10.2026</t>
        </is>
      </c>
      <c r="I3201" s="4" t="inlineStr">
        <is>
          <t>08:20</t>
        </is>
      </c>
      <c r="J3201" s="8" t="n">
        <v>7.5</v>
      </c>
      <c r="K3201" s="8" t="n">
        <v>7.5</v>
      </c>
      <c r="L3201" s="8" t="n">
        <v>0</v>
      </c>
      <c r="M3201" s="29" t="inlineStr">
        <is>
          <t>GÖBEL</t>
        </is>
      </c>
    </row>
    <row r="3202">
      <c r="A3202" s="4" t="n">
        <v>3201</v>
      </c>
      <c r="B3202" s="4" t="inlineStr">
        <is>
          <t>00146</t>
        </is>
      </c>
      <c r="C3202" s="4" t="inlineStr">
        <is>
          <t>00146</t>
        </is>
      </c>
      <c r="D3202" s="29" t="inlineStr">
        <is>
          <t>RIDVAN DEMİRDAK</t>
        </is>
      </c>
      <c r="E3202" s="4" t="inlineStr">
        <is>
          <t>Pazartesi</t>
        </is>
      </c>
      <c r="F3202" s="4" t="inlineStr">
        <is>
          <t>5.10.2026</t>
        </is>
      </c>
      <c r="G3202" s="4" t="inlineStr">
        <is>
          <t>23:59</t>
        </is>
      </c>
      <c r="H3202" s="4" t="inlineStr">
        <is>
          <t>5.10.2026</t>
        </is>
      </c>
      <c r="I3202" s="4" t="inlineStr">
        <is>
          <t>09:35</t>
        </is>
      </c>
      <c r="J3202" s="8" t="n">
        <v>9</v>
      </c>
      <c r="K3202" s="8" t="n">
        <v>7.5</v>
      </c>
      <c r="L3202" s="8" t="n">
        <v>1.5</v>
      </c>
      <c r="M3202" s="29" t="inlineStr">
        <is>
          <t>GÖBEL</t>
        </is>
      </c>
    </row>
    <row r="3203">
      <c r="A3203" s="4" t="n">
        <v>3202</v>
      </c>
      <c r="B3203" s="4" t="inlineStr">
        <is>
          <t>00146</t>
        </is>
      </c>
      <c r="C3203" s="4" t="inlineStr">
        <is>
          <t>00146</t>
        </is>
      </c>
      <c r="D3203" s="29" t="inlineStr">
        <is>
          <t>RIDVAN DEMİRDAK</t>
        </is>
      </c>
      <c r="E3203" s="4" t="inlineStr">
        <is>
          <t>Salı</t>
        </is>
      </c>
      <c r="F3203" s="4" t="inlineStr">
        <is>
          <t>6.10.2026</t>
        </is>
      </c>
      <c r="G3203" s="4" t="inlineStr">
        <is>
          <t>23:50</t>
        </is>
      </c>
      <c r="H3203" s="4" t="inlineStr">
        <is>
          <t>6.10.2026</t>
        </is>
      </c>
      <c r="I3203" s="4" t="inlineStr">
        <is>
          <t>08:06</t>
        </is>
      </c>
      <c r="J3203" s="8" t="n">
        <v>7.5</v>
      </c>
      <c r="K3203" s="8" t="n">
        <v>7.5</v>
      </c>
      <c r="L3203" s="8" t="n">
        <v>0</v>
      </c>
      <c r="M3203" s="29" t="inlineStr">
        <is>
          <t>GÖBEL</t>
        </is>
      </c>
    </row>
    <row r="3204">
      <c r="A3204" s="4" t="n">
        <v>3203</v>
      </c>
      <c r="B3204" s="4" t="inlineStr">
        <is>
          <t>00146</t>
        </is>
      </c>
      <c r="C3204" s="4" t="inlineStr">
        <is>
          <t>00146</t>
        </is>
      </c>
      <c r="D3204" s="29" t="inlineStr">
        <is>
          <t>RIDVAN DEMİRDAK</t>
        </is>
      </c>
      <c r="E3204" s="4" t="inlineStr">
        <is>
          <t>Perşembe</t>
        </is>
      </c>
      <c r="F3204" s="4" t="inlineStr">
        <is>
          <t>8.10.2026</t>
        </is>
      </c>
      <c r="G3204" s="4" t="inlineStr">
        <is>
          <t>00:00</t>
        </is>
      </c>
      <c r="H3204" s="4" t="inlineStr">
        <is>
          <t>8.10.2026</t>
        </is>
      </c>
      <c r="I3204" s="4" t="inlineStr">
        <is>
          <t>08:10</t>
        </is>
      </c>
      <c r="J3204" s="8" t="n">
        <v>14.5</v>
      </c>
      <c r="K3204" s="8" t="n">
        <v>7.5</v>
      </c>
      <c r="L3204" s="8" t="n">
        <v>7</v>
      </c>
      <c r="M3204" s="29" t="inlineStr">
        <is>
          <t>GÖBEL</t>
        </is>
      </c>
    </row>
    <row r="3205">
      <c r="A3205" s="4" t="n">
        <v>3204</v>
      </c>
      <c r="B3205" s="4" t="inlineStr">
        <is>
          <t>00146</t>
        </is>
      </c>
      <c r="C3205" s="4" t="inlineStr">
        <is>
          <t>00146</t>
        </is>
      </c>
      <c r="D3205" s="29" t="inlineStr">
        <is>
          <t>RIDVAN DEMİRDAK</t>
        </is>
      </c>
      <c r="E3205" s="4" t="inlineStr">
        <is>
          <t>Cuma</t>
        </is>
      </c>
      <c r="F3205" s="4" t="inlineStr">
        <is>
          <t>9.10.2026</t>
        </is>
      </c>
      <c r="G3205" s="4" t="inlineStr">
        <is>
          <t>23:57</t>
        </is>
      </c>
      <c r="H3205" s="4" t="inlineStr">
        <is>
          <t>9.10.2026</t>
        </is>
      </c>
      <c r="I3205" s="4" t="inlineStr">
        <is>
          <t>-</t>
        </is>
      </c>
      <c r="J3205" s="8" t="n">
        <v>7.5</v>
      </c>
      <c r="K3205" s="8" t="n">
        <v>7.5</v>
      </c>
      <c r="L3205" s="8" t="n">
        <v>0</v>
      </c>
      <c r="M3205" s="29" t="inlineStr">
        <is>
          <t>GÖBEL</t>
        </is>
      </c>
    </row>
    <row r="3206">
      <c r="A3206" s="4" t="n">
        <v>3205</v>
      </c>
      <c r="B3206" s="4" t="inlineStr">
        <is>
          <t>00146</t>
        </is>
      </c>
      <c r="C3206" s="4" t="inlineStr">
        <is>
          <t>00146</t>
        </is>
      </c>
      <c r="D3206" s="29" t="inlineStr">
        <is>
          <t>RIDVAN DEMİRDAK</t>
        </is>
      </c>
      <c r="E3206" s="4" t="inlineStr">
        <is>
          <t>Cumartesi</t>
        </is>
      </c>
      <c r="F3206" s="4" t="inlineStr">
        <is>
          <t>10.10.2026</t>
        </is>
      </c>
      <c r="G3206" s="4" t="inlineStr">
        <is>
          <t>23:50</t>
        </is>
      </c>
      <c r="H3206" s="4" t="inlineStr">
        <is>
          <t>10.10.2026</t>
        </is>
      </c>
      <c r="I3206" s="4" t="inlineStr">
        <is>
          <t>07:55</t>
        </is>
      </c>
      <c r="J3206" s="8" t="n">
        <v>7.5</v>
      </c>
      <c r="K3206" s="8" t="n">
        <v>7.5</v>
      </c>
      <c r="L3206" s="8" t="n">
        <v>0</v>
      </c>
      <c r="M3206" s="29" t="inlineStr">
        <is>
          <t>GÖBEL</t>
        </is>
      </c>
    </row>
    <row r="3207">
      <c r="A3207" s="4" t="n">
        <v>3206</v>
      </c>
      <c r="B3207" s="4" t="inlineStr">
        <is>
          <t>00146</t>
        </is>
      </c>
      <c r="C3207" s="4" t="inlineStr">
        <is>
          <t>00146</t>
        </is>
      </c>
      <c r="D3207" s="29" t="inlineStr">
        <is>
          <t>RIDVAN DEMİRDAK</t>
        </is>
      </c>
      <c r="E3207" s="4" t="inlineStr">
        <is>
          <t>Pazar</t>
        </is>
      </c>
      <c r="F3207" s="4" t="inlineStr">
        <is>
          <t>11.10.2026</t>
        </is>
      </c>
      <c r="G3207" s="4" t="inlineStr">
        <is>
          <t>23:52</t>
        </is>
      </c>
      <c r="H3207" s="4" t="inlineStr">
        <is>
          <t>11.10.2026</t>
        </is>
      </c>
      <c r="I3207" s="4" t="inlineStr">
        <is>
          <t>07:57</t>
        </is>
      </c>
      <c r="J3207" s="8" t="n">
        <v>7.5</v>
      </c>
      <c r="K3207" s="8" t="n">
        <v>7.5</v>
      </c>
      <c r="L3207" s="8" t="n">
        <v>0</v>
      </c>
      <c r="M3207" s="29" t="inlineStr">
        <is>
          <t>GÖBEL</t>
        </is>
      </c>
    </row>
    <row r="3208">
      <c r="A3208" s="4" t="n">
        <v>3207</v>
      </c>
      <c r="B3208" s="4" t="inlineStr">
        <is>
          <t>00146</t>
        </is>
      </c>
      <c r="C3208" s="4" t="inlineStr">
        <is>
          <t>00146</t>
        </is>
      </c>
      <c r="D3208" s="29" t="inlineStr">
        <is>
          <t>RIDVAN DEMİRDAK</t>
        </is>
      </c>
      <c r="E3208" s="4" t="inlineStr">
        <is>
          <t>Pazartesi</t>
        </is>
      </c>
      <c r="F3208" s="4" t="inlineStr">
        <is>
          <t>12.10.2026</t>
        </is>
      </c>
      <c r="G3208" s="4" t="inlineStr">
        <is>
          <t>23:53</t>
        </is>
      </c>
      <c r="H3208" s="4" t="inlineStr">
        <is>
          <t>12.10.2026</t>
        </is>
      </c>
      <c r="I3208" s="4" t="inlineStr">
        <is>
          <t>07:54</t>
        </is>
      </c>
      <c r="J3208" s="8" t="n">
        <v>7.5</v>
      </c>
      <c r="K3208" s="8" t="n">
        <v>7.5</v>
      </c>
      <c r="L3208" s="8" t="n">
        <v>0</v>
      </c>
      <c r="M3208" s="29" t="inlineStr">
        <is>
          <t>GÖBEL</t>
        </is>
      </c>
    </row>
    <row r="3209">
      <c r="A3209" s="4" t="n">
        <v>3208</v>
      </c>
      <c r="B3209" s="4" t="inlineStr">
        <is>
          <t>00146</t>
        </is>
      </c>
      <c r="C3209" s="4" t="inlineStr">
        <is>
          <t>00146</t>
        </is>
      </c>
      <c r="D3209" s="29" t="inlineStr">
        <is>
          <t>RIDVAN DEMİRDAK</t>
        </is>
      </c>
      <c r="E3209" s="4" t="inlineStr">
        <is>
          <t>Salı</t>
        </is>
      </c>
      <c r="F3209" s="4" t="inlineStr">
        <is>
          <t>13.10.2026</t>
        </is>
      </c>
      <c r="G3209" s="4" t="inlineStr">
        <is>
          <t>15:58</t>
        </is>
      </c>
      <c r="H3209" s="4" t="inlineStr">
        <is>
          <t>13.10.2026</t>
        </is>
      </c>
      <c r="I3209" s="4" t="inlineStr">
        <is>
          <t>-</t>
        </is>
      </c>
      <c r="J3209" s="8" t="n">
        <v>7.5</v>
      </c>
      <c r="K3209" s="8" t="n">
        <v>7.5</v>
      </c>
      <c r="L3209" s="8" t="n">
        <v>0</v>
      </c>
      <c r="M3209" s="29" t="inlineStr">
        <is>
          <t>GÖBEL</t>
        </is>
      </c>
    </row>
    <row r="3210">
      <c r="A3210" s="4" t="n">
        <v>3209</v>
      </c>
      <c r="B3210" s="4" t="inlineStr">
        <is>
          <t>00146</t>
        </is>
      </c>
      <c r="C3210" s="4" t="inlineStr">
        <is>
          <t>00146</t>
        </is>
      </c>
      <c r="D3210" s="29" t="inlineStr">
        <is>
          <t>RIDVAN DEMİRDAK</t>
        </is>
      </c>
      <c r="E3210" s="4" t="inlineStr">
        <is>
          <t>Çarşamba</t>
        </is>
      </c>
      <c r="F3210" s="4" t="inlineStr">
        <is>
          <t>14.10.2026</t>
        </is>
      </c>
      <c r="G3210" s="4" t="inlineStr">
        <is>
          <t>15:54</t>
        </is>
      </c>
      <c r="H3210" s="4" t="inlineStr">
        <is>
          <t>14.10.2026</t>
        </is>
      </c>
      <c r="I3210" s="4" t="inlineStr">
        <is>
          <t>23:47</t>
        </is>
      </c>
      <c r="J3210" s="8" t="n">
        <v>7.5</v>
      </c>
      <c r="K3210" s="8" t="n">
        <v>7.5</v>
      </c>
      <c r="L3210" s="8" t="n">
        <v>0</v>
      </c>
      <c r="M3210" s="29" t="inlineStr">
        <is>
          <t>GÖBEL</t>
        </is>
      </c>
    </row>
    <row r="3211">
      <c r="A3211" s="4" t="n">
        <v>3210</v>
      </c>
      <c r="B3211" s="4" t="inlineStr">
        <is>
          <t>00146</t>
        </is>
      </c>
      <c r="C3211" s="4" t="inlineStr">
        <is>
          <t>00146</t>
        </is>
      </c>
      <c r="D3211" s="29" t="inlineStr">
        <is>
          <t>RIDVAN DEMİRDAK</t>
        </is>
      </c>
      <c r="E3211" s="4" t="inlineStr">
        <is>
          <t>Perşembe</t>
        </is>
      </c>
      <c r="F3211" s="4" t="inlineStr">
        <is>
          <t>15.10.2026</t>
        </is>
      </c>
      <c r="G3211" s="4" t="inlineStr">
        <is>
          <t>15:56</t>
        </is>
      </c>
      <c r="H3211" s="4" t="inlineStr">
        <is>
          <t>15.10.2026</t>
        </is>
      </c>
      <c r="I3211" s="4" t="inlineStr">
        <is>
          <t>23:53</t>
        </is>
      </c>
      <c r="J3211" s="8" t="n">
        <v>7.5</v>
      </c>
      <c r="K3211" s="8" t="n">
        <v>7.5</v>
      </c>
      <c r="L3211" s="8" t="n">
        <v>0</v>
      </c>
      <c r="M3211" s="29" t="inlineStr">
        <is>
          <t>GÖBEL</t>
        </is>
      </c>
    </row>
    <row r="3212">
      <c r="A3212" s="4" t="n">
        <v>3211</v>
      </c>
      <c r="B3212" s="4" t="inlineStr">
        <is>
          <t>00146</t>
        </is>
      </c>
      <c r="C3212" s="4" t="inlineStr">
        <is>
          <t>00146</t>
        </is>
      </c>
      <c r="D3212" s="29" t="inlineStr">
        <is>
          <t>RIDVAN DEMİRDAK</t>
        </is>
      </c>
      <c r="E3212" s="4" t="inlineStr">
        <is>
          <t>Cuma</t>
        </is>
      </c>
      <c r="F3212" s="4" t="inlineStr">
        <is>
          <t>16.10.2026</t>
        </is>
      </c>
      <c r="G3212" s="4" t="inlineStr">
        <is>
          <t>16:42</t>
        </is>
      </c>
      <c r="H3212" s="4" t="inlineStr">
        <is>
          <t>16.10.2026</t>
        </is>
      </c>
      <c r="I3212" s="4" t="inlineStr">
        <is>
          <t>23:50</t>
        </is>
      </c>
      <c r="J3212" s="8" t="n">
        <v>7</v>
      </c>
      <c r="K3212" s="8" t="n">
        <v>7</v>
      </c>
      <c r="L3212" s="8" t="n">
        <v>0</v>
      </c>
      <c r="M3212" s="29" t="inlineStr">
        <is>
          <t>GÖBEL</t>
        </is>
      </c>
    </row>
    <row r="3213">
      <c r="A3213" s="4" t="n">
        <v>3212</v>
      </c>
      <c r="B3213" s="4" t="inlineStr">
        <is>
          <t>00146</t>
        </is>
      </c>
      <c r="C3213" s="4" t="inlineStr">
        <is>
          <t>00146</t>
        </is>
      </c>
      <c r="D3213" s="29" t="inlineStr">
        <is>
          <t>RIDVAN DEMİRDAK</t>
        </is>
      </c>
      <c r="E3213" s="4" t="inlineStr">
        <is>
          <t>Cumartesi</t>
        </is>
      </c>
      <c r="F3213" s="4" t="inlineStr">
        <is>
          <t>17.10.2026</t>
        </is>
      </c>
      <c r="G3213" s="4" t="inlineStr">
        <is>
          <t>15:49</t>
        </is>
      </c>
      <c r="H3213" s="4" t="inlineStr">
        <is>
          <t>17.10.2026</t>
        </is>
      </c>
      <c r="I3213" s="4" t="inlineStr">
        <is>
          <t>23:38</t>
        </is>
      </c>
      <c r="J3213" s="8" t="n">
        <v>7.5</v>
      </c>
      <c r="K3213" s="8" t="n">
        <v>7.5</v>
      </c>
      <c r="L3213" s="8" t="n">
        <v>0</v>
      </c>
      <c r="M3213" s="29" t="inlineStr">
        <is>
          <t>GÖBEL</t>
        </is>
      </c>
    </row>
    <row r="3214">
      <c r="A3214" s="4" t="n">
        <v>3213</v>
      </c>
      <c r="B3214" s="4" t="inlineStr">
        <is>
          <t>00146</t>
        </is>
      </c>
      <c r="C3214" s="4" t="inlineStr">
        <is>
          <t>00146</t>
        </is>
      </c>
      <c r="D3214" s="29" t="inlineStr">
        <is>
          <t>RIDVAN DEMİRDAK</t>
        </is>
      </c>
      <c r="E3214" s="4" t="inlineStr">
        <is>
          <t>Pazar</t>
        </is>
      </c>
      <c r="F3214" s="4" t="inlineStr">
        <is>
          <t>18.10.2026</t>
        </is>
      </c>
      <c r="G3214" s="4" t="inlineStr">
        <is>
          <t>15:35</t>
        </is>
      </c>
      <c r="H3214" s="4" t="inlineStr">
        <is>
          <t>18.10.2026</t>
        </is>
      </c>
      <c r="I3214" s="4" t="inlineStr">
        <is>
          <t>23:58</t>
        </is>
      </c>
      <c r="J3214" s="8" t="n">
        <v>8</v>
      </c>
      <c r="K3214" s="8" t="n">
        <v>8</v>
      </c>
      <c r="L3214" s="8" t="n">
        <v>0</v>
      </c>
      <c r="M3214" s="29" t="inlineStr">
        <is>
          <t>GÖBEL</t>
        </is>
      </c>
    </row>
    <row r="3215">
      <c r="A3215" s="4" t="n">
        <v>3214</v>
      </c>
      <c r="B3215" s="4" t="inlineStr">
        <is>
          <t>00146</t>
        </is>
      </c>
      <c r="C3215" s="4" t="inlineStr">
        <is>
          <t>00146</t>
        </is>
      </c>
      <c r="D3215" s="29" t="inlineStr">
        <is>
          <t>RIDVAN DEMİRDAK</t>
        </is>
      </c>
      <c r="E3215" s="4" t="inlineStr">
        <is>
          <t>Pazartesi</t>
        </is>
      </c>
      <c r="F3215" s="4" t="inlineStr">
        <is>
          <t>19.10.2026</t>
        </is>
      </c>
      <c r="G3215" s="4" t="inlineStr">
        <is>
          <t>15:49</t>
        </is>
      </c>
      <c r="H3215" s="4" t="inlineStr">
        <is>
          <t>19.10.2026</t>
        </is>
      </c>
      <c r="I3215" s="4" t="inlineStr">
        <is>
          <t>-</t>
        </is>
      </c>
      <c r="J3215" s="8" t="n">
        <v>7.5</v>
      </c>
      <c r="K3215" s="8" t="n">
        <v>7.5</v>
      </c>
      <c r="L3215" s="8" t="n">
        <v>0</v>
      </c>
      <c r="M3215" s="29" t="inlineStr">
        <is>
          <t>GÖBEL</t>
        </is>
      </c>
    </row>
    <row r="3216">
      <c r="A3216" s="4" t="n">
        <v>3215</v>
      </c>
      <c r="B3216" s="4" t="inlineStr">
        <is>
          <t>00146</t>
        </is>
      </c>
      <c r="C3216" s="4" t="inlineStr">
        <is>
          <t>00146</t>
        </is>
      </c>
      <c r="D3216" s="29" t="inlineStr">
        <is>
          <t>RIDVAN DEMİRDAK</t>
        </is>
      </c>
      <c r="E3216" s="4" t="inlineStr">
        <is>
          <t>Salı</t>
        </is>
      </c>
      <c r="F3216" s="4" t="inlineStr">
        <is>
          <t>20.10.2026</t>
        </is>
      </c>
      <c r="G3216" s="4" t="inlineStr">
        <is>
          <t>16:09</t>
        </is>
      </c>
      <c r="H3216" s="4" t="inlineStr">
        <is>
          <t>20.10.2026</t>
        </is>
      </c>
      <c r="I3216" s="4" t="inlineStr">
        <is>
          <t>00:13</t>
        </is>
      </c>
      <c r="J3216" s="8" t="n">
        <v>7.5</v>
      </c>
      <c r="K3216" s="8" t="n">
        <v>7.5</v>
      </c>
      <c r="L3216" s="8" t="n">
        <v>0</v>
      </c>
      <c r="M3216" s="29" t="inlineStr">
        <is>
          <t>GÖBEL</t>
        </is>
      </c>
    </row>
    <row r="3217">
      <c r="A3217" s="4" t="n">
        <v>3216</v>
      </c>
      <c r="B3217" s="4" t="inlineStr">
        <is>
          <t>00146</t>
        </is>
      </c>
      <c r="C3217" s="4" t="inlineStr">
        <is>
          <t>00146</t>
        </is>
      </c>
      <c r="D3217" s="29" t="inlineStr">
        <is>
          <t>RIDVAN DEMİRDAK</t>
        </is>
      </c>
      <c r="E3217" s="4" t="inlineStr">
        <is>
          <t>Çarşamba</t>
        </is>
      </c>
      <c r="F3217" s="4" t="inlineStr">
        <is>
          <t>21.10.2026</t>
        </is>
      </c>
      <c r="G3217" s="4" t="inlineStr">
        <is>
          <t>13:50</t>
        </is>
      </c>
      <c r="H3217" s="4" t="inlineStr">
        <is>
          <t>21.10.2026</t>
        </is>
      </c>
      <c r="I3217" s="4" t="inlineStr">
        <is>
          <t>-</t>
        </is>
      </c>
      <c r="J3217" s="8" t="n">
        <v>7.5</v>
      </c>
      <c r="K3217" s="8" t="n">
        <v>7.5</v>
      </c>
      <c r="L3217" s="8" t="n">
        <v>0</v>
      </c>
      <c r="M3217" s="29" t="inlineStr">
        <is>
          <t>GÖBEL</t>
        </is>
      </c>
    </row>
    <row r="3218">
      <c r="A3218" s="4" t="n">
        <v>3217</v>
      </c>
      <c r="B3218" s="4" t="inlineStr">
        <is>
          <t>00842</t>
        </is>
      </c>
      <c r="C3218" s="4" t="inlineStr">
        <is>
          <t>00842</t>
        </is>
      </c>
      <c r="D3218" s="29" t="inlineStr">
        <is>
          <t>RUKİYE UZUN</t>
        </is>
      </c>
      <c r="E3218" s="4" t="inlineStr">
        <is>
          <t>Perşembe</t>
        </is>
      </c>
      <c r="F3218" s="4" t="inlineStr">
        <is>
          <t>1.10.2026</t>
        </is>
      </c>
      <c r="G3218" s="4" t="inlineStr">
        <is>
          <t>07:36</t>
        </is>
      </c>
      <c r="H3218" s="4" t="inlineStr">
        <is>
          <t>1.10.2026</t>
        </is>
      </c>
      <c r="I3218" s="4" t="inlineStr">
        <is>
          <t>17:33</t>
        </is>
      </c>
      <c r="J3218" s="8" t="n">
        <v>8</v>
      </c>
      <c r="K3218" s="8" t="n">
        <v>7.5</v>
      </c>
      <c r="L3218" s="8" t="n">
        <v>0.5</v>
      </c>
      <c r="M3218" s="29" t="inlineStr">
        <is>
          <t>GÜVEN TURİZM</t>
        </is>
      </c>
    </row>
    <row r="3219">
      <c r="A3219" s="4" t="n">
        <v>3218</v>
      </c>
      <c r="B3219" s="4" t="inlineStr">
        <is>
          <t>00842</t>
        </is>
      </c>
      <c r="C3219" s="4" t="inlineStr">
        <is>
          <t>00842</t>
        </is>
      </c>
      <c r="D3219" s="29" t="inlineStr">
        <is>
          <t>RUKİYE UZUN</t>
        </is>
      </c>
      <c r="E3219" s="4" t="inlineStr">
        <is>
          <t>Cuma</t>
        </is>
      </c>
      <c r="F3219" s="4" t="inlineStr">
        <is>
          <t>2.10.2026</t>
        </is>
      </c>
      <c r="G3219" s="4" t="inlineStr">
        <is>
          <t>07:38</t>
        </is>
      </c>
      <c r="H3219" s="4" t="inlineStr">
        <is>
          <t>2.10.2026</t>
        </is>
      </c>
      <c r="I3219" s="4" t="inlineStr">
        <is>
          <t>17:53</t>
        </is>
      </c>
      <c r="J3219" s="8" t="n">
        <v>8.5</v>
      </c>
      <c r="K3219" s="8" t="n">
        <v>7.5</v>
      </c>
      <c r="L3219" s="8" t="n">
        <v>1</v>
      </c>
      <c r="M3219" s="29" t="inlineStr">
        <is>
          <t>GÜVEN TURİZM</t>
        </is>
      </c>
    </row>
    <row r="3220">
      <c r="A3220" s="4" t="n">
        <v>3219</v>
      </c>
      <c r="B3220" s="4" t="inlineStr">
        <is>
          <t>00842</t>
        </is>
      </c>
      <c r="C3220" s="4" t="inlineStr">
        <is>
          <t>00842</t>
        </is>
      </c>
      <c r="D3220" s="29" t="inlineStr">
        <is>
          <t>RUKİYE UZUN</t>
        </is>
      </c>
      <c r="E3220" s="4" t="inlineStr">
        <is>
          <t>Cumartesi</t>
        </is>
      </c>
      <c r="F3220" s="4" t="inlineStr">
        <is>
          <t>3.10.2026</t>
        </is>
      </c>
      <c r="G3220" s="4" t="inlineStr">
        <is>
          <t>07:37</t>
        </is>
      </c>
      <c r="H3220" s="4" t="inlineStr">
        <is>
          <t>3.10.2026</t>
        </is>
      </c>
      <c r="I3220" s="4" t="inlineStr">
        <is>
          <t>17:42</t>
        </is>
      </c>
      <c r="J3220" s="8" t="n">
        <v>8</v>
      </c>
      <c r="K3220" s="8" t="n">
        <v>7.5</v>
      </c>
      <c r="L3220" s="8" t="n">
        <v>0.5</v>
      </c>
      <c r="M3220" s="29" t="inlineStr">
        <is>
          <t>GÜVEN TURİZM</t>
        </is>
      </c>
    </row>
    <row r="3221">
      <c r="A3221" s="4" t="n">
        <v>3220</v>
      </c>
      <c r="B3221" s="4" t="inlineStr">
        <is>
          <t>00842</t>
        </is>
      </c>
      <c r="C3221" s="4" t="inlineStr">
        <is>
          <t>00842</t>
        </is>
      </c>
      <c r="D3221" s="29" t="inlineStr">
        <is>
          <t>RUKİYE UZUN</t>
        </is>
      </c>
      <c r="E3221" s="4" t="inlineStr">
        <is>
          <t>Salı</t>
        </is>
      </c>
      <c r="F3221" s="4" t="inlineStr">
        <is>
          <t>6.10.2026</t>
        </is>
      </c>
      <c r="G3221" s="4" t="inlineStr">
        <is>
          <t>07:41</t>
        </is>
      </c>
      <c r="H3221" s="4" t="inlineStr">
        <is>
          <t>6.10.2026</t>
        </is>
      </c>
      <c r="I3221" s="4" t="inlineStr">
        <is>
          <t>17:45</t>
        </is>
      </c>
      <c r="J3221" s="8" t="n">
        <v>8.5</v>
      </c>
      <c r="K3221" s="8" t="n">
        <v>7.5</v>
      </c>
      <c r="L3221" s="8" t="n">
        <v>1</v>
      </c>
      <c r="M3221" s="29" t="inlineStr">
        <is>
          <t>GÜVEN TURİZM</t>
        </is>
      </c>
    </row>
    <row r="3222">
      <c r="A3222" s="4" t="n">
        <v>3221</v>
      </c>
      <c r="B3222" s="4" t="inlineStr">
        <is>
          <t>00842</t>
        </is>
      </c>
      <c r="C3222" s="4" t="inlineStr">
        <is>
          <t>00842</t>
        </is>
      </c>
      <c r="D3222" s="29" t="inlineStr">
        <is>
          <t>RUKİYE UZUN</t>
        </is>
      </c>
      <c r="E3222" s="4" t="inlineStr">
        <is>
          <t>Çarşamba</t>
        </is>
      </c>
      <c r="F3222" s="4" t="inlineStr">
        <is>
          <t>7.10.2026</t>
        </is>
      </c>
      <c r="G3222" s="4" t="inlineStr">
        <is>
          <t>07:37</t>
        </is>
      </c>
      <c r="H3222" s="4" t="inlineStr">
        <is>
          <t>7.10.2026</t>
        </is>
      </c>
      <c r="I3222" s="4" t="inlineStr">
        <is>
          <t>17:29</t>
        </is>
      </c>
      <c r="J3222" s="8" t="n">
        <v>8</v>
      </c>
      <c r="K3222" s="8" t="n">
        <v>7.5</v>
      </c>
      <c r="L3222" s="8" t="n">
        <v>0.5</v>
      </c>
      <c r="M3222" s="29" t="inlineStr">
        <is>
          <t>GÜVEN TURİZM</t>
        </is>
      </c>
    </row>
    <row r="3223">
      <c r="A3223" s="4" t="n">
        <v>3222</v>
      </c>
      <c r="B3223" s="4" t="inlineStr">
        <is>
          <t>00842</t>
        </is>
      </c>
      <c r="C3223" s="4" t="inlineStr">
        <is>
          <t>00842</t>
        </is>
      </c>
      <c r="D3223" s="29" t="inlineStr">
        <is>
          <t>RUKİYE UZUN</t>
        </is>
      </c>
      <c r="E3223" s="4" t="inlineStr">
        <is>
          <t>Perşembe</t>
        </is>
      </c>
      <c r="F3223" s="4" t="inlineStr">
        <is>
          <t>8.10.2026</t>
        </is>
      </c>
      <c r="G3223" s="4" t="inlineStr">
        <is>
          <t>07:36</t>
        </is>
      </c>
      <c r="H3223" s="4" t="inlineStr">
        <is>
          <t>8.10.2026</t>
        </is>
      </c>
      <c r="I3223" s="4" t="inlineStr">
        <is>
          <t>17:39</t>
        </is>
      </c>
      <c r="J3223" s="8" t="n">
        <v>8</v>
      </c>
      <c r="K3223" s="8" t="n">
        <v>7.5</v>
      </c>
      <c r="L3223" s="8" t="n">
        <v>0.5</v>
      </c>
      <c r="M3223" s="29" t="inlineStr">
        <is>
          <t>GÜVEN TURİZM</t>
        </is>
      </c>
    </row>
    <row r="3224">
      <c r="A3224" s="4" t="n">
        <v>3223</v>
      </c>
      <c r="B3224" s="4" t="inlineStr">
        <is>
          <t>00842</t>
        </is>
      </c>
      <c r="C3224" s="4" t="inlineStr">
        <is>
          <t>00842</t>
        </is>
      </c>
      <c r="D3224" s="29" t="inlineStr">
        <is>
          <t>RUKİYE UZUN</t>
        </is>
      </c>
      <c r="E3224" s="4" t="inlineStr">
        <is>
          <t>Cuma</t>
        </is>
      </c>
      <c r="F3224" s="4" t="inlineStr">
        <is>
          <t>9.10.2026</t>
        </is>
      </c>
      <c r="G3224" s="4" t="inlineStr">
        <is>
          <t>07:38</t>
        </is>
      </c>
      <c r="H3224" s="4" t="inlineStr">
        <is>
          <t>9.10.2026</t>
        </is>
      </c>
      <c r="I3224" s="4" t="inlineStr">
        <is>
          <t>17:48</t>
        </is>
      </c>
      <c r="J3224" s="8" t="n">
        <v>8.5</v>
      </c>
      <c r="K3224" s="8" t="n">
        <v>7.5</v>
      </c>
      <c r="L3224" s="8" t="n">
        <v>1</v>
      </c>
      <c r="M3224" s="29" t="inlineStr">
        <is>
          <t>GÜVEN TURİZM</t>
        </is>
      </c>
    </row>
    <row r="3225">
      <c r="A3225" s="4" t="n">
        <v>3224</v>
      </c>
      <c r="B3225" s="4" t="inlineStr">
        <is>
          <t>00842</t>
        </is>
      </c>
      <c r="C3225" s="4" t="inlineStr">
        <is>
          <t>00842</t>
        </is>
      </c>
      <c r="D3225" s="29" t="inlineStr">
        <is>
          <t>RUKİYE UZUN</t>
        </is>
      </c>
      <c r="E3225" s="4" t="inlineStr">
        <is>
          <t>Cumartesi</t>
        </is>
      </c>
      <c r="F3225" s="4" t="inlineStr">
        <is>
          <t>10.10.2026</t>
        </is>
      </c>
      <c r="G3225" s="4" t="inlineStr">
        <is>
          <t>07:40</t>
        </is>
      </c>
      <c r="H3225" s="4" t="inlineStr">
        <is>
          <t>10.10.2026</t>
        </is>
      </c>
      <c r="I3225" s="4" t="inlineStr">
        <is>
          <t>18:15</t>
        </is>
      </c>
      <c r="J3225" s="8" t="n">
        <v>8.5</v>
      </c>
      <c r="K3225" s="8" t="n">
        <v>7.5</v>
      </c>
      <c r="L3225" s="8" t="n">
        <v>1</v>
      </c>
      <c r="M3225" s="29" t="inlineStr">
        <is>
          <t>GÜVEN TURİZM</t>
        </is>
      </c>
    </row>
    <row r="3226">
      <c r="A3226" s="4" t="n">
        <v>3225</v>
      </c>
      <c r="B3226" s="4" t="inlineStr">
        <is>
          <t>00842</t>
        </is>
      </c>
      <c r="C3226" s="4" t="inlineStr">
        <is>
          <t>00842</t>
        </is>
      </c>
      <c r="D3226" s="29" t="inlineStr">
        <is>
          <t>RUKİYE UZUN</t>
        </is>
      </c>
      <c r="E3226" s="4" t="inlineStr">
        <is>
          <t>Pazartesi</t>
        </is>
      </c>
      <c r="F3226" s="4" t="inlineStr">
        <is>
          <t>12.10.2026</t>
        </is>
      </c>
      <c r="G3226" s="4" t="inlineStr">
        <is>
          <t>07:44</t>
        </is>
      </c>
      <c r="H3226" s="4" t="inlineStr">
        <is>
          <t>12.10.2026</t>
        </is>
      </c>
      <c r="I3226" s="4" t="inlineStr">
        <is>
          <t>17:06</t>
        </is>
      </c>
      <c r="J3226" s="8" t="n">
        <v>7.5</v>
      </c>
      <c r="K3226" s="8" t="n">
        <v>7.5</v>
      </c>
      <c r="L3226" s="8" t="n">
        <v>0</v>
      </c>
      <c r="M3226" s="29" t="inlineStr">
        <is>
          <t>GÜVEN TURİZM</t>
        </is>
      </c>
    </row>
    <row r="3227">
      <c r="A3227" s="4" t="n">
        <v>3226</v>
      </c>
      <c r="B3227" s="4" t="inlineStr">
        <is>
          <t>00842</t>
        </is>
      </c>
      <c r="C3227" s="4" t="inlineStr">
        <is>
          <t>00842</t>
        </is>
      </c>
      <c r="D3227" s="29" t="inlineStr">
        <is>
          <t>RUKİYE UZUN</t>
        </is>
      </c>
      <c r="E3227" s="4" t="inlineStr">
        <is>
          <t>Salı</t>
        </is>
      </c>
      <c r="F3227" s="4" t="inlineStr">
        <is>
          <t>13.10.2026</t>
        </is>
      </c>
      <c r="G3227" s="4" t="inlineStr">
        <is>
          <t>07:41</t>
        </is>
      </c>
      <c r="H3227" s="4" t="inlineStr">
        <is>
          <t>13.10.2026</t>
        </is>
      </c>
      <c r="I3227" s="4" t="inlineStr">
        <is>
          <t>17:03</t>
        </is>
      </c>
      <c r="J3227" s="8" t="n">
        <v>7.5</v>
      </c>
      <c r="K3227" s="8" t="n">
        <v>7.5</v>
      </c>
      <c r="L3227" s="8" t="n">
        <v>0</v>
      </c>
      <c r="M3227" s="29" t="inlineStr">
        <is>
          <t>GÜVEN TURİZM</t>
        </is>
      </c>
    </row>
    <row r="3228">
      <c r="A3228" s="4" t="n">
        <v>3227</v>
      </c>
      <c r="B3228" s="4" t="inlineStr">
        <is>
          <t>00842</t>
        </is>
      </c>
      <c r="C3228" s="4" t="inlineStr">
        <is>
          <t>00842</t>
        </is>
      </c>
      <c r="D3228" s="29" t="inlineStr">
        <is>
          <t>RUKİYE UZUN</t>
        </is>
      </c>
      <c r="E3228" s="4" t="inlineStr">
        <is>
          <t>Pazartesi</t>
        </is>
      </c>
      <c r="F3228" s="4" t="inlineStr">
        <is>
          <t>19.10.2026</t>
        </is>
      </c>
      <c r="G3228" s="4" t="inlineStr">
        <is>
          <t>07:39</t>
        </is>
      </c>
      <c r="H3228" s="4" t="inlineStr">
        <is>
          <t>19.10.2026</t>
        </is>
      </c>
      <c r="I3228" s="4" t="inlineStr">
        <is>
          <t>17:48</t>
        </is>
      </c>
      <c r="J3228" s="8" t="n">
        <v>8.5</v>
      </c>
      <c r="K3228" s="8" t="n">
        <v>7.5</v>
      </c>
      <c r="L3228" s="8" t="n">
        <v>1</v>
      </c>
      <c r="M3228" s="29" t="inlineStr">
        <is>
          <t>GÜVEN TURİZM</t>
        </is>
      </c>
    </row>
    <row r="3229">
      <c r="A3229" s="4" t="n">
        <v>3228</v>
      </c>
      <c r="B3229" s="4" t="inlineStr">
        <is>
          <t>00842</t>
        </is>
      </c>
      <c r="C3229" s="4" t="inlineStr">
        <is>
          <t>00842</t>
        </is>
      </c>
      <c r="D3229" s="29" t="inlineStr">
        <is>
          <t>RUKİYE UZUN</t>
        </is>
      </c>
      <c r="E3229" s="4" t="inlineStr">
        <is>
          <t>Salı</t>
        </is>
      </c>
      <c r="F3229" s="4" t="inlineStr">
        <is>
          <t>20.10.2026</t>
        </is>
      </c>
      <c r="G3229" s="4" t="inlineStr">
        <is>
          <t>07:39</t>
        </is>
      </c>
      <c r="H3229" s="4" t="inlineStr">
        <is>
          <t>20.10.2026</t>
        </is>
      </c>
      <c r="I3229" s="4" t="inlineStr">
        <is>
          <t>17:04</t>
        </is>
      </c>
      <c r="J3229" s="8" t="n">
        <v>7.5</v>
      </c>
      <c r="K3229" s="8" t="n">
        <v>7.5</v>
      </c>
      <c r="L3229" s="8" t="n">
        <v>0</v>
      </c>
      <c r="M3229" s="29" t="inlineStr">
        <is>
          <t>GÜVEN TURİZM</t>
        </is>
      </c>
    </row>
    <row r="3230">
      <c r="A3230" s="4" t="n">
        <v>3229</v>
      </c>
      <c r="B3230" s="4" t="inlineStr">
        <is>
          <t>00842</t>
        </is>
      </c>
      <c r="C3230" s="4" t="inlineStr">
        <is>
          <t>00842</t>
        </is>
      </c>
      <c r="D3230" s="29" t="inlineStr">
        <is>
          <t>RUKİYE UZUN</t>
        </is>
      </c>
      <c r="E3230" s="4" t="inlineStr">
        <is>
          <t>Çarşamba</t>
        </is>
      </c>
      <c r="F3230" s="4" t="inlineStr">
        <is>
          <t>21.10.2026</t>
        </is>
      </c>
      <c r="G3230" s="4" t="inlineStr">
        <is>
          <t>07:42</t>
        </is>
      </c>
      <c r="H3230" s="4" t="inlineStr">
        <is>
          <t>21.10.2026</t>
        </is>
      </c>
      <c r="I3230" s="4" t="inlineStr">
        <is>
          <t>17:04</t>
        </is>
      </c>
      <c r="J3230" s="8" t="n">
        <v>7.5</v>
      </c>
      <c r="K3230" s="8" t="n">
        <v>7.5</v>
      </c>
      <c r="L3230" s="8" t="n">
        <v>0</v>
      </c>
      <c r="M3230" s="29" t="inlineStr">
        <is>
          <t>GÜVEN TURİZM</t>
        </is>
      </c>
    </row>
    <row r="3231">
      <c r="A3231" s="4" t="n">
        <v>3230</v>
      </c>
      <c r="B3231" s="4" t="inlineStr">
        <is>
          <t>01449</t>
        </is>
      </c>
      <c r="C3231" s="4" t="inlineStr">
        <is>
          <t>01449</t>
        </is>
      </c>
      <c r="D3231" s="29" t="inlineStr">
        <is>
          <t>SAADET ÇÇAKIR</t>
        </is>
      </c>
      <c r="E3231" s="4" t="inlineStr">
        <is>
          <t>Cuma</t>
        </is>
      </c>
      <c r="F3231" s="4" t="inlineStr">
        <is>
          <t>2.10.2026</t>
        </is>
      </c>
      <c r="G3231" s="4" t="inlineStr">
        <is>
          <t>-</t>
        </is>
      </c>
      <c r="H3231" s="4" t="inlineStr">
        <is>
          <t>2.10.2026</t>
        </is>
      </c>
      <c r="I3231" s="4" t="inlineStr">
        <is>
          <t>20:03</t>
        </is>
      </c>
      <c r="J3231" s="8" t="n">
        <v>10.5</v>
      </c>
      <c r="K3231" s="8" t="n">
        <v>7.5</v>
      </c>
      <c r="L3231" s="8" t="n">
        <v>3</v>
      </c>
      <c r="M3231" s="29" t="inlineStr">
        <is>
          <t>HALİL DİĞRENCİ</t>
        </is>
      </c>
    </row>
    <row r="3232">
      <c r="A3232" s="4" t="n">
        <v>3231</v>
      </c>
      <c r="B3232" s="4" t="inlineStr">
        <is>
          <t>01449</t>
        </is>
      </c>
      <c r="C3232" s="4" t="inlineStr">
        <is>
          <t>01449</t>
        </is>
      </c>
      <c r="D3232" s="29" t="inlineStr">
        <is>
          <t>SAADET ÇÇAKIR</t>
        </is>
      </c>
      <c r="E3232" s="4" t="inlineStr">
        <is>
          <t>Cumartesi</t>
        </is>
      </c>
      <c r="F3232" s="4" t="inlineStr">
        <is>
          <t>3.10.2026</t>
        </is>
      </c>
      <c r="G3232" s="4" t="inlineStr">
        <is>
          <t>08:00</t>
        </is>
      </c>
      <c r="H3232" s="4" t="inlineStr">
        <is>
          <t>3.10.2026</t>
        </is>
      </c>
      <c r="I3232" s="4" t="inlineStr">
        <is>
          <t>20:05</t>
        </is>
      </c>
      <c r="J3232" s="8" t="n">
        <v>10.5</v>
      </c>
      <c r="K3232" s="8" t="n">
        <v>7.5</v>
      </c>
      <c r="L3232" s="8" t="n">
        <v>3</v>
      </c>
      <c r="M3232" s="29" t="inlineStr">
        <is>
          <t>HALİL DİĞRENCİ</t>
        </is>
      </c>
    </row>
    <row r="3233">
      <c r="A3233" s="4" t="n">
        <v>3232</v>
      </c>
      <c r="B3233" s="4" t="inlineStr">
        <is>
          <t>01449</t>
        </is>
      </c>
      <c r="C3233" s="4" t="inlineStr">
        <is>
          <t>01449</t>
        </is>
      </c>
      <c r="D3233" s="29" t="inlineStr">
        <is>
          <t>SAADET ÇÇAKIR</t>
        </is>
      </c>
      <c r="E3233" s="4" t="inlineStr">
        <is>
          <t>Pazartesi</t>
        </is>
      </c>
      <c r="F3233" s="4" t="inlineStr">
        <is>
          <t>5.10.2026</t>
        </is>
      </c>
      <c r="G3233" s="4" t="inlineStr">
        <is>
          <t>08:15</t>
        </is>
      </c>
      <c r="H3233" s="4" t="inlineStr">
        <is>
          <t>5.10.2026</t>
        </is>
      </c>
      <c r="I3233" s="4" t="inlineStr">
        <is>
          <t>19:58</t>
        </is>
      </c>
      <c r="J3233" s="8" t="n">
        <v>10.5</v>
      </c>
      <c r="K3233" s="8" t="n">
        <v>7.5</v>
      </c>
      <c r="L3233" s="8" t="n">
        <v>3</v>
      </c>
      <c r="M3233" s="29" t="inlineStr">
        <is>
          <t>HALİL DİĞRENCİ</t>
        </is>
      </c>
    </row>
    <row r="3234">
      <c r="A3234" s="4" t="n">
        <v>3233</v>
      </c>
      <c r="B3234" s="4" t="inlineStr">
        <is>
          <t>01449</t>
        </is>
      </c>
      <c r="C3234" s="4" t="inlineStr">
        <is>
          <t>01449</t>
        </is>
      </c>
      <c r="D3234" s="29" t="inlineStr">
        <is>
          <t>SAADET ÇÇAKIR</t>
        </is>
      </c>
      <c r="E3234" s="4" t="inlineStr">
        <is>
          <t>Salı</t>
        </is>
      </c>
      <c r="F3234" s="4" t="inlineStr">
        <is>
          <t>6.10.2026</t>
        </is>
      </c>
      <c r="G3234" s="4" t="inlineStr">
        <is>
          <t>08:04</t>
        </is>
      </c>
      <c r="H3234" s="4" t="inlineStr">
        <is>
          <t>6.10.2026</t>
        </is>
      </c>
      <c r="I3234" s="4" t="inlineStr">
        <is>
          <t>20:00</t>
        </is>
      </c>
      <c r="J3234" s="8" t="n">
        <v>10.5</v>
      </c>
      <c r="K3234" s="8" t="n">
        <v>7.5</v>
      </c>
      <c r="L3234" s="8" t="n">
        <v>3</v>
      </c>
      <c r="M3234" s="29" t="inlineStr">
        <is>
          <t>HALİL DİĞRENCİ</t>
        </is>
      </c>
    </row>
    <row r="3235">
      <c r="A3235" s="4" t="n">
        <v>3234</v>
      </c>
      <c r="B3235" s="4" t="inlineStr">
        <is>
          <t>01449</t>
        </is>
      </c>
      <c r="C3235" s="4" t="inlineStr">
        <is>
          <t>01449</t>
        </is>
      </c>
      <c r="D3235" s="29" t="inlineStr">
        <is>
          <t>SAADET ÇÇAKIR</t>
        </is>
      </c>
      <c r="E3235" s="4" t="inlineStr">
        <is>
          <t>Çarşamba</t>
        </is>
      </c>
      <c r="F3235" s="4" t="inlineStr">
        <is>
          <t>7.10.2026</t>
        </is>
      </c>
      <c r="G3235" s="4" t="inlineStr">
        <is>
          <t>07:58</t>
        </is>
      </c>
      <c r="H3235" s="4" t="inlineStr">
        <is>
          <t>7.10.2026</t>
        </is>
      </c>
      <c r="I3235" s="4" t="inlineStr">
        <is>
          <t>20:04</t>
        </is>
      </c>
      <c r="J3235" s="8" t="n">
        <v>10.5</v>
      </c>
      <c r="K3235" s="8" t="n">
        <v>7.5</v>
      </c>
      <c r="L3235" s="8" t="n">
        <v>3</v>
      </c>
      <c r="M3235" s="29" t="inlineStr">
        <is>
          <t>HALİL DİĞRENCİ</t>
        </is>
      </c>
    </row>
    <row r="3236">
      <c r="A3236" s="4" t="n">
        <v>3235</v>
      </c>
      <c r="B3236" s="4" t="inlineStr">
        <is>
          <t>01449</t>
        </is>
      </c>
      <c r="C3236" s="4" t="inlineStr">
        <is>
          <t>01449</t>
        </is>
      </c>
      <c r="D3236" s="29" t="inlineStr">
        <is>
          <t>SAADET ÇÇAKIR</t>
        </is>
      </c>
      <c r="E3236" s="4" t="inlineStr">
        <is>
          <t>Perşembe</t>
        </is>
      </c>
      <c r="F3236" s="4" t="inlineStr">
        <is>
          <t>8.10.2026</t>
        </is>
      </c>
      <c r="G3236" s="4" t="inlineStr">
        <is>
          <t>07:49</t>
        </is>
      </c>
      <c r="H3236" s="4" t="inlineStr">
        <is>
          <t>8.10.2026</t>
        </is>
      </c>
      <c r="I3236" s="4" t="inlineStr">
        <is>
          <t>20:01</t>
        </is>
      </c>
      <c r="J3236" s="8" t="n">
        <v>10.5</v>
      </c>
      <c r="K3236" s="8" t="n">
        <v>7.5</v>
      </c>
      <c r="L3236" s="8" t="n">
        <v>3</v>
      </c>
      <c r="M3236" s="29" t="inlineStr">
        <is>
          <t>HALİL DİĞRENCİ</t>
        </is>
      </c>
    </row>
    <row r="3237">
      <c r="A3237" s="4" t="n">
        <v>3236</v>
      </c>
      <c r="B3237" s="4" t="inlineStr">
        <is>
          <t>01449</t>
        </is>
      </c>
      <c r="C3237" s="4" t="inlineStr">
        <is>
          <t>01449</t>
        </is>
      </c>
      <c r="D3237" s="29" t="inlineStr">
        <is>
          <t>SAADET ÇÇAKIR</t>
        </is>
      </c>
      <c r="E3237" s="4" t="inlineStr">
        <is>
          <t>Cuma</t>
        </is>
      </c>
      <c r="F3237" s="4" t="inlineStr">
        <is>
          <t>9.10.2026</t>
        </is>
      </c>
      <c r="G3237" s="4" t="inlineStr">
        <is>
          <t>07:52</t>
        </is>
      </c>
      <c r="H3237" s="4" t="inlineStr">
        <is>
          <t>9.10.2026</t>
        </is>
      </c>
      <c r="I3237" s="4" t="inlineStr">
        <is>
          <t>20:05</t>
        </is>
      </c>
      <c r="J3237" s="8" t="n">
        <v>10.5</v>
      </c>
      <c r="K3237" s="8" t="n">
        <v>7.5</v>
      </c>
      <c r="L3237" s="8" t="n">
        <v>3</v>
      </c>
      <c r="M3237" s="29" t="inlineStr">
        <is>
          <t>HALİL DİĞRENCİ</t>
        </is>
      </c>
    </row>
    <row r="3238">
      <c r="A3238" s="4" t="n">
        <v>3237</v>
      </c>
      <c r="B3238" s="4" t="inlineStr">
        <is>
          <t>01449</t>
        </is>
      </c>
      <c r="C3238" s="4" t="inlineStr">
        <is>
          <t>01449</t>
        </is>
      </c>
      <c r="D3238" s="29" t="inlineStr">
        <is>
          <t>SAADET ÇÇAKIR</t>
        </is>
      </c>
      <c r="E3238" s="4" t="inlineStr">
        <is>
          <t>Cumartesi</t>
        </is>
      </c>
      <c r="F3238" s="4" t="inlineStr">
        <is>
          <t>10.10.2026</t>
        </is>
      </c>
      <c r="G3238" s="4" t="inlineStr">
        <is>
          <t>08:01</t>
        </is>
      </c>
      <c r="H3238" s="4" t="inlineStr">
        <is>
          <t>10.10.2026</t>
        </is>
      </c>
      <c r="I3238" s="4" t="inlineStr">
        <is>
          <t>20:00</t>
        </is>
      </c>
      <c r="J3238" s="8" t="n">
        <v>10.5</v>
      </c>
      <c r="K3238" s="8" t="n">
        <v>7.5</v>
      </c>
      <c r="L3238" s="8" t="n">
        <v>3</v>
      </c>
      <c r="M3238" s="29" t="inlineStr">
        <is>
          <t>HALİL DİĞRENCİ</t>
        </is>
      </c>
    </row>
    <row r="3239">
      <c r="A3239" s="4" t="n">
        <v>3238</v>
      </c>
      <c r="B3239" s="4" t="inlineStr">
        <is>
          <t>01449</t>
        </is>
      </c>
      <c r="C3239" s="4" t="inlineStr">
        <is>
          <t>01449</t>
        </is>
      </c>
      <c r="D3239" s="29" t="inlineStr">
        <is>
          <t>SAADET ÇÇAKIR</t>
        </is>
      </c>
      <c r="E3239" s="4" t="inlineStr">
        <is>
          <t>Pazartesi</t>
        </is>
      </c>
      <c r="F3239" s="4" t="inlineStr">
        <is>
          <t>12.10.2026</t>
        </is>
      </c>
      <c r="G3239" s="4" t="inlineStr">
        <is>
          <t>08:00</t>
        </is>
      </c>
      <c r="H3239" s="4" t="inlineStr">
        <is>
          <t>12.10.2026</t>
        </is>
      </c>
      <c r="I3239" s="4" t="inlineStr">
        <is>
          <t>20:06</t>
        </is>
      </c>
      <c r="J3239" s="8" t="n">
        <v>10.5</v>
      </c>
      <c r="K3239" s="8" t="n">
        <v>7.5</v>
      </c>
      <c r="L3239" s="8" t="n">
        <v>3</v>
      </c>
      <c r="M3239" s="29" t="inlineStr">
        <is>
          <t>HALİL DİĞRENCİ</t>
        </is>
      </c>
    </row>
    <row r="3240">
      <c r="A3240" s="4" t="n">
        <v>3239</v>
      </c>
      <c r="B3240" s="4" t="inlineStr">
        <is>
          <t>01449</t>
        </is>
      </c>
      <c r="C3240" s="4" t="inlineStr">
        <is>
          <t>01449</t>
        </is>
      </c>
      <c r="D3240" s="29" t="inlineStr">
        <is>
          <t>SAADET ÇÇAKIR</t>
        </is>
      </c>
      <c r="E3240" s="4" t="inlineStr">
        <is>
          <t>Salı</t>
        </is>
      </c>
      <c r="F3240" s="4" t="inlineStr">
        <is>
          <t>13.10.2026</t>
        </is>
      </c>
      <c r="G3240" s="4" t="inlineStr">
        <is>
          <t>07:57</t>
        </is>
      </c>
      <c r="H3240" s="4" t="inlineStr">
        <is>
          <t>13.10.2026</t>
        </is>
      </c>
      <c r="I3240" s="4" t="inlineStr">
        <is>
          <t>19:59</t>
        </is>
      </c>
      <c r="J3240" s="8" t="n">
        <v>10.5</v>
      </c>
      <c r="K3240" s="8" t="n">
        <v>7.5</v>
      </c>
      <c r="L3240" s="8" t="n">
        <v>3</v>
      </c>
      <c r="M3240" s="29" t="inlineStr">
        <is>
          <t>HALİL DİĞRENCİ</t>
        </is>
      </c>
    </row>
    <row r="3241">
      <c r="A3241" s="4" t="n">
        <v>3240</v>
      </c>
      <c r="B3241" s="4" t="inlineStr">
        <is>
          <t>01449</t>
        </is>
      </c>
      <c r="C3241" s="4" t="inlineStr">
        <is>
          <t>01449</t>
        </is>
      </c>
      <c r="D3241" s="29" t="inlineStr">
        <is>
          <t>SAADET ÇÇAKIR</t>
        </is>
      </c>
      <c r="E3241" s="4" t="inlineStr">
        <is>
          <t>Çarşamba</t>
        </is>
      </c>
      <c r="F3241" s="4" t="inlineStr">
        <is>
          <t>14.10.2026</t>
        </is>
      </c>
      <c r="G3241" s="4" t="inlineStr">
        <is>
          <t>08:00</t>
        </is>
      </c>
      <c r="H3241" s="4" t="inlineStr">
        <is>
          <t>14.10.2026</t>
        </is>
      </c>
      <c r="I3241" s="4" t="inlineStr">
        <is>
          <t>20:00</t>
        </is>
      </c>
      <c r="J3241" s="8" t="n">
        <v>10.5</v>
      </c>
      <c r="K3241" s="8" t="n">
        <v>7.5</v>
      </c>
      <c r="L3241" s="8" t="n">
        <v>3</v>
      </c>
      <c r="M3241" s="29" t="inlineStr">
        <is>
          <t>HALİL DİĞRENCİ</t>
        </is>
      </c>
    </row>
    <row r="3242">
      <c r="A3242" s="4" t="n">
        <v>3241</v>
      </c>
      <c r="B3242" s="4" t="inlineStr">
        <is>
          <t>01449</t>
        </is>
      </c>
      <c r="C3242" s="4" t="inlineStr">
        <is>
          <t>01449</t>
        </is>
      </c>
      <c r="D3242" s="29" t="inlineStr">
        <is>
          <t>SAADET ÇÇAKIR</t>
        </is>
      </c>
      <c r="E3242" s="4" t="inlineStr">
        <is>
          <t>Perşembe</t>
        </is>
      </c>
      <c r="F3242" s="4" t="inlineStr">
        <is>
          <t>15.10.2026</t>
        </is>
      </c>
      <c r="G3242" s="4" t="inlineStr">
        <is>
          <t>08:10</t>
        </is>
      </c>
      <c r="H3242" s="4" t="inlineStr">
        <is>
          <t>15.10.2026</t>
        </is>
      </c>
      <c r="I3242" s="4" t="inlineStr">
        <is>
          <t>20:02</t>
        </is>
      </c>
      <c r="J3242" s="8" t="n">
        <v>10.5</v>
      </c>
      <c r="K3242" s="8" t="n">
        <v>7.5</v>
      </c>
      <c r="L3242" s="8" t="n">
        <v>3</v>
      </c>
      <c r="M3242" s="29" t="inlineStr">
        <is>
          <t>HALİL DİĞRENCİ</t>
        </is>
      </c>
    </row>
    <row r="3243">
      <c r="A3243" s="4" t="n">
        <v>3242</v>
      </c>
      <c r="B3243" s="4" t="inlineStr">
        <is>
          <t>01449</t>
        </is>
      </c>
      <c r="C3243" s="4" t="inlineStr">
        <is>
          <t>01449</t>
        </is>
      </c>
      <c r="D3243" s="29" t="inlineStr">
        <is>
          <t>SAADET ÇÇAKIR</t>
        </is>
      </c>
      <c r="E3243" s="4" t="inlineStr">
        <is>
          <t>Pazartesi</t>
        </is>
      </c>
      <c r="F3243" s="4" t="inlineStr">
        <is>
          <t>19.10.2026</t>
        </is>
      </c>
      <c r="G3243" s="4" t="inlineStr">
        <is>
          <t>08:05</t>
        </is>
      </c>
      <c r="H3243" s="4" t="inlineStr">
        <is>
          <t>19.10.2026</t>
        </is>
      </c>
      <c r="I3243" s="4" t="inlineStr">
        <is>
          <t>20:03</t>
        </is>
      </c>
      <c r="J3243" s="8" t="n">
        <v>10.5</v>
      </c>
      <c r="K3243" s="8" t="n">
        <v>7.5</v>
      </c>
      <c r="L3243" s="8" t="n">
        <v>3</v>
      </c>
      <c r="M3243" s="29" t="inlineStr">
        <is>
          <t>HALİL DİĞRENCİ</t>
        </is>
      </c>
    </row>
    <row r="3244">
      <c r="A3244" s="4" t="n">
        <v>3243</v>
      </c>
      <c r="B3244" s="4" t="inlineStr">
        <is>
          <t>01449</t>
        </is>
      </c>
      <c r="C3244" s="4" t="inlineStr">
        <is>
          <t>01449</t>
        </is>
      </c>
      <c r="D3244" s="29" t="inlineStr">
        <is>
          <t>SAADET ÇÇAKIR</t>
        </is>
      </c>
      <c r="E3244" s="4" t="inlineStr">
        <is>
          <t>Salı</t>
        </is>
      </c>
      <c r="F3244" s="4" t="inlineStr">
        <is>
          <t>20.10.2026</t>
        </is>
      </c>
      <c r="G3244" s="4" t="inlineStr">
        <is>
          <t>07:58</t>
        </is>
      </c>
      <c r="H3244" s="4" t="inlineStr">
        <is>
          <t>20.10.2026</t>
        </is>
      </c>
      <c r="I3244" s="4" t="inlineStr">
        <is>
          <t>17:10</t>
        </is>
      </c>
      <c r="J3244" s="8" t="n">
        <v>7.5</v>
      </c>
      <c r="K3244" s="8" t="n">
        <v>7.5</v>
      </c>
      <c r="L3244" s="8" t="n">
        <v>0</v>
      </c>
      <c r="M3244" s="29" t="inlineStr">
        <is>
          <t>HALİL DİĞRENCİ</t>
        </is>
      </c>
    </row>
    <row r="3245">
      <c r="A3245" s="4" t="n">
        <v>3244</v>
      </c>
      <c r="B3245" s="4" t="inlineStr">
        <is>
          <t>01449</t>
        </is>
      </c>
      <c r="C3245" s="4" t="inlineStr">
        <is>
          <t>01449</t>
        </is>
      </c>
      <c r="D3245" s="29" t="inlineStr">
        <is>
          <t>SAADET ÇÇAKIR</t>
        </is>
      </c>
      <c r="E3245" s="4" t="inlineStr">
        <is>
          <t>Çarşamba</t>
        </is>
      </c>
      <c r="F3245" s="4" t="inlineStr">
        <is>
          <t>21.10.2026</t>
        </is>
      </c>
      <c r="G3245" s="4" t="inlineStr">
        <is>
          <t>07:57</t>
        </is>
      </c>
      <c r="H3245" s="4" t="inlineStr">
        <is>
          <t>21.10.2026</t>
        </is>
      </c>
      <c r="I3245" s="4" t="inlineStr">
        <is>
          <t>17:10</t>
        </is>
      </c>
      <c r="J3245" s="8" t="n">
        <v>7.5</v>
      </c>
      <c r="K3245" s="8" t="n">
        <v>7.5</v>
      </c>
      <c r="L3245" s="8" t="n">
        <v>0</v>
      </c>
      <c r="M3245" s="29" t="inlineStr">
        <is>
          <t>HALİL DİĞRENCİ</t>
        </is>
      </c>
    </row>
    <row r="3246">
      <c r="A3246" s="4" t="n">
        <v>3245</v>
      </c>
      <c r="B3246" s="4" t="inlineStr">
        <is>
          <t>00147</t>
        </is>
      </c>
      <c r="C3246" s="4" t="inlineStr">
        <is>
          <t>00147</t>
        </is>
      </c>
      <c r="D3246" s="29" t="inlineStr">
        <is>
          <t>SABİHA GİRGİN</t>
        </is>
      </c>
      <c r="E3246" s="4" t="inlineStr">
        <is>
          <t>Perşembe</t>
        </is>
      </c>
      <c r="F3246" s="4" t="inlineStr">
        <is>
          <t>1.10.2026</t>
        </is>
      </c>
      <c r="G3246" s="4" t="inlineStr">
        <is>
          <t>07:38</t>
        </is>
      </c>
      <c r="H3246" s="4" t="inlineStr">
        <is>
          <t>1.10.2026</t>
        </is>
      </c>
      <c r="I3246" s="4" t="inlineStr">
        <is>
          <t>17:01</t>
        </is>
      </c>
      <c r="J3246" s="8" t="n">
        <v>7.5</v>
      </c>
      <c r="K3246" s="8" t="n">
        <v>7.5</v>
      </c>
      <c r="L3246" s="8" t="n">
        <v>0</v>
      </c>
      <c r="M3246" s="29" t="inlineStr">
        <is>
          <t>SUSURLUK TUR-REŞAT</t>
        </is>
      </c>
    </row>
    <row r="3247">
      <c r="A3247" s="4" t="n">
        <v>3246</v>
      </c>
      <c r="B3247" s="4" t="inlineStr">
        <is>
          <t>00147</t>
        </is>
      </c>
      <c r="C3247" s="4" t="inlineStr">
        <is>
          <t>00147</t>
        </is>
      </c>
      <c r="D3247" s="29" t="inlineStr">
        <is>
          <t>SABİHA GİRGİN</t>
        </is>
      </c>
      <c r="E3247" s="4" t="inlineStr">
        <is>
          <t>Cuma</t>
        </is>
      </c>
      <c r="F3247" s="4" t="inlineStr">
        <is>
          <t>2.10.2026</t>
        </is>
      </c>
      <c r="G3247" s="4" t="inlineStr">
        <is>
          <t>07:42</t>
        </is>
      </c>
      <c r="H3247" s="4" t="inlineStr">
        <is>
          <t>2.10.2026</t>
        </is>
      </c>
      <c r="I3247" s="4" t="inlineStr">
        <is>
          <t>17:04</t>
        </is>
      </c>
      <c r="J3247" s="8" t="n">
        <v>7.5</v>
      </c>
      <c r="K3247" s="8" t="n">
        <v>7.5</v>
      </c>
      <c r="L3247" s="8" t="n">
        <v>0</v>
      </c>
      <c r="M3247" s="29" t="inlineStr">
        <is>
          <t>SUSURLUK TUR-REŞAT</t>
        </is>
      </c>
    </row>
    <row r="3248">
      <c r="A3248" s="4" t="n">
        <v>3247</v>
      </c>
      <c r="B3248" s="4" t="inlineStr">
        <is>
          <t>00147</t>
        </is>
      </c>
      <c r="C3248" s="4" t="inlineStr">
        <is>
          <t>00147</t>
        </is>
      </c>
      <c r="D3248" s="29" t="inlineStr">
        <is>
          <t>SABİHA GİRGİN</t>
        </is>
      </c>
      <c r="E3248" s="4" t="inlineStr">
        <is>
          <t>Pazartesi</t>
        </is>
      </c>
      <c r="F3248" s="4" t="inlineStr">
        <is>
          <t>5.10.2026</t>
        </is>
      </c>
      <c r="G3248" s="4" t="inlineStr">
        <is>
          <t>07:43</t>
        </is>
      </c>
      <c r="H3248" s="4" t="inlineStr">
        <is>
          <t>5.10.2026</t>
        </is>
      </c>
      <c r="I3248" s="4" t="inlineStr">
        <is>
          <t>17:02</t>
        </is>
      </c>
      <c r="J3248" s="8" t="n">
        <v>7.5</v>
      </c>
      <c r="K3248" s="8" t="n">
        <v>7.5</v>
      </c>
      <c r="L3248" s="8" t="n">
        <v>0</v>
      </c>
      <c r="M3248" s="29" t="inlineStr">
        <is>
          <t>SUSURLUK TUR-REŞAT</t>
        </is>
      </c>
    </row>
    <row r="3249">
      <c r="A3249" s="4" t="n">
        <v>3248</v>
      </c>
      <c r="B3249" s="4" t="inlineStr">
        <is>
          <t>00147</t>
        </is>
      </c>
      <c r="C3249" s="4" t="inlineStr">
        <is>
          <t>00147</t>
        </is>
      </c>
      <c r="D3249" s="29" t="inlineStr">
        <is>
          <t>SABİHA GİRGİN</t>
        </is>
      </c>
      <c r="E3249" s="4" t="inlineStr">
        <is>
          <t>Cuma</t>
        </is>
      </c>
      <c r="F3249" s="4" t="inlineStr">
        <is>
          <t>9.10.2026</t>
        </is>
      </c>
      <c r="G3249" s="4" t="inlineStr">
        <is>
          <t>07:47</t>
        </is>
      </c>
      <c r="H3249" s="4" t="inlineStr">
        <is>
          <t>9.10.2026</t>
        </is>
      </c>
      <c r="I3249" s="4" t="inlineStr">
        <is>
          <t>17:04</t>
        </is>
      </c>
      <c r="J3249" s="8" t="n">
        <v>7.5</v>
      </c>
      <c r="K3249" s="8" t="n">
        <v>7.5</v>
      </c>
      <c r="L3249" s="8" t="n">
        <v>0</v>
      </c>
      <c r="M3249" s="29" t="inlineStr">
        <is>
          <t>SUSURLUK TUR-REŞAT</t>
        </is>
      </c>
    </row>
    <row r="3250">
      <c r="A3250" s="4" t="n">
        <v>3249</v>
      </c>
      <c r="B3250" s="4" t="inlineStr">
        <is>
          <t>00147</t>
        </is>
      </c>
      <c r="C3250" s="4" t="inlineStr">
        <is>
          <t>00147</t>
        </is>
      </c>
      <c r="D3250" s="29" t="inlineStr">
        <is>
          <t>SABİHA GİRGİN</t>
        </is>
      </c>
      <c r="E3250" s="4" t="inlineStr">
        <is>
          <t>Cumartesi</t>
        </is>
      </c>
      <c r="F3250" s="4" t="inlineStr">
        <is>
          <t>10.10.2026</t>
        </is>
      </c>
      <c r="G3250" s="4" t="inlineStr">
        <is>
          <t>07:47</t>
        </is>
      </c>
      <c r="H3250" s="4" t="inlineStr">
        <is>
          <t>10.10.2026</t>
        </is>
      </c>
      <c r="I3250" s="4" t="inlineStr">
        <is>
          <t>17:06</t>
        </is>
      </c>
      <c r="J3250" s="8" t="n">
        <v>7.5</v>
      </c>
      <c r="K3250" s="8" t="n">
        <v>7.5</v>
      </c>
      <c r="L3250" s="8" t="n">
        <v>0</v>
      </c>
      <c r="M3250" s="29" t="inlineStr">
        <is>
          <t>SUSURLUK TUR-REŞAT</t>
        </is>
      </c>
    </row>
    <row r="3251">
      <c r="A3251" s="4" t="n">
        <v>3250</v>
      </c>
      <c r="B3251" s="4" t="inlineStr">
        <is>
          <t>00147</t>
        </is>
      </c>
      <c r="C3251" s="4" t="inlineStr">
        <is>
          <t>00147</t>
        </is>
      </c>
      <c r="D3251" s="29" t="inlineStr">
        <is>
          <t>SABİHA GİRGİN</t>
        </is>
      </c>
      <c r="E3251" s="4" t="inlineStr">
        <is>
          <t>Pazar</t>
        </is>
      </c>
      <c r="F3251" s="4" t="inlineStr">
        <is>
          <t>11.10.2026</t>
        </is>
      </c>
      <c r="G3251" s="4" t="inlineStr">
        <is>
          <t>07:40</t>
        </is>
      </c>
      <c r="H3251" s="4" t="inlineStr">
        <is>
          <t>11.10.2026</t>
        </is>
      </c>
      <c r="I3251" s="4" t="inlineStr">
        <is>
          <t>17:04</t>
        </is>
      </c>
      <c r="J3251" s="8" t="n">
        <v>7.5</v>
      </c>
      <c r="K3251" s="8" t="n">
        <v>7.5</v>
      </c>
      <c r="L3251" s="8" t="n">
        <v>0</v>
      </c>
      <c r="M3251" s="29" t="inlineStr">
        <is>
          <t>SUSURLUK TUR-REŞAT</t>
        </is>
      </c>
    </row>
    <row r="3252">
      <c r="A3252" s="4" t="n">
        <v>3251</v>
      </c>
      <c r="B3252" s="4" t="inlineStr">
        <is>
          <t>00147</t>
        </is>
      </c>
      <c r="C3252" s="4" t="inlineStr">
        <is>
          <t>00147</t>
        </is>
      </c>
      <c r="D3252" s="29" t="inlineStr">
        <is>
          <t>SABİHA GİRGİN</t>
        </is>
      </c>
      <c r="E3252" s="4" t="inlineStr">
        <is>
          <t>Salı</t>
        </is>
      </c>
      <c r="F3252" s="4" t="inlineStr">
        <is>
          <t>13.10.2026</t>
        </is>
      </c>
      <c r="G3252" s="4" t="inlineStr">
        <is>
          <t>07:47</t>
        </is>
      </c>
      <c r="H3252" s="4" t="inlineStr">
        <is>
          <t>13.10.2026</t>
        </is>
      </c>
      <c r="I3252" s="4" t="inlineStr">
        <is>
          <t>17:07</t>
        </is>
      </c>
      <c r="J3252" s="8" t="n">
        <v>7.5</v>
      </c>
      <c r="K3252" s="8" t="n">
        <v>7.5</v>
      </c>
      <c r="L3252" s="8" t="n">
        <v>0</v>
      </c>
      <c r="M3252" s="29" t="inlineStr">
        <is>
          <t>SUSURLUK TUR-REŞAT</t>
        </is>
      </c>
    </row>
    <row r="3253">
      <c r="A3253" s="4" t="n">
        <v>3252</v>
      </c>
      <c r="B3253" s="4" t="inlineStr">
        <is>
          <t>00147</t>
        </is>
      </c>
      <c r="C3253" s="4" t="inlineStr">
        <is>
          <t>00147</t>
        </is>
      </c>
      <c r="D3253" s="29" t="inlineStr">
        <is>
          <t>SABİHA GİRGİN</t>
        </is>
      </c>
      <c r="E3253" s="4" t="inlineStr">
        <is>
          <t>Çarşamba</t>
        </is>
      </c>
      <c r="F3253" s="4" t="inlineStr">
        <is>
          <t>14.10.2026</t>
        </is>
      </c>
      <c r="G3253" s="4" t="inlineStr">
        <is>
          <t>07:46</t>
        </is>
      </c>
      <c r="H3253" s="4" t="inlineStr">
        <is>
          <t>14.10.2026</t>
        </is>
      </c>
      <c r="I3253" s="4" t="inlineStr">
        <is>
          <t>19:23</t>
        </is>
      </c>
      <c r="J3253" s="8" t="n">
        <v>10</v>
      </c>
      <c r="K3253" s="8" t="n">
        <v>7.5</v>
      </c>
      <c r="L3253" s="8" t="n">
        <v>2.5</v>
      </c>
      <c r="M3253" s="29" t="inlineStr">
        <is>
          <t>SUSURLUK TUR-REŞAT</t>
        </is>
      </c>
    </row>
    <row r="3254">
      <c r="A3254" s="4" t="n">
        <v>3253</v>
      </c>
      <c r="B3254" s="4" t="inlineStr">
        <is>
          <t>00147</t>
        </is>
      </c>
      <c r="C3254" s="4" t="inlineStr">
        <is>
          <t>00147</t>
        </is>
      </c>
      <c r="D3254" s="29" t="inlineStr">
        <is>
          <t>SABİHA GİRGİN</t>
        </is>
      </c>
      <c r="E3254" s="4" t="inlineStr">
        <is>
          <t>Pazartesi</t>
        </is>
      </c>
      <c r="F3254" s="4" t="inlineStr">
        <is>
          <t>19.10.2026</t>
        </is>
      </c>
      <c r="G3254" s="4" t="inlineStr">
        <is>
          <t>07:39</t>
        </is>
      </c>
      <c r="H3254" s="4" t="inlineStr">
        <is>
          <t>19.10.2026</t>
        </is>
      </c>
      <c r="I3254" s="4" t="inlineStr">
        <is>
          <t>17:05</t>
        </is>
      </c>
      <c r="J3254" s="8" t="n">
        <v>7.5</v>
      </c>
      <c r="K3254" s="8" t="n">
        <v>7.5</v>
      </c>
      <c r="L3254" s="8" t="n">
        <v>0</v>
      </c>
      <c r="M3254" s="29" t="inlineStr">
        <is>
          <t>SUSURLUK TUR-REŞAT</t>
        </is>
      </c>
    </row>
    <row r="3255">
      <c r="A3255" s="4" t="n">
        <v>3254</v>
      </c>
      <c r="B3255" s="4" t="inlineStr">
        <is>
          <t>00147</t>
        </is>
      </c>
      <c r="C3255" s="4" t="inlineStr">
        <is>
          <t>00147</t>
        </is>
      </c>
      <c r="D3255" s="29" t="inlineStr">
        <is>
          <t>SABİHA GİRGİN</t>
        </is>
      </c>
      <c r="E3255" s="4" t="inlineStr">
        <is>
          <t>Salı</t>
        </is>
      </c>
      <c r="F3255" s="4" t="inlineStr">
        <is>
          <t>20.10.2026</t>
        </is>
      </c>
      <c r="G3255" s="4" t="inlineStr">
        <is>
          <t>07:41</t>
        </is>
      </c>
      <c r="H3255" s="4" t="inlineStr">
        <is>
          <t>20.10.2026</t>
        </is>
      </c>
      <c r="I3255" s="4" t="inlineStr">
        <is>
          <t>17:04</t>
        </is>
      </c>
      <c r="J3255" s="8" t="n">
        <v>7.5</v>
      </c>
      <c r="K3255" s="8" t="n">
        <v>7.5</v>
      </c>
      <c r="L3255" s="8" t="n">
        <v>0</v>
      </c>
      <c r="M3255" s="29" t="inlineStr">
        <is>
          <t>SUSURLUK TUR-REŞAT</t>
        </is>
      </c>
    </row>
    <row r="3256">
      <c r="A3256" s="4" t="n">
        <v>3255</v>
      </c>
      <c r="B3256" s="4" t="inlineStr">
        <is>
          <t>00147</t>
        </is>
      </c>
      <c r="C3256" s="4" t="inlineStr">
        <is>
          <t>00147</t>
        </is>
      </c>
      <c r="D3256" s="29" t="inlineStr">
        <is>
          <t>SABİHA GİRGİN</t>
        </is>
      </c>
      <c r="E3256" s="4" t="inlineStr">
        <is>
          <t>Çarşamba</t>
        </is>
      </c>
      <c r="F3256" s="4" t="inlineStr">
        <is>
          <t>21.10.2026</t>
        </is>
      </c>
      <c r="G3256" s="4" t="inlineStr">
        <is>
          <t>07:38</t>
        </is>
      </c>
      <c r="H3256" s="4" t="inlineStr">
        <is>
          <t>21.10.2026</t>
        </is>
      </c>
      <c r="I3256" s="4" t="inlineStr">
        <is>
          <t>17:55</t>
        </is>
      </c>
      <c r="J3256" s="8" t="n">
        <v>8.5</v>
      </c>
      <c r="K3256" s="8" t="n">
        <v>7.5</v>
      </c>
      <c r="L3256" s="8" t="n">
        <v>1</v>
      </c>
      <c r="M3256" s="29" t="inlineStr">
        <is>
          <t>SUSURLUK TUR-REŞAT</t>
        </is>
      </c>
    </row>
    <row r="3257">
      <c r="A3257" s="4" t="n">
        <v>3256</v>
      </c>
      <c r="B3257" s="4" t="inlineStr">
        <is>
          <t>01021</t>
        </is>
      </c>
      <c r="C3257" s="4" t="inlineStr">
        <is>
          <t>01021</t>
        </is>
      </c>
      <c r="D3257" s="29" t="inlineStr">
        <is>
          <t>SABİHA AKIN</t>
        </is>
      </c>
      <c r="E3257" s="4" t="inlineStr">
        <is>
          <t>Perşembe</t>
        </is>
      </c>
      <c r="F3257" s="4" t="inlineStr">
        <is>
          <t>1.10.2026</t>
        </is>
      </c>
      <c r="G3257" s="4" t="inlineStr">
        <is>
          <t>07:57</t>
        </is>
      </c>
      <c r="H3257" s="4" t="inlineStr">
        <is>
          <t>1.10.2026</t>
        </is>
      </c>
      <c r="I3257" s="4" t="inlineStr">
        <is>
          <t>17:08</t>
        </is>
      </c>
      <c r="J3257" s="8" t="n">
        <v>7.5</v>
      </c>
      <c r="K3257" s="8" t="n">
        <v>7.5</v>
      </c>
      <c r="L3257" s="8" t="n">
        <v>0</v>
      </c>
      <c r="M3257" s="29" t="inlineStr">
        <is>
          <t>HALİL DİĞRENCİ</t>
        </is>
      </c>
    </row>
    <row r="3258">
      <c r="A3258" s="4" t="n">
        <v>3257</v>
      </c>
      <c r="B3258" s="4" t="inlineStr">
        <is>
          <t>01021</t>
        </is>
      </c>
      <c r="C3258" s="4" t="inlineStr">
        <is>
          <t>01021</t>
        </is>
      </c>
      <c r="D3258" s="29" t="inlineStr">
        <is>
          <t>SABİHA AKIN</t>
        </is>
      </c>
      <c r="E3258" s="4" t="inlineStr">
        <is>
          <t>Cumartesi</t>
        </is>
      </c>
      <c r="F3258" s="4" t="inlineStr">
        <is>
          <t>3.10.2026</t>
        </is>
      </c>
      <c r="G3258" s="4" t="inlineStr">
        <is>
          <t>08:06</t>
        </is>
      </c>
      <c r="H3258" s="4" t="inlineStr">
        <is>
          <t>3.10.2026</t>
        </is>
      </c>
      <c r="I3258" s="4" t="inlineStr">
        <is>
          <t>17:10</t>
        </is>
      </c>
      <c r="J3258" s="8" t="n">
        <v>7.5</v>
      </c>
      <c r="K3258" s="8" t="n">
        <v>7.5</v>
      </c>
      <c r="L3258" s="8" t="n">
        <v>0</v>
      </c>
      <c r="M3258" s="29" t="inlineStr">
        <is>
          <t>HALİL DİĞRENCİ</t>
        </is>
      </c>
    </row>
    <row r="3259">
      <c r="A3259" s="4" t="n">
        <v>3258</v>
      </c>
      <c r="B3259" s="4" t="inlineStr">
        <is>
          <t>01021</t>
        </is>
      </c>
      <c r="C3259" s="4" t="inlineStr">
        <is>
          <t>01021</t>
        </is>
      </c>
      <c r="D3259" s="29" t="inlineStr">
        <is>
          <t>SABİHA AKIN</t>
        </is>
      </c>
      <c r="E3259" s="4" t="inlineStr">
        <is>
          <t>Pazartesi</t>
        </is>
      </c>
      <c r="F3259" s="4" t="inlineStr">
        <is>
          <t>5.10.2026</t>
        </is>
      </c>
      <c r="G3259" s="4" t="inlineStr">
        <is>
          <t>08:01</t>
        </is>
      </c>
      <c r="H3259" s="4" t="inlineStr">
        <is>
          <t>5.10.2026</t>
        </is>
      </c>
      <c r="I3259" s="4" t="inlineStr">
        <is>
          <t>20:03</t>
        </is>
      </c>
      <c r="J3259" s="8" t="n">
        <v>10.5</v>
      </c>
      <c r="K3259" s="8" t="n">
        <v>7.5</v>
      </c>
      <c r="L3259" s="8" t="n">
        <v>3</v>
      </c>
      <c r="M3259" s="29" t="inlineStr">
        <is>
          <t>HALİL DİĞRENCİ</t>
        </is>
      </c>
    </row>
    <row r="3260">
      <c r="A3260" s="4" t="n">
        <v>3259</v>
      </c>
      <c r="B3260" s="4" t="inlineStr">
        <is>
          <t>01021</t>
        </is>
      </c>
      <c r="C3260" s="4" t="inlineStr">
        <is>
          <t>01021</t>
        </is>
      </c>
      <c r="D3260" s="29" t="inlineStr">
        <is>
          <t>SABİHA AKIN</t>
        </is>
      </c>
      <c r="E3260" s="4" t="inlineStr">
        <is>
          <t>Salı</t>
        </is>
      </c>
      <c r="F3260" s="4" t="inlineStr">
        <is>
          <t>6.10.2026</t>
        </is>
      </c>
      <c r="G3260" s="4" t="inlineStr">
        <is>
          <t>08:00</t>
        </is>
      </c>
      <c r="H3260" s="4" t="inlineStr">
        <is>
          <t>6.10.2026</t>
        </is>
      </c>
      <c r="I3260" s="4" t="inlineStr">
        <is>
          <t>20:02</t>
        </is>
      </c>
      <c r="J3260" s="8" t="n">
        <v>10.5</v>
      </c>
      <c r="K3260" s="8" t="n">
        <v>7.5</v>
      </c>
      <c r="L3260" s="8" t="n">
        <v>3</v>
      </c>
      <c r="M3260" s="29" t="inlineStr">
        <is>
          <t>HALİL DİĞRENCİ</t>
        </is>
      </c>
    </row>
    <row r="3261">
      <c r="A3261" s="4" t="n">
        <v>3260</v>
      </c>
      <c r="B3261" s="4" t="inlineStr">
        <is>
          <t>01021</t>
        </is>
      </c>
      <c r="C3261" s="4" t="inlineStr">
        <is>
          <t>01021</t>
        </is>
      </c>
      <c r="D3261" s="29" t="inlineStr">
        <is>
          <t>SABİHA AKIN</t>
        </is>
      </c>
      <c r="E3261" s="4" t="inlineStr">
        <is>
          <t>Perşembe</t>
        </is>
      </c>
      <c r="F3261" s="4" t="inlineStr">
        <is>
          <t>8.10.2026</t>
        </is>
      </c>
      <c r="G3261" s="4" t="inlineStr">
        <is>
          <t>07:52</t>
        </is>
      </c>
      <c r="H3261" s="4" t="inlineStr">
        <is>
          <t>8.10.2026</t>
        </is>
      </c>
      <c r="I3261" s="4" t="inlineStr">
        <is>
          <t>20:05</t>
        </is>
      </c>
      <c r="J3261" s="8" t="n">
        <v>10.5</v>
      </c>
      <c r="K3261" s="8" t="n">
        <v>7.5</v>
      </c>
      <c r="L3261" s="8" t="n">
        <v>3</v>
      </c>
      <c r="M3261" s="29" t="inlineStr">
        <is>
          <t>HALİL DİĞRENCİ</t>
        </is>
      </c>
    </row>
    <row r="3262">
      <c r="A3262" s="4" t="n">
        <v>3261</v>
      </c>
      <c r="B3262" s="4" t="inlineStr">
        <is>
          <t>01021</t>
        </is>
      </c>
      <c r="C3262" s="4" t="inlineStr">
        <is>
          <t>01021</t>
        </is>
      </c>
      <c r="D3262" s="29" t="inlineStr">
        <is>
          <t>SABİHA AKIN</t>
        </is>
      </c>
      <c r="E3262" s="4" t="inlineStr">
        <is>
          <t>Cuma</t>
        </is>
      </c>
      <c r="F3262" s="4" t="inlineStr">
        <is>
          <t>9.10.2026</t>
        </is>
      </c>
      <c r="G3262" s="4" t="inlineStr">
        <is>
          <t>07:58</t>
        </is>
      </c>
      <c r="H3262" s="4" t="inlineStr">
        <is>
          <t>9.10.2026</t>
        </is>
      </c>
      <c r="I3262" s="4" t="inlineStr">
        <is>
          <t>20:05</t>
        </is>
      </c>
      <c r="J3262" s="8" t="n">
        <v>10.5</v>
      </c>
      <c r="K3262" s="8" t="n">
        <v>7.5</v>
      </c>
      <c r="L3262" s="8" t="n">
        <v>3</v>
      </c>
      <c r="M3262" s="29" t="inlineStr">
        <is>
          <t>HALİL DİĞRENCİ</t>
        </is>
      </c>
    </row>
    <row r="3263">
      <c r="A3263" s="4" t="n">
        <v>3262</v>
      </c>
      <c r="B3263" s="4" t="inlineStr">
        <is>
          <t>01021</t>
        </is>
      </c>
      <c r="C3263" s="4" t="inlineStr">
        <is>
          <t>01021</t>
        </is>
      </c>
      <c r="D3263" s="29" t="inlineStr">
        <is>
          <t>SABİHA AKIN</t>
        </is>
      </c>
      <c r="E3263" s="4" t="inlineStr">
        <is>
          <t>Pazartesi</t>
        </is>
      </c>
      <c r="F3263" s="4" t="inlineStr">
        <is>
          <t>12.10.2026</t>
        </is>
      </c>
      <c r="G3263" s="4" t="inlineStr">
        <is>
          <t>08:02</t>
        </is>
      </c>
      <c r="H3263" s="4" t="inlineStr">
        <is>
          <t>12.10.2026</t>
        </is>
      </c>
      <c r="I3263" s="4" t="inlineStr">
        <is>
          <t>20:06</t>
        </is>
      </c>
      <c r="J3263" s="8" t="n">
        <v>10.5</v>
      </c>
      <c r="K3263" s="8" t="n">
        <v>7.5</v>
      </c>
      <c r="L3263" s="8" t="n">
        <v>3</v>
      </c>
      <c r="M3263" s="29" t="inlineStr">
        <is>
          <t>HALİL DİĞRENCİ</t>
        </is>
      </c>
    </row>
    <row r="3264">
      <c r="A3264" s="4" t="n">
        <v>3263</v>
      </c>
      <c r="B3264" s="4" t="inlineStr">
        <is>
          <t>01021</t>
        </is>
      </c>
      <c r="C3264" s="4" t="inlineStr">
        <is>
          <t>01021</t>
        </is>
      </c>
      <c r="D3264" s="29" t="inlineStr">
        <is>
          <t>SABİHA AKIN</t>
        </is>
      </c>
      <c r="E3264" s="4" t="inlineStr">
        <is>
          <t>Çarşamba</t>
        </is>
      </c>
      <c r="F3264" s="4" t="inlineStr">
        <is>
          <t>14.10.2026</t>
        </is>
      </c>
      <c r="G3264" s="4" t="inlineStr">
        <is>
          <t>08:00</t>
        </is>
      </c>
      <c r="H3264" s="4" t="inlineStr">
        <is>
          <t>14.10.2026</t>
        </is>
      </c>
      <c r="I3264" s="4" t="inlineStr">
        <is>
          <t>20:00</t>
        </is>
      </c>
      <c r="J3264" s="8" t="n">
        <v>10.5</v>
      </c>
      <c r="K3264" s="8" t="n">
        <v>7.5</v>
      </c>
      <c r="L3264" s="8" t="n">
        <v>3</v>
      </c>
      <c r="M3264" s="29" t="inlineStr">
        <is>
          <t>HALİL DİĞRENCİ</t>
        </is>
      </c>
    </row>
    <row r="3265">
      <c r="A3265" s="4" t="n">
        <v>3264</v>
      </c>
      <c r="B3265" s="4" t="inlineStr">
        <is>
          <t>01021</t>
        </is>
      </c>
      <c r="C3265" s="4" t="inlineStr">
        <is>
          <t>01021</t>
        </is>
      </c>
      <c r="D3265" s="29" t="inlineStr">
        <is>
          <t>SABİHA AKIN</t>
        </is>
      </c>
      <c r="E3265" s="4" t="inlineStr">
        <is>
          <t>Perşembe</t>
        </is>
      </c>
      <c r="F3265" s="4" t="inlineStr">
        <is>
          <t>15.10.2026</t>
        </is>
      </c>
      <c r="G3265" s="4" t="inlineStr">
        <is>
          <t>08:04</t>
        </is>
      </c>
      <c r="H3265" s="4" t="inlineStr">
        <is>
          <t>15.10.2026</t>
        </is>
      </c>
      <c r="I3265" s="4" t="inlineStr">
        <is>
          <t>20:01</t>
        </is>
      </c>
      <c r="J3265" s="8" t="n">
        <v>10.5</v>
      </c>
      <c r="K3265" s="8" t="n">
        <v>7.5</v>
      </c>
      <c r="L3265" s="8" t="n">
        <v>3</v>
      </c>
      <c r="M3265" s="29" t="inlineStr">
        <is>
          <t>HALİL DİĞRENCİ</t>
        </is>
      </c>
    </row>
    <row r="3266">
      <c r="A3266" s="4" t="n">
        <v>3265</v>
      </c>
      <c r="B3266" s="4" t="inlineStr">
        <is>
          <t>01021</t>
        </is>
      </c>
      <c r="C3266" s="4" t="inlineStr">
        <is>
          <t>01021</t>
        </is>
      </c>
      <c r="D3266" s="29" t="inlineStr">
        <is>
          <t>SABİHA AKIN</t>
        </is>
      </c>
      <c r="E3266" s="4" t="inlineStr">
        <is>
          <t>Cuma</t>
        </is>
      </c>
      <c r="F3266" s="4" t="inlineStr">
        <is>
          <t>16.10.2026</t>
        </is>
      </c>
      <c r="G3266" s="4" t="inlineStr">
        <is>
          <t>07:55</t>
        </is>
      </c>
      <c r="H3266" s="4" t="inlineStr">
        <is>
          <t>16.10.2026</t>
        </is>
      </c>
      <c r="I3266" s="4" t="inlineStr">
        <is>
          <t>20:00</t>
        </is>
      </c>
      <c r="J3266" s="8" t="n">
        <v>10.5</v>
      </c>
      <c r="K3266" s="8" t="n">
        <v>7.5</v>
      </c>
      <c r="L3266" s="8" t="n">
        <v>3</v>
      </c>
      <c r="M3266" s="29" t="inlineStr">
        <is>
          <t>HALİL DİĞRENCİ</t>
        </is>
      </c>
    </row>
    <row r="3267">
      <c r="A3267" s="4" t="n">
        <v>3266</v>
      </c>
      <c r="B3267" s="4" t="inlineStr">
        <is>
          <t>01021</t>
        </is>
      </c>
      <c r="C3267" s="4" t="inlineStr">
        <is>
          <t>01021</t>
        </is>
      </c>
      <c r="D3267" s="29" t="inlineStr">
        <is>
          <t>SABİHA AKIN</t>
        </is>
      </c>
      <c r="E3267" s="4" t="inlineStr">
        <is>
          <t>Pazartesi</t>
        </is>
      </c>
      <c r="F3267" s="4" t="inlineStr">
        <is>
          <t>19.10.2026</t>
        </is>
      </c>
      <c r="G3267" s="4" t="inlineStr">
        <is>
          <t>08:02</t>
        </is>
      </c>
      <c r="H3267" s="4" t="inlineStr">
        <is>
          <t>19.10.2026</t>
        </is>
      </c>
      <c r="I3267" s="4" t="inlineStr">
        <is>
          <t>17:41</t>
        </is>
      </c>
      <c r="J3267" s="8" t="n">
        <v>8</v>
      </c>
      <c r="K3267" s="8" t="n">
        <v>7.5</v>
      </c>
      <c r="L3267" s="8" t="n">
        <v>0.5</v>
      </c>
      <c r="M3267" s="29" t="inlineStr">
        <is>
          <t>HALİL DİĞRENCİ</t>
        </is>
      </c>
    </row>
    <row r="3268">
      <c r="A3268" s="4" t="n">
        <v>3267</v>
      </c>
      <c r="B3268" s="4" t="inlineStr">
        <is>
          <t>01021</t>
        </is>
      </c>
      <c r="C3268" s="4" t="inlineStr">
        <is>
          <t>01021</t>
        </is>
      </c>
      <c r="D3268" s="29" t="inlineStr">
        <is>
          <t>SABİHA AKIN</t>
        </is>
      </c>
      <c r="E3268" s="4" t="inlineStr">
        <is>
          <t>Çarşamba</t>
        </is>
      </c>
      <c r="F3268" s="4" t="inlineStr">
        <is>
          <t>21.10.2026</t>
        </is>
      </c>
      <c r="G3268" s="4" t="inlineStr">
        <is>
          <t>07:58</t>
        </is>
      </c>
      <c r="H3268" s="4" t="inlineStr">
        <is>
          <t>21.10.2026</t>
        </is>
      </c>
      <c r="I3268" s="4" t="inlineStr">
        <is>
          <t>17:05</t>
        </is>
      </c>
      <c r="J3268" s="8" t="n">
        <v>7.5</v>
      </c>
      <c r="K3268" s="8" t="n">
        <v>7.5</v>
      </c>
      <c r="L3268" s="8" t="n">
        <v>0</v>
      </c>
      <c r="M3268" s="29" t="inlineStr">
        <is>
          <t>HALİL DİĞRENCİ</t>
        </is>
      </c>
    </row>
    <row r="3269">
      <c r="A3269" s="4" t="n">
        <v>3268</v>
      </c>
      <c r="B3269" s="4" t="inlineStr">
        <is>
          <t>00536</t>
        </is>
      </c>
      <c r="C3269" s="4" t="inlineStr">
        <is>
          <t>00536</t>
        </is>
      </c>
      <c r="D3269" s="29" t="inlineStr">
        <is>
          <t>SABRİ ACAR</t>
        </is>
      </c>
      <c r="E3269" s="4" t="inlineStr">
        <is>
          <t>Perşembe</t>
        </is>
      </c>
      <c r="F3269" s="4" t="inlineStr">
        <is>
          <t>1.10.2026</t>
        </is>
      </c>
      <c r="G3269" s="4" t="inlineStr">
        <is>
          <t>23:43</t>
        </is>
      </c>
      <c r="H3269" s="4" t="inlineStr">
        <is>
          <t>1.10.2026</t>
        </is>
      </c>
      <c r="I3269" s="4" t="inlineStr">
        <is>
          <t>-</t>
        </is>
      </c>
      <c r="J3269" s="8" t="n">
        <v>7.5</v>
      </c>
      <c r="K3269" s="8" t="n">
        <v>7.5</v>
      </c>
      <c r="L3269" s="8" t="n">
        <v>0</v>
      </c>
      <c r="M3269" s="29" t="inlineStr">
        <is>
          <t>SUSURLUK</t>
        </is>
      </c>
    </row>
    <row r="3270">
      <c r="A3270" s="4" t="n">
        <v>3269</v>
      </c>
      <c r="B3270" s="4" t="inlineStr">
        <is>
          <t>00536</t>
        </is>
      </c>
      <c r="C3270" s="4" t="inlineStr">
        <is>
          <t>00536</t>
        </is>
      </c>
      <c r="D3270" s="29" t="inlineStr">
        <is>
          <t>SABRİ ACAR</t>
        </is>
      </c>
      <c r="E3270" s="4" t="inlineStr">
        <is>
          <t>Cuma</t>
        </is>
      </c>
      <c r="F3270" s="4" t="inlineStr">
        <is>
          <t>2.10.2026</t>
        </is>
      </c>
      <c r="G3270" s="4" t="inlineStr">
        <is>
          <t>00:01</t>
        </is>
      </c>
      <c r="H3270" s="4" t="inlineStr">
        <is>
          <t>2.10.2026</t>
        </is>
      </c>
      <c r="I3270" s="4" t="inlineStr">
        <is>
          <t>07:55</t>
        </is>
      </c>
      <c r="J3270" s="8" t="n">
        <v>14.7</v>
      </c>
      <c r="K3270" s="8" t="n">
        <v>7.5</v>
      </c>
      <c r="L3270" s="8" t="n">
        <v>7.2</v>
      </c>
      <c r="M3270" s="29" t="inlineStr">
        <is>
          <t>SUSURLUK</t>
        </is>
      </c>
    </row>
    <row r="3271">
      <c r="A3271" s="4" t="n">
        <v>3270</v>
      </c>
      <c r="B3271" s="4" t="inlineStr">
        <is>
          <t>00536</t>
        </is>
      </c>
      <c r="C3271" s="4" t="inlineStr">
        <is>
          <t>00536</t>
        </is>
      </c>
      <c r="D3271" s="29" t="inlineStr">
        <is>
          <t>SABRİ ACAR</t>
        </is>
      </c>
      <c r="E3271" s="4" t="inlineStr">
        <is>
          <t>Pazar</t>
        </is>
      </c>
      <c r="F3271" s="4" t="inlineStr">
        <is>
          <t>4.10.2026</t>
        </is>
      </c>
      <c r="G3271" s="4" t="inlineStr">
        <is>
          <t>23:44</t>
        </is>
      </c>
      <c r="H3271" s="4" t="inlineStr">
        <is>
          <t>4.10.2026</t>
        </is>
      </c>
      <c r="I3271" s="4" t="inlineStr">
        <is>
          <t>07:52</t>
        </is>
      </c>
      <c r="J3271" s="8" t="n">
        <v>7.5</v>
      </c>
      <c r="K3271" s="8" t="n">
        <v>7.5</v>
      </c>
      <c r="L3271" s="8" t="n">
        <v>0</v>
      </c>
      <c r="M3271" s="29" t="inlineStr">
        <is>
          <t>SUSURLUK</t>
        </is>
      </c>
    </row>
    <row r="3272">
      <c r="A3272" s="4" t="n">
        <v>3271</v>
      </c>
      <c r="B3272" s="4" t="inlineStr">
        <is>
          <t>00536</t>
        </is>
      </c>
      <c r="C3272" s="4" t="inlineStr">
        <is>
          <t>00536</t>
        </is>
      </c>
      <c r="D3272" s="29" t="inlineStr">
        <is>
          <t>SABRİ ACAR</t>
        </is>
      </c>
      <c r="E3272" s="4" t="inlineStr">
        <is>
          <t>Pazartesi</t>
        </is>
      </c>
      <c r="F3272" s="4" t="inlineStr">
        <is>
          <t>5.10.2026</t>
        </is>
      </c>
      <c r="G3272" s="4" t="inlineStr">
        <is>
          <t>23:49</t>
        </is>
      </c>
      <c r="H3272" s="4" t="inlineStr">
        <is>
          <t>5.10.2026</t>
        </is>
      </c>
      <c r="I3272" s="4" t="inlineStr">
        <is>
          <t>07:51</t>
        </is>
      </c>
      <c r="J3272" s="8" t="n">
        <v>7.5</v>
      </c>
      <c r="K3272" s="8" t="n">
        <v>7.5</v>
      </c>
      <c r="L3272" s="8" t="n">
        <v>0</v>
      </c>
      <c r="M3272" s="29" t="inlineStr">
        <is>
          <t>SUSURLUK</t>
        </is>
      </c>
    </row>
    <row r="3273">
      <c r="A3273" s="4" t="n">
        <v>3272</v>
      </c>
      <c r="B3273" s="4" t="inlineStr">
        <is>
          <t>00536</t>
        </is>
      </c>
      <c r="C3273" s="4" t="inlineStr">
        <is>
          <t>00536</t>
        </is>
      </c>
      <c r="D3273" s="29" t="inlineStr">
        <is>
          <t>SABRİ ACAR</t>
        </is>
      </c>
      <c r="E3273" s="4" t="inlineStr">
        <is>
          <t>Salı</t>
        </is>
      </c>
      <c r="F3273" s="4" t="inlineStr">
        <is>
          <t>6.10.2026</t>
        </is>
      </c>
      <c r="G3273" s="4" t="inlineStr">
        <is>
          <t>23:44</t>
        </is>
      </c>
      <c r="H3273" s="4" t="inlineStr">
        <is>
          <t>6.10.2026</t>
        </is>
      </c>
      <c r="I3273" s="4" t="inlineStr">
        <is>
          <t>07:52</t>
        </is>
      </c>
      <c r="J3273" s="8" t="n">
        <v>7.5</v>
      </c>
      <c r="K3273" s="8" t="n">
        <v>7.5</v>
      </c>
      <c r="L3273" s="8" t="n">
        <v>0</v>
      </c>
      <c r="M3273" s="29" t="inlineStr">
        <is>
          <t>SUSURLUK</t>
        </is>
      </c>
    </row>
    <row r="3274">
      <c r="A3274" s="4" t="n">
        <v>3273</v>
      </c>
      <c r="B3274" s="4" t="inlineStr">
        <is>
          <t>00536</t>
        </is>
      </c>
      <c r="C3274" s="4" t="inlineStr">
        <is>
          <t>00536</t>
        </is>
      </c>
      <c r="D3274" s="29" t="inlineStr">
        <is>
          <t>SABRİ ACAR</t>
        </is>
      </c>
      <c r="E3274" s="4" t="inlineStr">
        <is>
          <t>Çarşamba</t>
        </is>
      </c>
      <c r="F3274" s="4" t="inlineStr">
        <is>
          <t>7.10.2026</t>
        </is>
      </c>
      <c r="G3274" s="4" t="inlineStr">
        <is>
          <t>23:49</t>
        </is>
      </c>
      <c r="H3274" s="4" t="inlineStr">
        <is>
          <t>7.10.2026</t>
        </is>
      </c>
      <c r="I3274" s="4" t="inlineStr">
        <is>
          <t>07:54</t>
        </is>
      </c>
      <c r="J3274" s="8" t="n">
        <v>7.5</v>
      </c>
      <c r="K3274" s="8" t="n">
        <v>7.5</v>
      </c>
      <c r="L3274" s="8" t="n">
        <v>0</v>
      </c>
      <c r="M3274" s="29" t="inlineStr">
        <is>
          <t>SUSURLUK</t>
        </is>
      </c>
    </row>
    <row r="3275">
      <c r="A3275" s="4" t="n">
        <v>3274</v>
      </c>
      <c r="B3275" s="4" t="inlineStr">
        <is>
          <t>00536</t>
        </is>
      </c>
      <c r="C3275" s="4" t="inlineStr">
        <is>
          <t>00536</t>
        </is>
      </c>
      <c r="D3275" s="29" t="inlineStr">
        <is>
          <t>SABRİ ACAR</t>
        </is>
      </c>
      <c r="E3275" s="4" t="inlineStr">
        <is>
          <t>Perşembe</t>
        </is>
      </c>
      <c r="F3275" s="4" t="inlineStr">
        <is>
          <t>8.10.2026</t>
        </is>
      </c>
      <c r="G3275" s="4" t="inlineStr">
        <is>
          <t>23:48</t>
        </is>
      </c>
      <c r="H3275" s="4" t="inlineStr">
        <is>
          <t>8.10.2026</t>
        </is>
      </c>
      <c r="I3275" s="4" t="inlineStr">
        <is>
          <t>07:50</t>
        </is>
      </c>
      <c r="J3275" s="8" t="n">
        <v>7.5</v>
      </c>
      <c r="K3275" s="8" t="n">
        <v>7.5</v>
      </c>
      <c r="L3275" s="8" t="n">
        <v>0</v>
      </c>
      <c r="M3275" s="29" t="inlineStr">
        <is>
          <t>SUSURLUK</t>
        </is>
      </c>
    </row>
    <row r="3276">
      <c r="A3276" s="4" t="n">
        <v>3275</v>
      </c>
      <c r="B3276" s="4" t="inlineStr">
        <is>
          <t>00536</t>
        </is>
      </c>
      <c r="C3276" s="4" t="inlineStr">
        <is>
          <t>00536</t>
        </is>
      </c>
      <c r="D3276" s="29" t="inlineStr">
        <is>
          <t>SABRİ ACAR</t>
        </is>
      </c>
      <c r="E3276" s="4" t="inlineStr">
        <is>
          <t>Cuma</t>
        </is>
      </c>
      <c r="F3276" s="4" t="inlineStr">
        <is>
          <t>9.10.2026</t>
        </is>
      </c>
      <c r="G3276" s="4" t="inlineStr">
        <is>
          <t>23:40</t>
        </is>
      </c>
      <c r="H3276" s="4" t="inlineStr">
        <is>
          <t>9.10.2026</t>
        </is>
      </c>
      <c r="I3276" s="4" t="inlineStr">
        <is>
          <t>07:47</t>
        </is>
      </c>
      <c r="J3276" s="8" t="n">
        <v>7.5</v>
      </c>
      <c r="K3276" s="8" t="n">
        <v>7.5</v>
      </c>
      <c r="L3276" s="8" t="n">
        <v>0</v>
      </c>
      <c r="M3276" s="29" t="inlineStr">
        <is>
          <t>SUSURLUK</t>
        </is>
      </c>
    </row>
    <row r="3277">
      <c r="A3277" s="4" t="n">
        <v>3276</v>
      </c>
      <c r="B3277" s="4" t="inlineStr">
        <is>
          <t>00536</t>
        </is>
      </c>
      <c r="C3277" s="4" t="inlineStr">
        <is>
          <t>00536</t>
        </is>
      </c>
      <c r="D3277" s="29" t="inlineStr">
        <is>
          <t>SABRİ ACAR</t>
        </is>
      </c>
      <c r="E3277" s="4" t="inlineStr">
        <is>
          <t>Pazar</t>
        </is>
      </c>
      <c r="F3277" s="4" t="inlineStr">
        <is>
          <t>11.10.2026</t>
        </is>
      </c>
      <c r="G3277" s="4" t="inlineStr">
        <is>
          <t>23:52</t>
        </is>
      </c>
      <c r="H3277" s="4" t="inlineStr">
        <is>
          <t>11.10.2026</t>
        </is>
      </c>
      <c r="I3277" s="4" t="inlineStr">
        <is>
          <t>07:49</t>
        </is>
      </c>
      <c r="J3277" s="8" t="n">
        <v>7.5</v>
      </c>
      <c r="K3277" s="8" t="n">
        <v>7.5</v>
      </c>
      <c r="L3277" s="8" t="n">
        <v>0</v>
      </c>
      <c r="M3277" s="29" t="inlineStr">
        <is>
          <t>SUSURLUK</t>
        </is>
      </c>
    </row>
    <row r="3278">
      <c r="A3278" s="4" t="n">
        <v>3277</v>
      </c>
      <c r="B3278" s="4" t="inlineStr">
        <is>
          <t>00536</t>
        </is>
      </c>
      <c r="C3278" s="4" t="inlineStr">
        <is>
          <t>00536</t>
        </is>
      </c>
      <c r="D3278" s="29" t="inlineStr">
        <is>
          <t>SABRİ ACAR</t>
        </is>
      </c>
      <c r="E3278" s="4" t="inlineStr">
        <is>
          <t>Pazartesi</t>
        </is>
      </c>
      <c r="F3278" s="4" t="inlineStr">
        <is>
          <t>12.10.2026</t>
        </is>
      </c>
      <c r="G3278" s="4" t="inlineStr">
        <is>
          <t>23:46</t>
        </is>
      </c>
      <c r="H3278" s="4" t="inlineStr">
        <is>
          <t>12.10.2026</t>
        </is>
      </c>
      <c r="I3278" s="4" t="inlineStr">
        <is>
          <t>07:55</t>
        </is>
      </c>
      <c r="J3278" s="8" t="n">
        <v>7.5</v>
      </c>
      <c r="K3278" s="8" t="n">
        <v>7.5</v>
      </c>
      <c r="L3278" s="8" t="n">
        <v>0</v>
      </c>
      <c r="M3278" s="29" t="inlineStr">
        <is>
          <t>SUSURLUK</t>
        </is>
      </c>
    </row>
    <row r="3279">
      <c r="A3279" s="4" t="n">
        <v>3278</v>
      </c>
      <c r="B3279" s="4" t="inlineStr">
        <is>
          <t>00536</t>
        </is>
      </c>
      <c r="C3279" s="4" t="inlineStr">
        <is>
          <t>00536</t>
        </is>
      </c>
      <c r="D3279" s="29" t="inlineStr">
        <is>
          <t>SABRİ ACAR</t>
        </is>
      </c>
      <c r="E3279" s="4" t="inlineStr">
        <is>
          <t>Salı</t>
        </is>
      </c>
      <c r="F3279" s="4" t="inlineStr">
        <is>
          <t>13.10.2026</t>
        </is>
      </c>
      <c r="G3279" s="4" t="inlineStr">
        <is>
          <t>23:55</t>
        </is>
      </c>
      <c r="H3279" s="4" t="inlineStr">
        <is>
          <t>13.10.2026</t>
        </is>
      </c>
      <c r="I3279" s="4" t="inlineStr">
        <is>
          <t>07:47</t>
        </is>
      </c>
      <c r="J3279" s="8" t="n">
        <v>7.5</v>
      </c>
      <c r="K3279" s="8" t="n">
        <v>7.5</v>
      </c>
      <c r="L3279" s="8" t="n">
        <v>0</v>
      </c>
      <c r="M3279" s="29" t="inlineStr">
        <is>
          <t>SUSURLUK</t>
        </is>
      </c>
    </row>
    <row r="3280">
      <c r="A3280" s="4" t="n">
        <v>3279</v>
      </c>
      <c r="B3280" s="4" t="inlineStr">
        <is>
          <t>00536</t>
        </is>
      </c>
      <c r="C3280" s="4" t="inlineStr">
        <is>
          <t>00536</t>
        </is>
      </c>
      <c r="D3280" s="29" t="inlineStr">
        <is>
          <t>SABRİ ACAR</t>
        </is>
      </c>
      <c r="E3280" s="4" t="inlineStr">
        <is>
          <t>Çarşamba</t>
        </is>
      </c>
      <c r="F3280" s="4" t="inlineStr">
        <is>
          <t>14.10.2026</t>
        </is>
      </c>
      <c r="G3280" s="4" t="inlineStr">
        <is>
          <t>23:40</t>
        </is>
      </c>
      <c r="H3280" s="4" t="inlineStr">
        <is>
          <t>14.10.2026</t>
        </is>
      </c>
      <c r="I3280" s="4" t="inlineStr">
        <is>
          <t>07:59</t>
        </is>
      </c>
      <c r="J3280" s="8" t="n">
        <v>7.5</v>
      </c>
      <c r="K3280" s="8" t="n">
        <v>7.5</v>
      </c>
      <c r="L3280" s="8" t="n">
        <v>0</v>
      </c>
      <c r="M3280" s="29" t="inlineStr">
        <is>
          <t>SUSURLUK</t>
        </is>
      </c>
    </row>
    <row r="3281">
      <c r="A3281" s="4" t="n">
        <v>3280</v>
      </c>
      <c r="B3281" s="4" t="inlineStr">
        <is>
          <t>00536</t>
        </is>
      </c>
      <c r="C3281" s="4" t="inlineStr">
        <is>
          <t>00536</t>
        </is>
      </c>
      <c r="D3281" s="29" t="inlineStr">
        <is>
          <t>SABRİ ACAR</t>
        </is>
      </c>
      <c r="E3281" s="4" t="inlineStr">
        <is>
          <t>Perşembe</t>
        </is>
      </c>
      <c r="F3281" s="4" t="inlineStr">
        <is>
          <t>15.10.2026</t>
        </is>
      </c>
      <c r="G3281" s="4" t="inlineStr">
        <is>
          <t>23:52</t>
        </is>
      </c>
      <c r="H3281" s="4" t="inlineStr">
        <is>
          <t>15.10.2026</t>
        </is>
      </c>
      <c r="I3281" s="4" t="inlineStr">
        <is>
          <t>07:48</t>
        </is>
      </c>
      <c r="J3281" s="8" t="n">
        <v>7.5</v>
      </c>
      <c r="K3281" s="8" t="n">
        <v>7.5</v>
      </c>
      <c r="L3281" s="8" t="n">
        <v>0</v>
      </c>
      <c r="M3281" s="29" t="inlineStr">
        <is>
          <t>SUSURLUK</t>
        </is>
      </c>
    </row>
    <row r="3282">
      <c r="A3282" s="4" t="n">
        <v>3281</v>
      </c>
      <c r="B3282" s="4" t="inlineStr">
        <is>
          <t>00536</t>
        </is>
      </c>
      <c r="C3282" s="4" t="inlineStr">
        <is>
          <t>00536</t>
        </is>
      </c>
      <c r="D3282" s="29" t="inlineStr">
        <is>
          <t>SABRİ ACAR</t>
        </is>
      </c>
      <c r="E3282" s="4" t="inlineStr">
        <is>
          <t>Cuma</t>
        </is>
      </c>
      <c r="F3282" s="4" t="inlineStr">
        <is>
          <t>16.10.2026</t>
        </is>
      </c>
      <c r="G3282" s="4" t="inlineStr">
        <is>
          <t>23:49</t>
        </is>
      </c>
      <c r="H3282" s="4" t="inlineStr">
        <is>
          <t>16.10.2026</t>
        </is>
      </c>
      <c r="I3282" s="4" t="inlineStr">
        <is>
          <t>08:00</t>
        </is>
      </c>
      <c r="J3282" s="8" t="n">
        <v>7.5</v>
      </c>
      <c r="K3282" s="8" t="n">
        <v>7.5</v>
      </c>
      <c r="L3282" s="8" t="n">
        <v>0</v>
      </c>
      <c r="M3282" s="29" t="inlineStr">
        <is>
          <t>SUSURLUK</t>
        </is>
      </c>
    </row>
    <row r="3283">
      <c r="A3283" s="4" t="n">
        <v>3282</v>
      </c>
      <c r="B3283" s="4" t="inlineStr">
        <is>
          <t>00536</t>
        </is>
      </c>
      <c r="C3283" s="4" t="inlineStr">
        <is>
          <t>00536</t>
        </is>
      </c>
      <c r="D3283" s="29" t="inlineStr">
        <is>
          <t>SABRİ ACAR</t>
        </is>
      </c>
      <c r="E3283" s="4" t="inlineStr">
        <is>
          <t>Pazar</t>
        </is>
      </c>
      <c r="F3283" s="4" t="inlineStr">
        <is>
          <t>18.10.2026</t>
        </is>
      </c>
      <c r="G3283" s="4" t="inlineStr">
        <is>
          <t>23:41</t>
        </is>
      </c>
      <c r="H3283" s="4" t="inlineStr">
        <is>
          <t>18.10.2026</t>
        </is>
      </c>
      <c r="I3283" s="4" t="inlineStr">
        <is>
          <t>07:53</t>
        </is>
      </c>
      <c r="J3283" s="8" t="n">
        <v>7.5</v>
      </c>
      <c r="K3283" s="8" t="n">
        <v>7.5</v>
      </c>
      <c r="L3283" s="8" t="n">
        <v>0</v>
      </c>
      <c r="M3283" s="29" t="inlineStr">
        <is>
          <t>SUSURLUK</t>
        </is>
      </c>
    </row>
    <row r="3284">
      <c r="A3284" s="4" t="n">
        <v>3283</v>
      </c>
      <c r="B3284" s="4" t="inlineStr">
        <is>
          <t>00536</t>
        </is>
      </c>
      <c r="C3284" s="4" t="inlineStr">
        <is>
          <t>00536</t>
        </is>
      </c>
      <c r="D3284" s="29" t="inlineStr">
        <is>
          <t>SABRİ ACAR</t>
        </is>
      </c>
      <c r="E3284" s="4" t="inlineStr">
        <is>
          <t>Pazartesi</t>
        </is>
      </c>
      <c r="F3284" s="4" t="inlineStr">
        <is>
          <t>19.10.2026</t>
        </is>
      </c>
      <c r="G3284" s="4" t="inlineStr">
        <is>
          <t>23:58</t>
        </is>
      </c>
      <c r="H3284" s="4" t="inlineStr">
        <is>
          <t>19.10.2026</t>
        </is>
      </c>
      <c r="I3284" s="4" t="inlineStr">
        <is>
          <t>07:51</t>
        </is>
      </c>
      <c r="J3284" s="8" t="n">
        <v>7.5</v>
      </c>
      <c r="K3284" s="8" t="n">
        <v>7.5</v>
      </c>
      <c r="L3284" s="8" t="n">
        <v>0</v>
      </c>
      <c r="M3284" s="29" t="inlineStr">
        <is>
          <t>SUSURLUK</t>
        </is>
      </c>
    </row>
    <row r="3285">
      <c r="A3285" s="4" t="n">
        <v>3284</v>
      </c>
      <c r="B3285" s="4" t="inlineStr">
        <is>
          <t>00536</t>
        </is>
      </c>
      <c r="C3285" s="4" t="inlineStr">
        <is>
          <t>00536</t>
        </is>
      </c>
      <c r="D3285" s="29" t="inlineStr">
        <is>
          <t>SABRİ ACAR</t>
        </is>
      </c>
      <c r="E3285" s="4" t="inlineStr">
        <is>
          <t>Salı</t>
        </is>
      </c>
      <c r="F3285" s="4" t="inlineStr">
        <is>
          <t>20.10.2026</t>
        </is>
      </c>
      <c r="G3285" s="4" t="inlineStr">
        <is>
          <t>23:56</t>
        </is>
      </c>
      <c r="H3285" s="4" t="inlineStr">
        <is>
          <t>20.10.2026</t>
        </is>
      </c>
      <c r="I3285" s="4" t="inlineStr">
        <is>
          <t>07:52</t>
        </is>
      </c>
      <c r="J3285" s="8" t="n">
        <v>7.5</v>
      </c>
      <c r="K3285" s="8" t="n">
        <v>7.5</v>
      </c>
      <c r="L3285" s="8" t="n">
        <v>0</v>
      </c>
      <c r="M3285" s="29" t="inlineStr">
        <is>
          <t>SUSURLUK</t>
        </is>
      </c>
    </row>
    <row r="3286">
      <c r="A3286" s="4" t="n">
        <v>3285</v>
      </c>
      <c r="B3286" s="4" t="inlineStr">
        <is>
          <t>01450</t>
        </is>
      </c>
      <c r="C3286" s="4" t="inlineStr">
        <is>
          <t>01450</t>
        </is>
      </c>
      <c r="D3286" s="29" t="inlineStr">
        <is>
          <t>SAFİYE GÖKGÖZ</t>
        </is>
      </c>
      <c r="E3286" s="4" t="inlineStr">
        <is>
          <t>Cuma</t>
        </is>
      </c>
      <c r="F3286" s="4" t="inlineStr">
        <is>
          <t>2.10.2026</t>
        </is>
      </c>
      <c r="G3286" s="4" t="inlineStr">
        <is>
          <t>-</t>
        </is>
      </c>
      <c r="H3286" s="4" t="inlineStr">
        <is>
          <t>2.10.2026</t>
        </is>
      </c>
      <c r="I3286" s="4" t="inlineStr">
        <is>
          <t>20:02</t>
        </is>
      </c>
      <c r="J3286" s="8" t="n">
        <v>10.5</v>
      </c>
      <c r="K3286" s="8" t="n">
        <v>7.5</v>
      </c>
      <c r="L3286" s="8" t="n">
        <v>3</v>
      </c>
      <c r="M3286" s="29" t="inlineStr">
        <is>
          <t>HALİL DİĞRENCİ</t>
        </is>
      </c>
    </row>
    <row r="3287">
      <c r="A3287" s="4" t="n">
        <v>3286</v>
      </c>
      <c r="B3287" s="4" t="inlineStr">
        <is>
          <t>01450</t>
        </is>
      </c>
      <c r="C3287" s="4" t="inlineStr">
        <is>
          <t>01450</t>
        </is>
      </c>
      <c r="D3287" s="29" t="inlineStr">
        <is>
          <t>SAFİYE GÖKGÖZ</t>
        </is>
      </c>
      <c r="E3287" s="4" t="inlineStr">
        <is>
          <t>Cumartesi</t>
        </is>
      </c>
      <c r="F3287" s="4" t="inlineStr">
        <is>
          <t>3.10.2026</t>
        </is>
      </c>
      <c r="G3287" s="4" t="inlineStr">
        <is>
          <t>08:04</t>
        </is>
      </c>
      <c r="H3287" s="4" t="inlineStr">
        <is>
          <t>3.10.2026</t>
        </is>
      </c>
      <c r="I3287" s="4" t="inlineStr">
        <is>
          <t>19:59</t>
        </is>
      </c>
      <c r="J3287" s="8" t="n">
        <v>0</v>
      </c>
      <c r="K3287" s="8" t="n">
        <v>0</v>
      </c>
      <c r="L3287" s="8" t="n">
        <v>0</v>
      </c>
      <c r="M3287" s="29" t="inlineStr">
        <is>
          <t>HALİL DİĞRENCİ</t>
        </is>
      </c>
    </row>
    <row r="3288">
      <c r="A3288" s="4" t="n">
        <v>3287</v>
      </c>
      <c r="B3288" s="4" t="inlineStr">
        <is>
          <t>01450</t>
        </is>
      </c>
      <c r="C3288" s="4" t="inlineStr">
        <is>
          <t>01450</t>
        </is>
      </c>
      <c r="D3288" s="29" t="inlineStr">
        <is>
          <t>SAFİYE GÖKGÖZ</t>
        </is>
      </c>
      <c r="E3288" s="4" t="inlineStr">
        <is>
          <t>Pazar</t>
        </is>
      </c>
      <c r="F3288" s="4" t="inlineStr">
        <is>
          <t>4.10.2026</t>
        </is>
      </c>
      <c r="G3288" s="4" t="inlineStr">
        <is>
          <t>07:35</t>
        </is>
      </c>
      <c r="H3288" s="4" t="inlineStr">
        <is>
          <t>4.10.2026</t>
        </is>
      </c>
      <c r="I3288" s="4" t="inlineStr">
        <is>
          <t>17:09</t>
        </is>
      </c>
      <c r="J3288" s="8" t="n">
        <v>7.5</v>
      </c>
      <c r="K3288" s="8" t="n">
        <v>7.5</v>
      </c>
      <c r="L3288" s="8" t="n">
        <v>0</v>
      </c>
      <c r="M3288" s="29" t="inlineStr">
        <is>
          <t>HALİL DİĞRENCİ</t>
        </is>
      </c>
    </row>
    <row r="3289">
      <c r="A3289" s="4" t="n">
        <v>3288</v>
      </c>
      <c r="B3289" s="4" t="inlineStr">
        <is>
          <t>01450</t>
        </is>
      </c>
      <c r="C3289" s="4" t="inlineStr">
        <is>
          <t>01450</t>
        </is>
      </c>
      <c r="D3289" s="29" t="inlineStr">
        <is>
          <t>SAFİYE GÖKGÖZ</t>
        </is>
      </c>
      <c r="E3289" s="4" t="inlineStr">
        <is>
          <t>Salı</t>
        </is>
      </c>
      <c r="F3289" s="4" t="inlineStr">
        <is>
          <t>6.10.2026</t>
        </is>
      </c>
      <c r="G3289" s="4" t="inlineStr">
        <is>
          <t>08:05</t>
        </is>
      </c>
      <c r="H3289" s="4" t="inlineStr">
        <is>
          <t>6.10.2026</t>
        </is>
      </c>
      <c r="I3289" s="4" t="inlineStr">
        <is>
          <t>20:00</t>
        </is>
      </c>
      <c r="J3289" s="8" t="n">
        <v>10.5</v>
      </c>
      <c r="K3289" s="8" t="n">
        <v>7.5</v>
      </c>
      <c r="L3289" s="8" t="n">
        <v>3</v>
      </c>
      <c r="M3289" s="29" t="inlineStr">
        <is>
          <t>HALİL DİĞRENCİ</t>
        </is>
      </c>
    </row>
    <row r="3290">
      <c r="A3290" s="4" t="n">
        <v>3289</v>
      </c>
      <c r="B3290" s="4" t="inlineStr">
        <is>
          <t>01450</t>
        </is>
      </c>
      <c r="C3290" s="4" t="inlineStr">
        <is>
          <t>01450</t>
        </is>
      </c>
      <c r="D3290" s="29" t="inlineStr">
        <is>
          <t>SAFİYE GÖKGÖZ</t>
        </is>
      </c>
      <c r="E3290" s="4" t="inlineStr">
        <is>
          <t>Çarşamba</t>
        </is>
      </c>
      <c r="F3290" s="4" t="inlineStr">
        <is>
          <t>7.10.2026</t>
        </is>
      </c>
      <c r="G3290" s="4" t="inlineStr">
        <is>
          <t>07:57</t>
        </is>
      </c>
      <c r="H3290" s="4" t="inlineStr">
        <is>
          <t>7.10.2026</t>
        </is>
      </c>
      <c r="I3290" s="4" t="inlineStr">
        <is>
          <t>20:02</t>
        </is>
      </c>
      <c r="J3290" s="8" t="n">
        <v>10.5</v>
      </c>
      <c r="K3290" s="8" t="n">
        <v>7.5</v>
      </c>
      <c r="L3290" s="8" t="n">
        <v>3</v>
      </c>
      <c r="M3290" s="29" t="inlineStr">
        <is>
          <t>HALİL DİĞRENCİ</t>
        </is>
      </c>
    </row>
    <row r="3291">
      <c r="A3291" s="4" t="n">
        <v>3290</v>
      </c>
      <c r="B3291" s="4" t="inlineStr">
        <is>
          <t>01450</t>
        </is>
      </c>
      <c r="C3291" s="4" t="inlineStr">
        <is>
          <t>01450</t>
        </is>
      </c>
      <c r="D3291" s="29" t="inlineStr">
        <is>
          <t>SAFİYE GÖKGÖZ</t>
        </is>
      </c>
      <c r="E3291" s="4" t="inlineStr">
        <is>
          <t>Perşembe</t>
        </is>
      </c>
      <c r="F3291" s="4" t="inlineStr">
        <is>
          <t>8.10.2026</t>
        </is>
      </c>
      <c r="G3291" s="4" t="inlineStr">
        <is>
          <t>07:52</t>
        </is>
      </c>
      <c r="H3291" s="4" t="inlineStr">
        <is>
          <t>8.10.2026</t>
        </is>
      </c>
      <c r="I3291" s="4" t="inlineStr">
        <is>
          <t>20:01</t>
        </is>
      </c>
      <c r="J3291" s="8" t="n">
        <v>10.5</v>
      </c>
      <c r="K3291" s="8" t="n">
        <v>7.5</v>
      </c>
      <c r="L3291" s="8" t="n">
        <v>3</v>
      </c>
      <c r="M3291" s="29" t="inlineStr">
        <is>
          <t>HALİL DİĞRENCİ</t>
        </is>
      </c>
    </row>
    <row r="3292">
      <c r="A3292" s="4" t="n">
        <v>3291</v>
      </c>
      <c r="B3292" s="4" t="inlineStr">
        <is>
          <t>01450</t>
        </is>
      </c>
      <c r="C3292" s="4" t="inlineStr">
        <is>
          <t>01450</t>
        </is>
      </c>
      <c r="D3292" s="29" t="inlineStr">
        <is>
          <t>SAFİYE GÖKGÖZ</t>
        </is>
      </c>
      <c r="E3292" s="4" t="inlineStr">
        <is>
          <t>Cumartesi</t>
        </is>
      </c>
      <c r="F3292" s="4" t="inlineStr">
        <is>
          <t>10.10.2026</t>
        </is>
      </c>
      <c r="G3292" s="4" t="inlineStr">
        <is>
          <t>08:04</t>
        </is>
      </c>
      <c r="H3292" s="4" t="inlineStr">
        <is>
          <t>10.10.2026</t>
        </is>
      </c>
      <c r="I3292" s="4" t="inlineStr">
        <is>
          <t>19:58</t>
        </is>
      </c>
      <c r="J3292" s="8" t="n">
        <v>10.5</v>
      </c>
      <c r="K3292" s="8" t="n">
        <v>7.5</v>
      </c>
      <c r="L3292" s="8" t="n">
        <v>3</v>
      </c>
      <c r="M3292" s="29" t="inlineStr">
        <is>
          <t>HALİL DİĞRENCİ</t>
        </is>
      </c>
    </row>
    <row r="3293">
      <c r="A3293" s="4" t="n">
        <v>3292</v>
      </c>
      <c r="B3293" s="4" t="inlineStr">
        <is>
          <t>01450</t>
        </is>
      </c>
      <c r="C3293" s="4" t="inlineStr">
        <is>
          <t>01450</t>
        </is>
      </c>
      <c r="D3293" s="29" t="inlineStr">
        <is>
          <t>SAFİYE GÖKGÖZ</t>
        </is>
      </c>
      <c r="E3293" s="4" t="inlineStr">
        <is>
          <t>Pazartesi</t>
        </is>
      </c>
      <c r="F3293" s="4" t="inlineStr">
        <is>
          <t>12.10.2026</t>
        </is>
      </c>
      <c r="G3293" s="4" t="inlineStr">
        <is>
          <t>08:06</t>
        </is>
      </c>
      <c r="H3293" s="4" t="inlineStr">
        <is>
          <t>12.10.2026</t>
        </is>
      </c>
      <c r="I3293" s="4" t="inlineStr">
        <is>
          <t>20:03</t>
        </is>
      </c>
      <c r="J3293" s="8" t="n">
        <v>10.5</v>
      </c>
      <c r="K3293" s="8" t="n">
        <v>7.5</v>
      </c>
      <c r="L3293" s="8" t="n">
        <v>3</v>
      </c>
      <c r="M3293" s="29" t="inlineStr">
        <is>
          <t>HALİL DİĞRENCİ</t>
        </is>
      </c>
    </row>
    <row r="3294">
      <c r="A3294" s="4" t="n">
        <v>3293</v>
      </c>
      <c r="B3294" s="4" t="inlineStr">
        <is>
          <t>01450</t>
        </is>
      </c>
      <c r="C3294" s="4" t="inlineStr">
        <is>
          <t>01450</t>
        </is>
      </c>
      <c r="D3294" s="29" t="inlineStr">
        <is>
          <t>SAFİYE GÖKGÖZ</t>
        </is>
      </c>
      <c r="E3294" s="4" t="inlineStr">
        <is>
          <t>Salı</t>
        </is>
      </c>
      <c r="F3294" s="4" t="inlineStr">
        <is>
          <t>13.10.2026</t>
        </is>
      </c>
      <c r="G3294" s="4" t="inlineStr">
        <is>
          <t>07:57</t>
        </is>
      </c>
      <c r="H3294" s="4" t="inlineStr">
        <is>
          <t>13.10.2026</t>
        </is>
      </c>
      <c r="I3294" s="4" t="inlineStr">
        <is>
          <t>16:59</t>
        </is>
      </c>
      <c r="J3294" s="8" t="n">
        <v>7.5</v>
      </c>
      <c r="K3294" s="8" t="n">
        <v>7.5</v>
      </c>
      <c r="L3294" s="8" t="n">
        <v>0</v>
      </c>
      <c r="M3294" s="29" t="inlineStr">
        <is>
          <t>HALİL DİĞRENCİ</t>
        </is>
      </c>
    </row>
    <row r="3295">
      <c r="A3295" s="4" t="n">
        <v>3294</v>
      </c>
      <c r="B3295" s="4" t="inlineStr">
        <is>
          <t>01450</t>
        </is>
      </c>
      <c r="C3295" s="4" t="inlineStr">
        <is>
          <t>01450</t>
        </is>
      </c>
      <c r="D3295" s="29" t="inlineStr">
        <is>
          <t>SAFİYE GÖKGÖZ</t>
        </is>
      </c>
      <c r="E3295" s="4" t="inlineStr">
        <is>
          <t>Çarşamba</t>
        </is>
      </c>
      <c r="F3295" s="4" t="inlineStr">
        <is>
          <t>14.10.2026</t>
        </is>
      </c>
      <c r="G3295" s="4" t="inlineStr">
        <is>
          <t>08:00</t>
        </is>
      </c>
      <c r="H3295" s="4" t="inlineStr">
        <is>
          <t>14.10.2026</t>
        </is>
      </c>
      <c r="I3295" s="4" t="inlineStr">
        <is>
          <t>20:00</t>
        </is>
      </c>
      <c r="J3295" s="8" t="n">
        <v>10.5</v>
      </c>
      <c r="K3295" s="8" t="n">
        <v>7.5</v>
      </c>
      <c r="L3295" s="8" t="n">
        <v>3</v>
      </c>
      <c r="M3295" s="29" t="inlineStr">
        <is>
          <t>HALİL DİĞRENCİ</t>
        </is>
      </c>
    </row>
    <row r="3296">
      <c r="A3296" s="4" t="n">
        <v>3295</v>
      </c>
      <c r="B3296" s="4" t="inlineStr">
        <is>
          <t>01450</t>
        </is>
      </c>
      <c r="C3296" s="4" t="inlineStr">
        <is>
          <t>01450</t>
        </is>
      </c>
      <c r="D3296" s="29" t="inlineStr">
        <is>
          <t>SAFİYE GÖKGÖZ</t>
        </is>
      </c>
      <c r="E3296" s="4" t="inlineStr">
        <is>
          <t>Salı</t>
        </is>
      </c>
      <c r="F3296" s="4" t="inlineStr">
        <is>
          <t>20.10.2026</t>
        </is>
      </c>
      <c r="G3296" s="4" t="inlineStr">
        <is>
          <t>08:01</t>
        </is>
      </c>
      <c r="H3296" s="4" t="inlineStr">
        <is>
          <t>20.10.2026</t>
        </is>
      </c>
      <c r="I3296" s="4" t="inlineStr">
        <is>
          <t>17:06</t>
        </is>
      </c>
      <c r="J3296" s="8" t="n">
        <v>7.5</v>
      </c>
      <c r="K3296" s="8" t="n">
        <v>7.5</v>
      </c>
      <c r="L3296" s="8" t="n">
        <v>0</v>
      </c>
      <c r="M3296" s="29" t="inlineStr">
        <is>
          <t>HALİL DİĞRENCİ</t>
        </is>
      </c>
    </row>
    <row r="3297">
      <c r="A3297" s="4" t="n">
        <v>3296</v>
      </c>
      <c r="B3297" s="4" t="inlineStr">
        <is>
          <t>01450</t>
        </is>
      </c>
      <c r="C3297" s="4" t="inlineStr">
        <is>
          <t>01450</t>
        </is>
      </c>
      <c r="D3297" s="29" t="inlineStr">
        <is>
          <t>SAFİYE GÖKGÖZ</t>
        </is>
      </c>
      <c r="E3297" s="4" t="inlineStr">
        <is>
          <t>Çarşamba</t>
        </is>
      </c>
      <c r="F3297" s="4" t="inlineStr">
        <is>
          <t>21.10.2026</t>
        </is>
      </c>
      <c r="G3297" s="4" t="inlineStr">
        <is>
          <t>07:57</t>
        </is>
      </c>
      <c r="H3297" s="4" t="inlineStr">
        <is>
          <t>21.10.2026</t>
        </is>
      </c>
      <c r="I3297" s="4" t="inlineStr">
        <is>
          <t>17:05</t>
        </is>
      </c>
      <c r="J3297" s="8" t="n">
        <v>7.5</v>
      </c>
      <c r="K3297" s="8" t="n">
        <v>7.5</v>
      </c>
      <c r="L3297" s="8" t="n">
        <v>0</v>
      </c>
      <c r="M3297" s="29" t="inlineStr">
        <is>
          <t>HALİL DİĞRENCİ</t>
        </is>
      </c>
    </row>
    <row r="3298">
      <c r="A3298" s="4" t="n">
        <v>3297</v>
      </c>
      <c r="B3298" s="4" t="inlineStr">
        <is>
          <t>01451</t>
        </is>
      </c>
      <c r="C3298" s="4" t="inlineStr">
        <is>
          <t>01451</t>
        </is>
      </c>
      <c r="D3298" s="29" t="inlineStr">
        <is>
          <t>SAHRA TÜRKÇÜ</t>
        </is>
      </c>
      <c r="E3298" s="4" t="inlineStr">
        <is>
          <t>Cuma</t>
        </is>
      </c>
      <c r="F3298" s="4" t="inlineStr">
        <is>
          <t>2.10.2026</t>
        </is>
      </c>
      <c r="G3298" s="4" t="inlineStr">
        <is>
          <t>18:05</t>
        </is>
      </c>
      <c r="H3298" s="4" t="inlineStr">
        <is>
          <t>2.10.2026</t>
        </is>
      </c>
      <c r="I3298" s="4" t="inlineStr">
        <is>
          <t>01:08</t>
        </is>
      </c>
      <c r="J3298" s="8" t="n">
        <v>6.5</v>
      </c>
      <c r="K3298" s="8" t="n">
        <v>5.5</v>
      </c>
      <c r="L3298" s="8" t="n">
        <v>1</v>
      </c>
      <c r="M3298" s="29" t="inlineStr">
        <is>
          <t>HALİL DİĞRENCİ</t>
        </is>
      </c>
    </row>
    <row r="3299">
      <c r="A3299" s="4" t="n">
        <v>3298</v>
      </c>
      <c r="B3299" s="4" t="inlineStr">
        <is>
          <t>01451</t>
        </is>
      </c>
      <c r="C3299" s="4" t="inlineStr">
        <is>
          <t>01451</t>
        </is>
      </c>
      <c r="D3299" s="29" t="inlineStr">
        <is>
          <t>SAHRA TÜRKÇÜ</t>
        </is>
      </c>
      <c r="E3299" s="4" t="inlineStr">
        <is>
          <t>Cumartesi</t>
        </is>
      </c>
      <c r="F3299" s="4" t="inlineStr">
        <is>
          <t>3.10.2026</t>
        </is>
      </c>
      <c r="G3299" s="4" t="inlineStr">
        <is>
          <t>17:57</t>
        </is>
      </c>
      <c r="H3299" s="4" t="inlineStr">
        <is>
          <t>3.10.2026</t>
        </is>
      </c>
      <c r="I3299" s="4" t="inlineStr">
        <is>
          <t>00:55</t>
        </is>
      </c>
      <c r="J3299" s="8" t="n">
        <v>6.5</v>
      </c>
      <c r="K3299" s="8" t="n">
        <v>5.5</v>
      </c>
      <c r="L3299" s="8" t="n">
        <v>1</v>
      </c>
      <c r="M3299" s="29" t="inlineStr">
        <is>
          <t>HALİL DİĞRENCİ</t>
        </is>
      </c>
    </row>
    <row r="3300">
      <c r="A3300" s="4" t="n">
        <v>3299</v>
      </c>
      <c r="B3300" s="4" t="inlineStr">
        <is>
          <t>01451</t>
        </is>
      </c>
      <c r="C3300" s="4" t="inlineStr">
        <is>
          <t>01451</t>
        </is>
      </c>
      <c r="D3300" s="29" t="inlineStr">
        <is>
          <t>SAHRA TÜRKÇÜ</t>
        </is>
      </c>
      <c r="E3300" s="4" t="inlineStr">
        <is>
          <t>Çarşamba</t>
        </is>
      </c>
      <c r="F3300" s="4" t="inlineStr">
        <is>
          <t>7.10.2026</t>
        </is>
      </c>
      <c r="G3300" s="4" t="inlineStr">
        <is>
          <t>18:10</t>
        </is>
      </c>
      <c r="H3300" s="4" t="inlineStr">
        <is>
          <t>7.10.2026</t>
        </is>
      </c>
      <c r="I3300" s="4" t="inlineStr">
        <is>
          <t>01:01</t>
        </is>
      </c>
      <c r="J3300" s="8" t="n">
        <v>6.5</v>
      </c>
      <c r="K3300" s="8" t="n">
        <v>5.5</v>
      </c>
      <c r="L3300" s="8" t="n">
        <v>1</v>
      </c>
      <c r="M3300" s="29" t="inlineStr">
        <is>
          <t>HALİL DİĞRENCİ</t>
        </is>
      </c>
    </row>
    <row r="3301">
      <c r="A3301" s="4" t="n">
        <v>3300</v>
      </c>
      <c r="B3301" s="4" t="inlineStr">
        <is>
          <t>01130</t>
        </is>
      </c>
      <c r="C3301" s="4" t="inlineStr">
        <is>
          <t>01130</t>
        </is>
      </c>
      <c r="D3301" s="29" t="inlineStr">
        <is>
          <t>SAMET YUMİTKEN</t>
        </is>
      </c>
      <c r="E3301" s="4" t="inlineStr">
        <is>
          <t>Perşembe</t>
        </is>
      </c>
      <c r="F3301" s="4" t="inlineStr">
        <is>
          <t>1.10.2026</t>
        </is>
      </c>
      <c r="G3301" s="4" t="inlineStr">
        <is>
          <t>07:55</t>
        </is>
      </c>
      <c r="H3301" s="4" t="inlineStr">
        <is>
          <t>1.10.2026</t>
        </is>
      </c>
      <c r="I3301" s="4" t="inlineStr">
        <is>
          <t>20:00</t>
        </is>
      </c>
      <c r="J3301" s="8" t="n">
        <v>10.5</v>
      </c>
      <c r="K3301" s="8" t="n">
        <v>7.5</v>
      </c>
      <c r="L3301" s="8" t="n">
        <v>3</v>
      </c>
      <c r="M3301" s="29" t="inlineStr">
        <is>
          <t>HALİL DİĞRENCİ</t>
        </is>
      </c>
    </row>
    <row r="3302">
      <c r="A3302" s="4" t="n">
        <v>3301</v>
      </c>
      <c r="B3302" s="4" t="inlineStr">
        <is>
          <t>01130</t>
        </is>
      </c>
      <c r="C3302" s="4" t="inlineStr">
        <is>
          <t>01130</t>
        </is>
      </c>
      <c r="D3302" s="29" t="inlineStr">
        <is>
          <t>SAMET YUMİTKEN</t>
        </is>
      </c>
      <c r="E3302" s="4" t="inlineStr">
        <is>
          <t>Cuma</t>
        </is>
      </c>
      <c r="F3302" s="4" t="inlineStr">
        <is>
          <t>2.10.2026</t>
        </is>
      </c>
      <c r="G3302" s="4" t="inlineStr">
        <is>
          <t>08:00</t>
        </is>
      </c>
      <c r="H3302" s="4" t="inlineStr">
        <is>
          <t>2.10.2026</t>
        </is>
      </c>
      <c r="I3302" s="4" t="inlineStr">
        <is>
          <t>-</t>
        </is>
      </c>
      <c r="J3302" s="8" t="n">
        <v>7.5</v>
      </c>
      <c r="K3302" s="8" t="n">
        <v>7.5</v>
      </c>
      <c r="L3302" s="8" t="n">
        <v>0</v>
      </c>
      <c r="M3302" s="29" t="inlineStr">
        <is>
          <t>HALİL DİĞRENCİ</t>
        </is>
      </c>
    </row>
    <row r="3303">
      <c r="A3303" s="4" t="n">
        <v>3302</v>
      </c>
      <c r="B3303" s="4" t="inlineStr">
        <is>
          <t>01130</t>
        </is>
      </c>
      <c r="C3303" s="4" t="inlineStr">
        <is>
          <t>01130</t>
        </is>
      </c>
      <c r="D3303" s="29" t="inlineStr">
        <is>
          <t>SAMET YUMİTKEN</t>
        </is>
      </c>
      <c r="E3303" s="4" t="inlineStr">
        <is>
          <t>Cumartesi</t>
        </is>
      </c>
      <c r="F3303" s="4" t="inlineStr">
        <is>
          <t>3.10.2026</t>
        </is>
      </c>
      <c r="G3303" s="4" t="inlineStr">
        <is>
          <t>08:01</t>
        </is>
      </c>
      <c r="H3303" s="4" t="inlineStr">
        <is>
          <t>3.10.2026</t>
        </is>
      </c>
      <c r="I3303" s="4" t="inlineStr">
        <is>
          <t>17:07</t>
        </is>
      </c>
      <c r="J3303" s="8" t="n">
        <v>7.5</v>
      </c>
      <c r="K3303" s="8" t="n">
        <v>7.5</v>
      </c>
      <c r="L3303" s="8" t="n">
        <v>0</v>
      </c>
      <c r="M3303" s="29" t="inlineStr">
        <is>
          <t>HALİL DİĞRENCİ</t>
        </is>
      </c>
    </row>
    <row r="3304">
      <c r="A3304" s="4" t="n">
        <v>3303</v>
      </c>
      <c r="B3304" s="4" t="inlineStr">
        <is>
          <t>01130</t>
        </is>
      </c>
      <c r="C3304" s="4" t="inlineStr">
        <is>
          <t>01130</t>
        </is>
      </c>
      <c r="D3304" s="29" t="inlineStr">
        <is>
          <t>SAMET YUMİTKEN</t>
        </is>
      </c>
      <c r="E3304" s="4" t="inlineStr">
        <is>
          <t>Pazartesi</t>
        </is>
      </c>
      <c r="F3304" s="4" t="inlineStr">
        <is>
          <t>5.10.2026</t>
        </is>
      </c>
      <c r="G3304" s="4" t="inlineStr">
        <is>
          <t>08:01</t>
        </is>
      </c>
      <c r="H3304" s="4" t="inlineStr">
        <is>
          <t>5.10.2026</t>
        </is>
      </c>
      <c r="I3304" s="4" t="inlineStr">
        <is>
          <t>20:02</t>
        </is>
      </c>
      <c r="J3304" s="8" t="n">
        <v>10.5</v>
      </c>
      <c r="K3304" s="8" t="n">
        <v>7.5</v>
      </c>
      <c r="L3304" s="8" t="n">
        <v>3</v>
      </c>
      <c r="M3304" s="29" t="inlineStr">
        <is>
          <t>HALİL DİĞRENCİ</t>
        </is>
      </c>
    </row>
    <row r="3305">
      <c r="A3305" s="4" t="n">
        <v>3304</v>
      </c>
      <c r="B3305" s="4" t="inlineStr">
        <is>
          <t>01130</t>
        </is>
      </c>
      <c r="C3305" s="4" t="inlineStr">
        <is>
          <t>01130</t>
        </is>
      </c>
      <c r="D3305" s="29" t="inlineStr">
        <is>
          <t>SAMET YUMİTKEN</t>
        </is>
      </c>
      <c r="E3305" s="4" t="inlineStr">
        <is>
          <t>Salı</t>
        </is>
      </c>
      <c r="F3305" s="4" t="inlineStr">
        <is>
          <t>6.10.2026</t>
        </is>
      </c>
      <c r="G3305" s="4" t="inlineStr">
        <is>
          <t>07:33</t>
        </is>
      </c>
      <c r="H3305" s="4" t="inlineStr">
        <is>
          <t>6.10.2026</t>
        </is>
      </c>
      <c r="I3305" s="4" t="inlineStr">
        <is>
          <t>20:01</t>
        </is>
      </c>
      <c r="J3305" s="8" t="n">
        <v>10.5</v>
      </c>
      <c r="K3305" s="8" t="n">
        <v>7.5</v>
      </c>
      <c r="L3305" s="8" t="n">
        <v>3</v>
      </c>
      <c r="M3305" s="29" t="inlineStr">
        <is>
          <t>HALİL DİĞRENCİ</t>
        </is>
      </c>
    </row>
    <row r="3306">
      <c r="A3306" s="4" t="n">
        <v>3305</v>
      </c>
      <c r="B3306" s="4" t="inlineStr">
        <is>
          <t>01130</t>
        </is>
      </c>
      <c r="C3306" s="4" t="inlineStr">
        <is>
          <t>01130</t>
        </is>
      </c>
      <c r="D3306" s="29" t="inlineStr">
        <is>
          <t>SAMET YUMİTKEN</t>
        </is>
      </c>
      <c r="E3306" s="4" t="inlineStr">
        <is>
          <t>Çarşamba</t>
        </is>
      </c>
      <c r="F3306" s="4" t="inlineStr">
        <is>
          <t>7.10.2026</t>
        </is>
      </c>
      <c r="G3306" s="4" t="inlineStr">
        <is>
          <t>07:32</t>
        </is>
      </c>
      <c r="H3306" s="4" t="inlineStr">
        <is>
          <t>7.10.2026</t>
        </is>
      </c>
      <c r="I3306" s="4" t="inlineStr">
        <is>
          <t>20:03</t>
        </is>
      </c>
      <c r="J3306" s="8" t="n">
        <v>10.5</v>
      </c>
      <c r="K3306" s="8" t="n">
        <v>7.5</v>
      </c>
      <c r="L3306" s="8" t="n">
        <v>3</v>
      </c>
      <c r="M3306" s="29" t="inlineStr">
        <is>
          <t>HALİL DİĞRENCİ</t>
        </is>
      </c>
    </row>
    <row r="3307">
      <c r="A3307" s="4" t="n">
        <v>3306</v>
      </c>
      <c r="B3307" s="4" t="inlineStr">
        <is>
          <t>01130</t>
        </is>
      </c>
      <c r="C3307" s="4" t="inlineStr">
        <is>
          <t>01130</t>
        </is>
      </c>
      <c r="D3307" s="29" t="inlineStr">
        <is>
          <t>SAMET YUMİTKEN</t>
        </is>
      </c>
      <c r="E3307" s="4" t="inlineStr">
        <is>
          <t>Cuma</t>
        </is>
      </c>
      <c r="F3307" s="4" t="inlineStr">
        <is>
          <t>9.10.2026</t>
        </is>
      </c>
      <c r="G3307" s="4" t="inlineStr">
        <is>
          <t>07:31</t>
        </is>
      </c>
      <c r="H3307" s="4" t="inlineStr">
        <is>
          <t>9.10.2026</t>
        </is>
      </c>
      <c r="I3307" s="4" t="inlineStr">
        <is>
          <t>20:03</t>
        </is>
      </c>
      <c r="J3307" s="8" t="n">
        <v>10.5</v>
      </c>
      <c r="K3307" s="8" t="n">
        <v>7.5</v>
      </c>
      <c r="L3307" s="8" t="n">
        <v>3</v>
      </c>
      <c r="M3307" s="29" t="inlineStr">
        <is>
          <t>HALİL DİĞRENCİ</t>
        </is>
      </c>
    </row>
    <row r="3308">
      <c r="A3308" s="4" t="n">
        <v>3307</v>
      </c>
      <c r="B3308" s="4" t="inlineStr">
        <is>
          <t>01130</t>
        </is>
      </c>
      <c r="C3308" s="4" t="inlineStr">
        <is>
          <t>01130</t>
        </is>
      </c>
      <c r="D3308" s="29" t="inlineStr">
        <is>
          <t>SAMET YUMİTKEN</t>
        </is>
      </c>
      <c r="E3308" s="4" t="inlineStr">
        <is>
          <t>Cumartesi</t>
        </is>
      </c>
      <c r="F3308" s="4" t="inlineStr">
        <is>
          <t>10.10.2026</t>
        </is>
      </c>
      <c r="G3308" s="4" t="inlineStr">
        <is>
          <t>08:01</t>
        </is>
      </c>
      <c r="H3308" s="4" t="inlineStr">
        <is>
          <t>10.10.2026</t>
        </is>
      </c>
      <c r="I3308" s="4" t="inlineStr">
        <is>
          <t>20:03</t>
        </is>
      </c>
      <c r="J3308" s="8" t="n">
        <v>10.5</v>
      </c>
      <c r="K3308" s="8" t="n">
        <v>7.5</v>
      </c>
      <c r="L3308" s="8" t="n">
        <v>3</v>
      </c>
      <c r="M3308" s="29" t="inlineStr">
        <is>
          <t>HALİL DİĞRENCİ</t>
        </is>
      </c>
    </row>
    <row r="3309">
      <c r="A3309" s="4" t="n">
        <v>3308</v>
      </c>
      <c r="B3309" s="4" t="inlineStr">
        <is>
          <t>01130</t>
        </is>
      </c>
      <c r="C3309" s="4" t="inlineStr">
        <is>
          <t>01130</t>
        </is>
      </c>
      <c r="D3309" s="29" t="inlineStr">
        <is>
          <t>SAMET YUMİTKEN</t>
        </is>
      </c>
      <c r="E3309" s="4" t="inlineStr">
        <is>
          <t>Pazartesi</t>
        </is>
      </c>
      <c r="F3309" s="4" t="inlineStr">
        <is>
          <t>12.10.2026</t>
        </is>
      </c>
      <c r="G3309" s="4" t="inlineStr">
        <is>
          <t>08:03</t>
        </is>
      </c>
      <c r="H3309" s="4" t="inlineStr">
        <is>
          <t>12.10.2026</t>
        </is>
      </c>
      <c r="I3309" s="4" t="inlineStr">
        <is>
          <t>17:01</t>
        </is>
      </c>
      <c r="J3309" s="8" t="n">
        <v>7.5</v>
      </c>
      <c r="K3309" s="8" t="n">
        <v>7.5</v>
      </c>
      <c r="L3309" s="8" t="n">
        <v>0</v>
      </c>
      <c r="M3309" s="29" t="inlineStr">
        <is>
          <t>HALİL DİĞRENCİ</t>
        </is>
      </c>
    </row>
    <row r="3310">
      <c r="A3310" s="4" t="n">
        <v>3309</v>
      </c>
      <c r="B3310" s="4" t="inlineStr">
        <is>
          <t>01130</t>
        </is>
      </c>
      <c r="C3310" s="4" t="inlineStr">
        <is>
          <t>01130</t>
        </is>
      </c>
      <c r="D3310" s="29" t="inlineStr">
        <is>
          <t>SAMET YUMİTKEN</t>
        </is>
      </c>
      <c r="E3310" s="4" t="inlineStr">
        <is>
          <t>Salı</t>
        </is>
      </c>
      <c r="F3310" s="4" t="inlineStr">
        <is>
          <t>13.10.2026</t>
        </is>
      </c>
      <c r="G3310" s="4" t="inlineStr">
        <is>
          <t>07:34</t>
        </is>
      </c>
      <c r="H3310" s="4" t="inlineStr">
        <is>
          <t>13.10.2026</t>
        </is>
      </c>
      <c r="I3310" s="4" t="inlineStr">
        <is>
          <t>19:58</t>
        </is>
      </c>
      <c r="J3310" s="8" t="n">
        <v>10.5</v>
      </c>
      <c r="K3310" s="8" t="n">
        <v>7.5</v>
      </c>
      <c r="L3310" s="8" t="n">
        <v>3</v>
      </c>
      <c r="M3310" s="29" t="inlineStr">
        <is>
          <t>HALİL DİĞRENCİ</t>
        </is>
      </c>
    </row>
    <row r="3311">
      <c r="A3311" s="4" t="n">
        <v>3310</v>
      </c>
      <c r="B3311" s="4" t="inlineStr">
        <is>
          <t>01130</t>
        </is>
      </c>
      <c r="C3311" s="4" t="inlineStr">
        <is>
          <t>01130</t>
        </is>
      </c>
      <c r="D3311" s="29" t="inlineStr">
        <is>
          <t>SAMET YUMİTKEN</t>
        </is>
      </c>
      <c r="E3311" s="4" t="inlineStr">
        <is>
          <t>Pazartesi</t>
        </is>
      </c>
      <c r="F3311" s="4" t="inlineStr">
        <is>
          <t>19.10.2026</t>
        </is>
      </c>
      <c r="G3311" s="4" t="inlineStr">
        <is>
          <t>07:37</t>
        </is>
      </c>
      <c r="H3311" s="4" t="inlineStr">
        <is>
          <t>19.10.2026</t>
        </is>
      </c>
      <c r="I3311" s="4" t="inlineStr">
        <is>
          <t>17:39</t>
        </is>
      </c>
      <c r="J3311" s="8" t="n">
        <v>8</v>
      </c>
      <c r="K3311" s="8" t="n">
        <v>7.5</v>
      </c>
      <c r="L3311" s="8" t="n">
        <v>0.5</v>
      </c>
      <c r="M3311" s="29" t="inlineStr">
        <is>
          <t>HALİL DİĞRENCİ</t>
        </is>
      </c>
    </row>
    <row r="3312">
      <c r="A3312" s="4" t="n">
        <v>3311</v>
      </c>
      <c r="B3312" s="4" t="inlineStr">
        <is>
          <t>01130</t>
        </is>
      </c>
      <c r="C3312" s="4" t="inlineStr">
        <is>
          <t>01130</t>
        </is>
      </c>
      <c r="D3312" s="29" t="inlineStr">
        <is>
          <t>SAMET YUMİTKEN</t>
        </is>
      </c>
      <c r="E3312" s="4" t="inlineStr">
        <is>
          <t>Salı</t>
        </is>
      </c>
      <c r="F3312" s="4" t="inlineStr">
        <is>
          <t>20.10.2026</t>
        </is>
      </c>
      <c r="G3312" s="4" t="inlineStr">
        <is>
          <t>07:32</t>
        </is>
      </c>
      <c r="H3312" s="4" t="inlineStr">
        <is>
          <t>20.10.2026</t>
        </is>
      </c>
      <c r="I3312" s="4" t="inlineStr">
        <is>
          <t>-</t>
        </is>
      </c>
      <c r="J3312" s="8" t="n">
        <v>7.5</v>
      </c>
      <c r="K3312" s="8" t="n">
        <v>7.5</v>
      </c>
      <c r="L3312" s="8" t="n">
        <v>0</v>
      </c>
      <c r="M3312" s="29" t="inlineStr">
        <is>
          <t>HALİL DİĞRENCİ</t>
        </is>
      </c>
    </row>
    <row r="3313">
      <c r="A3313" s="4" t="n">
        <v>3312</v>
      </c>
      <c r="B3313" s="4" t="inlineStr">
        <is>
          <t>01130</t>
        </is>
      </c>
      <c r="C3313" s="4" t="inlineStr">
        <is>
          <t>01130</t>
        </is>
      </c>
      <c r="D3313" s="29" t="inlineStr">
        <is>
          <t>SAMET YUMİTKEN</t>
        </is>
      </c>
      <c r="E3313" s="4" t="inlineStr">
        <is>
          <t>Çarşamba</t>
        </is>
      </c>
      <c r="F3313" s="4" t="inlineStr">
        <is>
          <t>21.10.2026</t>
        </is>
      </c>
      <c r="G3313" s="4" t="inlineStr">
        <is>
          <t>07:58</t>
        </is>
      </c>
      <c r="H3313" s="4" t="inlineStr">
        <is>
          <t>21.10.2026</t>
        </is>
      </c>
      <c r="I3313" s="4" t="inlineStr">
        <is>
          <t>16:58</t>
        </is>
      </c>
      <c r="J3313" s="8" t="n">
        <v>7.5</v>
      </c>
      <c r="K3313" s="8" t="n">
        <v>7.5</v>
      </c>
      <c r="L3313" s="8" t="n">
        <v>0</v>
      </c>
      <c r="M3313" s="29" t="inlineStr">
        <is>
          <t>HALİL DİĞRENCİ</t>
        </is>
      </c>
    </row>
    <row r="3314">
      <c r="A3314" s="4" t="n">
        <v>3313</v>
      </c>
      <c r="B3314" s="4" t="inlineStr">
        <is>
          <t>00149</t>
        </is>
      </c>
      <c r="C3314" s="4" t="inlineStr">
        <is>
          <t>00149</t>
        </is>
      </c>
      <c r="D3314" s="29" t="inlineStr">
        <is>
          <t>SANİYE CEYLAN</t>
        </is>
      </c>
      <c r="E3314" s="4" t="inlineStr">
        <is>
          <t>Perşembe</t>
        </is>
      </c>
      <c r="F3314" s="4" t="inlineStr">
        <is>
          <t>1.10.2026</t>
        </is>
      </c>
      <c r="G3314" s="4" t="inlineStr">
        <is>
          <t>07:55</t>
        </is>
      </c>
      <c r="H3314" s="4" t="inlineStr">
        <is>
          <t>1.10.2026</t>
        </is>
      </c>
      <c r="I3314" s="4" t="inlineStr">
        <is>
          <t>17:07</t>
        </is>
      </c>
      <c r="J3314" s="8" t="n">
        <v>7.5</v>
      </c>
      <c r="K3314" s="8" t="n">
        <v>7.5</v>
      </c>
      <c r="L3314" s="8" t="n">
        <v>0</v>
      </c>
      <c r="M3314" s="29" t="inlineStr">
        <is>
          <t>BİGADİÇ</t>
        </is>
      </c>
    </row>
    <row r="3315">
      <c r="A3315" s="4" t="n">
        <v>3314</v>
      </c>
      <c r="B3315" s="4" t="inlineStr">
        <is>
          <t>00149</t>
        </is>
      </c>
      <c r="C3315" s="4" t="inlineStr">
        <is>
          <t>00149</t>
        </is>
      </c>
      <c r="D3315" s="29" t="inlineStr">
        <is>
          <t>SANİYE CEYLAN</t>
        </is>
      </c>
      <c r="E3315" s="4" t="inlineStr">
        <is>
          <t>Cuma</t>
        </is>
      </c>
      <c r="F3315" s="4" t="inlineStr">
        <is>
          <t>2.10.2026</t>
        </is>
      </c>
      <c r="G3315" s="4" t="inlineStr">
        <is>
          <t>07:54</t>
        </is>
      </c>
      <c r="H3315" s="4" t="inlineStr">
        <is>
          <t>2.10.2026</t>
        </is>
      </c>
      <c r="I3315" s="4" t="inlineStr">
        <is>
          <t>17:13</t>
        </is>
      </c>
      <c r="J3315" s="8" t="n">
        <v>7.5</v>
      </c>
      <c r="K3315" s="8" t="n">
        <v>7.5</v>
      </c>
      <c r="L3315" s="8" t="n">
        <v>0</v>
      </c>
      <c r="M3315" s="29" t="inlineStr">
        <is>
          <t>BİGADİÇ</t>
        </is>
      </c>
    </row>
    <row r="3316">
      <c r="A3316" s="4" t="n">
        <v>3315</v>
      </c>
      <c r="B3316" s="4" t="inlineStr">
        <is>
          <t>00149</t>
        </is>
      </c>
      <c r="C3316" s="4" t="inlineStr">
        <is>
          <t>00149</t>
        </is>
      </c>
      <c r="D3316" s="29" t="inlineStr">
        <is>
          <t>SANİYE CEYLAN</t>
        </is>
      </c>
      <c r="E3316" s="4" t="inlineStr">
        <is>
          <t>Cumartesi</t>
        </is>
      </c>
      <c r="F3316" s="4" t="inlineStr">
        <is>
          <t>3.10.2026</t>
        </is>
      </c>
      <c r="G3316" s="4" t="inlineStr">
        <is>
          <t>07:36</t>
        </is>
      </c>
      <c r="H3316" s="4" t="inlineStr">
        <is>
          <t>3.10.2026</t>
        </is>
      </c>
      <c r="I3316" s="4" t="inlineStr">
        <is>
          <t>17:08</t>
        </is>
      </c>
      <c r="J3316" s="8" t="n">
        <v>7.5</v>
      </c>
      <c r="K3316" s="8" t="n">
        <v>7.5</v>
      </c>
      <c r="L3316" s="8" t="n">
        <v>0</v>
      </c>
      <c r="M3316" s="29" t="inlineStr">
        <is>
          <t>BİGADİÇ</t>
        </is>
      </c>
    </row>
    <row r="3317">
      <c r="A3317" s="4" t="n">
        <v>3316</v>
      </c>
      <c r="B3317" s="4" t="inlineStr">
        <is>
          <t>00149</t>
        </is>
      </c>
      <c r="C3317" s="4" t="inlineStr">
        <is>
          <t>00149</t>
        </is>
      </c>
      <c r="D3317" s="29" t="inlineStr">
        <is>
          <t>SANİYE CEYLAN</t>
        </is>
      </c>
      <c r="E3317" s="4" t="inlineStr">
        <is>
          <t>Pazartesi</t>
        </is>
      </c>
      <c r="F3317" s="4" t="inlineStr">
        <is>
          <t>5.10.2026</t>
        </is>
      </c>
      <c r="G3317" s="4" t="inlineStr">
        <is>
          <t>07:55</t>
        </is>
      </c>
      <c r="H3317" s="4" t="inlineStr">
        <is>
          <t>5.10.2026</t>
        </is>
      </c>
      <c r="I3317" s="4" t="inlineStr">
        <is>
          <t>17:10</t>
        </is>
      </c>
      <c r="J3317" s="8" t="n">
        <v>7.5</v>
      </c>
      <c r="K3317" s="8" t="n">
        <v>7.5</v>
      </c>
      <c r="L3317" s="8" t="n">
        <v>0</v>
      </c>
      <c r="M3317" s="29" t="inlineStr">
        <is>
          <t>BİGADİÇ</t>
        </is>
      </c>
    </row>
    <row r="3318">
      <c r="A3318" s="4" t="n">
        <v>3317</v>
      </c>
      <c r="B3318" s="4" t="inlineStr">
        <is>
          <t>00149</t>
        </is>
      </c>
      <c r="C3318" s="4" t="inlineStr">
        <is>
          <t>00149</t>
        </is>
      </c>
      <c r="D3318" s="29" t="inlineStr">
        <is>
          <t>SANİYE CEYLAN</t>
        </is>
      </c>
      <c r="E3318" s="4" t="inlineStr">
        <is>
          <t>Salı</t>
        </is>
      </c>
      <c r="F3318" s="4" t="inlineStr">
        <is>
          <t>6.10.2026</t>
        </is>
      </c>
      <c r="G3318" s="4" t="inlineStr">
        <is>
          <t>07:54</t>
        </is>
      </c>
      <c r="H3318" s="4" t="inlineStr">
        <is>
          <t>6.10.2026</t>
        </is>
      </c>
      <c r="I3318" s="4" t="inlineStr">
        <is>
          <t>17:07</t>
        </is>
      </c>
      <c r="J3318" s="8" t="n">
        <v>7.5</v>
      </c>
      <c r="K3318" s="8" t="n">
        <v>7.5</v>
      </c>
      <c r="L3318" s="8" t="n">
        <v>0</v>
      </c>
      <c r="M3318" s="29" t="inlineStr">
        <is>
          <t>BİGADİÇ</t>
        </is>
      </c>
    </row>
    <row r="3319">
      <c r="A3319" s="4" t="n">
        <v>3318</v>
      </c>
      <c r="B3319" s="4" t="inlineStr">
        <is>
          <t>00149</t>
        </is>
      </c>
      <c r="C3319" s="4" t="inlineStr">
        <is>
          <t>00149</t>
        </is>
      </c>
      <c r="D3319" s="29" t="inlineStr">
        <is>
          <t>SANİYE CEYLAN</t>
        </is>
      </c>
      <c r="E3319" s="4" t="inlineStr">
        <is>
          <t>Çarşamba</t>
        </is>
      </c>
      <c r="F3319" s="4" t="inlineStr">
        <is>
          <t>7.10.2026</t>
        </is>
      </c>
      <c r="G3319" s="4" t="inlineStr">
        <is>
          <t>07:56</t>
        </is>
      </c>
      <c r="H3319" s="4" t="inlineStr">
        <is>
          <t>7.10.2026</t>
        </is>
      </c>
      <c r="I3319" s="4" t="inlineStr">
        <is>
          <t>17:04</t>
        </is>
      </c>
      <c r="J3319" s="8" t="n">
        <v>7.5</v>
      </c>
      <c r="K3319" s="8" t="n">
        <v>7.5</v>
      </c>
      <c r="L3319" s="8" t="n">
        <v>0</v>
      </c>
      <c r="M3319" s="29" t="inlineStr">
        <is>
          <t>BİGADİÇ</t>
        </is>
      </c>
    </row>
    <row r="3320">
      <c r="A3320" s="4" t="n">
        <v>3319</v>
      </c>
      <c r="B3320" s="4" t="inlineStr">
        <is>
          <t>00149</t>
        </is>
      </c>
      <c r="C3320" s="4" t="inlineStr">
        <is>
          <t>00149</t>
        </is>
      </c>
      <c r="D3320" s="29" t="inlineStr">
        <is>
          <t>SANİYE CEYLAN</t>
        </is>
      </c>
      <c r="E3320" s="4" t="inlineStr">
        <is>
          <t>Perşembe</t>
        </is>
      </c>
      <c r="F3320" s="4" t="inlineStr">
        <is>
          <t>8.10.2026</t>
        </is>
      </c>
      <c r="G3320" s="4" t="inlineStr">
        <is>
          <t>07:59</t>
        </is>
      </c>
      <c r="H3320" s="4" t="inlineStr">
        <is>
          <t>8.10.2026</t>
        </is>
      </c>
      <c r="I3320" s="4" t="inlineStr">
        <is>
          <t>17:13</t>
        </is>
      </c>
      <c r="J3320" s="8" t="n">
        <v>7.5</v>
      </c>
      <c r="K3320" s="8" t="n">
        <v>7.5</v>
      </c>
      <c r="L3320" s="8" t="n">
        <v>0</v>
      </c>
      <c r="M3320" s="29" t="inlineStr">
        <is>
          <t>BİGADİÇ</t>
        </is>
      </c>
    </row>
    <row r="3321">
      <c r="A3321" s="4" t="n">
        <v>3320</v>
      </c>
      <c r="B3321" s="4" t="inlineStr">
        <is>
          <t>00149</t>
        </is>
      </c>
      <c r="C3321" s="4" t="inlineStr">
        <is>
          <t>00149</t>
        </is>
      </c>
      <c r="D3321" s="29" t="inlineStr">
        <is>
          <t>SANİYE CEYLAN</t>
        </is>
      </c>
      <c r="E3321" s="4" t="inlineStr">
        <is>
          <t>Cuma</t>
        </is>
      </c>
      <c r="F3321" s="4" t="inlineStr">
        <is>
          <t>9.10.2026</t>
        </is>
      </c>
      <c r="G3321" s="4" t="inlineStr">
        <is>
          <t>07:53</t>
        </is>
      </c>
      <c r="H3321" s="4" t="inlineStr">
        <is>
          <t>9.10.2026</t>
        </is>
      </c>
      <c r="I3321" s="4" t="inlineStr">
        <is>
          <t>17:10</t>
        </is>
      </c>
      <c r="J3321" s="8" t="n">
        <v>7.5</v>
      </c>
      <c r="K3321" s="8" t="n">
        <v>7.5</v>
      </c>
      <c r="L3321" s="8" t="n">
        <v>0</v>
      </c>
      <c r="M3321" s="29" t="inlineStr">
        <is>
          <t>BİGADİÇ</t>
        </is>
      </c>
    </row>
    <row r="3322">
      <c r="A3322" s="4" t="n">
        <v>3321</v>
      </c>
      <c r="B3322" s="4" t="inlineStr">
        <is>
          <t>00149</t>
        </is>
      </c>
      <c r="C3322" s="4" t="inlineStr">
        <is>
          <t>00149</t>
        </is>
      </c>
      <c r="D3322" s="29" t="inlineStr">
        <is>
          <t>SANİYE CEYLAN</t>
        </is>
      </c>
      <c r="E3322" s="4" t="inlineStr">
        <is>
          <t>Cumartesi</t>
        </is>
      </c>
      <c r="F3322" s="4" t="inlineStr">
        <is>
          <t>10.10.2026</t>
        </is>
      </c>
      <c r="G3322" s="4" t="inlineStr">
        <is>
          <t>07:53</t>
        </is>
      </c>
      <c r="H3322" s="4" t="inlineStr">
        <is>
          <t>10.10.2026</t>
        </is>
      </c>
      <c r="I3322" s="4" t="inlineStr">
        <is>
          <t>17:09</t>
        </is>
      </c>
      <c r="J3322" s="8" t="n">
        <v>7.5</v>
      </c>
      <c r="K3322" s="8" t="n">
        <v>7.5</v>
      </c>
      <c r="L3322" s="8" t="n">
        <v>0</v>
      </c>
      <c r="M3322" s="29" t="inlineStr">
        <is>
          <t>BİGADİÇ</t>
        </is>
      </c>
    </row>
    <row r="3323">
      <c r="A3323" s="4" t="n">
        <v>3322</v>
      </c>
      <c r="B3323" s="4" t="inlineStr">
        <is>
          <t>00149</t>
        </is>
      </c>
      <c r="C3323" s="4" t="inlineStr">
        <is>
          <t>00149</t>
        </is>
      </c>
      <c r="D3323" s="29" t="inlineStr">
        <is>
          <t>SANİYE CEYLAN</t>
        </is>
      </c>
      <c r="E3323" s="4" t="inlineStr">
        <is>
          <t>Pazartesi</t>
        </is>
      </c>
      <c r="F3323" s="4" t="inlineStr">
        <is>
          <t>12.10.2026</t>
        </is>
      </c>
      <c r="G3323" s="4" t="inlineStr">
        <is>
          <t>07:58</t>
        </is>
      </c>
      <c r="H3323" s="4" t="inlineStr">
        <is>
          <t>12.10.2026</t>
        </is>
      </c>
      <c r="I3323" s="4" t="inlineStr">
        <is>
          <t>18:10</t>
        </is>
      </c>
      <c r="J3323" s="8" t="n">
        <v>8.5</v>
      </c>
      <c r="K3323" s="8" t="n">
        <v>7.5</v>
      </c>
      <c r="L3323" s="8" t="n">
        <v>1</v>
      </c>
      <c r="M3323" s="29" t="inlineStr">
        <is>
          <t>BİGADİÇ</t>
        </is>
      </c>
    </row>
    <row r="3324">
      <c r="A3324" s="4" t="n">
        <v>3323</v>
      </c>
      <c r="B3324" s="4" t="inlineStr">
        <is>
          <t>00149</t>
        </is>
      </c>
      <c r="C3324" s="4" t="inlineStr">
        <is>
          <t>00149</t>
        </is>
      </c>
      <c r="D3324" s="29" t="inlineStr">
        <is>
          <t>SANİYE CEYLAN</t>
        </is>
      </c>
      <c r="E3324" s="4" t="inlineStr">
        <is>
          <t>Salı</t>
        </is>
      </c>
      <c r="F3324" s="4" t="inlineStr">
        <is>
          <t>13.10.2026</t>
        </is>
      </c>
      <c r="G3324" s="4" t="inlineStr">
        <is>
          <t>07:55</t>
        </is>
      </c>
      <c r="H3324" s="4" t="inlineStr">
        <is>
          <t>13.10.2026</t>
        </is>
      </c>
      <c r="I3324" s="4" t="inlineStr">
        <is>
          <t>17:07</t>
        </is>
      </c>
      <c r="J3324" s="8" t="n">
        <v>7.5</v>
      </c>
      <c r="K3324" s="8" t="n">
        <v>7.5</v>
      </c>
      <c r="L3324" s="8" t="n">
        <v>0</v>
      </c>
      <c r="M3324" s="29" t="inlineStr">
        <is>
          <t>BİGADİÇ</t>
        </is>
      </c>
    </row>
    <row r="3325">
      <c r="A3325" s="4" t="n">
        <v>3324</v>
      </c>
      <c r="B3325" s="4" t="inlineStr">
        <is>
          <t>00149</t>
        </is>
      </c>
      <c r="C3325" s="4" t="inlineStr">
        <is>
          <t>00149</t>
        </is>
      </c>
      <c r="D3325" s="29" t="inlineStr">
        <is>
          <t>SANİYE CEYLAN</t>
        </is>
      </c>
      <c r="E3325" s="4" t="inlineStr">
        <is>
          <t>Çarşamba</t>
        </is>
      </c>
      <c r="F3325" s="4" t="inlineStr">
        <is>
          <t>14.10.2026</t>
        </is>
      </c>
      <c r="G3325" s="4" t="inlineStr">
        <is>
          <t>07:58</t>
        </is>
      </c>
      <c r="H3325" s="4" t="inlineStr">
        <is>
          <t>14.10.2026</t>
        </is>
      </c>
      <c r="I3325" s="4" t="inlineStr">
        <is>
          <t>17:05</t>
        </is>
      </c>
      <c r="J3325" s="8" t="n">
        <v>7.5</v>
      </c>
      <c r="K3325" s="8" t="n">
        <v>7.5</v>
      </c>
      <c r="L3325" s="8" t="n">
        <v>0</v>
      </c>
      <c r="M3325" s="29" t="inlineStr">
        <is>
          <t>BİGADİÇ</t>
        </is>
      </c>
    </row>
    <row r="3326">
      <c r="A3326" s="4" t="n">
        <v>3325</v>
      </c>
      <c r="B3326" s="4" t="inlineStr">
        <is>
          <t>00149</t>
        </is>
      </c>
      <c r="C3326" s="4" t="inlineStr">
        <is>
          <t>00149</t>
        </is>
      </c>
      <c r="D3326" s="29" t="inlineStr">
        <is>
          <t>SANİYE CEYLAN</t>
        </is>
      </c>
      <c r="E3326" s="4" t="inlineStr">
        <is>
          <t>Perşembe</t>
        </is>
      </c>
      <c r="F3326" s="4" t="inlineStr">
        <is>
          <t>15.10.2026</t>
        </is>
      </c>
      <c r="G3326" s="4" t="inlineStr">
        <is>
          <t>08:01</t>
        </is>
      </c>
      <c r="H3326" s="4" t="inlineStr">
        <is>
          <t>15.10.2026</t>
        </is>
      </c>
      <c r="I3326" s="4" t="inlineStr">
        <is>
          <t>17:26</t>
        </is>
      </c>
      <c r="J3326" s="8" t="n">
        <v>8</v>
      </c>
      <c r="K3326" s="8" t="n">
        <v>7.5</v>
      </c>
      <c r="L3326" s="8" t="n">
        <v>0.5</v>
      </c>
      <c r="M3326" s="29" t="inlineStr">
        <is>
          <t>BİGADİÇ</t>
        </is>
      </c>
    </row>
    <row r="3327">
      <c r="A3327" s="4" t="n">
        <v>3326</v>
      </c>
      <c r="B3327" s="4" t="inlineStr">
        <is>
          <t>00149</t>
        </is>
      </c>
      <c r="C3327" s="4" t="inlineStr">
        <is>
          <t>00149</t>
        </is>
      </c>
      <c r="D3327" s="29" t="inlineStr">
        <is>
          <t>SANİYE CEYLAN</t>
        </is>
      </c>
      <c r="E3327" s="4" t="inlineStr">
        <is>
          <t>Cuma</t>
        </is>
      </c>
      <c r="F3327" s="4" t="inlineStr">
        <is>
          <t>16.10.2026</t>
        </is>
      </c>
      <c r="G3327" s="4" t="inlineStr">
        <is>
          <t>07:53</t>
        </is>
      </c>
      <c r="H3327" s="4" t="inlineStr">
        <is>
          <t>16.10.2026</t>
        </is>
      </c>
      <c r="I3327" s="4" t="inlineStr">
        <is>
          <t>17:12</t>
        </is>
      </c>
      <c r="J3327" s="8" t="n">
        <v>7.5</v>
      </c>
      <c r="K3327" s="8" t="n">
        <v>7.5</v>
      </c>
      <c r="L3327" s="8" t="n">
        <v>0</v>
      </c>
      <c r="M3327" s="29" t="inlineStr">
        <is>
          <t>BİGADİÇ</t>
        </is>
      </c>
    </row>
    <row r="3328">
      <c r="A3328" s="4" t="n">
        <v>3327</v>
      </c>
      <c r="B3328" s="4" t="inlineStr">
        <is>
          <t>00149</t>
        </is>
      </c>
      <c r="C3328" s="4" t="inlineStr">
        <is>
          <t>00149</t>
        </is>
      </c>
      <c r="D3328" s="29" t="inlineStr">
        <is>
          <t>SANİYE CEYLAN</t>
        </is>
      </c>
      <c r="E3328" s="4" t="inlineStr">
        <is>
          <t>Cumartesi</t>
        </is>
      </c>
      <c r="F3328" s="4" t="inlineStr">
        <is>
          <t>17.10.2026</t>
        </is>
      </c>
      <c r="G3328" s="4" t="inlineStr">
        <is>
          <t>07:52</t>
        </is>
      </c>
      <c r="H3328" s="4" t="inlineStr">
        <is>
          <t>17.10.2026</t>
        </is>
      </c>
      <c r="I3328" s="4" t="inlineStr">
        <is>
          <t>17:07</t>
        </is>
      </c>
      <c r="J3328" s="8" t="n">
        <v>7.5</v>
      </c>
      <c r="K3328" s="8" t="n">
        <v>7.5</v>
      </c>
      <c r="L3328" s="8" t="n">
        <v>0</v>
      </c>
      <c r="M3328" s="29" t="inlineStr">
        <is>
          <t>BİGADİÇ</t>
        </is>
      </c>
    </row>
    <row r="3329">
      <c r="A3329" s="4" t="n">
        <v>3328</v>
      </c>
      <c r="B3329" s="4" t="inlineStr">
        <is>
          <t>00149</t>
        </is>
      </c>
      <c r="C3329" s="4" t="inlineStr">
        <is>
          <t>00149</t>
        </is>
      </c>
      <c r="D3329" s="29" t="inlineStr">
        <is>
          <t>SANİYE CEYLAN</t>
        </is>
      </c>
      <c r="E3329" s="4" t="inlineStr">
        <is>
          <t>Pazar</t>
        </is>
      </c>
      <c r="F3329" s="4" t="inlineStr">
        <is>
          <t>18.10.2026</t>
        </is>
      </c>
      <c r="G3329" s="4" t="inlineStr">
        <is>
          <t>08:10</t>
        </is>
      </c>
      <c r="H3329" s="4" t="inlineStr">
        <is>
          <t>18.10.2026</t>
        </is>
      </c>
      <c r="I3329" s="4" t="inlineStr">
        <is>
          <t>17:10</t>
        </is>
      </c>
      <c r="J3329" s="8" t="n">
        <v>7.5</v>
      </c>
      <c r="K3329" s="8" t="n">
        <v>7.5</v>
      </c>
      <c r="L3329" s="8" t="n">
        <v>0</v>
      </c>
      <c r="M3329" s="29" t="inlineStr">
        <is>
          <t>BİGADİÇ</t>
        </is>
      </c>
    </row>
    <row r="3330">
      <c r="A3330" s="4" t="n">
        <v>3329</v>
      </c>
      <c r="B3330" s="4" t="inlineStr">
        <is>
          <t>00149</t>
        </is>
      </c>
      <c r="C3330" s="4" t="inlineStr">
        <is>
          <t>00149</t>
        </is>
      </c>
      <c r="D3330" s="29" t="inlineStr">
        <is>
          <t>SANİYE CEYLAN</t>
        </is>
      </c>
      <c r="E3330" s="4" t="inlineStr">
        <is>
          <t>Pazartesi</t>
        </is>
      </c>
      <c r="F3330" s="4" t="inlineStr">
        <is>
          <t>19.10.2026</t>
        </is>
      </c>
      <c r="G3330" s="4" t="inlineStr">
        <is>
          <t>07:54</t>
        </is>
      </c>
      <c r="H3330" s="4" t="inlineStr">
        <is>
          <t>19.10.2026</t>
        </is>
      </c>
      <c r="I3330" s="4" t="inlineStr">
        <is>
          <t>17:08</t>
        </is>
      </c>
      <c r="J3330" s="8" t="n">
        <v>7.5</v>
      </c>
      <c r="K3330" s="8" t="n">
        <v>7.5</v>
      </c>
      <c r="L3330" s="8" t="n">
        <v>0</v>
      </c>
      <c r="M3330" s="29" t="inlineStr">
        <is>
          <t>BİGADİÇ</t>
        </is>
      </c>
    </row>
    <row r="3331">
      <c r="A3331" s="4" t="n">
        <v>3330</v>
      </c>
      <c r="B3331" s="4" t="inlineStr">
        <is>
          <t>00149</t>
        </is>
      </c>
      <c r="C3331" s="4" t="inlineStr">
        <is>
          <t>00149</t>
        </is>
      </c>
      <c r="D3331" s="29" t="inlineStr">
        <is>
          <t>SANİYE CEYLAN</t>
        </is>
      </c>
      <c r="E3331" s="4" t="inlineStr">
        <is>
          <t>Salı</t>
        </is>
      </c>
      <c r="F3331" s="4" t="inlineStr">
        <is>
          <t>20.10.2026</t>
        </is>
      </c>
      <c r="G3331" s="4" t="inlineStr">
        <is>
          <t>08:19</t>
        </is>
      </c>
      <c r="H3331" s="4" t="inlineStr">
        <is>
          <t>20.10.2026</t>
        </is>
      </c>
      <c r="I3331" s="4" t="inlineStr">
        <is>
          <t>17:13</t>
        </is>
      </c>
      <c r="J3331" s="8" t="n">
        <v>7.5</v>
      </c>
      <c r="K3331" s="8" t="n">
        <v>7.5</v>
      </c>
      <c r="L3331" s="8" t="n">
        <v>0</v>
      </c>
      <c r="M3331" s="29" t="inlineStr">
        <is>
          <t>BİGADİÇ</t>
        </is>
      </c>
    </row>
    <row r="3332">
      <c r="A3332" s="4" t="n">
        <v>3331</v>
      </c>
      <c r="B3332" s="4" t="inlineStr">
        <is>
          <t>00149</t>
        </is>
      </c>
      <c r="C3332" s="4" t="inlineStr">
        <is>
          <t>00149</t>
        </is>
      </c>
      <c r="D3332" s="29" t="inlineStr">
        <is>
          <t>SANİYE CEYLAN</t>
        </is>
      </c>
      <c r="E3332" s="4" t="inlineStr">
        <is>
          <t>Çarşamba</t>
        </is>
      </c>
      <c r="F3332" s="4" t="inlineStr">
        <is>
          <t>21.10.2026</t>
        </is>
      </c>
      <c r="G3332" s="4" t="inlineStr">
        <is>
          <t>08:00</t>
        </is>
      </c>
      <c r="H3332" s="4" t="inlineStr">
        <is>
          <t>21.10.2026</t>
        </is>
      </c>
      <c r="I3332" s="4" t="inlineStr">
        <is>
          <t>17:06</t>
        </is>
      </c>
      <c r="J3332" s="8" t="n">
        <v>7.5</v>
      </c>
      <c r="K3332" s="8" t="n">
        <v>7.5</v>
      </c>
      <c r="L3332" s="8" t="n">
        <v>0</v>
      </c>
      <c r="M3332" s="29" t="inlineStr">
        <is>
          <t>BİGADİÇ</t>
        </is>
      </c>
    </row>
    <row r="3333">
      <c r="A3333" s="4" t="n">
        <v>3332</v>
      </c>
      <c r="B3333" s="4" t="inlineStr">
        <is>
          <t>01341</t>
        </is>
      </c>
      <c r="C3333" s="4" t="inlineStr">
        <is>
          <t>01341</t>
        </is>
      </c>
      <c r="D3333" s="29" t="inlineStr">
        <is>
          <t>SANİYE AKBAY</t>
        </is>
      </c>
      <c r="E3333" s="4" t="inlineStr">
        <is>
          <t>Perşembe</t>
        </is>
      </c>
      <c r="F3333" s="4" t="inlineStr">
        <is>
          <t>1.10.2026</t>
        </is>
      </c>
      <c r="G3333" s="4" t="inlineStr">
        <is>
          <t>19:53</t>
        </is>
      </c>
      <c r="H3333" s="4" t="inlineStr">
        <is>
          <t>1.10.2026</t>
        </is>
      </c>
      <c r="I3333" s="4" t="inlineStr">
        <is>
          <t>08:00</t>
        </is>
      </c>
      <c r="J3333" s="8" t="n">
        <v>10.5</v>
      </c>
      <c r="K3333" s="8" t="n">
        <v>7.5</v>
      </c>
      <c r="L3333" s="8" t="n">
        <v>3</v>
      </c>
      <c r="M3333" s="29" t="inlineStr">
        <is>
          <t>SÇEVİKAT ÇELİK</t>
        </is>
      </c>
    </row>
    <row r="3334">
      <c r="A3334" s="4" t="n">
        <v>3333</v>
      </c>
      <c r="B3334" s="4" t="inlineStr">
        <is>
          <t>01341</t>
        </is>
      </c>
      <c r="C3334" s="4" t="inlineStr">
        <is>
          <t>01341</t>
        </is>
      </c>
      <c r="D3334" s="29" t="inlineStr">
        <is>
          <t>SANİYE AKBAY</t>
        </is>
      </c>
      <c r="E3334" s="4" t="inlineStr">
        <is>
          <t>Cuma</t>
        </is>
      </c>
      <c r="F3334" s="4" t="inlineStr">
        <is>
          <t>2.10.2026</t>
        </is>
      </c>
      <c r="G3334" s="4" t="inlineStr">
        <is>
          <t>19:48</t>
        </is>
      </c>
      <c r="H3334" s="4" t="inlineStr">
        <is>
          <t>2.10.2026</t>
        </is>
      </c>
      <c r="I3334" s="4" t="inlineStr">
        <is>
          <t>08:02</t>
        </is>
      </c>
      <c r="J3334" s="8" t="n">
        <v>10.5</v>
      </c>
      <c r="K3334" s="8" t="n">
        <v>7.5</v>
      </c>
      <c r="L3334" s="8" t="n">
        <v>3</v>
      </c>
      <c r="M3334" s="29" t="inlineStr">
        <is>
          <t>SÇEVİKAT ÇELİK</t>
        </is>
      </c>
    </row>
    <row r="3335">
      <c r="A3335" s="4" t="n">
        <v>3334</v>
      </c>
      <c r="B3335" s="4" t="inlineStr">
        <is>
          <t>01341</t>
        </is>
      </c>
      <c r="C3335" s="4" t="inlineStr">
        <is>
          <t>01341</t>
        </is>
      </c>
      <c r="D3335" s="29" t="inlineStr">
        <is>
          <t>SANİYE AKBAY</t>
        </is>
      </c>
      <c r="E3335" s="4" t="inlineStr">
        <is>
          <t>Cumartesi</t>
        </is>
      </c>
      <c r="F3335" s="4" t="inlineStr">
        <is>
          <t>3.10.2026</t>
        </is>
      </c>
      <c r="G3335" s="4" t="inlineStr">
        <is>
          <t>19:53</t>
        </is>
      </c>
      <c r="H3335" s="4" t="inlineStr">
        <is>
          <t>3.10.2026</t>
        </is>
      </c>
      <c r="I3335" s="4" t="inlineStr">
        <is>
          <t>08:02</t>
        </is>
      </c>
      <c r="J3335" s="8" t="n">
        <v>10.5</v>
      </c>
      <c r="K3335" s="8" t="n">
        <v>7.5</v>
      </c>
      <c r="L3335" s="8" t="n">
        <v>3</v>
      </c>
      <c r="M3335" s="29" t="inlineStr">
        <is>
          <t>SÇEVİKAT ÇELİK</t>
        </is>
      </c>
    </row>
    <row r="3336">
      <c r="A3336" s="4" t="n">
        <v>3335</v>
      </c>
      <c r="B3336" s="4" t="inlineStr">
        <is>
          <t>01341</t>
        </is>
      </c>
      <c r="C3336" s="4" t="inlineStr">
        <is>
          <t>01341</t>
        </is>
      </c>
      <c r="D3336" s="29" t="inlineStr">
        <is>
          <t>SANİYE AKBAY</t>
        </is>
      </c>
      <c r="E3336" s="4" t="inlineStr">
        <is>
          <t>Pazar</t>
        </is>
      </c>
      <c r="F3336" s="4" t="inlineStr">
        <is>
          <t>4.10.2026</t>
        </is>
      </c>
      <c r="G3336" s="4" t="inlineStr">
        <is>
          <t>19:55</t>
        </is>
      </c>
      <c r="H3336" s="4" t="inlineStr">
        <is>
          <t>4.10.2026</t>
        </is>
      </c>
      <c r="I3336" s="4" t="inlineStr">
        <is>
          <t>07:56</t>
        </is>
      </c>
      <c r="J3336" s="8" t="n">
        <v>10.5</v>
      </c>
      <c r="K3336" s="8" t="n">
        <v>7.5</v>
      </c>
      <c r="L3336" s="8" t="n">
        <v>3</v>
      </c>
      <c r="M3336" s="29" t="inlineStr">
        <is>
          <t>SÇEVİKAT ÇELİK</t>
        </is>
      </c>
    </row>
    <row r="3337">
      <c r="A3337" s="4" t="n">
        <v>3336</v>
      </c>
      <c r="B3337" s="4" t="inlineStr">
        <is>
          <t>01341</t>
        </is>
      </c>
      <c r="C3337" s="4" t="inlineStr">
        <is>
          <t>01341</t>
        </is>
      </c>
      <c r="D3337" s="29" t="inlineStr">
        <is>
          <t>SANİYE AKBAY</t>
        </is>
      </c>
      <c r="E3337" s="4" t="inlineStr">
        <is>
          <t>Pazartesi</t>
        </is>
      </c>
      <c r="F3337" s="4" t="inlineStr">
        <is>
          <t>5.10.2026</t>
        </is>
      </c>
      <c r="G3337" s="4" t="inlineStr">
        <is>
          <t>19:48</t>
        </is>
      </c>
      <c r="H3337" s="4" t="inlineStr">
        <is>
          <t>5.10.2026</t>
        </is>
      </c>
      <c r="I3337" s="4" t="inlineStr">
        <is>
          <t>08:01</t>
        </is>
      </c>
      <c r="J3337" s="8" t="n">
        <v>10.5</v>
      </c>
      <c r="K3337" s="8" t="n">
        <v>7.5</v>
      </c>
      <c r="L3337" s="8" t="n">
        <v>3</v>
      </c>
      <c r="M3337" s="29" t="inlineStr">
        <is>
          <t>SÇEVİKAT ÇELİK</t>
        </is>
      </c>
    </row>
    <row r="3338">
      <c r="A3338" s="4" t="n">
        <v>3337</v>
      </c>
      <c r="B3338" s="4" t="inlineStr">
        <is>
          <t>01341</t>
        </is>
      </c>
      <c r="C3338" s="4" t="inlineStr">
        <is>
          <t>01341</t>
        </is>
      </c>
      <c r="D3338" s="29" t="inlineStr">
        <is>
          <t>SANİYE AKBAY</t>
        </is>
      </c>
      <c r="E3338" s="4" t="inlineStr">
        <is>
          <t>Salı</t>
        </is>
      </c>
      <c r="F3338" s="4" t="inlineStr">
        <is>
          <t>6.10.2026</t>
        </is>
      </c>
      <c r="G3338" s="4" t="inlineStr">
        <is>
          <t>19:54</t>
        </is>
      </c>
      <c r="H3338" s="4" t="inlineStr">
        <is>
          <t>6.10.2026</t>
        </is>
      </c>
      <c r="I3338" s="4" t="inlineStr">
        <is>
          <t>08:00</t>
        </is>
      </c>
      <c r="J3338" s="8" t="n">
        <v>10.5</v>
      </c>
      <c r="K3338" s="8" t="n">
        <v>7.5</v>
      </c>
      <c r="L3338" s="8" t="n">
        <v>3</v>
      </c>
      <c r="M3338" s="29" t="inlineStr">
        <is>
          <t>SÇEVİKAT ÇELİK</t>
        </is>
      </c>
    </row>
    <row r="3339">
      <c r="A3339" s="4" t="n">
        <v>3338</v>
      </c>
      <c r="B3339" s="4" t="inlineStr">
        <is>
          <t>01341</t>
        </is>
      </c>
      <c r="C3339" s="4" t="inlineStr">
        <is>
          <t>01341</t>
        </is>
      </c>
      <c r="D3339" s="29" t="inlineStr">
        <is>
          <t>SANİYE AKBAY</t>
        </is>
      </c>
      <c r="E3339" s="4" t="inlineStr">
        <is>
          <t>Çarşamba</t>
        </is>
      </c>
      <c r="F3339" s="4" t="inlineStr">
        <is>
          <t>7.10.2026</t>
        </is>
      </c>
      <c r="G3339" s="4" t="inlineStr">
        <is>
          <t>19:52</t>
        </is>
      </c>
      <c r="H3339" s="4" t="inlineStr">
        <is>
          <t>7.10.2026</t>
        </is>
      </c>
      <c r="I3339" s="4" t="inlineStr">
        <is>
          <t>07:57</t>
        </is>
      </c>
      <c r="J3339" s="8" t="n">
        <v>10.5</v>
      </c>
      <c r="K3339" s="8" t="n">
        <v>7.5</v>
      </c>
      <c r="L3339" s="8" t="n">
        <v>3</v>
      </c>
      <c r="M3339" s="29" t="inlineStr">
        <is>
          <t>SÇEVİKAT ÇELİK</t>
        </is>
      </c>
    </row>
    <row r="3340">
      <c r="A3340" s="4" t="n">
        <v>3339</v>
      </c>
      <c r="B3340" s="4" t="inlineStr">
        <is>
          <t>01341</t>
        </is>
      </c>
      <c r="C3340" s="4" t="inlineStr">
        <is>
          <t>01341</t>
        </is>
      </c>
      <c r="D3340" s="29" t="inlineStr">
        <is>
          <t>SANİYE AKBAY</t>
        </is>
      </c>
      <c r="E3340" s="4" t="inlineStr">
        <is>
          <t>Perşembe</t>
        </is>
      </c>
      <c r="F3340" s="4" t="inlineStr">
        <is>
          <t>8.10.2026</t>
        </is>
      </c>
      <c r="G3340" s="4" t="inlineStr">
        <is>
          <t>20:03</t>
        </is>
      </c>
      <c r="H3340" s="4" t="inlineStr">
        <is>
          <t>8.10.2026</t>
        </is>
      </c>
      <c r="I3340" s="4" t="inlineStr">
        <is>
          <t>07:58</t>
        </is>
      </c>
      <c r="J3340" s="8" t="n">
        <v>10.5</v>
      </c>
      <c r="K3340" s="8" t="n">
        <v>7.5</v>
      </c>
      <c r="L3340" s="8" t="n">
        <v>3</v>
      </c>
      <c r="M3340" s="29" t="inlineStr">
        <is>
          <t>SÇEVİKAT ÇELİK</t>
        </is>
      </c>
    </row>
    <row r="3341">
      <c r="A3341" s="4" t="n">
        <v>3340</v>
      </c>
      <c r="B3341" s="4" t="inlineStr">
        <is>
          <t>01341</t>
        </is>
      </c>
      <c r="C3341" s="4" t="inlineStr">
        <is>
          <t>01341</t>
        </is>
      </c>
      <c r="D3341" s="29" t="inlineStr">
        <is>
          <t>SANİYE AKBAY</t>
        </is>
      </c>
      <c r="E3341" s="4" t="inlineStr">
        <is>
          <t>Pazartesi</t>
        </is>
      </c>
      <c r="F3341" s="4" t="inlineStr">
        <is>
          <t>19.10.2026</t>
        </is>
      </c>
      <c r="G3341" s="4" t="inlineStr">
        <is>
          <t>20:14</t>
        </is>
      </c>
      <c r="H3341" s="4" t="inlineStr">
        <is>
          <t>19.10.2026</t>
        </is>
      </c>
      <c r="I3341" s="4" t="inlineStr">
        <is>
          <t>07:56</t>
        </is>
      </c>
      <c r="J3341" s="8" t="n">
        <v>10.5</v>
      </c>
      <c r="K3341" s="8" t="n">
        <v>7.5</v>
      </c>
      <c r="L3341" s="8" t="n">
        <v>3</v>
      </c>
      <c r="M3341" s="29" t="inlineStr">
        <is>
          <t>SÇEVİKAT ÇELİK</t>
        </is>
      </c>
    </row>
    <row r="3342">
      <c r="A3342" s="4" t="n">
        <v>3341</v>
      </c>
      <c r="B3342" s="4" t="inlineStr">
        <is>
          <t>00150</t>
        </is>
      </c>
      <c r="C3342" s="4" t="inlineStr">
        <is>
          <t>00150</t>
        </is>
      </c>
      <c r="D3342" s="29" t="inlineStr">
        <is>
          <t>SARA EROĞLU</t>
        </is>
      </c>
      <c r="E3342" s="4" t="inlineStr">
        <is>
          <t>Perşembe</t>
        </is>
      </c>
      <c r="F3342" s="4" t="inlineStr">
        <is>
          <t>1.10.2026</t>
        </is>
      </c>
      <c r="G3342" s="4" t="inlineStr">
        <is>
          <t>07:50</t>
        </is>
      </c>
      <c r="H3342" s="4" t="inlineStr">
        <is>
          <t>1.10.2026</t>
        </is>
      </c>
      <c r="I3342" s="4" t="inlineStr">
        <is>
          <t>17:23</t>
        </is>
      </c>
      <c r="J3342" s="8" t="n">
        <v>8</v>
      </c>
      <c r="K3342" s="8" t="n">
        <v>7.5</v>
      </c>
      <c r="L3342" s="8" t="n">
        <v>0.5</v>
      </c>
      <c r="M3342" s="29" t="inlineStr">
        <is>
          <t>BALIKESİR</t>
        </is>
      </c>
    </row>
    <row r="3343">
      <c r="A3343" s="4" t="n">
        <v>3342</v>
      </c>
      <c r="B3343" s="4" t="inlineStr">
        <is>
          <t>00150</t>
        </is>
      </c>
      <c r="C3343" s="4" t="inlineStr">
        <is>
          <t>00150</t>
        </is>
      </c>
      <c r="D3343" s="29" t="inlineStr">
        <is>
          <t>SARA EROĞLU</t>
        </is>
      </c>
      <c r="E3343" s="4" t="inlineStr">
        <is>
          <t>Cuma</t>
        </is>
      </c>
      <c r="F3343" s="4" t="inlineStr">
        <is>
          <t>2.10.2026</t>
        </is>
      </c>
      <c r="G3343" s="4" t="inlineStr">
        <is>
          <t>07:55</t>
        </is>
      </c>
      <c r="H3343" s="4" t="inlineStr">
        <is>
          <t>2.10.2026</t>
        </is>
      </c>
      <c r="I3343" s="4" t="inlineStr">
        <is>
          <t>17:41</t>
        </is>
      </c>
      <c r="J3343" s="8" t="n">
        <v>8</v>
      </c>
      <c r="K3343" s="8" t="n">
        <v>7.5</v>
      </c>
      <c r="L3343" s="8" t="n">
        <v>0.5</v>
      </c>
      <c r="M3343" s="29" t="inlineStr">
        <is>
          <t>BALIKESİR</t>
        </is>
      </c>
    </row>
    <row r="3344">
      <c r="A3344" s="4" t="n">
        <v>3343</v>
      </c>
      <c r="B3344" s="4" t="inlineStr">
        <is>
          <t>00150</t>
        </is>
      </c>
      <c r="C3344" s="4" t="inlineStr">
        <is>
          <t>00150</t>
        </is>
      </c>
      <c r="D3344" s="29" t="inlineStr">
        <is>
          <t>SARA EROĞLU</t>
        </is>
      </c>
      <c r="E3344" s="4" t="inlineStr">
        <is>
          <t>Cumartesi</t>
        </is>
      </c>
      <c r="F3344" s="4" t="inlineStr">
        <is>
          <t>3.10.2026</t>
        </is>
      </c>
      <c r="G3344" s="4" t="inlineStr">
        <is>
          <t>07:55</t>
        </is>
      </c>
      <c r="H3344" s="4" t="inlineStr">
        <is>
          <t>3.10.2026</t>
        </is>
      </c>
      <c r="I3344" s="4" t="inlineStr">
        <is>
          <t>17:31</t>
        </is>
      </c>
      <c r="J3344" s="8" t="n">
        <v>8</v>
      </c>
      <c r="K3344" s="8" t="n">
        <v>7.5</v>
      </c>
      <c r="L3344" s="8" t="n">
        <v>0.5</v>
      </c>
      <c r="M3344" s="29" t="inlineStr">
        <is>
          <t>BALIKESİR</t>
        </is>
      </c>
    </row>
    <row r="3345">
      <c r="A3345" s="4" t="n">
        <v>3344</v>
      </c>
      <c r="B3345" s="4" t="inlineStr">
        <is>
          <t>00150</t>
        </is>
      </c>
      <c r="C3345" s="4" t="inlineStr">
        <is>
          <t>00150</t>
        </is>
      </c>
      <c r="D3345" s="29" t="inlineStr">
        <is>
          <t>SARA EROĞLU</t>
        </is>
      </c>
      <c r="E3345" s="4" t="inlineStr">
        <is>
          <t>Pazartesi</t>
        </is>
      </c>
      <c r="F3345" s="4" t="inlineStr">
        <is>
          <t>5.10.2026</t>
        </is>
      </c>
      <c r="G3345" s="4" t="inlineStr">
        <is>
          <t>07:52</t>
        </is>
      </c>
      <c r="H3345" s="4" t="inlineStr">
        <is>
          <t>5.10.2026</t>
        </is>
      </c>
      <c r="I3345" s="4" t="inlineStr">
        <is>
          <t>17:08</t>
        </is>
      </c>
      <c r="J3345" s="8" t="n">
        <v>7.5</v>
      </c>
      <c r="K3345" s="8" t="n">
        <v>7.5</v>
      </c>
      <c r="L3345" s="8" t="n">
        <v>0</v>
      </c>
      <c r="M3345" s="29" t="inlineStr">
        <is>
          <t>BALIKESİR</t>
        </is>
      </c>
    </row>
    <row r="3346">
      <c r="A3346" s="4" t="n">
        <v>3345</v>
      </c>
      <c r="B3346" s="4" t="inlineStr">
        <is>
          <t>00150</t>
        </is>
      </c>
      <c r="C3346" s="4" t="inlineStr">
        <is>
          <t>00150</t>
        </is>
      </c>
      <c r="D3346" s="29" t="inlineStr">
        <is>
          <t>SARA EROĞLU</t>
        </is>
      </c>
      <c r="E3346" s="4" t="inlineStr">
        <is>
          <t>Salı</t>
        </is>
      </c>
      <c r="F3346" s="4" t="inlineStr">
        <is>
          <t>6.10.2026</t>
        </is>
      </c>
      <c r="G3346" s="4" t="inlineStr">
        <is>
          <t>07:50</t>
        </is>
      </c>
      <c r="H3346" s="4" t="inlineStr">
        <is>
          <t>6.10.2026</t>
        </is>
      </c>
      <c r="I3346" s="4" t="inlineStr">
        <is>
          <t>17:09</t>
        </is>
      </c>
      <c r="J3346" s="8" t="n">
        <v>7.5</v>
      </c>
      <c r="K3346" s="8" t="n">
        <v>7.5</v>
      </c>
      <c r="L3346" s="8" t="n">
        <v>0</v>
      </c>
      <c r="M3346" s="29" t="inlineStr">
        <is>
          <t>BALIKESİR</t>
        </is>
      </c>
    </row>
    <row r="3347">
      <c r="A3347" s="4" t="n">
        <v>3346</v>
      </c>
      <c r="B3347" s="4" t="inlineStr">
        <is>
          <t>00150</t>
        </is>
      </c>
      <c r="C3347" s="4" t="inlineStr">
        <is>
          <t>00150</t>
        </is>
      </c>
      <c r="D3347" s="29" t="inlineStr">
        <is>
          <t>SARA EROĞLU</t>
        </is>
      </c>
      <c r="E3347" s="4" t="inlineStr">
        <is>
          <t>Çarşamba</t>
        </is>
      </c>
      <c r="F3347" s="4" t="inlineStr">
        <is>
          <t>7.10.2026</t>
        </is>
      </c>
      <c r="G3347" s="4" t="inlineStr">
        <is>
          <t>07:47</t>
        </is>
      </c>
      <c r="H3347" s="4" t="inlineStr">
        <is>
          <t>7.10.2026</t>
        </is>
      </c>
      <c r="I3347" s="4" t="inlineStr">
        <is>
          <t>17:19</t>
        </is>
      </c>
      <c r="J3347" s="8" t="n">
        <v>7.5</v>
      </c>
      <c r="K3347" s="8" t="n">
        <v>7.5</v>
      </c>
      <c r="L3347" s="8" t="n">
        <v>0</v>
      </c>
      <c r="M3347" s="29" t="inlineStr">
        <is>
          <t>BALIKESİR</t>
        </is>
      </c>
    </row>
    <row r="3348">
      <c r="A3348" s="4" t="n">
        <v>3347</v>
      </c>
      <c r="B3348" s="4" t="inlineStr">
        <is>
          <t>00150</t>
        </is>
      </c>
      <c r="C3348" s="4" t="inlineStr">
        <is>
          <t>00150</t>
        </is>
      </c>
      <c r="D3348" s="29" t="inlineStr">
        <is>
          <t>SARA EROĞLU</t>
        </is>
      </c>
      <c r="E3348" s="4" t="inlineStr">
        <is>
          <t>Perşembe</t>
        </is>
      </c>
      <c r="F3348" s="4" t="inlineStr">
        <is>
          <t>8.10.2026</t>
        </is>
      </c>
      <c r="G3348" s="4" t="inlineStr">
        <is>
          <t>07:49</t>
        </is>
      </c>
      <c r="H3348" s="4" t="inlineStr">
        <is>
          <t>8.10.2026</t>
        </is>
      </c>
      <c r="I3348" s="4" t="inlineStr">
        <is>
          <t>17:30</t>
        </is>
      </c>
      <c r="J3348" s="8" t="n">
        <v>8</v>
      </c>
      <c r="K3348" s="8" t="n">
        <v>7.5</v>
      </c>
      <c r="L3348" s="8" t="n">
        <v>0.5</v>
      </c>
      <c r="M3348" s="29" t="inlineStr">
        <is>
          <t>BALIKESİR</t>
        </is>
      </c>
    </row>
    <row r="3349">
      <c r="A3349" s="4" t="n">
        <v>3348</v>
      </c>
      <c r="B3349" s="4" t="inlineStr">
        <is>
          <t>00150</t>
        </is>
      </c>
      <c r="C3349" s="4" t="inlineStr">
        <is>
          <t>00150</t>
        </is>
      </c>
      <c r="D3349" s="29" t="inlineStr">
        <is>
          <t>SARA EROĞLU</t>
        </is>
      </c>
      <c r="E3349" s="4" t="inlineStr">
        <is>
          <t>Cuma</t>
        </is>
      </c>
      <c r="F3349" s="4" t="inlineStr">
        <is>
          <t>9.10.2026</t>
        </is>
      </c>
      <c r="G3349" s="4" t="inlineStr">
        <is>
          <t>07:50</t>
        </is>
      </c>
      <c r="H3349" s="4" t="inlineStr">
        <is>
          <t>9.10.2026</t>
        </is>
      </c>
      <c r="I3349" s="4" t="inlineStr">
        <is>
          <t>17:38</t>
        </is>
      </c>
      <c r="J3349" s="8" t="n">
        <v>8</v>
      </c>
      <c r="K3349" s="8" t="n">
        <v>7.5</v>
      </c>
      <c r="L3349" s="8" t="n">
        <v>0.5</v>
      </c>
      <c r="M3349" s="29" t="inlineStr">
        <is>
          <t>BALIKESİR</t>
        </is>
      </c>
    </row>
    <row r="3350">
      <c r="A3350" s="4" t="n">
        <v>3349</v>
      </c>
      <c r="B3350" s="4" t="inlineStr">
        <is>
          <t>00150</t>
        </is>
      </c>
      <c r="C3350" s="4" t="inlineStr">
        <is>
          <t>00150</t>
        </is>
      </c>
      <c r="D3350" s="29" t="inlineStr">
        <is>
          <t>SARA EROĞLU</t>
        </is>
      </c>
      <c r="E3350" s="4" t="inlineStr">
        <is>
          <t>Cumartesi</t>
        </is>
      </c>
      <c r="F3350" s="4" t="inlineStr">
        <is>
          <t>10.10.2026</t>
        </is>
      </c>
      <c r="G3350" s="4" t="inlineStr">
        <is>
          <t>07:52</t>
        </is>
      </c>
      <c r="H3350" s="4" t="inlineStr">
        <is>
          <t>10.10.2026</t>
        </is>
      </c>
      <c r="I3350" s="4" t="inlineStr">
        <is>
          <t>17:08</t>
        </is>
      </c>
      <c r="J3350" s="8" t="n">
        <v>7.5</v>
      </c>
      <c r="K3350" s="8" t="n">
        <v>7.5</v>
      </c>
      <c r="L3350" s="8" t="n">
        <v>0</v>
      </c>
      <c r="M3350" s="29" t="inlineStr">
        <is>
          <t>BALIKESİR</t>
        </is>
      </c>
    </row>
    <row r="3351">
      <c r="A3351" s="4" t="n">
        <v>3350</v>
      </c>
      <c r="B3351" s="4" t="inlineStr">
        <is>
          <t>00150</t>
        </is>
      </c>
      <c r="C3351" s="4" t="inlineStr">
        <is>
          <t>00150</t>
        </is>
      </c>
      <c r="D3351" s="29" t="inlineStr">
        <is>
          <t>SARA EROĞLU</t>
        </is>
      </c>
      <c r="E3351" s="4" t="inlineStr">
        <is>
          <t>Pazartesi</t>
        </is>
      </c>
      <c r="F3351" s="4" t="inlineStr">
        <is>
          <t>12.10.2026</t>
        </is>
      </c>
      <c r="G3351" s="4" t="inlineStr">
        <is>
          <t>07:50</t>
        </is>
      </c>
      <c r="H3351" s="4" t="inlineStr">
        <is>
          <t>12.10.2026</t>
        </is>
      </c>
      <c r="I3351" s="4" t="inlineStr">
        <is>
          <t>17:04</t>
        </is>
      </c>
      <c r="J3351" s="8" t="n">
        <v>7.5</v>
      </c>
      <c r="K3351" s="8" t="n">
        <v>7.5</v>
      </c>
      <c r="L3351" s="8" t="n">
        <v>0</v>
      </c>
      <c r="M3351" s="29" t="inlineStr">
        <is>
          <t>BALIKESİR</t>
        </is>
      </c>
    </row>
    <row r="3352">
      <c r="A3352" s="4" t="n">
        <v>3351</v>
      </c>
      <c r="B3352" s="4" t="inlineStr">
        <is>
          <t>00150</t>
        </is>
      </c>
      <c r="C3352" s="4" t="inlineStr">
        <is>
          <t>00150</t>
        </is>
      </c>
      <c r="D3352" s="29" t="inlineStr">
        <is>
          <t>SARA EROĞLU</t>
        </is>
      </c>
      <c r="E3352" s="4" t="inlineStr">
        <is>
          <t>Salı</t>
        </is>
      </c>
      <c r="F3352" s="4" t="inlineStr">
        <is>
          <t>13.10.2026</t>
        </is>
      </c>
      <c r="G3352" s="4" t="inlineStr">
        <is>
          <t>07:48</t>
        </is>
      </c>
      <c r="H3352" s="4" t="inlineStr">
        <is>
          <t>13.10.2026</t>
        </is>
      </c>
      <c r="I3352" s="4" t="inlineStr">
        <is>
          <t>17:09</t>
        </is>
      </c>
      <c r="J3352" s="8" t="n">
        <v>7.5</v>
      </c>
      <c r="K3352" s="8" t="n">
        <v>7.5</v>
      </c>
      <c r="L3352" s="8" t="n">
        <v>0</v>
      </c>
      <c r="M3352" s="29" t="inlineStr">
        <is>
          <t>BALIKESİR</t>
        </is>
      </c>
    </row>
    <row r="3353">
      <c r="A3353" s="4" t="n">
        <v>3352</v>
      </c>
      <c r="B3353" s="4" t="inlineStr">
        <is>
          <t>00150</t>
        </is>
      </c>
      <c r="C3353" s="4" t="inlineStr">
        <is>
          <t>00150</t>
        </is>
      </c>
      <c r="D3353" s="29" t="inlineStr">
        <is>
          <t>SARA EROĞLU</t>
        </is>
      </c>
      <c r="E3353" s="4" t="inlineStr">
        <is>
          <t>Çarşamba</t>
        </is>
      </c>
      <c r="F3353" s="4" t="inlineStr">
        <is>
          <t>14.10.2026</t>
        </is>
      </c>
      <c r="G3353" s="4" t="inlineStr">
        <is>
          <t>07:49</t>
        </is>
      </c>
      <c r="H3353" s="4" t="inlineStr">
        <is>
          <t>14.10.2026</t>
        </is>
      </c>
      <c r="I3353" s="4" t="inlineStr">
        <is>
          <t>17:09</t>
        </is>
      </c>
      <c r="J3353" s="8" t="n">
        <v>7.5</v>
      </c>
      <c r="K3353" s="8" t="n">
        <v>7.5</v>
      </c>
      <c r="L3353" s="8" t="n">
        <v>0</v>
      </c>
      <c r="M3353" s="29" t="inlineStr">
        <is>
          <t>BALIKESİR</t>
        </is>
      </c>
    </row>
    <row r="3354">
      <c r="A3354" s="4" t="n">
        <v>3353</v>
      </c>
      <c r="B3354" s="4" t="inlineStr">
        <is>
          <t>00150</t>
        </is>
      </c>
      <c r="C3354" s="4" t="inlineStr">
        <is>
          <t>00150</t>
        </is>
      </c>
      <c r="D3354" s="29" t="inlineStr">
        <is>
          <t>SARA EROĞLU</t>
        </is>
      </c>
      <c r="E3354" s="4" t="inlineStr">
        <is>
          <t>Perşembe</t>
        </is>
      </c>
      <c r="F3354" s="4" t="inlineStr">
        <is>
          <t>15.10.2026</t>
        </is>
      </c>
      <c r="G3354" s="4" t="inlineStr">
        <is>
          <t>07:52</t>
        </is>
      </c>
      <c r="H3354" s="4" t="inlineStr">
        <is>
          <t>15.10.2026</t>
        </is>
      </c>
      <c r="I3354" s="4" t="inlineStr">
        <is>
          <t>17:12</t>
        </is>
      </c>
      <c r="J3354" s="8" t="n">
        <v>7.5</v>
      </c>
      <c r="K3354" s="8" t="n">
        <v>7.5</v>
      </c>
      <c r="L3354" s="8" t="n">
        <v>0</v>
      </c>
      <c r="M3354" s="29" t="inlineStr">
        <is>
          <t>BALIKESİR</t>
        </is>
      </c>
    </row>
    <row r="3355">
      <c r="A3355" s="4" t="n">
        <v>3354</v>
      </c>
      <c r="B3355" s="4" t="inlineStr">
        <is>
          <t>00150</t>
        </is>
      </c>
      <c r="C3355" s="4" t="inlineStr">
        <is>
          <t>00150</t>
        </is>
      </c>
      <c r="D3355" s="29" t="inlineStr">
        <is>
          <t>SARA EROĞLU</t>
        </is>
      </c>
      <c r="E3355" s="4" t="inlineStr">
        <is>
          <t>Cuma</t>
        </is>
      </c>
      <c r="F3355" s="4" t="inlineStr">
        <is>
          <t>16.10.2026</t>
        </is>
      </c>
      <c r="G3355" s="4" t="inlineStr">
        <is>
          <t>07:48</t>
        </is>
      </c>
      <c r="H3355" s="4" t="inlineStr">
        <is>
          <t>16.10.2026</t>
        </is>
      </c>
      <c r="I3355" s="4" t="inlineStr">
        <is>
          <t>20:03</t>
        </is>
      </c>
      <c r="J3355" s="8" t="n">
        <v>10.5</v>
      </c>
      <c r="K3355" s="8" t="n">
        <v>7.5</v>
      </c>
      <c r="L3355" s="8" t="n">
        <v>3</v>
      </c>
      <c r="M3355" s="29" t="inlineStr">
        <is>
          <t>BALIKESİR</t>
        </is>
      </c>
    </row>
    <row r="3356">
      <c r="A3356" s="4" t="n">
        <v>3355</v>
      </c>
      <c r="B3356" s="4" t="inlineStr">
        <is>
          <t>00150</t>
        </is>
      </c>
      <c r="C3356" s="4" t="inlineStr">
        <is>
          <t>00150</t>
        </is>
      </c>
      <c r="D3356" s="29" t="inlineStr">
        <is>
          <t>SARA EROĞLU</t>
        </is>
      </c>
      <c r="E3356" s="4" t="inlineStr">
        <is>
          <t>Cumartesi</t>
        </is>
      </c>
      <c r="F3356" s="4" t="inlineStr">
        <is>
          <t>17.10.2026</t>
        </is>
      </c>
      <c r="G3356" s="4" t="inlineStr">
        <is>
          <t>07:57</t>
        </is>
      </c>
      <c r="H3356" s="4" t="inlineStr">
        <is>
          <t>17.10.2026</t>
        </is>
      </c>
      <c r="I3356" s="4" t="inlineStr">
        <is>
          <t>17:13</t>
        </is>
      </c>
      <c r="J3356" s="8" t="n">
        <v>7.5</v>
      </c>
      <c r="K3356" s="8" t="n">
        <v>7.5</v>
      </c>
      <c r="L3356" s="8" t="n">
        <v>0</v>
      </c>
      <c r="M3356" s="29" t="inlineStr">
        <is>
          <t>BALIKESİR</t>
        </is>
      </c>
    </row>
    <row r="3357">
      <c r="A3357" s="4" t="n">
        <v>3356</v>
      </c>
      <c r="B3357" s="4" t="inlineStr">
        <is>
          <t>00150</t>
        </is>
      </c>
      <c r="C3357" s="4" t="inlineStr">
        <is>
          <t>00150</t>
        </is>
      </c>
      <c r="D3357" s="29" t="inlineStr">
        <is>
          <t>SARA EROĞLU</t>
        </is>
      </c>
      <c r="E3357" s="4" t="inlineStr">
        <is>
          <t>Pazar</t>
        </is>
      </c>
      <c r="F3357" s="4" t="inlineStr">
        <is>
          <t>18.10.2026</t>
        </is>
      </c>
      <c r="G3357" s="4" t="inlineStr">
        <is>
          <t>08:09</t>
        </is>
      </c>
      <c r="H3357" s="4" t="inlineStr">
        <is>
          <t>18.10.2026</t>
        </is>
      </c>
      <c r="I3357" s="4" t="inlineStr">
        <is>
          <t>17:07</t>
        </is>
      </c>
      <c r="J3357" s="8" t="n">
        <v>7.5</v>
      </c>
      <c r="K3357" s="8" t="n">
        <v>7.5</v>
      </c>
      <c r="L3357" s="8" t="n">
        <v>0</v>
      </c>
      <c r="M3357" s="29" t="inlineStr">
        <is>
          <t>BALIKESİR</t>
        </is>
      </c>
    </row>
    <row r="3358">
      <c r="A3358" s="4" t="n">
        <v>3357</v>
      </c>
      <c r="B3358" s="4" t="inlineStr">
        <is>
          <t>00150</t>
        </is>
      </c>
      <c r="C3358" s="4" t="inlineStr">
        <is>
          <t>00150</t>
        </is>
      </c>
      <c r="D3358" s="29" t="inlineStr">
        <is>
          <t>SARA EROĞLU</t>
        </is>
      </c>
      <c r="E3358" s="4" t="inlineStr">
        <is>
          <t>Pazartesi</t>
        </is>
      </c>
      <c r="F3358" s="4" t="inlineStr">
        <is>
          <t>19.10.2026</t>
        </is>
      </c>
      <c r="G3358" s="4" t="inlineStr">
        <is>
          <t>07:50</t>
        </is>
      </c>
      <c r="H3358" s="4" t="inlineStr">
        <is>
          <t>19.10.2026</t>
        </is>
      </c>
      <c r="I3358" s="4" t="inlineStr">
        <is>
          <t>17:40</t>
        </is>
      </c>
      <c r="J3358" s="8" t="n">
        <v>8</v>
      </c>
      <c r="K3358" s="8" t="n">
        <v>7.5</v>
      </c>
      <c r="L3358" s="8" t="n">
        <v>0.5</v>
      </c>
      <c r="M3358" s="29" t="inlineStr">
        <is>
          <t>BALIKESİR</t>
        </is>
      </c>
    </row>
    <row r="3359">
      <c r="A3359" s="4" t="n">
        <v>3358</v>
      </c>
      <c r="B3359" s="4" t="inlineStr">
        <is>
          <t>00150</t>
        </is>
      </c>
      <c r="C3359" s="4" t="inlineStr">
        <is>
          <t>00150</t>
        </is>
      </c>
      <c r="D3359" s="29" t="inlineStr">
        <is>
          <t>SARA EROĞLU</t>
        </is>
      </c>
      <c r="E3359" s="4" t="inlineStr">
        <is>
          <t>Salı</t>
        </is>
      </c>
      <c r="F3359" s="4" t="inlineStr">
        <is>
          <t>20.10.2026</t>
        </is>
      </c>
      <c r="G3359" s="4" t="inlineStr">
        <is>
          <t>07:48</t>
        </is>
      </c>
      <c r="H3359" s="4" t="inlineStr">
        <is>
          <t>20.10.2026</t>
        </is>
      </c>
      <c r="I3359" s="4" t="inlineStr">
        <is>
          <t>17:05</t>
        </is>
      </c>
      <c r="J3359" s="8" t="n">
        <v>7.5</v>
      </c>
      <c r="K3359" s="8" t="n">
        <v>7.5</v>
      </c>
      <c r="L3359" s="8" t="n">
        <v>0</v>
      </c>
      <c r="M3359" s="29" t="inlineStr">
        <is>
          <t>BALIKESİR</t>
        </is>
      </c>
    </row>
    <row r="3360">
      <c r="A3360" s="4" t="n">
        <v>3359</v>
      </c>
      <c r="B3360" s="4" t="inlineStr">
        <is>
          <t>01453</t>
        </is>
      </c>
      <c r="C3360" s="4" t="inlineStr">
        <is>
          <t>01453</t>
        </is>
      </c>
      <c r="D3360" s="29" t="inlineStr">
        <is>
          <t>SEBAHATTİN ÖRS</t>
        </is>
      </c>
      <c r="E3360" s="4" t="inlineStr">
        <is>
          <t>Cuma</t>
        </is>
      </c>
      <c r="F3360" s="4" t="inlineStr">
        <is>
          <t>2.10.2026</t>
        </is>
      </c>
      <c r="G3360" s="4" t="inlineStr">
        <is>
          <t>19:46</t>
        </is>
      </c>
      <c r="H3360" s="4" t="inlineStr">
        <is>
          <t>2.10.2026</t>
        </is>
      </c>
      <c r="I3360" s="4" t="inlineStr">
        <is>
          <t>07:53</t>
        </is>
      </c>
      <c r="J3360" s="8" t="n">
        <v>10.5</v>
      </c>
      <c r="K3360" s="8" t="n">
        <v>7.5</v>
      </c>
      <c r="L3360" s="8" t="n">
        <v>3</v>
      </c>
      <c r="M3360" s="29" t="inlineStr">
        <is>
          <t>HALİL DİĞRENCİ</t>
        </is>
      </c>
    </row>
    <row r="3361">
      <c r="A3361" s="4" t="n">
        <v>3360</v>
      </c>
      <c r="B3361" s="4" t="inlineStr">
        <is>
          <t>01453</t>
        </is>
      </c>
      <c r="C3361" s="4" t="inlineStr">
        <is>
          <t>01453</t>
        </is>
      </c>
      <c r="D3361" s="29" t="inlineStr">
        <is>
          <t>SEBAHATTİN ÖRS</t>
        </is>
      </c>
      <c r="E3361" s="4" t="inlineStr">
        <is>
          <t>Cumartesi</t>
        </is>
      </c>
      <c r="F3361" s="4" t="inlineStr">
        <is>
          <t>3.10.2026</t>
        </is>
      </c>
      <c r="G3361" s="4" t="inlineStr">
        <is>
          <t>19:54</t>
        </is>
      </c>
      <c r="H3361" s="4" t="inlineStr">
        <is>
          <t>3.10.2026</t>
        </is>
      </c>
      <c r="I3361" s="4" t="inlineStr">
        <is>
          <t>07:56</t>
        </is>
      </c>
      <c r="J3361" s="8" t="n">
        <v>10.5</v>
      </c>
      <c r="K3361" s="8" t="n">
        <v>7.5</v>
      </c>
      <c r="L3361" s="8" t="n">
        <v>3</v>
      </c>
      <c r="M3361" s="29" t="inlineStr">
        <is>
          <t>HALİL DİĞRENCİ</t>
        </is>
      </c>
    </row>
    <row r="3362">
      <c r="A3362" s="4" t="n">
        <v>3361</v>
      </c>
      <c r="B3362" s="4" t="inlineStr">
        <is>
          <t>01453</t>
        </is>
      </c>
      <c r="C3362" s="4" t="inlineStr">
        <is>
          <t>01453</t>
        </is>
      </c>
      <c r="D3362" s="29" t="inlineStr">
        <is>
          <t>SEBAHATTİN ÖRS</t>
        </is>
      </c>
      <c r="E3362" s="4" t="inlineStr">
        <is>
          <t>Pazar</t>
        </is>
      </c>
      <c r="F3362" s="4" t="inlineStr">
        <is>
          <t>4.10.2026</t>
        </is>
      </c>
      <c r="G3362" s="4" t="inlineStr">
        <is>
          <t>19:59</t>
        </is>
      </c>
      <c r="H3362" s="4" t="inlineStr">
        <is>
          <t>4.10.2026</t>
        </is>
      </c>
      <c r="I3362" s="4" t="inlineStr">
        <is>
          <t>08:00</t>
        </is>
      </c>
      <c r="J3362" s="8" t="n">
        <v>10.5</v>
      </c>
      <c r="K3362" s="8" t="n">
        <v>7.5</v>
      </c>
      <c r="L3362" s="8" t="n">
        <v>3</v>
      </c>
      <c r="M3362" s="29" t="inlineStr">
        <is>
          <t>HALİL DİĞRENCİ</t>
        </is>
      </c>
    </row>
    <row r="3363">
      <c r="A3363" s="4" t="n">
        <v>3362</v>
      </c>
      <c r="B3363" s="4" t="inlineStr">
        <is>
          <t>01453</t>
        </is>
      </c>
      <c r="C3363" s="4" t="inlineStr">
        <is>
          <t>01453</t>
        </is>
      </c>
      <c r="D3363" s="29" t="inlineStr">
        <is>
          <t>SEBAHATTİN ÖRS</t>
        </is>
      </c>
      <c r="E3363" s="4" t="inlineStr">
        <is>
          <t>Pazartesi</t>
        </is>
      </c>
      <c r="F3363" s="4" t="inlineStr">
        <is>
          <t>5.10.2026</t>
        </is>
      </c>
      <c r="G3363" s="4" t="inlineStr">
        <is>
          <t>19:57</t>
        </is>
      </c>
      <c r="H3363" s="4" t="inlineStr">
        <is>
          <t>5.10.2026</t>
        </is>
      </c>
      <c r="I3363" s="4" t="inlineStr">
        <is>
          <t>07:50</t>
        </is>
      </c>
      <c r="J3363" s="8" t="n">
        <v>10.5</v>
      </c>
      <c r="K3363" s="8" t="n">
        <v>7.5</v>
      </c>
      <c r="L3363" s="8" t="n">
        <v>3</v>
      </c>
      <c r="M3363" s="29" t="inlineStr">
        <is>
          <t>HALİL DİĞRENCİ</t>
        </is>
      </c>
    </row>
    <row r="3364">
      <c r="A3364" s="4" t="n">
        <v>3363</v>
      </c>
      <c r="B3364" s="4" t="inlineStr">
        <is>
          <t>01453</t>
        </is>
      </c>
      <c r="C3364" s="4" t="inlineStr">
        <is>
          <t>01453</t>
        </is>
      </c>
      <c r="D3364" s="29" t="inlineStr">
        <is>
          <t>SEBAHATTİN ÖRS</t>
        </is>
      </c>
      <c r="E3364" s="4" t="inlineStr">
        <is>
          <t>Çarşamba</t>
        </is>
      </c>
      <c r="F3364" s="4" t="inlineStr">
        <is>
          <t>7.10.2026</t>
        </is>
      </c>
      <c r="G3364" s="4" t="inlineStr">
        <is>
          <t>19:56</t>
        </is>
      </c>
      <c r="H3364" s="4" t="inlineStr">
        <is>
          <t>7.10.2026</t>
        </is>
      </c>
      <c r="I3364" s="4" t="inlineStr">
        <is>
          <t>07:58</t>
        </is>
      </c>
      <c r="J3364" s="8" t="n">
        <v>10.5</v>
      </c>
      <c r="K3364" s="8" t="n">
        <v>7.5</v>
      </c>
      <c r="L3364" s="8" t="n">
        <v>3</v>
      </c>
      <c r="M3364" s="29" t="inlineStr">
        <is>
          <t>HALİL DİĞRENCİ</t>
        </is>
      </c>
    </row>
    <row r="3365">
      <c r="A3365" s="4" t="n">
        <v>3364</v>
      </c>
      <c r="B3365" s="4" t="inlineStr">
        <is>
          <t>01453</t>
        </is>
      </c>
      <c r="C3365" s="4" t="inlineStr">
        <is>
          <t>01453</t>
        </is>
      </c>
      <c r="D3365" s="29" t="inlineStr">
        <is>
          <t>SEBAHATTİN ÖRS</t>
        </is>
      </c>
      <c r="E3365" s="4" t="inlineStr">
        <is>
          <t>Perşembe</t>
        </is>
      </c>
      <c r="F3365" s="4" t="inlineStr">
        <is>
          <t>8.10.2026</t>
        </is>
      </c>
      <c r="G3365" s="4" t="inlineStr">
        <is>
          <t>19:57</t>
        </is>
      </c>
      <c r="H3365" s="4" t="inlineStr">
        <is>
          <t>8.10.2026</t>
        </is>
      </c>
      <c r="I3365" s="4" t="inlineStr">
        <is>
          <t>07:58</t>
        </is>
      </c>
      <c r="J3365" s="8" t="n">
        <v>10.5</v>
      </c>
      <c r="K3365" s="8" t="n">
        <v>7.5</v>
      </c>
      <c r="L3365" s="8" t="n">
        <v>3</v>
      </c>
      <c r="M3365" s="29" t="inlineStr">
        <is>
          <t>HALİL DİĞRENCİ</t>
        </is>
      </c>
    </row>
    <row r="3366">
      <c r="A3366" s="4" t="n">
        <v>3365</v>
      </c>
      <c r="B3366" s="4" t="inlineStr">
        <is>
          <t>01453</t>
        </is>
      </c>
      <c r="C3366" s="4" t="inlineStr">
        <is>
          <t>01453</t>
        </is>
      </c>
      <c r="D3366" s="29" t="inlineStr">
        <is>
          <t>SEBAHATTİN ÖRS</t>
        </is>
      </c>
      <c r="E3366" s="4" t="inlineStr">
        <is>
          <t>Cuma</t>
        </is>
      </c>
      <c r="F3366" s="4" t="inlineStr">
        <is>
          <t>9.10.2026</t>
        </is>
      </c>
      <c r="G3366" s="4" t="inlineStr">
        <is>
          <t>20:02</t>
        </is>
      </c>
      <c r="H3366" s="4" t="inlineStr">
        <is>
          <t>9.10.2026</t>
        </is>
      </c>
      <c r="I3366" s="4" t="inlineStr">
        <is>
          <t>07:57</t>
        </is>
      </c>
      <c r="J3366" s="8" t="n">
        <v>10.5</v>
      </c>
      <c r="K3366" s="8" t="n">
        <v>7.5</v>
      </c>
      <c r="L3366" s="8" t="n">
        <v>3</v>
      </c>
      <c r="M3366" s="29" t="inlineStr">
        <is>
          <t>HALİL DİĞRENCİ</t>
        </is>
      </c>
    </row>
    <row r="3367">
      <c r="A3367" s="4" t="n">
        <v>3366</v>
      </c>
      <c r="B3367" s="4" t="inlineStr">
        <is>
          <t>01453</t>
        </is>
      </c>
      <c r="C3367" s="4" t="inlineStr">
        <is>
          <t>01453</t>
        </is>
      </c>
      <c r="D3367" s="29" t="inlineStr">
        <is>
          <t>SEBAHATTİN ÖRS</t>
        </is>
      </c>
      <c r="E3367" s="4" t="inlineStr">
        <is>
          <t>Cumartesi</t>
        </is>
      </c>
      <c r="F3367" s="4" t="inlineStr">
        <is>
          <t>10.10.2026</t>
        </is>
      </c>
      <c r="G3367" s="4" t="inlineStr">
        <is>
          <t>20:12</t>
        </is>
      </c>
      <c r="H3367" s="4" t="inlineStr">
        <is>
          <t>10.10.2026</t>
        </is>
      </c>
      <c r="I3367" s="4" t="inlineStr">
        <is>
          <t>08:03</t>
        </is>
      </c>
      <c r="J3367" s="8" t="n">
        <v>10.5</v>
      </c>
      <c r="K3367" s="8" t="n">
        <v>7.5</v>
      </c>
      <c r="L3367" s="8" t="n">
        <v>3</v>
      </c>
      <c r="M3367" s="29" t="inlineStr">
        <is>
          <t>HALİL DİĞRENCİ</t>
        </is>
      </c>
    </row>
    <row r="3368">
      <c r="A3368" s="4" t="n">
        <v>3367</v>
      </c>
      <c r="B3368" s="4" t="inlineStr">
        <is>
          <t>01453</t>
        </is>
      </c>
      <c r="C3368" s="4" t="inlineStr">
        <is>
          <t>01453</t>
        </is>
      </c>
      <c r="D3368" s="29" t="inlineStr">
        <is>
          <t>SEBAHATTİN ÖRS</t>
        </is>
      </c>
      <c r="E3368" s="4" t="inlineStr">
        <is>
          <t>Pazartesi</t>
        </is>
      </c>
      <c r="F3368" s="4" t="inlineStr">
        <is>
          <t>12.10.2026</t>
        </is>
      </c>
      <c r="G3368" s="4" t="inlineStr">
        <is>
          <t>20:02</t>
        </is>
      </c>
      <c r="H3368" s="4" t="inlineStr">
        <is>
          <t>12.10.2026</t>
        </is>
      </c>
      <c r="I3368" s="4" t="inlineStr">
        <is>
          <t>07:54</t>
        </is>
      </c>
      <c r="J3368" s="8" t="n">
        <v>10.5</v>
      </c>
      <c r="K3368" s="8" t="n">
        <v>7.5</v>
      </c>
      <c r="L3368" s="8" t="n">
        <v>3</v>
      </c>
      <c r="M3368" s="29" t="inlineStr">
        <is>
          <t>HALİL DİĞRENCİ</t>
        </is>
      </c>
    </row>
    <row r="3369">
      <c r="A3369" s="4" t="n">
        <v>3368</v>
      </c>
      <c r="B3369" s="4" t="inlineStr">
        <is>
          <t>01453</t>
        </is>
      </c>
      <c r="C3369" s="4" t="inlineStr">
        <is>
          <t>01453</t>
        </is>
      </c>
      <c r="D3369" s="29" t="inlineStr">
        <is>
          <t>SEBAHATTİN ÖRS</t>
        </is>
      </c>
      <c r="E3369" s="4" t="inlineStr">
        <is>
          <t>Salı</t>
        </is>
      </c>
      <c r="F3369" s="4" t="inlineStr">
        <is>
          <t>13.10.2026</t>
        </is>
      </c>
      <c r="G3369" s="4" t="inlineStr">
        <is>
          <t>19:59</t>
        </is>
      </c>
      <c r="H3369" s="4" t="inlineStr">
        <is>
          <t>13.10.2026</t>
        </is>
      </c>
      <c r="I3369" s="4" t="inlineStr">
        <is>
          <t>07:55</t>
        </is>
      </c>
      <c r="J3369" s="8" t="n">
        <v>10.5</v>
      </c>
      <c r="K3369" s="8" t="n">
        <v>7.5</v>
      </c>
      <c r="L3369" s="8" t="n">
        <v>3</v>
      </c>
      <c r="M3369" s="29" t="inlineStr">
        <is>
          <t>HALİL DİĞRENCİ</t>
        </is>
      </c>
    </row>
    <row r="3370">
      <c r="A3370" s="4" t="n">
        <v>3369</v>
      </c>
      <c r="B3370" s="4" t="inlineStr">
        <is>
          <t>01453</t>
        </is>
      </c>
      <c r="C3370" s="4" t="inlineStr">
        <is>
          <t>01453</t>
        </is>
      </c>
      <c r="D3370" s="29" t="inlineStr">
        <is>
          <t>SEBAHATTİN ÖRS</t>
        </is>
      </c>
      <c r="E3370" s="4" t="inlineStr">
        <is>
          <t>Çarşamba</t>
        </is>
      </c>
      <c r="F3370" s="4" t="inlineStr">
        <is>
          <t>14.10.2026</t>
        </is>
      </c>
      <c r="G3370" s="4" t="inlineStr">
        <is>
          <t>20:14</t>
        </is>
      </c>
      <c r="H3370" s="4" t="inlineStr">
        <is>
          <t>14.10.2026</t>
        </is>
      </c>
      <c r="I3370" s="4" t="inlineStr">
        <is>
          <t>07:58</t>
        </is>
      </c>
      <c r="J3370" s="8" t="n">
        <v>10.5</v>
      </c>
      <c r="K3370" s="8" t="n">
        <v>7.5</v>
      </c>
      <c r="L3370" s="8" t="n">
        <v>3</v>
      </c>
      <c r="M3370" s="29" t="inlineStr">
        <is>
          <t>HALİL DİĞRENCİ</t>
        </is>
      </c>
    </row>
    <row r="3371">
      <c r="A3371" s="4" t="n">
        <v>3370</v>
      </c>
      <c r="B3371" s="4" t="inlineStr">
        <is>
          <t>01453</t>
        </is>
      </c>
      <c r="C3371" s="4" t="inlineStr">
        <is>
          <t>01453</t>
        </is>
      </c>
      <c r="D3371" s="29" t="inlineStr">
        <is>
          <t>SEBAHATTİN ÖRS</t>
        </is>
      </c>
      <c r="E3371" s="4" t="inlineStr">
        <is>
          <t>Perşembe</t>
        </is>
      </c>
      <c r="F3371" s="4" t="inlineStr">
        <is>
          <t>15.10.2026</t>
        </is>
      </c>
      <c r="G3371" s="4" t="inlineStr">
        <is>
          <t>20:11</t>
        </is>
      </c>
      <c r="H3371" s="4" t="inlineStr">
        <is>
          <t>15.10.2026</t>
        </is>
      </c>
      <c r="I3371" s="4" t="inlineStr">
        <is>
          <t>07:56</t>
        </is>
      </c>
      <c r="J3371" s="8" t="n">
        <v>10.5</v>
      </c>
      <c r="K3371" s="8" t="n">
        <v>7.5</v>
      </c>
      <c r="L3371" s="8" t="n">
        <v>3</v>
      </c>
      <c r="M3371" s="29" t="inlineStr">
        <is>
          <t>HALİL DİĞRENCİ</t>
        </is>
      </c>
    </row>
    <row r="3372">
      <c r="A3372" s="4" t="n">
        <v>3371</v>
      </c>
      <c r="B3372" s="4" t="inlineStr">
        <is>
          <t>01453</t>
        </is>
      </c>
      <c r="C3372" s="4" t="inlineStr">
        <is>
          <t>01453</t>
        </is>
      </c>
      <c r="D3372" s="29" t="inlineStr">
        <is>
          <t>SEBAHATTİN ÖRS</t>
        </is>
      </c>
      <c r="E3372" s="4" t="inlineStr">
        <is>
          <t>Pazartesi</t>
        </is>
      </c>
      <c r="F3372" s="4" t="inlineStr">
        <is>
          <t>19.10.2026</t>
        </is>
      </c>
      <c r="G3372" s="4" t="inlineStr">
        <is>
          <t>19:42</t>
        </is>
      </c>
      <c r="H3372" s="4" t="inlineStr">
        <is>
          <t>19.10.2026</t>
        </is>
      </c>
      <c r="I3372" s="4" t="inlineStr">
        <is>
          <t>07:56</t>
        </is>
      </c>
      <c r="J3372" s="8" t="n">
        <v>10.5</v>
      </c>
      <c r="K3372" s="8" t="n">
        <v>7.5</v>
      </c>
      <c r="L3372" s="8" t="n">
        <v>3</v>
      </c>
      <c r="M3372" s="29" t="inlineStr">
        <is>
          <t>HALİL DİĞRENCİ</t>
        </is>
      </c>
    </row>
    <row r="3373">
      <c r="A3373" s="4" t="n">
        <v>3372</v>
      </c>
      <c r="B3373" s="4" t="inlineStr">
        <is>
          <t>01523</t>
        </is>
      </c>
      <c r="C3373" s="4" t="inlineStr">
        <is>
          <t>01523</t>
        </is>
      </c>
      <c r="D3373" s="29" t="inlineStr">
        <is>
          <t>SECAHET ABAKAY</t>
        </is>
      </c>
      <c r="E3373" s="4" t="inlineStr">
        <is>
          <t>Çarşamba</t>
        </is>
      </c>
      <c r="F3373" s="4" t="inlineStr">
        <is>
          <t>7.10.2026</t>
        </is>
      </c>
      <c r="G3373" s="4" t="inlineStr">
        <is>
          <t>-</t>
        </is>
      </c>
      <c r="H3373" s="4" t="inlineStr">
        <is>
          <t>7.10.2026</t>
        </is>
      </c>
      <c r="I3373" s="4" t="inlineStr">
        <is>
          <t>20:02</t>
        </is>
      </c>
      <c r="J3373" s="8" t="n">
        <v>10.5</v>
      </c>
      <c r="K3373" s="8" t="n">
        <v>7.5</v>
      </c>
      <c r="L3373" s="8" t="n">
        <v>3</v>
      </c>
      <c r="M3373" s="29" t="inlineStr">
        <is>
          <t>HALİL DİĞRENCİ</t>
        </is>
      </c>
    </row>
    <row r="3374">
      <c r="A3374" s="4" t="n">
        <v>3373</v>
      </c>
      <c r="B3374" s="4" t="inlineStr">
        <is>
          <t>01523</t>
        </is>
      </c>
      <c r="C3374" s="4" t="inlineStr">
        <is>
          <t>01523</t>
        </is>
      </c>
      <c r="D3374" s="29" t="inlineStr">
        <is>
          <t>SECAHET ABAKAY</t>
        </is>
      </c>
      <c r="E3374" s="4" t="inlineStr">
        <is>
          <t>Cuma</t>
        </is>
      </c>
      <c r="F3374" s="4" t="inlineStr">
        <is>
          <t>9.10.2026</t>
        </is>
      </c>
      <c r="G3374" s="4" t="inlineStr">
        <is>
          <t>-</t>
        </is>
      </c>
      <c r="H3374" s="4" t="inlineStr">
        <is>
          <t>9.10.2026</t>
        </is>
      </c>
      <c r="I3374" s="4" t="inlineStr">
        <is>
          <t>20:02</t>
        </is>
      </c>
      <c r="J3374" s="8" t="n">
        <v>10.5</v>
      </c>
      <c r="K3374" s="8" t="n">
        <v>7.5</v>
      </c>
      <c r="L3374" s="8" t="n">
        <v>3</v>
      </c>
      <c r="M3374" s="29" t="inlineStr">
        <is>
          <t>HALİL DİĞRENCİ</t>
        </is>
      </c>
    </row>
    <row r="3375">
      <c r="A3375" s="4" t="n">
        <v>3374</v>
      </c>
      <c r="B3375" s="4" t="inlineStr">
        <is>
          <t>01523</t>
        </is>
      </c>
      <c r="C3375" s="4" t="inlineStr">
        <is>
          <t>01523</t>
        </is>
      </c>
      <c r="D3375" s="29" t="inlineStr">
        <is>
          <t>SECAHET ABAKAY</t>
        </is>
      </c>
      <c r="E3375" s="4" t="inlineStr">
        <is>
          <t>Cumartesi</t>
        </is>
      </c>
      <c r="F3375" s="4" t="inlineStr">
        <is>
          <t>10.10.2026</t>
        </is>
      </c>
      <c r="G3375" s="4" t="inlineStr">
        <is>
          <t>-</t>
        </is>
      </c>
      <c r="H3375" s="4" t="inlineStr">
        <is>
          <t>10.10.2026</t>
        </is>
      </c>
      <c r="I3375" s="4" t="inlineStr">
        <is>
          <t>19:59</t>
        </is>
      </c>
      <c r="J3375" s="8" t="n">
        <v>10.5</v>
      </c>
      <c r="K3375" s="8" t="n">
        <v>7.5</v>
      </c>
      <c r="L3375" s="8" t="n">
        <v>3</v>
      </c>
      <c r="M3375" s="29" t="inlineStr">
        <is>
          <t>HALİL DİĞRENCİ</t>
        </is>
      </c>
    </row>
    <row r="3376">
      <c r="A3376" s="4" t="n">
        <v>3375</v>
      </c>
      <c r="B3376" s="4" t="inlineStr">
        <is>
          <t>01523</t>
        </is>
      </c>
      <c r="C3376" s="4" t="inlineStr">
        <is>
          <t>01523</t>
        </is>
      </c>
      <c r="D3376" s="29" t="inlineStr">
        <is>
          <t>SECAHET ABAKAY</t>
        </is>
      </c>
      <c r="E3376" s="4" t="inlineStr">
        <is>
          <t>Pazartesi</t>
        </is>
      </c>
      <c r="F3376" s="4" t="inlineStr">
        <is>
          <t>12.10.2026</t>
        </is>
      </c>
      <c r="G3376" s="4" t="inlineStr">
        <is>
          <t>-</t>
        </is>
      </c>
      <c r="H3376" s="4" t="inlineStr">
        <is>
          <t>12.10.2026</t>
        </is>
      </c>
      <c r="I3376" s="4" t="inlineStr">
        <is>
          <t>17:01</t>
        </is>
      </c>
      <c r="J3376" s="8" t="n">
        <v>7.5</v>
      </c>
      <c r="K3376" s="8" t="n">
        <v>7.5</v>
      </c>
      <c r="L3376" s="8" t="n">
        <v>0</v>
      </c>
      <c r="M3376" s="29" t="inlineStr">
        <is>
          <t>HALİL DİĞRENCİ</t>
        </is>
      </c>
    </row>
    <row r="3377">
      <c r="A3377" s="4" t="n">
        <v>3376</v>
      </c>
      <c r="B3377" s="4" t="inlineStr">
        <is>
          <t>01523</t>
        </is>
      </c>
      <c r="C3377" s="4" t="inlineStr">
        <is>
          <t>01523</t>
        </is>
      </c>
      <c r="D3377" s="29" t="inlineStr">
        <is>
          <t>SECAHET ABAKAY</t>
        </is>
      </c>
      <c r="E3377" s="4" t="inlineStr">
        <is>
          <t>Salı</t>
        </is>
      </c>
      <c r="F3377" s="4" t="inlineStr">
        <is>
          <t>13.10.2026</t>
        </is>
      </c>
      <c r="G3377" s="4" t="inlineStr">
        <is>
          <t>-</t>
        </is>
      </c>
      <c r="H3377" s="4" t="inlineStr">
        <is>
          <t>13.10.2026</t>
        </is>
      </c>
      <c r="I3377" s="4" t="inlineStr">
        <is>
          <t>19:59</t>
        </is>
      </c>
      <c r="J3377" s="8" t="n">
        <v>10.5</v>
      </c>
      <c r="K3377" s="8" t="n">
        <v>7.5</v>
      </c>
      <c r="L3377" s="8" t="n">
        <v>3</v>
      </c>
      <c r="M3377" s="29" t="inlineStr">
        <is>
          <t>HALİL DİĞRENCİ</t>
        </is>
      </c>
    </row>
    <row r="3378">
      <c r="A3378" s="4" t="n">
        <v>3377</v>
      </c>
      <c r="B3378" s="4" t="inlineStr">
        <is>
          <t>01523</t>
        </is>
      </c>
      <c r="C3378" s="4" t="inlineStr">
        <is>
          <t>01523</t>
        </is>
      </c>
      <c r="D3378" s="29" t="inlineStr">
        <is>
          <t>SECAHET ABAKAY</t>
        </is>
      </c>
      <c r="E3378" s="4" t="inlineStr">
        <is>
          <t>Çarşamba</t>
        </is>
      </c>
      <c r="F3378" s="4" t="inlineStr">
        <is>
          <t>14.10.2026</t>
        </is>
      </c>
      <c r="G3378" s="4" t="inlineStr">
        <is>
          <t>-</t>
        </is>
      </c>
      <c r="H3378" s="4" t="inlineStr">
        <is>
          <t>14.10.2026</t>
        </is>
      </c>
      <c r="I3378" s="4" t="inlineStr">
        <is>
          <t>19:58</t>
        </is>
      </c>
      <c r="J3378" s="8" t="n">
        <v>10.5</v>
      </c>
      <c r="K3378" s="8" t="n">
        <v>7.5</v>
      </c>
      <c r="L3378" s="8" t="n">
        <v>3</v>
      </c>
      <c r="M3378" s="29" t="inlineStr">
        <is>
          <t>HALİL DİĞRENCİ</t>
        </is>
      </c>
    </row>
    <row r="3379">
      <c r="A3379" s="4" t="n">
        <v>3378</v>
      </c>
      <c r="B3379" s="4" t="inlineStr">
        <is>
          <t>01523</t>
        </is>
      </c>
      <c r="C3379" s="4" t="inlineStr">
        <is>
          <t>01523</t>
        </is>
      </c>
      <c r="D3379" s="29" t="inlineStr">
        <is>
          <t>SECAHET ABAKAY</t>
        </is>
      </c>
      <c r="E3379" s="4" t="inlineStr">
        <is>
          <t>Perşembe</t>
        </is>
      </c>
      <c r="F3379" s="4" t="inlineStr">
        <is>
          <t>15.10.2026</t>
        </is>
      </c>
      <c r="G3379" s="4" t="inlineStr">
        <is>
          <t>-</t>
        </is>
      </c>
      <c r="H3379" s="4" t="inlineStr">
        <is>
          <t>15.10.2026</t>
        </is>
      </c>
      <c r="I3379" s="4" t="inlineStr">
        <is>
          <t>19:59</t>
        </is>
      </c>
      <c r="J3379" s="8" t="n">
        <v>10.5</v>
      </c>
      <c r="K3379" s="8" t="n">
        <v>7.5</v>
      </c>
      <c r="L3379" s="8" t="n">
        <v>3</v>
      </c>
      <c r="M3379" s="29" t="inlineStr">
        <is>
          <t>HALİL DİĞRENCİ</t>
        </is>
      </c>
    </row>
    <row r="3380">
      <c r="A3380" s="4" t="n">
        <v>3379</v>
      </c>
      <c r="B3380" s="4" t="inlineStr">
        <is>
          <t>01523</t>
        </is>
      </c>
      <c r="C3380" s="4" t="inlineStr">
        <is>
          <t>01523</t>
        </is>
      </c>
      <c r="D3380" s="29" t="inlineStr">
        <is>
          <t>SECAHET ABAKAY</t>
        </is>
      </c>
      <c r="E3380" s="4" t="inlineStr">
        <is>
          <t>Cumartesi</t>
        </is>
      </c>
      <c r="F3380" s="4" t="inlineStr">
        <is>
          <t>17.10.2026</t>
        </is>
      </c>
      <c r="G3380" s="4" t="inlineStr">
        <is>
          <t>-</t>
        </is>
      </c>
      <c r="H3380" s="4" t="inlineStr">
        <is>
          <t>17.10.2026</t>
        </is>
      </c>
      <c r="I3380" s="4" t="inlineStr">
        <is>
          <t>20:04</t>
        </is>
      </c>
      <c r="J3380" s="8" t="n">
        <v>10.5</v>
      </c>
      <c r="K3380" s="8" t="n">
        <v>7.5</v>
      </c>
      <c r="L3380" s="8" t="n">
        <v>3</v>
      </c>
      <c r="M3380" s="29" t="inlineStr">
        <is>
          <t>HALİL DİĞRENCİ</t>
        </is>
      </c>
    </row>
    <row r="3381">
      <c r="A3381" s="4" t="n">
        <v>3380</v>
      </c>
      <c r="B3381" s="4" t="inlineStr">
        <is>
          <t>01523</t>
        </is>
      </c>
      <c r="C3381" s="4" t="inlineStr">
        <is>
          <t>01523</t>
        </is>
      </c>
      <c r="D3381" s="29" t="inlineStr">
        <is>
          <t>SECAHET ABAKAY</t>
        </is>
      </c>
      <c r="E3381" s="4" t="inlineStr">
        <is>
          <t>Pazartesi</t>
        </is>
      </c>
      <c r="F3381" s="4" t="inlineStr">
        <is>
          <t>19.10.2026</t>
        </is>
      </c>
      <c r="G3381" s="4" t="inlineStr">
        <is>
          <t>-</t>
        </is>
      </c>
      <c r="H3381" s="4" t="inlineStr">
        <is>
          <t>19.10.2026</t>
        </is>
      </c>
      <c r="I3381" s="4" t="inlineStr">
        <is>
          <t>19:59</t>
        </is>
      </c>
      <c r="J3381" s="8" t="n">
        <v>10.5</v>
      </c>
      <c r="K3381" s="8" t="n">
        <v>7.5</v>
      </c>
      <c r="L3381" s="8" t="n">
        <v>3</v>
      </c>
      <c r="M3381" s="29" t="inlineStr">
        <is>
          <t>HALİL DİĞRENCİ</t>
        </is>
      </c>
    </row>
    <row r="3382">
      <c r="A3382" s="4" t="n">
        <v>3381</v>
      </c>
      <c r="B3382" s="4" t="inlineStr">
        <is>
          <t>01523</t>
        </is>
      </c>
      <c r="C3382" s="4" t="inlineStr">
        <is>
          <t>01523</t>
        </is>
      </c>
      <c r="D3382" s="29" t="inlineStr">
        <is>
          <t>SECAHET ABAKAY</t>
        </is>
      </c>
      <c r="E3382" s="4" t="inlineStr">
        <is>
          <t>Salı</t>
        </is>
      </c>
      <c r="F3382" s="4" t="inlineStr">
        <is>
          <t>20.10.2026</t>
        </is>
      </c>
      <c r="G3382" s="4" t="inlineStr">
        <is>
          <t>-</t>
        </is>
      </c>
      <c r="H3382" s="4" t="inlineStr">
        <is>
          <t>20.10.2026</t>
        </is>
      </c>
      <c r="I3382" s="4" t="inlineStr">
        <is>
          <t>17:07</t>
        </is>
      </c>
      <c r="J3382" s="8" t="n">
        <v>7.5</v>
      </c>
      <c r="K3382" s="8" t="n">
        <v>7.5</v>
      </c>
      <c r="L3382" s="8" t="n">
        <v>0</v>
      </c>
      <c r="M3382" s="29" t="inlineStr">
        <is>
          <t>HALİL DİĞRENCİ</t>
        </is>
      </c>
    </row>
    <row r="3383">
      <c r="A3383" s="4" t="n">
        <v>3382</v>
      </c>
      <c r="B3383" s="4" t="inlineStr">
        <is>
          <t>01523</t>
        </is>
      </c>
      <c r="C3383" s="4" t="inlineStr">
        <is>
          <t>01523</t>
        </is>
      </c>
      <c r="D3383" s="29" t="inlineStr">
        <is>
          <t>SECAHET ABAKAY</t>
        </is>
      </c>
      <c r="E3383" s="4" t="inlineStr">
        <is>
          <t>Çarşamba</t>
        </is>
      </c>
      <c r="F3383" s="4" t="inlineStr">
        <is>
          <t>21.10.2026</t>
        </is>
      </c>
      <c r="G3383" s="4" t="inlineStr">
        <is>
          <t>-</t>
        </is>
      </c>
      <c r="H3383" s="4" t="inlineStr">
        <is>
          <t>21.10.2026</t>
        </is>
      </c>
      <c r="I3383" s="4" t="inlineStr">
        <is>
          <t>17:07</t>
        </is>
      </c>
      <c r="J3383" s="8" t="n">
        <v>7.5</v>
      </c>
      <c r="K3383" s="8" t="n">
        <v>7.5</v>
      </c>
      <c r="L3383" s="8" t="n">
        <v>0</v>
      </c>
      <c r="M3383" s="29" t="inlineStr">
        <is>
          <t>HALİL DİĞRENCİ</t>
        </is>
      </c>
    </row>
    <row r="3384">
      <c r="A3384" s="4" t="n">
        <v>3383</v>
      </c>
      <c r="B3384" s="4" t="inlineStr">
        <is>
          <t>00740</t>
        </is>
      </c>
      <c r="C3384" s="4" t="inlineStr">
        <is>
          <t>00740</t>
        </is>
      </c>
      <c r="D3384" s="29" t="inlineStr">
        <is>
          <t>SEÇİL ARIBOĞA</t>
        </is>
      </c>
      <c r="E3384" s="4" t="inlineStr">
        <is>
          <t>Perşembe</t>
        </is>
      </c>
      <c r="F3384" s="4" t="inlineStr">
        <is>
          <t>1.10.2026</t>
        </is>
      </c>
      <c r="G3384" s="4" t="inlineStr">
        <is>
          <t>07:55</t>
        </is>
      </c>
      <c r="H3384" s="4" t="inlineStr">
        <is>
          <t>1.10.2026</t>
        </is>
      </c>
      <c r="I3384" s="4" t="inlineStr">
        <is>
          <t>20:07</t>
        </is>
      </c>
      <c r="J3384" s="8" t="n">
        <v>10.5</v>
      </c>
      <c r="K3384" s="8" t="n">
        <v>7.5</v>
      </c>
      <c r="L3384" s="8" t="n">
        <v>3</v>
      </c>
      <c r="M3384" s="29" t="inlineStr">
        <is>
          <t>HALİL DİĞRENCİ</t>
        </is>
      </c>
    </row>
    <row r="3385">
      <c r="A3385" s="4" t="n">
        <v>3384</v>
      </c>
      <c r="B3385" s="4" t="inlineStr">
        <is>
          <t>00740</t>
        </is>
      </c>
      <c r="C3385" s="4" t="inlineStr">
        <is>
          <t>00740</t>
        </is>
      </c>
      <c r="D3385" s="29" t="inlineStr">
        <is>
          <t>SEÇİL ARIBOĞA</t>
        </is>
      </c>
      <c r="E3385" s="4" t="inlineStr">
        <is>
          <t>Cuma</t>
        </is>
      </c>
      <c r="F3385" s="4" t="inlineStr">
        <is>
          <t>2.10.2026</t>
        </is>
      </c>
      <c r="G3385" s="4" t="inlineStr">
        <is>
          <t>08:00</t>
        </is>
      </c>
      <c r="H3385" s="4" t="inlineStr">
        <is>
          <t>2.10.2026</t>
        </is>
      </c>
      <c r="I3385" s="4" t="inlineStr">
        <is>
          <t>20:07</t>
        </is>
      </c>
      <c r="J3385" s="8" t="n">
        <v>10.5</v>
      </c>
      <c r="K3385" s="8" t="n">
        <v>7.5</v>
      </c>
      <c r="L3385" s="8" t="n">
        <v>3</v>
      </c>
      <c r="M3385" s="29" t="inlineStr">
        <is>
          <t>HALİL DİĞRENCİ</t>
        </is>
      </c>
    </row>
    <row r="3386">
      <c r="A3386" s="4" t="n">
        <v>3385</v>
      </c>
      <c r="B3386" s="4" t="inlineStr">
        <is>
          <t>00740</t>
        </is>
      </c>
      <c r="C3386" s="4" t="inlineStr">
        <is>
          <t>00740</t>
        </is>
      </c>
      <c r="D3386" s="29" t="inlineStr">
        <is>
          <t>SEÇİL ARIBOĞA</t>
        </is>
      </c>
      <c r="E3386" s="4" t="inlineStr">
        <is>
          <t>Cumartesi</t>
        </is>
      </c>
      <c r="F3386" s="4" t="inlineStr">
        <is>
          <t>3.10.2026</t>
        </is>
      </c>
      <c r="G3386" s="4" t="inlineStr">
        <is>
          <t>08:03</t>
        </is>
      </c>
      <c r="H3386" s="4" t="inlineStr">
        <is>
          <t>3.10.2026</t>
        </is>
      </c>
      <c r="I3386" s="4" t="inlineStr">
        <is>
          <t>20:04</t>
        </is>
      </c>
      <c r="J3386" s="8" t="n">
        <v>10.5</v>
      </c>
      <c r="K3386" s="8" t="n">
        <v>7.5</v>
      </c>
      <c r="L3386" s="8" t="n">
        <v>3</v>
      </c>
      <c r="M3386" s="29" t="inlineStr">
        <is>
          <t>HALİL DİĞRENCİ</t>
        </is>
      </c>
    </row>
    <row r="3387">
      <c r="A3387" s="4" t="n">
        <v>3386</v>
      </c>
      <c r="B3387" s="4" t="inlineStr">
        <is>
          <t>00740</t>
        </is>
      </c>
      <c r="C3387" s="4" t="inlineStr">
        <is>
          <t>00740</t>
        </is>
      </c>
      <c r="D3387" s="29" t="inlineStr">
        <is>
          <t>SEÇİL ARIBOĞA</t>
        </is>
      </c>
      <c r="E3387" s="4" t="inlineStr">
        <is>
          <t>Pazartesi</t>
        </is>
      </c>
      <c r="F3387" s="4" t="inlineStr">
        <is>
          <t>5.10.2026</t>
        </is>
      </c>
      <c r="G3387" s="4" t="inlineStr">
        <is>
          <t>08:01</t>
        </is>
      </c>
      <c r="H3387" s="4" t="inlineStr">
        <is>
          <t>5.10.2026</t>
        </is>
      </c>
      <c r="I3387" s="4" t="inlineStr">
        <is>
          <t>20:02</t>
        </is>
      </c>
      <c r="J3387" s="8" t="n">
        <v>10.5</v>
      </c>
      <c r="K3387" s="8" t="n">
        <v>7.5</v>
      </c>
      <c r="L3387" s="8" t="n">
        <v>3</v>
      </c>
      <c r="M3387" s="29" t="inlineStr">
        <is>
          <t>HALİL DİĞRENCİ</t>
        </is>
      </c>
    </row>
    <row r="3388">
      <c r="A3388" s="4" t="n">
        <v>3387</v>
      </c>
      <c r="B3388" s="4" t="inlineStr">
        <is>
          <t>00740</t>
        </is>
      </c>
      <c r="C3388" s="4" t="inlineStr">
        <is>
          <t>00740</t>
        </is>
      </c>
      <c r="D3388" s="29" t="inlineStr">
        <is>
          <t>SEÇİL ARIBOĞA</t>
        </is>
      </c>
      <c r="E3388" s="4" t="inlineStr">
        <is>
          <t>Salı</t>
        </is>
      </c>
      <c r="F3388" s="4" t="inlineStr">
        <is>
          <t>6.10.2026</t>
        </is>
      </c>
      <c r="G3388" s="4" t="inlineStr">
        <is>
          <t>08:00</t>
        </is>
      </c>
      <c r="H3388" s="4" t="inlineStr">
        <is>
          <t>6.10.2026</t>
        </is>
      </c>
      <c r="I3388" s="4" t="inlineStr">
        <is>
          <t>20:01</t>
        </is>
      </c>
      <c r="J3388" s="8" t="n">
        <v>10.5</v>
      </c>
      <c r="K3388" s="8" t="n">
        <v>7.5</v>
      </c>
      <c r="L3388" s="8" t="n">
        <v>3</v>
      </c>
      <c r="M3388" s="29" t="inlineStr">
        <is>
          <t>HALİL DİĞRENCİ</t>
        </is>
      </c>
    </row>
    <row r="3389">
      <c r="A3389" s="4" t="n">
        <v>3388</v>
      </c>
      <c r="B3389" s="4" t="inlineStr">
        <is>
          <t>00740</t>
        </is>
      </c>
      <c r="C3389" s="4" t="inlineStr">
        <is>
          <t>00740</t>
        </is>
      </c>
      <c r="D3389" s="29" t="inlineStr">
        <is>
          <t>SEÇİL ARIBOĞA</t>
        </is>
      </c>
      <c r="E3389" s="4" t="inlineStr">
        <is>
          <t>Çarşamba</t>
        </is>
      </c>
      <c r="F3389" s="4" t="inlineStr">
        <is>
          <t>7.10.2026</t>
        </is>
      </c>
      <c r="G3389" s="4" t="inlineStr">
        <is>
          <t>07:36</t>
        </is>
      </c>
      <c r="H3389" s="4" t="inlineStr">
        <is>
          <t>7.10.2026</t>
        </is>
      </c>
      <c r="I3389" s="4" t="inlineStr">
        <is>
          <t>20:08</t>
        </is>
      </c>
      <c r="J3389" s="8" t="n">
        <v>10.5</v>
      </c>
      <c r="K3389" s="8" t="n">
        <v>7.5</v>
      </c>
      <c r="L3389" s="8" t="n">
        <v>3</v>
      </c>
      <c r="M3389" s="29" t="inlineStr">
        <is>
          <t>HALİL DİĞRENCİ</t>
        </is>
      </c>
    </row>
    <row r="3390">
      <c r="A3390" s="4" t="n">
        <v>3389</v>
      </c>
      <c r="B3390" s="4" t="inlineStr">
        <is>
          <t>00740</t>
        </is>
      </c>
      <c r="C3390" s="4" t="inlineStr">
        <is>
          <t>00740</t>
        </is>
      </c>
      <c r="D3390" s="29" t="inlineStr">
        <is>
          <t>SEÇİL ARIBOĞA</t>
        </is>
      </c>
      <c r="E3390" s="4" t="inlineStr">
        <is>
          <t>Salı</t>
        </is>
      </c>
      <c r="F3390" s="4" t="inlineStr">
        <is>
          <t>13.10.2026</t>
        </is>
      </c>
      <c r="G3390" s="4" t="inlineStr">
        <is>
          <t>08:02</t>
        </is>
      </c>
      <c r="H3390" s="4" t="inlineStr">
        <is>
          <t>13.10.2026</t>
        </is>
      </c>
      <c r="I3390" s="4" t="inlineStr">
        <is>
          <t>20:02</t>
        </is>
      </c>
      <c r="J3390" s="8" t="n">
        <v>10.5</v>
      </c>
      <c r="K3390" s="8" t="n">
        <v>7.5</v>
      </c>
      <c r="L3390" s="8" t="n">
        <v>3</v>
      </c>
      <c r="M3390" s="29" t="inlineStr">
        <is>
          <t>HALİL DİĞRENCİ</t>
        </is>
      </c>
    </row>
    <row r="3391">
      <c r="A3391" s="4" t="n">
        <v>3390</v>
      </c>
      <c r="B3391" s="4" t="inlineStr">
        <is>
          <t>00740</t>
        </is>
      </c>
      <c r="C3391" s="4" t="inlineStr">
        <is>
          <t>00740</t>
        </is>
      </c>
      <c r="D3391" s="29" t="inlineStr">
        <is>
          <t>SEÇİL ARIBOĞA</t>
        </is>
      </c>
      <c r="E3391" s="4" t="inlineStr">
        <is>
          <t>Çarşamba</t>
        </is>
      </c>
      <c r="F3391" s="4" t="inlineStr">
        <is>
          <t>14.10.2026</t>
        </is>
      </c>
      <c r="G3391" s="4" t="inlineStr">
        <is>
          <t>07:57</t>
        </is>
      </c>
      <c r="H3391" s="4" t="inlineStr">
        <is>
          <t>14.10.2026</t>
        </is>
      </c>
      <c r="I3391" s="4" t="inlineStr">
        <is>
          <t>20:02</t>
        </is>
      </c>
      <c r="J3391" s="8" t="n">
        <v>10.5</v>
      </c>
      <c r="K3391" s="8" t="n">
        <v>7.5</v>
      </c>
      <c r="L3391" s="8" t="n">
        <v>3</v>
      </c>
      <c r="M3391" s="29" t="inlineStr">
        <is>
          <t>HALİL DİĞRENCİ</t>
        </is>
      </c>
    </row>
    <row r="3392">
      <c r="A3392" s="4" t="n">
        <v>3391</v>
      </c>
      <c r="B3392" s="4" t="inlineStr">
        <is>
          <t>00740</t>
        </is>
      </c>
      <c r="C3392" s="4" t="inlineStr">
        <is>
          <t>00740</t>
        </is>
      </c>
      <c r="D3392" s="29" t="inlineStr">
        <is>
          <t>SEÇİL ARIBOĞA</t>
        </is>
      </c>
      <c r="E3392" s="4" t="inlineStr">
        <is>
          <t>Perşembe</t>
        </is>
      </c>
      <c r="F3392" s="4" t="inlineStr">
        <is>
          <t>15.10.2026</t>
        </is>
      </c>
      <c r="G3392" s="4" t="inlineStr">
        <is>
          <t>08:04</t>
        </is>
      </c>
      <c r="H3392" s="4" t="inlineStr">
        <is>
          <t>15.10.2026</t>
        </is>
      </c>
      <c r="I3392" s="4" t="inlineStr">
        <is>
          <t>20:04</t>
        </is>
      </c>
      <c r="J3392" s="8" t="n">
        <v>10.5</v>
      </c>
      <c r="K3392" s="8" t="n">
        <v>7.5</v>
      </c>
      <c r="L3392" s="8" t="n">
        <v>3</v>
      </c>
      <c r="M3392" s="29" t="inlineStr">
        <is>
          <t>HALİL DİĞRENCİ</t>
        </is>
      </c>
    </row>
    <row r="3393">
      <c r="A3393" s="4" t="n">
        <v>3392</v>
      </c>
      <c r="B3393" s="4" t="inlineStr">
        <is>
          <t>00740</t>
        </is>
      </c>
      <c r="C3393" s="4" t="inlineStr">
        <is>
          <t>00740</t>
        </is>
      </c>
      <c r="D3393" s="29" t="inlineStr">
        <is>
          <t>SEÇİL ARIBOĞA</t>
        </is>
      </c>
      <c r="E3393" s="4" t="inlineStr">
        <is>
          <t>Cuma</t>
        </is>
      </c>
      <c r="F3393" s="4" t="inlineStr">
        <is>
          <t>16.10.2026</t>
        </is>
      </c>
      <c r="G3393" s="4" t="inlineStr">
        <is>
          <t>07:56</t>
        </is>
      </c>
      <c r="H3393" s="4" t="inlineStr">
        <is>
          <t>16.10.2026</t>
        </is>
      </c>
      <c r="I3393" s="4" t="inlineStr">
        <is>
          <t>20:02</t>
        </is>
      </c>
      <c r="J3393" s="8" t="n">
        <v>10.5</v>
      </c>
      <c r="K3393" s="8" t="n">
        <v>7.5</v>
      </c>
      <c r="L3393" s="8" t="n">
        <v>3</v>
      </c>
      <c r="M3393" s="29" t="inlineStr">
        <is>
          <t>HALİL DİĞRENCİ</t>
        </is>
      </c>
    </row>
    <row r="3394">
      <c r="A3394" s="4" t="n">
        <v>3393</v>
      </c>
      <c r="B3394" s="4" t="inlineStr">
        <is>
          <t>00740</t>
        </is>
      </c>
      <c r="C3394" s="4" t="inlineStr">
        <is>
          <t>00740</t>
        </is>
      </c>
      <c r="D3394" s="29" t="inlineStr">
        <is>
          <t>SEÇİL ARIBOĞA</t>
        </is>
      </c>
      <c r="E3394" s="4" t="inlineStr">
        <is>
          <t>Cumartesi</t>
        </is>
      </c>
      <c r="F3394" s="4" t="inlineStr">
        <is>
          <t>17.10.2026</t>
        </is>
      </c>
      <c r="G3394" s="4" t="inlineStr">
        <is>
          <t>07:59</t>
        </is>
      </c>
      <c r="H3394" s="4" t="inlineStr">
        <is>
          <t>17.10.2026</t>
        </is>
      </c>
      <c r="I3394" s="4" t="inlineStr">
        <is>
          <t>20:07</t>
        </is>
      </c>
      <c r="J3394" s="8" t="n">
        <v>10.5</v>
      </c>
      <c r="K3394" s="8" t="n">
        <v>7.5</v>
      </c>
      <c r="L3394" s="8" t="n">
        <v>3</v>
      </c>
      <c r="M3394" s="29" t="inlineStr">
        <is>
          <t>HALİL DİĞRENCİ</t>
        </is>
      </c>
    </row>
    <row r="3395">
      <c r="A3395" s="4" t="n">
        <v>3394</v>
      </c>
      <c r="B3395" s="4" t="inlineStr">
        <is>
          <t>00740</t>
        </is>
      </c>
      <c r="C3395" s="4" t="inlineStr">
        <is>
          <t>00740</t>
        </is>
      </c>
      <c r="D3395" s="29" t="inlineStr">
        <is>
          <t>SEÇİL ARIBOĞA</t>
        </is>
      </c>
      <c r="E3395" s="4" t="inlineStr">
        <is>
          <t>Pazartesi</t>
        </is>
      </c>
      <c r="F3395" s="4" t="inlineStr">
        <is>
          <t>19.10.2026</t>
        </is>
      </c>
      <c r="G3395" s="4" t="inlineStr">
        <is>
          <t>08:02</t>
        </is>
      </c>
      <c r="H3395" s="4" t="inlineStr">
        <is>
          <t>19.10.2026</t>
        </is>
      </c>
      <c r="I3395" s="4" t="inlineStr">
        <is>
          <t>19:59</t>
        </is>
      </c>
      <c r="J3395" s="8" t="n">
        <v>10.5</v>
      </c>
      <c r="K3395" s="8" t="n">
        <v>7.5</v>
      </c>
      <c r="L3395" s="8" t="n">
        <v>3</v>
      </c>
      <c r="M3395" s="29" t="inlineStr">
        <is>
          <t>HALİL DİĞRENCİ</t>
        </is>
      </c>
    </row>
    <row r="3396">
      <c r="A3396" s="4" t="n">
        <v>3395</v>
      </c>
      <c r="B3396" s="4" t="inlineStr">
        <is>
          <t>00740</t>
        </is>
      </c>
      <c r="C3396" s="4" t="inlineStr">
        <is>
          <t>00740</t>
        </is>
      </c>
      <c r="D3396" s="29" t="inlineStr">
        <is>
          <t>SEÇİL ARIBOĞA</t>
        </is>
      </c>
      <c r="E3396" s="4" t="inlineStr">
        <is>
          <t>Salı</t>
        </is>
      </c>
      <c r="F3396" s="4" t="inlineStr">
        <is>
          <t>20.10.2026</t>
        </is>
      </c>
      <c r="G3396" s="4" t="inlineStr">
        <is>
          <t>07:56</t>
        </is>
      </c>
      <c r="H3396" s="4" t="inlineStr">
        <is>
          <t>20.10.2026</t>
        </is>
      </c>
      <c r="I3396" s="4" t="inlineStr">
        <is>
          <t>17:07</t>
        </is>
      </c>
      <c r="J3396" s="8" t="n">
        <v>7.5</v>
      </c>
      <c r="K3396" s="8" t="n">
        <v>7.5</v>
      </c>
      <c r="L3396" s="8" t="n">
        <v>0</v>
      </c>
      <c r="M3396" s="29" t="inlineStr">
        <is>
          <t>HALİL DİĞRENCİ</t>
        </is>
      </c>
    </row>
    <row r="3397">
      <c r="A3397" s="4" t="n">
        <v>3396</v>
      </c>
      <c r="B3397" s="4" t="inlineStr">
        <is>
          <t>00740</t>
        </is>
      </c>
      <c r="C3397" s="4" t="inlineStr">
        <is>
          <t>00740</t>
        </is>
      </c>
      <c r="D3397" s="29" t="inlineStr">
        <is>
          <t>SEÇİL ARIBOĞA</t>
        </is>
      </c>
      <c r="E3397" s="4" t="inlineStr">
        <is>
          <t>Çarşamba</t>
        </is>
      </c>
      <c r="F3397" s="4" t="inlineStr">
        <is>
          <t>21.10.2026</t>
        </is>
      </c>
      <c r="G3397" s="4" t="inlineStr">
        <is>
          <t>07:56</t>
        </is>
      </c>
      <c r="H3397" s="4" t="inlineStr">
        <is>
          <t>21.10.2026</t>
        </is>
      </c>
      <c r="I3397" s="4" t="inlineStr">
        <is>
          <t>16:59</t>
        </is>
      </c>
      <c r="J3397" s="8" t="n">
        <v>7.5</v>
      </c>
      <c r="K3397" s="8" t="n">
        <v>7.5</v>
      </c>
      <c r="L3397" s="8" t="n">
        <v>0</v>
      </c>
      <c r="M3397" s="29" t="inlineStr">
        <is>
          <t>HALİL DİĞRENCİ</t>
        </is>
      </c>
    </row>
    <row r="3398">
      <c r="A3398" s="4" t="n">
        <v>3397</v>
      </c>
      <c r="B3398" s="4" t="inlineStr">
        <is>
          <t>00153</t>
        </is>
      </c>
      <c r="C3398" s="4" t="inlineStr">
        <is>
          <t>00153</t>
        </is>
      </c>
      <c r="D3398" s="29" t="inlineStr">
        <is>
          <t>SEHER ÖZDEN</t>
        </is>
      </c>
      <c r="E3398" s="4" t="inlineStr">
        <is>
          <t>Perşembe</t>
        </is>
      </c>
      <c r="F3398" s="4" t="inlineStr">
        <is>
          <t>1.10.2026</t>
        </is>
      </c>
      <c r="G3398" s="4" t="inlineStr">
        <is>
          <t>07:51</t>
        </is>
      </c>
      <c r="H3398" s="4" t="inlineStr">
        <is>
          <t>1.10.2026</t>
        </is>
      </c>
      <c r="I3398" s="4" t="inlineStr">
        <is>
          <t>17:27</t>
        </is>
      </c>
      <c r="J3398" s="8" t="n">
        <v>8</v>
      </c>
      <c r="K3398" s="8" t="n">
        <v>7.5</v>
      </c>
      <c r="L3398" s="8" t="n">
        <v>0.5</v>
      </c>
      <c r="M3398" s="29" t="inlineStr">
        <is>
          <t>BALIKESİR</t>
        </is>
      </c>
    </row>
    <row r="3399">
      <c r="A3399" s="4" t="n">
        <v>3398</v>
      </c>
      <c r="B3399" s="4" t="inlineStr">
        <is>
          <t>00153</t>
        </is>
      </c>
      <c r="C3399" s="4" t="inlineStr">
        <is>
          <t>00153</t>
        </is>
      </c>
      <c r="D3399" s="29" t="inlineStr">
        <is>
          <t>SEHER ÖZDEN</t>
        </is>
      </c>
      <c r="E3399" s="4" t="inlineStr">
        <is>
          <t>Cuma</t>
        </is>
      </c>
      <c r="F3399" s="4" t="inlineStr">
        <is>
          <t>2.10.2026</t>
        </is>
      </c>
      <c r="G3399" s="4" t="inlineStr">
        <is>
          <t>07:55</t>
        </is>
      </c>
      <c r="H3399" s="4" t="inlineStr">
        <is>
          <t>2.10.2026</t>
        </is>
      </c>
      <c r="I3399" s="4" t="inlineStr">
        <is>
          <t>17:46</t>
        </is>
      </c>
      <c r="J3399" s="8" t="n">
        <v>8.5</v>
      </c>
      <c r="K3399" s="8" t="n">
        <v>7.5</v>
      </c>
      <c r="L3399" s="8" t="n">
        <v>1</v>
      </c>
      <c r="M3399" s="29" t="inlineStr">
        <is>
          <t>BALIKESİR</t>
        </is>
      </c>
    </row>
    <row r="3400">
      <c r="A3400" s="4" t="n">
        <v>3399</v>
      </c>
      <c r="B3400" s="4" t="inlineStr">
        <is>
          <t>00153</t>
        </is>
      </c>
      <c r="C3400" s="4" t="inlineStr">
        <is>
          <t>00153</t>
        </is>
      </c>
      <c r="D3400" s="29" t="inlineStr">
        <is>
          <t>SEHER ÖZDEN</t>
        </is>
      </c>
      <c r="E3400" s="4" t="inlineStr">
        <is>
          <t>Cumartesi</t>
        </is>
      </c>
      <c r="F3400" s="4" t="inlineStr">
        <is>
          <t>3.10.2026</t>
        </is>
      </c>
      <c r="G3400" s="4" t="inlineStr">
        <is>
          <t>07:55</t>
        </is>
      </c>
      <c r="H3400" s="4" t="inlineStr">
        <is>
          <t>3.10.2026</t>
        </is>
      </c>
      <c r="I3400" s="4" t="inlineStr">
        <is>
          <t>17:31</t>
        </is>
      </c>
      <c r="J3400" s="8" t="n">
        <v>8</v>
      </c>
      <c r="K3400" s="8" t="n">
        <v>7.5</v>
      </c>
      <c r="L3400" s="8" t="n">
        <v>0.5</v>
      </c>
      <c r="M3400" s="29" t="inlineStr">
        <is>
          <t>BALIKESİR</t>
        </is>
      </c>
    </row>
    <row r="3401">
      <c r="A3401" s="4" t="n">
        <v>3400</v>
      </c>
      <c r="B3401" s="4" t="inlineStr">
        <is>
          <t>00153</t>
        </is>
      </c>
      <c r="C3401" s="4" t="inlineStr">
        <is>
          <t>00153</t>
        </is>
      </c>
      <c r="D3401" s="29" t="inlineStr">
        <is>
          <t>SEHER ÖZDEN</t>
        </is>
      </c>
      <c r="E3401" s="4" t="inlineStr">
        <is>
          <t>Pazartesi</t>
        </is>
      </c>
      <c r="F3401" s="4" t="inlineStr">
        <is>
          <t>5.10.2026</t>
        </is>
      </c>
      <c r="G3401" s="4" t="inlineStr">
        <is>
          <t>07:53</t>
        </is>
      </c>
      <c r="H3401" s="4" t="inlineStr">
        <is>
          <t>5.10.2026</t>
        </is>
      </c>
      <c r="I3401" s="4" t="inlineStr">
        <is>
          <t>17:00</t>
        </is>
      </c>
      <c r="J3401" s="8" t="n">
        <v>7.5</v>
      </c>
      <c r="K3401" s="8" t="n">
        <v>7.5</v>
      </c>
      <c r="L3401" s="8" t="n">
        <v>0</v>
      </c>
      <c r="M3401" s="29" t="inlineStr">
        <is>
          <t>BALIKESİR</t>
        </is>
      </c>
    </row>
    <row r="3402">
      <c r="A3402" s="4" t="n">
        <v>3401</v>
      </c>
      <c r="B3402" s="4" t="inlineStr">
        <is>
          <t>00153</t>
        </is>
      </c>
      <c r="C3402" s="4" t="inlineStr">
        <is>
          <t>00153</t>
        </is>
      </c>
      <c r="D3402" s="29" t="inlineStr">
        <is>
          <t>SEHER ÖZDEN</t>
        </is>
      </c>
      <c r="E3402" s="4" t="inlineStr">
        <is>
          <t>Salı</t>
        </is>
      </c>
      <c r="F3402" s="4" t="inlineStr">
        <is>
          <t>6.10.2026</t>
        </is>
      </c>
      <c r="G3402" s="4" t="inlineStr">
        <is>
          <t>07:52</t>
        </is>
      </c>
      <c r="H3402" s="4" t="inlineStr">
        <is>
          <t>6.10.2026</t>
        </is>
      </c>
      <c r="I3402" s="4" t="inlineStr">
        <is>
          <t>17:37</t>
        </is>
      </c>
      <c r="J3402" s="8" t="n">
        <v>8</v>
      </c>
      <c r="K3402" s="8" t="n">
        <v>7.5</v>
      </c>
      <c r="L3402" s="8" t="n">
        <v>0.5</v>
      </c>
      <c r="M3402" s="29" t="inlineStr">
        <is>
          <t>BALIKESİR</t>
        </is>
      </c>
    </row>
    <row r="3403">
      <c r="A3403" s="4" t="n">
        <v>3402</v>
      </c>
      <c r="B3403" s="4" t="inlineStr">
        <is>
          <t>00153</t>
        </is>
      </c>
      <c r="C3403" s="4" t="inlineStr">
        <is>
          <t>00153</t>
        </is>
      </c>
      <c r="D3403" s="29" t="inlineStr">
        <is>
          <t>SEHER ÖZDEN</t>
        </is>
      </c>
      <c r="E3403" s="4" t="inlineStr">
        <is>
          <t>Çarşamba</t>
        </is>
      </c>
      <c r="F3403" s="4" t="inlineStr">
        <is>
          <t>7.10.2026</t>
        </is>
      </c>
      <c r="G3403" s="4" t="inlineStr">
        <is>
          <t>07:50</t>
        </is>
      </c>
      <c r="H3403" s="4" t="inlineStr">
        <is>
          <t>7.10.2026</t>
        </is>
      </c>
      <c r="I3403" s="4" t="inlineStr">
        <is>
          <t>07:46</t>
        </is>
      </c>
      <c r="J3403" s="8" t="n">
        <v>19.5</v>
      </c>
      <c r="K3403" s="8" t="n">
        <v>7.5</v>
      </c>
      <c r="L3403" s="8" t="n">
        <v>12</v>
      </c>
      <c r="M3403" s="29" t="inlineStr">
        <is>
          <t>BALIKESİR</t>
        </is>
      </c>
    </row>
    <row r="3404">
      <c r="A3404" s="4" t="n">
        <v>3403</v>
      </c>
      <c r="B3404" s="4" t="inlineStr">
        <is>
          <t>00153</t>
        </is>
      </c>
      <c r="C3404" s="4" t="inlineStr">
        <is>
          <t>00153</t>
        </is>
      </c>
      <c r="D3404" s="29" t="inlineStr">
        <is>
          <t>SEHER ÖZDEN</t>
        </is>
      </c>
      <c r="E3404" s="4" t="inlineStr">
        <is>
          <t>Perşembe</t>
        </is>
      </c>
      <c r="F3404" s="4" t="inlineStr">
        <is>
          <t>8.10.2026</t>
        </is>
      </c>
      <c r="G3404" s="4" t="inlineStr">
        <is>
          <t>07:48</t>
        </is>
      </c>
      <c r="H3404" s="4" t="inlineStr">
        <is>
          <t>8.10.2026</t>
        </is>
      </c>
      <c r="I3404" s="4" t="inlineStr">
        <is>
          <t>17:30</t>
        </is>
      </c>
      <c r="J3404" s="8" t="n">
        <v>8</v>
      </c>
      <c r="K3404" s="8" t="n">
        <v>7.5</v>
      </c>
      <c r="L3404" s="8" t="n">
        <v>0.5</v>
      </c>
      <c r="M3404" s="29" t="inlineStr">
        <is>
          <t>BALIKESİR</t>
        </is>
      </c>
    </row>
    <row r="3405">
      <c r="A3405" s="4" t="n">
        <v>3404</v>
      </c>
      <c r="B3405" s="4" t="inlineStr">
        <is>
          <t>00153</t>
        </is>
      </c>
      <c r="C3405" s="4" t="inlineStr">
        <is>
          <t>00153</t>
        </is>
      </c>
      <c r="D3405" s="29" t="inlineStr">
        <is>
          <t>SEHER ÖZDEN</t>
        </is>
      </c>
      <c r="E3405" s="4" t="inlineStr">
        <is>
          <t>Cuma</t>
        </is>
      </c>
      <c r="F3405" s="4" t="inlineStr">
        <is>
          <t>9.10.2026</t>
        </is>
      </c>
      <c r="G3405" s="4" t="inlineStr">
        <is>
          <t>07:51</t>
        </is>
      </c>
      <c r="H3405" s="4" t="inlineStr">
        <is>
          <t>9.10.2026</t>
        </is>
      </c>
      <c r="I3405" s="4" t="inlineStr">
        <is>
          <t>17:39</t>
        </is>
      </c>
      <c r="J3405" s="8" t="n">
        <v>8</v>
      </c>
      <c r="K3405" s="8" t="n">
        <v>7.5</v>
      </c>
      <c r="L3405" s="8" t="n">
        <v>0.5</v>
      </c>
      <c r="M3405" s="29" t="inlineStr">
        <is>
          <t>BALIKESİR</t>
        </is>
      </c>
    </row>
    <row r="3406">
      <c r="A3406" s="4" t="n">
        <v>3405</v>
      </c>
      <c r="B3406" s="4" t="inlineStr">
        <is>
          <t>00153</t>
        </is>
      </c>
      <c r="C3406" s="4" t="inlineStr">
        <is>
          <t>00153</t>
        </is>
      </c>
      <c r="D3406" s="29" t="inlineStr">
        <is>
          <t>SEHER ÖZDEN</t>
        </is>
      </c>
      <c r="E3406" s="4" t="inlineStr">
        <is>
          <t>Cumartesi</t>
        </is>
      </c>
      <c r="F3406" s="4" t="inlineStr">
        <is>
          <t>10.10.2026</t>
        </is>
      </c>
      <c r="G3406" s="4" t="inlineStr">
        <is>
          <t>07:53</t>
        </is>
      </c>
      <c r="H3406" s="4" t="inlineStr">
        <is>
          <t>10.10.2026</t>
        </is>
      </c>
      <c r="I3406" s="4" t="inlineStr">
        <is>
          <t>18:05</t>
        </is>
      </c>
      <c r="J3406" s="8" t="n">
        <v>8.5</v>
      </c>
      <c r="K3406" s="8" t="n">
        <v>7.5</v>
      </c>
      <c r="L3406" s="8" t="n">
        <v>1</v>
      </c>
      <c r="M3406" s="29" t="inlineStr">
        <is>
          <t>BALIKESİR</t>
        </is>
      </c>
    </row>
    <row r="3407">
      <c r="A3407" s="4" t="n">
        <v>3406</v>
      </c>
      <c r="B3407" s="4" t="inlineStr">
        <is>
          <t>00153</t>
        </is>
      </c>
      <c r="C3407" s="4" t="inlineStr">
        <is>
          <t>00153</t>
        </is>
      </c>
      <c r="D3407" s="29" t="inlineStr">
        <is>
          <t>SEHER ÖZDEN</t>
        </is>
      </c>
      <c r="E3407" s="4" t="inlineStr">
        <is>
          <t>Pazar</t>
        </is>
      </c>
      <c r="F3407" s="4" t="inlineStr">
        <is>
          <t>11.10.2026</t>
        </is>
      </c>
      <c r="G3407" s="4" t="inlineStr">
        <is>
          <t>07:48</t>
        </is>
      </c>
      <c r="H3407" s="4" t="inlineStr">
        <is>
          <t>11.10.2026</t>
        </is>
      </c>
      <c r="I3407" s="4" t="inlineStr">
        <is>
          <t>16:04</t>
        </is>
      </c>
      <c r="J3407" s="8" t="n">
        <v>7.5</v>
      </c>
      <c r="K3407" s="8" t="n">
        <v>7.5</v>
      </c>
      <c r="L3407" s="8" t="n">
        <v>0</v>
      </c>
      <c r="M3407" s="29" t="inlineStr">
        <is>
          <t>BALIKESİR</t>
        </is>
      </c>
    </row>
    <row r="3408">
      <c r="A3408" s="4" t="n">
        <v>3407</v>
      </c>
      <c r="B3408" s="4" t="inlineStr">
        <is>
          <t>00153</t>
        </is>
      </c>
      <c r="C3408" s="4" t="inlineStr">
        <is>
          <t>00153</t>
        </is>
      </c>
      <c r="D3408" s="29" t="inlineStr">
        <is>
          <t>SEHER ÖZDEN</t>
        </is>
      </c>
      <c r="E3408" s="4" t="inlineStr">
        <is>
          <t>Pazartesi</t>
        </is>
      </c>
      <c r="F3408" s="4" t="inlineStr">
        <is>
          <t>12.10.2026</t>
        </is>
      </c>
      <c r="G3408" s="4" t="inlineStr">
        <is>
          <t>07:51</t>
        </is>
      </c>
      <c r="H3408" s="4" t="inlineStr">
        <is>
          <t>12.10.2026</t>
        </is>
      </c>
      <c r="I3408" s="4" t="inlineStr">
        <is>
          <t>17:00</t>
        </is>
      </c>
      <c r="J3408" s="8" t="n">
        <v>7.5</v>
      </c>
      <c r="K3408" s="8" t="n">
        <v>7.5</v>
      </c>
      <c r="L3408" s="8" t="n">
        <v>0</v>
      </c>
      <c r="M3408" s="29" t="inlineStr">
        <is>
          <t>BALIKESİR</t>
        </is>
      </c>
    </row>
    <row r="3409">
      <c r="A3409" s="4" t="n">
        <v>3408</v>
      </c>
      <c r="B3409" s="4" t="inlineStr">
        <is>
          <t>00153</t>
        </is>
      </c>
      <c r="C3409" s="4" t="inlineStr">
        <is>
          <t>00153</t>
        </is>
      </c>
      <c r="D3409" s="29" t="inlineStr">
        <is>
          <t>SEHER ÖZDEN</t>
        </is>
      </c>
      <c r="E3409" s="4" t="inlineStr">
        <is>
          <t>Salı</t>
        </is>
      </c>
      <c r="F3409" s="4" t="inlineStr">
        <is>
          <t>13.10.2026</t>
        </is>
      </c>
      <c r="G3409" s="4" t="inlineStr">
        <is>
          <t>07:49</t>
        </is>
      </c>
      <c r="H3409" s="4" t="inlineStr">
        <is>
          <t>13.10.2026</t>
        </is>
      </c>
      <c r="I3409" s="4" t="inlineStr">
        <is>
          <t>17:02</t>
        </is>
      </c>
      <c r="J3409" s="8" t="n">
        <v>7.5</v>
      </c>
      <c r="K3409" s="8" t="n">
        <v>7.5</v>
      </c>
      <c r="L3409" s="8" t="n">
        <v>0</v>
      </c>
      <c r="M3409" s="29" t="inlineStr">
        <is>
          <t>BALIKESİR</t>
        </is>
      </c>
    </row>
    <row r="3410">
      <c r="A3410" s="4" t="n">
        <v>3409</v>
      </c>
      <c r="B3410" s="4" t="inlineStr">
        <is>
          <t>00153</t>
        </is>
      </c>
      <c r="C3410" s="4" t="inlineStr">
        <is>
          <t>00153</t>
        </is>
      </c>
      <c r="D3410" s="29" t="inlineStr">
        <is>
          <t>SEHER ÖZDEN</t>
        </is>
      </c>
      <c r="E3410" s="4" t="inlineStr">
        <is>
          <t>Çarşamba</t>
        </is>
      </c>
      <c r="F3410" s="4" t="inlineStr">
        <is>
          <t>14.10.2026</t>
        </is>
      </c>
      <c r="G3410" s="4" t="inlineStr">
        <is>
          <t>07:50</t>
        </is>
      </c>
      <c r="H3410" s="4" t="inlineStr">
        <is>
          <t>14.10.2026</t>
        </is>
      </c>
      <c r="I3410" s="4" t="inlineStr">
        <is>
          <t>18:00</t>
        </is>
      </c>
      <c r="J3410" s="8" t="n">
        <v>8.5</v>
      </c>
      <c r="K3410" s="8" t="n">
        <v>7.5</v>
      </c>
      <c r="L3410" s="8" t="n">
        <v>1</v>
      </c>
      <c r="M3410" s="29" t="inlineStr">
        <is>
          <t>BALIKESİR</t>
        </is>
      </c>
    </row>
    <row r="3411">
      <c r="A3411" s="4" t="n">
        <v>3410</v>
      </c>
      <c r="B3411" s="4" t="inlineStr">
        <is>
          <t>00153</t>
        </is>
      </c>
      <c r="C3411" s="4" t="inlineStr">
        <is>
          <t>00153</t>
        </is>
      </c>
      <c r="D3411" s="29" t="inlineStr">
        <is>
          <t>SEHER ÖZDEN</t>
        </is>
      </c>
      <c r="E3411" s="4" t="inlineStr">
        <is>
          <t>Perşembe</t>
        </is>
      </c>
      <c r="F3411" s="4" t="inlineStr">
        <is>
          <t>15.10.2026</t>
        </is>
      </c>
      <c r="G3411" s="4" t="inlineStr">
        <is>
          <t>07:53</t>
        </is>
      </c>
      <c r="H3411" s="4" t="inlineStr">
        <is>
          <t>15.10.2026</t>
        </is>
      </c>
      <c r="I3411" s="4" t="inlineStr">
        <is>
          <t>17:01</t>
        </is>
      </c>
      <c r="J3411" s="8" t="n">
        <v>7.5</v>
      </c>
      <c r="K3411" s="8" t="n">
        <v>7.5</v>
      </c>
      <c r="L3411" s="8" t="n">
        <v>0</v>
      </c>
      <c r="M3411" s="29" t="inlineStr">
        <is>
          <t>BALIKESİR</t>
        </is>
      </c>
    </row>
    <row r="3412">
      <c r="A3412" s="4" t="n">
        <v>3411</v>
      </c>
      <c r="B3412" s="4" t="inlineStr">
        <is>
          <t>00153</t>
        </is>
      </c>
      <c r="C3412" s="4" t="inlineStr">
        <is>
          <t>00153</t>
        </is>
      </c>
      <c r="D3412" s="29" t="inlineStr">
        <is>
          <t>SEHER ÖZDEN</t>
        </is>
      </c>
      <c r="E3412" s="4" t="inlineStr">
        <is>
          <t>Cuma</t>
        </is>
      </c>
      <c r="F3412" s="4" t="inlineStr">
        <is>
          <t>16.10.2026</t>
        </is>
      </c>
      <c r="G3412" s="4" t="inlineStr">
        <is>
          <t>07:49</t>
        </is>
      </c>
      <c r="H3412" s="4" t="inlineStr">
        <is>
          <t>16.10.2026</t>
        </is>
      </c>
      <c r="I3412" s="4" t="inlineStr">
        <is>
          <t>17:12</t>
        </is>
      </c>
      <c r="J3412" s="8" t="n">
        <v>7.5</v>
      </c>
      <c r="K3412" s="8" t="n">
        <v>7.5</v>
      </c>
      <c r="L3412" s="8" t="n">
        <v>0</v>
      </c>
      <c r="M3412" s="29" t="inlineStr">
        <is>
          <t>BALIKESİR</t>
        </is>
      </c>
    </row>
    <row r="3413">
      <c r="A3413" s="4" t="n">
        <v>3412</v>
      </c>
      <c r="B3413" s="4" t="inlineStr">
        <is>
          <t>00153</t>
        </is>
      </c>
      <c r="C3413" s="4" t="inlineStr">
        <is>
          <t>00153</t>
        </is>
      </c>
      <c r="D3413" s="29" t="inlineStr">
        <is>
          <t>SEHER ÖZDEN</t>
        </is>
      </c>
      <c r="E3413" s="4" t="inlineStr">
        <is>
          <t>Cumartesi</t>
        </is>
      </c>
      <c r="F3413" s="4" t="inlineStr">
        <is>
          <t>17.10.2026</t>
        </is>
      </c>
      <c r="G3413" s="4" t="inlineStr">
        <is>
          <t>07:58</t>
        </is>
      </c>
      <c r="H3413" s="4" t="inlineStr">
        <is>
          <t>17.10.2026</t>
        </is>
      </c>
      <c r="I3413" s="4" t="inlineStr">
        <is>
          <t>17:52</t>
        </is>
      </c>
      <c r="J3413" s="8" t="n">
        <v>8.5</v>
      </c>
      <c r="K3413" s="8" t="n">
        <v>7.5</v>
      </c>
      <c r="L3413" s="8" t="n">
        <v>1</v>
      </c>
      <c r="M3413" s="29" t="inlineStr">
        <is>
          <t>BALIKESİR</t>
        </is>
      </c>
    </row>
    <row r="3414">
      <c r="A3414" s="4" t="n">
        <v>3413</v>
      </c>
      <c r="B3414" s="4" t="inlineStr">
        <is>
          <t>00153</t>
        </is>
      </c>
      <c r="C3414" s="4" t="inlineStr">
        <is>
          <t>00153</t>
        </is>
      </c>
      <c r="D3414" s="29" t="inlineStr">
        <is>
          <t>SEHER ÖZDEN</t>
        </is>
      </c>
      <c r="E3414" s="4" t="inlineStr">
        <is>
          <t>Pazar</t>
        </is>
      </c>
      <c r="F3414" s="4" t="inlineStr">
        <is>
          <t>18.10.2026</t>
        </is>
      </c>
      <c r="G3414" s="4" t="inlineStr">
        <is>
          <t>07:45</t>
        </is>
      </c>
      <c r="H3414" s="4" t="inlineStr">
        <is>
          <t>18.10.2026</t>
        </is>
      </c>
      <c r="I3414" s="4" t="inlineStr">
        <is>
          <t>15:41</t>
        </is>
      </c>
      <c r="J3414" s="8" t="n">
        <v>6</v>
      </c>
      <c r="K3414" s="8" t="n">
        <v>6</v>
      </c>
      <c r="L3414" s="8" t="n">
        <v>0</v>
      </c>
      <c r="M3414" s="29" t="inlineStr">
        <is>
          <t>BALIKESİR</t>
        </is>
      </c>
    </row>
    <row r="3415">
      <c r="A3415" s="4" t="n">
        <v>3414</v>
      </c>
      <c r="B3415" s="4" t="inlineStr">
        <is>
          <t>00153</t>
        </is>
      </c>
      <c r="C3415" s="4" t="inlineStr">
        <is>
          <t>00153</t>
        </is>
      </c>
      <c r="D3415" s="29" t="inlineStr">
        <is>
          <t>SEHER ÖZDEN</t>
        </is>
      </c>
      <c r="E3415" s="4" t="inlineStr">
        <is>
          <t>Pazartesi</t>
        </is>
      </c>
      <c r="F3415" s="4" t="inlineStr">
        <is>
          <t>19.10.2026</t>
        </is>
      </c>
      <c r="G3415" s="4" t="inlineStr">
        <is>
          <t>07:50</t>
        </is>
      </c>
      <c r="H3415" s="4" t="inlineStr">
        <is>
          <t>19.10.2026</t>
        </is>
      </c>
      <c r="I3415" s="4" t="inlineStr">
        <is>
          <t>17:42</t>
        </is>
      </c>
      <c r="J3415" s="8" t="n">
        <v>8</v>
      </c>
      <c r="K3415" s="8" t="n">
        <v>7.5</v>
      </c>
      <c r="L3415" s="8" t="n">
        <v>0.5</v>
      </c>
      <c r="M3415" s="29" t="inlineStr">
        <is>
          <t>BALIKESİR</t>
        </is>
      </c>
    </row>
    <row r="3416">
      <c r="A3416" s="4" t="n">
        <v>3415</v>
      </c>
      <c r="B3416" s="4" t="inlineStr">
        <is>
          <t>00153</t>
        </is>
      </c>
      <c r="C3416" s="4" t="inlineStr">
        <is>
          <t>00153</t>
        </is>
      </c>
      <c r="D3416" s="29" t="inlineStr">
        <is>
          <t>SEHER ÖZDEN</t>
        </is>
      </c>
      <c r="E3416" s="4" t="inlineStr">
        <is>
          <t>Salı</t>
        </is>
      </c>
      <c r="F3416" s="4" t="inlineStr">
        <is>
          <t>20.10.2026</t>
        </is>
      </c>
      <c r="G3416" s="4" t="inlineStr">
        <is>
          <t>07:49</t>
        </is>
      </c>
      <c r="H3416" s="4" t="inlineStr">
        <is>
          <t>20.10.2026</t>
        </is>
      </c>
      <c r="I3416" s="4" t="inlineStr">
        <is>
          <t>17:02</t>
        </is>
      </c>
      <c r="J3416" s="8" t="n">
        <v>7.5</v>
      </c>
      <c r="K3416" s="8" t="n">
        <v>7.5</v>
      </c>
      <c r="L3416" s="8" t="n">
        <v>0</v>
      </c>
      <c r="M3416" s="29" t="inlineStr">
        <is>
          <t>BALIKESİR</t>
        </is>
      </c>
    </row>
    <row r="3417">
      <c r="A3417" s="4" t="n">
        <v>3416</v>
      </c>
      <c r="B3417" s="4" t="inlineStr">
        <is>
          <t>00153</t>
        </is>
      </c>
      <c r="C3417" s="4" t="inlineStr">
        <is>
          <t>00153</t>
        </is>
      </c>
      <c r="D3417" s="29" t="inlineStr">
        <is>
          <t>SEHER ÖZDEN</t>
        </is>
      </c>
      <c r="E3417" s="4" t="inlineStr">
        <is>
          <t>Çarşamba</t>
        </is>
      </c>
      <c r="F3417" s="4" t="inlineStr">
        <is>
          <t>21.10.2026</t>
        </is>
      </c>
      <c r="G3417" s="4" t="inlineStr">
        <is>
          <t>07:50</t>
        </is>
      </c>
      <c r="H3417" s="4" t="inlineStr">
        <is>
          <t>21.10.2026</t>
        </is>
      </c>
      <c r="I3417" s="4" t="inlineStr">
        <is>
          <t>17:00</t>
        </is>
      </c>
      <c r="J3417" s="8" t="n">
        <v>7.5</v>
      </c>
      <c r="K3417" s="8" t="n">
        <v>7.5</v>
      </c>
      <c r="L3417" s="8" t="n">
        <v>0</v>
      </c>
      <c r="M3417" s="29" t="inlineStr">
        <is>
          <t>BALIKESİR</t>
        </is>
      </c>
    </row>
    <row r="3418">
      <c r="A3418" s="4" t="n">
        <v>3417</v>
      </c>
      <c r="B3418" s="4" t="inlineStr">
        <is>
          <t>00009</t>
        </is>
      </c>
      <c r="C3418" s="4" t="inlineStr">
        <is>
          <t>00009</t>
        </is>
      </c>
      <c r="D3418" s="29" t="inlineStr">
        <is>
          <t>SELAHATTİN SÖĞÜT</t>
        </is>
      </c>
      <c r="E3418" s="4" t="inlineStr">
        <is>
          <t>Perşembe</t>
        </is>
      </c>
      <c r="F3418" s="4" t="inlineStr">
        <is>
          <t>1.10.2026</t>
        </is>
      </c>
      <c r="G3418" s="4" t="inlineStr">
        <is>
          <t>08:06</t>
        </is>
      </c>
      <c r="H3418" s="4" t="inlineStr">
        <is>
          <t>1.10.2026</t>
        </is>
      </c>
      <c r="I3418" s="4" t="inlineStr">
        <is>
          <t>20:48</t>
        </is>
      </c>
      <c r="J3418" s="8" t="n">
        <v>11.5</v>
      </c>
      <c r="K3418" s="8" t="n">
        <v>7.5</v>
      </c>
      <c r="L3418" s="8" t="n">
        <v>4</v>
      </c>
      <c r="M3418" s="29" t="inlineStr">
        <is>
          <t>GÖBEL</t>
        </is>
      </c>
    </row>
    <row r="3419">
      <c r="A3419" s="4" t="n">
        <v>3418</v>
      </c>
      <c r="B3419" s="4" t="inlineStr">
        <is>
          <t>00009</t>
        </is>
      </c>
      <c r="C3419" s="4" t="inlineStr">
        <is>
          <t>00009</t>
        </is>
      </c>
      <c r="D3419" s="29" t="inlineStr">
        <is>
          <t>SELAHATTİN SÖĞÜT</t>
        </is>
      </c>
      <c r="E3419" s="4" t="inlineStr">
        <is>
          <t>Cuma</t>
        </is>
      </c>
      <c r="F3419" s="4" t="inlineStr">
        <is>
          <t>2.10.2026</t>
        </is>
      </c>
      <c r="G3419" s="4" t="inlineStr">
        <is>
          <t>10:06</t>
        </is>
      </c>
      <c r="H3419" s="4" t="inlineStr">
        <is>
          <t>2.10.2026</t>
        </is>
      </c>
      <c r="I3419" s="4" t="inlineStr">
        <is>
          <t>19:29</t>
        </is>
      </c>
      <c r="J3419" s="8" t="n">
        <v>8</v>
      </c>
      <c r="K3419" s="8" t="n">
        <v>5.5</v>
      </c>
      <c r="L3419" s="8" t="n">
        <v>2.5</v>
      </c>
      <c r="M3419" s="29" t="inlineStr">
        <is>
          <t>GÖBEL</t>
        </is>
      </c>
    </row>
    <row r="3420">
      <c r="A3420" s="4" t="n">
        <v>3419</v>
      </c>
      <c r="B3420" s="4" t="inlineStr">
        <is>
          <t>00009</t>
        </is>
      </c>
      <c r="C3420" s="4" t="inlineStr">
        <is>
          <t>00009</t>
        </is>
      </c>
      <c r="D3420" s="29" t="inlineStr">
        <is>
          <t>SELAHATTİN SÖĞÜT</t>
        </is>
      </c>
      <c r="E3420" s="4" t="inlineStr">
        <is>
          <t>Cumartesi</t>
        </is>
      </c>
      <c r="F3420" s="4" t="inlineStr">
        <is>
          <t>3.10.2026</t>
        </is>
      </c>
      <c r="G3420" s="4" t="inlineStr">
        <is>
          <t>10:14</t>
        </is>
      </c>
      <c r="H3420" s="4" t="inlineStr">
        <is>
          <t>3.10.2026</t>
        </is>
      </c>
      <c r="I3420" s="4" t="inlineStr">
        <is>
          <t>19:56</t>
        </is>
      </c>
      <c r="J3420" s="8" t="n">
        <v>8.5</v>
      </c>
      <c r="K3420" s="8" t="n">
        <v>5.5</v>
      </c>
      <c r="L3420" s="8" t="n">
        <v>3</v>
      </c>
      <c r="M3420" s="29" t="inlineStr">
        <is>
          <t>GÖBEL</t>
        </is>
      </c>
    </row>
    <row r="3421">
      <c r="A3421" s="4" t="n">
        <v>3420</v>
      </c>
      <c r="B3421" s="4" t="inlineStr">
        <is>
          <t>00009</t>
        </is>
      </c>
      <c r="C3421" s="4" t="inlineStr">
        <is>
          <t>00009</t>
        </is>
      </c>
      <c r="D3421" s="29" t="inlineStr">
        <is>
          <t>SELAHATTİN SÖĞÜT</t>
        </is>
      </c>
      <c r="E3421" s="4" t="inlineStr">
        <is>
          <t>Pazar</t>
        </is>
      </c>
      <c r="F3421" s="4" t="inlineStr">
        <is>
          <t>4.10.2026</t>
        </is>
      </c>
      <c r="G3421" s="4" t="inlineStr">
        <is>
          <t>08:02</t>
        </is>
      </c>
      <c r="H3421" s="4" t="inlineStr">
        <is>
          <t>4.10.2026</t>
        </is>
      </c>
      <c r="I3421" s="4" t="inlineStr">
        <is>
          <t>15:59</t>
        </is>
      </c>
      <c r="J3421" s="8" t="n">
        <v>7.5</v>
      </c>
      <c r="K3421" s="8" t="n">
        <v>7.5</v>
      </c>
      <c r="L3421" s="8" t="n">
        <v>0</v>
      </c>
      <c r="M3421" s="29" t="inlineStr">
        <is>
          <t>GÖBEL</t>
        </is>
      </c>
    </row>
    <row r="3422">
      <c r="A3422" s="4" t="n">
        <v>3421</v>
      </c>
      <c r="B3422" s="4" t="inlineStr">
        <is>
          <t>00009</t>
        </is>
      </c>
      <c r="C3422" s="4" t="inlineStr">
        <is>
          <t>00009</t>
        </is>
      </c>
      <c r="D3422" s="29" t="inlineStr">
        <is>
          <t>SELAHATTİN SÖĞÜT</t>
        </is>
      </c>
      <c r="E3422" s="4" t="inlineStr">
        <is>
          <t>Pazartesi</t>
        </is>
      </c>
      <c r="F3422" s="4" t="inlineStr">
        <is>
          <t>5.10.2026</t>
        </is>
      </c>
      <c r="G3422" s="4" t="inlineStr">
        <is>
          <t>09:56</t>
        </is>
      </c>
      <c r="H3422" s="4" t="inlineStr">
        <is>
          <t>5.10.2026</t>
        </is>
      </c>
      <c r="I3422" s="4" t="inlineStr">
        <is>
          <t>15:52</t>
        </is>
      </c>
      <c r="J3422" s="8" t="n">
        <v>7.5</v>
      </c>
      <c r="K3422" s="8" t="n">
        <v>7.5</v>
      </c>
      <c r="L3422" s="8" t="n">
        <v>0</v>
      </c>
      <c r="M3422" s="29" t="inlineStr">
        <is>
          <t>GÖBEL</t>
        </is>
      </c>
    </row>
    <row r="3423">
      <c r="A3423" s="4" t="n">
        <v>3422</v>
      </c>
      <c r="B3423" s="4" t="inlineStr">
        <is>
          <t>00009</t>
        </is>
      </c>
      <c r="C3423" s="4" t="inlineStr">
        <is>
          <t>00009</t>
        </is>
      </c>
      <c r="D3423" s="29" t="inlineStr">
        <is>
          <t>SELAHATTİN SÖĞÜT</t>
        </is>
      </c>
      <c r="E3423" s="4" t="inlineStr">
        <is>
          <t>Pazartesi</t>
        </is>
      </c>
      <c r="F3423" s="4" t="inlineStr">
        <is>
          <t>19.10.2026</t>
        </is>
      </c>
      <c r="G3423" s="4" t="inlineStr">
        <is>
          <t>08:07</t>
        </is>
      </c>
      <c r="H3423" s="4" t="inlineStr">
        <is>
          <t>19.10.2026</t>
        </is>
      </c>
      <c r="I3423" s="4" t="inlineStr">
        <is>
          <t>-</t>
        </is>
      </c>
      <c r="J3423" s="8" t="n">
        <v>7.5</v>
      </c>
      <c r="K3423" s="8" t="n">
        <v>7.5</v>
      </c>
      <c r="L3423" s="8" t="n">
        <v>0</v>
      </c>
      <c r="M3423" s="29" t="inlineStr">
        <is>
          <t>GÖBEL</t>
        </is>
      </c>
    </row>
    <row r="3424">
      <c r="A3424" s="4" t="n">
        <v>3423</v>
      </c>
      <c r="B3424" s="4" t="inlineStr">
        <is>
          <t>01371</t>
        </is>
      </c>
      <c r="C3424" s="4" t="inlineStr">
        <is>
          <t>01371</t>
        </is>
      </c>
      <c r="D3424" s="29" t="inlineStr">
        <is>
          <t>SELİM KIRAY</t>
        </is>
      </c>
      <c r="E3424" s="4" t="inlineStr">
        <is>
          <t>Perşembe</t>
        </is>
      </c>
      <c r="F3424" s="4" t="inlineStr">
        <is>
          <t>1.10.2026</t>
        </is>
      </c>
      <c r="G3424" s="4" t="inlineStr">
        <is>
          <t>09:50</t>
        </is>
      </c>
      <c r="H3424" s="4" t="inlineStr">
        <is>
          <t>1.10.2026</t>
        </is>
      </c>
      <c r="I3424" s="4" t="inlineStr">
        <is>
          <t>19:26</t>
        </is>
      </c>
      <c r="J3424" s="8" t="n">
        <v>8.5</v>
      </c>
      <c r="K3424" s="8" t="n">
        <v>6</v>
      </c>
      <c r="L3424" s="8" t="n">
        <v>2.5</v>
      </c>
      <c r="M3424" s="29" t="inlineStr">
        <is>
          <t>GÜVEN MUSTAFAKEMALPAŞA</t>
        </is>
      </c>
    </row>
    <row r="3425">
      <c r="A3425" s="4" t="n">
        <v>3424</v>
      </c>
      <c r="B3425" s="4" t="inlineStr">
        <is>
          <t>01371</t>
        </is>
      </c>
      <c r="C3425" s="4" t="inlineStr">
        <is>
          <t>01371</t>
        </is>
      </c>
      <c r="D3425" s="29" t="inlineStr">
        <is>
          <t>SELİM KIRAY</t>
        </is>
      </c>
      <c r="E3425" s="4" t="inlineStr">
        <is>
          <t>Cuma</t>
        </is>
      </c>
      <c r="F3425" s="4" t="inlineStr">
        <is>
          <t>2.10.2026</t>
        </is>
      </c>
      <c r="G3425" s="4" t="inlineStr">
        <is>
          <t>09:45</t>
        </is>
      </c>
      <c r="H3425" s="4" t="inlineStr">
        <is>
          <t>2.10.2026</t>
        </is>
      </c>
      <c r="I3425" s="4" t="inlineStr">
        <is>
          <t>17:47</t>
        </is>
      </c>
      <c r="J3425" s="8" t="n">
        <v>7</v>
      </c>
      <c r="K3425" s="8" t="n">
        <v>6</v>
      </c>
      <c r="L3425" s="8" t="n">
        <v>1</v>
      </c>
      <c r="M3425" s="29" t="inlineStr">
        <is>
          <t>GÜVEN MUSTAFAKEMALPAŞA</t>
        </is>
      </c>
    </row>
    <row r="3426">
      <c r="A3426" s="4" t="n">
        <v>3425</v>
      </c>
      <c r="B3426" s="4" t="inlineStr">
        <is>
          <t>01371</t>
        </is>
      </c>
      <c r="C3426" s="4" t="inlineStr">
        <is>
          <t>01371</t>
        </is>
      </c>
      <c r="D3426" s="29" t="inlineStr">
        <is>
          <t>SELİM KIRAY</t>
        </is>
      </c>
      <c r="E3426" s="4" t="inlineStr">
        <is>
          <t>Cumartesi</t>
        </is>
      </c>
      <c r="F3426" s="4" t="inlineStr">
        <is>
          <t>3.10.2026</t>
        </is>
      </c>
      <c r="G3426" s="4" t="inlineStr">
        <is>
          <t>09:51</t>
        </is>
      </c>
      <c r="H3426" s="4" t="inlineStr">
        <is>
          <t>3.10.2026</t>
        </is>
      </c>
      <c r="I3426" s="4" t="inlineStr">
        <is>
          <t>19:54</t>
        </is>
      </c>
      <c r="J3426" s="8" t="n">
        <v>8.5</v>
      </c>
      <c r="K3426" s="8" t="n">
        <v>5.5</v>
      </c>
      <c r="L3426" s="8" t="n">
        <v>3</v>
      </c>
      <c r="M3426" s="29" t="inlineStr">
        <is>
          <t>GÜVEN MUSTAFAKEMALPAŞA</t>
        </is>
      </c>
    </row>
    <row r="3427">
      <c r="A3427" s="4" t="n">
        <v>3426</v>
      </c>
      <c r="B3427" s="4" t="inlineStr">
        <is>
          <t>01371</t>
        </is>
      </c>
      <c r="C3427" s="4" t="inlineStr">
        <is>
          <t>01371</t>
        </is>
      </c>
      <c r="D3427" s="29" t="inlineStr">
        <is>
          <t>SELİM KIRAY</t>
        </is>
      </c>
      <c r="E3427" s="4" t="inlineStr">
        <is>
          <t>Salı</t>
        </is>
      </c>
      <c r="F3427" s="4" t="inlineStr">
        <is>
          <t>6.10.2026</t>
        </is>
      </c>
      <c r="G3427" s="4" t="inlineStr">
        <is>
          <t>09:43</t>
        </is>
      </c>
      <c r="H3427" s="4" t="inlineStr">
        <is>
          <t>6.10.2026</t>
        </is>
      </c>
      <c r="I3427" s="4" t="inlineStr">
        <is>
          <t>19:24</t>
        </is>
      </c>
      <c r="J3427" s="8" t="n">
        <v>8.5</v>
      </c>
      <c r="K3427" s="8" t="n">
        <v>6</v>
      </c>
      <c r="L3427" s="8" t="n">
        <v>2.5</v>
      </c>
      <c r="M3427" s="29" t="inlineStr">
        <is>
          <t>GÜVEN MUSTAFAKEMALPAŞA</t>
        </is>
      </c>
    </row>
    <row r="3428">
      <c r="A3428" s="4" t="n">
        <v>3427</v>
      </c>
      <c r="B3428" s="4" t="inlineStr">
        <is>
          <t>01371</t>
        </is>
      </c>
      <c r="C3428" s="4" t="inlineStr">
        <is>
          <t>01371</t>
        </is>
      </c>
      <c r="D3428" s="29" t="inlineStr">
        <is>
          <t>SELİM KIRAY</t>
        </is>
      </c>
      <c r="E3428" s="4" t="inlineStr">
        <is>
          <t>Çarşamba</t>
        </is>
      </c>
      <c r="F3428" s="4" t="inlineStr">
        <is>
          <t>7.10.2026</t>
        </is>
      </c>
      <c r="G3428" s="4" t="inlineStr">
        <is>
          <t>09:51</t>
        </is>
      </c>
      <c r="H3428" s="4" t="inlineStr">
        <is>
          <t>7.10.2026</t>
        </is>
      </c>
      <c r="I3428" s="4" t="inlineStr">
        <is>
          <t>17:31</t>
        </is>
      </c>
      <c r="J3428" s="8" t="n">
        <v>6</v>
      </c>
      <c r="K3428" s="8" t="n">
        <v>5.5</v>
      </c>
      <c r="L3428" s="8" t="n">
        <v>0.5</v>
      </c>
      <c r="M3428" s="29" t="inlineStr">
        <is>
          <t>GÜVEN MUSTAFAKEMALPAŞA</t>
        </is>
      </c>
    </row>
    <row r="3429">
      <c r="A3429" s="4" t="n">
        <v>3428</v>
      </c>
      <c r="B3429" s="4" t="inlineStr">
        <is>
          <t>01371</t>
        </is>
      </c>
      <c r="C3429" s="4" t="inlineStr">
        <is>
          <t>01371</t>
        </is>
      </c>
      <c r="D3429" s="29" t="inlineStr">
        <is>
          <t>SELİM KIRAY</t>
        </is>
      </c>
      <c r="E3429" s="4" t="inlineStr">
        <is>
          <t>Perşembe</t>
        </is>
      </c>
      <c r="F3429" s="4" t="inlineStr">
        <is>
          <t>8.10.2026</t>
        </is>
      </c>
      <c r="G3429" s="4" t="inlineStr">
        <is>
          <t>07:58</t>
        </is>
      </c>
      <c r="H3429" s="4" t="inlineStr">
        <is>
          <t>8.10.2026</t>
        </is>
      </c>
      <c r="I3429" s="4" t="inlineStr">
        <is>
          <t>19:26</t>
        </is>
      </c>
      <c r="J3429" s="8" t="n">
        <v>10</v>
      </c>
      <c r="K3429" s="8" t="n">
        <v>7.5</v>
      </c>
      <c r="L3429" s="8" t="n">
        <v>2.5</v>
      </c>
      <c r="M3429" s="29" t="inlineStr">
        <is>
          <t>GÜVEN MUSTAFAKEMALPAŞA</t>
        </is>
      </c>
    </row>
    <row r="3430">
      <c r="A3430" s="4" t="n">
        <v>3429</v>
      </c>
      <c r="B3430" s="4" t="inlineStr">
        <is>
          <t>01371</t>
        </is>
      </c>
      <c r="C3430" s="4" t="inlineStr">
        <is>
          <t>01371</t>
        </is>
      </c>
      <c r="D3430" s="29" t="inlineStr">
        <is>
          <t>SELİM KIRAY</t>
        </is>
      </c>
      <c r="E3430" s="4" t="inlineStr">
        <is>
          <t>Cumartesi</t>
        </is>
      </c>
      <c r="F3430" s="4" t="inlineStr">
        <is>
          <t>10.10.2026</t>
        </is>
      </c>
      <c r="G3430" s="4" t="inlineStr">
        <is>
          <t>09:46</t>
        </is>
      </c>
      <c r="H3430" s="4" t="inlineStr">
        <is>
          <t>10.10.2026</t>
        </is>
      </c>
      <c r="I3430" s="4" t="inlineStr">
        <is>
          <t>00:39</t>
        </is>
      </c>
      <c r="J3430" s="8" t="n">
        <v>13.5</v>
      </c>
      <c r="K3430" s="8" t="n">
        <v>6</v>
      </c>
      <c r="L3430" s="8" t="n">
        <v>7.5</v>
      </c>
      <c r="M3430" s="29" t="inlineStr">
        <is>
          <t>GÜVEN MUSTAFAKEMALPAŞA</t>
        </is>
      </c>
    </row>
    <row r="3431">
      <c r="A3431" s="4" t="n">
        <v>3430</v>
      </c>
      <c r="B3431" s="4" t="inlineStr">
        <is>
          <t>01371</t>
        </is>
      </c>
      <c r="C3431" s="4" t="inlineStr">
        <is>
          <t>01371</t>
        </is>
      </c>
      <c r="D3431" s="29" t="inlineStr">
        <is>
          <t>SELİM KIRAY</t>
        </is>
      </c>
      <c r="E3431" s="4" t="inlineStr">
        <is>
          <t>Çarşamba</t>
        </is>
      </c>
      <c r="F3431" s="4" t="inlineStr">
        <is>
          <t>14.10.2026</t>
        </is>
      </c>
      <c r="G3431" s="4" t="inlineStr">
        <is>
          <t>07:59</t>
        </is>
      </c>
      <c r="H3431" s="4" t="inlineStr">
        <is>
          <t>14.10.2026</t>
        </is>
      </c>
      <c r="I3431" s="4" t="inlineStr">
        <is>
          <t>18:22</t>
        </is>
      </c>
      <c r="J3431" s="8" t="n">
        <v>9</v>
      </c>
      <c r="K3431" s="8" t="n">
        <v>7.5</v>
      </c>
      <c r="L3431" s="8" t="n">
        <v>1.5</v>
      </c>
      <c r="M3431" s="29" t="inlineStr">
        <is>
          <t>GÜVEN MUSTAFAKEMALPAŞA</t>
        </is>
      </c>
    </row>
    <row r="3432">
      <c r="A3432" s="4" t="n">
        <v>3431</v>
      </c>
      <c r="B3432" s="4" t="inlineStr">
        <is>
          <t>01371</t>
        </is>
      </c>
      <c r="C3432" s="4" t="inlineStr">
        <is>
          <t>01371</t>
        </is>
      </c>
      <c r="D3432" s="29" t="inlineStr">
        <is>
          <t>SELİM KIRAY</t>
        </is>
      </c>
      <c r="E3432" s="4" t="inlineStr">
        <is>
          <t>Perşembe</t>
        </is>
      </c>
      <c r="F3432" s="4" t="inlineStr">
        <is>
          <t>15.10.2026</t>
        </is>
      </c>
      <c r="G3432" s="4" t="inlineStr">
        <is>
          <t>08:04</t>
        </is>
      </c>
      <c r="H3432" s="4" t="inlineStr">
        <is>
          <t>15.10.2026</t>
        </is>
      </c>
      <c r="I3432" s="4" t="inlineStr">
        <is>
          <t>17:06</t>
        </is>
      </c>
      <c r="J3432" s="8" t="n">
        <v>7.5</v>
      </c>
      <c r="K3432" s="8" t="n">
        <v>7.5</v>
      </c>
      <c r="L3432" s="8" t="n">
        <v>0</v>
      </c>
      <c r="M3432" s="29" t="inlineStr">
        <is>
          <t>GÜVEN MUSTAFAKEMALPAŞA</t>
        </is>
      </c>
    </row>
    <row r="3433">
      <c r="A3433" s="4" t="n">
        <v>3432</v>
      </c>
      <c r="B3433" s="4" t="inlineStr">
        <is>
          <t>01371</t>
        </is>
      </c>
      <c r="C3433" s="4" t="inlineStr">
        <is>
          <t>01371</t>
        </is>
      </c>
      <c r="D3433" s="29" t="inlineStr">
        <is>
          <t>SELİM KIRAY</t>
        </is>
      </c>
      <c r="E3433" s="4" t="inlineStr">
        <is>
          <t>Cumartesi</t>
        </is>
      </c>
      <c r="F3433" s="4" t="inlineStr">
        <is>
          <t>17.10.2026</t>
        </is>
      </c>
      <c r="G3433" s="4" t="inlineStr">
        <is>
          <t>09:47</t>
        </is>
      </c>
      <c r="H3433" s="4" t="inlineStr">
        <is>
          <t>17.10.2026</t>
        </is>
      </c>
      <c r="I3433" s="4" t="inlineStr">
        <is>
          <t>19:55</t>
        </is>
      </c>
      <c r="J3433" s="8" t="n">
        <v>9</v>
      </c>
      <c r="K3433" s="8" t="n">
        <v>6</v>
      </c>
      <c r="L3433" s="8" t="n">
        <v>3</v>
      </c>
      <c r="M3433" s="29" t="inlineStr">
        <is>
          <t>GÜVEN MUSTAFAKEMALPAŞA</t>
        </is>
      </c>
    </row>
    <row r="3434">
      <c r="A3434" s="4" t="n">
        <v>3433</v>
      </c>
      <c r="B3434" s="4" t="inlineStr">
        <is>
          <t>01371</t>
        </is>
      </c>
      <c r="C3434" s="4" t="inlineStr">
        <is>
          <t>01371</t>
        </is>
      </c>
      <c r="D3434" s="29" t="inlineStr">
        <is>
          <t>SELİM KIRAY</t>
        </is>
      </c>
      <c r="E3434" s="4" t="inlineStr">
        <is>
          <t>Pazartesi</t>
        </is>
      </c>
      <c r="F3434" s="4" t="inlineStr">
        <is>
          <t>19.10.2026</t>
        </is>
      </c>
      <c r="G3434" s="4" t="inlineStr">
        <is>
          <t>09:44</t>
        </is>
      </c>
      <c r="H3434" s="4" t="inlineStr">
        <is>
          <t>19.10.2026</t>
        </is>
      </c>
      <c r="I3434" s="4" t="inlineStr">
        <is>
          <t>18:06</t>
        </is>
      </c>
      <c r="J3434" s="8" t="n">
        <v>7</v>
      </c>
      <c r="K3434" s="8" t="n">
        <v>6</v>
      </c>
      <c r="L3434" s="8" t="n">
        <v>1</v>
      </c>
      <c r="M3434" s="29" t="inlineStr">
        <is>
          <t>GÜVEN MUSTAFAKEMALPAŞA</t>
        </is>
      </c>
    </row>
    <row r="3435">
      <c r="A3435" s="4" t="n">
        <v>3434</v>
      </c>
      <c r="B3435" s="4" t="inlineStr">
        <is>
          <t>01371</t>
        </is>
      </c>
      <c r="C3435" s="4" t="inlineStr">
        <is>
          <t>01371</t>
        </is>
      </c>
      <c r="D3435" s="29" t="inlineStr">
        <is>
          <t>SELİM KIRAY</t>
        </is>
      </c>
      <c r="E3435" s="4" t="inlineStr">
        <is>
          <t>Çarşamba</t>
        </is>
      </c>
      <c r="F3435" s="4" t="inlineStr">
        <is>
          <t>21.10.2026</t>
        </is>
      </c>
      <c r="G3435" s="4" t="inlineStr">
        <is>
          <t>09:46</t>
        </is>
      </c>
      <c r="H3435" s="4" t="inlineStr">
        <is>
          <t>21.10.2026</t>
        </is>
      </c>
      <c r="I3435" s="4" t="inlineStr">
        <is>
          <t>17:04</t>
        </is>
      </c>
      <c r="J3435" s="8" t="n">
        <v>6</v>
      </c>
      <c r="K3435" s="8" t="n">
        <v>6</v>
      </c>
      <c r="L3435" s="8" t="n">
        <v>0</v>
      </c>
      <c r="M3435" s="29" t="inlineStr">
        <is>
          <t>GÜVEN MUSTAFAKEMALPAŞA</t>
        </is>
      </c>
    </row>
    <row r="3436">
      <c r="A3436" s="4" t="n">
        <v>3435</v>
      </c>
      <c r="B3436" s="4" t="inlineStr">
        <is>
          <t>00559</t>
        </is>
      </c>
      <c r="C3436" s="4" t="inlineStr">
        <is>
          <t>00559</t>
        </is>
      </c>
      <c r="D3436" s="29" t="inlineStr">
        <is>
          <t>SELMA TUNÇ</t>
        </is>
      </c>
      <c r="E3436" s="4" t="inlineStr">
        <is>
          <t>Perşembe</t>
        </is>
      </c>
      <c r="F3436" s="4" t="inlineStr">
        <is>
          <t>1.10.2026</t>
        </is>
      </c>
      <c r="G3436" s="4" t="inlineStr">
        <is>
          <t>07:49</t>
        </is>
      </c>
      <c r="H3436" s="4" t="inlineStr">
        <is>
          <t>1.10.2026</t>
        </is>
      </c>
      <c r="I3436" s="4" t="inlineStr">
        <is>
          <t>17:28</t>
        </is>
      </c>
      <c r="J3436" s="8" t="n">
        <v>8</v>
      </c>
      <c r="K3436" s="8" t="n">
        <v>7.5</v>
      </c>
      <c r="L3436" s="8" t="n">
        <v>0.5</v>
      </c>
      <c r="M3436" s="29" t="inlineStr">
        <is>
          <t>BALIKESİR</t>
        </is>
      </c>
    </row>
    <row r="3437">
      <c r="A3437" s="4" t="n">
        <v>3436</v>
      </c>
      <c r="B3437" s="4" t="inlineStr">
        <is>
          <t>00559</t>
        </is>
      </c>
      <c r="C3437" s="4" t="inlineStr">
        <is>
          <t>00559</t>
        </is>
      </c>
      <c r="D3437" s="29" t="inlineStr">
        <is>
          <t>SELMA TUNÇ</t>
        </is>
      </c>
      <c r="E3437" s="4" t="inlineStr">
        <is>
          <t>Cuma</t>
        </is>
      </c>
      <c r="F3437" s="4" t="inlineStr">
        <is>
          <t>2.10.2026</t>
        </is>
      </c>
      <c r="G3437" s="4" t="inlineStr">
        <is>
          <t>07:56</t>
        </is>
      </c>
      <c r="H3437" s="4" t="inlineStr">
        <is>
          <t>2.10.2026</t>
        </is>
      </c>
      <c r="I3437" s="4" t="inlineStr">
        <is>
          <t>17:45</t>
        </is>
      </c>
      <c r="J3437" s="8" t="n">
        <v>8.5</v>
      </c>
      <c r="K3437" s="8" t="n">
        <v>7.5</v>
      </c>
      <c r="L3437" s="8" t="n">
        <v>1</v>
      </c>
      <c r="M3437" s="29" t="inlineStr">
        <is>
          <t>BALIKESİR</t>
        </is>
      </c>
    </row>
    <row r="3438">
      <c r="A3438" s="4" t="n">
        <v>3437</v>
      </c>
      <c r="B3438" s="4" t="inlineStr">
        <is>
          <t>00559</t>
        </is>
      </c>
      <c r="C3438" s="4" t="inlineStr">
        <is>
          <t>00559</t>
        </is>
      </c>
      <c r="D3438" s="29" t="inlineStr">
        <is>
          <t>SELMA TUNÇ</t>
        </is>
      </c>
      <c r="E3438" s="4" t="inlineStr">
        <is>
          <t>Cumartesi</t>
        </is>
      </c>
      <c r="F3438" s="4" t="inlineStr">
        <is>
          <t>3.10.2026</t>
        </is>
      </c>
      <c r="G3438" s="4" t="inlineStr">
        <is>
          <t>07:55</t>
        </is>
      </c>
      <c r="H3438" s="4" t="inlineStr">
        <is>
          <t>3.10.2026</t>
        </is>
      </c>
      <c r="I3438" s="4" t="inlineStr">
        <is>
          <t>17:35</t>
        </is>
      </c>
      <c r="J3438" s="8" t="n">
        <v>8</v>
      </c>
      <c r="K3438" s="8" t="n">
        <v>7.5</v>
      </c>
      <c r="L3438" s="8" t="n">
        <v>0.5</v>
      </c>
      <c r="M3438" s="29" t="inlineStr">
        <is>
          <t>BALIKESİR</t>
        </is>
      </c>
    </row>
    <row r="3439">
      <c r="A3439" s="4" t="n">
        <v>3438</v>
      </c>
      <c r="B3439" s="4" t="inlineStr">
        <is>
          <t>00559</t>
        </is>
      </c>
      <c r="C3439" s="4" t="inlineStr">
        <is>
          <t>00559</t>
        </is>
      </c>
      <c r="D3439" s="29" t="inlineStr">
        <is>
          <t>SELMA TUNÇ</t>
        </is>
      </c>
      <c r="E3439" s="4" t="inlineStr">
        <is>
          <t>Pazartesi</t>
        </is>
      </c>
      <c r="F3439" s="4" t="inlineStr">
        <is>
          <t>5.10.2026</t>
        </is>
      </c>
      <c r="G3439" s="4" t="inlineStr">
        <is>
          <t>07:39</t>
        </is>
      </c>
      <c r="H3439" s="4" t="inlineStr">
        <is>
          <t>5.10.2026</t>
        </is>
      </c>
      <c r="I3439" s="4" t="inlineStr">
        <is>
          <t>17:03</t>
        </is>
      </c>
      <c r="J3439" s="8" t="n">
        <v>7.5</v>
      </c>
      <c r="K3439" s="8" t="n">
        <v>7.5</v>
      </c>
      <c r="L3439" s="8" t="n">
        <v>0</v>
      </c>
      <c r="M3439" s="29" t="inlineStr">
        <is>
          <t>BALIKESİR</t>
        </is>
      </c>
    </row>
    <row r="3440">
      <c r="A3440" s="4" t="n">
        <v>3439</v>
      </c>
      <c r="B3440" s="4" t="inlineStr">
        <is>
          <t>00559</t>
        </is>
      </c>
      <c r="C3440" s="4" t="inlineStr">
        <is>
          <t>00559</t>
        </is>
      </c>
      <c r="D3440" s="29" t="inlineStr">
        <is>
          <t>SELMA TUNÇ</t>
        </is>
      </c>
      <c r="E3440" s="4" t="inlineStr">
        <is>
          <t>Salı</t>
        </is>
      </c>
      <c r="F3440" s="4" t="inlineStr">
        <is>
          <t>6.10.2026</t>
        </is>
      </c>
      <c r="G3440" s="4" t="inlineStr">
        <is>
          <t>07:44</t>
        </is>
      </c>
      <c r="H3440" s="4" t="inlineStr">
        <is>
          <t>6.10.2026</t>
        </is>
      </c>
      <c r="I3440" s="4" t="inlineStr">
        <is>
          <t>17:40</t>
        </is>
      </c>
      <c r="J3440" s="8" t="n">
        <v>8</v>
      </c>
      <c r="K3440" s="8" t="n">
        <v>7.5</v>
      </c>
      <c r="L3440" s="8" t="n">
        <v>0.5</v>
      </c>
      <c r="M3440" s="29" t="inlineStr">
        <is>
          <t>BALIKESİR</t>
        </is>
      </c>
    </row>
    <row r="3441">
      <c r="A3441" s="4" t="n">
        <v>3440</v>
      </c>
      <c r="B3441" s="4" t="inlineStr">
        <is>
          <t>00559</t>
        </is>
      </c>
      <c r="C3441" s="4" t="inlineStr">
        <is>
          <t>00559</t>
        </is>
      </c>
      <c r="D3441" s="29" t="inlineStr">
        <is>
          <t>SELMA TUNÇ</t>
        </is>
      </c>
      <c r="E3441" s="4" t="inlineStr">
        <is>
          <t>Çarşamba</t>
        </is>
      </c>
      <c r="F3441" s="4" t="inlineStr">
        <is>
          <t>7.10.2026</t>
        </is>
      </c>
      <c r="G3441" s="4" t="inlineStr">
        <is>
          <t>07:47</t>
        </is>
      </c>
      <c r="H3441" s="4" t="inlineStr">
        <is>
          <t>7.10.2026</t>
        </is>
      </c>
      <c r="I3441" s="4" t="inlineStr">
        <is>
          <t>17:22</t>
        </is>
      </c>
      <c r="J3441" s="8" t="n">
        <v>8</v>
      </c>
      <c r="K3441" s="8" t="n">
        <v>7.5</v>
      </c>
      <c r="L3441" s="8" t="n">
        <v>0.5</v>
      </c>
      <c r="M3441" s="29" t="inlineStr">
        <is>
          <t>BALIKESİR</t>
        </is>
      </c>
    </row>
    <row r="3442">
      <c r="A3442" s="4" t="n">
        <v>3441</v>
      </c>
      <c r="B3442" s="4" t="inlineStr">
        <is>
          <t>00559</t>
        </is>
      </c>
      <c r="C3442" s="4" t="inlineStr">
        <is>
          <t>00559</t>
        </is>
      </c>
      <c r="D3442" s="29" t="inlineStr">
        <is>
          <t>SELMA TUNÇ</t>
        </is>
      </c>
      <c r="E3442" s="4" t="inlineStr">
        <is>
          <t>Perşembe</t>
        </is>
      </c>
      <c r="F3442" s="4" t="inlineStr">
        <is>
          <t>8.10.2026</t>
        </is>
      </c>
      <c r="G3442" s="4" t="inlineStr">
        <is>
          <t>07:49</t>
        </is>
      </c>
      <c r="H3442" s="4" t="inlineStr">
        <is>
          <t>8.10.2026</t>
        </is>
      </c>
      <c r="I3442" s="4" t="inlineStr">
        <is>
          <t>17:32</t>
        </is>
      </c>
      <c r="J3442" s="8" t="n">
        <v>8</v>
      </c>
      <c r="K3442" s="8" t="n">
        <v>7.5</v>
      </c>
      <c r="L3442" s="8" t="n">
        <v>0.5</v>
      </c>
      <c r="M3442" s="29" t="inlineStr">
        <is>
          <t>BALIKESİR</t>
        </is>
      </c>
    </row>
    <row r="3443">
      <c r="A3443" s="4" t="n">
        <v>3442</v>
      </c>
      <c r="B3443" s="4" t="inlineStr">
        <is>
          <t>00559</t>
        </is>
      </c>
      <c r="C3443" s="4" t="inlineStr">
        <is>
          <t>00559</t>
        </is>
      </c>
      <c r="D3443" s="29" t="inlineStr">
        <is>
          <t>SELMA TUNÇ</t>
        </is>
      </c>
      <c r="E3443" s="4" t="inlineStr">
        <is>
          <t>Cuma</t>
        </is>
      </c>
      <c r="F3443" s="4" t="inlineStr">
        <is>
          <t>9.10.2026</t>
        </is>
      </c>
      <c r="G3443" s="4" t="inlineStr">
        <is>
          <t>07:49</t>
        </is>
      </c>
      <c r="H3443" s="4" t="inlineStr">
        <is>
          <t>9.10.2026</t>
        </is>
      </c>
      <c r="I3443" s="4" t="inlineStr">
        <is>
          <t>17:41</t>
        </is>
      </c>
      <c r="J3443" s="8" t="n">
        <v>8</v>
      </c>
      <c r="K3443" s="8" t="n">
        <v>7.5</v>
      </c>
      <c r="L3443" s="8" t="n">
        <v>0.5</v>
      </c>
      <c r="M3443" s="29" t="inlineStr">
        <is>
          <t>BALIKESİR</t>
        </is>
      </c>
    </row>
    <row r="3444">
      <c r="A3444" s="4" t="n">
        <v>3443</v>
      </c>
      <c r="B3444" s="4" t="inlineStr">
        <is>
          <t>00559</t>
        </is>
      </c>
      <c r="C3444" s="4" t="inlineStr">
        <is>
          <t>00559</t>
        </is>
      </c>
      <c r="D3444" s="29" t="inlineStr">
        <is>
          <t>SELMA TUNÇ</t>
        </is>
      </c>
      <c r="E3444" s="4" t="inlineStr">
        <is>
          <t>Cumartesi</t>
        </is>
      </c>
      <c r="F3444" s="4" t="inlineStr">
        <is>
          <t>10.10.2026</t>
        </is>
      </c>
      <c r="G3444" s="4" t="inlineStr">
        <is>
          <t>07:52</t>
        </is>
      </c>
      <c r="H3444" s="4" t="inlineStr">
        <is>
          <t>10.10.2026</t>
        </is>
      </c>
      <c r="I3444" s="4" t="inlineStr">
        <is>
          <t>18:09</t>
        </is>
      </c>
      <c r="J3444" s="8" t="n">
        <v>8.5</v>
      </c>
      <c r="K3444" s="8" t="n">
        <v>7.5</v>
      </c>
      <c r="L3444" s="8" t="n">
        <v>1</v>
      </c>
      <c r="M3444" s="29" t="inlineStr">
        <is>
          <t>BALIKESİR</t>
        </is>
      </c>
    </row>
    <row r="3445">
      <c r="A3445" s="4" t="n">
        <v>3444</v>
      </c>
      <c r="B3445" s="4" t="inlineStr">
        <is>
          <t>00559</t>
        </is>
      </c>
      <c r="C3445" s="4" t="inlineStr">
        <is>
          <t>00559</t>
        </is>
      </c>
      <c r="D3445" s="29" t="inlineStr">
        <is>
          <t>SELMA TUNÇ</t>
        </is>
      </c>
      <c r="E3445" s="4" t="inlineStr">
        <is>
          <t>Cumartesi</t>
        </is>
      </c>
      <c r="F3445" s="4" t="inlineStr">
        <is>
          <t>17.10.2026</t>
        </is>
      </c>
      <c r="G3445" s="4" t="inlineStr">
        <is>
          <t>07:56</t>
        </is>
      </c>
      <c r="H3445" s="4" t="inlineStr">
        <is>
          <t>17.10.2026</t>
        </is>
      </c>
      <c r="I3445" s="4" t="inlineStr">
        <is>
          <t>17:49</t>
        </is>
      </c>
      <c r="J3445" s="8" t="n">
        <v>8.5</v>
      </c>
      <c r="K3445" s="8" t="n">
        <v>7.5</v>
      </c>
      <c r="L3445" s="8" t="n">
        <v>1</v>
      </c>
      <c r="M3445" s="29" t="inlineStr">
        <is>
          <t>BALIKESİR</t>
        </is>
      </c>
    </row>
    <row r="3446">
      <c r="A3446" s="4" t="n">
        <v>3445</v>
      </c>
      <c r="B3446" s="4" t="inlineStr">
        <is>
          <t>00559</t>
        </is>
      </c>
      <c r="C3446" s="4" t="inlineStr">
        <is>
          <t>00559</t>
        </is>
      </c>
      <c r="D3446" s="29" t="inlineStr">
        <is>
          <t>SELMA TUNÇ</t>
        </is>
      </c>
      <c r="E3446" s="4" t="inlineStr">
        <is>
          <t>Pazartesi</t>
        </is>
      </c>
      <c r="F3446" s="4" t="inlineStr">
        <is>
          <t>19.10.2026</t>
        </is>
      </c>
      <c r="G3446" s="4" t="inlineStr">
        <is>
          <t>07:50</t>
        </is>
      </c>
      <c r="H3446" s="4" t="inlineStr">
        <is>
          <t>19.10.2026</t>
        </is>
      </c>
      <c r="I3446" s="4" t="inlineStr">
        <is>
          <t>17:43</t>
        </is>
      </c>
      <c r="J3446" s="8" t="n">
        <v>8</v>
      </c>
      <c r="K3446" s="8" t="n">
        <v>7.5</v>
      </c>
      <c r="L3446" s="8" t="n">
        <v>0.5</v>
      </c>
      <c r="M3446" s="29" t="inlineStr">
        <is>
          <t>BALIKESİR</t>
        </is>
      </c>
    </row>
    <row r="3447">
      <c r="A3447" s="4" t="n">
        <v>3446</v>
      </c>
      <c r="B3447" s="4" t="inlineStr">
        <is>
          <t>00559</t>
        </is>
      </c>
      <c r="C3447" s="4" t="inlineStr">
        <is>
          <t>00559</t>
        </is>
      </c>
      <c r="D3447" s="29" t="inlineStr">
        <is>
          <t>SELMA TUNÇ</t>
        </is>
      </c>
      <c r="E3447" s="4" t="inlineStr">
        <is>
          <t>Çarşamba</t>
        </is>
      </c>
      <c r="F3447" s="4" t="inlineStr">
        <is>
          <t>21.10.2026</t>
        </is>
      </c>
      <c r="G3447" s="4" t="inlineStr">
        <is>
          <t>07:49</t>
        </is>
      </c>
      <c r="H3447" s="4" t="inlineStr">
        <is>
          <t>21.10.2026</t>
        </is>
      </c>
      <c r="I3447" s="4" t="inlineStr">
        <is>
          <t>17:01</t>
        </is>
      </c>
      <c r="J3447" s="8" t="n">
        <v>7.5</v>
      </c>
      <c r="K3447" s="8" t="n">
        <v>7.5</v>
      </c>
      <c r="L3447" s="8" t="n">
        <v>0</v>
      </c>
      <c r="M3447" s="29" t="inlineStr">
        <is>
          <t>BALIKESİR</t>
        </is>
      </c>
    </row>
    <row r="3448">
      <c r="A3448" s="4" t="n">
        <v>3447</v>
      </c>
      <c r="B3448" s="4" t="inlineStr">
        <is>
          <t>01069</t>
        </is>
      </c>
      <c r="C3448" s="4" t="inlineStr">
        <is>
          <t>01069</t>
        </is>
      </c>
      <c r="D3448" s="29" t="inlineStr">
        <is>
          <t>SELMA AYHAN</t>
        </is>
      </c>
      <c r="E3448" s="4" t="inlineStr">
        <is>
          <t>Perşembe</t>
        </is>
      </c>
      <c r="F3448" s="4" t="inlineStr">
        <is>
          <t>1.10.2026</t>
        </is>
      </c>
      <c r="G3448" s="4" t="inlineStr">
        <is>
          <t>15:48</t>
        </is>
      </c>
      <c r="H3448" s="4" t="inlineStr">
        <is>
          <t>1.10.2026</t>
        </is>
      </c>
      <c r="I3448" s="4" t="inlineStr">
        <is>
          <t>00:01</t>
        </is>
      </c>
      <c r="J3448" s="8" t="n">
        <v>7.5</v>
      </c>
      <c r="K3448" s="8" t="n">
        <v>7.5</v>
      </c>
      <c r="L3448" s="8" t="n">
        <v>0</v>
      </c>
      <c r="M3448" s="29" t="inlineStr">
        <is>
          <t>BİGADİÇ</t>
        </is>
      </c>
    </row>
    <row r="3449">
      <c r="A3449" s="4" t="n">
        <v>3448</v>
      </c>
      <c r="B3449" s="4" t="inlineStr">
        <is>
          <t>01069</t>
        </is>
      </c>
      <c r="C3449" s="4" t="inlineStr">
        <is>
          <t>01069</t>
        </is>
      </c>
      <c r="D3449" s="29" t="inlineStr">
        <is>
          <t>SELMA AYHAN</t>
        </is>
      </c>
      <c r="E3449" s="4" t="inlineStr">
        <is>
          <t>Cuma</t>
        </is>
      </c>
      <c r="F3449" s="4" t="inlineStr">
        <is>
          <t>2.10.2026</t>
        </is>
      </c>
      <c r="G3449" s="4" t="inlineStr">
        <is>
          <t>15:45</t>
        </is>
      </c>
      <c r="H3449" s="4" t="inlineStr">
        <is>
          <t>2.10.2026</t>
        </is>
      </c>
      <c r="I3449" s="4" t="inlineStr">
        <is>
          <t>00:02</t>
        </is>
      </c>
      <c r="J3449" s="8" t="n">
        <v>7.5</v>
      </c>
      <c r="K3449" s="8" t="n">
        <v>7.5</v>
      </c>
      <c r="L3449" s="8" t="n">
        <v>0</v>
      </c>
      <c r="M3449" s="29" t="inlineStr">
        <is>
          <t>BİGADİÇ</t>
        </is>
      </c>
    </row>
    <row r="3450">
      <c r="A3450" s="4" t="n">
        <v>3449</v>
      </c>
      <c r="B3450" s="4" t="inlineStr">
        <is>
          <t>01069</t>
        </is>
      </c>
      <c r="C3450" s="4" t="inlineStr">
        <is>
          <t>01069</t>
        </is>
      </c>
      <c r="D3450" s="29" t="inlineStr">
        <is>
          <t>SELMA AYHAN</t>
        </is>
      </c>
      <c r="E3450" s="4" t="inlineStr">
        <is>
          <t>Cumartesi</t>
        </is>
      </c>
      <c r="F3450" s="4" t="inlineStr">
        <is>
          <t>3.10.2026</t>
        </is>
      </c>
      <c r="G3450" s="4" t="inlineStr">
        <is>
          <t>16:05</t>
        </is>
      </c>
      <c r="H3450" s="4" t="inlineStr">
        <is>
          <t>3.10.2026</t>
        </is>
      </c>
      <c r="I3450" s="4" t="inlineStr">
        <is>
          <t>16:06</t>
        </is>
      </c>
      <c r="J3450" s="8" t="n">
        <v>7.5</v>
      </c>
      <c r="K3450" s="8" t="n">
        <v>7.5</v>
      </c>
      <c r="L3450" s="8" t="n">
        <v>0</v>
      </c>
      <c r="M3450" s="29" t="inlineStr">
        <is>
          <t>BİGADİÇ</t>
        </is>
      </c>
    </row>
    <row r="3451">
      <c r="A3451" s="4" t="n">
        <v>3450</v>
      </c>
      <c r="B3451" s="4" t="inlineStr">
        <is>
          <t>01069</t>
        </is>
      </c>
      <c r="C3451" s="4" t="inlineStr">
        <is>
          <t>01069</t>
        </is>
      </c>
      <c r="D3451" s="29" t="inlineStr">
        <is>
          <t>SELMA AYHAN</t>
        </is>
      </c>
      <c r="E3451" s="4" t="inlineStr">
        <is>
          <t>Pazar</t>
        </is>
      </c>
      <c r="F3451" s="4" t="inlineStr">
        <is>
          <t>4.10.2026</t>
        </is>
      </c>
      <c r="G3451" s="4" t="inlineStr">
        <is>
          <t>-</t>
        </is>
      </c>
      <c r="H3451" s="4" t="inlineStr">
        <is>
          <t>4.10.2026</t>
        </is>
      </c>
      <c r="I3451" s="4" t="inlineStr">
        <is>
          <t>00:02</t>
        </is>
      </c>
      <c r="J3451" s="8" t="n">
        <v>14.5</v>
      </c>
      <c r="K3451" s="8" t="n">
        <v>7.5</v>
      </c>
      <c r="L3451" s="8" t="n">
        <v>7</v>
      </c>
      <c r="M3451" s="29" t="inlineStr">
        <is>
          <t>BİGADİÇ</t>
        </is>
      </c>
    </row>
    <row r="3452">
      <c r="A3452" s="4" t="n">
        <v>3451</v>
      </c>
      <c r="B3452" s="4" t="inlineStr">
        <is>
          <t>01069</t>
        </is>
      </c>
      <c r="C3452" s="4" t="inlineStr">
        <is>
          <t>01069</t>
        </is>
      </c>
      <c r="D3452" s="29" t="inlineStr">
        <is>
          <t>SELMA AYHAN</t>
        </is>
      </c>
      <c r="E3452" s="4" t="inlineStr">
        <is>
          <t>Pazartesi</t>
        </is>
      </c>
      <c r="F3452" s="4" t="inlineStr">
        <is>
          <t>5.10.2026</t>
        </is>
      </c>
      <c r="G3452" s="4" t="inlineStr">
        <is>
          <t>16:04</t>
        </is>
      </c>
      <c r="H3452" s="4" t="inlineStr">
        <is>
          <t>5.10.2026</t>
        </is>
      </c>
      <c r="I3452" s="4" t="inlineStr">
        <is>
          <t>00:04</t>
        </is>
      </c>
      <c r="J3452" s="8" t="n">
        <v>7.5</v>
      </c>
      <c r="K3452" s="8" t="n">
        <v>7.5</v>
      </c>
      <c r="L3452" s="8" t="n">
        <v>0</v>
      </c>
      <c r="M3452" s="29" t="inlineStr">
        <is>
          <t>BİGADİÇ</t>
        </is>
      </c>
    </row>
    <row r="3453">
      <c r="A3453" s="4" t="n">
        <v>3452</v>
      </c>
      <c r="B3453" s="4" t="inlineStr">
        <is>
          <t>01069</t>
        </is>
      </c>
      <c r="C3453" s="4" t="inlineStr">
        <is>
          <t>01069</t>
        </is>
      </c>
      <c r="D3453" s="29" t="inlineStr">
        <is>
          <t>SELMA AYHAN</t>
        </is>
      </c>
      <c r="E3453" s="4" t="inlineStr">
        <is>
          <t>Salı</t>
        </is>
      </c>
      <c r="F3453" s="4" t="inlineStr">
        <is>
          <t>6.10.2026</t>
        </is>
      </c>
      <c r="G3453" s="4" t="inlineStr">
        <is>
          <t>15:45</t>
        </is>
      </c>
      <c r="H3453" s="4" t="inlineStr">
        <is>
          <t>6.10.2026</t>
        </is>
      </c>
      <c r="I3453" s="4" t="inlineStr">
        <is>
          <t>00:06</t>
        </is>
      </c>
      <c r="J3453" s="8" t="n">
        <v>7.5</v>
      </c>
      <c r="K3453" s="8" t="n">
        <v>7.5</v>
      </c>
      <c r="L3453" s="8" t="n">
        <v>0</v>
      </c>
      <c r="M3453" s="29" t="inlineStr">
        <is>
          <t>BİGADİÇ</t>
        </is>
      </c>
    </row>
    <row r="3454">
      <c r="A3454" s="4" t="n">
        <v>3453</v>
      </c>
      <c r="B3454" s="4" t="inlineStr">
        <is>
          <t>01069</t>
        </is>
      </c>
      <c r="C3454" s="4" t="inlineStr">
        <is>
          <t>01069</t>
        </is>
      </c>
      <c r="D3454" s="29" t="inlineStr">
        <is>
          <t>SELMA AYHAN</t>
        </is>
      </c>
      <c r="E3454" s="4" t="inlineStr">
        <is>
          <t>Çarşamba</t>
        </is>
      </c>
      <c r="F3454" s="4" t="inlineStr">
        <is>
          <t>7.10.2026</t>
        </is>
      </c>
      <c r="G3454" s="4" t="inlineStr">
        <is>
          <t>15:54</t>
        </is>
      </c>
      <c r="H3454" s="4" t="inlineStr">
        <is>
          <t>7.10.2026</t>
        </is>
      </c>
      <c r="I3454" s="4" t="inlineStr">
        <is>
          <t>00:04</t>
        </is>
      </c>
      <c r="J3454" s="8" t="n">
        <v>7.5</v>
      </c>
      <c r="K3454" s="8" t="n">
        <v>7.5</v>
      </c>
      <c r="L3454" s="8" t="n">
        <v>0</v>
      </c>
      <c r="M3454" s="29" t="inlineStr">
        <is>
          <t>BİGADİÇ</t>
        </is>
      </c>
    </row>
    <row r="3455">
      <c r="A3455" s="4" t="n">
        <v>3454</v>
      </c>
      <c r="B3455" s="4" t="inlineStr">
        <is>
          <t>01069</t>
        </is>
      </c>
      <c r="C3455" s="4" t="inlineStr">
        <is>
          <t>01069</t>
        </is>
      </c>
      <c r="D3455" s="29" t="inlineStr">
        <is>
          <t>SELMA AYHAN</t>
        </is>
      </c>
      <c r="E3455" s="4" t="inlineStr">
        <is>
          <t>Perşembe</t>
        </is>
      </c>
      <c r="F3455" s="4" t="inlineStr">
        <is>
          <t>8.10.2026</t>
        </is>
      </c>
      <c r="G3455" s="4" t="inlineStr">
        <is>
          <t>15:52</t>
        </is>
      </c>
      <c r="H3455" s="4" t="inlineStr">
        <is>
          <t>8.10.2026</t>
        </is>
      </c>
      <c r="I3455" s="4" t="inlineStr">
        <is>
          <t>15:53</t>
        </is>
      </c>
      <c r="J3455" s="8" t="n">
        <v>7.5</v>
      </c>
      <c r="K3455" s="8" t="n">
        <v>7.5</v>
      </c>
      <c r="L3455" s="8" t="n">
        <v>0</v>
      </c>
      <c r="M3455" s="29" t="inlineStr">
        <is>
          <t>BİGADİÇ</t>
        </is>
      </c>
    </row>
    <row r="3456">
      <c r="A3456" s="4" t="n">
        <v>3455</v>
      </c>
      <c r="B3456" s="4" t="inlineStr">
        <is>
          <t>01069</t>
        </is>
      </c>
      <c r="C3456" s="4" t="inlineStr">
        <is>
          <t>01069</t>
        </is>
      </c>
      <c r="D3456" s="29" t="inlineStr">
        <is>
          <t>SELMA AYHAN</t>
        </is>
      </c>
      <c r="E3456" s="4" t="inlineStr">
        <is>
          <t>Cuma</t>
        </is>
      </c>
      <c r="F3456" s="4" t="inlineStr">
        <is>
          <t>9.10.2026</t>
        </is>
      </c>
      <c r="G3456" s="4" t="inlineStr">
        <is>
          <t>-</t>
        </is>
      </c>
      <c r="H3456" s="4" t="inlineStr">
        <is>
          <t>9.10.2026</t>
        </is>
      </c>
      <c r="I3456" s="4" t="inlineStr">
        <is>
          <t>00:04</t>
        </is>
      </c>
      <c r="J3456" s="8" t="n">
        <v>14.5</v>
      </c>
      <c r="K3456" s="8" t="n">
        <v>7.5</v>
      </c>
      <c r="L3456" s="8" t="n">
        <v>7</v>
      </c>
      <c r="M3456" s="29" t="inlineStr">
        <is>
          <t>BİGADİÇ</t>
        </is>
      </c>
    </row>
    <row r="3457">
      <c r="A3457" s="4" t="n">
        <v>3456</v>
      </c>
      <c r="B3457" s="4" t="inlineStr">
        <is>
          <t>01069</t>
        </is>
      </c>
      <c r="C3457" s="4" t="inlineStr">
        <is>
          <t>01069</t>
        </is>
      </c>
      <c r="D3457" s="29" t="inlineStr">
        <is>
          <t>SELMA AYHAN</t>
        </is>
      </c>
      <c r="E3457" s="4" t="inlineStr">
        <is>
          <t>Salı</t>
        </is>
      </c>
      <c r="F3457" s="4" t="inlineStr">
        <is>
          <t>20.10.2026</t>
        </is>
      </c>
      <c r="G3457" s="4" t="inlineStr">
        <is>
          <t>16:04</t>
        </is>
      </c>
      <c r="H3457" s="4" t="inlineStr">
        <is>
          <t>20.10.2026</t>
        </is>
      </c>
      <c r="I3457" s="4" t="inlineStr">
        <is>
          <t>00:01</t>
        </is>
      </c>
      <c r="J3457" s="8" t="n">
        <v>7.5</v>
      </c>
      <c r="K3457" s="8" t="n">
        <v>7.5</v>
      </c>
      <c r="L3457" s="8" t="n">
        <v>0</v>
      </c>
      <c r="M3457" s="29" t="inlineStr">
        <is>
          <t>BİGADİÇ</t>
        </is>
      </c>
    </row>
    <row r="3458">
      <c r="A3458" s="4" t="n">
        <v>3457</v>
      </c>
      <c r="B3458" s="4" t="inlineStr">
        <is>
          <t>01069</t>
        </is>
      </c>
      <c r="C3458" s="4" t="inlineStr">
        <is>
          <t>01069</t>
        </is>
      </c>
      <c r="D3458" s="29" t="inlineStr">
        <is>
          <t>SELMA AYHAN</t>
        </is>
      </c>
      <c r="E3458" s="4" t="inlineStr">
        <is>
          <t>Çarşamba</t>
        </is>
      </c>
      <c r="F3458" s="4" t="inlineStr">
        <is>
          <t>21.10.2026</t>
        </is>
      </c>
      <c r="G3458" s="4" t="inlineStr">
        <is>
          <t>15:50</t>
        </is>
      </c>
      <c r="H3458" s="4" t="inlineStr">
        <is>
          <t>21.10.2026</t>
        </is>
      </c>
      <c r="I3458" s="4" t="inlineStr">
        <is>
          <t>-</t>
        </is>
      </c>
      <c r="J3458" s="8" t="n">
        <v>7.5</v>
      </c>
      <c r="K3458" s="8" t="n">
        <v>7.5</v>
      </c>
      <c r="L3458" s="8" t="n">
        <v>0</v>
      </c>
      <c r="M3458" s="29" t="inlineStr">
        <is>
          <t>BİGADİÇ</t>
        </is>
      </c>
    </row>
    <row r="3459">
      <c r="A3459" s="4" t="n">
        <v>3458</v>
      </c>
      <c r="B3459" s="4" t="inlineStr">
        <is>
          <t>01227</t>
        </is>
      </c>
      <c r="C3459" s="4" t="inlineStr">
        <is>
          <t>01227</t>
        </is>
      </c>
      <c r="D3459" s="29" t="inlineStr">
        <is>
          <t>SELMATA ANIK</t>
        </is>
      </c>
      <c r="E3459" s="4" t="inlineStr">
        <is>
          <t>Perşembe</t>
        </is>
      </c>
      <c r="F3459" s="4" t="inlineStr">
        <is>
          <t>1.10.2026</t>
        </is>
      </c>
      <c r="G3459" s="4" t="inlineStr">
        <is>
          <t>19:53</t>
        </is>
      </c>
      <c r="H3459" s="4" t="inlineStr">
        <is>
          <t>1.10.2026</t>
        </is>
      </c>
      <c r="I3459" s="4" t="inlineStr">
        <is>
          <t>08:00</t>
        </is>
      </c>
      <c r="J3459" s="8" t="n">
        <v>10.5</v>
      </c>
      <c r="K3459" s="8" t="n">
        <v>7.5</v>
      </c>
      <c r="L3459" s="8" t="n">
        <v>3</v>
      </c>
      <c r="M3459" s="29" t="inlineStr">
        <is>
          <t>HALİL DİĞRENCİ</t>
        </is>
      </c>
    </row>
    <row r="3460">
      <c r="A3460" s="4" t="n">
        <v>3459</v>
      </c>
      <c r="B3460" s="4" t="inlineStr">
        <is>
          <t>01227</t>
        </is>
      </c>
      <c r="C3460" s="4" t="inlineStr">
        <is>
          <t>01227</t>
        </is>
      </c>
      <c r="D3460" s="29" t="inlineStr">
        <is>
          <t>SELMATA ANIK</t>
        </is>
      </c>
      <c r="E3460" s="4" t="inlineStr">
        <is>
          <t>Cuma</t>
        </is>
      </c>
      <c r="F3460" s="4" t="inlineStr">
        <is>
          <t>2.10.2026</t>
        </is>
      </c>
      <c r="G3460" s="4" t="inlineStr">
        <is>
          <t>19:48</t>
        </is>
      </c>
      <c r="H3460" s="4" t="inlineStr">
        <is>
          <t>2.10.2026</t>
        </is>
      </c>
      <c r="I3460" s="4" t="inlineStr">
        <is>
          <t>07:54</t>
        </is>
      </c>
      <c r="J3460" s="8" t="n">
        <v>10.5</v>
      </c>
      <c r="K3460" s="8" t="n">
        <v>7.5</v>
      </c>
      <c r="L3460" s="8" t="n">
        <v>3</v>
      </c>
      <c r="M3460" s="29" t="inlineStr">
        <is>
          <t>HALİL DİĞRENCİ</t>
        </is>
      </c>
    </row>
    <row r="3461">
      <c r="A3461" s="4" t="n">
        <v>3460</v>
      </c>
      <c r="B3461" s="4" t="inlineStr">
        <is>
          <t>01227</t>
        </is>
      </c>
      <c r="C3461" s="4" t="inlineStr">
        <is>
          <t>01227</t>
        </is>
      </c>
      <c r="D3461" s="29" t="inlineStr">
        <is>
          <t>SELMATA ANIK</t>
        </is>
      </c>
      <c r="E3461" s="4" t="inlineStr">
        <is>
          <t>Cumartesi</t>
        </is>
      </c>
      <c r="F3461" s="4" t="inlineStr">
        <is>
          <t>3.10.2026</t>
        </is>
      </c>
      <c r="G3461" s="4" t="inlineStr">
        <is>
          <t>19:53</t>
        </is>
      </c>
      <c r="H3461" s="4" t="inlineStr">
        <is>
          <t>3.10.2026</t>
        </is>
      </c>
      <c r="I3461" s="4" t="inlineStr">
        <is>
          <t>07:56</t>
        </is>
      </c>
      <c r="J3461" s="8" t="n">
        <v>10.5</v>
      </c>
      <c r="K3461" s="8" t="n">
        <v>7.5</v>
      </c>
      <c r="L3461" s="8" t="n">
        <v>3</v>
      </c>
      <c r="M3461" s="29" t="inlineStr">
        <is>
          <t>HALİL DİĞRENCİ</t>
        </is>
      </c>
    </row>
    <row r="3462">
      <c r="A3462" s="4" t="n">
        <v>3461</v>
      </c>
      <c r="B3462" s="4" t="inlineStr">
        <is>
          <t>01227</t>
        </is>
      </c>
      <c r="C3462" s="4" t="inlineStr">
        <is>
          <t>01227</t>
        </is>
      </c>
      <c r="D3462" s="29" t="inlineStr">
        <is>
          <t>SELMATA ANIK</t>
        </is>
      </c>
      <c r="E3462" s="4" t="inlineStr">
        <is>
          <t>Pazartesi</t>
        </is>
      </c>
      <c r="F3462" s="4" t="inlineStr">
        <is>
          <t>5.10.2026</t>
        </is>
      </c>
      <c r="G3462" s="4" t="inlineStr">
        <is>
          <t>19:47</t>
        </is>
      </c>
      <c r="H3462" s="4" t="inlineStr">
        <is>
          <t>5.10.2026</t>
        </is>
      </c>
      <c r="I3462" s="4" t="inlineStr">
        <is>
          <t>07:52</t>
        </is>
      </c>
      <c r="J3462" s="8" t="n">
        <v>10.5</v>
      </c>
      <c r="K3462" s="8" t="n">
        <v>7.5</v>
      </c>
      <c r="L3462" s="8" t="n">
        <v>3</v>
      </c>
      <c r="M3462" s="29" t="inlineStr">
        <is>
          <t>HALİL DİĞRENCİ</t>
        </is>
      </c>
    </row>
    <row r="3463">
      <c r="A3463" s="4" t="n">
        <v>3462</v>
      </c>
      <c r="B3463" s="4" t="inlineStr">
        <is>
          <t>01227</t>
        </is>
      </c>
      <c r="C3463" s="4" t="inlineStr">
        <is>
          <t>01227</t>
        </is>
      </c>
      <c r="D3463" s="29" t="inlineStr">
        <is>
          <t>SELMATA ANIK</t>
        </is>
      </c>
      <c r="E3463" s="4" t="inlineStr">
        <is>
          <t>Salı</t>
        </is>
      </c>
      <c r="F3463" s="4" t="inlineStr">
        <is>
          <t>6.10.2026</t>
        </is>
      </c>
      <c r="G3463" s="4" t="inlineStr">
        <is>
          <t>19:54</t>
        </is>
      </c>
      <c r="H3463" s="4" t="inlineStr">
        <is>
          <t>6.10.2026</t>
        </is>
      </c>
      <c r="I3463" s="4" t="inlineStr">
        <is>
          <t>07:59</t>
        </is>
      </c>
      <c r="J3463" s="8" t="n">
        <v>10.5</v>
      </c>
      <c r="K3463" s="8" t="n">
        <v>7.5</v>
      </c>
      <c r="L3463" s="8" t="n">
        <v>3</v>
      </c>
      <c r="M3463" s="29" t="inlineStr">
        <is>
          <t>HALİL DİĞRENCİ</t>
        </is>
      </c>
    </row>
    <row r="3464">
      <c r="A3464" s="4" t="n">
        <v>3463</v>
      </c>
      <c r="B3464" s="4" t="inlineStr">
        <is>
          <t>01227</t>
        </is>
      </c>
      <c r="C3464" s="4" t="inlineStr">
        <is>
          <t>01227</t>
        </is>
      </c>
      <c r="D3464" s="29" t="inlineStr">
        <is>
          <t>SELMATA ANIK</t>
        </is>
      </c>
      <c r="E3464" s="4" t="inlineStr">
        <is>
          <t>Çarşamba</t>
        </is>
      </c>
      <c r="F3464" s="4" t="inlineStr">
        <is>
          <t>7.10.2026</t>
        </is>
      </c>
      <c r="G3464" s="4" t="inlineStr">
        <is>
          <t>19:52</t>
        </is>
      </c>
      <c r="H3464" s="4" t="inlineStr">
        <is>
          <t>7.10.2026</t>
        </is>
      </c>
      <c r="I3464" s="4" t="inlineStr">
        <is>
          <t>07:57</t>
        </is>
      </c>
      <c r="J3464" s="8" t="n">
        <v>10.5</v>
      </c>
      <c r="K3464" s="8" t="n">
        <v>7.5</v>
      </c>
      <c r="L3464" s="8" t="n">
        <v>3</v>
      </c>
      <c r="M3464" s="29" t="inlineStr">
        <is>
          <t>HALİL DİĞRENCİ</t>
        </is>
      </c>
    </row>
    <row r="3465">
      <c r="A3465" s="4" t="n">
        <v>3464</v>
      </c>
      <c r="B3465" s="4" t="inlineStr">
        <is>
          <t>01227</t>
        </is>
      </c>
      <c r="C3465" s="4" t="inlineStr">
        <is>
          <t>01227</t>
        </is>
      </c>
      <c r="D3465" s="29" t="inlineStr">
        <is>
          <t>SELMATA ANIK</t>
        </is>
      </c>
      <c r="E3465" s="4" t="inlineStr">
        <is>
          <t>Perşembe</t>
        </is>
      </c>
      <c r="F3465" s="4" t="inlineStr">
        <is>
          <t>8.10.2026</t>
        </is>
      </c>
      <c r="G3465" s="4" t="inlineStr">
        <is>
          <t>20:03</t>
        </is>
      </c>
      <c r="H3465" s="4" t="inlineStr">
        <is>
          <t>8.10.2026</t>
        </is>
      </c>
      <c r="I3465" s="4" t="inlineStr">
        <is>
          <t>07:56</t>
        </is>
      </c>
      <c r="J3465" s="8" t="n">
        <v>10.5</v>
      </c>
      <c r="K3465" s="8" t="n">
        <v>7.5</v>
      </c>
      <c r="L3465" s="8" t="n">
        <v>3</v>
      </c>
      <c r="M3465" s="29" t="inlineStr">
        <is>
          <t>HALİL DİĞRENCİ</t>
        </is>
      </c>
    </row>
    <row r="3466">
      <c r="A3466" s="4" t="n">
        <v>3465</v>
      </c>
      <c r="B3466" s="4" t="inlineStr">
        <is>
          <t>01227</t>
        </is>
      </c>
      <c r="C3466" s="4" t="inlineStr">
        <is>
          <t>01227</t>
        </is>
      </c>
      <c r="D3466" s="29" t="inlineStr">
        <is>
          <t>SELMATA ANIK</t>
        </is>
      </c>
      <c r="E3466" s="4" t="inlineStr">
        <is>
          <t>Cuma</t>
        </is>
      </c>
      <c r="F3466" s="4" t="inlineStr">
        <is>
          <t>9.10.2026</t>
        </is>
      </c>
      <c r="G3466" s="4" t="inlineStr">
        <is>
          <t>20:02</t>
        </is>
      </c>
      <c r="H3466" s="4" t="inlineStr">
        <is>
          <t>9.10.2026</t>
        </is>
      </c>
      <c r="I3466" s="4" t="inlineStr">
        <is>
          <t>07:50</t>
        </is>
      </c>
      <c r="J3466" s="8" t="n">
        <v>10.5</v>
      </c>
      <c r="K3466" s="8" t="n">
        <v>7.5</v>
      </c>
      <c r="L3466" s="8" t="n">
        <v>3</v>
      </c>
      <c r="M3466" s="29" t="inlineStr">
        <is>
          <t>HALİL DİĞRENCİ</t>
        </is>
      </c>
    </row>
    <row r="3467">
      <c r="A3467" s="4" t="n">
        <v>3466</v>
      </c>
      <c r="B3467" s="4" t="inlineStr">
        <is>
          <t>01227</t>
        </is>
      </c>
      <c r="C3467" s="4" t="inlineStr">
        <is>
          <t>01227</t>
        </is>
      </c>
      <c r="D3467" s="29" t="inlineStr">
        <is>
          <t>SELMATA ANIK</t>
        </is>
      </c>
      <c r="E3467" s="4" t="inlineStr">
        <is>
          <t>Cumartesi</t>
        </is>
      </c>
      <c r="F3467" s="4" t="inlineStr">
        <is>
          <t>10.10.2026</t>
        </is>
      </c>
      <c r="G3467" s="4" t="inlineStr">
        <is>
          <t>19:50</t>
        </is>
      </c>
      <c r="H3467" s="4" t="inlineStr">
        <is>
          <t>10.10.2026</t>
        </is>
      </c>
      <c r="I3467" s="4" t="inlineStr">
        <is>
          <t>07:53</t>
        </is>
      </c>
      <c r="J3467" s="8" t="n">
        <v>10.5</v>
      </c>
      <c r="K3467" s="8" t="n">
        <v>7.5</v>
      </c>
      <c r="L3467" s="8" t="n">
        <v>3</v>
      </c>
      <c r="M3467" s="29" t="inlineStr">
        <is>
          <t>HALİL DİĞRENCİ</t>
        </is>
      </c>
    </row>
    <row r="3468">
      <c r="A3468" s="4" t="n">
        <v>3467</v>
      </c>
      <c r="B3468" s="4" t="inlineStr">
        <is>
          <t>01227</t>
        </is>
      </c>
      <c r="C3468" s="4" t="inlineStr">
        <is>
          <t>01227</t>
        </is>
      </c>
      <c r="D3468" s="29" t="inlineStr">
        <is>
          <t>SELMATA ANIK</t>
        </is>
      </c>
      <c r="E3468" s="4" t="inlineStr">
        <is>
          <t>Pazartesi</t>
        </is>
      </c>
      <c r="F3468" s="4" t="inlineStr">
        <is>
          <t>12.10.2026</t>
        </is>
      </c>
      <c r="G3468" s="4" t="inlineStr">
        <is>
          <t>19:58</t>
        </is>
      </c>
      <c r="H3468" s="4" t="inlineStr">
        <is>
          <t>12.10.2026</t>
        </is>
      </c>
      <c r="I3468" s="4" t="inlineStr">
        <is>
          <t>07:52</t>
        </is>
      </c>
      <c r="J3468" s="8" t="n">
        <v>10.5</v>
      </c>
      <c r="K3468" s="8" t="n">
        <v>7.5</v>
      </c>
      <c r="L3468" s="8" t="n">
        <v>3</v>
      </c>
      <c r="M3468" s="29" t="inlineStr">
        <is>
          <t>HALİL DİĞRENCİ</t>
        </is>
      </c>
    </row>
    <row r="3469">
      <c r="A3469" s="4" t="n">
        <v>3468</v>
      </c>
      <c r="B3469" s="4" t="inlineStr">
        <is>
          <t>01227</t>
        </is>
      </c>
      <c r="C3469" s="4" t="inlineStr">
        <is>
          <t>01227</t>
        </is>
      </c>
      <c r="D3469" s="29" t="inlineStr">
        <is>
          <t>SELMATA ANIK</t>
        </is>
      </c>
      <c r="E3469" s="4" t="inlineStr">
        <is>
          <t>Salı</t>
        </is>
      </c>
      <c r="F3469" s="4" t="inlineStr">
        <is>
          <t>13.10.2026</t>
        </is>
      </c>
      <c r="G3469" s="4" t="inlineStr">
        <is>
          <t>19:52</t>
        </is>
      </c>
      <c r="H3469" s="4" t="inlineStr">
        <is>
          <t>13.10.2026</t>
        </is>
      </c>
      <c r="I3469" s="4" t="inlineStr">
        <is>
          <t>07:55</t>
        </is>
      </c>
      <c r="J3469" s="8" t="n">
        <v>10.5</v>
      </c>
      <c r="K3469" s="8" t="n">
        <v>7.5</v>
      </c>
      <c r="L3469" s="8" t="n">
        <v>3</v>
      </c>
      <c r="M3469" s="29" t="inlineStr">
        <is>
          <t>HALİL DİĞRENCİ</t>
        </is>
      </c>
    </row>
    <row r="3470">
      <c r="A3470" s="4" t="n">
        <v>3469</v>
      </c>
      <c r="B3470" s="4" t="inlineStr">
        <is>
          <t>01227</t>
        </is>
      </c>
      <c r="C3470" s="4" t="inlineStr">
        <is>
          <t>01227</t>
        </is>
      </c>
      <c r="D3470" s="29" t="inlineStr">
        <is>
          <t>SELMATA ANIK</t>
        </is>
      </c>
      <c r="E3470" s="4" t="inlineStr">
        <is>
          <t>Çarşamba</t>
        </is>
      </c>
      <c r="F3470" s="4" t="inlineStr">
        <is>
          <t>14.10.2026</t>
        </is>
      </c>
      <c r="G3470" s="4" t="inlineStr">
        <is>
          <t>20:05</t>
        </is>
      </c>
      <c r="H3470" s="4" t="inlineStr">
        <is>
          <t>14.10.2026</t>
        </is>
      </c>
      <c r="I3470" s="4" t="inlineStr">
        <is>
          <t>07:57</t>
        </is>
      </c>
      <c r="J3470" s="8" t="n">
        <v>10.5</v>
      </c>
      <c r="K3470" s="8" t="n">
        <v>7.5</v>
      </c>
      <c r="L3470" s="8" t="n">
        <v>3</v>
      </c>
      <c r="M3470" s="29" t="inlineStr">
        <is>
          <t>HALİL DİĞRENCİ</t>
        </is>
      </c>
    </row>
    <row r="3471">
      <c r="A3471" s="4" t="n">
        <v>3470</v>
      </c>
      <c r="B3471" s="4" t="inlineStr">
        <is>
          <t>01227</t>
        </is>
      </c>
      <c r="C3471" s="4" t="inlineStr">
        <is>
          <t>01227</t>
        </is>
      </c>
      <c r="D3471" s="29" t="inlineStr">
        <is>
          <t>SELMATA ANIK</t>
        </is>
      </c>
      <c r="E3471" s="4" t="inlineStr">
        <is>
          <t>Perşembe</t>
        </is>
      </c>
      <c r="F3471" s="4" t="inlineStr">
        <is>
          <t>15.10.2026</t>
        </is>
      </c>
      <c r="G3471" s="4" t="inlineStr">
        <is>
          <t>19:51</t>
        </is>
      </c>
      <c r="H3471" s="4" t="inlineStr">
        <is>
          <t>15.10.2026</t>
        </is>
      </c>
      <c r="I3471" s="4" t="inlineStr">
        <is>
          <t>07:53</t>
        </is>
      </c>
      <c r="J3471" s="8" t="n">
        <v>10.5</v>
      </c>
      <c r="K3471" s="8" t="n">
        <v>7.5</v>
      </c>
      <c r="L3471" s="8" t="n">
        <v>3</v>
      </c>
      <c r="M3471" s="29" t="inlineStr">
        <is>
          <t>HALİL DİĞRENCİ</t>
        </is>
      </c>
    </row>
    <row r="3472">
      <c r="A3472" s="4" t="n">
        <v>3471</v>
      </c>
      <c r="B3472" s="4" t="inlineStr">
        <is>
          <t>01227</t>
        </is>
      </c>
      <c r="C3472" s="4" t="inlineStr">
        <is>
          <t>01227</t>
        </is>
      </c>
      <c r="D3472" s="29" t="inlineStr">
        <is>
          <t>SELMATA ANIK</t>
        </is>
      </c>
      <c r="E3472" s="4" t="inlineStr">
        <is>
          <t>Pazartesi</t>
        </is>
      </c>
      <c r="F3472" s="4" t="inlineStr">
        <is>
          <t>19.10.2026</t>
        </is>
      </c>
      <c r="G3472" s="4" t="inlineStr">
        <is>
          <t>20:14</t>
        </is>
      </c>
      <c r="H3472" s="4" t="inlineStr">
        <is>
          <t>19.10.2026</t>
        </is>
      </c>
      <c r="I3472" s="4" t="inlineStr">
        <is>
          <t>07:54</t>
        </is>
      </c>
      <c r="J3472" s="8" t="n">
        <v>10.5</v>
      </c>
      <c r="K3472" s="8" t="n">
        <v>7.5</v>
      </c>
      <c r="L3472" s="8" t="n">
        <v>3</v>
      </c>
      <c r="M3472" s="29" t="inlineStr">
        <is>
          <t>HALİL DİĞRENCİ</t>
        </is>
      </c>
    </row>
    <row r="3473">
      <c r="A3473" s="4" t="n">
        <v>3472</v>
      </c>
      <c r="B3473" s="4" t="inlineStr">
        <is>
          <t>00724</t>
        </is>
      </c>
      <c r="C3473" s="4" t="inlineStr">
        <is>
          <t>00724</t>
        </is>
      </c>
      <c r="D3473" s="29" t="inlineStr">
        <is>
          <t>SEMANUR GÜLIŞIK</t>
        </is>
      </c>
      <c r="E3473" s="4" t="inlineStr">
        <is>
          <t>Perşembe</t>
        </is>
      </c>
      <c r="F3473" s="4" t="inlineStr">
        <is>
          <t>1.10.2026</t>
        </is>
      </c>
      <c r="G3473" s="4" t="inlineStr">
        <is>
          <t>07:44</t>
        </is>
      </c>
      <c r="H3473" s="4" t="inlineStr">
        <is>
          <t>1.10.2026</t>
        </is>
      </c>
      <c r="I3473" s="4" t="inlineStr">
        <is>
          <t>17:31</t>
        </is>
      </c>
      <c r="J3473" s="8" t="n">
        <v>8</v>
      </c>
      <c r="K3473" s="8" t="n">
        <v>7.5</v>
      </c>
      <c r="L3473" s="8" t="n">
        <v>0.5</v>
      </c>
      <c r="M3473" s="29" t="inlineStr">
        <is>
          <t>KARACABEY</t>
        </is>
      </c>
    </row>
    <row r="3474">
      <c r="A3474" s="4" t="n">
        <v>3473</v>
      </c>
      <c r="B3474" s="4" t="inlineStr">
        <is>
          <t>00724</t>
        </is>
      </c>
      <c r="C3474" s="4" t="inlineStr">
        <is>
          <t>00724</t>
        </is>
      </c>
      <c r="D3474" s="29" t="inlineStr">
        <is>
          <t>SEMANUR GÜLIŞIK</t>
        </is>
      </c>
      <c r="E3474" s="4" t="inlineStr">
        <is>
          <t>Cuma</t>
        </is>
      </c>
      <c r="F3474" s="4" t="inlineStr">
        <is>
          <t>2.10.2026</t>
        </is>
      </c>
      <c r="G3474" s="4" t="inlineStr">
        <is>
          <t>07:40</t>
        </is>
      </c>
      <c r="H3474" s="4" t="inlineStr">
        <is>
          <t>2.10.2026</t>
        </is>
      </c>
      <c r="I3474" s="4" t="inlineStr">
        <is>
          <t>17:56</t>
        </is>
      </c>
      <c r="J3474" s="8" t="n">
        <v>8.5</v>
      </c>
      <c r="K3474" s="8" t="n">
        <v>7.5</v>
      </c>
      <c r="L3474" s="8" t="n">
        <v>1</v>
      </c>
      <c r="M3474" s="29" t="inlineStr">
        <is>
          <t>KARACABEY</t>
        </is>
      </c>
    </row>
    <row r="3475">
      <c r="A3475" s="4" t="n">
        <v>3474</v>
      </c>
      <c r="B3475" s="4" t="inlineStr">
        <is>
          <t>00724</t>
        </is>
      </c>
      <c r="C3475" s="4" t="inlineStr">
        <is>
          <t>00724</t>
        </is>
      </c>
      <c r="D3475" s="29" t="inlineStr">
        <is>
          <t>SEMANUR GÜLIŞIK</t>
        </is>
      </c>
      <c r="E3475" s="4" t="inlineStr">
        <is>
          <t>Cumartesi</t>
        </is>
      </c>
      <c r="F3475" s="4" t="inlineStr">
        <is>
          <t>3.10.2026</t>
        </is>
      </c>
      <c r="G3475" s="4" t="inlineStr">
        <is>
          <t>07:42</t>
        </is>
      </c>
      <c r="H3475" s="4" t="inlineStr">
        <is>
          <t>3.10.2026</t>
        </is>
      </c>
      <c r="I3475" s="4" t="inlineStr">
        <is>
          <t>17:13</t>
        </is>
      </c>
      <c r="J3475" s="8" t="n">
        <v>7.5</v>
      </c>
      <c r="K3475" s="8" t="n">
        <v>7.5</v>
      </c>
      <c r="L3475" s="8" t="n">
        <v>0</v>
      </c>
      <c r="M3475" s="29" t="inlineStr">
        <is>
          <t>KARACABEY</t>
        </is>
      </c>
    </row>
    <row r="3476">
      <c r="A3476" s="4" t="n">
        <v>3475</v>
      </c>
      <c r="B3476" s="4" t="inlineStr">
        <is>
          <t>00724</t>
        </is>
      </c>
      <c r="C3476" s="4" t="inlineStr">
        <is>
          <t>00724</t>
        </is>
      </c>
      <c r="D3476" s="29" t="inlineStr">
        <is>
          <t>SEMANUR GÜLIŞIK</t>
        </is>
      </c>
      <c r="E3476" s="4" t="inlineStr">
        <is>
          <t>Pazartesi</t>
        </is>
      </c>
      <c r="F3476" s="4" t="inlineStr">
        <is>
          <t>5.10.2026</t>
        </is>
      </c>
      <c r="G3476" s="4" t="inlineStr">
        <is>
          <t>07:45</t>
        </is>
      </c>
      <c r="H3476" s="4" t="inlineStr">
        <is>
          <t>5.10.2026</t>
        </is>
      </c>
      <c r="I3476" s="4" t="inlineStr">
        <is>
          <t>17:01</t>
        </is>
      </c>
      <c r="J3476" s="8" t="n">
        <v>7.5</v>
      </c>
      <c r="K3476" s="8" t="n">
        <v>7.5</v>
      </c>
      <c r="L3476" s="8" t="n">
        <v>0</v>
      </c>
      <c r="M3476" s="29" t="inlineStr">
        <is>
          <t>KARACABEY</t>
        </is>
      </c>
    </row>
    <row r="3477">
      <c r="A3477" s="4" t="n">
        <v>3476</v>
      </c>
      <c r="B3477" s="4" t="inlineStr">
        <is>
          <t>00724</t>
        </is>
      </c>
      <c r="C3477" s="4" t="inlineStr">
        <is>
          <t>00724</t>
        </is>
      </c>
      <c r="D3477" s="29" t="inlineStr">
        <is>
          <t>SEMANUR GÜLIŞIK</t>
        </is>
      </c>
      <c r="E3477" s="4" t="inlineStr">
        <is>
          <t>Perşembe</t>
        </is>
      </c>
      <c r="F3477" s="4" t="inlineStr">
        <is>
          <t>8.10.2026</t>
        </is>
      </c>
      <c r="G3477" s="4" t="inlineStr">
        <is>
          <t>07:42</t>
        </is>
      </c>
      <c r="H3477" s="4" t="inlineStr">
        <is>
          <t>8.10.2026</t>
        </is>
      </c>
      <c r="I3477" s="4" t="inlineStr">
        <is>
          <t>17:30</t>
        </is>
      </c>
      <c r="J3477" s="8" t="n">
        <v>8</v>
      </c>
      <c r="K3477" s="8" t="n">
        <v>7.5</v>
      </c>
      <c r="L3477" s="8" t="n">
        <v>0.5</v>
      </c>
      <c r="M3477" s="29" t="inlineStr">
        <is>
          <t>KARACABEY</t>
        </is>
      </c>
    </row>
    <row r="3478">
      <c r="A3478" s="4" t="n">
        <v>3477</v>
      </c>
      <c r="B3478" s="4" t="inlineStr">
        <is>
          <t>00724</t>
        </is>
      </c>
      <c r="C3478" s="4" t="inlineStr">
        <is>
          <t>00724</t>
        </is>
      </c>
      <c r="D3478" s="29" t="inlineStr">
        <is>
          <t>SEMANUR GÜLIŞIK</t>
        </is>
      </c>
      <c r="E3478" s="4" t="inlineStr">
        <is>
          <t>Cuma</t>
        </is>
      </c>
      <c r="F3478" s="4" t="inlineStr">
        <is>
          <t>9.10.2026</t>
        </is>
      </c>
      <c r="G3478" s="4" t="inlineStr">
        <is>
          <t>07:39</t>
        </is>
      </c>
      <c r="H3478" s="4" t="inlineStr">
        <is>
          <t>9.10.2026</t>
        </is>
      </c>
      <c r="I3478" s="4" t="inlineStr">
        <is>
          <t>17:46</t>
        </is>
      </c>
      <c r="J3478" s="8" t="n">
        <v>8.5</v>
      </c>
      <c r="K3478" s="8" t="n">
        <v>7.5</v>
      </c>
      <c r="L3478" s="8" t="n">
        <v>1</v>
      </c>
      <c r="M3478" s="29" t="inlineStr">
        <is>
          <t>KARACABEY</t>
        </is>
      </c>
    </row>
    <row r="3479">
      <c r="A3479" s="4" t="n">
        <v>3478</v>
      </c>
      <c r="B3479" s="4" t="inlineStr">
        <is>
          <t>00724</t>
        </is>
      </c>
      <c r="C3479" s="4" t="inlineStr">
        <is>
          <t>00724</t>
        </is>
      </c>
      <c r="D3479" s="29" t="inlineStr">
        <is>
          <t>SEMANUR GÜLIŞIK</t>
        </is>
      </c>
      <c r="E3479" s="4" t="inlineStr">
        <is>
          <t>Cumartesi</t>
        </is>
      </c>
      <c r="F3479" s="4" t="inlineStr">
        <is>
          <t>10.10.2026</t>
        </is>
      </c>
      <c r="G3479" s="4" t="inlineStr">
        <is>
          <t>07:42</t>
        </is>
      </c>
      <c r="H3479" s="4" t="inlineStr">
        <is>
          <t>10.10.2026</t>
        </is>
      </c>
      <c r="I3479" s="4" t="inlineStr">
        <is>
          <t>18:11</t>
        </is>
      </c>
      <c r="J3479" s="8" t="n">
        <v>8.5</v>
      </c>
      <c r="K3479" s="8" t="n">
        <v>7.5</v>
      </c>
      <c r="L3479" s="8" t="n">
        <v>1</v>
      </c>
      <c r="M3479" s="29" t="inlineStr">
        <is>
          <t>KARACABEY</t>
        </is>
      </c>
    </row>
    <row r="3480">
      <c r="A3480" s="4" t="n">
        <v>3479</v>
      </c>
      <c r="B3480" s="4" t="inlineStr">
        <is>
          <t>00724</t>
        </is>
      </c>
      <c r="C3480" s="4" t="inlineStr">
        <is>
          <t>00724</t>
        </is>
      </c>
      <c r="D3480" s="29" t="inlineStr">
        <is>
          <t>SEMANUR GÜLIŞIK</t>
        </is>
      </c>
      <c r="E3480" s="4" t="inlineStr">
        <is>
          <t>Pazartesi</t>
        </is>
      </c>
      <c r="F3480" s="4" t="inlineStr">
        <is>
          <t>12.10.2026</t>
        </is>
      </c>
      <c r="G3480" s="4" t="inlineStr">
        <is>
          <t>07:41</t>
        </is>
      </c>
      <c r="H3480" s="4" t="inlineStr">
        <is>
          <t>12.10.2026</t>
        </is>
      </c>
      <c r="I3480" s="4" t="inlineStr">
        <is>
          <t>17:07</t>
        </is>
      </c>
      <c r="J3480" s="8" t="n">
        <v>7.5</v>
      </c>
      <c r="K3480" s="8" t="n">
        <v>7.5</v>
      </c>
      <c r="L3480" s="8" t="n">
        <v>0</v>
      </c>
      <c r="M3480" s="29" t="inlineStr">
        <is>
          <t>KARACABEY</t>
        </is>
      </c>
    </row>
    <row r="3481">
      <c r="A3481" s="4" t="n">
        <v>3480</v>
      </c>
      <c r="B3481" s="4" t="inlineStr">
        <is>
          <t>00724</t>
        </is>
      </c>
      <c r="C3481" s="4" t="inlineStr">
        <is>
          <t>00724</t>
        </is>
      </c>
      <c r="D3481" s="29" t="inlineStr">
        <is>
          <t>SEMANUR GÜLIŞIK</t>
        </is>
      </c>
      <c r="E3481" s="4" t="inlineStr">
        <is>
          <t>Salı</t>
        </is>
      </c>
      <c r="F3481" s="4" t="inlineStr">
        <is>
          <t>13.10.2026</t>
        </is>
      </c>
      <c r="G3481" s="4" t="inlineStr">
        <is>
          <t>07:42</t>
        </is>
      </c>
      <c r="H3481" s="4" t="inlineStr">
        <is>
          <t>13.10.2026</t>
        </is>
      </c>
      <c r="I3481" s="4" t="inlineStr">
        <is>
          <t>16:59</t>
        </is>
      </c>
      <c r="J3481" s="8" t="n">
        <v>7.5</v>
      </c>
      <c r="K3481" s="8" t="n">
        <v>7.5</v>
      </c>
      <c r="L3481" s="8" t="n">
        <v>0</v>
      </c>
      <c r="M3481" s="29" t="inlineStr">
        <is>
          <t>KARACABEY</t>
        </is>
      </c>
    </row>
    <row r="3482">
      <c r="A3482" s="4" t="n">
        <v>3481</v>
      </c>
      <c r="B3482" s="4" t="inlineStr">
        <is>
          <t>00724</t>
        </is>
      </c>
      <c r="C3482" s="4" t="inlineStr">
        <is>
          <t>00724</t>
        </is>
      </c>
      <c r="D3482" s="29" t="inlineStr">
        <is>
          <t>SEMANUR GÜLIŞIK</t>
        </is>
      </c>
      <c r="E3482" s="4" t="inlineStr">
        <is>
          <t>Çarşamba</t>
        </is>
      </c>
      <c r="F3482" s="4" t="inlineStr">
        <is>
          <t>14.10.2026</t>
        </is>
      </c>
      <c r="G3482" s="4" t="inlineStr">
        <is>
          <t>07:45</t>
        </is>
      </c>
      <c r="H3482" s="4" t="inlineStr">
        <is>
          <t>14.10.2026</t>
        </is>
      </c>
      <c r="I3482" s="4" t="inlineStr">
        <is>
          <t>18:03</t>
        </is>
      </c>
      <c r="J3482" s="8" t="n">
        <v>8.5</v>
      </c>
      <c r="K3482" s="8" t="n">
        <v>7.5</v>
      </c>
      <c r="L3482" s="8" t="n">
        <v>1</v>
      </c>
      <c r="M3482" s="29" t="inlineStr">
        <is>
          <t>KARACABEY</t>
        </is>
      </c>
    </row>
    <row r="3483">
      <c r="A3483" s="4" t="n">
        <v>3482</v>
      </c>
      <c r="B3483" s="4" t="inlineStr">
        <is>
          <t>00724</t>
        </is>
      </c>
      <c r="C3483" s="4" t="inlineStr">
        <is>
          <t>00724</t>
        </is>
      </c>
      <c r="D3483" s="29" t="inlineStr">
        <is>
          <t>SEMANUR GÜLIŞIK</t>
        </is>
      </c>
      <c r="E3483" s="4" t="inlineStr">
        <is>
          <t>Perşembe</t>
        </is>
      </c>
      <c r="F3483" s="4" t="inlineStr">
        <is>
          <t>15.10.2026</t>
        </is>
      </c>
      <c r="G3483" s="4" t="inlineStr">
        <is>
          <t>07:45</t>
        </is>
      </c>
      <c r="H3483" s="4" t="inlineStr">
        <is>
          <t>15.10.2026</t>
        </is>
      </c>
      <c r="I3483" s="4" t="inlineStr">
        <is>
          <t>17:01</t>
        </is>
      </c>
      <c r="J3483" s="8" t="n">
        <v>7.5</v>
      </c>
      <c r="K3483" s="8" t="n">
        <v>7.5</v>
      </c>
      <c r="L3483" s="8" t="n">
        <v>0</v>
      </c>
      <c r="M3483" s="29" t="inlineStr">
        <is>
          <t>KARACABEY</t>
        </is>
      </c>
    </row>
    <row r="3484">
      <c r="A3484" s="4" t="n">
        <v>3483</v>
      </c>
      <c r="B3484" s="4" t="inlineStr">
        <is>
          <t>00724</t>
        </is>
      </c>
      <c r="C3484" s="4" t="inlineStr">
        <is>
          <t>00724</t>
        </is>
      </c>
      <c r="D3484" s="29" t="inlineStr">
        <is>
          <t>SEMANUR GÜLIŞIK</t>
        </is>
      </c>
      <c r="E3484" s="4" t="inlineStr">
        <is>
          <t>Cuma</t>
        </is>
      </c>
      <c r="F3484" s="4" t="inlineStr">
        <is>
          <t>16.10.2026</t>
        </is>
      </c>
      <c r="G3484" s="4" t="inlineStr">
        <is>
          <t>07:40</t>
        </is>
      </c>
      <c r="H3484" s="4" t="inlineStr">
        <is>
          <t>16.10.2026</t>
        </is>
      </c>
      <c r="I3484" s="4" t="inlineStr">
        <is>
          <t>21:43</t>
        </is>
      </c>
      <c r="J3484" s="8" t="n">
        <v>12</v>
      </c>
      <c r="K3484" s="8" t="n">
        <v>7.5</v>
      </c>
      <c r="L3484" s="8" t="n">
        <v>4.5</v>
      </c>
      <c r="M3484" s="29" t="inlineStr">
        <is>
          <t>KARACABEY</t>
        </is>
      </c>
    </row>
    <row r="3485">
      <c r="A3485" s="4" t="n">
        <v>3484</v>
      </c>
      <c r="B3485" s="4" t="inlineStr">
        <is>
          <t>00724</t>
        </is>
      </c>
      <c r="C3485" s="4" t="inlineStr">
        <is>
          <t>00724</t>
        </is>
      </c>
      <c r="D3485" s="29" t="inlineStr">
        <is>
          <t>SEMANUR GÜLIŞIK</t>
        </is>
      </c>
      <c r="E3485" s="4" t="inlineStr">
        <is>
          <t>Cumartesi</t>
        </is>
      </c>
      <c r="F3485" s="4" t="inlineStr">
        <is>
          <t>17.10.2026</t>
        </is>
      </c>
      <c r="G3485" s="4" t="inlineStr">
        <is>
          <t>07:38</t>
        </is>
      </c>
      <c r="H3485" s="4" t="inlineStr">
        <is>
          <t>17.10.2026</t>
        </is>
      </c>
      <c r="I3485" s="4" t="inlineStr">
        <is>
          <t>16:52</t>
        </is>
      </c>
      <c r="J3485" s="8" t="n">
        <v>7.5</v>
      </c>
      <c r="K3485" s="8" t="n">
        <v>7.5</v>
      </c>
      <c r="L3485" s="8" t="n">
        <v>0</v>
      </c>
      <c r="M3485" s="29" t="inlineStr">
        <is>
          <t>KARACABEY</t>
        </is>
      </c>
    </row>
    <row r="3486">
      <c r="A3486" s="4" t="n">
        <v>3485</v>
      </c>
      <c r="B3486" s="4" t="inlineStr">
        <is>
          <t>00724</t>
        </is>
      </c>
      <c r="C3486" s="4" t="inlineStr">
        <is>
          <t>00724</t>
        </is>
      </c>
      <c r="D3486" s="29" t="inlineStr">
        <is>
          <t>SEMANUR GÜLIŞIK</t>
        </is>
      </c>
      <c r="E3486" s="4" t="inlineStr">
        <is>
          <t>Pazartesi</t>
        </is>
      </c>
      <c r="F3486" s="4" t="inlineStr">
        <is>
          <t>19.10.2026</t>
        </is>
      </c>
      <c r="G3486" s="4" t="inlineStr">
        <is>
          <t>07:47</t>
        </is>
      </c>
      <c r="H3486" s="4" t="inlineStr">
        <is>
          <t>19.10.2026</t>
        </is>
      </c>
      <c r="I3486" s="4" t="inlineStr">
        <is>
          <t>17:46</t>
        </is>
      </c>
      <c r="J3486" s="8" t="n">
        <v>8.5</v>
      </c>
      <c r="K3486" s="8" t="n">
        <v>7.5</v>
      </c>
      <c r="L3486" s="8" t="n">
        <v>1</v>
      </c>
      <c r="M3486" s="29" t="inlineStr">
        <is>
          <t>KARACABEY</t>
        </is>
      </c>
    </row>
    <row r="3487">
      <c r="A3487" s="4" t="n">
        <v>3486</v>
      </c>
      <c r="B3487" s="4" t="inlineStr">
        <is>
          <t>00724</t>
        </is>
      </c>
      <c r="C3487" s="4" t="inlineStr">
        <is>
          <t>00724</t>
        </is>
      </c>
      <c r="D3487" s="29" t="inlineStr">
        <is>
          <t>SEMANUR GÜLIŞIK</t>
        </is>
      </c>
      <c r="E3487" s="4" t="inlineStr">
        <is>
          <t>Salı</t>
        </is>
      </c>
      <c r="F3487" s="4" t="inlineStr">
        <is>
          <t>20.10.2026</t>
        </is>
      </c>
      <c r="G3487" s="4" t="inlineStr">
        <is>
          <t>07:50</t>
        </is>
      </c>
      <c r="H3487" s="4" t="inlineStr">
        <is>
          <t>20.10.2026</t>
        </is>
      </c>
      <c r="I3487" s="4" t="inlineStr">
        <is>
          <t>17:01</t>
        </is>
      </c>
      <c r="J3487" s="8" t="n">
        <v>7.5</v>
      </c>
      <c r="K3487" s="8" t="n">
        <v>7.5</v>
      </c>
      <c r="L3487" s="8" t="n">
        <v>0</v>
      </c>
      <c r="M3487" s="29" t="inlineStr">
        <is>
          <t>KARACABEY</t>
        </is>
      </c>
    </row>
    <row r="3488">
      <c r="A3488" s="4" t="n">
        <v>3487</v>
      </c>
      <c r="B3488" s="4" t="inlineStr">
        <is>
          <t>00724</t>
        </is>
      </c>
      <c r="C3488" s="4" t="inlineStr">
        <is>
          <t>00724</t>
        </is>
      </c>
      <c r="D3488" s="29" t="inlineStr">
        <is>
          <t>SEMANUR GÜLIŞIK</t>
        </is>
      </c>
      <c r="E3488" s="4" t="inlineStr">
        <is>
          <t>Çarşamba</t>
        </is>
      </c>
      <c r="F3488" s="4" t="inlineStr">
        <is>
          <t>21.10.2026</t>
        </is>
      </c>
      <c r="G3488" s="4" t="inlineStr">
        <is>
          <t>07:44</t>
        </is>
      </c>
      <c r="H3488" s="4" t="inlineStr">
        <is>
          <t>21.10.2026</t>
        </is>
      </c>
      <c r="I3488" s="4" t="inlineStr">
        <is>
          <t>17:25</t>
        </is>
      </c>
      <c r="J3488" s="8" t="n">
        <v>8</v>
      </c>
      <c r="K3488" s="8" t="n">
        <v>7.5</v>
      </c>
      <c r="L3488" s="8" t="n">
        <v>0.5</v>
      </c>
      <c r="M3488" s="29" t="inlineStr">
        <is>
          <t>KARACABEY</t>
        </is>
      </c>
    </row>
    <row r="3489">
      <c r="A3489" s="4" t="n">
        <v>3488</v>
      </c>
      <c r="B3489" s="4" t="inlineStr">
        <is>
          <t>00979</t>
        </is>
      </c>
      <c r="C3489" s="4" t="inlineStr">
        <is>
          <t>00979</t>
        </is>
      </c>
      <c r="D3489" s="29" t="inlineStr">
        <is>
          <t>SEMRA KARAGÖZ</t>
        </is>
      </c>
      <c r="E3489" s="4" t="inlineStr">
        <is>
          <t>Salı</t>
        </is>
      </c>
      <c r="F3489" s="4" t="inlineStr">
        <is>
          <t>6.10.2026</t>
        </is>
      </c>
      <c r="G3489" s="4" t="inlineStr">
        <is>
          <t>17:05</t>
        </is>
      </c>
      <c r="H3489" s="4" t="inlineStr">
        <is>
          <t>6.10.2026</t>
        </is>
      </c>
      <c r="I3489" s="4" t="inlineStr">
        <is>
          <t>17:06</t>
        </is>
      </c>
      <c r="J3489" s="8" t="n">
        <v>7.5</v>
      </c>
      <c r="K3489" s="8" t="n">
        <v>7.5</v>
      </c>
      <c r="L3489" s="8" t="n">
        <v>0</v>
      </c>
      <c r="M3489" s="29" t="inlineStr">
        <is>
          <t>GÜVEN TURİZM</t>
        </is>
      </c>
    </row>
    <row r="3490">
      <c r="A3490" s="4" t="n">
        <v>3489</v>
      </c>
      <c r="B3490" s="4" t="inlineStr">
        <is>
          <t>00979</t>
        </is>
      </c>
      <c r="C3490" s="4" t="inlineStr">
        <is>
          <t>00979</t>
        </is>
      </c>
      <c r="D3490" s="29" t="inlineStr">
        <is>
          <t>SEMRA KARAGÖZ</t>
        </is>
      </c>
      <c r="E3490" s="4" t="inlineStr">
        <is>
          <t>Perşembe</t>
        </is>
      </c>
      <c r="F3490" s="4" t="inlineStr">
        <is>
          <t>8.10.2026</t>
        </is>
      </c>
      <c r="G3490" s="4" t="inlineStr">
        <is>
          <t>07:43</t>
        </is>
      </c>
      <c r="H3490" s="4" t="inlineStr">
        <is>
          <t>8.10.2026</t>
        </is>
      </c>
      <c r="I3490" s="4" t="inlineStr">
        <is>
          <t>17:09</t>
        </is>
      </c>
      <c r="J3490" s="8" t="n">
        <v>7.5</v>
      </c>
      <c r="K3490" s="8" t="n">
        <v>7.5</v>
      </c>
      <c r="L3490" s="8" t="n">
        <v>0</v>
      </c>
      <c r="M3490" s="29" t="inlineStr">
        <is>
          <t>GÜVEN TURİZM</t>
        </is>
      </c>
    </row>
    <row r="3491">
      <c r="A3491" s="4" t="n">
        <v>3490</v>
      </c>
      <c r="B3491" s="4" t="inlineStr">
        <is>
          <t>01454</t>
        </is>
      </c>
      <c r="C3491" s="4" t="inlineStr">
        <is>
          <t>01454</t>
        </is>
      </c>
      <c r="D3491" s="29" t="inlineStr">
        <is>
          <t>SEMRA DUMRUL</t>
        </is>
      </c>
      <c r="E3491" s="4" t="inlineStr">
        <is>
          <t>Cuma</t>
        </is>
      </c>
      <c r="F3491" s="4" t="inlineStr">
        <is>
          <t>2.10.2026</t>
        </is>
      </c>
      <c r="G3491" s="4" t="inlineStr">
        <is>
          <t>20:19</t>
        </is>
      </c>
      <c r="H3491" s="4" t="inlineStr">
        <is>
          <t>2.10.2026</t>
        </is>
      </c>
      <c r="I3491" s="4" t="inlineStr">
        <is>
          <t>07:53</t>
        </is>
      </c>
      <c r="J3491" s="8" t="n">
        <v>10.5</v>
      </c>
      <c r="K3491" s="8" t="n">
        <v>7.5</v>
      </c>
      <c r="L3491" s="8" t="n">
        <v>3</v>
      </c>
      <c r="M3491" s="29" t="inlineStr">
        <is>
          <t>HALİL DİĞRENCİ</t>
        </is>
      </c>
    </row>
    <row r="3492">
      <c r="A3492" s="4" t="n">
        <v>3491</v>
      </c>
      <c r="B3492" s="4" t="inlineStr">
        <is>
          <t>01454</t>
        </is>
      </c>
      <c r="C3492" s="4" t="inlineStr">
        <is>
          <t>01454</t>
        </is>
      </c>
      <c r="D3492" s="29" t="inlineStr">
        <is>
          <t>SEMRA DUMRUL</t>
        </is>
      </c>
      <c r="E3492" s="4" t="inlineStr">
        <is>
          <t>Cumartesi</t>
        </is>
      </c>
      <c r="F3492" s="4" t="inlineStr">
        <is>
          <t>3.10.2026</t>
        </is>
      </c>
      <c r="G3492" s="4" t="inlineStr">
        <is>
          <t>19:54</t>
        </is>
      </c>
      <c r="H3492" s="4" t="inlineStr">
        <is>
          <t>3.10.2026</t>
        </is>
      </c>
      <c r="I3492" s="4" t="inlineStr">
        <is>
          <t>07:54</t>
        </is>
      </c>
      <c r="J3492" s="8" t="n">
        <v>10.5</v>
      </c>
      <c r="K3492" s="8" t="n">
        <v>7.5</v>
      </c>
      <c r="L3492" s="8" t="n">
        <v>3</v>
      </c>
      <c r="M3492" s="29" t="inlineStr">
        <is>
          <t>HALİL DİĞRENCİ</t>
        </is>
      </c>
    </row>
    <row r="3493">
      <c r="A3493" s="4" t="n">
        <v>3492</v>
      </c>
      <c r="B3493" s="4" t="inlineStr">
        <is>
          <t>01454</t>
        </is>
      </c>
      <c r="C3493" s="4" t="inlineStr">
        <is>
          <t>01454</t>
        </is>
      </c>
      <c r="D3493" s="29" t="inlineStr">
        <is>
          <t>SEMRA DUMRUL</t>
        </is>
      </c>
      <c r="E3493" s="4" t="inlineStr">
        <is>
          <t>Pazartesi</t>
        </is>
      </c>
      <c r="F3493" s="4" t="inlineStr">
        <is>
          <t>5.10.2026</t>
        </is>
      </c>
      <c r="G3493" s="4" t="inlineStr">
        <is>
          <t>19:58</t>
        </is>
      </c>
      <c r="H3493" s="4" t="inlineStr">
        <is>
          <t>5.10.2026</t>
        </is>
      </c>
      <c r="I3493" s="4" t="inlineStr">
        <is>
          <t>07:51</t>
        </is>
      </c>
      <c r="J3493" s="8" t="n">
        <v>10.5</v>
      </c>
      <c r="K3493" s="8" t="n">
        <v>7.5</v>
      </c>
      <c r="L3493" s="8" t="n">
        <v>3</v>
      </c>
      <c r="M3493" s="29" t="inlineStr">
        <is>
          <t>HALİL DİĞRENCİ</t>
        </is>
      </c>
    </row>
    <row r="3494">
      <c r="A3494" s="4" t="n">
        <v>3493</v>
      </c>
      <c r="B3494" s="4" t="inlineStr">
        <is>
          <t>01454</t>
        </is>
      </c>
      <c r="C3494" s="4" t="inlineStr">
        <is>
          <t>01454</t>
        </is>
      </c>
      <c r="D3494" s="29" t="inlineStr">
        <is>
          <t>SEMRA DUMRUL</t>
        </is>
      </c>
      <c r="E3494" s="4" t="inlineStr">
        <is>
          <t>Salı</t>
        </is>
      </c>
      <c r="F3494" s="4" t="inlineStr">
        <is>
          <t>6.10.2026</t>
        </is>
      </c>
      <c r="G3494" s="4" t="inlineStr">
        <is>
          <t>19:49</t>
        </is>
      </c>
      <c r="H3494" s="4" t="inlineStr">
        <is>
          <t>6.10.2026</t>
        </is>
      </c>
      <c r="I3494" s="4" t="inlineStr">
        <is>
          <t>08:02</t>
        </is>
      </c>
      <c r="J3494" s="8" t="n">
        <v>10.5</v>
      </c>
      <c r="K3494" s="8" t="n">
        <v>7.5</v>
      </c>
      <c r="L3494" s="8" t="n">
        <v>3</v>
      </c>
      <c r="M3494" s="29" t="inlineStr">
        <is>
          <t>HALİL DİĞRENCİ</t>
        </is>
      </c>
    </row>
    <row r="3495">
      <c r="A3495" s="4" t="n">
        <v>3494</v>
      </c>
      <c r="B3495" s="4" t="inlineStr">
        <is>
          <t>01454</t>
        </is>
      </c>
      <c r="C3495" s="4" t="inlineStr">
        <is>
          <t>01454</t>
        </is>
      </c>
      <c r="D3495" s="29" t="inlineStr">
        <is>
          <t>SEMRA DUMRUL</t>
        </is>
      </c>
      <c r="E3495" s="4" t="inlineStr">
        <is>
          <t>Çarşamba</t>
        </is>
      </c>
      <c r="F3495" s="4" t="inlineStr">
        <is>
          <t>7.10.2026</t>
        </is>
      </c>
      <c r="G3495" s="4" t="inlineStr">
        <is>
          <t>19:58</t>
        </is>
      </c>
      <c r="H3495" s="4" t="inlineStr">
        <is>
          <t>7.10.2026</t>
        </is>
      </c>
      <c r="I3495" s="4" t="inlineStr">
        <is>
          <t>07:56</t>
        </is>
      </c>
      <c r="J3495" s="8" t="n">
        <v>10.5</v>
      </c>
      <c r="K3495" s="8" t="n">
        <v>7.5</v>
      </c>
      <c r="L3495" s="8" t="n">
        <v>3</v>
      </c>
      <c r="M3495" s="29" t="inlineStr">
        <is>
          <t>HALİL DİĞRENCİ</t>
        </is>
      </c>
    </row>
    <row r="3496">
      <c r="A3496" s="4" t="n">
        <v>3495</v>
      </c>
      <c r="B3496" s="4" t="inlineStr">
        <is>
          <t>01454</t>
        </is>
      </c>
      <c r="C3496" s="4" t="inlineStr">
        <is>
          <t>01454</t>
        </is>
      </c>
      <c r="D3496" s="29" t="inlineStr">
        <is>
          <t>SEMRA DUMRUL</t>
        </is>
      </c>
      <c r="E3496" s="4" t="inlineStr">
        <is>
          <t>Perşembe</t>
        </is>
      </c>
      <c r="F3496" s="4" t="inlineStr">
        <is>
          <t>8.10.2026</t>
        </is>
      </c>
      <c r="G3496" s="4" t="inlineStr">
        <is>
          <t>19:59</t>
        </is>
      </c>
      <c r="H3496" s="4" t="inlineStr">
        <is>
          <t>8.10.2026</t>
        </is>
      </c>
      <c r="I3496" s="4" t="inlineStr">
        <is>
          <t>07:58</t>
        </is>
      </c>
      <c r="J3496" s="8" t="n">
        <v>10.5</v>
      </c>
      <c r="K3496" s="8" t="n">
        <v>7.5</v>
      </c>
      <c r="L3496" s="8" t="n">
        <v>3</v>
      </c>
      <c r="M3496" s="29" t="inlineStr">
        <is>
          <t>HALİL DİĞRENCİ</t>
        </is>
      </c>
    </row>
    <row r="3497">
      <c r="A3497" s="4" t="n">
        <v>3496</v>
      </c>
      <c r="B3497" s="4" t="inlineStr">
        <is>
          <t>01454</t>
        </is>
      </c>
      <c r="C3497" s="4" t="inlineStr">
        <is>
          <t>01454</t>
        </is>
      </c>
      <c r="D3497" s="29" t="inlineStr">
        <is>
          <t>SEMRA DUMRUL</t>
        </is>
      </c>
      <c r="E3497" s="4" t="inlineStr">
        <is>
          <t>Cuma</t>
        </is>
      </c>
      <c r="F3497" s="4" t="inlineStr">
        <is>
          <t>9.10.2026</t>
        </is>
      </c>
      <c r="G3497" s="4" t="inlineStr">
        <is>
          <t>20:03</t>
        </is>
      </c>
      <c r="H3497" s="4" t="inlineStr">
        <is>
          <t>9.10.2026</t>
        </is>
      </c>
      <c r="I3497" s="4" t="inlineStr">
        <is>
          <t>07:58</t>
        </is>
      </c>
      <c r="J3497" s="8" t="n">
        <v>10.5</v>
      </c>
      <c r="K3497" s="8" t="n">
        <v>7.5</v>
      </c>
      <c r="L3497" s="8" t="n">
        <v>3</v>
      </c>
      <c r="M3497" s="29" t="inlineStr">
        <is>
          <t>HALİL DİĞRENCİ</t>
        </is>
      </c>
    </row>
    <row r="3498">
      <c r="A3498" s="4" t="n">
        <v>3497</v>
      </c>
      <c r="B3498" s="4" t="inlineStr">
        <is>
          <t>01454</t>
        </is>
      </c>
      <c r="C3498" s="4" t="inlineStr">
        <is>
          <t>01454</t>
        </is>
      </c>
      <c r="D3498" s="29" t="inlineStr">
        <is>
          <t>SEMRA DUMRUL</t>
        </is>
      </c>
      <c r="E3498" s="4" t="inlineStr">
        <is>
          <t>Cumartesi</t>
        </is>
      </c>
      <c r="F3498" s="4" t="inlineStr">
        <is>
          <t>10.10.2026</t>
        </is>
      </c>
      <c r="G3498" s="4" t="inlineStr">
        <is>
          <t>20:12</t>
        </is>
      </c>
      <c r="H3498" s="4" t="inlineStr">
        <is>
          <t>10.10.2026</t>
        </is>
      </c>
      <c r="I3498" s="4" t="inlineStr">
        <is>
          <t>08:03</t>
        </is>
      </c>
      <c r="J3498" s="8" t="n">
        <v>10.5</v>
      </c>
      <c r="K3498" s="8" t="n">
        <v>7.5</v>
      </c>
      <c r="L3498" s="8" t="n">
        <v>3</v>
      </c>
      <c r="M3498" s="29" t="inlineStr">
        <is>
          <t>HALİL DİĞRENCİ</t>
        </is>
      </c>
    </row>
    <row r="3499">
      <c r="A3499" s="4" t="n">
        <v>3498</v>
      </c>
      <c r="B3499" s="4" t="inlineStr">
        <is>
          <t>01454</t>
        </is>
      </c>
      <c r="C3499" s="4" t="inlineStr">
        <is>
          <t>01454</t>
        </is>
      </c>
      <c r="D3499" s="29" t="inlineStr">
        <is>
          <t>SEMRA DUMRUL</t>
        </is>
      </c>
      <c r="E3499" s="4" t="inlineStr">
        <is>
          <t>Pazar</t>
        </is>
      </c>
      <c r="F3499" s="4" t="inlineStr">
        <is>
          <t>11.10.2026</t>
        </is>
      </c>
      <c r="G3499" s="4" t="inlineStr">
        <is>
          <t>20:17</t>
        </is>
      </c>
      <c r="H3499" s="4" t="inlineStr">
        <is>
          <t>11.10.2026</t>
        </is>
      </c>
      <c r="I3499" s="4" t="inlineStr">
        <is>
          <t>08:00</t>
        </is>
      </c>
      <c r="J3499" s="8" t="n">
        <v>10.5</v>
      </c>
      <c r="K3499" s="8" t="n">
        <v>7.5</v>
      </c>
      <c r="L3499" s="8" t="n">
        <v>3</v>
      </c>
      <c r="M3499" s="29" t="inlineStr">
        <is>
          <t>HALİL DİĞRENCİ</t>
        </is>
      </c>
    </row>
    <row r="3500">
      <c r="A3500" s="4" t="n">
        <v>3499</v>
      </c>
      <c r="B3500" s="4" t="inlineStr">
        <is>
          <t>01454</t>
        </is>
      </c>
      <c r="C3500" s="4" t="inlineStr">
        <is>
          <t>01454</t>
        </is>
      </c>
      <c r="D3500" s="29" t="inlineStr">
        <is>
          <t>SEMRA DUMRUL</t>
        </is>
      </c>
      <c r="E3500" s="4" t="inlineStr">
        <is>
          <t>Salı</t>
        </is>
      </c>
      <c r="F3500" s="4" t="inlineStr">
        <is>
          <t>13.10.2026</t>
        </is>
      </c>
      <c r="G3500" s="4" t="inlineStr">
        <is>
          <t>19:59</t>
        </is>
      </c>
      <c r="H3500" s="4" t="inlineStr">
        <is>
          <t>13.10.2026</t>
        </is>
      </c>
      <c r="I3500" s="4" t="inlineStr">
        <is>
          <t>07:56</t>
        </is>
      </c>
      <c r="J3500" s="8" t="n">
        <v>10.5</v>
      </c>
      <c r="K3500" s="8" t="n">
        <v>7.5</v>
      </c>
      <c r="L3500" s="8" t="n">
        <v>3</v>
      </c>
      <c r="M3500" s="29" t="inlineStr">
        <is>
          <t>HALİL DİĞRENCİ</t>
        </is>
      </c>
    </row>
    <row r="3501">
      <c r="A3501" s="4" t="n">
        <v>3500</v>
      </c>
      <c r="B3501" s="4" t="inlineStr">
        <is>
          <t>01454</t>
        </is>
      </c>
      <c r="C3501" s="4" t="inlineStr">
        <is>
          <t>01454</t>
        </is>
      </c>
      <c r="D3501" s="29" t="inlineStr">
        <is>
          <t>SEMRA DUMRUL</t>
        </is>
      </c>
      <c r="E3501" s="4" t="inlineStr">
        <is>
          <t>Çarşamba</t>
        </is>
      </c>
      <c r="F3501" s="4" t="inlineStr">
        <is>
          <t>14.10.2026</t>
        </is>
      </c>
      <c r="G3501" s="4" t="inlineStr">
        <is>
          <t>20:17</t>
        </is>
      </c>
      <c r="H3501" s="4" t="inlineStr">
        <is>
          <t>14.10.2026</t>
        </is>
      </c>
      <c r="I3501" s="4" t="inlineStr">
        <is>
          <t>07:59</t>
        </is>
      </c>
      <c r="J3501" s="8" t="n">
        <v>10.5</v>
      </c>
      <c r="K3501" s="8" t="n">
        <v>7.5</v>
      </c>
      <c r="L3501" s="8" t="n">
        <v>3</v>
      </c>
      <c r="M3501" s="29" t="inlineStr">
        <is>
          <t>HALİL DİĞRENCİ</t>
        </is>
      </c>
    </row>
    <row r="3502">
      <c r="A3502" s="4" t="n">
        <v>3501</v>
      </c>
      <c r="B3502" s="4" t="inlineStr">
        <is>
          <t>01454</t>
        </is>
      </c>
      <c r="C3502" s="4" t="inlineStr">
        <is>
          <t>01454</t>
        </is>
      </c>
      <c r="D3502" s="29" t="inlineStr">
        <is>
          <t>SEMRA DUMRUL</t>
        </is>
      </c>
      <c r="E3502" s="4" t="inlineStr">
        <is>
          <t>Pazar</t>
        </is>
      </c>
      <c r="F3502" s="4" t="inlineStr">
        <is>
          <t>18.10.2026</t>
        </is>
      </c>
      <c r="G3502" s="4" t="inlineStr">
        <is>
          <t>08:17</t>
        </is>
      </c>
      <c r="H3502" s="4" t="inlineStr">
        <is>
          <t>18.10.2026</t>
        </is>
      </c>
      <c r="I3502" s="4" t="inlineStr">
        <is>
          <t>19:58</t>
        </is>
      </c>
      <c r="J3502" s="8" t="n">
        <v>10.5</v>
      </c>
      <c r="K3502" s="8" t="n">
        <v>7.5</v>
      </c>
      <c r="L3502" s="8" t="n">
        <v>3</v>
      </c>
      <c r="M3502" s="29" t="inlineStr">
        <is>
          <t>HALİL DİĞRENCİ</t>
        </is>
      </c>
    </row>
    <row r="3503">
      <c r="A3503" s="4" t="n">
        <v>3502</v>
      </c>
      <c r="B3503" s="4" t="inlineStr">
        <is>
          <t>01454</t>
        </is>
      </c>
      <c r="C3503" s="4" t="inlineStr">
        <is>
          <t>01454</t>
        </is>
      </c>
      <c r="D3503" s="29" t="inlineStr">
        <is>
          <t>SEMRA DUMRUL</t>
        </is>
      </c>
      <c r="E3503" s="4" t="inlineStr">
        <is>
          <t>Pazartesi</t>
        </is>
      </c>
      <c r="F3503" s="4" t="inlineStr">
        <is>
          <t>19.10.2026</t>
        </is>
      </c>
      <c r="G3503" s="4" t="inlineStr">
        <is>
          <t>19:42</t>
        </is>
      </c>
      <c r="H3503" s="4" t="inlineStr">
        <is>
          <t>19.10.2026</t>
        </is>
      </c>
      <c r="I3503" s="4" t="inlineStr">
        <is>
          <t>07:52</t>
        </is>
      </c>
      <c r="J3503" s="8" t="n">
        <v>10.5</v>
      </c>
      <c r="K3503" s="8" t="n">
        <v>7.5</v>
      </c>
      <c r="L3503" s="8" t="n">
        <v>3</v>
      </c>
      <c r="M3503" s="29" t="inlineStr">
        <is>
          <t>HALİL DİĞRENCİ</t>
        </is>
      </c>
    </row>
    <row r="3504">
      <c r="A3504" s="4" t="n">
        <v>3503</v>
      </c>
      <c r="B3504" s="4" t="inlineStr">
        <is>
          <t>01007</t>
        </is>
      </c>
      <c r="C3504" s="4" t="inlineStr">
        <is>
          <t>01007</t>
        </is>
      </c>
      <c r="D3504" s="29" t="inlineStr">
        <is>
          <t>SEREN BURHAN</t>
        </is>
      </c>
      <c r="E3504" s="4" t="inlineStr">
        <is>
          <t>Perşembe</t>
        </is>
      </c>
      <c r="F3504" s="4" t="inlineStr">
        <is>
          <t>1.10.2026</t>
        </is>
      </c>
      <c r="G3504" s="4" t="inlineStr">
        <is>
          <t>08:06</t>
        </is>
      </c>
      <c r="H3504" s="4" t="inlineStr">
        <is>
          <t>1.10.2026</t>
        </is>
      </c>
      <c r="I3504" s="4" t="inlineStr">
        <is>
          <t>17:34</t>
        </is>
      </c>
      <c r="J3504" s="8" t="n">
        <v>8</v>
      </c>
      <c r="K3504" s="8" t="n">
        <v>7.5</v>
      </c>
      <c r="L3504" s="8" t="n">
        <v>0.5</v>
      </c>
      <c r="M3504" s="29" t="inlineStr">
        <is>
          <t>GÜVEN MUSTAFAKEMALPAŞA</t>
        </is>
      </c>
    </row>
    <row r="3505">
      <c r="A3505" s="4" t="n">
        <v>3504</v>
      </c>
      <c r="B3505" s="4" t="inlineStr">
        <is>
          <t>01007</t>
        </is>
      </c>
      <c r="C3505" s="4" t="inlineStr">
        <is>
          <t>01007</t>
        </is>
      </c>
      <c r="D3505" s="29" t="inlineStr">
        <is>
          <t>SEREN BURHAN</t>
        </is>
      </c>
      <c r="E3505" s="4" t="inlineStr">
        <is>
          <t>Cuma</t>
        </is>
      </c>
      <c r="F3505" s="4" t="inlineStr">
        <is>
          <t>2.10.2026</t>
        </is>
      </c>
      <c r="G3505" s="4" t="inlineStr">
        <is>
          <t>07:57</t>
        </is>
      </c>
      <c r="H3505" s="4" t="inlineStr">
        <is>
          <t>2.10.2026</t>
        </is>
      </c>
      <c r="I3505" s="4" t="inlineStr">
        <is>
          <t>17:54</t>
        </is>
      </c>
      <c r="J3505" s="8" t="n">
        <v>8.5</v>
      </c>
      <c r="K3505" s="8" t="n">
        <v>7.5</v>
      </c>
      <c r="L3505" s="8" t="n">
        <v>1</v>
      </c>
      <c r="M3505" s="29" t="inlineStr">
        <is>
          <t>GÜVEN MUSTAFAKEMALPAŞA</t>
        </is>
      </c>
    </row>
    <row r="3506">
      <c r="A3506" s="4" t="n">
        <v>3505</v>
      </c>
      <c r="B3506" s="4" t="inlineStr">
        <is>
          <t>01007</t>
        </is>
      </c>
      <c r="C3506" s="4" t="inlineStr">
        <is>
          <t>01007</t>
        </is>
      </c>
      <c r="D3506" s="29" t="inlineStr">
        <is>
          <t>SEREN BURHAN</t>
        </is>
      </c>
      <c r="E3506" s="4" t="inlineStr">
        <is>
          <t>Cumartesi</t>
        </is>
      </c>
      <c r="F3506" s="4" t="inlineStr">
        <is>
          <t>3.10.2026</t>
        </is>
      </c>
      <c r="G3506" s="4" t="inlineStr">
        <is>
          <t>07:50</t>
        </is>
      </c>
      <c r="H3506" s="4" t="inlineStr">
        <is>
          <t>3.10.2026</t>
        </is>
      </c>
      <c r="I3506" s="4" t="inlineStr">
        <is>
          <t>17:44</t>
        </is>
      </c>
      <c r="J3506" s="8" t="n">
        <v>8</v>
      </c>
      <c r="K3506" s="8" t="n">
        <v>7.5</v>
      </c>
      <c r="L3506" s="8" t="n">
        <v>0.5</v>
      </c>
      <c r="M3506" s="29" t="inlineStr">
        <is>
          <t>GÜVEN MUSTAFAKEMALPAŞA</t>
        </is>
      </c>
    </row>
    <row r="3507">
      <c r="A3507" s="4" t="n">
        <v>3506</v>
      </c>
      <c r="B3507" s="4" t="inlineStr">
        <is>
          <t>01007</t>
        </is>
      </c>
      <c r="C3507" s="4" t="inlineStr">
        <is>
          <t>01007</t>
        </is>
      </c>
      <c r="D3507" s="29" t="inlineStr">
        <is>
          <t>SEREN BURHAN</t>
        </is>
      </c>
      <c r="E3507" s="4" t="inlineStr">
        <is>
          <t>Pazartesi</t>
        </is>
      </c>
      <c r="F3507" s="4" t="inlineStr">
        <is>
          <t>5.10.2026</t>
        </is>
      </c>
      <c r="G3507" s="4" t="inlineStr">
        <is>
          <t>07:50</t>
        </is>
      </c>
      <c r="H3507" s="4" t="inlineStr">
        <is>
          <t>5.10.2026</t>
        </is>
      </c>
      <c r="I3507" s="4" t="inlineStr">
        <is>
          <t>17:10</t>
        </is>
      </c>
      <c r="J3507" s="8" t="n">
        <v>7.5</v>
      </c>
      <c r="K3507" s="8" t="n">
        <v>7.5</v>
      </c>
      <c r="L3507" s="8" t="n">
        <v>0</v>
      </c>
      <c r="M3507" s="29" t="inlineStr">
        <is>
          <t>GÜVEN MUSTAFAKEMALPAŞA</t>
        </is>
      </c>
    </row>
    <row r="3508">
      <c r="A3508" s="4" t="n">
        <v>3507</v>
      </c>
      <c r="B3508" s="4" t="inlineStr">
        <is>
          <t>01007</t>
        </is>
      </c>
      <c r="C3508" s="4" t="inlineStr">
        <is>
          <t>01007</t>
        </is>
      </c>
      <c r="D3508" s="29" t="inlineStr">
        <is>
          <t>SEREN BURHAN</t>
        </is>
      </c>
      <c r="E3508" s="4" t="inlineStr">
        <is>
          <t>Salı</t>
        </is>
      </c>
      <c r="F3508" s="4" t="inlineStr">
        <is>
          <t>6.10.2026</t>
        </is>
      </c>
      <c r="G3508" s="4" t="inlineStr">
        <is>
          <t>08:00</t>
        </is>
      </c>
      <c r="H3508" s="4" t="inlineStr">
        <is>
          <t>6.10.2026</t>
        </is>
      </c>
      <c r="I3508" s="4" t="inlineStr">
        <is>
          <t>17:46</t>
        </is>
      </c>
      <c r="J3508" s="8" t="n">
        <v>8.5</v>
      </c>
      <c r="K3508" s="8" t="n">
        <v>7.5</v>
      </c>
      <c r="L3508" s="8" t="n">
        <v>1</v>
      </c>
      <c r="M3508" s="29" t="inlineStr">
        <is>
          <t>GÜVEN MUSTAFAKEMALPAŞA</t>
        </is>
      </c>
    </row>
    <row r="3509">
      <c r="A3509" s="4" t="n">
        <v>3508</v>
      </c>
      <c r="B3509" s="4" t="inlineStr">
        <is>
          <t>01455</t>
        </is>
      </c>
      <c r="C3509" s="4" t="inlineStr">
        <is>
          <t>01455</t>
        </is>
      </c>
      <c r="D3509" s="29" t="inlineStr">
        <is>
          <t>SERGEN SEPETÇİ</t>
        </is>
      </c>
      <c r="E3509" s="4" t="inlineStr">
        <is>
          <t>Cuma</t>
        </is>
      </c>
      <c r="F3509" s="4" t="inlineStr">
        <is>
          <t>2.10.2026</t>
        </is>
      </c>
      <c r="G3509" s="4" t="inlineStr">
        <is>
          <t>-</t>
        </is>
      </c>
      <c r="H3509" s="4" t="inlineStr">
        <is>
          <t>2.10.2026</t>
        </is>
      </c>
      <c r="I3509" s="4" t="inlineStr">
        <is>
          <t>07:51</t>
        </is>
      </c>
      <c r="J3509" s="8" t="n">
        <v>22.5</v>
      </c>
      <c r="K3509" s="8" t="n">
        <v>7.5</v>
      </c>
      <c r="L3509" s="8" t="n">
        <v>15</v>
      </c>
      <c r="M3509" s="29" t="inlineStr">
        <is>
          <t>HALİL DİĞRENCİ</t>
        </is>
      </c>
    </row>
    <row r="3510">
      <c r="A3510" s="4" t="n">
        <v>3509</v>
      </c>
      <c r="B3510" s="4" t="inlineStr">
        <is>
          <t>01455</t>
        </is>
      </c>
      <c r="C3510" s="4" t="inlineStr">
        <is>
          <t>01455</t>
        </is>
      </c>
      <c r="D3510" s="29" t="inlineStr">
        <is>
          <t>SERGEN SEPETÇİ</t>
        </is>
      </c>
      <c r="E3510" s="4" t="inlineStr">
        <is>
          <t>Cumartesi</t>
        </is>
      </c>
      <c r="F3510" s="4" t="inlineStr">
        <is>
          <t>3.10.2026</t>
        </is>
      </c>
      <c r="G3510" s="4" t="inlineStr">
        <is>
          <t>19:55</t>
        </is>
      </c>
      <c r="H3510" s="4" t="inlineStr">
        <is>
          <t>3.10.2026</t>
        </is>
      </c>
      <c r="I3510" s="4" t="inlineStr">
        <is>
          <t>07:53</t>
        </is>
      </c>
      <c r="J3510" s="8" t="n">
        <v>10.5</v>
      </c>
      <c r="K3510" s="8" t="n">
        <v>7.5</v>
      </c>
      <c r="L3510" s="8" t="n">
        <v>3</v>
      </c>
      <c r="M3510" s="29" t="inlineStr">
        <is>
          <t>HALİL DİĞRENCİ</t>
        </is>
      </c>
    </row>
    <row r="3511">
      <c r="A3511" s="4" t="n">
        <v>3510</v>
      </c>
      <c r="B3511" s="4" t="inlineStr">
        <is>
          <t>01455</t>
        </is>
      </c>
      <c r="C3511" s="4" t="inlineStr">
        <is>
          <t>01455</t>
        </is>
      </c>
      <c r="D3511" s="29" t="inlineStr">
        <is>
          <t>SERGEN SEPETÇİ</t>
        </is>
      </c>
      <c r="E3511" s="4" t="inlineStr">
        <is>
          <t>Pazar</t>
        </is>
      </c>
      <c r="F3511" s="4" t="inlineStr">
        <is>
          <t>4.10.2026</t>
        </is>
      </c>
      <c r="G3511" s="4" t="inlineStr">
        <is>
          <t>19:59</t>
        </is>
      </c>
      <c r="H3511" s="4" t="inlineStr">
        <is>
          <t>4.10.2026</t>
        </is>
      </c>
      <c r="I3511" s="4" t="inlineStr">
        <is>
          <t>08:01</t>
        </is>
      </c>
      <c r="J3511" s="8" t="n">
        <v>10.5</v>
      </c>
      <c r="K3511" s="8" t="n">
        <v>7.5</v>
      </c>
      <c r="L3511" s="8" t="n">
        <v>3</v>
      </c>
      <c r="M3511" s="29" t="inlineStr">
        <is>
          <t>HALİL DİĞRENCİ</t>
        </is>
      </c>
    </row>
    <row r="3512">
      <c r="A3512" s="4" t="n">
        <v>3511</v>
      </c>
      <c r="B3512" s="4" t="inlineStr">
        <is>
          <t>01455</t>
        </is>
      </c>
      <c r="C3512" s="4" t="inlineStr">
        <is>
          <t>01455</t>
        </is>
      </c>
      <c r="D3512" s="29" t="inlineStr">
        <is>
          <t>SERGEN SEPETÇİ</t>
        </is>
      </c>
      <c r="E3512" s="4" t="inlineStr">
        <is>
          <t>Pazartesi</t>
        </is>
      </c>
      <c r="F3512" s="4" t="inlineStr">
        <is>
          <t>5.10.2026</t>
        </is>
      </c>
      <c r="G3512" s="4" t="inlineStr">
        <is>
          <t>19:56</t>
        </is>
      </c>
      <c r="H3512" s="4" t="inlineStr">
        <is>
          <t>5.10.2026</t>
        </is>
      </c>
      <c r="I3512" s="4" t="inlineStr">
        <is>
          <t>07:50</t>
        </is>
      </c>
      <c r="J3512" s="8" t="n">
        <v>10.5</v>
      </c>
      <c r="K3512" s="8" t="n">
        <v>7.5</v>
      </c>
      <c r="L3512" s="8" t="n">
        <v>3</v>
      </c>
      <c r="M3512" s="29" t="inlineStr">
        <is>
          <t>HALİL DİĞRENCİ</t>
        </is>
      </c>
    </row>
    <row r="3513">
      <c r="A3513" s="4" t="n">
        <v>3512</v>
      </c>
      <c r="B3513" s="4" t="inlineStr">
        <is>
          <t>01455</t>
        </is>
      </c>
      <c r="C3513" s="4" t="inlineStr">
        <is>
          <t>01455</t>
        </is>
      </c>
      <c r="D3513" s="29" t="inlineStr">
        <is>
          <t>SERGEN SEPETÇİ</t>
        </is>
      </c>
      <c r="E3513" s="4" t="inlineStr">
        <is>
          <t>Çarşamba</t>
        </is>
      </c>
      <c r="F3513" s="4" t="inlineStr">
        <is>
          <t>7.10.2026</t>
        </is>
      </c>
      <c r="G3513" s="4" t="inlineStr">
        <is>
          <t>19:58</t>
        </is>
      </c>
      <c r="H3513" s="4" t="inlineStr">
        <is>
          <t>7.10.2026</t>
        </is>
      </c>
      <c r="I3513" s="4" t="inlineStr">
        <is>
          <t>07:56</t>
        </is>
      </c>
      <c r="J3513" s="8" t="n">
        <v>10.5</v>
      </c>
      <c r="K3513" s="8" t="n">
        <v>7.5</v>
      </c>
      <c r="L3513" s="8" t="n">
        <v>3</v>
      </c>
      <c r="M3513" s="29" t="inlineStr">
        <is>
          <t>HALİL DİĞRENCİ</t>
        </is>
      </c>
    </row>
    <row r="3514">
      <c r="A3514" s="4" t="n">
        <v>3513</v>
      </c>
      <c r="B3514" s="4" t="inlineStr">
        <is>
          <t>01455</t>
        </is>
      </c>
      <c r="C3514" s="4" t="inlineStr">
        <is>
          <t>01455</t>
        </is>
      </c>
      <c r="D3514" s="29" t="inlineStr">
        <is>
          <t>SERGEN SEPETÇİ</t>
        </is>
      </c>
      <c r="E3514" s="4" t="inlineStr">
        <is>
          <t>Perşembe</t>
        </is>
      </c>
      <c r="F3514" s="4" t="inlineStr">
        <is>
          <t>8.10.2026</t>
        </is>
      </c>
      <c r="G3514" s="4" t="inlineStr">
        <is>
          <t>19:58</t>
        </is>
      </c>
      <c r="H3514" s="4" t="inlineStr">
        <is>
          <t>8.10.2026</t>
        </is>
      </c>
      <c r="I3514" s="4" t="inlineStr">
        <is>
          <t>07:58</t>
        </is>
      </c>
      <c r="J3514" s="8" t="n">
        <v>10.5</v>
      </c>
      <c r="K3514" s="8" t="n">
        <v>7.5</v>
      </c>
      <c r="L3514" s="8" t="n">
        <v>3</v>
      </c>
      <c r="M3514" s="29" t="inlineStr">
        <is>
          <t>HALİL DİĞRENCİ</t>
        </is>
      </c>
    </row>
    <row r="3515">
      <c r="A3515" s="4" t="n">
        <v>3514</v>
      </c>
      <c r="B3515" s="4" t="inlineStr">
        <is>
          <t>01455</t>
        </is>
      </c>
      <c r="C3515" s="4" t="inlineStr">
        <is>
          <t>01455</t>
        </is>
      </c>
      <c r="D3515" s="29" t="inlineStr">
        <is>
          <t>SERGEN SEPETÇİ</t>
        </is>
      </c>
      <c r="E3515" s="4" t="inlineStr">
        <is>
          <t>Cuma</t>
        </is>
      </c>
      <c r="F3515" s="4" t="inlineStr">
        <is>
          <t>9.10.2026</t>
        </is>
      </c>
      <c r="G3515" s="4" t="inlineStr">
        <is>
          <t>20:03</t>
        </is>
      </c>
      <c r="H3515" s="4" t="inlineStr">
        <is>
          <t>9.10.2026</t>
        </is>
      </c>
      <c r="I3515" s="4" t="inlineStr">
        <is>
          <t>07:56</t>
        </is>
      </c>
      <c r="J3515" s="8" t="n">
        <v>10.5</v>
      </c>
      <c r="K3515" s="8" t="n">
        <v>7.5</v>
      </c>
      <c r="L3515" s="8" t="n">
        <v>3</v>
      </c>
      <c r="M3515" s="29" t="inlineStr">
        <is>
          <t>HALİL DİĞRENCİ</t>
        </is>
      </c>
    </row>
    <row r="3516">
      <c r="A3516" s="4" t="n">
        <v>3515</v>
      </c>
      <c r="B3516" s="4" t="inlineStr">
        <is>
          <t>01455</t>
        </is>
      </c>
      <c r="C3516" s="4" t="inlineStr">
        <is>
          <t>01455</t>
        </is>
      </c>
      <c r="D3516" s="29" t="inlineStr">
        <is>
          <t>SERGEN SEPETÇİ</t>
        </is>
      </c>
      <c r="E3516" s="4" t="inlineStr">
        <is>
          <t>Pazartesi</t>
        </is>
      </c>
      <c r="F3516" s="4" t="inlineStr">
        <is>
          <t>12.10.2026</t>
        </is>
      </c>
      <c r="G3516" s="4" t="inlineStr">
        <is>
          <t>08:10</t>
        </is>
      </c>
      <c r="H3516" s="4" t="inlineStr">
        <is>
          <t>12.10.2026</t>
        </is>
      </c>
      <c r="I3516" s="4" t="inlineStr">
        <is>
          <t>07:53</t>
        </is>
      </c>
      <c r="J3516" s="8" t="n">
        <v>21</v>
      </c>
      <c r="K3516" s="8" t="n">
        <v>7.5</v>
      </c>
      <c r="L3516" s="8" t="n">
        <v>13.5</v>
      </c>
      <c r="M3516" s="29" t="inlineStr">
        <is>
          <t>HALİL DİĞRENCİ</t>
        </is>
      </c>
    </row>
    <row r="3517">
      <c r="A3517" s="4" t="n">
        <v>3516</v>
      </c>
      <c r="B3517" s="4" t="inlineStr">
        <is>
          <t>01455</t>
        </is>
      </c>
      <c r="C3517" s="4" t="inlineStr">
        <is>
          <t>01455</t>
        </is>
      </c>
      <c r="D3517" s="29" t="inlineStr">
        <is>
          <t>SERGEN SEPETÇİ</t>
        </is>
      </c>
      <c r="E3517" s="4" t="inlineStr">
        <is>
          <t>Salı</t>
        </is>
      </c>
      <c r="F3517" s="4" t="inlineStr">
        <is>
          <t>13.10.2026</t>
        </is>
      </c>
      <c r="G3517" s="4" t="inlineStr">
        <is>
          <t>20:01</t>
        </is>
      </c>
      <c r="H3517" s="4" t="inlineStr">
        <is>
          <t>13.10.2026</t>
        </is>
      </c>
      <c r="I3517" s="4" t="inlineStr">
        <is>
          <t>07:57</t>
        </is>
      </c>
      <c r="J3517" s="8" t="n">
        <v>10.5</v>
      </c>
      <c r="K3517" s="8" t="n">
        <v>7.5</v>
      </c>
      <c r="L3517" s="8" t="n">
        <v>3</v>
      </c>
      <c r="M3517" s="29" t="inlineStr">
        <is>
          <t>HALİL DİĞRENCİ</t>
        </is>
      </c>
    </row>
    <row r="3518">
      <c r="A3518" s="4" t="n">
        <v>3517</v>
      </c>
      <c r="B3518" s="4" t="inlineStr">
        <is>
          <t>01455</t>
        </is>
      </c>
      <c r="C3518" s="4" t="inlineStr">
        <is>
          <t>01455</t>
        </is>
      </c>
      <c r="D3518" s="29" t="inlineStr">
        <is>
          <t>SERGEN SEPETÇİ</t>
        </is>
      </c>
      <c r="E3518" s="4" t="inlineStr">
        <is>
          <t>Perşembe</t>
        </is>
      </c>
      <c r="F3518" s="4" t="inlineStr">
        <is>
          <t>15.10.2026</t>
        </is>
      </c>
      <c r="G3518" s="4" t="inlineStr">
        <is>
          <t>20:13</t>
        </is>
      </c>
      <c r="H3518" s="4" t="inlineStr">
        <is>
          <t>15.10.2026</t>
        </is>
      </c>
      <c r="I3518" s="4" t="inlineStr">
        <is>
          <t>07:55</t>
        </is>
      </c>
      <c r="J3518" s="8" t="n">
        <v>10.5</v>
      </c>
      <c r="K3518" s="8" t="n">
        <v>7.5</v>
      </c>
      <c r="L3518" s="8" t="n">
        <v>3</v>
      </c>
      <c r="M3518" s="29" t="inlineStr">
        <is>
          <t>HALİL DİĞRENCİ</t>
        </is>
      </c>
    </row>
    <row r="3519">
      <c r="A3519" s="4" t="n">
        <v>3518</v>
      </c>
      <c r="B3519" s="4" t="inlineStr">
        <is>
          <t>01129</t>
        </is>
      </c>
      <c r="C3519" s="4" t="inlineStr">
        <is>
          <t>01129</t>
        </is>
      </c>
      <c r="D3519" s="29" t="inlineStr">
        <is>
          <t>SERKAN YUMİTKEN</t>
        </is>
      </c>
      <c r="E3519" s="4" t="inlineStr">
        <is>
          <t>Cuma</t>
        </is>
      </c>
      <c r="F3519" s="4" t="inlineStr">
        <is>
          <t>2.10.2026</t>
        </is>
      </c>
      <c r="G3519" s="4" t="inlineStr">
        <is>
          <t>08:00</t>
        </is>
      </c>
      <c r="H3519" s="4" t="inlineStr">
        <is>
          <t>2.10.2026</t>
        </is>
      </c>
      <c r="I3519" s="4" t="inlineStr">
        <is>
          <t>20:08</t>
        </is>
      </c>
      <c r="J3519" s="8" t="n">
        <v>10.5</v>
      </c>
      <c r="K3519" s="8" t="n">
        <v>7.5</v>
      </c>
      <c r="L3519" s="8" t="n">
        <v>3</v>
      </c>
      <c r="M3519" s="29" t="inlineStr">
        <is>
          <t>HALİL DİĞRENCİ</t>
        </is>
      </c>
    </row>
    <row r="3520">
      <c r="A3520" s="4" t="n">
        <v>3519</v>
      </c>
      <c r="B3520" s="4" t="inlineStr">
        <is>
          <t>01129</t>
        </is>
      </c>
      <c r="C3520" s="4" t="inlineStr">
        <is>
          <t>01129</t>
        </is>
      </c>
      <c r="D3520" s="29" t="inlineStr">
        <is>
          <t>SERKAN YUMİTKEN</t>
        </is>
      </c>
      <c r="E3520" s="4" t="inlineStr">
        <is>
          <t>Pazartesi</t>
        </is>
      </c>
      <c r="F3520" s="4" t="inlineStr">
        <is>
          <t>5.10.2026</t>
        </is>
      </c>
      <c r="G3520" s="4" t="inlineStr">
        <is>
          <t>08:01</t>
        </is>
      </c>
      <c r="H3520" s="4" t="inlineStr">
        <is>
          <t>5.10.2026</t>
        </is>
      </c>
      <c r="I3520" s="4" t="inlineStr">
        <is>
          <t>20:03</t>
        </is>
      </c>
      <c r="J3520" s="8" t="n">
        <v>10.5</v>
      </c>
      <c r="K3520" s="8" t="n">
        <v>7.5</v>
      </c>
      <c r="L3520" s="8" t="n">
        <v>3</v>
      </c>
      <c r="M3520" s="29" t="inlineStr">
        <is>
          <t>HALİL DİĞRENCİ</t>
        </is>
      </c>
    </row>
    <row r="3521">
      <c r="A3521" s="4" t="n">
        <v>3520</v>
      </c>
      <c r="B3521" s="4" t="inlineStr">
        <is>
          <t>01129</t>
        </is>
      </c>
      <c r="C3521" s="4" t="inlineStr">
        <is>
          <t>01129</t>
        </is>
      </c>
      <c r="D3521" s="29" t="inlineStr">
        <is>
          <t>SERKAN YUMİTKEN</t>
        </is>
      </c>
      <c r="E3521" s="4" t="inlineStr">
        <is>
          <t>Salı</t>
        </is>
      </c>
      <c r="F3521" s="4" t="inlineStr">
        <is>
          <t>6.10.2026</t>
        </is>
      </c>
      <c r="G3521" s="4" t="inlineStr">
        <is>
          <t>07:58</t>
        </is>
      </c>
      <c r="H3521" s="4" t="inlineStr">
        <is>
          <t>6.10.2026</t>
        </is>
      </c>
      <c r="I3521" s="4" t="inlineStr">
        <is>
          <t>20:03</t>
        </is>
      </c>
      <c r="J3521" s="8" t="n">
        <v>10.5</v>
      </c>
      <c r="K3521" s="8" t="n">
        <v>7.5</v>
      </c>
      <c r="L3521" s="8" t="n">
        <v>3</v>
      </c>
      <c r="M3521" s="29" t="inlineStr">
        <is>
          <t>HALİL DİĞRENCİ</t>
        </is>
      </c>
    </row>
    <row r="3522">
      <c r="A3522" s="4" t="n">
        <v>3521</v>
      </c>
      <c r="B3522" s="4" t="inlineStr">
        <is>
          <t>01129</t>
        </is>
      </c>
      <c r="C3522" s="4" t="inlineStr">
        <is>
          <t>01129</t>
        </is>
      </c>
      <c r="D3522" s="29" t="inlineStr">
        <is>
          <t>SERKAN YUMİTKEN</t>
        </is>
      </c>
      <c r="E3522" s="4" t="inlineStr">
        <is>
          <t>Perşembe</t>
        </is>
      </c>
      <c r="F3522" s="4" t="inlineStr">
        <is>
          <t>8.10.2026</t>
        </is>
      </c>
      <c r="G3522" s="4" t="inlineStr">
        <is>
          <t>07:35</t>
        </is>
      </c>
      <c r="H3522" s="4" t="inlineStr">
        <is>
          <t>8.10.2026</t>
        </is>
      </c>
      <c r="I3522" s="4" t="inlineStr">
        <is>
          <t>20:03</t>
        </is>
      </c>
      <c r="J3522" s="8" t="n">
        <v>10.5</v>
      </c>
      <c r="K3522" s="8" t="n">
        <v>7.5</v>
      </c>
      <c r="L3522" s="8" t="n">
        <v>3</v>
      </c>
      <c r="M3522" s="29" t="inlineStr">
        <is>
          <t>HALİL DİĞRENCİ</t>
        </is>
      </c>
    </row>
    <row r="3523">
      <c r="A3523" s="4" t="n">
        <v>3522</v>
      </c>
      <c r="B3523" s="4" t="inlineStr">
        <is>
          <t>01129</t>
        </is>
      </c>
      <c r="C3523" s="4" t="inlineStr">
        <is>
          <t>01129</t>
        </is>
      </c>
      <c r="D3523" s="29" t="inlineStr">
        <is>
          <t>SERKAN YUMİTKEN</t>
        </is>
      </c>
      <c r="E3523" s="4" t="inlineStr">
        <is>
          <t>Cuma</t>
        </is>
      </c>
      <c r="F3523" s="4" t="inlineStr">
        <is>
          <t>9.10.2026</t>
        </is>
      </c>
      <c r="G3523" s="4" t="inlineStr">
        <is>
          <t>08:01</t>
        </is>
      </c>
      <c r="H3523" s="4" t="inlineStr">
        <is>
          <t>9.10.2026</t>
        </is>
      </c>
      <c r="I3523" s="4" t="inlineStr">
        <is>
          <t>20:05</t>
        </is>
      </c>
      <c r="J3523" s="8" t="n">
        <v>10.5</v>
      </c>
      <c r="K3523" s="8" t="n">
        <v>7.5</v>
      </c>
      <c r="L3523" s="8" t="n">
        <v>3</v>
      </c>
      <c r="M3523" s="29" t="inlineStr">
        <is>
          <t>HALİL DİĞRENCİ</t>
        </is>
      </c>
    </row>
    <row r="3524">
      <c r="A3524" s="4" t="n">
        <v>3523</v>
      </c>
      <c r="B3524" s="4" t="inlineStr">
        <is>
          <t>01129</t>
        </is>
      </c>
      <c r="C3524" s="4" t="inlineStr">
        <is>
          <t>01129</t>
        </is>
      </c>
      <c r="D3524" s="29" t="inlineStr">
        <is>
          <t>SERKAN YUMİTKEN</t>
        </is>
      </c>
      <c r="E3524" s="4" t="inlineStr">
        <is>
          <t>Cumartesi</t>
        </is>
      </c>
      <c r="F3524" s="4" t="inlineStr">
        <is>
          <t>10.10.2026</t>
        </is>
      </c>
      <c r="G3524" s="4" t="inlineStr">
        <is>
          <t>08:01</t>
        </is>
      </c>
      <c r="H3524" s="4" t="inlineStr">
        <is>
          <t>10.10.2026</t>
        </is>
      </c>
      <c r="I3524" s="4" t="inlineStr">
        <is>
          <t>20:05</t>
        </is>
      </c>
      <c r="J3524" s="8" t="n">
        <v>10.5</v>
      </c>
      <c r="K3524" s="8" t="n">
        <v>7.5</v>
      </c>
      <c r="L3524" s="8" t="n">
        <v>3</v>
      </c>
      <c r="M3524" s="29" t="inlineStr">
        <is>
          <t>HALİL DİĞRENCİ</t>
        </is>
      </c>
    </row>
    <row r="3525">
      <c r="A3525" s="4" t="n">
        <v>3524</v>
      </c>
      <c r="B3525" s="4" t="inlineStr">
        <is>
          <t>01129</t>
        </is>
      </c>
      <c r="C3525" s="4" t="inlineStr">
        <is>
          <t>01129</t>
        </is>
      </c>
      <c r="D3525" s="29" t="inlineStr">
        <is>
          <t>SERKAN YUMİTKEN</t>
        </is>
      </c>
      <c r="E3525" s="4" t="inlineStr">
        <is>
          <t>Pazartesi</t>
        </is>
      </c>
      <c r="F3525" s="4" t="inlineStr">
        <is>
          <t>12.10.2026</t>
        </is>
      </c>
      <c r="G3525" s="4" t="inlineStr">
        <is>
          <t>08:03</t>
        </is>
      </c>
      <c r="H3525" s="4" t="inlineStr">
        <is>
          <t>12.10.2026</t>
        </is>
      </c>
      <c r="I3525" s="4" t="inlineStr">
        <is>
          <t>20:07</t>
        </is>
      </c>
      <c r="J3525" s="8" t="n">
        <v>10.5</v>
      </c>
      <c r="K3525" s="8" t="n">
        <v>7.5</v>
      </c>
      <c r="L3525" s="8" t="n">
        <v>3</v>
      </c>
      <c r="M3525" s="29" t="inlineStr">
        <is>
          <t>HALİL DİĞRENCİ</t>
        </is>
      </c>
    </row>
    <row r="3526">
      <c r="A3526" s="4" t="n">
        <v>3525</v>
      </c>
      <c r="B3526" s="4" t="inlineStr">
        <is>
          <t>01129</t>
        </is>
      </c>
      <c r="C3526" s="4" t="inlineStr">
        <is>
          <t>01129</t>
        </is>
      </c>
      <c r="D3526" s="29" t="inlineStr">
        <is>
          <t>SERKAN YUMİTKEN</t>
        </is>
      </c>
      <c r="E3526" s="4" t="inlineStr">
        <is>
          <t>Salı</t>
        </is>
      </c>
      <c r="F3526" s="4" t="inlineStr">
        <is>
          <t>13.10.2026</t>
        </is>
      </c>
      <c r="G3526" s="4" t="inlineStr">
        <is>
          <t>08:01</t>
        </is>
      </c>
      <c r="H3526" s="4" t="inlineStr">
        <is>
          <t>13.10.2026</t>
        </is>
      </c>
      <c r="I3526" s="4" t="inlineStr">
        <is>
          <t>20:00</t>
        </is>
      </c>
      <c r="J3526" s="8" t="n">
        <v>10.5</v>
      </c>
      <c r="K3526" s="8" t="n">
        <v>7.5</v>
      </c>
      <c r="L3526" s="8" t="n">
        <v>3</v>
      </c>
      <c r="M3526" s="29" t="inlineStr">
        <is>
          <t>HALİL DİĞRENCİ</t>
        </is>
      </c>
    </row>
    <row r="3527">
      <c r="A3527" s="4" t="n">
        <v>3526</v>
      </c>
      <c r="B3527" s="4" t="inlineStr">
        <is>
          <t>01129</t>
        </is>
      </c>
      <c r="C3527" s="4" t="inlineStr">
        <is>
          <t>01129</t>
        </is>
      </c>
      <c r="D3527" s="29" t="inlineStr">
        <is>
          <t>SERKAN YUMİTKEN</t>
        </is>
      </c>
      <c r="E3527" s="4" t="inlineStr">
        <is>
          <t>Çarşamba</t>
        </is>
      </c>
      <c r="F3527" s="4" t="inlineStr">
        <is>
          <t>14.10.2026</t>
        </is>
      </c>
      <c r="G3527" s="4" t="inlineStr">
        <is>
          <t>08:01</t>
        </is>
      </c>
      <c r="H3527" s="4" t="inlineStr">
        <is>
          <t>14.10.2026</t>
        </is>
      </c>
      <c r="I3527" s="4" t="inlineStr">
        <is>
          <t>20:02</t>
        </is>
      </c>
      <c r="J3527" s="8" t="n">
        <v>10.5</v>
      </c>
      <c r="K3527" s="8" t="n">
        <v>7.5</v>
      </c>
      <c r="L3527" s="8" t="n">
        <v>3</v>
      </c>
      <c r="M3527" s="29" t="inlineStr">
        <is>
          <t>HALİL DİĞRENCİ</t>
        </is>
      </c>
    </row>
    <row r="3528">
      <c r="A3528" s="4" t="n">
        <v>3527</v>
      </c>
      <c r="B3528" s="4" t="inlineStr">
        <is>
          <t>01129</t>
        </is>
      </c>
      <c r="C3528" s="4" t="inlineStr">
        <is>
          <t>01129</t>
        </is>
      </c>
      <c r="D3528" s="29" t="inlineStr">
        <is>
          <t>SERKAN YUMİTKEN</t>
        </is>
      </c>
      <c r="E3528" s="4" t="inlineStr">
        <is>
          <t>Perşembe</t>
        </is>
      </c>
      <c r="F3528" s="4" t="inlineStr">
        <is>
          <t>15.10.2026</t>
        </is>
      </c>
      <c r="G3528" s="4" t="inlineStr">
        <is>
          <t>08:05</t>
        </is>
      </c>
      <c r="H3528" s="4" t="inlineStr">
        <is>
          <t>15.10.2026</t>
        </is>
      </c>
      <c r="I3528" s="4" t="inlineStr">
        <is>
          <t>-</t>
        </is>
      </c>
      <c r="J3528" s="8" t="n">
        <v>7.5</v>
      </c>
      <c r="K3528" s="8" t="n">
        <v>7.5</v>
      </c>
      <c r="L3528" s="8" t="n">
        <v>0</v>
      </c>
      <c r="M3528" s="29" t="inlineStr">
        <is>
          <t>HALİL DİĞRENCİ</t>
        </is>
      </c>
    </row>
    <row r="3529">
      <c r="A3529" s="4" t="n">
        <v>3528</v>
      </c>
      <c r="B3529" s="4" t="inlineStr">
        <is>
          <t>01129</t>
        </is>
      </c>
      <c r="C3529" s="4" t="inlineStr">
        <is>
          <t>01129</t>
        </is>
      </c>
      <c r="D3529" s="29" t="inlineStr">
        <is>
          <t>SERKAN YUMİTKEN</t>
        </is>
      </c>
      <c r="E3529" s="4" t="inlineStr">
        <is>
          <t>Cuma</t>
        </is>
      </c>
      <c r="F3529" s="4" t="inlineStr">
        <is>
          <t>16.10.2026</t>
        </is>
      </c>
      <c r="G3529" s="4" t="inlineStr">
        <is>
          <t>08:00</t>
        </is>
      </c>
      <c r="H3529" s="4" t="inlineStr">
        <is>
          <t>16.10.2026</t>
        </is>
      </c>
      <c r="I3529" s="4" t="inlineStr">
        <is>
          <t>20:03</t>
        </is>
      </c>
      <c r="J3529" s="8" t="n">
        <v>10.5</v>
      </c>
      <c r="K3529" s="8" t="n">
        <v>7.5</v>
      </c>
      <c r="L3529" s="8" t="n">
        <v>3</v>
      </c>
      <c r="M3529" s="29" t="inlineStr">
        <is>
          <t>HALİL DİĞRENCİ</t>
        </is>
      </c>
    </row>
    <row r="3530">
      <c r="A3530" s="4" t="n">
        <v>3529</v>
      </c>
      <c r="B3530" s="4" t="inlineStr">
        <is>
          <t>01129</t>
        </is>
      </c>
      <c r="C3530" s="4" t="inlineStr">
        <is>
          <t>01129</t>
        </is>
      </c>
      <c r="D3530" s="29" t="inlineStr">
        <is>
          <t>SERKAN YUMİTKEN</t>
        </is>
      </c>
      <c r="E3530" s="4" t="inlineStr">
        <is>
          <t>Cumartesi</t>
        </is>
      </c>
      <c r="F3530" s="4" t="inlineStr">
        <is>
          <t>17.10.2026</t>
        </is>
      </c>
      <c r="G3530" s="4" t="inlineStr">
        <is>
          <t>07:59</t>
        </is>
      </c>
      <c r="H3530" s="4" t="inlineStr">
        <is>
          <t>17.10.2026</t>
        </is>
      </c>
      <c r="I3530" s="4" t="inlineStr">
        <is>
          <t>17:06</t>
        </is>
      </c>
      <c r="J3530" s="8" t="n">
        <v>7.5</v>
      </c>
      <c r="K3530" s="8" t="n">
        <v>7.5</v>
      </c>
      <c r="L3530" s="8" t="n">
        <v>0</v>
      </c>
      <c r="M3530" s="29" t="inlineStr">
        <is>
          <t>HALİL DİĞRENCİ</t>
        </is>
      </c>
    </row>
    <row r="3531">
      <c r="A3531" s="4" t="n">
        <v>3530</v>
      </c>
      <c r="B3531" s="4" t="inlineStr">
        <is>
          <t>01129</t>
        </is>
      </c>
      <c r="C3531" s="4" t="inlineStr">
        <is>
          <t>01129</t>
        </is>
      </c>
      <c r="D3531" s="29" t="inlineStr">
        <is>
          <t>SERKAN YUMİTKEN</t>
        </is>
      </c>
      <c r="E3531" s="4" t="inlineStr">
        <is>
          <t>Pazartesi</t>
        </is>
      </c>
      <c r="F3531" s="4" t="inlineStr">
        <is>
          <t>19.10.2026</t>
        </is>
      </c>
      <c r="G3531" s="4" t="inlineStr">
        <is>
          <t>08:02</t>
        </is>
      </c>
      <c r="H3531" s="4" t="inlineStr">
        <is>
          <t>19.10.2026</t>
        </is>
      </c>
      <c r="I3531" s="4" t="inlineStr">
        <is>
          <t>20:02</t>
        </is>
      </c>
      <c r="J3531" s="8" t="n">
        <v>10.5</v>
      </c>
      <c r="K3531" s="8" t="n">
        <v>7.5</v>
      </c>
      <c r="L3531" s="8" t="n">
        <v>3</v>
      </c>
      <c r="M3531" s="29" t="inlineStr">
        <is>
          <t>HALİL DİĞRENCİ</t>
        </is>
      </c>
    </row>
    <row r="3532">
      <c r="A3532" s="4" t="n">
        <v>3531</v>
      </c>
      <c r="B3532" s="4" t="inlineStr">
        <is>
          <t>01129</t>
        </is>
      </c>
      <c r="C3532" s="4" t="inlineStr">
        <is>
          <t>01129</t>
        </is>
      </c>
      <c r="D3532" s="29" t="inlineStr">
        <is>
          <t>SERKAN YUMİTKEN</t>
        </is>
      </c>
      <c r="E3532" s="4" t="inlineStr">
        <is>
          <t>Salı</t>
        </is>
      </c>
      <c r="F3532" s="4" t="inlineStr">
        <is>
          <t>20.10.2026</t>
        </is>
      </c>
      <c r="G3532" s="4" t="inlineStr">
        <is>
          <t>08:01</t>
        </is>
      </c>
      <c r="H3532" s="4" t="inlineStr">
        <is>
          <t>20.10.2026</t>
        </is>
      </c>
      <c r="I3532" s="4" t="inlineStr">
        <is>
          <t>17:06</t>
        </is>
      </c>
      <c r="J3532" s="8" t="n">
        <v>7.5</v>
      </c>
      <c r="K3532" s="8" t="n">
        <v>7.5</v>
      </c>
      <c r="L3532" s="8" t="n">
        <v>0</v>
      </c>
      <c r="M3532" s="29" t="inlineStr">
        <is>
          <t>HALİL DİĞRENCİ</t>
        </is>
      </c>
    </row>
    <row r="3533">
      <c r="A3533" s="4" t="n">
        <v>3532</v>
      </c>
      <c r="B3533" s="4" t="inlineStr">
        <is>
          <t>01129</t>
        </is>
      </c>
      <c r="C3533" s="4" t="inlineStr">
        <is>
          <t>01129</t>
        </is>
      </c>
      <c r="D3533" s="29" t="inlineStr">
        <is>
          <t>SERKAN YUMİTKEN</t>
        </is>
      </c>
      <c r="E3533" s="4" t="inlineStr">
        <is>
          <t>Çarşamba</t>
        </is>
      </c>
      <c r="F3533" s="4" t="inlineStr">
        <is>
          <t>21.10.2026</t>
        </is>
      </c>
      <c r="G3533" s="4" t="inlineStr">
        <is>
          <t>07:54</t>
        </is>
      </c>
      <c r="H3533" s="4" t="inlineStr">
        <is>
          <t>21.10.2026</t>
        </is>
      </c>
      <c r="I3533" s="4" t="inlineStr">
        <is>
          <t>17:07</t>
        </is>
      </c>
      <c r="J3533" s="8" t="n">
        <v>7.5</v>
      </c>
      <c r="K3533" s="8" t="n">
        <v>7.5</v>
      </c>
      <c r="L3533" s="8" t="n">
        <v>0</v>
      </c>
      <c r="M3533" s="29" t="inlineStr">
        <is>
          <t>HALİL DİĞRENCİ</t>
        </is>
      </c>
    </row>
    <row r="3534">
      <c r="A3534" s="4" t="n">
        <v>3533</v>
      </c>
      <c r="B3534" s="4" t="inlineStr">
        <is>
          <t>01361</t>
        </is>
      </c>
      <c r="C3534" s="4" t="inlineStr">
        <is>
          <t>01361</t>
        </is>
      </c>
      <c r="D3534" s="29" t="inlineStr">
        <is>
          <t>SERPİL İİPEK</t>
        </is>
      </c>
      <c r="E3534" s="4" t="inlineStr">
        <is>
          <t>Perşembe</t>
        </is>
      </c>
      <c r="F3534" s="4" t="inlineStr">
        <is>
          <t>1.10.2026</t>
        </is>
      </c>
      <c r="G3534" s="4" t="inlineStr">
        <is>
          <t>07:51</t>
        </is>
      </c>
      <c r="H3534" s="4" t="inlineStr">
        <is>
          <t>1.10.2026</t>
        </is>
      </c>
      <c r="I3534" s="4" t="inlineStr">
        <is>
          <t>-</t>
        </is>
      </c>
      <c r="J3534" s="8" t="n">
        <v>7.5</v>
      </c>
      <c r="K3534" s="8" t="n">
        <v>7.5</v>
      </c>
      <c r="L3534" s="8" t="n">
        <v>0</v>
      </c>
      <c r="M3534" s="29" t="inlineStr">
        <is>
          <t>HALİL DİĞRENCİ</t>
        </is>
      </c>
    </row>
    <row r="3535">
      <c r="A3535" s="4" t="n">
        <v>3534</v>
      </c>
      <c r="B3535" s="4" t="inlineStr">
        <is>
          <t>01361</t>
        </is>
      </c>
      <c r="C3535" s="4" t="inlineStr">
        <is>
          <t>01361</t>
        </is>
      </c>
      <c r="D3535" s="29" t="inlineStr">
        <is>
          <t>SERPİL İİPEK</t>
        </is>
      </c>
      <c r="E3535" s="4" t="inlineStr">
        <is>
          <t>Cuma</t>
        </is>
      </c>
      <c r="F3535" s="4" t="inlineStr">
        <is>
          <t>2.10.2026</t>
        </is>
      </c>
      <c r="G3535" s="4" t="inlineStr">
        <is>
          <t>07:46</t>
        </is>
      </c>
      <c r="H3535" s="4" t="inlineStr">
        <is>
          <t>2.10.2026</t>
        </is>
      </c>
      <c r="I3535" s="4" t="inlineStr">
        <is>
          <t>20:08</t>
        </is>
      </c>
      <c r="J3535" s="8" t="n">
        <v>10.5</v>
      </c>
      <c r="K3535" s="8" t="n">
        <v>7.5</v>
      </c>
      <c r="L3535" s="8" t="n">
        <v>3</v>
      </c>
      <c r="M3535" s="29" t="inlineStr">
        <is>
          <t>HALİL DİĞRENCİ</t>
        </is>
      </c>
    </row>
    <row r="3536">
      <c r="A3536" s="4" t="n">
        <v>3535</v>
      </c>
      <c r="B3536" s="4" t="inlineStr">
        <is>
          <t>01361</t>
        </is>
      </c>
      <c r="C3536" s="4" t="inlineStr">
        <is>
          <t>01361</t>
        </is>
      </c>
      <c r="D3536" s="29" t="inlineStr">
        <is>
          <t>SERPİL İİPEK</t>
        </is>
      </c>
      <c r="E3536" s="4" t="inlineStr">
        <is>
          <t>Cumartesi</t>
        </is>
      </c>
      <c r="F3536" s="4" t="inlineStr">
        <is>
          <t>3.10.2026</t>
        </is>
      </c>
      <c r="G3536" s="4" t="inlineStr">
        <is>
          <t>07:47</t>
        </is>
      </c>
      <c r="H3536" s="4" t="inlineStr">
        <is>
          <t>3.10.2026</t>
        </is>
      </c>
      <c r="I3536" s="4" t="inlineStr">
        <is>
          <t>-</t>
        </is>
      </c>
      <c r="J3536" s="8" t="n">
        <v>7.5</v>
      </c>
      <c r="K3536" s="8" t="n">
        <v>7.5</v>
      </c>
      <c r="L3536" s="8" t="n">
        <v>0</v>
      </c>
      <c r="M3536" s="29" t="inlineStr">
        <is>
          <t>HALİL DİĞRENCİ</t>
        </is>
      </c>
    </row>
    <row r="3537">
      <c r="A3537" s="4" t="n">
        <v>3536</v>
      </c>
      <c r="B3537" s="4" t="inlineStr">
        <is>
          <t>01361</t>
        </is>
      </c>
      <c r="C3537" s="4" t="inlineStr">
        <is>
          <t>01361</t>
        </is>
      </c>
      <c r="D3537" s="29" t="inlineStr">
        <is>
          <t>SERPİL İİPEK</t>
        </is>
      </c>
      <c r="E3537" s="4" t="inlineStr">
        <is>
          <t>Pazartesi</t>
        </is>
      </c>
      <c r="F3537" s="4" t="inlineStr">
        <is>
          <t>5.10.2026</t>
        </is>
      </c>
      <c r="G3537" s="4" t="inlineStr">
        <is>
          <t>07:37</t>
        </is>
      </c>
      <c r="H3537" s="4" t="inlineStr">
        <is>
          <t>5.10.2026</t>
        </is>
      </c>
      <c r="I3537" s="4" t="inlineStr">
        <is>
          <t>20:09</t>
        </is>
      </c>
      <c r="J3537" s="8" t="n">
        <v>10.5</v>
      </c>
      <c r="K3537" s="8" t="n">
        <v>7.5</v>
      </c>
      <c r="L3537" s="8" t="n">
        <v>3</v>
      </c>
      <c r="M3537" s="29" t="inlineStr">
        <is>
          <t>HALİL DİĞRENCİ</t>
        </is>
      </c>
    </row>
    <row r="3538">
      <c r="A3538" s="4" t="n">
        <v>3537</v>
      </c>
      <c r="B3538" s="4" t="inlineStr">
        <is>
          <t>01361</t>
        </is>
      </c>
      <c r="C3538" s="4" t="inlineStr">
        <is>
          <t>01361</t>
        </is>
      </c>
      <c r="D3538" s="29" t="inlineStr">
        <is>
          <t>SERPİL İİPEK</t>
        </is>
      </c>
      <c r="E3538" s="4" t="inlineStr">
        <is>
          <t>Salı</t>
        </is>
      </c>
      <c r="F3538" s="4" t="inlineStr">
        <is>
          <t>6.10.2026</t>
        </is>
      </c>
      <c r="G3538" s="4" t="inlineStr">
        <is>
          <t>07:34</t>
        </is>
      </c>
      <c r="H3538" s="4" t="inlineStr">
        <is>
          <t>6.10.2026</t>
        </is>
      </c>
      <c r="I3538" s="4" t="inlineStr">
        <is>
          <t>20:03</t>
        </is>
      </c>
      <c r="J3538" s="8" t="n">
        <v>10.5</v>
      </c>
      <c r="K3538" s="8" t="n">
        <v>7.5</v>
      </c>
      <c r="L3538" s="8" t="n">
        <v>3</v>
      </c>
      <c r="M3538" s="29" t="inlineStr">
        <is>
          <t>HALİL DİĞRENCİ</t>
        </is>
      </c>
    </row>
    <row r="3539">
      <c r="A3539" s="4" t="n">
        <v>3538</v>
      </c>
      <c r="B3539" s="4" t="inlineStr">
        <is>
          <t>01361</t>
        </is>
      </c>
      <c r="C3539" s="4" t="inlineStr">
        <is>
          <t>01361</t>
        </is>
      </c>
      <c r="D3539" s="29" t="inlineStr">
        <is>
          <t>SERPİL İİPEK</t>
        </is>
      </c>
      <c r="E3539" s="4" t="inlineStr">
        <is>
          <t>Çarşamba</t>
        </is>
      </c>
      <c r="F3539" s="4" t="inlineStr">
        <is>
          <t>7.10.2026</t>
        </is>
      </c>
      <c r="G3539" s="4" t="inlineStr">
        <is>
          <t>07:34</t>
        </is>
      </c>
      <c r="H3539" s="4" t="inlineStr">
        <is>
          <t>7.10.2026</t>
        </is>
      </c>
      <c r="I3539" s="4" t="inlineStr">
        <is>
          <t>20:09</t>
        </is>
      </c>
      <c r="J3539" s="8" t="n">
        <v>10.5</v>
      </c>
      <c r="K3539" s="8" t="n">
        <v>7.5</v>
      </c>
      <c r="L3539" s="8" t="n">
        <v>3</v>
      </c>
      <c r="M3539" s="29" t="inlineStr">
        <is>
          <t>HALİL DİĞRENCİ</t>
        </is>
      </c>
    </row>
    <row r="3540">
      <c r="A3540" s="4" t="n">
        <v>3539</v>
      </c>
      <c r="B3540" s="4" t="inlineStr">
        <is>
          <t>01361</t>
        </is>
      </c>
      <c r="C3540" s="4" t="inlineStr">
        <is>
          <t>01361</t>
        </is>
      </c>
      <c r="D3540" s="29" t="inlineStr">
        <is>
          <t>SERPİL İİPEK</t>
        </is>
      </c>
      <c r="E3540" s="4" t="inlineStr">
        <is>
          <t>Perşembe</t>
        </is>
      </c>
      <c r="F3540" s="4" t="inlineStr">
        <is>
          <t>8.10.2026</t>
        </is>
      </c>
      <c r="G3540" s="4" t="inlineStr">
        <is>
          <t>07:32</t>
        </is>
      </c>
      <c r="H3540" s="4" t="inlineStr">
        <is>
          <t>8.10.2026</t>
        </is>
      </c>
      <c r="I3540" s="4" t="inlineStr">
        <is>
          <t>20:01</t>
        </is>
      </c>
      <c r="J3540" s="8" t="n">
        <v>10.5</v>
      </c>
      <c r="K3540" s="8" t="n">
        <v>7.5</v>
      </c>
      <c r="L3540" s="8" t="n">
        <v>3</v>
      </c>
      <c r="M3540" s="29" t="inlineStr">
        <is>
          <t>HALİL DİĞRENCİ</t>
        </is>
      </c>
    </row>
    <row r="3541">
      <c r="A3541" s="4" t="n">
        <v>3540</v>
      </c>
      <c r="B3541" s="4" t="inlineStr">
        <is>
          <t>01361</t>
        </is>
      </c>
      <c r="C3541" s="4" t="inlineStr">
        <is>
          <t>01361</t>
        </is>
      </c>
      <c r="D3541" s="29" t="inlineStr">
        <is>
          <t>SERPİL İİPEK</t>
        </is>
      </c>
      <c r="E3541" s="4" t="inlineStr">
        <is>
          <t>Cuma</t>
        </is>
      </c>
      <c r="F3541" s="4" t="inlineStr">
        <is>
          <t>9.10.2026</t>
        </is>
      </c>
      <c r="G3541" s="4" t="inlineStr">
        <is>
          <t>07:29</t>
        </is>
      </c>
      <c r="H3541" s="4" t="inlineStr">
        <is>
          <t>9.10.2026</t>
        </is>
      </c>
      <c r="I3541" s="4" t="inlineStr">
        <is>
          <t>20:09</t>
        </is>
      </c>
      <c r="J3541" s="8" t="n">
        <v>10.5</v>
      </c>
      <c r="K3541" s="8" t="n">
        <v>7.5</v>
      </c>
      <c r="L3541" s="8" t="n">
        <v>3</v>
      </c>
      <c r="M3541" s="29" t="inlineStr">
        <is>
          <t>HALİL DİĞRENCİ</t>
        </is>
      </c>
    </row>
    <row r="3542">
      <c r="A3542" s="4" t="n">
        <v>3541</v>
      </c>
      <c r="B3542" s="4" t="inlineStr">
        <is>
          <t>01361</t>
        </is>
      </c>
      <c r="C3542" s="4" t="inlineStr">
        <is>
          <t>01361</t>
        </is>
      </c>
      <c r="D3542" s="29" t="inlineStr">
        <is>
          <t>SERPİL İİPEK</t>
        </is>
      </c>
      <c r="E3542" s="4" t="inlineStr">
        <is>
          <t>Cumartesi</t>
        </is>
      </c>
      <c r="F3542" s="4" t="inlineStr">
        <is>
          <t>10.10.2026</t>
        </is>
      </c>
      <c r="G3542" s="4" t="inlineStr">
        <is>
          <t>07:37</t>
        </is>
      </c>
      <c r="H3542" s="4" t="inlineStr">
        <is>
          <t>10.10.2026</t>
        </is>
      </c>
      <c r="I3542" s="4" t="inlineStr">
        <is>
          <t>18:09</t>
        </is>
      </c>
      <c r="J3542" s="8" t="n">
        <v>8.5</v>
      </c>
      <c r="K3542" s="8" t="n">
        <v>7.5</v>
      </c>
      <c r="L3542" s="8" t="n">
        <v>1</v>
      </c>
      <c r="M3542" s="29" t="inlineStr">
        <is>
          <t>HALİL DİĞRENCİ</t>
        </is>
      </c>
    </row>
    <row r="3543">
      <c r="A3543" s="4" t="n">
        <v>3542</v>
      </c>
      <c r="B3543" s="4" t="inlineStr">
        <is>
          <t>01361</t>
        </is>
      </c>
      <c r="C3543" s="4" t="inlineStr">
        <is>
          <t>01361</t>
        </is>
      </c>
      <c r="D3543" s="29" t="inlineStr">
        <is>
          <t>SERPİL İİPEK</t>
        </is>
      </c>
      <c r="E3543" s="4" t="inlineStr">
        <is>
          <t>Pazartesi</t>
        </is>
      </c>
      <c r="F3543" s="4" t="inlineStr">
        <is>
          <t>12.10.2026</t>
        </is>
      </c>
      <c r="G3543" s="4" t="inlineStr">
        <is>
          <t>07:40</t>
        </is>
      </c>
      <c r="H3543" s="4" t="inlineStr">
        <is>
          <t>12.10.2026</t>
        </is>
      </c>
      <c r="I3543" s="4" t="inlineStr">
        <is>
          <t>20:08</t>
        </is>
      </c>
      <c r="J3543" s="8" t="n">
        <v>10.5</v>
      </c>
      <c r="K3543" s="8" t="n">
        <v>7.5</v>
      </c>
      <c r="L3543" s="8" t="n">
        <v>3</v>
      </c>
      <c r="M3543" s="29" t="inlineStr">
        <is>
          <t>HALİL DİĞRENCİ</t>
        </is>
      </c>
    </row>
    <row r="3544">
      <c r="A3544" s="4" t="n">
        <v>3543</v>
      </c>
      <c r="B3544" s="4" t="inlineStr">
        <is>
          <t>01361</t>
        </is>
      </c>
      <c r="C3544" s="4" t="inlineStr">
        <is>
          <t>01361</t>
        </is>
      </c>
      <c r="D3544" s="29" t="inlineStr">
        <is>
          <t>SERPİL İİPEK</t>
        </is>
      </c>
      <c r="E3544" s="4" t="inlineStr">
        <is>
          <t>Salı</t>
        </is>
      </c>
      <c r="F3544" s="4" t="inlineStr">
        <is>
          <t>13.10.2026</t>
        </is>
      </c>
      <c r="G3544" s="4" t="inlineStr">
        <is>
          <t>07:33</t>
        </is>
      </c>
      <c r="H3544" s="4" t="inlineStr">
        <is>
          <t>13.10.2026</t>
        </is>
      </c>
      <c r="I3544" s="4" t="inlineStr">
        <is>
          <t>17:05</t>
        </is>
      </c>
      <c r="J3544" s="8" t="n">
        <v>7.5</v>
      </c>
      <c r="K3544" s="8" t="n">
        <v>7.5</v>
      </c>
      <c r="L3544" s="8" t="n">
        <v>0</v>
      </c>
      <c r="M3544" s="29" t="inlineStr">
        <is>
          <t>HALİL DİĞRENCİ</t>
        </is>
      </c>
    </row>
    <row r="3545">
      <c r="A3545" s="4" t="n">
        <v>3544</v>
      </c>
      <c r="B3545" s="4" t="inlineStr">
        <is>
          <t>01361</t>
        </is>
      </c>
      <c r="C3545" s="4" t="inlineStr">
        <is>
          <t>01361</t>
        </is>
      </c>
      <c r="D3545" s="29" t="inlineStr">
        <is>
          <t>SERPİL İİPEK</t>
        </is>
      </c>
      <c r="E3545" s="4" t="inlineStr">
        <is>
          <t>Çarşamba</t>
        </is>
      </c>
      <c r="F3545" s="4" t="inlineStr">
        <is>
          <t>14.10.2026</t>
        </is>
      </c>
      <c r="G3545" s="4" t="inlineStr">
        <is>
          <t>07:35</t>
        </is>
      </c>
      <c r="H3545" s="4" t="inlineStr">
        <is>
          <t>14.10.2026</t>
        </is>
      </c>
      <c r="I3545" s="4" t="inlineStr">
        <is>
          <t>20:07</t>
        </is>
      </c>
      <c r="J3545" s="8" t="n">
        <v>10.5</v>
      </c>
      <c r="K3545" s="8" t="n">
        <v>7.5</v>
      </c>
      <c r="L3545" s="8" t="n">
        <v>3</v>
      </c>
      <c r="M3545" s="29" t="inlineStr">
        <is>
          <t>HALİL DİĞRENCİ</t>
        </is>
      </c>
    </row>
    <row r="3546">
      <c r="A3546" s="4" t="n">
        <v>3545</v>
      </c>
      <c r="B3546" s="4" t="inlineStr">
        <is>
          <t>01361</t>
        </is>
      </c>
      <c r="C3546" s="4" t="inlineStr">
        <is>
          <t>01361</t>
        </is>
      </c>
      <c r="D3546" s="29" t="inlineStr">
        <is>
          <t>SERPİL İİPEK</t>
        </is>
      </c>
      <c r="E3546" s="4" t="inlineStr">
        <is>
          <t>Perşembe</t>
        </is>
      </c>
      <c r="F3546" s="4" t="inlineStr">
        <is>
          <t>15.10.2026</t>
        </is>
      </c>
      <c r="G3546" s="4" t="inlineStr">
        <is>
          <t>07:34</t>
        </is>
      </c>
      <c r="H3546" s="4" t="inlineStr">
        <is>
          <t>15.10.2026</t>
        </is>
      </c>
      <c r="I3546" s="4" t="inlineStr">
        <is>
          <t>20:10</t>
        </is>
      </c>
      <c r="J3546" s="8" t="n">
        <v>10.5</v>
      </c>
      <c r="K3546" s="8" t="n">
        <v>7.5</v>
      </c>
      <c r="L3546" s="8" t="n">
        <v>3</v>
      </c>
      <c r="M3546" s="29" t="inlineStr">
        <is>
          <t>HALİL DİĞRENCİ</t>
        </is>
      </c>
    </row>
    <row r="3547">
      <c r="A3547" s="4" t="n">
        <v>3546</v>
      </c>
      <c r="B3547" s="4" t="inlineStr">
        <is>
          <t>01361</t>
        </is>
      </c>
      <c r="C3547" s="4" t="inlineStr">
        <is>
          <t>01361</t>
        </is>
      </c>
      <c r="D3547" s="29" t="inlineStr">
        <is>
          <t>SERPİL İİPEK</t>
        </is>
      </c>
      <c r="E3547" s="4" t="inlineStr">
        <is>
          <t>Cuma</t>
        </is>
      </c>
      <c r="F3547" s="4" t="inlineStr">
        <is>
          <t>16.10.2026</t>
        </is>
      </c>
      <c r="G3547" s="4" t="inlineStr">
        <is>
          <t>07:54</t>
        </is>
      </c>
      <c r="H3547" s="4" t="inlineStr">
        <is>
          <t>16.10.2026</t>
        </is>
      </c>
      <c r="I3547" s="4" t="inlineStr">
        <is>
          <t>20:07</t>
        </is>
      </c>
      <c r="J3547" s="8" t="n">
        <v>10.5</v>
      </c>
      <c r="K3547" s="8" t="n">
        <v>7.5</v>
      </c>
      <c r="L3547" s="8" t="n">
        <v>3</v>
      </c>
      <c r="M3547" s="29" t="inlineStr">
        <is>
          <t>HALİL DİĞRENCİ</t>
        </is>
      </c>
    </row>
    <row r="3548">
      <c r="A3548" s="4" t="n">
        <v>3547</v>
      </c>
      <c r="B3548" s="4" t="inlineStr">
        <is>
          <t>01361</t>
        </is>
      </c>
      <c r="C3548" s="4" t="inlineStr">
        <is>
          <t>01361</t>
        </is>
      </c>
      <c r="D3548" s="29" t="inlineStr">
        <is>
          <t>SERPİL İİPEK</t>
        </is>
      </c>
      <c r="E3548" s="4" t="inlineStr">
        <is>
          <t>Cumartesi</t>
        </is>
      </c>
      <c r="F3548" s="4" t="inlineStr">
        <is>
          <t>17.10.2026</t>
        </is>
      </c>
      <c r="G3548" s="4" t="inlineStr">
        <is>
          <t>07:59</t>
        </is>
      </c>
      <c r="H3548" s="4" t="inlineStr">
        <is>
          <t>17.10.2026</t>
        </is>
      </c>
      <c r="I3548" s="4" t="inlineStr">
        <is>
          <t>20:09</t>
        </is>
      </c>
      <c r="J3548" s="8" t="n">
        <v>10.5</v>
      </c>
      <c r="K3548" s="8" t="n">
        <v>7.5</v>
      </c>
      <c r="L3548" s="8" t="n">
        <v>3</v>
      </c>
      <c r="M3548" s="29" t="inlineStr">
        <is>
          <t>HALİL DİĞRENCİ</t>
        </is>
      </c>
    </row>
    <row r="3549">
      <c r="A3549" s="4" t="n">
        <v>3548</v>
      </c>
      <c r="B3549" s="4" t="inlineStr">
        <is>
          <t>01361</t>
        </is>
      </c>
      <c r="C3549" s="4" t="inlineStr">
        <is>
          <t>01361</t>
        </is>
      </c>
      <c r="D3549" s="29" t="inlineStr">
        <is>
          <t>SERPİL İİPEK</t>
        </is>
      </c>
      <c r="E3549" s="4" t="inlineStr">
        <is>
          <t>Pazartesi</t>
        </is>
      </c>
      <c r="F3549" s="4" t="inlineStr">
        <is>
          <t>19.10.2026</t>
        </is>
      </c>
      <c r="G3549" s="4" t="inlineStr">
        <is>
          <t>07:36</t>
        </is>
      </c>
      <c r="H3549" s="4" t="inlineStr">
        <is>
          <t>19.10.2026</t>
        </is>
      </c>
      <c r="I3549" s="4" t="inlineStr">
        <is>
          <t>20:08</t>
        </is>
      </c>
      <c r="J3549" s="8" t="n">
        <v>10.5</v>
      </c>
      <c r="K3549" s="8" t="n">
        <v>7.5</v>
      </c>
      <c r="L3549" s="8" t="n">
        <v>3</v>
      </c>
      <c r="M3549" s="29" t="inlineStr">
        <is>
          <t>HALİL DİĞRENCİ</t>
        </is>
      </c>
    </row>
    <row r="3550">
      <c r="A3550" s="4" t="n">
        <v>3549</v>
      </c>
      <c r="B3550" s="4" t="inlineStr">
        <is>
          <t>01361</t>
        </is>
      </c>
      <c r="C3550" s="4" t="inlineStr">
        <is>
          <t>01361</t>
        </is>
      </c>
      <c r="D3550" s="29" t="inlineStr">
        <is>
          <t>SERPİL İİPEK</t>
        </is>
      </c>
      <c r="E3550" s="4" t="inlineStr">
        <is>
          <t>Salı</t>
        </is>
      </c>
      <c r="F3550" s="4" t="inlineStr">
        <is>
          <t>20.10.2026</t>
        </is>
      </c>
      <c r="G3550" s="4" t="inlineStr">
        <is>
          <t>07:31</t>
        </is>
      </c>
      <c r="H3550" s="4" t="inlineStr">
        <is>
          <t>20.10.2026</t>
        </is>
      </c>
      <c r="I3550" s="4" t="inlineStr">
        <is>
          <t>17:13</t>
        </is>
      </c>
      <c r="J3550" s="8" t="n">
        <v>7.5</v>
      </c>
      <c r="K3550" s="8" t="n">
        <v>7.5</v>
      </c>
      <c r="L3550" s="8" t="n">
        <v>0</v>
      </c>
      <c r="M3550" s="29" t="inlineStr">
        <is>
          <t>HALİL DİĞRENCİ</t>
        </is>
      </c>
    </row>
    <row r="3551">
      <c r="A3551" s="4" t="n">
        <v>3550</v>
      </c>
      <c r="B3551" s="4" t="inlineStr">
        <is>
          <t>01361</t>
        </is>
      </c>
      <c r="C3551" s="4" t="inlineStr">
        <is>
          <t>01361</t>
        </is>
      </c>
      <c r="D3551" s="29" t="inlineStr">
        <is>
          <t>SERPİL İİPEK</t>
        </is>
      </c>
      <c r="E3551" s="4" t="inlineStr">
        <is>
          <t>Çarşamba</t>
        </is>
      </c>
      <c r="F3551" s="4" t="inlineStr">
        <is>
          <t>21.10.2026</t>
        </is>
      </c>
      <c r="G3551" s="4" t="inlineStr">
        <is>
          <t>07:41</t>
        </is>
      </c>
      <c r="H3551" s="4" t="inlineStr">
        <is>
          <t>21.10.2026</t>
        </is>
      </c>
      <c r="I3551" s="4" t="inlineStr">
        <is>
          <t>17:02</t>
        </is>
      </c>
      <c r="J3551" s="8" t="n">
        <v>7.5</v>
      </c>
      <c r="K3551" s="8" t="n">
        <v>7.5</v>
      </c>
      <c r="L3551" s="8" t="n">
        <v>0</v>
      </c>
      <c r="M3551" s="29" t="inlineStr">
        <is>
          <t>HALİL DİĞRENCİ</t>
        </is>
      </c>
    </row>
    <row r="3552">
      <c r="A3552" s="4" t="n">
        <v>3551</v>
      </c>
      <c r="B3552" s="4" t="inlineStr">
        <is>
          <t>00165</t>
        </is>
      </c>
      <c r="C3552" s="4" t="inlineStr">
        <is>
          <t>00165</t>
        </is>
      </c>
      <c r="D3552" s="29" t="inlineStr">
        <is>
          <t>SEVGİ AYCAN</t>
        </is>
      </c>
      <c r="E3552" s="4" t="inlineStr">
        <is>
          <t>Pazartesi</t>
        </is>
      </c>
      <c r="F3552" s="4" t="inlineStr">
        <is>
          <t>5.10.2026</t>
        </is>
      </c>
      <c r="G3552" s="4" t="inlineStr">
        <is>
          <t>07:44</t>
        </is>
      </c>
      <c r="H3552" s="4" t="inlineStr">
        <is>
          <t>5.10.2026</t>
        </is>
      </c>
      <c r="I3552" s="4" t="inlineStr">
        <is>
          <t>17:09</t>
        </is>
      </c>
      <c r="J3552" s="8" t="n">
        <v>7.5</v>
      </c>
      <c r="K3552" s="8" t="n">
        <v>7.5</v>
      </c>
      <c r="L3552" s="8" t="n">
        <v>0</v>
      </c>
      <c r="M3552" s="29" t="inlineStr">
        <is>
          <t>BANDIRMA</t>
        </is>
      </c>
    </row>
    <row r="3553">
      <c r="A3553" s="4" t="n">
        <v>3552</v>
      </c>
      <c r="B3553" s="4" t="inlineStr">
        <is>
          <t>00165</t>
        </is>
      </c>
      <c r="C3553" s="4" t="inlineStr">
        <is>
          <t>00165</t>
        </is>
      </c>
      <c r="D3553" s="29" t="inlineStr">
        <is>
          <t>SEVGİ AYCAN</t>
        </is>
      </c>
      <c r="E3553" s="4" t="inlineStr">
        <is>
          <t>Salı</t>
        </is>
      </c>
      <c r="F3553" s="4" t="inlineStr">
        <is>
          <t>6.10.2026</t>
        </is>
      </c>
      <c r="G3553" s="4" t="inlineStr">
        <is>
          <t>07:43</t>
        </is>
      </c>
      <c r="H3553" s="4" t="inlineStr">
        <is>
          <t>6.10.2026</t>
        </is>
      </c>
      <c r="I3553" s="4" t="inlineStr">
        <is>
          <t>17:45</t>
        </is>
      </c>
      <c r="J3553" s="8" t="n">
        <v>8.5</v>
      </c>
      <c r="K3553" s="8" t="n">
        <v>7.5</v>
      </c>
      <c r="L3553" s="8" t="n">
        <v>1</v>
      </c>
      <c r="M3553" s="29" t="inlineStr">
        <is>
          <t>BANDIRMA</t>
        </is>
      </c>
    </row>
    <row r="3554">
      <c r="A3554" s="4" t="n">
        <v>3553</v>
      </c>
      <c r="B3554" s="4" t="inlineStr">
        <is>
          <t>00165</t>
        </is>
      </c>
      <c r="C3554" s="4" t="inlineStr">
        <is>
          <t>00165</t>
        </is>
      </c>
      <c r="D3554" s="29" t="inlineStr">
        <is>
          <t>SEVGİ AYCAN</t>
        </is>
      </c>
      <c r="E3554" s="4" t="inlineStr">
        <is>
          <t>Çarşamba</t>
        </is>
      </c>
      <c r="F3554" s="4" t="inlineStr">
        <is>
          <t>7.10.2026</t>
        </is>
      </c>
      <c r="G3554" s="4" t="inlineStr">
        <is>
          <t>07:44</t>
        </is>
      </c>
      <c r="H3554" s="4" t="inlineStr">
        <is>
          <t>7.10.2026</t>
        </is>
      </c>
      <c r="I3554" s="4" t="inlineStr">
        <is>
          <t>17:24</t>
        </is>
      </c>
      <c r="J3554" s="8" t="n">
        <v>8</v>
      </c>
      <c r="K3554" s="8" t="n">
        <v>7.5</v>
      </c>
      <c r="L3554" s="8" t="n">
        <v>0.5</v>
      </c>
      <c r="M3554" s="29" t="inlineStr">
        <is>
          <t>BANDIRMA</t>
        </is>
      </c>
    </row>
    <row r="3555">
      <c r="A3555" s="4" t="n">
        <v>3554</v>
      </c>
      <c r="B3555" s="4" t="inlineStr">
        <is>
          <t>00165</t>
        </is>
      </c>
      <c r="C3555" s="4" t="inlineStr">
        <is>
          <t>00165</t>
        </is>
      </c>
      <c r="D3555" s="29" t="inlineStr">
        <is>
          <t>SEVGİ AYCAN</t>
        </is>
      </c>
      <c r="E3555" s="4" t="inlineStr">
        <is>
          <t>Perşembe</t>
        </is>
      </c>
      <c r="F3555" s="4" t="inlineStr">
        <is>
          <t>8.10.2026</t>
        </is>
      </c>
      <c r="G3555" s="4" t="inlineStr">
        <is>
          <t>07:44</t>
        </is>
      </c>
      <c r="H3555" s="4" t="inlineStr">
        <is>
          <t>8.10.2026</t>
        </is>
      </c>
      <c r="I3555" s="4" t="inlineStr">
        <is>
          <t>17:38</t>
        </is>
      </c>
      <c r="J3555" s="8" t="n">
        <v>8</v>
      </c>
      <c r="K3555" s="8" t="n">
        <v>7.5</v>
      </c>
      <c r="L3555" s="8" t="n">
        <v>0.5</v>
      </c>
      <c r="M3555" s="29" t="inlineStr">
        <is>
          <t>BANDIRMA</t>
        </is>
      </c>
    </row>
    <row r="3556">
      <c r="A3556" s="4" t="n">
        <v>3555</v>
      </c>
      <c r="B3556" s="4" t="inlineStr">
        <is>
          <t>00165</t>
        </is>
      </c>
      <c r="C3556" s="4" t="inlineStr">
        <is>
          <t>00165</t>
        </is>
      </c>
      <c r="D3556" s="29" t="inlineStr">
        <is>
          <t>SEVGİ AYCAN</t>
        </is>
      </c>
      <c r="E3556" s="4" t="inlineStr">
        <is>
          <t>Cuma</t>
        </is>
      </c>
      <c r="F3556" s="4" t="inlineStr">
        <is>
          <t>9.10.2026</t>
        </is>
      </c>
      <c r="G3556" s="4" t="inlineStr">
        <is>
          <t>07:41</t>
        </is>
      </c>
      <c r="H3556" s="4" t="inlineStr">
        <is>
          <t>9.10.2026</t>
        </is>
      </c>
      <c r="I3556" s="4" t="inlineStr">
        <is>
          <t>17:47</t>
        </is>
      </c>
      <c r="J3556" s="8" t="n">
        <v>8.5</v>
      </c>
      <c r="K3556" s="8" t="n">
        <v>7.5</v>
      </c>
      <c r="L3556" s="8" t="n">
        <v>1</v>
      </c>
      <c r="M3556" s="29" t="inlineStr">
        <is>
          <t>BANDIRMA</t>
        </is>
      </c>
    </row>
    <row r="3557">
      <c r="A3557" s="4" t="n">
        <v>3556</v>
      </c>
      <c r="B3557" s="4" t="inlineStr">
        <is>
          <t>00165</t>
        </is>
      </c>
      <c r="C3557" s="4" t="inlineStr">
        <is>
          <t>00165</t>
        </is>
      </c>
      <c r="D3557" s="29" t="inlineStr">
        <is>
          <t>SEVGİ AYCAN</t>
        </is>
      </c>
      <c r="E3557" s="4" t="inlineStr">
        <is>
          <t>Cumartesi</t>
        </is>
      </c>
      <c r="F3557" s="4" t="inlineStr">
        <is>
          <t>10.10.2026</t>
        </is>
      </c>
      <c r="G3557" s="4" t="inlineStr">
        <is>
          <t>07:41</t>
        </is>
      </c>
      <c r="H3557" s="4" t="inlineStr">
        <is>
          <t>10.10.2026</t>
        </is>
      </c>
      <c r="I3557" s="4" t="inlineStr">
        <is>
          <t>18:12</t>
        </is>
      </c>
      <c r="J3557" s="8" t="n">
        <v>8.5</v>
      </c>
      <c r="K3557" s="8" t="n">
        <v>7.5</v>
      </c>
      <c r="L3557" s="8" t="n">
        <v>1</v>
      </c>
      <c r="M3557" s="29" t="inlineStr">
        <is>
          <t>BANDIRMA</t>
        </is>
      </c>
    </row>
    <row r="3558">
      <c r="A3558" s="4" t="n">
        <v>3557</v>
      </c>
      <c r="B3558" s="4" t="inlineStr">
        <is>
          <t>00165</t>
        </is>
      </c>
      <c r="C3558" s="4" t="inlineStr">
        <is>
          <t>00165</t>
        </is>
      </c>
      <c r="D3558" s="29" t="inlineStr">
        <is>
          <t>SEVGİ AYCAN</t>
        </is>
      </c>
      <c r="E3558" s="4" t="inlineStr">
        <is>
          <t>Pazartesi</t>
        </is>
      </c>
      <c r="F3558" s="4" t="inlineStr">
        <is>
          <t>12.10.2026</t>
        </is>
      </c>
      <c r="G3558" s="4" t="inlineStr">
        <is>
          <t>07:48</t>
        </is>
      </c>
      <c r="H3558" s="4" t="inlineStr">
        <is>
          <t>12.10.2026</t>
        </is>
      </c>
      <c r="I3558" s="4" t="inlineStr">
        <is>
          <t>17:03</t>
        </is>
      </c>
      <c r="J3558" s="8" t="n">
        <v>7.5</v>
      </c>
      <c r="K3558" s="8" t="n">
        <v>7.5</v>
      </c>
      <c r="L3558" s="8" t="n">
        <v>0</v>
      </c>
      <c r="M3558" s="29" t="inlineStr">
        <is>
          <t>BANDIRMA</t>
        </is>
      </c>
    </row>
    <row r="3559">
      <c r="A3559" s="4" t="n">
        <v>3558</v>
      </c>
      <c r="B3559" s="4" t="inlineStr">
        <is>
          <t>00165</t>
        </is>
      </c>
      <c r="C3559" s="4" t="inlineStr">
        <is>
          <t>00165</t>
        </is>
      </c>
      <c r="D3559" s="29" t="inlineStr">
        <is>
          <t>SEVGİ AYCAN</t>
        </is>
      </c>
      <c r="E3559" s="4" t="inlineStr">
        <is>
          <t>Salı</t>
        </is>
      </c>
      <c r="F3559" s="4" t="inlineStr">
        <is>
          <t>13.10.2026</t>
        </is>
      </c>
      <c r="G3559" s="4" t="inlineStr">
        <is>
          <t>07:46</t>
        </is>
      </c>
      <c r="H3559" s="4" t="inlineStr">
        <is>
          <t>13.10.2026</t>
        </is>
      </c>
      <c r="I3559" s="4" t="inlineStr">
        <is>
          <t>17:04</t>
        </is>
      </c>
      <c r="J3559" s="8" t="n">
        <v>7.5</v>
      </c>
      <c r="K3559" s="8" t="n">
        <v>7.5</v>
      </c>
      <c r="L3559" s="8" t="n">
        <v>0</v>
      </c>
      <c r="M3559" s="29" t="inlineStr">
        <is>
          <t>BANDIRMA</t>
        </is>
      </c>
    </row>
    <row r="3560">
      <c r="A3560" s="4" t="n">
        <v>3559</v>
      </c>
      <c r="B3560" s="4" t="inlineStr">
        <is>
          <t>00165</t>
        </is>
      </c>
      <c r="C3560" s="4" t="inlineStr">
        <is>
          <t>00165</t>
        </is>
      </c>
      <c r="D3560" s="29" t="inlineStr">
        <is>
          <t>SEVGİ AYCAN</t>
        </is>
      </c>
      <c r="E3560" s="4" t="inlineStr">
        <is>
          <t>Çarşamba</t>
        </is>
      </c>
      <c r="F3560" s="4" t="inlineStr">
        <is>
          <t>14.10.2026</t>
        </is>
      </c>
      <c r="G3560" s="4" t="inlineStr">
        <is>
          <t>07:48</t>
        </is>
      </c>
      <c r="H3560" s="4" t="inlineStr">
        <is>
          <t>14.10.2026</t>
        </is>
      </c>
      <c r="I3560" s="4" t="inlineStr">
        <is>
          <t>18:09</t>
        </is>
      </c>
      <c r="J3560" s="8" t="n">
        <v>8.5</v>
      </c>
      <c r="K3560" s="8" t="n">
        <v>7.5</v>
      </c>
      <c r="L3560" s="8" t="n">
        <v>1</v>
      </c>
      <c r="M3560" s="29" t="inlineStr">
        <is>
          <t>BANDIRMA</t>
        </is>
      </c>
    </row>
    <row r="3561">
      <c r="A3561" s="4" t="n">
        <v>3560</v>
      </c>
      <c r="B3561" s="4" t="inlineStr">
        <is>
          <t>00165</t>
        </is>
      </c>
      <c r="C3561" s="4" t="inlineStr">
        <is>
          <t>00165</t>
        </is>
      </c>
      <c r="D3561" s="29" t="inlineStr">
        <is>
          <t>SEVGİ AYCAN</t>
        </is>
      </c>
      <c r="E3561" s="4" t="inlineStr">
        <is>
          <t>Perşembe</t>
        </is>
      </c>
      <c r="F3561" s="4" t="inlineStr">
        <is>
          <t>15.10.2026</t>
        </is>
      </c>
      <c r="G3561" s="4" t="inlineStr">
        <is>
          <t>07:44</t>
        </is>
      </c>
      <c r="H3561" s="4" t="inlineStr">
        <is>
          <t>15.10.2026</t>
        </is>
      </c>
      <c r="I3561" s="4" t="inlineStr">
        <is>
          <t>17:03</t>
        </is>
      </c>
      <c r="J3561" s="8" t="n">
        <v>7.5</v>
      </c>
      <c r="K3561" s="8" t="n">
        <v>7.5</v>
      </c>
      <c r="L3561" s="8" t="n">
        <v>0</v>
      </c>
      <c r="M3561" s="29" t="inlineStr">
        <is>
          <t>BANDIRMA</t>
        </is>
      </c>
    </row>
    <row r="3562">
      <c r="A3562" s="4" t="n">
        <v>3561</v>
      </c>
      <c r="B3562" s="4" t="inlineStr">
        <is>
          <t>00165</t>
        </is>
      </c>
      <c r="C3562" s="4" t="inlineStr">
        <is>
          <t>00165</t>
        </is>
      </c>
      <c r="D3562" s="29" t="inlineStr">
        <is>
          <t>SEVGİ AYCAN</t>
        </is>
      </c>
      <c r="E3562" s="4" t="inlineStr">
        <is>
          <t>Cuma</t>
        </is>
      </c>
      <c r="F3562" s="4" t="inlineStr">
        <is>
          <t>16.10.2026</t>
        </is>
      </c>
      <c r="G3562" s="4" t="inlineStr">
        <is>
          <t>07:42</t>
        </is>
      </c>
      <c r="H3562" s="4" t="inlineStr">
        <is>
          <t>16.10.2026</t>
        </is>
      </c>
      <c r="I3562" s="4" t="inlineStr">
        <is>
          <t>17:21</t>
        </is>
      </c>
      <c r="J3562" s="8" t="n">
        <v>8</v>
      </c>
      <c r="K3562" s="8" t="n">
        <v>7.5</v>
      </c>
      <c r="L3562" s="8" t="n">
        <v>0.5</v>
      </c>
      <c r="M3562" s="29" t="inlineStr">
        <is>
          <t>BANDIRMA</t>
        </is>
      </c>
    </row>
    <row r="3563">
      <c r="A3563" s="4" t="n">
        <v>3562</v>
      </c>
      <c r="B3563" s="4" t="inlineStr">
        <is>
          <t>00165</t>
        </is>
      </c>
      <c r="C3563" s="4" t="inlineStr">
        <is>
          <t>00165</t>
        </is>
      </c>
      <c r="D3563" s="29" t="inlineStr">
        <is>
          <t>SEVGİ AYCAN</t>
        </is>
      </c>
      <c r="E3563" s="4" t="inlineStr">
        <is>
          <t>Pazartesi</t>
        </is>
      </c>
      <c r="F3563" s="4" t="inlineStr">
        <is>
          <t>19.10.2026</t>
        </is>
      </c>
      <c r="G3563" s="4" t="inlineStr">
        <is>
          <t>07:56</t>
        </is>
      </c>
      <c r="H3563" s="4" t="inlineStr">
        <is>
          <t>19.10.2026</t>
        </is>
      </c>
      <c r="I3563" s="4" t="inlineStr">
        <is>
          <t>17:48</t>
        </is>
      </c>
      <c r="J3563" s="8" t="n">
        <v>8.5</v>
      </c>
      <c r="K3563" s="8" t="n">
        <v>7.5</v>
      </c>
      <c r="L3563" s="8" t="n">
        <v>1</v>
      </c>
      <c r="M3563" s="29" t="inlineStr">
        <is>
          <t>BANDIRMA</t>
        </is>
      </c>
    </row>
    <row r="3564">
      <c r="A3564" s="4" t="n">
        <v>3563</v>
      </c>
      <c r="B3564" s="4" t="inlineStr">
        <is>
          <t>00165</t>
        </is>
      </c>
      <c r="C3564" s="4" t="inlineStr">
        <is>
          <t>00165</t>
        </is>
      </c>
      <c r="D3564" s="29" t="inlineStr">
        <is>
          <t>SEVGİ AYCAN</t>
        </is>
      </c>
      <c r="E3564" s="4" t="inlineStr">
        <is>
          <t>Salı</t>
        </is>
      </c>
      <c r="F3564" s="4" t="inlineStr">
        <is>
          <t>20.10.2026</t>
        </is>
      </c>
      <c r="G3564" s="4" t="inlineStr">
        <is>
          <t>07:42</t>
        </is>
      </c>
      <c r="H3564" s="4" t="inlineStr">
        <is>
          <t>20.10.2026</t>
        </is>
      </c>
      <c r="I3564" s="4" t="inlineStr">
        <is>
          <t>17:03</t>
        </is>
      </c>
      <c r="J3564" s="8" t="n">
        <v>7.5</v>
      </c>
      <c r="K3564" s="8" t="n">
        <v>7.5</v>
      </c>
      <c r="L3564" s="8" t="n">
        <v>0</v>
      </c>
      <c r="M3564" s="29" t="inlineStr">
        <is>
          <t>BANDIRMA</t>
        </is>
      </c>
    </row>
    <row r="3565">
      <c r="A3565" s="4" t="n">
        <v>3564</v>
      </c>
      <c r="B3565" s="4" t="inlineStr">
        <is>
          <t>00165</t>
        </is>
      </c>
      <c r="C3565" s="4" t="inlineStr">
        <is>
          <t>00165</t>
        </is>
      </c>
      <c r="D3565" s="29" t="inlineStr">
        <is>
          <t>SEVGİ AYCAN</t>
        </is>
      </c>
      <c r="E3565" s="4" t="inlineStr">
        <is>
          <t>Çarşamba</t>
        </is>
      </c>
      <c r="F3565" s="4" t="inlineStr">
        <is>
          <t>21.10.2026</t>
        </is>
      </c>
      <c r="G3565" s="4" t="inlineStr">
        <is>
          <t>07:46</t>
        </is>
      </c>
      <c r="H3565" s="4" t="inlineStr">
        <is>
          <t>21.10.2026</t>
        </is>
      </c>
      <c r="I3565" s="4" t="inlineStr">
        <is>
          <t>17:02</t>
        </is>
      </c>
      <c r="J3565" s="8" t="n">
        <v>7.5</v>
      </c>
      <c r="K3565" s="8" t="n">
        <v>7.5</v>
      </c>
      <c r="L3565" s="8" t="n">
        <v>0</v>
      </c>
      <c r="M3565" s="29" t="inlineStr">
        <is>
          <t>BANDIRMA</t>
        </is>
      </c>
    </row>
    <row r="3566">
      <c r="A3566" s="4" t="n">
        <v>3565</v>
      </c>
      <c r="B3566" s="4" t="inlineStr">
        <is>
          <t>00884</t>
        </is>
      </c>
      <c r="C3566" s="4" t="inlineStr">
        <is>
          <t>00884</t>
        </is>
      </c>
      <c r="D3566" s="29" t="inlineStr">
        <is>
          <t>SEVİLAY DÖNMEZ</t>
        </is>
      </c>
      <c r="E3566" s="4" t="inlineStr">
        <is>
          <t>Perşembe</t>
        </is>
      </c>
      <c r="F3566" s="4" t="inlineStr">
        <is>
          <t>1.10.2026</t>
        </is>
      </c>
      <c r="G3566" s="4" t="inlineStr">
        <is>
          <t>07:36</t>
        </is>
      </c>
      <c r="H3566" s="4" t="inlineStr">
        <is>
          <t>1.10.2026</t>
        </is>
      </c>
      <c r="I3566" s="4" t="inlineStr">
        <is>
          <t>17:30</t>
        </is>
      </c>
      <c r="J3566" s="8" t="n">
        <v>8</v>
      </c>
      <c r="K3566" s="8" t="n">
        <v>7.5</v>
      </c>
      <c r="L3566" s="8" t="n">
        <v>0.5</v>
      </c>
      <c r="M3566" s="29" t="inlineStr">
        <is>
          <t>GÜVEN TURİZM</t>
        </is>
      </c>
    </row>
    <row r="3567">
      <c r="A3567" s="4" t="n">
        <v>3566</v>
      </c>
      <c r="B3567" s="4" t="inlineStr">
        <is>
          <t>00884</t>
        </is>
      </c>
      <c r="C3567" s="4" t="inlineStr">
        <is>
          <t>00884</t>
        </is>
      </c>
      <c r="D3567" s="29" t="inlineStr">
        <is>
          <t>SEVİLAY DÖNMEZ</t>
        </is>
      </c>
      <c r="E3567" s="4" t="inlineStr">
        <is>
          <t>Cumartesi</t>
        </is>
      </c>
      <c r="F3567" s="4" t="inlineStr">
        <is>
          <t>3.10.2026</t>
        </is>
      </c>
      <c r="G3567" s="4" t="inlineStr">
        <is>
          <t>07:37</t>
        </is>
      </c>
      <c r="H3567" s="4" t="inlineStr">
        <is>
          <t>3.10.2026</t>
        </is>
      </c>
      <c r="I3567" s="4" t="inlineStr">
        <is>
          <t>17:42</t>
        </is>
      </c>
      <c r="J3567" s="8" t="n">
        <v>8</v>
      </c>
      <c r="K3567" s="8" t="n">
        <v>7.5</v>
      </c>
      <c r="L3567" s="8" t="n">
        <v>0.5</v>
      </c>
      <c r="M3567" s="29" t="inlineStr">
        <is>
          <t>GÜVEN TURİZM</t>
        </is>
      </c>
    </row>
    <row r="3568">
      <c r="A3568" s="4" t="n">
        <v>3567</v>
      </c>
      <c r="B3568" s="4" t="inlineStr">
        <is>
          <t>00884</t>
        </is>
      </c>
      <c r="C3568" s="4" t="inlineStr">
        <is>
          <t>00884</t>
        </is>
      </c>
      <c r="D3568" s="29" t="inlineStr">
        <is>
          <t>SEVİLAY DÖNMEZ</t>
        </is>
      </c>
      <c r="E3568" s="4" t="inlineStr">
        <is>
          <t>Pazartesi</t>
        </is>
      </c>
      <c r="F3568" s="4" t="inlineStr">
        <is>
          <t>5.10.2026</t>
        </is>
      </c>
      <c r="G3568" s="4" t="inlineStr">
        <is>
          <t>07:39</t>
        </is>
      </c>
      <c r="H3568" s="4" t="inlineStr">
        <is>
          <t>5.10.2026</t>
        </is>
      </c>
      <c r="I3568" s="4" t="inlineStr">
        <is>
          <t>17:07</t>
        </is>
      </c>
      <c r="J3568" s="8" t="n">
        <v>7.5</v>
      </c>
      <c r="K3568" s="8" t="n">
        <v>7.5</v>
      </c>
      <c r="L3568" s="8" t="n">
        <v>0</v>
      </c>
      <c r="M3568" s="29" t="inlineStr">
        <is>
          <t>GÜVEN TURİZM</t>
        </is>
      </c>
    </row>
    <row r="3569">
      <c r="A3569" s="4" t="n">
        <v>3568</v>
      </c>
      <c r="B3569" s="4" t="inlineStr">
        <is>
          <t>00884</t>
        </is>
      </c>
      <c r="C3569" s="4" t="inlineStr">
        <is>
          <t>00884</t>
        </is>
      </c>
      <c r="D3569" s="29" t="inlineStr">
        <is>
          <t>SEVİLAY DÖNMEZ</t>
        </is>
      </c>
      <c r="E3569" s="4" t="inlineStr">
        <is>
          <t>Salı</t>
        </is>
      </c>
      <c r="F3569" s="4" t="inlineStr">
        <is>
          <t>6.10.2026</t>
        </is>
      </c>
      <c r="G3569" s="4" t="inlineStr">
        <is>
          <t>07:41</t>
        </is>
      </c>
      <c r="H3569" s="4" t="inlineStr">
        <is>
          <t>6.10.2026</t>
        </is>
      </c>
      <c r="I3569" s="4" t="inlineStr">
        <is>
          <t>17:45</t>
        </is>
      </c>
      <c r="J3569" s="8" t="n">
        <v>8.5</v>
      </c>
      <c r="K3569" s="8" t="n">
        <v>7.5</v>
      </c>
      <c r="L3569" s="8" t="n">
        <v>1</v>
      </c>
      <c r="M3569" s="29" t="inlineStr">
        <is>
          <t>GÜVEN TURİZM</t>
        </is>
      </c>
    </row>
    <row r="3570">
      <c r="A3570" s="4" t="n">
        <v>3569</v>
      </c>
      <c r="B3570" s="4" t="inlineStr">
        <is>
          <t>00884</t>
        </is>
      </c>
      <c r="C3570" s="4" t="inlineStr">
        <is>
          <t>00884</t>
        </is>
      </c>
      <c r="D3570" s="29" t="inlineStr">
        <is>
          <t>SEVİLAY DÖNMEZ</t>
        </is>
      </c>
      <c r="E3570" s="4" t="inlineStr">
        <is>
          <t>Çarşamba</t>
        </is>
      </c>
      <c r="F3570" s="4" t="inlineStr">
        <is>
          <t>7.10.2026</t>
        </is>
      </c>
      <c r="G3570" s="4" t="inlineStr">
        <is>
          <t>07:37</t>
        </is>
      </c>
      <c r="H3570" s="4" t="inlineStr">
        <is>
          <t>7.10.2026</t>
        </is>
      </c>
      <c r="I3570" s="4" t="inlineStr">
        <is>
          <t>17:29</t>
        </is>
      </c>
      <c r="J3570" s="8" t="n">
        <v>8</v>
      </c>
      <c r="K3570" s="8" t="n">
        <v>7.5</v>
      </c>
      <c r="L3570" s="8" t="n">
        <v>0.5</v>
      </c>
      <c r="M3570" s="29" t="inlineStr">
        <is>
          <t>GÜVEN TURİZM</t>
        </is>
      </c>
    </row>
    <row r="3571">
      <c r="A3571" s="4" t="n">
        <v>3570</v>
      </c>
      <c r="B3571" s="4" t="inlineStr">
        <is>
          <t>00884</t>
        </is>
      </c>
      <c r="C3571" s="4" t="inlineStr">
        <is>
          <t>00884</t>
        </is>
      </c>
      <c r="D3571" s="29" t="inlineStr">
        <is>
          <t>SEVİLAY DÖNMEZ</t>
        </is>
      </c>
      <c r="E3571" s="4" t="inlineStr">
        <is>
          <t>Cuma</t>
        </is>
      </c>
      <c r="F3571" s="4" t="inlineStr">
        <is>
          <t>9.10.2026</t>
        </is>
      </c>
      <c r="G3571" s="4" t="inlineStr">
        <is>
          <t>07:38</t>
        </is>
      </c>
      <c r="H3571" s="4" t="inlineStr">
        <is>
          <t>9.10.2026</t>
        </is>
      </c>
      <c r="I3571" s="4" t="inlineStr">
        <is>
          <t>17:47</t>
        </is>
      </c>
      <c r="J3571" s="8" t="n">
        <v>8.5</v>
      </c>
      <c r="K3571" s="8" t="n">
        <v>7.5</v>
      </c>
      <c r="L3571" s="8" t="n">
        <v>1</v>
      </c>
      <c r="M3571" s="29" t="inlineStr">
        <is>
          <t>GÜVEN TURİZM</t>
        </is>
      </c>
    </row>
    <row r="3572">
      <c r="A3572" s="4" t="n">
        <v>3571</v>
      </c>
      <c r="B3572" s="4" t="inlineStr">
        <is>
          <t>00884</t>
        </is>
      </c>
      <c r="C3572" s="4" t="inlineStr">
        <is>
          <t>00884</t>
        </is>
      </c>
      <c r="D3572" s="29" t="inlineStr">
        <is>
          <t>SEVİLAY DÖNMEZ</t>
        </is>
      </c>
      <c r="E3572" s="4" t="inlineStr">
        <is>
          <t>Cumartesi</t>
        </is>
      </c>
      <c r="F3572" s="4" t="inlineStr">
        <is>
          <t>10.10.2026</t>
        </is>
      </c>
      <c r="G3572" s="4" t="inlineStr">
        <is>
          <t>07:40</t>
        </is>
      </c>
      <c r="H3572" s="4" t="inlineStr">
        <is>
          <t>10.10.2026</t>
        </is>
      </c>
      <c r="I3572" s="4" t="inlineStr">
        <is>
          <t>18:14</t>
        </is>
      </c>
      <c r="J3572" s="8" t="n">
        <v>8.5</v>
      </c>
      <c r="K3572" s="8" t="n">
        <v>7.5</v>
      </c>
      <c r="L3572" s="8" t="n">
        <v>1</v>
      </c>
      <c r="M3572" s="29" t="inlineStr">
        <is>
          <t>GÜVEN TURİZM</t>
        </is>
      </c>
    </row>
    <row r="3573">
      <c r="A3573" s="4" t="n">
        <v>3572</v>
      </c>
      <c r="B3573" s="4" t="inlineStr">
        <is>
          <t>00884</t>
        </is>
      </c>
      <c r="C3573" s="4" t="inlineStr">
        <is>
          <t>00884</t>
        </is>
      </c>
      <c r="D3573" s="29" t="inlineStr">
        <is>
          <t>SEVİLAY DÖNMEZ</t>
        </is>
      </c>
      <c r="E3573" s="4" t="inlineStr">
        <is>
          <t>Pazartesi</t>
        </is>
      </c>
      <c r="F3573" s="4" t="inlineStr">
        <is>
          <t>12.10.2026</t>
        </is>
      </c>
      <c r="G3573" s="4" t="inlineStr">
        <is>
          <t>07:45</t>
        </is>
      </c>
      <c r="H3573" s="4" t="inlineStr">
        <is>
          <t>12.10.2026</t>
        </is>
      </c>
      <c r="I3573" s="4" t="inlineStr">
        <is>
          <t>17:05</t>
        </is>
      </c>
      <c r="J3573" s="8" t="n">
        <v>7.5</v>
      </c>
      <c r="K3573" s="8" t="n">
        <v>7.5</v>
      </c>
      <c r="L3573" s="8" t="n">
        <v>0</v>
      </c>
      <c r="M3573" s="29" t="inlineStr">
        <is>
          <t>GÜVEN TURİZM</t>
        </is>
      </c>
    </row>
    <row r="3574">
      <c r="A3574" s="4" t="n">
        <v>3573</v>
      </c>
      <c r="B3574" s="4" t="inlineStr">
        <is>
          <t>00884</t>
        </is>
      </c>
      <c r="C3574" s="4" t="inlineStr">
        <is>
          <t>00884</t>
        </is>
      </c>
      <c r="D3574" s="29" t="inlineStr">
        <is>
          <t>SEVİLAY DÖNMEZ</t>
        </is>
      </c>
      <c r="E3574" s="4" t="inlineStr">
        <is>
          <t>Salı</t>
        </is>
      </c>
      <c r="F3574" s="4" t="inlineStr">
        <is>
          <t>13.10.2026</t>
        </is>
      </c>
      <c r="G3574" s="4" t="inlineStr">
        <is>
          <t>07:42</t>
        </is>
      </c>
      <c r="H3574" s="4" t="inlineStr">
        <is>
          <t>13.10.2026</t>
        </is>
      </c>
      <c r="I3574" s="4" t="inlineStr">
        <is>
          <t>17:03</t>
        </is>
      </c>
      <c r="J3574" s="8" t="n">
        <v>7.5</v>
      </c>
      <c r="K3574" s="8" t="n">
        <v>7.5</v>
      </c>
      <c r="L3574" s="8" t="n">
        <v>0</v>
      </c>
      <c r="M3574" s="29" t="inlineStr">
        <is>
          <t>GÜVEN TURİZM</t>
        </is>
      </c>
    </row>
    <row r="3575">
      <c r="A3575" s="4" t="n">
        <v>3574</v>
      </c>
      <c r="B3575" s="4" t="inlineStr">
        <is>
          <t>00884</t>
        </is>
      </c>
      <c r="C3575" s="4" t="inlineStr">
        <is>
          <t>00884</t>
        </is>
      </c>
      <c r="D3575" s="29" t="inlineStr">
        <is>
          <t>SEVİLAY DÖNMEZ</t>
        </is>
      </c>
      <c r="E3575" s="4" t="inlineStr">
        <is>
          <t>Perşembe</t>
        </is>
      </c>
      <c r="F3575" s="4" t="inlineStr">
        <is>
          <t>15.10.2026</t>
        </is>
      </c>
      <c r="G3575" s="4" t="inlineStr">
        <is>
          <t>07:42</t>
        </is>
      </c>
      <c r="H3575" s="4" t="inlineStr">
        <is>
          <t>15.10.2026</t>
        </is>
      </c>
      <c r="I3575" s="4" t="inlineStr">
        <is>
          <t>17:06</t>
        </is>
      </c>
      <c r="J3575" s="8" t="n">
        <v>7.5</v>
      </c>
      <c r="K3575" s="8" t="n">
        <v>7.5</v>
      </c>
      <c r="L3575" s="8" t="n">
        <v>0</v>
      </c>
      <c r="M3575" s="29" t="inlineStr">
        <is>
          <t>GÜVEN TURİZM</t>
        </is>
      </c>
    </row>
    <row r="3576">
      <c r="A3576" s="4" t="n">
        <v>3575</v>
      </c>
      <c r="B3576" s="4" t="inlineStr">
        <is>
          <t>00884</t>
        </is>
      </c>
      <c r="C3576" s="4" t="inlineStr">
        <is>
          <t>00884</t>
        </is>
      </c>
      <c r="D3576" s="29" t="inlineStr">
        <is>
          <t>SEVİLAY DÖNMEZ</t>
        </is>
      </c>
      <c r="E3576" s="4" t="inlineStr">
        <is>
          <t>Cuma</t>
        </is>
      </c>
      <c r="F3576" s="4" t="inlineStr">
        <is>
          <t>16.10.2026</t>
        </is>
      </c>
      <c r="G3576" s="4" t="inlineStr">
        <is>
          <t>07:38</t>
        </is>
      </c>
      <c r="H3576" s="4" t="inlineStr">
        <is>
          <t>16.10.2026</t>
        </is>
      </c>
      <c r="I3576" s="4" t="inlineStr">
        <is>
          <t>17:24</t>
        </is>
      </c>
      <c r="J3576" s="8" t="n">
        <v>8</v>
      </c>
      <c r="K3576" s="8" t="n">
        <v>7.5</v>
      </c>
      <c r="L3576" s="8" t="n">
        <v>0.5</v>
      </c>
      <c r="M3576" s="29" t="inlineStr">
        <is>
          <t>GÜVEN TURİZM</t>
        </is>
      </c>
    </row>
    <row r="3577">
      <c r="A3577" s="4" t="n">
        <v>3576</v>
      </c>
      <c r="B3577" s="4" t="inlineStr">
        <is>
          <t>00884</t>
        </is>
      </c>
      <c r="C3577" s="4" t="inlineStr">
        <is>
          <t>00884</t>
        </is>
      </c>
      <c r="D3577" s="29" t="inlineStr">
        <is>
          <t>SEVİLAY DÖNMEZ</t>
        </is>
      </c>
      <c r="E3577" s="4" t="inlineStr">
        <is>
          <t>Cumartesi</t>
        </is>
      </c>
      <c r="F3577" s="4" t="inlineStr">
        <is>
          <t>17.10.2026</t>
        </is>
      </c>
      <c r="G3577" s="4" t="inlineStr">
        <is>
          <t>07:39</t>
        </is>
      </c>
      <c r="H3577" s="4" t="inlineStr">
        <is>
          <t>17.10.2026</t>
        </is>
      </c>
      <c r="I3577" s="4" t="inlineStr">
        <is>
          <t>17:54</t>
        </is>
      </c>
      <c r="J3577" s="8" t="n">
        <v>8.5</v>
      </c>
      <c r="K3577" s="8" t="n">
        <v>7.5</v>
      </c>
      <c r="L3577" s="8" t="n">
        <v>1</v>
      </c>
      <c r="M3577" s="29" t="inlineStr">
        <is>
          <t>GÜVEN TURİZM</t>
        </is>
      </c>
    </row>
    <row r="3578">
      <c r="A3578" s="4" t="n">
        <v>3577</v>
      </c>
      <c r="B3578" s="4" t="inlineStr">
        <is>
          <t>00884</t>
        </is>
      </c>
      <c r="C3578" s="4" t="inlineStr">
        <is>
          <t>00884</t>
        </is>
      </c>
      <c r="D3578" s="29" t="inlineStr">
        <is>
          <t>SEVİLAY DÖNMEZ</t>
        </is>
      </c>
      <c r="E3578" s="4" t="inlineStr">
        <is>
          <t>Pazartesi</t>
        </is>
      </c>
      <c r="F3578" s="4" t="inlineStr">
        <is>
          <t>19.10.2026</t>
        </is>
      </c>
      <c r="G3578" s="4" t="inlineStr">
        <is>
          <t>07:39</t>
        </is>
      </c>
      <c r="H3578" s="4" t="inlineStr">
        <is>
          <t>19.10.2026</t>
        </is>
      </c>
      <c r="I3578" s="4" t="inlineStr">
        <is>
          <t>17:48</t>
        </is>
      </c>
      <c r="J3578" s="8" t="n">
        <v>8.5</v>
      </c>
      <c r="K3578" s="8" t="n">
        <v>7.5</v>
      </c>
      <c r="L3578" s="8" t="n">
        <v>1</v>
      </c>
      <c r="M3578" s="29" t="inlineStr">
        <is>
          <t>GÜVEN TURİZM</t>
        </is>
      </c>
    </row>
    <row r="3579">
      <c r="A3579" s="4" t="n">
        <v>3578</v>
      </c>
      <c r="B3579" s="4" t="inlineStr">
        <is>
          <t>00884</t>
        </is>
      </c>
      <c r="C3579" s="4" t="inlineStr">
        <is>
          <t>00884</t>
        </is>
      </c>
      <c r="D3579" s="29" t="inlineStr">
        <is>
          <t>SEVİLAY DÖNMEZ</t>
        </is>
      </c>
      <c r="E3579" s="4" t="inlineStr">
        <is>
          <t>Salı</t>
        </is>
      </c>
      <c r="F3579" s="4" t="inlineStr">
        <is>
          <t>20.10.2026</t>
        </is>
      </c>
      <c r="G3579" s="4" t="inlineStr">
        <is>
          <t>07:39</t>
        </is>
      </c>
      <c r="H3579" s="4" t="inlineStr">
        <is>
          <t>20.10.2026</t>
        </is>
      </c>
      <c r="I3579" s="4" t="inlineStr">
        <is>
          <t>17:03</t>
        </is>
      </c>
      <c r="J3579" s="8" t="n">
        <v>7.5</v>
      </c>
      <c r="K3579" s="8" t="n">
        <v>7.5</v>
      </c>
      <c r="L3579" s="8" t="n">
        <v>0</v>
      </c>
      <c r="M3579" s="29" t="inlineStr">
        <is>
          <t>GÜVEN TURİZM</t>
        </is>
      </c>
    </row>
    <row r="3580">
      <c r="A3580" s="4" t="n">
        <v>3579</v>
      </c>
      <c r="B3580" s="4" t="inlineStr">
        <is>
          <t>00884</t>
        </is>
      </c>
      <c r="C3580" s="4" t="inlineStr">
        <is>
          <t>00884</t>
        </is>
      </c>
      <c r="D3580" s="29" t="inlineStr">
        <is>
          <t>SEVİLAY DÖNMEZ</t>
        </is>
      </c>
      <c r="E3580" s="4" t="inlineStr">
        <is>
          <t>Çarşamba</t>
        </is>
      </c>
      <c r="F3580" s="4" t="inlineStr">
        <is>
          <t>21.10.2026</t>
        </is>
      </c>
      <c r="G3580" s="4" t="inlineStr">
        <is>
          <t>07:48</t>
        </is>
      </c>
      <c r="H3580" s="4" t="inlineStr">
        <is>
          <t>21.10.2026</t>
        </is>
      </c>
      <c r="I3580" s="4" t="inlineStr">
        <is>
          <t>17:05</t>
        </is>
      </c>
      <c r="J3580" s="8" t="n">
        <v>7.5</v>
      </c>
      <c r="K3580" s="8" t="n">
        <v>7.5</v>
      </c>
      <c r="L3580" s="8" t="n">
        <v>0</v>
      </c>
      <c r="M3580" s="29" t="inlineStr">
        <is>
          <t>GÜVEN TURİZM</t>
        </is>
      </c>
    </row>
    <row r="3581">
      <c r="A3581" s="4" t="n">
        <v>3580</v>
      </c>
      <c r="B3581" s="4" t="inlineStr">
        <is>
          <t>01456</t>
        </is>
      </c>
      <c r="C3581" s="4" t="inlineStr">
        <is>
          <t>01456</t>
        </is>
      </c>
      <c r="D3581" s="29" t="inlineStr">
        <is>
          <t>SEVİLAY GÖKGÖZ</t>
        </is>
      </c>
      <c r="E3581" s="4" t="inlineStr">
        <is>
          <t>Cuma</t>
        </is>
      </c>
      <c r="F3581" s="4" t="inlineStr">
        <is>
          <t>2.10.2026</t>
        </is>
      </c>
      <c r="G3581" s="4" t="inlineStr">
        <is>
          <t>-</t>
        </is>
      </c>
      <c r="H3581" s="4" t="inlineStr">
        <is>
          <t>2.10.2026</t>
        </is>
      </c>
      <c r="I3581" s="4" t="inlineStr">
        <is>
          <t>20:02</t>
        </is>
      </c>
      <c r="J3581" s="8" t="n">
        <v>10.5</v>
      </c>
      <c r="K3581" s="8" t="n">
        <v>7.5</v>
      </c>
      <c r="L3581" s="8" t="n">
        <v>3</v>
      </c>
      <c r="M3581" s="29" t="inlineStr">
        <is>
          <t>HALİL DİĞRENCİ</t>
        </is>
      </c>
    </row>
    <row r="3582">
      <c r="A3582" s="4" t="n">
        <v>3581</v>
      </c>
      <c r="B3582" s="4" t="inlineStr">
        <is>
          <t>01456</t>
        </is>
      </c>
      <c r="C3582" s="4" t="inlineStr">
        <is>
          <t>01456</t>
        </is>
      </c>
      <c r="D3582" s="29" t="inlineStr">
        <is>
          <t>SEVİLAY GÖKGÖZ</t>
        </is>
      </c>
      <c r="E3582" s="4" t="inlineStr">
        <is>
          <t>Cumartesi</t>
        </is>
      </c>
      <c r="F3582" s="4" t="inlineStr">
        <is>
          <t>3.10.2026</t>
        </is>
      </c>
      <c r="G3582" s="4" t="inlineStr">
        <is>
          <t>08:04</t>
        </is>
      </c>
      <c r="H3582" s="4" t="inlineStr">
        <is>
          <t>3.10.2026</t>
        </is>
      </c>
      <c r="I3582" s="4" t="inlineStr">
        <is>
          <t>20:00</t>
        </is>
      </c>
      <c r="J3582" s="8" t="n">
        <v>10.5</v>
      </c>
      <c r="K3582" s="8" t="n">
        <v>7.5</v>
      </c>
      <c r="L3582" s="8" t="n">
        <v>3</v>
      </c>
      <c r="M3582" s="29" t="inlineStr">
        <is>
          <t>HALİL DİĞRENCİ</t>
        </is>
      </c>
    </row>
    <row r="3583">
      <c r="A3583" s="4" t="n">
        <v>3582</v>
      </c>
      <c r="B3583" s="4" t="inlineStr">
        <is>
          <t>01456</t>
        </is>
      </c>
      <c r="C3583" s="4" t="inlineStr">
        <is>
          <t>01456</t>
        </is>
      </c>
      <c r="D3583" s="29" t="inlineStr">
        <is>
          <t>SEVİLAY GÖKGÖZ</t>
        </is>
      </c>
      <c r="E3583" s="4" t="inlineStr">
        <is>
          <t>Pazar</t>
        </is>
      </c>
      <c r="F3583" s="4" t="inlineStr">
        <is>
          <t>4.10.2026</t>
        </is>
      </c>
      <c r="G3583" s="4" t="inlineStr">
        <is>
          <t>07:35</t>
        </is>
      </c>
      <c r="H3583" s="4" t="inlineStr">
        <is>
          <t>4.10.2026</t>
        </is>
      </c>
      <c r="I3583" s="4" t="inlineStr">
        <is>
          <t>17:09</t>
        </is>
      </c>
      <c r="J3583" s="8" t="n">
        <v>7.5</v>
      </c>
      <c r="K3583" s="8" t="n">
        <v>7.5</v>
      </c>
      <c r="L3583" s="8" t="n">
        <v>0</v>
      </c>
      <c r="M3583" s="29" t="inlineStr">
        <is>
          <t>HALİL DİĞRENCİ</t>
        </is>
      </c>
    </row>
    <row r="3584">
      <c r="A3584" s="4" t="n">
        <v>3583</v>
      </c>
      <c r="B3584" s="4" t="inlineStr">
        <is>
          <t>01456</t>
        </is>
      </c>
      <c r="C3584" s="4" t="inlineStr">
        <is>
          <t>01456</t>
        </is>
      </c>
      <c r="D3584" s="29" t="inlineStr">
        <is>
          <t>SEVİLAY GÖKGÖZ</t>
        </is>
      </c>
      <c r="E3584" s="4" t="inlineStr">
        <is>
          <t>Salı</t>
        </is>
      </c>
      <c r="F3584" s="4" t="inlineStr">
        <is>
          <t>6.10.2026</t>
        </is>
      </c>
      <c r="G3584" s="4" t="inlineStr">
        <is>
          <t>08:05</t>
        </is>
      </c>
      <c r="H3584" s="4" t="inlineStr">
        <is>
          <t>6.10.2026</t>
        </is>
      </c>
      <c r="I3584" s="4" t="inlineStr">
        <is>
          <t>20:00</t>
        </is>
      </c>
      <c r="J3584" s="8" t="n">
        <v>10.5</v>
      </c>
      <c r="K3584" s="8" t="n">
        <v>7.5</v>
      </c>
      <c r="L3584" s="8" t="n">
        <v>3</v>
      </c>
      <c r="M3584" s="29" t="inlineStr">
        <is>
          <t>HALİL DİĞRENCİ</t>
        </is>
      </c>
    </row>
    <row r="3585">
      <c r="A3585" s="4" t="n">
        <v>3584</v>
      </c>
      <c r="B3585" s="4" t="inlineStr">
        <is>
          <t>01456</t>
        </is>
      </c>
      <c r="C3585" s="4" t="inlineStr">
        <is>
          <t>01456</t>
        </is>
      </c>
      <c r="D3585" s="29" t="inlineStr">
        <is>
          <t>SEVİLAY GÖKGÖZ</t>
        </is>
      </c>
      <c r="E3585" s="4" t="inlineStr">
        <is>
          <t>Çarşamba</t>
        </is>
      </c>
      <c r="F3585" s="4" t="inlineStr">
        <is>
          <t>7.10.2026</t>
        </is>
      </c>
      <c r="G3585" s="4" t="inlineStr">
        <is>
          <t>07:57</t>
        </is>
      </c>
      <c r="H3585" s="4" t="inlineStr">
        <is>
          <t>7.10.2026</t>
        </is>
      </c>
      <c r="I3585" s="4" t="inlineStr">
        <is>
          <t>20:02</t>
        </is>
      </c>
      <c r="J3585" s="8" t="n">
        <v>10.5</v>
      </c>
      <c r="K3585" s="8" t="n">
        <v>7.5</v>
      </c>
      <c r="L3585" s="8" t="n">
        <v>3</v>
      </c>
      <c r="M3585" s="29" t="inlineStr">
        <is>
          <t>HALİL DİĞRENCİ</t>
        </is>
      </c>
    </row>
    <row r="3586">
      <c r="A3586" s="4" t="n">
        <v>3585</v>
      </c>
      <c r="B3586" s="4" t="inlineStr">
        <is>
          <t>01456</t>
        </is>
      </c>
      <c r="C3586" s="4" t="inlineStr">
        <is>
          <t>01456</t>
        </is>
      </c>
      <c r="D3586" s="29" t="inlineStr">
        <is>
          <t>SEVİLAY GÖKGÖZ</t>
        </is>
      </c>
      <c r="E3586" s="4" t="inlineStr">
        <is>
          <t>Perşembe</t>
        </is>
      </c>
      <c r="F3586" s="4" t="inlineStr">
        <is>
          <t>8.10.2026</t>
        </is>
      </c>
      <c r="G3586" s="4" t="inlineStr">
        <is>
          <t>07:52</t>
        </is>
      </c>
      <c r="H3586" s="4" t="inlineStr">
        <is>
          <t>8.10.2026</t>
        </is>
      </c>
      <c r="I3586" s="4" t="inlineStr">
        <is>
          <t>07:53</t>
        </is>
      </c>
      <c r="J3586" s="8" t="n">
        <v>7.5</v>
      </c>
      <c r="K3586" s="8" t="n">
        <v>7.5</v>
      </c>
      <c r="L3586" s="8" t="n">
        <v>0</v>
      </c>
      <c r="M3586" s="29" t="inlineStr">
        <is>
          <t>HALİL DİĞRENCİ</t>
        </is>
      </c>
    </row>
    <row r="3587">
      <c r="A3587" s="4" t="n">
        <v>3586</v>
      </c>
      <c r="B3587" s="4" t="inlineStr">
        <is>
          <t>01456</t>
        </is>
      </c>
      <c r="C3587" s="4" t="inlineStr">
        <is>
          <t>01456</t>
        </is>
      </c>
      <c r="D3587" s="29" t="inlineStr">
        <is>
          <t>SEVİLAY GÖKGÖZ</t>
        </is>
      </c>
      <c r="E3587" s="4" t="inlineStr">
        <is>
          <t>Cuma</t>
        </is>
      </c>
      <c r="F3587" s="4" t="inlineStr">
        <is>
          <t>9.10.2026</t>
        </is>
      </c>
      <c r="G3587" s="4" t="inlineStr">
        <is>
          <t>07:57</t>
        </is>
      </c>
      <c r="H3587" s="4" t="inlineStr">
        <is>
          <t>9.10.2026</t>
        </is>
      </c>
      <c r="I3587" s="4" t="inlineStr">
        <is>
          <t>20:04</t>
        </is>
      </c>
      <c r="J3587" s="8" t="n">
        <v>10.5</v>
      </c>
      <c r="K3587" s="8" t="n">
        <v>7.5</v>
      </c>
      <c r="L3587" s="8" t="n">
        <v>3</v>
      </c>
      <c r="M3587" s="29" t="inlineStr">
        <is>
          <t>HALİL DİĞRENCİ</t>
        </is>
      </c>
    </row>
    <row r="3588">
      <c r="A3588" s="4" t="n">
        <v>3587</v>
      </c>
      <c r="B3588" s="4" t="inlineStr">
        <is>
          <t>01456</t>
        </is>
      </c>
      <c r="C3588" s="4" t="inlineStr">
        <is>
          <t>01456</t>
        </is>
      </c>
      <c r="D3588" s="29" t="inlineStr">
        <is>
          <t>SEVİLAY GÖKGÖZ</t>
        </is>
      </c>
      <c r="E3588" s="4" t="inlineStr">
        <is>
          <t>Cumartesi</t>
        </is>
      </c>
      <c r="F3588" s="4" t="inlineStr">
        <is>
          <t>10.10.2026</t>
        </is>
      </c>
      <c r="G3588" s="4" t="inlineStr">
        <is>
          <t>08:04</t>
        </is>
      </c>
      <c r="H3588" s="4" t="inlineStr">
        <is>
          <t>10.10.2026</t>
        </is>
      </c>
      <c r="I3588" s="4" t="inlineStr">
        <is>
          <t>19:57</t>
        </is>
      </c>
      <c r="J3588" s="8" t="n">
        <v>10.5</v>
      </c>
      <c r="K3588" s="8" t="n">
        <v>7.5</v>
      </c>
      <c r="L3588" s="8" t="n">
        <v>3</v>
      </c>
      <c r="M3588" s="29" t="inlineStr">
        <is>
          <t>HALİL DİĞRENCİ</t>
        </is>
      </c>
    </row>
    <row r="3589">
      <c r="A3589" s="4" t="n">
        <v>3588</v>
      </c>
      <c r="B3589" s="4" t="inlineStr">
        <is>
          <t>01456</t>
        </is>
      </c>
      <c r="C3589" s="4" t="inlineStr">
        <is>
          <t>01456</t>
        </is>
      </c>
      <c r="D3589" s="29" t="inlineStr">
        <is>
          <t>SEVİLAY GÖKGÖZ</t>
        </is>
      </c>
      <c r="E3589" s="4" t="inlineStr">
        <is>
          <t>Pazartesi</t>
        </is>
      </c>
      <c r="F3589" s="4" t="inlineStr">
        <is>
          <t>12.10.2026</t>
        </is>
      </c>
      <c r="G3589" s="4" t="inlineStr">
        <is>
          <t>08:07</t>
        </is>
      </c>
      <c r="H3589" s="4" t="inlineStr">
        <is>
          <t>12.10.2026</t>
        </is>
      </c>
      <c r="I3589" s="4" t="inlineStr">
        <is>
          <t>20:04</t>
        </is>
      </c>
      <c r="J3589" s="8" t="n">
        <v>10.5</v>
      </c>
      <c r="K3589" s="8" t="n">
        <v>7.5</v>
      </c>
      <c r="L3589" s="8" t="n">
        <v>3</v>
      </c>
      <c r="M3589" s="29" t="inlineStr">
        <is>
          <t>HALİL DİĞRENCİ</t>
        </is>
      </c>
    </row>
    <row r="3590">
      <c r="A3590" s="4" t="n">
        <v>3589</v>
      </c>
      <c r="B3590" s="4" t="inlineStr">
        <is>
          <t>01456</t>
        </is>
      </c>
      <c r="C3590" s="4" t="inlineStr">
        <is>
          <t>01456</t>
        </is>
      </c>
      <c r="D3590" s="29" t="inlineStr">
        <is>
          <t>SEVİLAY GÖKGÖZ</t>
        </is>
      </c>
      <c r="E3590" s="4" t="inlineStr">
        <is>
          <t>Salı</t>
        </is>
      </c>
      <c r="F3590" s="4" t="inlineStr">
        <is>
          <t>13.10.2026</t>
        </is>
      </c>
      <c r="G3590" s="4" t="inlineStr">
        <is>
          <t>07:58</t>
        </is>
      </c>
      <c r="H3590" s="4" t="inlineStr">
        <is>
          <t>13.10.2026</t>
        </is>
      </c>
      <c r="I3590" s="4" t="inlineStr">
        <is>
          <t>19:58</t>
        </is>
      </c>
      <c r="J3590" s="8" t="n">
        <v>10.5</v>
      </c>
      <c r="K3590" s="8" t="n">
        <v>7.5</v>
      </c>
      <c r="L3590" s="8" t="n">
        <v>3</v>
      </c>
      <c r="M3590" s="29" t="inlineStr">
        <is>
          <t>HALİL DİĞRENCİ</t>
        </is>
      </c>
    </row>
    <row r="3591">
      <c r="A3591" s="4" t="n">
        <v>3590</v>
      </c>
      <c r="B3591" s="4" t="inlineStr">
        <is>
          <t>01456</t>
        </is>
      </c>
      <c r="C3591" s="4" t="inlineStr">
        <is>
          <t>01456</t>
        </is>
      </c>
      <c r="D3591" s="29" t="inlineStr">
        <is>
          <t>SEVİLAY GÖKGÖZ</t>
        </is>
      </c>
      <c r="E3591" s="4" t="inlineStr">
        <is>
          <t>Çarşamba</t>
        </is>
      </c>
      <c r="F3591" s="4" t="inlineStr">
        <is>
          <t>14.10.2026</t>
        </is>
      </c>
      <c r="G3591" s="4" t="inlineStr">
        <is>
          <t>08:01</t>
        </is>
      </c>
      <c r="H3591" s="4" t="inlineStr">
        <is>
          <t>14.10.2026</t>
        </is>
      </c>
      <c r="I3591" s="4" t="inlineStr">
        <is>
          <t>19:59</t>
        </is>
      </c>
      <c r="J3591" s="8" t="n">
        <v>10.5</v>
      </c>
      <c r="K3591" s="8" t="n">
        <v>7.5</v>
      </c>
      <c r="L3591" s="8" t="n">
        <v>3</v>
      </c>
      <c r="M3591" s="29" t="inlineStr">
        <is>
          <t>HALİL DİĞRENCİ</t>
        </is>
      </c>
    </row>
    <row r="3592">
      <c r="A3592" s="4" t="n">
        <v>3591</v>
      </c>
      <c r="B3592" s="4" t="inlineStr">
        <is>
          <t>01456</t>
        </is>
      </c>
      <c r="C3592" s="4" t="inlineStr">
        <is>
          <t>01456</t>
        </is>
      </c>
      <c r="D3592" s="29" t="inlineStr">
        <is>
          <t>SEVİLAY GÖKGÖZ</t>
        </is>
      </c>
      <c r="E3592" s="4" t="inlineStr">
        <is>
          <t>Perşembe</t>
        </is>
      </c>
      <c r="F3592" s="4" t="inlineStr">
        <is>
          <t>15.10.2026</t>
        </is>
      </c>
      <c r="G3592" s="4" t="inlineStr">
        <is>
          <t>08:10</t>
        </is>
      </c>
      <c r="H3592" s="4" t="inlineStr">
        <is>
          <t>15.10.2026</t>
        </is>
      </c>
      <c r="I3592" s="4" t="inlineStr">
        <is>
          <t>19:59</t>
        </is>
      </c>
      <c r="J3592" s="8" t="n">
        <v>10.5</v>
      </c>
      <c r="K3592" s="8" t="n">
        <v>7.5</v>
      </c>
      <c r="L3592" s="8" t="n">
        <v>3</v>
      </c>
      <c r="M3592" s="29" t="inlineStr">
        <is>
          <t>HALİL DİĞRENCİ</t>
        </is>
      </c>
    </row>
    <row r="3593">
      <c r="A3593" s="4" t="n">
        <v>3592</v>
      </c>
      <c r="B3593" s="4" t="inlineStr">
        <is>
          <t>01456</t>
        </is>
      </c>
      <c r="C3593" s="4" t="inlineStr">
        <is>
          <t>01456</t>
        </is>
      </c>
      <c r="D3593" s="29" t="inlineStr">
        <is>
          <t>SEVİLAY GÖKGÖZ</t>
        </is>
      </c>
      <c r="E3593" s="4" t="inlineStr">
        <is>
          <t>Cumartesi</t>
        </is>
      </c>
      <c r="F3593" s="4" t="inlineStr">
        <is>
          <t>17.10.2026</t>
        </is>
      </c>
      <c r="G3593" s="4" t="inlineStr">
        <is>
          <t>07:36</t>
        </is>
      </c>
      <c r="H3593" s="4" t="inlineStr">
        <is>
          <t>17.10.2026</t>
        </is>
      </c>
      <c r="I3593" s="4" t="inlineStr">
        <is>
          <t>20:05</t>
        </is>
      </c>
      <c r="J3593" s="8" t="n">
        <v>10.5</v>
      </c>
      <c r="K3593" s="8" t="n">
        <v>7.5</v>
      </c>
      <c r="L3593" s="8" t="n">
        <v>3</v>
      </c>
      <c r="M3593" s="29" t="inlineStr">
        <is>
          <t>HALİL DİĞRENCİ</t>
        </is>
      </c>
    </row>
    <row r="3594">
      <c r="A3594" s="4" t="n">
        <v>3593</v>
      </c>
      <c r="B3594" s="4" t="inlineStr">
        <is>
          <t>01456</t>
        </is>
      </c>
      <c r="C3594" s="4" t="inlineStr">
        <is>
          <t>01456</t>
        </is>
      </c>
      <c r="D3594" s="29" t="inlineStr">
        <is>
          <t>SEVİLAY GÖKGÖZ</t>
        </is>
      </c>
      <c r="E3594" s="4" t="inlineStr">
        <is>
          <t>Salı</t>
        </is>
      </c>
      <c r="F3594" s="4" t="inlineStr">
        <is>
          <t>20.10.2026</t>
        </is>
      </c>
      <c r="G3594" s="4" t="inlineStr">
        <is>
          <t>08:01</t>
        </is>
      </c>
      <c r="H3594" s="4" t="inlineStr">
        <is>
          <t>20.10.2026</t>
        </is>
      </c>
      <c r="I3594" s="4" t="inlineStr">
        <is>
          <t>17:06</t>
        </is>
      </c>
      <c r="J3594" s="8" t="n">
        <v>7.5</v>
      </c>
      <c r="K3594" s="8" t="n">
        <v>7.5</v>
      </c>
      <c r="L3594" s="8" t="n">
        <v>0</v>
      </c>
      <c r="M3594" s="29" t="inlineStr">
        <is>
          <t>HALİL DİĞRENCİ</t>
        </is>
      </c>
    </row>
    <row r="3595">
      <c r="A3595" s="4" t="n">
        <v>3594</v>
      </c>
      <c r="B3595" s="4" t="inlineStr">
        <is>
          <t>01456</t>
        </is>
      </c>
      <c r="C3595" s="4" t="inlineStr">
        <is>
          <t>01456</t>
        </is>
      </c>
      <c r="D3595" s="29" t="inlineStr">
        <is>
          <t>SEVİLAY GÖKGÖZ</t>
        </is>
      </c>
      <c r="E3595" s="4" t="inlineStr">
        <is>
          <t>Çarşamba</t>
        </is>
      </c>
      <c r="F3595" s="4" t="inlineStr">
        <is>
          <t>21.10.2026</t>
        </is>
      </c>
      <c r="G3595" s="4" t="inlineStr">
        <is>
          <t>07:57</t>
        </is>
      </c>
      <c r="H3595" s="4" t="inlineStr">
        <is>
          <t>21.10.2026</t>
        </is>
      </c>
      <c r="I3595" s="4" t="inlineStr">
        <is>
          <t>17:07</t>
        </is>
      </c>
      <c r="J3595" s="8" t="n">
        <v>7.5</v>
      </c>
      <c r="K3595" s="8" t="n">
        <v>7.5</v>
      </c>
      <c r="L3595" s="8" t="n">
        <v>0</v>
      </c>
      <c r="M3595" s="29" t="inlineStr">
        <is>
          <t>HALİL DİĞRENCİ</t>
        </is>
      </c>
    </row>
    <row r="3596">
      <c r="A3596" s="4" t="n">
        <v>3595</v>
      </c>
      <c r="B3596" s="4" t="inlineStr">
        <is>
          <t>01063</t>
        </is>
      </c>
      <c r="C3596" s="4" t="inlineStr">
        <is>
          <t>01063</t>
        </is>
      </c>
      <c r="D3596" s="29" t="inlineStr">
        <is>
          <t>SEZAİ ÇELİK</t>
        </is>
      </c>
      <c r="E3596" s="4" t="inlineStr">
        <is>
          <t>Pazartesi</t>
        </is>
      </c>
      <c r="F3596" s="4" t="inlineStr">
        <is>
          <t>12.10.2026</t>
        </is>
      </c>
      <c r="G3596" s="4" t="inlineStr">
        <is>
          <t>08:09</t>
        </is>
      </c>
      <c r="H3596" s="4" t="inlineStr">
        <is>
          <t>12.10.2026</t>
        </is>
      </c>
      <c r="I3596" s="4" t="inlineStr">
        <is>
          <t>17:01</t>
        </is>
      </c>
      <c r="J3596" s="8" t="n">
        <v>7.5</v>
      </c>
      <c r="K3596" s="8" t="n">
        <v>7.5</v>
      </c>
      <c r="L3596" s="8" t="n">
        <v>0</v>
      </c>
      <c r="M3596" s="29" t="inlineStr">
        <is>
          <t>HALİL DİĞRENCİ</t>
        </is>
      </c>
    </row>
    <row r="3597">
      <c r="A3597" s="4" t="n">
        <v>3596</v>
      </c>
      <c r="B3597" s="4" t="inlineStr">
        <is>
          <t>01063</t>
        </is>
      </c>
      <c r="C3597" s="4" t="inlineStr">
        <is>
          <t>01063</t>
        </is>
      </c>
      <c r="D3597" s="29" t="inlineStr">
        <is>
          <t>SEZAİ ÇELİK</t>
        </is>
      </c>
      <c r="E3597" s="4" t="inlineStr">
        <is>
          <t>Salı</t>
        </is>
      </c>
      <c r="F3597" s="4" t="inlineStr">
        <is>
          <t>13.10.2026</t>
        </is>
      </c>
      <c r="G3597" s="4" t="inlineStr">
        <is>
          <t>08:02</t>
        </is>
      </c>
      <c r="H3597" s="4" t="inlineStr">
        <is>
          <t>13.10.2026</t>
        </is>
      </c>
      <c r="I3597" s="4" t="inlineStr">
        <is>
          <t>17:02</t>
        </is>
      </c>
      <c r="J3597" s="8" t="n">
        <v>7.5</v>
      </c>
      <c r="K3597" s="8" t="n">
        <v>7.5</v>
      </c>
      <c r="L3597" s="8" t="n">
        <v>0</v>
      </c>
      <c r="M3597" s="29" t="inlineStr">
        <is>
          <t>HALİL DİĞRENCİ</t>
        </is>
      </c>
    </row>
    <row r="3598">
      <c r="A3598" s="4" t="n">
        <v>3597</v>
      </c>
      <c r="B3598" s="4" t="inlineStr">
        <is>
          <t>01063</t>
        </is>
      </c>
      <c r="C3598" s="4" t="inlineStr">
        <is>
          <t>01063</t>
        </is>
      </c>
      <c r="D3598" s="29" t="inlineStr">
        <is>
          <t>SEZAİ ÇELİK</t>
        </is>
      </c>
      <c r="E3598" s="4" t="inlineStr">
        <is>
          <t>Perşembe</t>
        </is>
      </c>
      <c r="F3598" s="4" t="inlineStr">
        <is>
          <t>15.10.2026</t>
        </is>
      </c>
      <c r="G3598" s="4" t="inlineStr">
        <is>
          <t>08:03</t>
        </is>
      </c>
      <c r="H3598" s="4" t="inlineStr">
        <is>
          <t>15.10.2026</t>
        </is>
      </c>
      <c r="I3598" s="4" t="inlineStr">
        <is>
          <t>17:04</t>
        </is>
      </c>
      <c r="J3598" s="8" t="n">
        <v>7.5</v>
      </c>
      <c r="K3598" s="8" t="n">
        <v>7.5</v>
      </c>
      <c r="L3598" s="8" t="n">
        <v>0</v>
      </c>
      <c r="M3598" s="29" t="inlineStr">
        <is>
          <t>HALİL DİĞRENCİ</t>
        </is>
      </c>
    </row>
    <row r="3599">
      <c r="A3599" s="4" t="n">
        <v>3598</v>
      </c>
      <c r="B3599" s="4" t="inlineStr">
        <is>
          <t>01063</t>
        </is>
      </c>
      <c r="C3599" s="4" t="inlineStr">
        <is>
          <t>01063</t>
        </is>
      </c>
      <c r="D3599" s="29" t="inlineStr">
        <is>
          <t>SEZAİ ÇELİK</t>
        </is>
      </c>
      <c r="E3599" s="4" t="inlineStr">
        <is>
          <t>Cuma</t>
        </is>
      </c>
      <c r="F3599" s="4" t="inlineStr">
        <is>
          <t>16.10.2026</t>
        </is>
      </c>
      <c r="G3599" s="4" t="inlineStr">
        <is>
          <t>07:57</t>
        </is>
      </c>
      <c r="H3599" s="4" t="inlineStr">
        <is>
          <t>16.10.2026</t>
        </is>
      </c>
      <c r="I3599" s="4" t="inlineStr">
        <is>
          <t>17:04</t>
        </is>
      </c>
      <c r="J3599" s="8" t="n">
        <v>7.5</v>
      </c>
      <c r="K3599" s="8" t="n">
        <v>7.5</v>
      </c>
      <c r="L3599" s="8" t="n">
        <v>0</v>
      </c>
      <c r="M3599" s="29" t="inlineStr">
        <is>
          <t>HALİL DİĞRENCİ</t>
        </is>
      </c>
    </row>
    <row r="3600">
      <c r="A3600" s="4" t="n">
        <v>3599</v>
      </c>
      <c r="B3600" s="4" t="inlineStr">
        <is>
          <t>01063</t>
        </is>
      </c>
      <c r="C3600" s="4" t="inlineStr">
        <is>
          <t>01063</t>
        </is>
      </c>
      <c r="D3600" s="29" t="inlineStr">
        <is>
          <t>SEZAİ ÇELİK</t>
        </is>
      </c>
      <c r="E3600" s="4" t="inlineStr">
        <is>
          <t>Cumartesi</t>
        </is>
      </c>
      <c r="F3600" s="4" t="inlineStr">
        <is>
          <t>17.10.2026</t>
        </is>
      </c>
      <c r="G3600" s="4" t="inlineStr">
        <is>
          <t>07:59</t>
        </is>
      </c>
      <c r="H3600" s="4" t="inlineStr">
        <is>
          <t>17.10.2026</t>
        </is>
      </c>
      <c r="I3600" s="4" t="inlineStr">
        <is>
          <t>17:04</t>
        </is>
      </c>
      <c r="J3600" s="8" t="n">
        <v>7.5</v>
      </c>
      <c r="K3600" s="8" t="n">
        <v>7.5</v>
      </c>
      <c r="L3600" s="8" t="n">
        <v>0</v>
      </c>
      <c r="M3600" s="29" t="inlineStr">
        <is>
          <t>HALİL DİĞRENCİ</t>
        </is>
      </c>
    </row>
    <row r="3601">
      <c r="A3601" s="4" t="n">
        <v>3600</v>
      </c>
      <c r="B3601" s="4" t="inlineStr">
        <is>
          <t>01063</t>
        </is>
      </c>
      <c r="C3601" s="4" t="inlineStr">
        <is>
          <t>01063</t>
        </is>
      </c>
      <c r="D3601" s="29" t="inlineStr">
        <is>
          <t>SEZAİ ÇELİK</t>
        </is>
      </c>
      <c r="E3601" s="4" t="inlineStr">
        <is>
          <t>Pazartesi</t>
        </is>
      </c>
      <c r="F3601" s="4" t="inlineStr">
        <is>
          <t>19.10.2026</t>
        </is>
      </c>
      <c r="G3601" s="4" t="inlineStr">
        <is>
          <t>08:01</t>
        </is>
      </c>
      <c r="H3601" s="4" t="inlineStr">
        <is>
          <t>19.10.2026</t>
        </is>
      </c>
      <c r="I3601" s="4" t="inlineStr">
        <is>
          <t>17:00</t>
        </is>
      </c>
      <c r="J3601" s="8" t="n">
        <v>7.5</v>
      </c>
      <c r="K3601" s="8" t="n">
        <v>7.5</v>
      </c>
      <c r="L3601" s="8" t="n">
        <v>0</v>
      </c>
      <c r="M3601" s="29" t="inlineStr">
        <is>
          <t>HALİL DİĞRENCİ</t>
        </is>
      </c>
    </row>
    <row r="3602">
      <c r="A3602" s="4" t="n">
        <v>3601</v>
      </c>
      <c r="B3602" s="4" t="inlineStr">
        <is>
          <t>01063</t>
        </is>
      </c>
      <c r="C3602" s="4" t="inlineStr">
        <is>
          <t>01063</t>
        </is>
      </c>
      <c r="D3602" s="29" t="inlineStr">
        <is>
          <t>SEZAİ ÇELİK</t>
        </is>
      </c>
      <c r="E3602" s="4" t="inlineStr">
        <is>
          <t>Salı</t>
        </is>
      </c>
      <c r="F3602" s="4" t="inlineStr">
        <is>
          <t>20.10.2026</t>
        </is>
      </c>
      <c r="G3602" s="4" t="inlineStr">
        <is>
          <t>08:01</t>
        </is>
      </c>
      <c r="H3602" s="4" t="inlineStr">
        <is>
          <t>20.10.2026</t>
        </is>
      </c>
      <c r="I3602" s="4" t="inlineStr">
        <is>
          <t>17:03</t>
        </is>
      </c>
      <c r="J3602" s="8" t="n">
        <v>7.5</v>
      </c>
      <c r="K3602" s="8" t="n">
        <v>7.5</v>
      </c>
      <c r="L3602" s="8" t="n">
        <v>0</v>
      </c>
      <c r="M3602" s="29" t="inlineStr">
        <is>
          <t>HALİL DİĞRENCİ</t>
        </is>
      </c>
    </row>
    <row r="3603">
      <c r="A3603" s="4" t="n">
        <v>3602</v>
      </c>
      <c r="B3603" s="4" t="inlineStr">
        <is>
          <t>01063</t>
        </is>
      </c>
      <c r="C3603" s="4" t="inlineStr">
        <is>
          <t>01063</t>
        </is>
      </c>
      <c r="D3603" s="29" t="inlineStr">
        <is>
          <t>SEZAİ ÇELİK</t>
        </is>
      </c>
      <c r="E3603" s="4" t="inlineStr">
        <is>
          <t>Çarşamba</t>
        </is>
      </c>
      <c r="F3603" s="4" t="inlineStr">
        <is>
          <t>21.10.2026</t>
        </is>
      </c>
      <c r="G3603" s="4" t="inlineStr">
        <is>
          <t>07:51</t>
        </is>
      </c>
      <c r="H3603" s="4" t="inlineStr">
        <is>
          <t>21.10.2026</t>
        </is>
      </c>
      <c r="I3603" s="4" t="inlineStr">
        <is>
          <t>17:02</t>
        </is>
      </c>
      <c r="J3603" s="8" t="n">
        <v>7.5</v>
      </c>
      <c r="K3603" s="8" t="n">
        <v>7.5</v>
      </c>
      <c r="L3603" s="8" t="n">
        <v>0</v>
      </c>
      <c r="M3603" s="29" t="inlineStr">
        <is>
          <t>HALİL DİĞRENCİ</t>
        </is>
      </c>
    </row>
    <row r="3604">
      <c r="A3604" s="4" t="n">
        <v>3603</v>
      </c>
      <c r="B3604" s="4" t="inlineStr">
        <is>
          <t>01066</t>
        </is>
      </c>
      <c r="C3604" s="4" t="inlineStr">
        <is>
          <t>01066</t>
        </is>
      </c>
      <c r="D3604" s="29" t="inlineStr">
        <is>
          <t>SEZGİN YILDIRIM</t>
        </is>
      </c>
      <c r="E3604" s="4" t="inlineStr">
        <is>
          <t>Perşembe</t>
        </is>
      </c>
      <c r="F3604" s="4" t="inlineStr">
        <is>
          <t>1.10.2026</t>
        </is>
      </c>
      <c r="G3604" s="4" t="inlineStr">
        <is>
          <t>15:49</t>
        </is>
      </c>
      <c r="H3604" s="4" t="inlineStr">
        <is>
          <t>1.10.2026</t>
        </is>
      </c>
      <c r="I3604" s="4" t="inlineStr">
        <is>
          <t>00:05</t>
        </is>
      </c>
      <c r="J3604" s="8" t="n">
        <v>7.5</v>
      </c>
      <c r="K3604" s="8" t="n">
        <v>7.5</v>
      </c>
      <c r="L3604" s="8" t="n">
        <v>0</v>
      </c>
      <c r="M3604" s="29" t="inlineStr">
        <is>
          <t>BİGADİÇ</t>
        </is>
      </c>
    </row>
    <row r="3605">
      <c r="A3605" s="4" t="n">
        <v>3604</v>
      </c>
      <c r="B3605" s="4" t="inlineStr">
        <is>
          <t>01066</t>
        </is>
      </c>
      <c r="C3605" s="4" t="inlineStr">
        <is>
          <t>01066</t>
        </is>
      </c>
      <c r="D3605" s="29" t="inlineStr">
        <is>
          <t>SEZGİN YILDIRIM</t>
        </is>
      </c>
      <c r="E3605" s="4" t="inlineStr">
        <is>
          <t>Cuma</t>
        </is>
      </c>
      <c r="F3605" s="4" t="inlineStr">
        <is>
          <t>2.10.2026</t>
        </is>
      </c>
      <c r="G3605" s="4" t="inlineStr">
        <is>
          <t>15:45</t>
        </is>
      </c>
      <c r="H3605" s="4" t="inlineStr">
        <is>
          <t>2.10.2026</t>
        </is>
      </c>
      <c r="I3605" s="4" t="inlineStr">
        <is>
          <t>00:02</t>
        </is>
      </c>
      <c r="J3605" s="8" t="n">
        <v>7.5</v>
      </c>
      <c r="K3605" s="8" t="n">
        <v>7.5</v>
      </c>
      <c r="L3605" s="8" t="n">
        <v>0</v>
      </c>
      <c r="M3605" s="29" t="inlineStr">
        <is>
          <t>BİGADİÇ</t>
        </is>
      </c>
    </row>
    <row r="3606">
      <c r="A3606" s="4" t="n">
        <v>3605</v>
      </c>
      <c r="B3606" s="4" t="inlineStr">
        <is>
          <t>01066</t>
        </is>
      </c>
      <c r="C3606" s="4" t="inlineStr">
        <is>
          <t>01066</t>
        </is>
      </c>
      <c r="D3606" s="29" t="inlineStr">
        <is>
          <t>SEZGİN YILDIRIM</t>
        </is>
      </c>
      <c r="E3606" s="4" t="inlineStr">
        <is>
          <t>Cumartesi</t>
        </is>
      </c>
      <c r="F3606" s="4" t="inlineStr">
        <is>
          <t>3.10.2026</t>
        </is>
      </c>
      <c r="G3606" s="4" t="inlineStr">
        <is>
          <t>16:06</t>
        </is>
      </c>
      <c r="H3606" s="4" t="inlineStr">
        <is>
          <t>3.10.2026</t>
        </is>
      </c>
      <c r="I3606" s="4" t="inlineStr">
        <is>
          <t>00:02</t>
        </is>
      </c>
      <c r="J3606" s="8" t="n">
        <v>7.5</v>
      </c>
      <c r="K3606" s="8" t="n">
        <v>7.5</v>
      </c>
      <c r="L3606" s="8" t="n">
        <v>0</v>
      </c>
      <c r="M3606" s="29" t="inlineStr">
        <is>
          <t>BİGADİÇ</t>
        </is>
      </c>
    </row>
    <row r="3607">
      <c r="A3607" s="4" t="n">
        <v>3606</v>
      </c>
      <c r="B3607" s="4" t="inlineStr">
        <is>
          <t>01066</t>
        </is>
      </c>
      <c r="C3607" s="4" t="inlineStr">
        <is>
          <t>01066</t>
        </is>
      </c>
      <c r="D3607" s="29" t="inlineStr">
        <is>
          <t>SEZGİN YILDIRIM</t>
        </is>
      </c>
      <c r="E3607" s="4" t="inlineStr">
        <is>
          <t>Pazartesi</t>
        </is>
      </c>
      <c r="F3607" s="4" t="inlineStr">
        <is>
          <t>5.10.2026</t>
        </is>
      </c>
      <c r="G3607" s="4" t="inlineStr">
        <is>
          <t>16:04</t>
        </is>
      </c>
      <c r="H3607" s="4" t="inlineStr">
        <is>
          <t>5.10.2026</t>
        </is>
      </c>
      <c r="I3607" s="4" t="inlineStr">
        <is>
          <t>00:01</t>
        </is>
      </c>
      <c r="J3607" s="8" t="n">
        <v>7.5</v>
      </c>
      <c r="K3607" s="8" t="n">
        <v>7.5</v>
      </c>
      <c r="L3607" s="8" t="n">
        <v>0</v>
      </c>
      <c r="M3607" s="29" t="inlineStr">
        <is>
          <t>BİGADİÇ</t>
        </is>
      </c>
    </row>
    <row r="3608">
      <c r="A3608" s="4" t="n">
        <v>3607</v>
      </c>
      <c r="B3608" s="4" t="inlineStr">
        <is>
          <t>01066</t>
        </is>
      </c>
      <c r="C3608" s="4" t="inlineStr">
        <is>
          <t>01066</t>
        </is>
      </c>
      <c r="D3608" s="29" t="inlineStr">
        <is>
          <t>SEZGİN YILDIRIM</t>
        </is>
      </c>
      <c r="E3608" s="4" t="inlineStr">
        <is>
          <t>Salı</t>
        </is>
      </c>
      <c r="F3608" s="4" t="inlineStr">
        <is>
          <t>6.10.2026</t>
        </is>
      </c>
      <c r="G3608" s="4" t="inlineStr">
        <is>
          <t>15:45</t>
        </is>
      </c>
      <c r="H3608" s="4" t="inlineStr">
        <is>
          <t>6.10.2026</t>
        </is>
      </c>
      <c r="I3608" s="4" t="inlineStr">
        <is>
          <t>00:05</t>
        </is>
      </c>
      <c r="J3608" s="8" t="n">
        <v>7.5</v>
      </c>
      <c r="K3608" s="8" t="n">
        <v>7.5</v>
      </c>
      <c r="L3608" s="8" t="n">
        <v>0</v>
      </c>
      <c r="M3608" s="29" t="inlineStr">
        <is>
          <t>BİGADİÇ</t>
        </is>
      </c>
    </row>
    <row r="3609">
      <c r="A3609" s="4" t="n">
        <v>3608</v>
      </c>
      <c r="B3609" s="4" t="inlineStr">
        <is>
          <t>01066</t>
        </is>
      </c>
      <c r="C3609" s="4" t="inlineStr">
        <is>
          <t>01066</t>
        </is>
      </c>
      <c r="D3609" s="29" t="inlineStr">
        <is>
          <t>SEZGİN YILDIRIM</t>
        </is>
      </c>
      <c r="E3609" s="4" t="inlineStr">
        <is>
          <t>Çarşamba</t>
        </is>
      </c>
      <c r="F3609" s="4" t="inlineStr">
        <is>
          <t>7.10.2026</t>
        </is>
      </c>
      <c r="G3609" s="4" t="inlineStr">
        <is>
          <t>15:54</t>
        </is>
      </c>
      <c r="H3609" s="4" t="inlineStr">
        <is>
          <t>7.10.2026</t>
        </is>
      </c>
      <c r="I3609" s="4" t="inlineStr">
        <is>
          <t>00:04</t>
        </is>
      </c>
      <c r="J3609" s="8" t="n">
        <v>7.5</v>
      </c>
      <c r="K3609" s="8" t="n">
        <v>7.5</v>
      </c>
      <c r="L3609" s="8" t="n">
        <v>0</v>
      </c>
      <c r="M3609" s="29" t="inlineStr">
        <is>
          <t>BİGADİÇ</t>
        </is>
      </c>
    </row>
    <row r="3610">
      <c r="A3610" s="4" t="n">
        <v>3609</v>
      </c>
      <c r="B3610" s="4" t="inlineStr">
        <is>
          <t>01066</t>
        </is>
      </c>
      <c r="C3610" s="4" t="inlineStr">
        <is>
          <t>01066</t>
        </is>
      </c>
      <c r="D3610" s="29" t="inlineStr">
        <is>
          <t>SEZGİN YILDIRIM</t>
        </is>
      </c>
      <c r="E3610" s="4" t="inlineStr">
        <is>
          <t>Perşembe</t>
        </is>
      </c>
      <c r="F3610" s="4" t="inlineStr">
        <is>
          <t>8.10.2026</t>
        </is>
      </c>
      <c r="G3610" s="4" t="inlineStr">
        <is>
          <t>15:53</t>
        </is>
      </c>
      <c r="H3610" s="4" t="inlineStr">
        <is>
          <t>8.10.2026</t>
        </is>
      </c>
      <c r="I3610" s="4" t="inlineStr">
        <is>
          <t>00:04</t>
        </is>
      </c>
      <c r="J3610" s="8" t="n">
        <v>7.5</v>
      </c>
      <c r="K3610" s="8" t="n">
        <v>7.5</v>
      </c>
      <c r="L3610" s="8" t="n">
        <v>0</v>
      </c>
      <c r="M3610" s="29" t="inlineStr">
        <is>
          <t>BİGADİÇ</t>
        </is>
      </c>
    </row>
    <row r="3611">
      <c r="A3611" s="4" t="n">
        <v>3610</v>
      </c>
      <c r="B3611" s="4" t="inlineStr">
        <is>
          <t>01066</t>
        </is>
      </c>
      <c r="C3611" s="4" t="inlineStr">
        <is>
          <t>01066</t>
        </is>
      </c>
      <c r="D3611" s="29" t="inlineStr">
        <is>
          <t>SEZGİN YILDIRIM</t>
        </is>
      </c>
      <c r="E3611" s="4" t="inlineStr">
        <is>
          <t>Cuma</t>
        </is>
      </c>
      <c r="F3611" s="4" t="inlineStr">
        <is>
          <t>9.10.2026</t>
        </is>
      </c>
      <c r="G3611" s="4" t="inlineStr">
        <is>
          <t>15:51</t>
        </is>
      </c>
      <c r="H3611" s="4" t="inlineStr">
        <is>
          <t>9.10.2026</t>
        </is>
      </c>
      <c r="I3611" s="4" t="inlineStr">
        <is>
          <t>00:02</t>
        </is>
      </c>
      <c r="J3611" s="8" t="n">
        <v>7.5</v>
      </c>
      <c r="K3611" s="8" t="n">
        <v>7.5</v>
      </c>
      <c r="L3611" s="8" t="n">
        <v>0</v>
      </c>
      <c r="M3611" s="29" t="inlineStr">
        <is>
          <t>BİGADİÇ</t>
        </is>
      </c>
    </row>
    <row r="3612">
      <c r="A3612" s="4" t="n">
        <v>3611</v>
      </c>
      <c r="B3612" s="4" t="inlineStr">
        <is>
          <t>01066</t>
        </is>
      </c>
      <c r="C3612" s="4" t="inlineStr">
        <is>
          <t>01066</t>
        </is>
      </c>
      <c r="D3612" s="29" t="inlineStr">
        <is>
          <t>SEZGİN YILDIRIM</t>
        </is>
      </c>
      <c r="E3612" s="4" t="inlineStr">
        <is>
          <t>Cumartesi</t>
        </is>
      </c>
      <c r="F3612" s="4" t="inlineStr">
        <is>
          <t>10.10.2026</t>
        </is>
      </c>
      <c r="G3612" s="4" t="inlineStr">
        <is>
          <t>15:54</t>
        </is>
      </c>
      <c r="H3612" s="4" t="inlineStr">
        <is>
          <t>10.10.2026</t>
        </is>
      </c>
      <c r="I3612" s="4" t="inlineStr">
        <is>
          <t>00:07</t>
        </is>
      </c>
      <c r="J3612" s="8" t="n">
        <v>7.5</v>
      </c>
      <c r="K3612" s="8" t="n">
        <v>7.5</v>
      </c>
      <c r="L3612" s="8" t="n">
        <v>0</v>
      </c>
      <c r="M3612" s="29" t="inlineStr">
        <is>
          <t>BİGADİÇ</t>
        </is>
      </c>
    </row>
    <row r="3613">
      <c r="A3613" s="4" t="n">
        <v>3612</v>
      </c>
      <c r="B3613" s="4" t="inlineStr">
        <is>
          <t>01066</t>
        </is>
      </c>
      <c r="C3613" s="4" t="inlineStr">
        <is>
          <t>01066</t>
        </is>
      </c>
      <c r="D3613" s="29" t="inlineStr">
        <is>
          <t>SEZGİN YILDIRIM</t>
        </is>
      </c>
      <c r="E3613" s="4" t="inlineStr">
        <is>
          <t>Pazartesi</t>
        </is>
      </c>
      <c r="F3613" s="4" t="inlineStr">
        <is>
          <t>12.10.2026</t>
        </is>
      </c>
      <c r="G3613" s="4" t="inlineStr">
        <is>
          <t>15:45</t>
        </is>
      </c>
      <c r="H3613" s="4" t="inlineStr">
        <is>
          <t>12.10.2026</t>
        </is>
      </c>
      <c r="I3613" s="4" t="inlineStr">
        <is>
          <t>00:01</t>
        </is>
      </c>
      <c r="J3613" s="8" t="n">
        <v>7.5</v>
      </c>
      <c r="K3613" s="8" t="n">
        <v>7.5</v>
      </c>
      <c r="L3613" s="8" t="n">
        <v>0</v>
      </c>
      <c r="M3613" s="29" t="inlineStr">
        <is>
          <t>BİGADİÇ</t>
        </is>
      </c>
    </row>
    <row r="3614">
      <c r="A3614" s="4" t="n">
        <v>3613</v>
      </c>
      <c r="B3614" s="4" t="inlineStr">
        <is>
          <t>01066</t>
        </is>
      </c>
      <c r="C3614" s="4" t="inlineStr">
        <is>
          <t>01066</t>
        </is>
      </c>
      <c r="D3614" s="29" t="inlineStr">
        <is>
          <t>SEZGİN YILDIRIM</t>
        </is>
      </c>
      <c r="E3614" s="4" t="inlineStr">
        <is>
          <t>Salı</t>
        </is>
      </c>
      <c r="F3614" s="4" t="inlineStr">
        <is>
          <t>13.10.2026</t>
        </is>
      </c>
      <c r="G3614" s="4" t="inlineStr">
        <is>
          <t>15:54</t>
        </is>
      </c>
      <c r="H3614" s="4" t="inlineStr">
        <is>
          <t>13.10.2026</t>
        </is>
      </c>
      <c r="I3614" s="4" t="inlineStr">
        <is>
          <t>00:03</t>
        </is>
      </c>
      <c r="J3614" s="8" t="n">
        <v>7.5</v>
      </c>
      <c r="K3614" s="8" t="n">
        <v>7.5</v>
      </c>
      <c r="L3614" s="8" t="n">
        <v>0</v>
      </c>
      <c r="M3614" s="29" t="inlineStr">
        <is>
          <t>BİGADİÇ</t>
        </is>
      </c>
    </row>
    <row r="3615">
      <c r="A3615" s="4" t="n">
        <v>3614</v>
      </c>
      <c r="B3615" s="4" t="inlineStr">
        <is>
          <t>01066</t>
        </is>
      </c>
      <c r="C3615" s="4" t="inlineStr">
        <is>
          <t>01066</t>
        </is>
      </c>
      <c r="D3615" s="29" t="inlineStr">
        <is>
          <t>SEZGİN YILDIRIM</t>
        </is>
      </c>
      <c r="E3615" s="4" t="inlineStr">
        <is>
          <t>Çarşamba</t>
        </is>
      </c>
      <c r="F3615" s="4" t="inlineStr">
        <is>
          <t>14.10.2026</t>
        </is>
      </c>
      <c r="G3615" s="4" t="inlineStr">
        <is>
          <t>15:55</t>
        </is>
      </c>
      <c r="H3615" s="4" t="inlineStr">
        <is>
          <t>14.10.2026</t>
        </is>
      </c>
      <c r="I3615" s="4" t="inlineStr">
        <is>
          <t>00:30</t>
        </is>
      </c>
      <c r="J3615" s="8" t="n">
        <v>8</v>
      </c>
      <c r="K3615" s="8" t="n">
        <v>7.5</v>
      </c>
      <c r="L3615" s="8" t="n">
        <v>0.5</v>
      </c>
      <c r="M3615" s="29" t="inlineStr">
        <is>
          <t>BİGADİÇ</t>
        </is>
      </c>
    </row>
    <row r="3616">
      <c r="A3616" s="4" t="n">
        <v>3615</v>
      </c>
      <c r="B3616" s="4" t="inlineStr">
        <is>
          <t>01066</t>
        </is>
      </c>
      <c r="C3616" s="4" t="inlineStr">
        <is>
          <t>01066</t>
        </is>
      </c>
      <c r="D3616" s="29" t="inlineStr">
        <is>
          <t>SEZGİN YILDIRIM</t>
        </is>
      </c>
      <c r="E3616" s="4" t="inlineStr">
        <is>
          <t>Perşembe</t>
        </is>
      </c>
      <c r="F3616" s="4" t="inlineStr">
        <is>
          <t>15.10.2026</t>
        </is>
      </c>
      <c r="G3616" s="4" t="inlineStr">
        <is>
          <t>15:58</t>
        </is>
      </c>
      <c r="H3616" s="4" t="inlineStr">
        <is>
          <t>15.10.2026</t>
        </is>
      </c>
      <c r="I3616" s="4" t="inlineStr">
        <is>
          <t>00:01</t>
        </is>
      </c>
      <c r="J3616" s="8" t="n">
        <v>7.5</v>
      </c>
      <c r="K3616" s="8" t="n">
        <v>7.5</v>
      </c>
      <c r="L3616" s="8" t="n">
        <v>0</v>
      </c>
      <c r="M3616" s="29" t="inlineStr">
        <is>
          <t>BİGADİÇ</t>
        </is>
      </c>
    </row>
    <row r="3617">
      <c r="A3617" s="4" t="n">
        <v>3616</v>
      </c>
      <c r="B3617" s="4" t="inlineStr">
        <is>
          <t>01066</t>
        </is>
      </c>
      <c r="C3617" s="4" t="inlineStr">
        <is>
          <t>01066</t>
        </is>
      </c>
      <c r="D3617" s="29" t="inlineStr">
        <is>
          <t>SEZGİN YILDIRIM</t>
        </is>
      </c>
      <c r="E3617" s="4" t="inlineStr">
        <is>
          <t>Cuma</t>
        </is>
      </c>
      <c r="F3617" s="4" t="inlineStr">
        <is>
          <t>16.10.2026</t>
        </is>
      </c>
      <c r="G3617" s="4" t="inlineStr">
        <is>
          <t>15:58</t>
        </is>
      </c>
      <c r="H3617" s="4" t="inlineStr">
        <is>
          <t>16.10.2026</t>
        </is>
      </c>
      <c r="I3617" s="4" t="inlineStr">
        <is>
          <t>00:00</t>
        </is>
      </c>
      <c r="J3617" s="8" t="n">
        <v>7.5</v>
      </c>
      <c r="K3617" s="8" t="n">
        <v>7.5</v>
      </c>
      <c r="L3617" s="8" t="n">
        <v>0</v>
      </c>
      <c r="M3617" s="29" t="inlineStr">
        <is>
          <t>BİGADİÇ</t>
        </is>
      </c>
    </row>
    <row r="3618">
      <c r="A3618" s="4" t="n">
        <v>3617</v>
      </c>
      <c r="B3618" s="4" t="inlineStr">
        <is>
          <t>01066</t>
        </is>
      </c>
      <c r="C3618" s="4" t="inlineStr">
        <is>
          <t>01066</t>
        </is>
      </c>
      <c r="D3618" s="29" t="inlineStr">
        <is>
          <t>SEZGİN YILDIRIM</t>
        </is>
      </c>
      <c r="E3618" s="4" t="inlineStr">
        <is>
          <t>Cumartesi</t>
        </is>
      </c>
      <c r="F3618" s="4" t="inlineStr">
        <is>
          <t>17.10.2026</t>
        </is>
      </c>
      <c r="G3618" s="4" t="inlineStr">
        <is>
          <t>15:53</t>
        </is>
      </c>
      <c r="H3618" s="4" t="inlineStr">
        <is>
          <t>17.10.2026</t>
        </is>
      </c>
      <c r="I3618" s="4" t="inlineStr">
        <is>
          <t>00:00</t>
        </is>
      </c>
      <c r="J3618" s="8" t="n">
        <v>7.5</v>
      </c>
      <c r="K3618" s="8" t="n">
        <v>7.5</v>
      </c>
      <c r="L3618" s="8" t="n">
        <v>0</v>
      </c>
      <c r="M3618" s="29" t="inlineStr">
        <is>
          <t>BİGADİÇ</t>
        </is>
      </c>
    </row>
    <row r="3619">
      <c r="A3619" s="4" t="n">
        <v>3618</v>
      </c>
      <c r="B3619" s="4" t="inlineStr">
        <is>
          <t>01066</t>
        </is>
      </c>
      <c r="C3619" s="4" t="inlineStr">
        <is>
          <t>01066</t>
        </is>
      </c>
      <c r="D3619" s="29" t="inlineStr">
        <is>
          <t>SEZGİN YILDIRIM</t>
        </is>
      </c>
      <c r="E3619" s="4" t="inlineStr">
        <is>
          <t>Pazartesi</t>
        </is>
      </c>
      <c r="F3619" s="4" t="inlineStr">
        <is>
          <t>19.10.2026</t>
        </is>
      </c>
      <c r="G3619" s="4" t="inlineStr">
        <is>
          <t>15:53</t>
        </is>
      </c>
      <c r="H3619" s="4" t="inlineStr">
        <is>
          <t>19.10.2026</t>
        </is>
      </c>
      <c r="I3619" s="4" t="inlineStr">
        <is>
          <t>00:04</t>
        </is>
      </c>
      <c r="J3619" s="8" t="n">
        <v>7.5</v>
      </c>
      <c r="K3619" s="8" t="n">
        <v>7.5</v>
      </c>
      <c r="L3619" s="8" t="n">
        <v>0</v>
      </c>
      <c r="M3619" s="29" t="inlineStr">
        <is>
          <t>BİGADİÇ</t>
        </is>
      </c>
    </row>
    <row r="3620">
      <c r="A3620" s="4" t="n">
        <v>3619</v>
      </c>
      <c r="B3620" s="4" t="inlineStr">
        <is>
          <t>01066</t>
        </is>
      </c>
      <c r="C3620" s="4" t="inlineStr">
        <is>
          <t>01066</t>
        </is>
      </c>
      <c r="D3620" s="29" t="inlineStr">
        <is>
          <t>SEZGİN YILDIRIM</t>
        </is>
      </c>
      <c r="E3620" s="4" t="inlineStr">
        <is>
          <t>Salı</t>
        </is>
      </c>
      <c r="F3620" s="4" t="inlineStr">
        <is>
          <t>20.10.2026</t>
        </is>
      </c>
      <c r="G3620" s="4" t="inlineStr">
        <is>
          <t>16:04</t>
        </is>
      </c>
      <c r="H3620" s="4" t="inlineStr">
        <is>
          <t>20.10.2026</t>
        </is>
      </c>
      <c r="I3620" s="4" t="inlineStr">
        <is>
          <t>00:01</t>
        </is>
      </c>
      <c r="J3620" s="8" t="n">
        <v>7.5</v>
      </c>
      <c r="K3620" s="8" t="n">
        <v>7.5</v>
      </c>
      <c r="L3620" s="8" t="n">
        <v>0</v>
      </c>
      <c r="M3620" s="29" t="inlineStr">
        <is>
          <t>BİGADİÇ</t>
        </is>
      </c>
    </row>
    <row r="3621">
      <c r="A3621" s="4" t="n">
        <v>3620</v>
      </c>
      <c r="B3621" s="4" t="inlineStr">
        <is>
          <t>01066</t>
        </is>
      </c>
      <c r="C3621" s="4" t="inlineStr">
        <is>
          <t>01066</t>
        </is>
      </c>
      <c r="D3621" s="29" t="inlineStr">
        <is>
          <t>SEZGİN YILDIRIM</t>
        </is>
      </c>
      <c r="E3621" s="4" t="inlineStr">
        <is>
          <t>Çarşamba</t>
        </is>
      </c>
      <c r="F3621" s="4" t="inlineStr">
        <is>
          <t>21.10.2026</t>
        </is>
      </c>
      <c r="G3621" s="4" t="inlineStr">
        <is>
          <t>15:51</t>
        </is>
      </c>
      <c r="H3621" s="4" t="inlineStr">
        <is>
          <t>21.10.2026</t>
        </is>
      </c>
      <c r="I3621" s="4" t="inlineStr">
        <is>
          <t>-</t>
        </is>
      </c>
      <c r="J3621" s="8" t="n">
        <v>7.5</v>
      </c>
      <c r="K3621" s="8" t="n">
        <v>7.5</v>
      </c>
      <c r="L3621" s="8" t="n">
        <v>0</v>
      </c>
      <c r="M3621" s="29" t="inlineStr">
        <is>
          <t>BİGADİÇ</t>
        </is>
      </c>
    </row>
    <row r="3622">
      <c r="A3622" s="4" t="n">
        <v>3621</v>
      </c>
      <c r="B3622" s="4" t="inlineStr">
        <is>
          <t>01370</t>
        </is>
      </c>
      <c r="C3622" s="4" t="inlineStr">
        <is>
          <t>01370</t>
        </is>
      </c>
      <c r="D3622" s="29" t="inlineStr">
        <is>
          <t>SEZGİN İLGÖREN</t>
        </is>
      </c>
      <c r="E3622" s="4" t="inlineStr">
        <is>
          <t>Perşembe</t>
        </is>
      </c>
      <c r="F3622" s="4" t="inlineStr">
        <is>
          <t>1.10.2026</t>
        </is>
      </c>
      <c r="G3622" s="4" t="inlineStr">
        <is>
          <t>09:50</t>
        </is>
      </c>
      <c r="H3622" s="4" t="inlineStr">
        <is>
          <t>1.10.2026</t>
        </is>
      </c>
      <c r="I3622" s="4" t="inlineStr">
        <is>
          <t>19:26</t>
        </is>
      </c>
      <c r="J3622" s="8" t="n">
        <v>8.5</v>
      </c>
      <c r="K3622" s="8" t="n">
        <v>6</v>
      </c>
      <c r="L3622" s="8" t="n">
        <v>2.5</v>
      </c>
      <c r="M3622" s="29" t="inlineStr">
        <is>
          <t>GÜVEN MUSTAFAKEMALPAŞA</t>
        </is>
      </c>
    </row>
    <row r="3623">
      <c r="A3623" s="4" t="n">
        <v>3622</v>
      </c>
      <c r="B3623" s="4" t="inlineStr">
        <is>
          <t>01370</t>
        </is>
      </c>
      <c r="C3623" s="4" t="inlineStr">
        <is>
          <t>01370</t>
        </is>
      </c>
      <c r="D3623" s="29" t="inlineStr">
        <is>
          <t>SEZGİN İLGÖREN</t>
        </is>
      </c>
      <c r="E3623" s="4" t="inlineStr">
        <is>
          <t>Cuma</t>
        </is>
      </c>
      <c r="F3623" s="4" t="inlineStr">
        <is>
          <t>2.10.2026</t>
        </is>
      </c>
      <c r="G3623" s="4" t="inlineStr">
        <is>
          <t>09:45</t>
        </is>
      </c>
      <c r="H3623" s="4" t="inlineStr">
        <is>
          <t>2.10.2026</t>
        </is>
      </c>
      <c r="I3623" s="4" t="inlineStr">
        <is>
          <t>19:58</t>
        </is>
      </c>
      <c r="J3623" s="8" t="n">
        <v>9</v>
      </c>
      <c r="K3623" s="8" t="n">
        <v>6</v>
      </c>
      <c r="L3623" s="8" t="n">
        <v>3</v>
      </c>
      <c r="M3623" s="29" t="inlineStr">
        <is>
          <t>GÜVEN MUSTAFAKEMALPAŞA</t>
        </is>
      </c>
    </row>
    <row r="3624">
      <c r="A3624" s="4" t="n">
        <v>3623</v>
      </c>
      <c r="B3624" s="4" t="inlineStr">
        <is>
          <t>01370</t>
        </is>
      </c>
      <c r="C3624" s="4" t="inlineStr">
        <is>
          <t>01370</t>
        </is>
      </c>
      <c r="D3624" s="29" t="inlineStr">
        <is>
          <t>SEZGİN İLGÖREN</t>
        </is>
      </c>
      <c r="E3624" s="4" t="inlineStr">
        <is>
          <t>Cumartesi</t>
        </is>
      </c>
      <c r="F3624" s="4" t="inlineStr">
        <is>
          <t>3.10.2026</t>
        </is>
      </c>
      <c r="G3624" s="4" t="inlineStr">
        <is>
          <t>09:51</t>
        </is>
      </c>
      <c r="H3624" s="4" t="inlineStr">
        <is>
          <t>3.10.2026</t>
        </is>
      </c>
      <c r="I3624" s="4" t="inlineStr">
        <is>
          <t>19:54</t>
        </is>
      </c>
      <c r="J3624" s="8" t="n">
        <v>8.5</v>
      </c>
      <c r="K3624" s="8" t="n">
        <v>5.5</v>
      </c>
      <c r="L3624" s="8" t="n">
        <v>3</v>
      </c>
      <c r="M3624" s="29" t="inlineStr">
        <is>
          <t>GÜVEN MUSTAFAKEMALPAŞA</t>
        </is>
      </c>
    </row>
    <row r="3625">
      <c r="A3625" s="4" t="n">
        <v>3624</v>
      </c>
      <c r="B3625" s="4" t="inlineStr">
        <is>
          <t>01370</t>
        </is>
      </c>
      <c r="C3625" s="4" t="inlineStr">
        <is>
          <t>01370</t>
        </is>
      </c>
      <c r="D3625" s="29" t="inlineStr">
        <is>
          <t>SEZGİN İLGÖREN</t>
        </is>
      </c>
      <c r="E3625" s="4" t="inlineStr">
        <is>
          <t>Pazartesi</t>
        </is>
      </c>
      <c r="F3625" s="4" t="inlineStr">
        <is>
          <t>5.10.2026</t>
        </is>
      </c>
      <c r="G3625" s="4" t="inlineStr">
        <is>
          <t>09:45</t>
        </is>
      </c>
      <c r="H3625" s="4" t="inlineStr">
        <is>
          <t>5.10.2026</t>
        </is>
      </c>
      <c r="I3625" s="4" t="inlineStr">
        <is>
          <t>19:02</t>
        </is>
      </c>
      <c r="J3625" s="8" t="n">
        <v>8</v>
      </c>
      <c r="K3625" s="8" t="n">
        <v>6</v>
      </c>
      <c r="L3625" s="8" t="n">
        <v>2</v>
      </c>
      <c r="M3625" s="29" t="inlineStr">
        <is>
          <t>GÜVEN MUSTAFAKEMALPAŞA</t>
        </is>
      </c>
    </row>
    <row r="3626">
      <c r="A3626" s="4" t="n">
        <v>3625</v>
      </c>
      <c r="B3626" s="4" t="inlineStr">
        <is>
          <t>01370</t>
        </is>
      </c>
      <c r="C3626" s="4" t="inlineStr">
        <is>
          <t>01370</t>
        </is>
      </c>
      <c r="D3626" s="29" t="inlineStr">
        <is>
          <t>SEZGİN İLGÖREN</t>
        </is>
      </c>
      <c r="E3626" s="4" t="inlineStr">
        <is>
          <t>Salı</t>
        </is>
      </c>
      <c r="F3626" s="4" t="inlineStr">
        <is>
          <t>6.10.2026</t>
        </is>
      </c>
      <c r="G3626" s="4" t="inlineStr">
        <is>
          <t>09:43</t>
        </is>
      </c>
      <c r="H3626" s="4" t="inlineStr">
        <is>
          <t>6.10.2026</t>
        </is>
      </c>
      <c r="I3626" s="4" t="inlineStr">
        <is>
          <t>19:24</t>
        </is>
      </c>
      <c r="J3626" s="8" t="n">
        <v>8.5</v>
      </c>
      <c r="K3626" s="8" t="n">
        <v>6</v>
      </c>
      <c r="L3626" s="8" t="n">
        <v>2.5</v>
      </c>
      <c r="M3626" s="29" t="inlineStr">
        <is>
          <t>GÜVEN MUSTAFAKEMALPAŞA</t>
        </is>
      </c>
    </row>
    <row r="3627">
      <c r="A3627" s="4" t="n">
        <v>3626</v>
      </c>
      <c r="B3627" s="4" t="inlineStr">
        <is>
          <t>01370</t>
        </is>
      </c>
      <c r="C3627" s="4" t="inlineStr">
        <is>
          <t>01370</t>
        </is>
      </c>
      <c r="D3627" s="29" t="inlineStr">
        <is>
          <t>SEZGİN İLGÖREN</t>
        </is>
      </c>
      <c r="E3627" s="4" t="inlineStr">
        <is>
          <t>Çarşamba</t>
        </is>
      </c>
      <c r="F3627" s="4" t="inlineStr">
        <is>
          <t>7.10.2026</t>
        </is>
      </c>
      <c r="G3627" s="4" t="inlineStr">
        <is>
          <t>09:51</t>
        </is>
      </c>
      <c r="H3627" s="4" t="inlineStr">
        <is>
          <t>7.10.2026</t>
        </is>
      </c>
      <c r="I3627" s="4" t="inlineStr">
        <is>
          <t>17:31</t>
        </is>
      </c>
      <c r="J3627" s="8" t="n">
        <v>6</v>
      </c>
      <c r="K3627" s="8" t="n">
        <v>5.5</v>
      </c>
      <c r="L3627" s="8" t="n">
        <v>0.5</v>
      </c>
      <c r="M3627" s="29" t="inlineStr">
        <is>
          <t>GÜVEN MUSTAFAKEMALPAŞA</t>
        </is>
      </c>
    </row>
    <row r="3628">
      <c r="A3628" s="4" t="n">
        <v>3627</v>
      </c>
      <c r="B3628" s="4" t="inlineStr">
        <is>
          <t>01370</t>
        </is>
      </c>
      <c r="C3628" s="4" t="inlineStr">
        <is>
          <t>01370</t>
        </is>
      </c>
      <c r="D3628" s="29" t="inlineStr">
        <is>
          <t>SEZGİN İLGÖREN</t>
        </is>
      </c>
      <c r="E3628" s="4" t="inlineStr">
        <is>
          <t>Perşembe</t>
        </is>
      </c>
      <c r="F3628" s="4" t="inlineStr">
        <is>
          <t>8.10.2026</t>
        </is>
      </c>
      <c r="G3628" s="4" t="inlineStr">
        <is>
          <t>07:58</t>
        </is>
      </c>
      <c r="H3628" s="4" t="inlineStr">
        <is>
          <t>8.10.2026</t>
        </is>
      </c>
      <c r="I3628" s="4" t="inlineStr">
        <is>
          <t>17:37</t>
        </is>
      </c>
      <c r="J3628" s="8" t="n">
        <v>8</v>
      </c>
      <c r="K3628" s="8" t="n">
        <v>7.5</v>
      </c>
      <c r="L3628" s="8" t="n">
        <v>0.5</v>
      </c>
      <c r="M3628" s="29" t="inlineStr">
        <is>
          <t>GÜVEN MUSTAFAKEMALPAŞA</t>
        </is>
      </c>
    </row>
    <row r="3629">
      <c r="A3629" s="4" t="n">
        <v>3628</v>
      </c>
      <c r="B3629" s="4" t="inlineStr">
        <is>
          <t>01370</t>
        </is>
      </c>
      <c r="C3629" s="4" t="inlineStr">
        <is>
          <t>01370</t>
        </is>
      </c>
      <c r="D3629" s="29" t="inlineStr">
        <is>
          <t>SEZGİN İLGÖREN</t>
        </is>
      </c>
      <c r="E3629" s="4" t="inlineStr">
        <is>
          <t>Cuma</t>
        </is>
      </c>
      <c r="F3629" s="4" t="inlineStr">
        <is>
          <t>9.10.2026</t>
        </is>
      </c>
      <c r="G3629" s="4" t="inlineStr">
        <is>
          <t>07:54</t>
        </is>
      </c>
      <c r="H3629" s="4" t="inlineStr">
        <is>
          <t>9.10.2026</t>
        </is>
      </c>
      <c r="I3629" s="4" t="inlineStr">
        <is>
          <t>17:43</t>
        </is>
      </c>
      <c r="J3629" s="8" t="n">
        <v>8</v>
      </c>
      <c r="K3629" s="8" t="n">
        <v>7.5</v>
      </c>
      <c r="L3629" s="8" t="n">
        <v>0.5</v>
      </c>
      <c r="M3629" s="29" t="inlineStr">
        <is>
          <t>GÜVEN MUSTAFAKEMALPAŞA</t>
        </is>
      </c>
    </row>
    <row r="3630">
      <c r="A3630" s="4" t="n">
        <v>3629</v>
      </c>
      <c r="B3630" s="4" t="inlineStr">
        <is>
          <t>01370</t>
        </is>
      </c>
      <c r="C3630" s="4" t="inlineStr">
        <is>
          <t>01370</t>
        </is>
      </c>
      <c r="D3630" s="29" t="inlineStr">
        <is>
          <t>SEZGİN İLGÖREN</t>
        </is>
      </c>
      <c r="E3630" s="4" t="inlineStr">
        <is>
          <t>Cumartesi</t>
        </is>
      </c>
      <c r="F3630" s="4" t="inlineStr">
        <is>
          <t>10.10.2026</t>
        </is>
      </c>
      <c r="G3630" s="4" t="inlineStr">
        <is>
          <t>09:46</t>
        </is>
      </c>
      <c r="H3630" s="4" t="inlineStr">
        <is>
          <t>10.10.2026</t>
        </is>
      </c>
      <c r="I3630" s="4" t="inlineStr">
        <is>
          <t>00:39</t>
        </is>
      </c>
      <c r="J3630" s="8" t="n">
        <v>13.5</v>
      </c>
      <c r="K3630" s="8" t="n">
        <v>6</v>
      </c>
      <c r="L3630" s="8" t="n">
        <v>7.5</v>
      </c>
      <c r="M3630" s="29" t="inlineStr">
        <is>
          <t>GÜVEN MUSTAFAKEMALPAŞA</t>
        </is>
      </c>
    </row>
    <row r="3631">
      <c r="A3631" s="4" t="n">
        <v>3630</v>
      </c>
      <c r="B3631" s="4" t="inlineStr">
        <is>
          <t>01370</t>
        </is>
      </c>
      <c r="C3631" s="4" t="inlineStr">
        <is>
          <t>01370</t>
        </is>
      </c>
      <c r="D3631" s="29" t="inlineStr">
        <is>
          <t>SEZGİN İLGÖREN</t>
        </is>
      </c>
      <c r="E3631" s="4" t="inlineStr">
        <is>
          <t>Pazartesi</t>
        </is>
      </c>
      <c r="F3631" s="4" t="inlineStr">
        <is>
          <t>12.10.2026</t>
        </is>
      </c>
      <c r="G3631" s="4" t="inlineStr">
        <is>
          <t>09:52</t>
        </is>
      </c>
      <c r="H3631" s="4" t="inlineStr">
        <is>
          <t>12.10.2026</t>
        </is>
      </c>
      <c r="I3631" s="4" t="inlineStr">
        <is>
          <t>19:03</t>
        </is>
      </c>
      <c r="J3631" s="8" t="n">
        <v>7.5</v>
      </c>
      <c r="K3631" s="8" t="n">
        <v>5.5</v>
      </c>
      <c r="L3631" s="8" t="n">
        <v>2</v>
      </c>
      <c r="M3631" s="29" t="inlineStr">
        <is>
          <t>GÜVEN MUSTAFAKEMALPAŞA</t>
        </is>
      </c>
    </row>
    <row r="3632">
      <c r="A3632" s="4" t="n">
        <v>3631</v>
      </c>
      <c r="B3632" s="4" t="inlineStr">
        <is>
          <t>01370</t>
        </is>
      </c>
      <c r="C3632" s="4" t="inlineStr">
        <is>
          <t>01370</t>
        </is>
      </c>
      <c r="D3632" s="29" t="inlineStr">
        <is>
          <t>SEZGİN İLGÖREN</t>
        </is>
      </c>
      <c r="E3632" s="4" t="inlineStr">
        <is>
          <t>Salı</t>
        </is>
      </c>
      <c r="F3632" s="4" t="inlineStr">
        <is>
          <t>13.10.2026</t>
        </is>
      </c>
      <c r="G3632" s="4" t="inlineStr">
        <is>
          <t>09:54</t>
        </is>
      </c>
      <c r="H3632" s="4" t="inlineStr">
        <is>
          <t>13.10.2026</t>
        </is>
      </c>
      <c r="I3632" s="4" t="inlineStr">
        <is>
          <t>19:06</t>
        </is>
      </c>
      <c r="J3632" s="8" t="n">
        <v>7.5</v>
      </c>
      <c r="K3632" s="8" t="n">
        <v>5.5</v>
      </c>
      <c r="L3632" s="8" t="n">
        <v>2</v>
      </c>
      <c r="M3632" s="29" t="inlineStr">
        <is>
          <t>GÜVEN MUSTAFAKEMALPAŞA</t>
        </is>
      </c>
    </row>
    <row r="3633">
      <c r="A3633" s="4" t="n">
        <v>3632</v>
      </c>
      <c r="B3633" s="4" t="inlineStr">
        <is>
          <t>01370</t>
        </is>
      </c>
      <c r="C3633" s="4" t="inlineStr">
        <is>
          <t>01370</t>
        </is>
      </c>
      <c r="D3633" s="29" t="inlineStr">
        <is>
          <t>SEZGİN İLGÖREN</t>
        </is>
      </c>
      <c r="E3633" s="4" t="inlineStr">
        <is>
          <t>Çarşamba</t>
        </is>
      </c>
      <c r="F3633" s="4" t="inlineStr">
        <is>
          <t>14.10.2026</t>
        </is>
      </c>
      <c r="G3633" s="4" t="inlineStr">
        <is>
          <t>07:59</t>
        </is>
      </c>
      <c r="H3633" s="4" t="inlineStr">
        <is>
          <t>14.10.2026</t>
        </is>
      </c>
      <c r="I3633" s="4" t="inlineStr">
        <is>
          <t>18:22</t>
        </is>
      </c>
      <c r="J3633" s="8" t="n">
        <v>9</v>
      </c>
      <c r="K3633" s="8" t="n">
        <v>7.5</v>
      </c>
      <c r="L3633" s="8" t="n">
        <v>1.5</v>
      </c>
      <c r="M3633" s="29" t="inlineStr">
        <is>
          <t>GÜVEN MUSTAFAKEMALPAŞA</t>
        </is>
      </c>
    </row>
    <row r="3634">
      <c r="A3634" s="4" t="n">
        <v>3633</v>
      </c>
      <c r="B3634" s="4" t="inlineStr">
        <is>
          <t>01370</t>
        </is>
      </c>
      <c r="C3634" s="4" t="inlineStr">
        <is>
          <t>01370</t>
        </is>
      </c>
      <c r="D3634" s="29" t="inlineStr">
        <is>
          <t>SEZGİN İLGÖREN</t>
        </is>
      </c>
      <c r="E3634" s="4" t="inlineStr">
        <is>
          <t>Perşembe</t>
        </is>
      </c>
      <c r="F3634" s="4" t="inlineStr">
        <is>
          <t>15.10.2026</t>
        </is>
      </c>
      <c r="G3634" s="4" t="inlineStr">
        <is>
          <t>08:01</t>
        </is>
      </c>
      <c r="H3634" s="4" t="inlineStr">
        <is>
          <t>15.10.2026</t>
        </is>
      </c>
      <c r="I3634" s="4" t="inlineStr">
        <is>
          <t>17:05</t>
        </is>
      </c>
      <c r="J3634" s="8" t="n">
        <v>7.5</v>
      </c>
      <c r="K3634" s="8" t="n">
        <v>7.5</v>
      </c>
      <c r="L3634" s="8" t="n">
        <v>0</v>
      </c>
      <c r="M3634" s="29" t="inlineStr">
        <is>
          <t>GÜVEN MUSTAFAKEMALPAŞA</t>
        </is>
      </c>
    </row>
    <row r="3635">
      <c r="A3635" s="4" t="n">
        <v>3634</v>
      </c>
      <c r="B3635" s="4" t="inlineStr">
        <is>
          <t>01370</t>
        </is>
      </c>
      <c r="C3635" s="4" t="inlineStr">
        <is>
          <t>01370</t>
        </is>
      </c>
      <c r="D3635" s="29" t="inlineStr">
        <is>
          <t>SEZGİN İLGÖREN</t>
        </is>
      </c>
      <c r="E3635" s="4" t="inlineStr">
        <is>
          <t>Cuma</t>
        </is>
      </c>
      <c r="F3635" s="4" t="inlineStr">
        <is>
          <t>16.10.2026</t>
        </is>
      </c>
      <c r="G3635" s="4" t="inlineStr">
        <is>
          <t>09:45</t>
        </is>
      </c>
      <c r="H3635" s="4" t="inlineStr">
        <is>
          <t>16.10.2026</t>
        </is>
      </c>
      <c r="I3635" s="4" t="inlineStr">
        <is>
          <t>19:54</t>
        </is>
      </c>
      <c r="J3635" s="8" t="n">
        <v>9</v>
      </c>
      <c r="K3635" s="8" t="n">
        <v>6</v>
      </c>
      <c r="L3635" s="8" t="n">
        <v>3</v>
      </c>
      <c r="M3635" s="29" t="inlineStr">
        <is>
          <t>GÜVEN MUSTAFAKEMALPAŞA</t>
        </is>
      </c>
    </row>
    <row r="3636">
      <c r="A3636" s="4" t="n">
        <v>3635</v>
      </c>
      <c r="B3636" s="4" t="inlineStr">
        <is>
          <t>01370</t>
        </is>
      </c>
      <c r="C3636" s="4" t="inlineStr">
        <is>
          <t>01370</t>
        </is>
      </c>
      <c r="D3636" s="29" t="inlineStr">
        <is>
          <t>SEZGİN İLGÖREN</t>
        </is>
      </c>
      <c r="E3636" s="4" t="inlineStr">
        <is>
          <t>Cumartesi</t>
        </is>
      </c>
      <c r="F3636" s="4" t="inlineStr">
        <is>
          <t>17.10.2026</t>
        </is>
      </c>
      <c r="G3636" s="4" t="inlineStr">
        <is>
          <t>09:47</t>
        </is>
      </c>
      <c r="H3636" s="4" t="inlineStr">
        <is>
          <t>17.10.2026</t>
        </is>
      </c>
      <c r="I3636" s="4" t="inlineStr">
        <is>
          <t>19:55</t>
        </is>
      </c>
      <c r="J3636" s="8" t="n">
        <v>9</v>
      </c>
      <c r="K3636" s="8" t="n">
        <v>6</v>
      </c>
      <c r="L3636" s="8" t="n">
        <v>3</v>
      </c>
      <c r="M3636" s="29" t="inlineStr">
        <is>
          <t>GÜVEN MUSTAFAKEMALPAŞA</t>
        </is>
      </c>
    </row>
    <row r="3637">
      <c r="A3637" s="4" t="n">
        <v>3636</v>
      </c>
      <c r="B3637" s="4" t="inlineStr">
        <is>
          <t>01370</t>
        </is>
      </c>
      <c r="C3637" s="4" t="inlineStr">
        <is>
          <t>01370</t>
        </is>
      </c>
      <c r="D3637" s="29" t="inlineStr">
        <is>
          <t>SEZGİN İLGÖREN</t>
        </is>
      </c>
      <c r="E3637" s="4" t="inlineStr">
        <is>
          <t>Pazartesi</t>
        </is>
      </c>
      <c r="F3637" s="4" t="inlineStr">
        <is>
          <t>19.10.2026</t>
        </is>
      </c>
      <c r="G3637" s="4" t="inlineStr">
        <is>
          <t>09:44</t>
        </is>
      </c>
      <c r="H3637" s="4" t="inlineStr">
        <is>
          <t>19.10.2026</t>
        </is>
      </c>
      <c r="I3637" s="4" t="inlineStr">
        <is>
          <t>17:48</t>
        </is>
      </c>
      <c r="J3637" s="8" t="n">
        <v>7</v>
      </c>
      <c r="K3637" s="8" t="n">
        <v>6</v>
      </c>
      <c r="L3637" s="8" t="n">
        <v>1</v>
      </c>
      <c r="M3637" s="29" t="inlineStr">
        <is>
          <t>GÜVEN MUSTAFAKEMALPAŞA</t>
        </is>
      </c>
    </row>
    <row r="3638">
      <c r="A3638" s="4" t="n">
        <v>3637</v>
      </c>
      <c r="B3638" s="4" t="inlineStr">
        <is>
          <t>01370</t>
        </is>
      </c>
      <c r="C3638" s="4" t="inlineStr">
        <is>
          <t>01370</t>
        </is>
      </c>
      <c r="D3638" s="29" t="inlineStr">
        <is>
          <t>SEZGİN İLGÖREN</t>
        </is>
      </c>
      <c r="E3638" s="4" t="inlineStr">
        <is>
          <t>Salı</t>
        </is>
      </c>
      <c r="F3638" s="4" t="inlineStr">
        <is>
          <t>20.10.2026</t>
        </is>
      </c>
      <c r="G3638" s="4" t="inlineStr">
        <is>
          <t>09:49</t>
        </is>
      </c>
      <c r="H3638" s="4" t="inlineStr">
        <is>
          <t>20.10.2026</t>
        </is>
      </c>
      <c r="I3638" s="4" t="inlineStr">
        <is>
          <t>19:03</t>
        </is>
      </c>
      <c r="J3638" s="8" t="n">
        <v>8</v>
      </c>
      <c r="K3638" s="8" t="n">
        <v>6</v>
      </c>
      <c r="L3638" s="8" t="n">
        <v>2</v>
      </c>
      <c r="M3638" s="29" t="inlineStr">
        <is>
          <t>GÜVEN MUSTAFAKEMALPAŞA</t>
        </is>
      </c>
    </row>
    <row r="3639">
      <c r="A3639" s="4" t="n">
        <v>3638</v>
      </c>
      <c r="B3639" s="4" t="inlineStr">
        <is>
          <t>01370</t>
        </is>
      </c>
      <c r="C3639" s="4" t="inlineStr">
        <is>
          <t>01370</t>
        </is>
      </c>
      <c r="D3639" s="29" t="inlineStr">
        <is>
          <t>SEZGİN İLGÖREN</t>
        </is>
      </c>
      <c r="E3639" s="4" t="inlineStr">
        <is>
          <t>Çarşamba</t>
        </is>
      </c>
      <c r="F3639" s="4" t="inlineStr">
        <is>
          <t>21.10.2026</t>
        </is>
      </c>
      <c r="G3639" s="4" t="inlineStr">
        <is>
          <t>09:46</t>
        </is>
      </c>
      <c r="H3639" s="4" t="inlineStr">
        <is>
          <t>21.10.2026</t>
        </is>
      </c>
      <c r="I3639" s="4" t="inlineStr">
        <is>
          <t>19:02</t>
        </is>
      </c>
      <c r="J3639" s="8" t="n">
        <v>8</v>
      </c>
      <c r="K3639" s="8" t="n">
        <v>6</v>
      </c>
      <c r="L3639" s="8" t="n">
        <v>2</v>
      </c>
      <c r="M3639" s="29" t="inlineStr">
        <is>
          <t>GÜVEN MUSTAFAKEMALPAŞA</t>
        </is>
      </c>
    </row>
    <row r="3640">
      <c r="A3640" s="4" t="n">
        <v>3639</v>
      </c>
      <c r="B3640" s="4" t="inlineStr">
        <is>
          <t>00170</t>
        </is>
      </c>
      <c r="C3640" s="4" t="inlineStr">
        <is>
          <t>00170</t>
        </is>
      </c>
      <c r="D3640" s="29" t="inlineStr">
        <is>
          <t>SİBEL ÇÇAKIR</t>
        </is>
      </c>
      <c r="E3640" s="4" t="inlineStr">
        <is>
          <t>Perşembe</t>
        </is>
      </c>
      <c r="F3640" s="4" t="inlineStr">
        <is>
          <t>1.10.2026</t>
        </is>
      </c>
      <c r="G3640" s="4" t="inlineStr">
        <is>
          <t>15:48</t>
        </is>
      </c>
      <c r="H3640" s="4" t="inlineStr">
        <is>
          <t>1.10.2026</t>
        </is>
      </c>
      <c r="I3640" s="4" t="inlineStr">
        <is>
          <t>00:04</t>
        </is>
      </c>
      <c r="J3640" s="8" t="n">
        <v>7.5</v>
      </c>
      <c r="K3640" s="8" t="n">
        <v>7.5</v>
      </c>
      <c r="L3640" s="8" t="n">
        <v>0</v>
      </c>
      <c r="M3640" s="29" t="inlineStr">
        <is>
          <t>BİGADİÇ</t>
        </is>
      </c>
    </row>
    <row r="3641">
      <c r="A3641" s="4" t="n">
        <v>3640</v>
      </c>
      <c r="B3641" s="4" t="inlineStr">
        <is>
          <t>00170</t>
        </is>
      </c>
      <c r="C3641" s="4" t="inlineStr">
        <is>
          <t>00170</t>
        </is>
      </c>
      <c r="D3641" s="29" t="inlineStr">
        <is>
          <t>SİBEL ÇÇAKIR</t>
        </is>
      </c>
      <c r="E3641" s="4" t="inlineStr">
        <is>
          <t>Cuma</t>
        </is>
      </c>
      <c r="F3641" s="4" t="inlineStr">
        <is>
          <t>2.10.2026</t>
        </is>
      </c>
      <c r="G3641" s="4" t="inlineStr">
        <is>
          <t>15:45</t>
        </is>
      </c>
      <c r="H3641" s="4" t="inlineStr">
        <is>
          <t>2.10.2026</t>
        </is>
      </c>
      <c r="I3641" s="4" t="inlineStr">
        <is>
          <t>00:02</t>
        </is>
      </c>
      <c r="J3641" s="8" t="n">
        <v>7.5</v>
      </c>
      <c r="K3641" s="8" t="n">
        <v>7.5</v>
      </c>
      <c r="L3641" s="8" t="n">
        <v>0</v>
      </c>
      <c r="M3641" s="29" t="inlineStr">
        <is>
          <t>BİGADİÇ</t>
        </is>
      </c>
    </row>
    <row r="3642">
      <c r="A3642" s="4" t="n">
        <v>3641</v>
      </c>
      <c r="B3642" s="4" t="inlineStr">
        <is>
          <t>00170</t>
        </is>
      </c>
      <c r="C3642" s="4" t="inlineStr">
        <is>
          <t>00170</t>
        </is>
      </c>
      <c r="D3642" s="29" t="inlineStr">
        <is>
          <t>SİBEL ÇÇAKIR</t>
        </is>
      </c>
      <c r="E3642" s="4" t="inlineStr">
        <is>
          <t>Cumartesi</t>
        </is>
      </c>
      <c r="F3642" s="4" t="inlineStr">
        <is>
          <t>3.10.2026</t>
        </is>
      </c>
      <c r="G3642" s="4" t="inlineStr">
        <is>
          <t>16:05</t>
        </is>
      </c>
      <c r="H3642" s="4" t="inlineStr">
        <is>
          <t>3.10.2026</t>
        </is>
      </c>
      <c r="I3642" s="4" t="inlineStr">
        <is>
          <t>16:07</t>
        </is>
      </c>
      <c r="J3642" s="8" t="n">
        <v>7.5</v>
      </c>
      <c r="K3642" s="8" t="n">
        <v>7.5</v>
      </c>
      <c r="L3642" s="8" t="n">
        <v>0</v>
      </c>
      <c r="M3642" s="29" t="inlineStr">
        <is>
          <t>BİGADİÇ</t>
        </is>
      </c>
    </row>
    <row r="3643">
      <c r="A3643" s="4" t="n">
        <v>3642</v>
      </c>
      <c r="B3643" s="4" t="inlineStr">
        <is>
          <t>00170</t>
        </is>
      </c>
      <c r="C3643" s="4" t="inlineStr">
        <is>
          <t>00170</t>
        </is>
      </c>
      <c r="D3643" s="29" t="inlineStr">
        <is>
          <t>SİBEL ÇÇAKIR</t>
        </is>
      </c>
      <c r="E3643" s="4" t="inlineStr">
        <is>
          <t>Pazar</t>
        </is>
      </c>
      <c r="F3643" s="4" t="inlineStr">
        <is>
          <t>4.10.2026</t>
        </is>
      </c>
      <c r="G3643" s="4" t="inlineStr">
        <is>
          <t>-</t>
        </is>
      </c>
      <c r="H3643" s="4" t="inlineStr">
        <is>
          <t>4.10.2026</t>
        </is>
      </c>
      <c r="I3643" s="4" t="inlineStr">
        <is>
          <t>00:03</t>
        </is>
      </c>
      <c r="J3643" s="8" t="n">
        <v>14.5</v>
      </c>
      <c r="K3643" s="8" t="n">
        <v>7.5</v>
      </c>
      <c r="L3643" s="8" t="n">
        <v>7</v>
      </c>
      <c r="M3643" s="29" t="inlineStr">
        <is>
          <t>BİGADİÇ</t>
        </is>
      </c>
    </row>
    <row r="3644">
      <c r="A3644" s="4" t="n">
        <v>3643</v>
      </c>
      <c r="B3644" s="4" t="inlineStr">
        <is>
          <t>00170</t>
        </is>
      </c>
      <c r="C3644" s="4" t="inlineStr">
        <is>
          <t>00170</t>
        </is>
      </c>
      <c r="D3644" s="29" t="inlineStr">
        <is>
          <t>SİBEL ÇÇAKIR</t>
        </is>
      </c>
      <c r="E3644" s="4" t="inlineStr">
        <is>
          <t>Pazartesi</t>
        </is>
      </c>
      <c r="F3644" s="4" t="inlineStr">
        <is>
          <t>5.10.2026</t>
        </is>
      </c>
      <c r="G3644" s="4" t="inlineStr">
        <is>
          <t>16:04</t>
        </is>
      </c>
      <c r="H3644" s="4" t="inlineStr">
        <is>
          <t>5.10.2026</t>
        </is>
      </c>
      <c r="I3644" s="4" t="inlineStr">
        <is>
          <t>00:04</t>
        </is>
      </c>
      <c r="J3644" s="8" t="n">
        <v>7.5</v>
      </c>
      <c r="K3644" s="8" t="n">
        <v>7.5</v>
      </c>
      <c r="L3644" s="8" t="n">
        <v>0</v>
      </c>
      <c r="M3644" s="29" t="inlineStr">
        <is>
          <t>BİGADİÇ</t>
        </is>
      </c>
    </row>
    <row r="3645">
      <c r="A3645" s="4" t="n">
        <v>3644</v>
      </c>
      <c r="B3645" s="4" t="inlineStr">
        <is>
          <t>00170</t>
        </is>
      </c>
      <c r="C3645" s="4" t="inlineStr">
        <is>
          <t>00170</t>
        </is>
      </c>
      <c r="D3645" s="29" t="inlineStr">
        <is>
          <t>SİBEL ÇÇAKIR</t>
        </is>
      </c>
      <c r="E3645" s="4" t="inlineStr">
        <is>
          <t>Salı</t>
        </is>
      </c>
      <c r="F3645" s="4" t="inlineStr">
        <is>
          <t>6.10.2026</t>
        </is>
      </c>
      <c r="G3645" s="4" t="inlineStr">
        <is>
          <t>15:44</t>
        </is>
      </c>
      <c r="H3645" s="4" t="inlineStr">
        <is>
          <t>6.10.2026</t>
        </is>
      </c>
      <c r="I3645" s="4" t="inlineStr">
        <is>
          <t>00:00</t>
        </is>
      </c>
      <c r="J3645" s="8" t="n">
        <v>7.5</v>
      </c>
      <c r="K3645" s="8" t="n">
        <v>7.5</v>
      </c>
      <c r="L3645" s="8" t="n">
        <v>0</v>
      </c>
      <c r="M3645" s="29" t="inlineStr">
        <is>
          <t>BİGADİÇ</t>
        </is>
      </c>
    </row>
    <row r="3646">
      <c r="A3646" s="4" t="n">
        <v>3645</v>
      </c>
      <c r="B3646" s="4" t="inlineStr">
        <is>
          <t>00170</t>
        </is>
      </c>
      <c r="C3646" s="4" t="inlineStr">
        <is>
          <t>00170</t>
        </is>
      </c>
      <c r="D3646" s="29" t="inlineStr">
        <is>
          <t>SİBEL ÇÇAKIR</t>
        </is>
      </c>
      <c r="E3646" s="4" t="inlineStr">
        <is>
          <t>Çarşamba</t>
        </is>
      </c>
      <c r="F3646" s="4" t="inlineStr">
        <is>
          <t>7.10.2026</t>
        </is>
      </c>
      <c r="G3646" s="4" t="inlineStr">
        <is>
          <t>15:54</t>
        </is>
      </c>
      <c r="H3646" s="4" t="inlineStr">
        <is>
          <t>7.10.2026</t>
        </is>
      </c>
      <c r="I3646" s="4" t="inlineStr">
        <is>
          <t>00:05</t>
        </is>
      </c>
      <c r="J3646" s="8" t="n">
        <v>7.5</v>
      </c>
      <c r="K3646" s="8" t="n">
        <v>7.5</v>
      </c>
      <c r="L3646" s="8" t="n">
        <v>0</v>
      </c>
      <c r="M3646" s="29" t="inlineStr">
        <is>
          <t>BİGADİÇ</t>
        </is>
      </c>
    </row>
    <row r="3647">
      <c r="A3647" s="4" t="n">
        <v>3646</v>
      </c>
      <c r="B3647" s="4" t="inlineStr">
        <is>
          <t>00170</t>
        </is>
      </c>
      <c r="C3647" s="4" t="inlineStr">
        <is>
          <t>00170</t>
        </is>
      </c>
      <c r="D3647" s="29" t="inlineStr">
        <is>
          <t>SİBEL ÇÇAKIR</t>
        </is>
      </c>
      <c r="E3647" s="4" t="inlineStr">
        <is>
          <t>Perşembe</t>
        </is>
      </c>
      <c r="F3647" s="4" t="inlineStr">
        <is>
          <t>8.10.2026</t>
        </is>
      </c>
      <c r="G3647" s="4" t="inlineStr">
        <is>
          <t>15:52</t>
        </is>
      </c>
      <c r="H3647" s="4" t="inlineStr">
        <is>
          <t>8.10.2026</t>
        </is>
      </c>
      <c r="I3647" s="4" t="inlineStr">
        <is>
          <t>00:04</t>
        </is>
      </c>
      <c r="J3647" s="8" t="n">
        <v>7.5</v>
      </c>
      <c r="K3647" s="8" t="n">
        <v>7.5</v>
      </c>
      <c r="L3647" s="8" t="n">
        <v>0</v>
      </c>
      <c r="M3647" s="29" t="inlineStr">
        <is>
          <t>BİGADİÇ</t>
        </is>
      </c>
    </row>
    <row r="3648">
      <c r="A3648" s="4" t="n">
        <v>3647</v>
      </c>
      <c r="B3648" s="4" t="inlineStr">
        <is>
          <t>00170</t>
        </is>
      </c>
      <c r="C3648" s="4" t="inlineStr">
        <is>
          <t>00170</t>
        </is>
      </c>
      <c r="D3648" s="29" t="inlineStr">
        <is>
          <t>SİBEL ÇÇAKIR</t>
        </is>
      </c>
      <c r="E3648" s="4" t="inlineStr">
        <is>
          <t>Cuma</t>
        </is>
      </c>
      <c r="F3648" s="4" t="inlineStr">
        <is>
          <t>9.10.2026</t>
        </is>
      </c>
      <c r="G3648" s="4" t="inlineStr">
        <is>
          <t>15:51</t>
        </is>
      </c>
      <c r="H3648" s="4" t="inlineStr">
        <is>
          <t>9.10.2026</t>
        </is>
      </c>
      <c r="I3648" s="4" t="inlineStr">
        <is>
          <t>00:06</t>
        </is>
      </c>
      <c r="J3648" s="8" t="n">
        <v>7.5</v>
      </c>
      <c r="K3648" s="8" t="n">
        <v>7.5</v>
      </c>
      <c r="L3648" s="8" t="n">
        <v>0</v>
      </c>
      <c r="M3648" s="29" t="inlineStr">
        <is>
          <t>BİGADİÇ</t>
        </is>
      </c>
    </row>
    <row r="3649">
      <c r="A3649" s="4" t="n">
        <v>3648</v>
      </c>
      <c r="B3649" s="4" t="inlineStr">
        <is>
          <t>00170</t>
        </is>
      </c>
      <c r="C3649" s="4" t="inlineStr">
        <is>
          <t>00170</t>
        </is>
      </c>
      <c r="D3649" s="29" t="inlineStr">
        <is>
          <t>SİBEL ÇÇAKIR</t>
        </is>
      </c>
      <c r="E3649" s="4" t="inlineStr">
        <is>
          <t>Cumartesi</t>
        </is>
      </c>
      <c r="F3649" s="4" t="inlineStr">
        <is>
          <t>10.10.2026</t>
        </is>
      </c>
      <c r="G3649" s="4" t="inlineStr">
        <is>
          <t>15:53</t>
        </is>
      </c>
      <c r="H3649" s="4" t="inlineStr">
        <is>
          <t>10.10.2026</t>
        </is>
      </c>
      <c r="I3649" s="4" t="inlineStr">
        <is>
          <t>00:06</t>
        </is>
      </c>
      <c r="J3649" s="8" t="n">
        <v>7.5</v>
      </c>
      <c r="K3649" s="8" t="n">
        <v>7.5</v>
      </c>
      <c r="L3649" s="8" t="n">
        <v>0</v>
      </c>
      <c r="M3649" s="29" t="inlineStr">
        <is>
          <t>BİGADİÇ</t>
        </is>
      </c>
    </row>
    <row r="3650">
      <c r="A3650" s="4" t="n">
        <v>3649</v>
      </c>
      <c r="B3650" s="4" t="inlineStr">
        <is>
          <t>00170</t>
        </is>
      </c>
      <c r="C3650" s="4" t="inlineStr">
        <is>
          <t>00170</t>
        </is>
      </c>
      <c r="D3650" s="29" t="inlineStr">
        <is>
          <t>SİBEL ÇÇAKIR</t>
        </is>
      </c>
      <c r="E3650" s="4" t="inlineStr">
        <is>
          <t>Pazartesi</t>
        </is>
      </c>
      <c r="F3650" s="4" t="inlineStr">
        <is>
          <t>12.10.2026</t>
        </is>
      </c>
      <c r="G3650" s="4" t="inlineStr">
        <is>
          <t>15:44</t>
        </is>
      </c>
      <c r="H3650" s="4" t="inlineStr">
        <is>
          <t>12.10.2026</t>
        </is>
      </c>
      <c r="I3650" s="4" t="inlineStr">
        <is>
          <t>15:45</t>
        </is>
      </c>
      <c r="J3650" s="8" t="n">
        <v>7.5</v>
      </c>
      <c r="K3650" s="8" t="n">
        <v>7.5</v>
      </c>
      <c r="L3650" s="8" t="n">
        <v>0</v>
      </c>
      <c r="M3650" s="29" t="inlineStr">
        <is>
          <t>BİGADİÇ</t>
        </is>
      </c>
    </row>
    <row r="3651">
      <c r="A3651" s="4" t="n">
        <v>3650</v>
      </c>
      <c r="B3651" s="4" t="inlineStr">
        <is>
          <t>00170</t>
        </is>
      </c>
      <c r="C3651" s="4" t="inlineStr">
        <is>
          <t>00170</t>
        </is>
      </c>
      <c r="D3651" s="29" t="inlineStr">
        <is>
          <t>SİBEL ÇÇAKIR</t>
        </is>
      </c>
      <c r="E3651" s="4" t="inlineStr">
        <is>
          <t>Salı</t>
        </is>
      </c>
      <c r="F3651" s="4" t="inlineStr">
        <is>
          <t>13.10.2026</t>
        </is>
      </c>
      <c r="G3651" s="4" t="inlineStr">
        <is>
          <t>15:54</t>
        </is>
      </c>
      <c r="H3651" s="4" t="inlineStr">
        <is>
          <t>13.10.2026</t>
        </is>
      </c>
      <c r="I3651" s="4" t="inlineStr">
        <is>
          <t>00:04</t>
        </is>
      </c>
      <c r="J3651" s="8" t="n">
        <v>7.5</v>
      </c>
      <c r="K3651" s="8" t="n">
        <v>7.5</v>
      </c>
      <c r="L3651" s="8" t="n">
        <v>0</v>
      </c>
      <c r="M3651" s="29" t="inlineStr">
        <is>
          <t>BİGADİÇ</t>
        </is>
      </c>
    </row>
    <row r="3652">
      <c r="A3652" s="4" t="n">
        <v>3651</v>
      </c>
      <c r="B3652" s="4" t="inlineStr">
        <is>
          <t>00170</t>
        </is>
      </c>
      <c r="C3652" s="4" t="inlineStr">
        <is>
          <t>00170</t>
        </is>
      </c>
      <c r="D3652" s="29" t="inlineStr">
        <is>
          <t>SİBEL ÇÇAKIR</t>
        </is>
      </c>
      <c r="E3652" s="4" t="inlineStr">
        <is>
          <t>Çarşamba</t>
        </is>
      </c>
      <c r="F3652" s="4" t="inlineStr">
        <is>
          <t>14.10.2026</t>
        </is>
      </c>
      <c r="G3652" s="4" t="inlineStr">
        <is>
          <t>15:55</t>
        </is>
      </c>
      <c r="H3652" s="4" t="inlineStr">
        <is>
          <t>14.10.2026</t>
        </is>
      </c>
      <c r="I3652" s="4" t="inlineStr">
        <is>
          <t>00:31</t>
        </is>
      </c>
      <c r="J3652" s="8" t="n">
        <v>8</v>
      </c>
      <c r="K3652" s="8" t="n">
        <v>7.5</v>
      </c>
      <c r="L3652" s="8" t="n">
        <v>0.5</v>
      </c>
      <c r="M3652" s="29" t="inlineStr">
        <is>
          <t>BİGADİÇ</t>
        </is>
      </c>
    </row>
    <row r="3653">
      <c r="A3653" s="4" t="n">
        <v>3652</v>
      </c>
      <c r="B3653" s="4" t="inlineStr">
        <is>
          <t>00170</t>
        </is>
      </c>
      <c r="C3653" s="4" t="inlineStr">
        <is>
          <t>00170</t>
        </is>
      </c>
      <c r="D3653" s="29" t="inlineStr">
        <is>
          <t>SİBEL ÇÇAKIR</t>
        </is>
      </c>
      <c r="E3653" s="4" t="inlineStr">
        <is>
          <t>Perşembe</t>
        </is>
      </c>
      <c r="F3653" s="4" t="inlineStr">
        <is>
          <t>15.10.2026</t>
        </is>
      </c>
      <c r="G3653" s="4" t="inlineStr">
        <is>
          <t>15:57</t>
        </is>
      </c>
      <c r="H3653" s="4" t="inlineStr">
        <is>
          <t>15.10.2026</t>
        </is>
      </c>
      <c r="I3653" s="4" t="inlineStr">
        <is>
          <t>00:03</t>
        </is>
      </c>
      <c r="J3653" s="8" t="n">
        <v>7.5</v>
      </c>
      <c r="K3653" s="8" t="n">
        <v>7.5</v>
      </c>
      <c r="L3653" s="8" t="n">
        <v>0</v>
      </c>
      <c r="M3653" s="29" t="inlineStr">
        <is>
          <t>BİGADİÇ</t>
        </is>
      </c>
    </row>
    <row r="3654">
      <c r="A3654" s="4" t="n">
        <v>3653</v>
      </c>
      <c r="B3654" s="4" t="inlineStr">
        <is>
          <t>00170</t>
        </is>
      </c>
      <c r="C3654" s="4" t="inlineStr">
        <is>
          <t>00170</t>
        </is>
      </c>
      <c r="D3654" s="29" t="inlineStr">
        <is>
          <t>SİBEL ÇÇAKIR</t>
        </is>
      </c>
      <c r="E3654" s="4" t="inlineStr">
        <is>
          <t>Cuma</t>
        </is>
      </c>
      <c r="F3654" s="4" t="inlineStr">
        <is>
          <t>16.10.2026</t>
        </is>
      </c>
      <c r="G3654" s="4" t="inlineStr">
        <is>
          <t>15:57</t>
        </is>
      </c>
      <c r="H3654" s="4" t="inlineStr">
        <is>
          <t>16.10.2026</t>
        </is>
      </c>
      <c r="I3654" s="4" t="inlineStr">
        <is>
          <t>00:00</t>
        </is>
      </c>
      <c r="J3654" s="8" t="n">
        <v>7.5</v>
      </c>
      <c r="K3654" s="8" t="n">
        <v>7.5</v>
      </c>
      <c r="L3654" s="8" t="n">
        <v>0</v>
      </c>
      <c r="M3654" s="29" t="inlineStr">
        <is>
          <t>BİGADİÇ</t>
        </is>
      </c>
    </row>
    <row r="3655">
      <c r="A3655" s="4" t="n">
        <v>3654</v>
      </c>
      <c r="B3655" s="4" t="inlineStr">
        <is>
          <t>00170</t>
        </is>
      </c>
      <c r="C3655" s="4" t="inlineStr">
        <is>
          <t>00170</t>
        </is>
      </c>
      <c r="D3655" s="29" t="inlineStr">
        <is>
          <t>SİBEL ÇÇAKIR</t>
        </is>
      </c>
      <c r="E3655" s="4" t="inlineStr">
        <is>
          <t>Cumartesi</t>
        </is>
      </c>
      <c r="F3655" s="4" t="inlineStr">
        <is>
          <t>17.10.2026</t>
        </is>
      </c>
      <c r="G3655" s="4" t="inlineStr">
        <is>
          <t>15:53</t>
        </is>
      </c>
      <c r="H3655" s="4" t="inlineStr">
        <is>
          <t>17.10.2026</t>
        </is>
      </c>
      <c r="I3655" s="4" t="inlineStr">
        <is>
          <t>23:59</t>
        </is>
      </c>
      <c r="J3655" s="8" t="n">
        <v>7.5</v>
      </c>
      <c r="K3655" s="8" t="n">
        <v>7.5</v>
      </c>
      <c r="L3655" s="8" t="n">
        <v>0</v>
      </c>
      <c r="M3655" s="29" t="inlineStr">
        <is>
          <t>BİGADİÇ</t>
        </is>
      </c>
    </row>
    <row r="3656">
      <c r="A3656" s="4" t="n">
        <v>3655</v>
      </c>
      <c r="B3656" s="4" t="inlineStr">
        <is>
          <t>00170</t>
        </is>
      </c>
      <c r="C3656" s="4" t="inlineStr">
        <is>
          <t>00170</t>
        </is>
      </c>
      <c r="D3656" s="29" t="inlineStr">
        <is>
          <t>SİBEL ÇÇAKIR</t>
        </is>
      </c>
      <c r="E3656" s="4" t="inlineStr">
        <is>
          <t>Pazartesi</t>
        </is>
      </c>
      <c r="F3656" s="4" t="inlineStr">
        <is>
          <t>19.10.2026</t>
        </is>
      </c>
      <c r="G3656" s="4" t="inlineStr">
        <is>
          <t>15:52</t>
        </is>
      </c>
      <c r="H3656" s="4" t="inlineStr">
        <is>
          <t>19.10.2026</t>
        </is>
      </c>
      <c r="I3656" s="4" t="inlineStr">
        <is>
          <t>00:04</t>
        </is>
      </c>
      <c r="J3656" s="8" t="n">
        <v>7.5</v>
      </c>
      <c r="K3656" s="8" t="n">
        <v>7.5</v>
      </c>
      <c r="L3656" s="8" t="n">
        <v>0</v>
      </c>
      <c r="M3656" s="29" t="inlineStr">
        <is>
          <t>BİGADİÇ</t>
        </is>
      </c>
    </row>
    <row r="3657">
      <c r="A3657" s="4" t="n">
        <v>3656</v>
      </c>
      <c r="B3657" s="4" t="inlineStr">
        <is>
          <t>00170</t>
        </is>
      </c>
      <c r="C3657" s="4" t="inlineStr">
        <is>
          <t>00170</t>
        </is>
      </c>
      <c r="D3657" s="29" t="inlineStr">
        <is>
          <t>SİBEL ÇÇAKIR</t>
        </is>
      </c>
      <c r="E3657" s="4" t="inlineStr">
        <is>
          <t>Salı</t>
        </is>
      </c>
      <c r="F3657" s="4" t="inlineStr">
        <is>
          <t>20.10.2026</t>
        </is>
      </c>
      <c r="G3657" s="4" t="inlineStr">
        <is>
          <t>16:04</t>
        </is>
      </c>
      <c r="H3657" s="4" t="inlineStr">
        <is>
          <t>20.10.2026</t>
        </is>
      </c>
      <c r="I3657" s="4" t="inlineStr">
        <is>
          <t>00:02</t>
        </is>
      </c>
      <c r="J3657" s="8" t="n">
        <v>7.5</v>
      </c>
      <c r="K3657" s="8" t="n">
        <v>7.5</v>
      </c>
      <c r="L3657" s="8" t="n">
        <v>0</v>
      </c>
      <c r="M3657" s="29" t="inlineStr">
        <is>
          <t>BİGADİÇ</t>
        </is>
      </c>
    </row>
    <row r="3658">
      <c r="A3658" s="4" t="n">
        <v>3657</v>
      </c>
      <c r="B3658" s="4" t="inlineStr">
        <is>
          <t>00170</t>
        </is>
      </c>
      <c r="C3658" s="4" t="inlineStr">
        <is>
          <t>00170</t>
        </is>
      </c>
      <c r="D3658" s="29" t="inlineStr">
        <is>
          <t>SİBEL ÇÇAKIR</t>
        </is>
      </c>
      <c r="E3658" s="4" t="inlineStr">
        <is>
          <t>Çarşamba</t>
        </is>
      </c>
      <c r="F3658" s="4" t="inlineStr">
        <is>
          <t>21.10.2026</t>
        </is>
      </c>
      <c r="G3658" s="4" t="inlineStr">
        <is>
          <t>15:50</t>
        </is>
      </c>
      <c r="H3658" s="4" t="inlineStr">
        <is>
          <t>21.10.2026</t>
        </is>
      </c>
      <c r="I3658" s="4" t="inlineStr">
        <is>
          <t>-</t>
        </is>
      </c>
      <c r="J3658" s="8" t="n">
        <v>7.5</v>
      </c>
      <c r="K3658" s="8" t="n">
        <v>7.5</v>
      </c>
      <c r="L3658" s="8" t="n">
        <v>0</v>
      </c>
      <c r="M3658" s="29" t="inlineStr">
        <is>
          <t>BİGADİÇ</t>
        </is>
      </c>
    </row>
    <row r="3659">
      <c r="A3659" s="4" t="n">
        <v>3658</v>
      </c>
      <c r="B3659" s="4" t="inlineStr">
        <is>
          <t>01534</t>
        </is>
      </c>
      <c r="C3659" s="4" t="inlineStr">
        <is>
          <t>01534</t>
        </is>
      </c>
      <c r="D3659" s="29" t="inlineStr">
        <is>
          <t>SİBEL AKTAŞ</t>
        </is>
      </c>
      <c r="E3659" s="4" t="inlineStr">
        <is>
          <t>Perşembe</t>
        </is>
      </c>
      <c r="F3659" s="4" t="inlineStr">
        <is>
          <t>8.10.2026</t>
        </is>
      </c>
      <c r="G3659" s="4" t="inlineStr">
        <is>
          <t>08:05</t>
        </is>
      </c>
      <c r="H3659" s="4" t="inlineStr">
        <is>
          <t>8.10.2026</t>
        </is>
      </c>
      <c r="I3659" s="4" t="inlineStr">
        <is>
          <t>17:07</t>
        </is>
      </c>
      <c r="J3659" s="8" t="n">
        <v>7.5</v>
      </c>
      <c r="K3659" s="8" t="n">
        <v>7.5</v>
      </c>
      <c r="L3659" s="8" t="n">
        <v>0</v>
      </c>
      <c r="M3659" s="29" t="inlineStr">
        <is>
          <t>HALİL DİĞRENCİ</t>
        </is>
      </c>
    </row>
    <row r="3660">
      <c r="A3660" s="4" t="n">
        <v>3659</v>
      </c>
      <c r="B3660" s="4" t="inlineStr">
        <is>
          <t>01457</t>
        </is>
      </c>
      <c r="C3660" s="4" t="inlineStr">
        <is>
          <t>01457</t>
        </is>
      </c>
      <c r="D3660" s="29" t="inlineStr">
        <is>
          <t>SİNAN BAYINDIR</t>
        </is>
      </c>
      <c r="E3660" s="4" t="inlineStr">
        <is>
          <t>Cuma</t>
        </is>
      </c>
      <c r="F3660" s="4" t="inlineStr">
        <is>
          <t>2.10.2026</t>
        </is>
      </c>
      <c r="G3660" s="4" t="inlineStr">
        <is>
          <t>19:45</t>
        </is>
      </c>
      <c r="H3660" s="4" t="inlineStr">
        <is>
          <t>2.10.2026</t>
        </is>
      </c>
      <c r="I3660" s="4" t="inlineStr">
        <is>
          <t>07:54</t>
        </is>
      </c>
      <c r="J3660" s="8" t="n">
        <v>10.5</v>
      </c>
      <c r="K3660" s="8" t="n">
        <v>7.5</v>
      </c>
      <c r="L3660" s="8" t="n">
        <v>3</v>
      </c>
      <c r="M3660" s="29" t="inlineStr">
        <is>
          <t>HALİL DİĞRENCİ</t>
        </is>
      </c>
    </row>
    <row r="3661">
      <c r="A3661" s="4" t="n">
        <v>3660</v>
      </c>
      <c r="B3661" s="4" t="inlineStr">
        <is>
          <t>01457</t>
        </is>
      </c>
      <c r="C3661" s="4" t="inlineStr">
        <is>
          <t>01457</t>
        </is>
      </c>
      <c r="D3661" s="29" t="inlineStr">
        <is>
          <t>SİNAN BAYINDIR</t>
        </is>
      </c>
      <c r="E3661" s="4" t="inlineStr">
        <is>
          <t>Cumartesi</t>
        </is>
      </c>
      <c r="F3661" s="4" t="inlineStr">
        <is>
          <t>3.10.2026</t>
        </is>
      </c>
      <c r="G3661" s="4" t="inlineStr">
        <is>
          <t>19:52</t>
        </is>
      </c>
      <c r="H3661" s="4" t="inlineStr">
        <is>
          <t>3.10.2026</t>
        </is>
      </c>
      <c r="I3661" s="4" t="inlineStr">
        <is>
          <t>07:53</t>
        </is>
      </c>
      <c r="J3661" s="8" t="n">
        <v>10.5</v>
      </c>
      <c r="K3661" s="8" t="n">
        <v>7.5</v>
      </c>
      <c r="L3661" s="8" t="n">
        <v>3</v>
      </c>
      <c r="M3661" s="29" t="inlineStr">
        <is>
          <t>HALİL DİĞRENCİ</t>
        </is>
      </c>
    </row>
    <row r="3662">
      <c r="A3662" s="4" t="n">
        <v>3661</v>
      </c>
      <c r="B3662" s="4" t="inlineStr">
        <is>
          <t>01457</t>
        </is>
      </c>
      <c r="C3662" s="4" t="inlineStr">
        <is>
          <t>01457</t>
        </is>
      </c>
      <c r="D3662" s="29" t="inlineStr">
        <is>
          <t>SİNAN BAYINDIR</t>
        </is>
      </c>
      <c r="E3662" s="4" t="inlineStr">
        <is>
          <t>Pazar</t>
        </is>
      </c>
      <c r="F3662" s="4" t="inlineStr">
        <is>
          <t>4.10.2026</t>
        </is>
      </c>
      <c r="G3662" s="4" t="inlineStr">
        <is>
          <t>19:59</t>
        </is>
      </c>
      <c r="H3662" s="4" t="inlineStr">
        <is>
          <t>4.10.2026</t>
        </is>
      </c>
      <c r="I3662" s="4" t="inlineStr">
        <is>
          <t>07:57</t>
        </is>
      </c>
      <c r="J3662" s="8" t="n">
        <v>10.5</v>
      </c>
      <c r="K3662" s="8" t="n">
        <v>7.5</v>
      </c>
      <c r="L3662" s="8" t="n">
        <v>3</v>
      </c>
      <c r="M3662" s="29" t="inlineStr">
        <is>
          <t>HALİL DİĞRENCİ</t>
        </is>
      </c>
    </row>
    <row r="3663">
      <c r="A3663" s="4" t="n">
        <v>3662</v>
      </c>
      <c r="B3663" s="4" t="inlineStr">
        <is>
          <t>01457</t>
        </is>
      </c>
      <c r="C3663" s="4" t="inlineStr">
        <is>
          <t>01457</t>
        </is>
      </c>
      <c r="D3663" s="29" t="inlineStr">
        <is>
          <t>SİNAN BAYINDIR</t>
        </is>
      </c>
      <c r="E3663" s="4" t="inlineStr">
        <is>
          <t>Pazartesi</t>
        </is>
      </c>
      <c r="F3663" s="4" t="inlineStr">
        <is>
          <t>5.10.2026</t>
        </is>
      </c>
      <c r="G3663" s="4" t="inlineStr">
        <is>
          <t>19:56</t>
        </is>
      </c>
      <c r="H3663" s="4" t="inlineStr">
        <is>
          <t>5.10.2026</t>
        </is>
      </c>
      <c r="I3663" s="4" t="inlineStr">
        <is>
          <t>07:50</t>
        </is>
      </c>
      <c r="J3663" s="8" t="n">
        <v>10.5</v>
      </c>
      <c r="K3663" s="8" t="n">
        <v>7.5</v>
      </c>
      <c r="L3663" s="8" t="n">
        <v>3</v>
      </c>
      <c r="M3663" s="29" t="inlineStr">
        <is>
          <t>HALİL DİĞRENCİ</t>
        </is>
      </c>
    </row>
    <row r="3664">
      <c r="A3664" s="4" t="n">
        <v>3663</v>
      </c>
      <c r="B3664" s="4" t="inlineStr">
        <is>
          <t>01457</t>
        </is>
      </c>
      <c r="C3664" s="4" t="inlineStr">
        <is>
          <t>01457</t>
        </is>
      </c>
      <c r="D3664" s="29" t="inlineStr">
        <is>
          <t>SİNAN BAYINDIR</t>
        </is>
      </c>
      <c r="E3664" s="4" t="inlineStr">
        <is>
          <t>Çarşamba</t>
        </is>
      </c>
      <c r="F3664" s="4" t="inlineStr">
        <is>
          <t>7.10.2026</t>
        </is>
      </c>
      <c r="G3664" s="4" t="inlineStr">
        <is>
          <t>19:57</t>
        </is>
      </c>
      <c r="H3664" s="4" t="inlineStr">
        <is>
          <t>7.10.2026</t>
        </is>
      </c>
      <c r="I3664" s="4" t="inlineStr">
        <is>
          <t>07:55</t>
        </is>
      </c>
      <c r="J3664" s="8" t="n">
        <v>10.5</v>
      </c>
      <c r="K3664" s="8" t="n">
        <v>7.5</v>
      </c>
      <c r="L3664" s="8" t="n">
        <v>3</v>
      </c>
      <c r="M3664" s="29" t="inlineStr">
        <is>
          <t>HALİL DİĞRENCİ</t>
        </is>
      </c>
    </row>
    <row r="3665">
      <c r="A3665" s="4" t="n">
        <v>3664</v>
      </c>
      <c r="B3665" s="4" t="inlineStr">
        <is>
          <t>01457</t>
        </is>
      </c>
      <c r="C3665" s="4" t="inlineStr">
        <is>
          <t>01457</t>
        </is>
      </c>
      <c r="D3665" s="29" t="inlineStr">
        <is>
          <t>SİNAN BAYINDIR</t>
        </is>
      </c>
      <c r="E3665" s="4" t="inlineStr">
        <is>
          <t>Perşembe</t>
        </is>
      </c>
      <c r="F3665" s="4" t="inlineStr">
        <is>
          <t>8.10.2026</t>
        </is>
      </c>
      <c r="G3665" s="4" t="inlineStr">
        <is>
          <t>19:58</t>
        </is>
      </c>
      <c r="H3665" s="4" t="inlineStr">
        <is>
          <t>8.10.2026</t>
        </is>
      </c>
      <c r="I3665" s="4" t="inlineStr">
        <is>
          <t>07:56</t>
        </is>
      </c>
      <c r="J3665" s="8" t="n">
        <v>10.5</v>
      </c>
      <c r="K3665" s="8" t="n">
        <v>7.5</v>
      </c>
      <c r="L3665" s="8" t="n">
        <v>3</v>
      </c>
      <c r="M3665" s="29" t="inlineStr">
        <is>
          <t>HALİL DİĞRENCİ</t>
        </is>
      </c>
    </row>
    <row r="3666">
      <c r="A3666" s="4" t="n">
        <v>3665</v>
      </c>
      <c r="B3666" s="4" t="inlineStr">
        <is>
          <t>01457</t>
        </is>
      </c>
      <c r="C3666" s="4" t="inlineStr">
        <is>
          <t>01457</t>
        </is>
      </c>
      <c r="D3666" s="29" t="inlineStr">
        <is>
          <t>SİNAN BAYINDIR</t>
        </is>
      </c>
      <c r="E3666" s="4" t="inlineStr">
        <is>
          <t>Cuma</t>
        </is>
      </c>
      <c r="F3666" s="4" t="inlineStr">
        <is>
          <t>9.10.2026</t>
        </is>
      </c>
      <c r="G3666" s="4" t="inlineStr">
        <is>
          <t>19:59</t>
        </is>
      </c>
      <c r="H3666" s="4" t="inlineStr">
        <is>
          <t>9.10.2026</t>
        </is>
      </c>
      <c r="I3666" s="4" t="inlineStr">
        <is>
          <t>07:56</t>
        </is>
      </c>
      <c r="J3666" s="8" t="n">
        <v>10.5</v>
      </c>
      <c r="K3666" s="8" t="n">
        <v>7.5</v>
      </c>
      <c r="L3666" s="8" t="n">
        <v>3</v>
      </c>
      <c r="M3666" s="29" t="inlineStr">
        <is>
          <t>HALİL DİĞRENCİ</t>
        </is>
      </c>
    </row>
    <row r="3667">
      <c r="A3667" s="4" t="n">
        <v>3666</v>
      </c>
      <c r="B3667" s="4" t="inlineStr">
        <is>
          <t>01457</t>
        </is>
      </c>
      <c r="C3667" s="4" t="inlineStr">
        <is>
          <t>01457</t>
        </is>
      </c>
      <c r="D3667" s="29" t="inlineStr">
        <is>
          <t>SİNAN BAYINDIR</t>
        </is>
      </c>
      <c r="E3667" s="4" t="inlineStr">
        <is>
          <t>Pazartesi</t>
        </is>
      </c>
      <c r="F3667" s="4" t="inlineStr">
        <is>
          <t>12.10.2026</t>
        </is>
      </c>
      <c r="G3667" s="4" t="inlineStr">
        <is>
          <t>08:10</t>
        </is>
      </c>
      <c r="H3667" s="4" t="inlineStr">
        <is>
          <t>12.10.2026</t>
        </is>
      </c>
      <c r="I3667" s="4" t="inlineStr">
        <is>
          <t>20:06</t>
        </is>
      </c>
      <c r="J3667" s="8" t="n">
        <v>10.5</v>
      </c>
      <c r="K3667" s="8" t="n">
        <v>7.5</v>
      </c>
      <c r="L3667" s="8" t="n">
        <v>3</v>
      </c>
      <c r="M3667" s="29" t="inlineStr">
        <is>
          <t>HALİL DİĞRENCİ</t>
        </is>
      </c>
    </row>
    <row r="3668">
      <c r="A3668" s="4" t="n">
        <v>3667</v>
      </c>
      <c r="B3668" s="4" t="inlineStr">
        <is>
          <t>01457</t>
        </is>
      </c>
      <c r="C3668" s="4" t="inlineStr">
        <is>
          <t>01457</t>
        </is>
      </c>
      <c r="D3668" s="29" t="inlineStr">
        <is>
          <t>SİNAN BAYINDIR</t>
        </is>
      </c>
      <c r="E3668" s="4" t="inlineStr">
        <is>
          <t>Salı</t>
        </is>
      </c>
      <c r="F3668" s="4" t="inlineStr">
        <is>
          <t>13.10.2026</t>
        </is>
      </c>
      <c r="G3668" s="4" t="inlineStr">
        <is>
          <t>07:59</t>
        </is>
      </c>
      <c r="H3668" s="4" t="inlineStr">
        <is>
          <t>13.10.2026</t>
        </is>
      </c>
      <c r="I3668" s="4" t="inlineStr">
        <is>
          <t>19:57</t>
        </is>
      </c>
      <c r="J3668" s="8" t="n">
        <v>10.5</v>
      </c>
      <c r="K3668" s="8" t="n">
        <v>7.5</v>
      </c>
      <c r="L3668" s="8" t="n">
        <v>3</v>
      </c>
      <c r="M3668" s="29" t="inlineStr">
        <is>
          <t>HALİL DİĞRENCİ</t>
        </is>
      </c>
    </row>
    <row r="3669">
      <c r="A3669" s="4" t="n">
        <v>3668</v>
      </c>
      <c r="B3669" s="4" t="inlineStr">
        <is>
          <t>00240</t>
        </is>
      </c>
      <c r="C3669" s="4" t="inlineStr">
        <is>
          <t>00240</t>
        </is>
      </c>
      <c r="D3669" s="29" t="inlineStr">
        <is>
          <t>SULTAN BAĞ</t>
        </is>
      </c>
      <c r="E3669" s="4" t="inlineStr">
        <is>
          <t>Perşembe</t>
        </is>
      </c>
      <c r="F3669" s="4" t="inlineStr">
        <is>
          <t>1.10.2026</t>
        </is>
      </c>
      <c r="G3669" s="4" t="inlineStr">
        <is>
          <t>07:43</t>
        </is>
      </c>
      <c r="H3669" s="4" t="inlineStr">
        <is>
          <t>1.10.2026</t>
        </is>
      </c>
      <c r="I3669" s="4" t="inlineStr">
        <is>
          <t>17:34</t>
        </is>
      </c>
      <c r="J3669" s="8" t="n">
        <v>8</v>
      </c>
      <c r="K3669" s="8" t="n">
        <v>7.5</v>
      </c>
      <c r="L3669" s="8" t="n">
        <v>0.5</v>
      </c>
      <c r="M3669" s="29" t="inlineStr">
        <is>
          <t>KARACABEY</t>
        </is>
      </c>
    </row>
    <row r="3670">
      <c r="A3670" s="4" t="n">
        <v>3669</v>
      </c>
      <c r="B3670" s="4" t="inlineStr">
        <is>
          <t>00240</t>
        </is>
      </c>
      <c r="C3670" s="4" t="inlineStr">
        <is>
          <t>00240</t>
        </is>
      </c>
      <c r="D3670" s="29" t="inlineStr">
        <is>
          <t>SULTAN BAĞ</t>
        </is>
      </c>
      <c r="E3670" s="4" t="inlineStr">
        <is>
          <t>Cuma</t>
        </is>
      </c>
      <c r="F3670" s="4" t="inlineStr">
        <is>
          <t>2.10.2026</t>
        </is>
      </c>
      <c r="G3670" s="4" t="inlineStr">
        <is>
          <t>07:42</t>
        </is>
      </c>
      <c r="H3670" s="4" t="inlineStr">
        <is>
          <t>2.10.2026</t>
        </is>
      </c>
      <c r="I3670" s="4" t="inlineStr">
        <is>
          <t>17:52</t>
        </is>
      </c>
      <c r="J3670" s="8" t="n">
        <v>8.5</v>
      </c>
      <c r="K3670" s="8" t="n">
        <v>7.5</v>
      </c>
      <c r="L3670" s="8" t="n">
        <v>1</v>
      </c>
      <c r="M3670" s="29" t="inlineStr">
        <is>
          <t>KARACABEY</t>
        </is>
      </c>
    </row>
    <row r="3671">
      <c r="A3671" s="4" t="n">
        <v>3670</v>
      </c>
      <c r="B3671" s="4" t="inlineStr">
        <is>
          <t>00240</t>
        </is>
      </c>
      <c r="C3671" s="4" t="inlineStr">
        <is>
          <t>00240</t>
        </is>
      </c>
      <c r="D3671" s="29" t="inlineStr">
        <is>
          <t>SULTAN BAĞ</t>
        </is>
      </c>
      <c r="E3671" s="4" t="inlineStr">
        <is>
          <t>Cumartesi</t>
        </is>
      </c>
      <c r="F3671" s="4" t="inlineStr">
        <is>
          <t>3.10.2026</t>
        </is>
      </c>
      <c r="G3671" s="4" t="inlineStr">
        <is>
          <t>07:43</t>
        </is>
      </c>
      <c r="H3671" s="4" t="inlineStr">
        <is>
          <t>3.10.2026</t>
        </is>
      </c>
      <c r="I3671" s="4" t="inlineStr">
        <is>
          <t>17:40</t>
        </is>
      </c>
      <c r="J3671" s="8" t="n">
        <v>8</v>
      </c>
      <c r="K3671" s="8" t="n">
        <v>7.5</v>
      </c>
      <c r="L3671" s="8" t="n">
        <v>0.5</v>
      </c>
      <c r="M3671" s="29" t="inlineStr">
        <is>
          <t>KARACABEY</t>
        </is>
      </c>
    </row>
    <row r="3672">
      <c r="A3672" s="4" t="n">
        <v>3671</v>
      </c>
      <c r="B3672" s="4" t="inlineStr">
        <is>
          <t>00176</t>
        </is>
      </c>
      <c r="C3672" s="4" t="inlineStr">
        <is>
          <t>00176</t>
        </is>
      </c>
      <c r="D3672" s="29" t="inlineStr">
        <is>
          <t>ŞADİ BAŞARICI</t>
        </is>
      </c>
      <c r="E3672" s="4" t="inlineStr">
        <is>
          <t>Perşembe</t>
        </is>
      </c>
      <c r="F3672" s="4" t="inlineStr">
        <is>
          <t>1.10.2026</t>
        </is>
      </c>
      <c r="G3672" s="4" t="inlineStr">
        <is>
          <t>23:43</t>
        </is>
      </c>
      <c r="H3672" s="4" t="inlineStr">
        <is>
          <t>1.10.2026</t>
        </is>
      </c>
      <c r="I3672" s="4" t="inlineStr">
        <is>
          <t>08:23</t>
        </is>
      </c>
      <c r="J3672" s="8" t="n">
        <v>8</v>
      </c>
      <c r="K3672" s="8" t="n">
        <v>7.5</v>
      </c>
      <c r="L3672" s="8" t="n">
        <v>0.5</v>
      </c>
      <c r="M3672" s="29" t="inlineStr">
        <is>
          <t>KARACABEY</t>
        </is>
      </c>
    </row>
    <row r="3673">
      <c r="A3673" s="4" t="n">
        <v>3672</v>
      </c>
      <c r="B3673" s="4" t="inlineStr">
        <is>
          <t>00176</t>
        </is>
      </c>
      <c r="C3673" s="4" t="inlineStr">
        <is>
          <t>00176</t>
        </is>
      </c>
      <c r="D3673" s="29" t="inlineStr">
        <is>
          <t>ŞADİ BAŞARICI</t>
        </is>
      </c>
      <c r="E3673" s="4" t="inlineStr">
        <is>
          <t>Cuma</t>
        </is>
      </c>
      <c r="F3673" s="4" t="inlineStr">
        <is>
          <t>2.10.2026</t>
        </is>
      </c>
      <c r="G3673" s="4" t="inlineStr">
        <is>
          <t>23:34</t>
        </is>
      </c>
      <c r="H3673" s="4" t="inlineStr">
        <is>
          <t>2.10.2026</t>
        </is>
      </c>
      <c r="I3673" s="4" t="inlineStr">
        <is>
          <t>08:04</t>
        </is>
      </c>
      <c r="J3673" s="8" t="n">
        <v>7.5</v>
      </c>
      <c r="K3673" s="8" t="n">
        <v>7.5</v>
      </c>
      <c r="L3673" s="8" t="n">
        <v>0</v>
      </c>
      <c r="M3673" s="29" t="inlineStr">
        <is>
          <t>KARACABEY</t>
        </is>
      </c>
    </row>
    <row r="3674">
      <c r="A3674" s="4" t="n">
        <v>3673</v>
      </c>
      <c r="B3674" s="4" t="inlineStr">
        <is>
          <t>00176</t>
        </is>
      </c>
      <c r="C3674" s="4" t="inlineStr">
        <is>
          <t>00176</t>
        </is>
      </c>
      <c r="D3674" s="29" t="inlineStr">
        <is>
          <t>ŞADİ BAŞARICI</t>
        </is>
      </c>
      <c r="E3674" s="4" t="inlineStr">
        <is>
          <t>Pazar</t>
        </is>
      </c>
      <c r="F3674" s="4" t="inlineStr">
        <is>
          <t>4.10.2026</t>
        </is>
      </c>
      <c r="G3674" s="4" t="inlineStr">
        <is>
          <t>23:30</t>
        </is>
      </c>
      <c r="H3674" s="4" t="inlineStr">
        <is>
          <t>4.10.2026</t>
        </is>
      </c>
      <c r="I3674" s="4" t="inlineStr">
        <is>
          <t>08:41</t>
        </is>
      </c>
      <c r="J3674" s="8" t="n">
        <v>8</v>
      </c>
      <c r="K3674" s="8" t="n">
        <v>7.5</v>
      </c>
      <c r="L3674" s="8" t="n">
        <v>0.5</v>
      </c>
      <c r="M3674" s="29" t="inlineStr">
        <is>
          <t>KARACABEY</t>
        </is>
      </c>
    </row>
    <row r="3675">
      <c r="A3675" s="4" t="n">
        <v>3674</v>
      </c>
      <c r="B3675" s="4" t="inlineStr">
        <is>
          <t>00176</t>
        </is>
      </c>
      <c r="C3675" s="4" t="inlineStr">
        <is>
          <t>00176</t>
        </is>
      </c>
      <c r="D3675" s="29" t="inlineStr">
        <is>
          <t>ŞADİ BAŞARICI</t>
        </is>
      </c>
      <c r="E3675" s="4" t="inlineStr">
        <is>
          <t>Pazartesi</t>
        </is>
      </c>
      <c r="F3675" s="4" t="inlineStr">
        <is>
          <t>5.10.2026</t>
        </is>
      </c>
      <c r="G3675" s="4" t="inlineStr">
        <is>
          <t>17:11</t>
        </is>
      </c>
      <c r="H3675" s="4" t="inlineStr">
        <is>
          <t>5.10.2026</t>
        </is>
      </c>
      <c r="I3675" s="4" t="inlineStr">
        <is>
          <t>01:14</t>
        </is>
      </c>
      <c r="J3675" s="8" t="n">
        <v>7.5</v>
      </c>
      <c r="K3675" s="8" t="n">
        <v>6.5</v>
      </c>
      <c r="L3675" s="8" t="n">
        <v>1</v>
      </c>
      <c r="M3675" s="29" t="inlineStr">
        <is>
          <t>KARACABEY</t>
        </is>
      </c>
    </row>
    <row r="3676">
      <c r="A3676" s="4" t="n">
        <v>3675</v>
      </c>
      <c r="B3676" s="4" t="inlineStr">
        <is>
          <t>00176</t>
        </is>
      </c>
      <c r="C3676" s="4" t="inlineStr">
        <is>
          <t>00176</t>
        </is>
      </c>
      <c r="D3676" s="29" t="inlineStr">
        <is>
          <t>ŞADİ BAŞARICI</t>
        </is>
      </c>
      <c r="E3676" s="4" t="inlineStr">
        <is>
          <t>Salı</t>
        </is>
      </c>
      <c r="F3676" s="4" t="inlineStr">
        <is>
          <t>6.10.2026</t>
        </is>
      </c>
      <c r="G3676" s="4" t="inlineStr">
        <is>
          <t>14:48</t>
        </is>
      </c>
      <c r="H3676" s="4" t="inlineStr">
        <is>
          <t>6.10.2026</t>
        </is>
      </c>
      <c r="I3676" s="4" t="inlineStr">
        <is>
          <t>00:54</t>
        </is>
      </c>
      <c r="J3676" s="8" t="n">
        <v>8.5</v>
      </c>
      <c r="K3676" s="8" t="n">
        <v>7.5</v>
      </c>
      <c r="L3676" s="8" t="n">
        <v>1</v>
      </c>
      <c r="M3676" s="29" t="inlineStr">
        <is>
          <t>KARACABEY</t>
        </is>
      </c>
    </row>
    <row r="3677">
      <c r="A3677" s="4" t="n">
        <v>3676</v>
      </c>
      <c r="B3677" s="4" t="inlineStr">
        <is>
          <t>00176</t>
        </is>
      </c>
      <c r="C3677" s="4" t="inlineStr">
        <is>
          <t>00176</t>
        </is>
      </c>
      <c r="D3677" s="29" t="inlineStr">
        <is>
          <t>ŞADİ BAŞARICI</t>
        </is>
      </c>
      <c r="E3677" s="4" t="inlineStr">
        <is>
          <t>Çarşamba</t>
        </is>
      </c>
      <c r="F3677" s="4" t="inlineStr">
        <is>
          <t>7.10.2026</t>
        </is>
      </c>
      <c r="G3677" s="4" t="inlineStr">
        <is>
          <t>15:37</t>
        </is>
      </c>
      <c r="H3677" s="4" t="inlineStr">
        <is>
          <t>7.10.2026</t>
        </is>
      </c>
      <c r="I3677" s="4" t="inlineStr">
        <is>
          <t>00:31</t>
        </is>
      </c>
      <c r="J3677" s="8" t="n">
        <v>8</v>
      </c>
      <c r="K3677" s="8" t="n">
        <v>7.5</v>
      </c>
      <c r="L3677" s="8" t="n">
        <v>0.5</v>
      </c>
      <c r="M3677" s="29" t="inlineStr">
        <is>
          <t>KARACABEY</t>
        </is>
      </c>
    </row>
    <row r="3678">
      <c r="A3678" s="4" t="n">
        <v>3677</v>
      </c>
      <c r="B3678" s="4" t="inlineStr">
        <is>
          <t>00176</t>
        </is>
      </c>
      <c r="C3678" s="4" t="inlineStr">
        <is>
          <t>00176</t>
        </is>
      </c>
      <c r="D3678" s="29" t="inlineStr">
        <is>
          <t>ŞADİ BAŞARICI</t>
        </is>
      </c>
      <c r="E3678" s="4" t="inlineStr">
        <is>
          <t>Perşembe</t>
        </is>
      </c>
      <c r="F3678" s="4" t="inlineStr">
        <is>
          <t>8.10.2026</t>
        </is>
      </c>
      <c r="G3678" s="4" t="inlineStr">
        <is>
          <t>15:58</t>
        </is>
      </c>
      <c r="H3678" s="4" t="inlineStr">
        <is>
          <t>8.10.2026</t>
        </is>
      </c>
      <c r="I3678" s="4" t="inlineStr">
        <is>
          <t>01:17</t>
        </is>
      </c>
      <c r="J3678" s="8" t="n">
        <v>8.5</v>
      </c>
      <c r="K3678" s="8" t="n">
        <v>7.5</v>
      </c>
      <c r="L3678" s="8" t="n">
        <v>1</v>
      </c>
      <c r="M3678" s="29" t="inlineStr">
        <is>
          <t>KARACABEY</t>
        </is>
      </c>
    </row>
    <row r="3679">
      <c r="A3679" s="4" t="n">
        <v>3678</v>
      </c>
      <c r="B3679" s="4" t="inlineStr">
        <is>
          <t>00176</t>
        </is>
      </c>
      <c r="C3679" s="4" t="inlineStr">
        <is>
          <t>00176</t>
        </is>
      </c>
      <c r="D3679" s="29" t="inlineStr">
        <is>
          <t>ŞADİ BAŞARICI</t>
        </is>
      </c>
      <c r="E3679" s="4" t="inlineStr">
        <is>
          <t>Cuma</t>
        </is>
      </c>
      <c r="F3679" s="4" t="inlineStr">
        <is>
          <t>9.10.2026</t>
        </is>
      </c>
      <c r="G3679" s="4" t="inlineStr">
        <is>
          <t>15:33</t>
        </is>
      </c>
      <c r="H3679" s="4" t="inlineStr">
        <is>
          <t>9.10.2026</t>
        </is>
      </c>
      <c r="I3679" s="4" t="inlineStr">
        <is>
          <t>00:16</t>
        </is>
      </c>
      <c r="J3679" s="8" t="n">
        <v>7.5</v>
      </c>
      <c r="K3679" s="8" t="n">
        <v>7.5</v>
      </c>
      <c r="L3679" s="8" t="n">
        <v>0</v>
      </c>
      <c r="M3679" s="29" t="inlineStr">
        <is>
          <t>KARACABEY</t>
        </is>
      </c>
    </row>
    <row r="3680">
      <c r="A3680" s="4" t="n">
        <v>3679</v>
      </c>
      <c r="B3680" s="4" t="inlineStr">
        <is>
          <t>00176</t>
        </is>
      </c>
      <c r="C3680" s="4" t="inlineStr">
        <is>
          <t>00176</t>
        </is>
      </c>
      <c r="D3680" s="29" t="inlineStr">
        <is>
          <t>ŞADİ BAŞARICI</t>
        </is>
      </c>
      <c r="E3680" s="4" t="inlineStr">
        <is>
          <t>Cumartesi</t>
        </is>
      </c>
      <c r="F3680" s="4" t="inlineStr">
        <is>
          <t>10.10.2026</t>
        </is>
      </c>
      <c r="G3680" s="4" t="inlineStr">
        <is>
          <t>15:47</t>
        </is>
      </c>
      <c r="H3680" s="4" t="inlineStr">
        <is>
          <t>10.10.2026</t>
        </is>
      </c>
      <c r="I3680" s="4" t="inlineStr">
        <is>
          <t>00:14</t>
        </is>
      </c>
      <c r="J3680" s="8" t="n">
        <v>7.5</v>
      </c>
      <c r="K3680" s="8" t="n">
        <v>7.5</v>
      </c>
      <c r="L3680" s="8" t="n">
        <v>0</v>
      </c>
      <c r="M3680" s="29" t="inlineStr">
        <is>
          <t>KARACABEY</t>
        </is>
      </c>
    </row>
    <row r="3681">
      <c r="A3681" s="4" t="n">
        <v>3680</v>
      </c>
      <c r="B3681" s="4" t="inlineStr">
        <is>
          <t>00176</t>
        </is>
      </c>
      <c r="C3681" s="4" t="inlineStr">
        <is>
          <t>00176</t>
        </is>
      </c>
      <c r="D3681" s="29" t="inlineStr">
        <is>
          <t>ŞADİ BAŞARICI</t>
        </is>
      </c>
      <c r="E3681" s="4" t="inlineStr">
        <is>
          <t>Pazar</t>
        </is>
      </c>
      <c r="F3681" s="4" t="inlineStr">
        <is>
          <t>11.10.2026</t>
        </is>
      </c>
      <c r="G3681" s="4" t="inlineStr">
        <is>
          <t>15:47</t>
        </is>
      </c>
      <c r="H3681" s="4" t="inlineStr">
        <is>
          <t>11.10.2026</t>
        </is>
      </c>
      <c r="I3681" s="4" t="inlineStr">
        <is>
          <t>00:40</t>
        </is>
      </c>
      <c r="J3681" s="8" t="n">
        <v>8</v>
      </c>
      <c r="K3681" s="8" t="n">
        <v>7.5</v>
      </c>
      <c r="L3681" s="8" t="n">
        <v>0.5</v>
      </c>
      <c r="M3681" s="29" t="inlineStr">
        <is>
          <t>KARACABEY</t>
        </is>
      </c>
    </row>
    <row r="3682">
      <c r="A3682" s="4" t="n">
        <v>3681</v>
      </c>
      <c r="B3682" s="4" t="inlineStr">
        <is>
          <t>00176</t>
        </is>
      </c>
      <c r="C3682" s="4" t="inlineStr">
        <is>
          <t>00176</t>
        </is>
      </c>
      <c r="D3682" s="29" t="inlineStr">
        <is>
          <t>ŞADİ BAŞARICI</t>
        </is>
      </c>
      <c r="E3682" s="4" t="inlineStr">
        <is>
          <t>Pazartesi</t>
        </is>
      </c>
      <c r="F3682" s="4" t="inlineStr">
        <is>
          <t>12.10.2026</t>
        </is>
      </c>
      <c r="G3682" s="4" t="inlineStr">
        <is>
          <t>22:59</t>
        </is>
      </c>
      <c r="H3682" s="4" t="inlineStr">
        <is>
          <t>12.10.2026</t>
        </is>
      </c>
      <c r="I3682" s="4" t="inlineStr">
        <is>
          <t>08:43</t>
        </is>
      </c>
      <c r="J3682" s="8" t="n">
        <v>8</v>
      </c>
      <c r="K3682" s="8" t="n">
        <v>7.5</v>
      </c>
      <c r="L3682" s="8" t="n">
        <v>0.5</v>
      </c>
      <c r="M3682" s="29" t="inlineStr">
        <is>
          <t>KARACABEY</t>
        </is>
      </c>
    </row>
    <row r="3683">
      <c r="A3683" s="4" t="n">
        <v>3682</v>
      </c>
      <c r="B3683" s="4" t="inlineStr">
        <is>
          <t>00176</t>
        </is>
      </c>
      <c r="C3683" s="4" t="inlineStr">
        <is>
          <t>00176</t>
        </is>
      </c>
      <c r="D3683" s="29" t="inlineStr">
        <is>
          <t>ŞADİ BAŞARICI</t>
        </is>
      </c>
      <c r="E3683" s="4" t="inlineStr">
        <is>
          <t>Salı</t>
        </is>
      </c>
      <c r="F3683" s="4" t="inlineStr">
        <is>
          <t>13.10.2026</t>
        </is>
      </c>
      <c r="G3683" s="4" t="inlineStr">
        <is>
          <t>23:22</t>
        </is>
      </c>
      <c r="H3683" s="4" t="inlineStr">
        <is>
          <t>13.10.2026</t>
        </is>
      </c>
      <c r="I3683" s="4" t="inlineStr">
        <is>
          <t>08:03</t>
        </is>
      </c>
      <c r="J3683" s="8" t="n">
        <v>7.5</v>
      </c>
      <c r="K3683" s="8" t="n">
        <v>7.5</v>
      </c>
      <c r="L3683" s="8" t="n">
        <v>0</v>
      </c>
      <c r="M3683" s="29" t="inlineStr">
        <is>
          <t>KARACABEY</t>
        </is>
      </c>
    </row>
    <row r="3684">
      <c r="A3684" s="4" t="n">
        <v>3683</v>
      </c>
      <c r="B3684" s="4" t="inlineStr">
        <is>
          <t>00176</t>
        </is>
      </c>
      <c r="C3684" s="4" t="inlineStr">
        <is>
          <t>00176</t>
        </is>
      </c>
      <c r="D3684" s="29" t="inlineStr">
        <is>
          <t>ŞADİ BAŞARICI</t>
        </is>
      </c>
      <c r="E3684" s="4" t="inlineStr">
        <is>
          <t>Çarşamba</t>
        </is>
      </c>
      <c r="F3684" s="4" t="inlineStr">
        <is>
          <t>14.10.2026</t>
        </is>
      </c>
      <c r="G3684" s="4" t="inlineStr">
        <is>
          <t>23:28</t>
        </is>
      </c>
      <c r="H3684" s="4" t="inlineStr">
        <is>
          <t>14.10.2026</t>
        </is>
      </c>
      <c r="I3684" s="4" t="inlineStr">
        <is>
          <t>08:19</t>
        </is>
      </c>
      <c r="J3684" s="8" t="n">
        <v>7.5</v>
      </c>
      <c r="K3684" s="8" t="n">
        <v>7.5</v>
      </c>
      <c r="L3684" s="8" t="n">
        <v>0</v>
      </c>
      <c r="M3684" s="29" t="inlineStr">
        <is>
          <t>KARACABEY</t>
        </is>
      </c>
    </row>
    <row r="3685">
      <c r="A3685" s="4" t="n">
        <v>3684</v>
      </c>
      <c r="B3685" s="4" t="inlineStr">
        <is>
          <t>00176</t>
        </is>
      </c>
      <c r="C3685" s="4" t="inlineStr">
        <is>
          <t>00176</t>
        </is>
      </c>
      <c r="D3685" s="29" t="inlineStr">
        <is>
          <t>ŞADİ BAŞARICI</t>
        </is>
      </c>
      <c r="E3685" s="4" t="inlineStr">
        <is>
          <t>Perşembe</t>
        </is>
      </c>
      <c r="F3685" s="4" t="inlineStr">
        <is>
          <t>15.10.2026</t>
        </is>
      </c>
      <c r="G3685" s="4" t="inlineStr">
        <is>
          <t>23:18</t>
        </is>
      </c>
      <c r="H3685" s="4" t="inlineStr">
        <is>
          <t>15.10.2026</t>
        </is>
      </c>
      <c r="I3685" s="4" t="inlineStr">
        <is>
          <t>08:12</t>
        </is>
      </c>
      <c r="J3685" s="8" t="n">
        <v>7.5</v>
      </c>
      <c r="K3685" s="8" t="n">
        <v>7.5</v>
      </c>
      <c r="L3685" s="8" t="n">
        <v>0</v>
      </c>
      <c r="M3685" s="29" t="inlineStr">
        <is>
          <t>KARACABEY</t>
        </is>
      </c>
    </row>
    <row r="3686">
      <c r="A3686" s="4" t="n">
        <v>3685</v>
      </c>
      <c r="B3686" s="4" t="inlineStr">
        <is>
          <t>00176</t>
        </is>
      </c>
      <c r="C3686" s="4" t="inlineStr">
        <is>
          <t>00176</t>
        </is>
      </c>
      <c r="D3686" s="29" t="inlineStr">
        <is>
          <t>ŞADİ BAŞARICI</t>
        </is>
      </c>
      <c r="E3686" s="4" t="inlineStr">
        <is>
          <t>Cumartesi</t>
        </is>
      </c>
      <c r="F3686" s="4" t="inlineStr">
        <is>
          <t>17.10.2026</t>
        </is>
      </c>
      <c r="G3686" s="4" t="inlineStr">
        <is>
          <t>07:48</t>
        </is>
      </c>
      <c r="H3686" s="4" t="inlineStr">
        <is>
          <t>17.10.2026</t>
        </is>
      </c>
      <c r="I3686" s="4" t="inlineStr">
        <is>
          <t>19:54</t>
        </is>
      </c>
      <c r="J3686" s="8" t="n">
        <v>10.5</v>
      </c>
      <c r="K3686" s="8" t="n">
        <v>7.5</v>
      </c>
      <c r="L3686" s="8" t="n">
        <v>3</v>
      </c>
      <c r="M3686" s="29" t="inlineStr">
        <is>
          <t>KARACABEY</t>
        </is>
      </c>
    </row>
    <row r="3687">
      <c r="A3687" s="4" t="n">
        <v>3686</v>
      </c>
      <c r="B3687" s="4" t="inlineStr">
        <is>
          <t>00176</t>
        </is>
      </c>
      <c r="C3687" s="4" t="inlineStr">
        <is>
          <t>00176</t>
        </is>
      </c>
      <c r="D3687" s="29" t="inlineStr">
        <is>
          <t>ŞADİ BAŞARICI</t>
        </is>
      </c>
      <c r="E3687" s="4" t="inlineStr">
        <is>
          <t>Pazartesi</t>
        </is>
      </c>
      <c r="F3687" s="4" t="inlineStr">
        <is>
          <t>19.10.2026</t>
        </is>
      </c>
      <c r="G3687" s="4" t="inlineStr">
        <is>
          <t>15:50</t>
        </is>
      </c>
      <c r="H3687" s="4" t="inlineStr">
        <is>
          <t>19.10.2026</t>
        </is>
      </c>
      <c r="I3687" s="4" t="inlineStr">
        <is>
          <t>00:10</t>
        </is>
      </c>
      <c r="J3687" s="8" t="n">
        <v>7.5</v>
      </c>
      <c r="K3687" s="8" t="n">
        <v>7.5</v>
      </c>
      <c r="L3687" s="8" t="n">
        <v>0</v>
      </c>
      <c r="M3687" s="29" t="inlineStr">
        <is>
          <t>KARACABEY</t>
        </is>
      </c>
    </row>
    <row r="3688">
      <c r="A3688" s="4" t="n">
        <v>3687</v>
      </c>
      <c r="B3688" s="4" t="inlineStr">
        <is>
          <t>00176</t>
        </is>
      </c>
      <c r="C3688" s="4" t="inlineStr">
        <is>
          <t>00176</t>
        </is>
      </c>
      <c r="D3688" s="29" t="inlineStr">
        <is>
          <t>ŞADİ BAŞARICI</t>
        </is>
      </c>
      <c r="E3688" s="4" t="inlineStr">
        <is>
          <t>Salı</t>
        </is>
      </c>
      <c r="F3688" s="4" t="inlineStr">
        <is>
          <t>20.10.2026</t>
        </is>
      </c>
      <c r="G3688" s="4" t="inlineStr">
        <is>
          <t>15:31</t>
        </is>
      </c>
      <c r="H3688" s="4" t="inlineStr">
        <is>
          <t>20.10.2026</t>
        </is>
      </c>
      <c r="I3688" s="4" t="inlineStr">
        <is>
          <t>23:56</t>
        </is>
      </c>
      <c r="J3688" s="8" t="n">
        <v>8</v>
      </c>
      <c r="K3688" s="8" t="n">
        <v>8</v>
      </c>
      <c r="L3688" s="8" t="n">
        <v>0</v>
      </c>
      <c r="M3688" s="29" t="inlineStr">
        <is>
          <t>KARACABEY</t>
        </is>
      </c>
    </row>
    <row r="3689">
      <c r="A3689" s="4" t="n">
        <v>3688</v>
      </c>
      <c r="B3689" s="4" t="inlineStr">
        <is>
          <t>00176</t>
        </is>
      </c>
      <c r="C3689" s="4" t="inlineStr">
        <is>
          <t>00176</t>
        </is>
      </c>
      <c r="D3689" s="29" t="inlineStr">
        <is>
          <t>ŞADİ BAŞARICI</t>
        </is>
      </c>
      <c r="E3689" s="4" t="inlineStr">
        <is>
          <t>Çarşamba</t>
        </is>
      </c>
      <c r="F3689" s="4" t="inlineStr">
        <is>
          <t>21.10.2026</t>
        </is>
      </c>
      <c r="G3689" s="4" t="inlineStr">
        <is>
          <t>15:57</t>
        </is>
      </c>
      <c r="H3689" s="4" t="inlineStr">
        <is>
          <t>21.10.2026</t>
        </is>
      </c>
      <c r="I3689" s="4" t="inlineStr">
        <is>
          <t>-</t>
        </is>
      </c>
      <c r="J3689" s="8" t="n">
        <v>7.5</v>
      </c>
      <c r="K3689" s="8" t="n">
        <v>7.5</v>
      </c>
      <c r="L3689" s="8" t="n">
        <v>0</v>
      </c>
      <c r="M3689" s="29" t="inlineStr">
        <is>
          <t>KARACABEY</t>
        </is>
      </c>
    </row>
    <row r="3690">
      <c r="A3690" s="4" t="n">
        <v>3689</v>
      </c>
      <c r="B3690" s="4" t="inlineStr">
        <is>
          <t>00241</t>
        </is>
      </c>
      <c r="C3690" s="4" t="inlineStr">
        <is>
          <t>00241</t>
        </is>
      </c>
      <c r="D3690" s="29" t="inlineStr">
        <is>
          <t>ŞADİYE AKIN</t>
        </is>
      </c>
      <c r="E3690" s="4" t="inlineStr">
        <is>
          <t>Perşembe</t>
        </is>
      </c>
      <c r="F3690" s="4" t="inlineStr">
        <is>
          <t>1.10.2026</t>
        </is>
      </c>
      <c r="G3690" s="4" t="inlineStr">
        <is>
          <t>07:52</t>
        </is>
      </c>
      <c r="H3690" s="4" t="inlineStr">
        <is>
          <t>1.10.2026</t>
        </is>
      </c>
      <c r="I3690" s="4" t="inlineStr">
        <is>
          <t>17:26</t>
        </is>
      </c>
      <c r="J3690" s="8" t="n">
        <v>8</v>
      </c>
      <c r="K3690" s="8" t="n">
        <v>7.5</v>
      </c>
      <c r="L3690" s="8" t="n">
        <v>0.5</v>
      </c>
      <c r="M3690" s="29" t="inlineStr">
        <is>
          <t>HALİL DİĞRENCİ</t>
        </is>
      </c>
    </row>
    <row r="3691">
      <c r="A3691" s="4" t="n">
        <v>3690</v>
      </c>
      <c r="B3691" s="4" t="inlineStr">
        <is>
          <t>00241</t>
        </is>
      </c>
      <c r="C3691" s="4" t="inlineStr">
        <is>
          <t>00241</t>
        </is>
      </c>
      <c r="D3691" s="29" t="inlineStr">
        <is>
          <t>ŞADİYE AKIN</t>
        </is>
      </c>
      <c r="E3691" s="4" t="inlineStr">
        <is>
          <t>Cuma</t>
        </is>
      </c>
      <c r="F3691" s="4" t="inlineStr">
        <is>
          <t>2.10.2026</t>
        </is>
      </c>
      <c r="G3691" s="4" t="inlineStr">
        <is>
          <t>07:44</t>
        </is>
      </c>
      <c r="H3691" s="4" t="inlineStr">
        <is>
          <t>2.10.2026</t>
        </is>
      </c>
      <c r="I3691" s="4" t="inlineStr">
        <is>
          <t>17:44</t>
        </is>
      </c>
      <c r="J3691" s="8" t="n">
        <v>8</v>
      </c>
      <c r="K3691" s="8" t="n">
        <v>7.5</v>
      </c>
      <c r="L3691" s="8" t="n">
        <v>0.5</v>
      </c>
      <c r="M3691" s="29" t="inlineStr">
        <is>
          <t>HALİL DİĞRENCİ</t>
        </is>
      </c>
    </row>
    <row r="3692">
      <c r="A3692" s="4" t="n">
        <v>3691</v>
      </c>
      <c r="B3692" s="4" t="inlineStr">
        <is>
          <t>00241</t>
        </is>
      </c>
      <c r="C3692" s="4" t="inlineStr">
        <is>
          <t>00241</t>
        </is>
      </c>
      <c r="D3692" s="29" t="inlineStr">
        <is>
          <t>ŞADİYE AKIN</t>
        </is>
      </c>
      <c r="E3692" s="4" t="inlineStr">
        <is>
          <t>Cumartesi</t>
        </is>
      </c>
      <c r="F3692" s="4" t="inlineStr">
        <is>
          <t>3.10.2026</t>
        </is>
      </c>
      <c r="G3692" s="4" t="inlineStr">
        <is>
          <t>07:46</t>
        </is>
      </c>
      <c r="H3692" s="4" t="inlineStr">
        <is>
          <t>3.10.2026</t>
        </is>
      </c>
      <c r="I3692" s="4" t="inlineStr">
        <is>
          <t>17:35</t>
        </is>
      </c>
      <c r="J3692" s="8" t="n">
        <v>8</v>
      </c>
      <c r="K3692" s="8" t="n">
        <v>7.5</v>
      </c>
      <c r="L3692" s="8" t="n">
        <v>0.5</v>
      </c>
      <c r="M3692" s="29" t="inlineStr">
        <is>
          <t>HALİL DİĞRENCİ</t>
        </is>
      </c>
    </row>
    <row r="3693">
      <c r="A3693" s="4" t="n">
        <v>3692</v>
      </c>
      <c r="B3693" s="4" t="inlineStr">
        <is>
          <t>00241</t>
        </is>
      </c>
      <c r="C3693" s="4" t="inlineStr">
        <is>
          <t>00241</t>
        </is>
      </c>
      <c r="D3693" s="29" t="inlineStr">
        <is>
          <t>ŞADİYE AKIN</t>
        </is>
      </c>
      <c r="E3693" s="4" t="inlineStr">
        <is>
          <t>Pazartesi</t>
        </is>
      </c>
      <c r="F3693" s="4" t="inlineStr">
        <is>
          <t>12.10.2026</t>
        </is>
      </c>
      <c r="G3693" s="4" t="inlineStr">
        <is>
          <t>08:04</t>
        </is>
      </c>
      <c r="H3693" s="4" t="inlineStr">
        <is>
          <t>12.10.2026</t>
        </is>
      </c>
      <c r="I3693" s="4" t="inlineStr">
        <is>
          <t>17:03</t>
        </is>
      </c>
      <c r="J3693" s="8" t="n">
        <v>7.5</v>
      </c>
      <c r="K3693" s="8" t="n">
        <v>7.5</v>
      </c>
      <c r="L3693" s="8" t="n">
        <v>0</v>
      </c>
      <c r="M3693" s="29" t="inlineStr">
        <is>
          <t>HALİL DİĞRENCİ</t>
        </is>
      </c>
    </row>
    <row r="3694">
      <c r="A3694" s="4" t="n">
        <v>3693</v>
      </c>
      <c r="B3694" s="4" t="inlineStr">
        <is>
          <t>00241</t>
        </is>
      </c>
      <c r="C3694" s="4" t="inlineStr">
        <is>
          <t>00241</t>
        </is>
      </c>
      <c r="D3694" s="29" t="inlineStr">
        <is>
          <t>ŞADİYE AKIN</t>
        </is>
      </c>
      <c r="E3694" s="4" t="inlineStr">
        <is>
          <t>Salı</t>
        </is>
      </c>
      <c r="F3694" s="4" t="inlineStr">
        <is>
          <t>13.10.2026</t>
        </is>
      </c>
      <c r="G3694" s="4" t="inlineStr">
        <is>
          <t>08:01</t>
        </is>
      </c>
      <c r="H3694" s="4" t="inlineStr">
        <is>
          <t>13.10.2026</t>
        </is>
      </c>
      <c r="I3694" s="4" t="inlineStr">
        <is>
          <t>17:03</t>
        </is>
      </c>
      <c r="J3694" s="8" t="n">
        <v>7.5</v>
      </c>
      <c r="K3694" s="8" t="n">
        <v>7.5</v>
      </c>
      <c r="L3694" s="8" t="n">
        <v>0</v>
      </c>
      <c r="M3694" s="29" t="inlineStr">
        <is>
          <t>HALİL DİĞRENCİ</t>
        </is>
      </c>
    </row>
    <row r="3695">
      <c r="A3695" s="4" t="n">
        <v>3694</v>
      </c>
      <c r="B3695" s="4" t="inlineStr">
        <is>
          <t>00241</t>
        </is>
      </c>
      <c r="C3695" s="4" t="inlineStr">
        <is>
          <t>00241</t>
        </is>
      </c>
      <c r="D3695" s="29" t="inlineStr">
        <is>
          <t>ŞADİYE AKIN</t>
        </is>
      </c>
      <c r="E3695" s="4" t="inlineStr">
        <is>
          <t>Çarşamba</t>
        </is>
      </c>
      <c r="F3695" s="4" t="inlineStr">
        <is>
          <t>14.10.2026</t>
        </is>
      </c>
      <c r="G3695" s="4" t="inlineStr">
        <is>
          <t>07:55</t>
        </is>
      </c>
      <c r="H3695" s="4" t="inlineStr">
        <is>
          <t>14.10.2026</t>
        </is>
      </c>
      <c r="I3695" s="4" t="inlineStr">
        <is>
          <t>18:05</t>
        </is>
      </c>
      <c r="J3695" s="8" t="n">
        <v>8.5</v>
      </c>
      <c r="K3695" s="8" t="n">
        <v>7.5</v>
      </c>
      <c r="L3695" s="8" t="n">
        <v>1</v>
      </c>
      <c r="M3695" s="29" t="inlineStr">
        <is>
          <t>HALİL DİĞRENCİ</t>
        </is>
      </c>
    </row>
    <row r="3696">
      <c r="A3696" s="4" t="n">
        <v>3695</v>
      </c>
      <c r="B3696" s="4" t="inlineStr">
        <is>
          <t>00241</t>
        </is>
      </c>
      <c r="C3696" s="4" t="inlineStr">
        <is>
          <t>00241</t>
        </is>
      </c>
      <c r="D3696" s="29" t="inlineStr">
        <is>
          <t>ŞADİYE AKIN</t>
        </is>
      </c>
      <c r="E3696" s="4" t="inlineStr">
        <is>
          <t>Perşembe</t>
        </is>
      </c>
      <c r="F3696" s="4" t="inlineStr">
        <is>
          <t>15.10.2026</t>
        </is>
      </c>
      <c r="G3696" s="4" t="inlineStr">
        <is>
          <t>08:03</t>
        </is>
      </c>
      <c r="H3696" s="4" t="inlineStr">
        <is>
          <t>15.10.2026</t>
        </is>
      </c>
      <c r="I3696" s="4" t="inlineStr">
        <is>
          <t>17:04</t>
        </is>
      </c>
      <c r="J3696" s="8" t="n">
        <v>7.5</v>
      </c>
      <c r="K3696" s="8" t="n">
        <v>7.5</v>
      </c>
      <c r="L3696" s="8" t="n">
        <v>0</v>
      </c>
      <c r="M3696" s="29" t="inlineStr">
        <is>
          <t>HALİL DİĞRENCİ</t>
        </is>
      </c>
    </row>
    <row r="3697">
      <c r="A3697" s="4" t="n">
        <v>3696</v>
      </c>
      <c r="B3697" s="4" t="inlineStr">
        <is>
          <t>00241</t>
        </is>
      </c>
      <c r="C3697" s="4" t="inlineStr">
        <is>
          <t>00241</t>
        </is>
      </c>
      <c r="D3697" s="29" t="inlineStr">
        <is>
          <t>ŞADİYE AKIN</t>
        </is>
      </c>
      <c r="E3697" s="4" t="inlineStr">
        <is>
          <t>Cuma</t>
        </is>
      </c>
      <c r="F3697" s="4" t="inlineStr">
        <is>
          <t>16.10.2026</t>
        </is>
      </c>
      <c r="G3697" s="4" t="inlineStr">
        <is>
          <t>07:51</t>
        </is>
      </c>
      <c r="H3697" s="4" t="inlineStr">
        <is>
          <t>16.10.2026</t>
        </is>
      </c>
      <c r="I3697" s="4" t="inlineStr">
        <is>
          <t>17:14</t>
        </is>
      </c>
      <c r="J3697" s="8" t="n">
        <v>7.5</v>
      </c>
      <c r="K3697" s="8" t="n">
        <v>7.5</v>
      </c>
      <c r="L3697" s="8" t="n">
        <v>0</v>
      </c>
      <c r="M3697" s="29" t="inlineStr">
        <is>
          <t>HALİL DİĞRENCİ</t>
        </is>
      </c>
    </row>
    <row r="3698">
      <c r="A3698" s="4" t="n">
        <v>3697</v>
      </c>
      <c r="B3698" s="4" t="inlineStr">
        <is>
          <t>00241</t>
        </is>
      </c>
      <c r="C3698" s="4" t="inlineStr">
        <is>
          <t>00241</t>
        </is>
      </c>
      <c r="D3698" s="29" t="inlineStr">
        <is>
          <t>ŞADİYE AKIN</t>
        </is>
      </c>
      <c r="E3698" s="4" t="inlineStr">
        <is>
          <t>Cumartesi</t>
        </is>
      </c>
      <c r="F3698" s="4" t="inlineStr">
        <is>
          <t>17.10.2026</t>
        </is>
      </c>
      <c r="G3698" s="4" t="inlineStr">
        <is>
          <t>07:55</t>
        </is>
      </c>
      <c r="H3698" s="4" t="inlineStr">
        <is>
          <t>17.10.2026</t>
        </is>
      </c>
      <c r="I3698" s="4" t="inlineStr">
        <is>
          <t>17:49</t>
        </is>
      </c>
      <c r="J3698" s="8" t="n">
        <v>8.5</v>
      </c>
      <c r="K3698" s="8" t="n">
        <v>7.5</v>
      </c>
      <c r="L3698" s="8" t="n">
        <v>1</v>
      </c>
      <c r="M3698" s="29" t="inlineStr">
        <is>
          <t>HALİL DİĞRENCİ</t>
        </is>
      </c>
    </row>
    <row r="3699">
      <c r="A3699" s="4" t="n">
        <v>3698</v>
      </c>
      <c r="B3699" s="4" t="inlineStr">
        <is>
          <t>00241</t>
        </is>
      </c>
      <c r="C3699" s="4" t="inlineStr">
        <is>
          <t>00241</t>
        </is>
      </c>
      <c r="D3699" s="29" t="inlineStr">
        <is>
          <t>ŞADİYE AKIN</t>
        </is>
      </c>
      <c r="E3699" s="4" t="inlineStr">
        <is>
          <t>Salı</t>
        </is>
      </c>
      <c r="F3699" s="4" t="inlineStr">
        <is>
          <t>20.10.2026</t>
        </is>
      </c>
      <c r="G3699" s="4" t="inlineStr">
        <is>
          <t>07:57</t>
        </is>
      </c>
      <c r="H3699" s="4" t="inlineStr">
        <is>
          <t>20.10.2026</t>
        </is>
      </c>
      <c r="I3699" s="4" t="inlineStr">
        <is>
          <t>17:03</t>
        </is>
      </c>
      <c r="J3699" s="8" t="n">
        <v>7.5</v>
      </c>
      <c r="K3699" s="8" t="n">
        <v>7.5</v>
      </c>
      <c r="L3699" s="8" t="n">
        <v>0</v>
      </c>
      <c r="M3699" s="29" t="inlineStr">
        <is>
          <t>HALİL DİĞRENCİ</t>
        </is>
      </c>
    </row>
    <row r="3700">
      <c r="A3700" s="4" t="n">
        <v>3699</v>
      </c>
      <c r="B3700" s="4" t="inlineStr">
        <is>
          <t>00241</t>
        </is>
      </c>
      <c r="C3700" s="4" t="inlineStr">
        <is>
          <t>00241</t>
        </is>
      </c>
      <c r="D3700" s="29" t="inlineStr">
        <is>
          <t>ŞADİYE AKIN</t>
        </is>
      </c>
      <c r="E3700" s="4" t="inlineStr">
        <is>
          <t>Çarşamba</t>
        </is>
      </c>
      <c r="F3700" s="4" t="inlineStr">
        <is>
          <t>21.10.2026</t>
        </is>
      </c>
      <c r="G3700" s="4" t="inlineStr">
        <is>
          <t>07:55</t>
        </is>
      </c>
      <c r="H3700" s="4" t="inlineStr">
        <is>
          <t>21.10.2026</t>
        </is>
      </c>
      <c r="I3700" s="4" t="inlineStr">
        <is>
          <t>17:02</t>
        </is>
      </c>
      <c r="J3700" s="8" t="n">
        <v>7.5</v>
      </c>
      <c r="K3700" s="8" t="n">
        <v>7.5</v>
      </c>
      <c r="L3700" s="8" t="n">
        <v>0</v>
      </c>
      <c r="M3700" s="29" t="inlineStr">
        <is>
          <t>HALİL DİĞRENCİ</t>
        </is>
      </c>
    </row>
    <row r="3701">
      <c r="A3701" s="4" t="n">
        <v>3700</v>
      </c>
      <c r="B3701" s="4" t="inlineStr">
        <is>
          <t>00178</t>
        </is>
      </c>
      <c r="C3701" s="4" t="inlineStr">
        <is>
          <t>00178</t>
        </is>
      </c>
      <c r="D3701" s="29" t="inlineStr">
        <is>
          <t>ŞAKİR KARAKAŞ</t>
        </is>
      </c>
      <c r="E3701" s="4" t="inlineStr">
        <is>
          <t>Perşembe</t>
        </is>
      </c>
      <c r="F3701" s="4" t="inlineStr">
        <is>
          <t>1.10.2026</t>
        </is>
      </c>
      <c r="G3701" s="4" t="inlineStr">
        <is>
          <t>07:47</t>
        </is>
      </c>
      <c r="H3701" s="4" t="inlineStr">
        <is>
          <t>1.10.2026</t>
        </is>
      </c>
      <c r="I3701" s="4" t="inlineStr">
        <is>
          <t>17:24</t>
        </is>
      </c>
      <c r="J3701" s="8" t="n">
        <v>8</v>
      </c>
      <c r="K3701" s="8" t="n">
        <v>7.5</v>
      </c>
      <c r="L3701" s="8" t="n">
        <v>0.5</v>
      </c>
      <c r="M3701" s="29" t="inlineStr">
        <is>
          <t>BANDIRMA</t>
        </is>
      </c>
    </row>
    <row r="3702">
      <c r="A3702" s="4" t="n">
        <v>3701</v>
      </c>
      <c r="B3702" s="4" t="inlineStr">
        <is>
          <t>00178</t>
        </is>
      </c>
      <c r="C3702" s="4" t="inlineStr">
        <is>
          <t>00178</t>
        </is>
      </c>
      <c r="D3702" s="29" t="inlineStr">
        <is>
          <t>ŞAKİR KARAKAŞ</t>
        </is>
      </c>
      <c r="E3702" s="4" t="inlineStr">
        <is>
          <t>Cuma</t>
        </is>
      </c>
      <c r="F3702" s="4" t="inlineStr">
        <is>
          <t>2.10.2026</t>
        </is>
      </c>
      <c r="G3702" s="4" t="inlineStr">
        <is>
          <t>07:46</t>
        </is>
      </c>
      <c r="H3702" s="4" t="inlineStr">
        <is>
          <t>2.10.2026</t>
        </is>
      </c>
      <c r="I3702" s="4" t="inlineStr">
        <is>
          <t>17:47</t>
        </is>
      </c>
      <c r="J3702" s="8" t="n">
        <v>8.5</v>
      </c>
      <c r="K3702" s="8" t="n">
        <v>7.5</v>
      </c>
      <c r="L3702" s="8" t="n">
        <v>1</v>
      </c>
      <c r="M3702" s="29" t="inlineStr">
        <is>
          <t>BANDIRMA</t>
        </is>
      </c>
    </row>
    <row r="3703">
      <c r="A3703" s="4" t="n">
        <v>3702</v>
      </c>
      <c r="B3703" s="4" t="inlineStr">
        <is>
          <t>00178</t>
        </is>
      </c>
      <c r="C3703" s="4" t="inlineStr">
        <is>
          <t>00178</t>
        </is>
      </c>
      <c r="D3703" s="29" t="inlineStr">
        <is>
          <t>ŞAKİR KARAKAŞ</t>
        </is>
      </c>
      <c r="E3703" s="4" t="inlineStr">
        <is>
          <t>Cumartesi</t>
        </is>
      </c>
      <c r="F3703" s="4" t="inlineStr">
        <is>
          <t>3.10.2026</t>
        </is>
      </c>
      <c r="G3703" s="4" t="inlineStr">
        <is>
          <t>07:43</t>
        </is>
      </c>
      <c r="H3703" s="4" t="inlineStr">
        <is>
          <t>3.10.2026</t>
        </is>
      </c>
      <c r="I3703" s="4" t="inlineStr">
        <is>
          <t>17:34</t>
        </is>
      </c>
      <c r="J3703" s="8" t="n">
        <v>8</v>
      </c>
      <c r="K3703" s="8" t="n">
        <v>7.5</v>
      </c>
      <c r="L3703" s="8" t="n">
        <v>0.5</v>
      </c>
      <c r="M3703" s="29" t="inlineStr">
        <is>
          <t>BANDIRMA</t>
        </is>
      </c>
    </row>
    <row r="3704">
      <c r="A3704" s="4" t="n">
        <v>3703</v>
      </c>
      <c r="B3704" s="4" t="inlineStr">
        <is>
          <t>00178</t>
        </is>
      </c>
      <c r="C3704" s="4" t="inlineStr">
        <is>
          <t>00178</t>
        </is>
      </c>
      <c r="D3704" s="29" t="inlineStr">
        <is>
          <t>ŞAKİR KARAKAŞ</t>
        </is>
      </c>
      <c r="E3704" s="4" t="inlineStr">
        <is>
          <t>Pazartesi</t>
        </is>
      </c>
      <c r="F3704" s="4" t="inlineStr">
        <is>
          <t>5.10.2026</t>
        </is>
      </c>
      <c r="G3704" s="4" t="inlineStr">
        <is>
          <t>14:22</t>
        </is>
      </c>
      <c r="H3704" s="4" t="inlineStr">
        <is>
          <t>5.10.2026</t>
        </is>
      </c>
      <c r="I3704" s="4" t="inlineStr">
        <is>
          <t>17:08</t>
        </is>
      </c>
      <c r="J3704" s="8" t="n">
        <v>3</v>
      </c>
      <c r="K3704" s="8" t="n">
        <v>3</v>
      </c>
      <c r="L3704" s="8" t="n">
        <v>0</v>
      </c>
      <c r="M3704" s="29" t="inlineStr">
        <is>
          <t>BANDIRMA</t>
        </is>
      </c>
    </row>
    <row r="3705">
      <c r="A3705" s="4" t="n">
        <v>3704</v>
      </c>
      <c r="B3705" s="4" t="inlineStr">
        <is>
          <t>00178</t>
        </is>
      </c>
      <c r="C3705" s="4" t="inlineStr">
        <is>
          <t>00178</t>
        </is>
      </c>
      <c r="D3705" s="29" t="inlineStr">
        <is>
          <t>ŞAKİR KARAKAŞ</t>
        </is>
      </c>
      <c r="E3705" s="4" t="inlineStr">
        <is>
          <t>Salı</t>
        </is>
      </c>
      <c r="F3705" s="4" t="inlineStr">
        <is>
          <t>6.10.2026</t>
        </is>
      </c>
      <c r="G3705" s="4" t="inlineStr">
        <is>
          <t>07:46</t>
        </is>
      </c>
      <c r="H3705" s="4" t="inlineStr">
        <is>
          <t>6.10.2026</t>
        </is>
      </c>
      <c r="I3705" s="4" t="inlineStr">
        <is>
          <t>17:42</t>
        </is>
      </c>
      <c r="J3705" s="8" t="n">
        <v>8</v>
      </c>
      <c r="K3705" s="8" t="n">
        <v>7.5</v>
      </c>
      <c r="L3705" s="8" t="n">
        <v>0.5</v>
      </c>
      <c r="M3705" s="29" t="inlineStr">
        <is>
          <t>BANDIRMA</t>
        </is>
      </c>
    </row>
    <row r="3706">
      <c r="A3706" s="4" t="n">
        <v>3705</v>
      </c>
      <c r="B3706" s="4" t="inlineStr">
        <is>
          <t>00178</t>
        </is>
      </c>
      <c r="C3706" s="4" t="inlineStr">
        <is>
          <t>00178</t>
        </is>
      </c>
      <c r="D3706" s="29" t="inlineStr">
        <is>
          <t>ŞAKİR KARAKAŞ</t>
        </is>
      </c>
      <c r="E3706" s="4" t="inlineStr">
        <is>
          <t>Çarşamba</t>
        </is>
      </c>
      <c r="F3706" s="4" t="inlineStr">
        <is>
          <t>7.10.2026</t>
        </is>
      </c>
      <c r="G3706" s="4" t="inlineStr">
        <is>
          <t>07:48</t>
        </is>
      </c>
      <c r="H3706" s="4" t="inlineStr">
        <is>
          <t>7.10.2026</t>
        </is>
      </c>
      <c r="I3706" s="4" t="inlineStr">
        <is>
          <t>17:20</t>
        </is>
      </c>
      <c r="J3706" s="8" t="n">
        <v>7.5</v>
      </c>
      <c r="K3706" s="8" t="n">
        <v>7.5</v>
      </c>
      <c r="L3706" s="8" t="n">
        <v>0</v>
      </c>
      <c r="M3706" s="29" t="inlineStr">
        <is>
          <t>BANDIRMA</t>
        </is>
      </c>
    </row>
    <row r="3707">
      <c r="A3707" s="4" t="n">
        <v>3706</v>
      </c>
      <c r="B3707" s="4" t="inlineStr">
        <is>
          <t>00178</t>
        </is>
      </c>
      <c r="C3707" s="4" t="inlineStr">
        <is>
          <t>00178</t>
        </is>
      </c>
      <c r="D3707" s="29" t="inlineStr">
        <is>
          <t>ŞAKİR KARAKAŞ</t>
        </is>
      </c>
      <c r="E3707" s="4" t="inlineStr">
        <is>
          <t>Perşembe</t>
        </is>
      </c>
      <c r="F3707" s="4" t="inlineStr">
        <is>
          <t>8.10.2026</t>
        </is>
      </c>
      <c r="G3707" s="4" t="inlineStr">
        <is>
          <t>07:48</t>
        </is>
      </c>
      <c r="H3707" s="4" t="inlineStr">
        <is>
          <t>8.10.2026</t>
        </is>
      </c>
      <c r="I3707" s="4" t="inlineStr">
        <is>
          <t>17:33</t>
        </is>
      </c>
      <c r="J3707" s="8" t="n">
        <v>8</v>
      </c>
      <c r="K3707" s="8" t="n">
        <v>7.5</v>
      </c>
      <c r="L3707" s="8" t="n">
        <v>0.5</v>
      </c>
      <c r="M3707" s="29" t="inlineStr">
        <is>
          <t>BANDIRMA</t>
        </is>
      </c>
    </row>
    <row r="3708">
      <c r="A3708" s="4" t="n">
        <v>3707</v>
      </c>
      <c r="B3708" s="4" t="inlineStr">
        <is>
          <t>00178</t>
        </is>
      </c>
      <c r="C3708" s="4" t="inlineStr">
        <is>
          <t>00178</t>
        </is>
      </c>
      <c r="D3708" s="29" t="inlineStr">
        <is>
          <t>ŞAKİR KARAKAŞ</t>
        </is>
      </c>
      <c r="E3708" s="4" t="inlineStr">
        <is>
          <t>Cuma</t>
        </is>
      </c>
      <c r="F3708" s="4" t="inlineStr">
        <is>
          <t>9.10.2026</t>
        </is>
      </c>
      <c r="G3708" s="4" t="inlineStr">
        <is>
          <t>07:47</t>
        </is>
      </c>
      <c r="H3708" s="4" t="inlineStr">
        <is>
          <t>9.10.2026</t>
        </is>
      </c>
      <c r="I3708" s="4" t="inlineStr">
        <is>
          <t>17:43</t>
        </is>
      </c>
      <c r="J3708" s="8" t="n">
        <v>8</v>
      </c>
      <c r="K3708" s="8" t="n">
        <v>7.5</v>
      </c>
      <c r="L3708" s="8" t="n">
        <v>0.5</v>
      </c>
      <c r="M3708" s="29" t="inlineStr">
        <is>
          <t>BANDIRMA</t>
        </is>
      </c>
    </row>
    <row r="3709">
      <c r="A3709" s="4" t="n">
        <v>3708</v>
      </c>
      <c r="B3709" s="4" t="inlineStr">
        <is>
          <t>00178</t>
        </is>
      </c>
      <c r="C3709" s="4" t="inlineStr">
        <is>
          <t>00178</t>
        </is>
      </c>
      <c r="D3709" s="29" t="inlineStr">
        <is>
          <t>ŞAKİR KARAKAŞ</t>
        </is>
      </c>
      <c r="E3709" s="4" t="inlineStr">
        <is>
          <t>Cumartesi</t>
        </is>
      </c>
      <c r="F3709" s="4" t="inlineStr">
        <is>
          <t>10.10.2026</t>
        </is>
      </c>
      <c r="G3709" s="4" t="inlineStr">
        <is>
          <t>07:44</t>
        </is>
      </c>
      <c r="H3709" s="4" t="inlineStr">
        <is>
          <t>10.10.2026</t>
        </is>
      </c>
      <c r="I3709" s="4" t="inlineStr">
        <is>
          <t>18:06</t>
        </is>
      </c>
      <c r="J3709" s="8" t="n">
        <v>8.5</v>
      </c>
      <c r="K3709" s="8" t="n">
        <v>7.5</v>
      </c>
      <c r="L3709" s="8" t="n">
        <v>1</v>
      </c>
      <c r="M3709" s="29" t="inlineStr">
        <is>
          <t>BANDIRMA</t>
        </is>
      </c>
    </row>
    <row r="3710">
      <c r="A3710" s="4" t="n">
        <v>3709</v>
      </c>
      <c r="B3710" s="4" t="inlineStr">
        <is>
          <t>00178</t>
        </is>
      </c>
      <c r="C3710" s="4" t="inlineStr">
        <is>
          <t>00178</t>
        </is>
      </c>
      <c r="D3710" s="29" t="inlineStr">
        <is>
          <t>ŞAKİR KARAKAŞ</t>
        </is>
      </c>
      <c r="E3710" s="4" t="inlineStr">
        <is>
          <t>Pazartesi</t>
        </is>
      </c>
      <c r="F3710" s="4" t="inlineStr">
        <is>
          <t>12.10.2026</t>
        </is>
      </c>
      <c r="G3710" s="4" t="inlineStr">
        <is>
          <t>07:51</t>
        </is>
      </c>
      <c r="H3710" s="4" t="inlineStr">
        <is>
          <t>12.10.2026</t>
        </is>
      </c>
      <c r="I3710" s="4" t="inlineStr">
        <is>
          <t>17:07</t>
        </is>
      </c>
      <c r="J3710" s="8" t="n">
        <v>7.5</v>
      </c>
      <c r="K3710" s="8" t="n">
        <v>7.5</v>
      </c>
      <c r="L3710" s="8" t="n">
        <v>0</v>
      </c>
      <c r="M3710" s="29" t="inlineStr">
        <is>
          <t>BANDIRMA</t>
        </is>
      </c>
    </row>
    <row r="3711">
      <c r="A3711" s="4" t="n">
        <v>3710</v>
      </c>
      <c r="B3711" s="4" t="inlineStr">
        <is>
          <t>00178</t>
        </is>
      </c>
      <c r="C3711" s="4" t="inlineStr">
        <is>
          <t>00178</t>
        </is>
      </c>
      <c r="D3711" s="29" t="inlineStr">
        <is>
          <t>ŞAKİR KARAKAŞ</t>
        </is>
      </c>
      <c r="E3711" s="4" t="inlineStr">
        <is>
          <t>Salı</t>
        </is>
      </c>
      <c r="F3711" s="4" t="inlineStr">
        <is>
          <t>13.10.2026</t>
        </is>
      </c>
      <c r="G3711" s="4" t="inlineStr">
        <is>
          <t>15:55</t>
        </is>
      </c>
      <c r="H3711" s="4" t="inlineStr">
        <is>
          <t>13.10.2026</t>
        </is>
      </c>
      <c r="I3711" s="4" t="inlineStr">
        <is>
          <t>17:03</t>
        </is>
      </c>
      <c r="J3711" s="8" t="n">
        <v>1</v>
      </c>
      <c r="K3711" s="8" t="n">
        <v>1</v>
      </c>
      <c r="L3711" s="8" t="n">
        <v>0</v>
      </c>
      <c r="M3711" s="29" t="inlineStr">
        <is>
          <t>BANDIRMA</t>
        </is>
      </c>
    </row>
    <row r="3712">
      <c r="A3712" s="4" t="n">
        <v>3711</v>
      </c>
      <c r="B3712" s="4" t="inlineStr">
        <is>
          <t>00178</t>
        </is>
      </c>
      <c r="C3712" s="4" t="inlineStr">
        <is>
          <t>00178</t>
        </is>
      </c>
      <c r="D3712" s="29" t="inlineStr">
        <is>
          <t>ŞAKİR KARAKAŞ</t>
        </is>
      </c>
      <c r="E3712" s="4" t="inlineStr">
        <is>
          <t>Çarşamba</t>
        </is>
      </c>
      <c r="F3712" s="4" t="inlineStr">
        <is>
          <t>14.10.2026</t>
        </is>
      </c>
      <c r="G3712" s="4" t="inlineStr">
        <is>
          <t>07:48</t>
        </is>
      </c>
      <c r="H3712" s="4" t="inlineStr">
        <is>
          <t>14.10.2026</t>
        </is>
      </c>
      <c r="I3712" s="4" t="inlineStr">
        <is>
          <t>18:01</t>
        </is>
      </c>
      <c r="J3712" s="8" t="n">
        <v>8.5</v>
      </c>
      <c r="K3712" s="8" t="n">
        <v>7.5</v>
      </c>
      <c r="L3712" s="8" t="n">
        <v>1</v>
      </c>
      <c r="M3712" s="29" t="inlineStr">
        <is>
          <t>BANDIRMA</t>
        </is>
      </c>
    </row>
    <row r="3713">
      <c r="A3713" s="4" t="n">
        <v>3712</v>
      </c>
      <c r="B3713" s="4" t="inlineStr">
        <is>
          <t>00178</t>
        </is>
      </c>
      <c r="C3713" s="4" t="inlineStr">
        <is>
          <t>00178</t>
        </is>
      </c>
      <c r="D3713" s="29" t="inlineStr">
        <is>
          <t>ŞAKİR KARAKAŞ</t>
        </is>
      </c>
      <c r="E3713" s="4" t="inlineStr">
        <is>
          <t>Perşembe</t>
        </is>
      </c>
      <c r="F3713" s="4" t="inlineStr">
        <is>
          <t>15.10.2026</t>
        </is>
      </c>
      <c r="G3713" s="4" t="inlineStr">
        <is>
          <t>07:46</t>
        </is>
      </c>
      <c r="H3713" s="4" t="inlineStr">
        <is>
          <t>15.10.2026</t>
        </is>
      </c>
      <c r="I3713" s="4" t="inlineStr">
        <is>
          <t>17:11</t>
        </is>
      </c>
      <c r="J3713" s="8" t="n">
        <v>7.5</v>
      </c>
      <c r="K3713" s="8" t="n">
        <v>7.5</v>
      </c>
      <c r="L3713" s="8" t="n">
        <v>0</v>
      </c>
      <c r="M3713" s="29" t="inlineStr">
        <is>
          <t>BANDIRMA</t>
        </is>
      </c>
    </row>
    <row r="3714">
      <c r="A3714" s="4" t="n">
        <v>3713</v>
      </c>
      <c r="B3714" s="4" t="inlineStr">
        <is>
          <t>00178</t>
        </is>
      </c>
      <c r="C3714" s="4" t="inlineStr">
        <is>
          <t>00178</t>
        </is>
      </c>
      <c r="D3714" s="29" t="inlineStr">
        <is>
          <t>ŞAKİR KARAKAŞ</t>
        </is>
      </c>
      <c r="E3714" s="4" t="inlineStr">
        <is>
          <t>Cuma</t>
        </is>
      </c>
      <c r="F3714" s="4" t="inlineStr">
        <is>
          <t>16.10.2026</t>
        </is>
      </c>
      <c r="G3714" s="4" t="inlineStr">
        <is>
          <t>07:46</t>
        </is>
      </c>
      <c r="H3714" s="4" t="inlineStr">
        <is>
          <t>16.10.2026</t>
        </is>
      </c>
      <c r="I3714" s="4" t="inlineStr">
        <is>
          <t>17:02</t>
        </is>
      </c>
      <c r="J3714" s="8" t="n">
        <v>7.5</v>
      </c>
      <c r="K3714" s="8" t="n">
        <v>7.5</v>
      </c>
      <c r="L3714" s="8" t="n">
        <v>0</v>
      </c>
      <c r="M3714" s="29" t="inlineStr">
        <is>
          <t>BANDIRMA</t>
        </is>
      </c>
    </row>
    <row r="3715">
      <c r="A3715" s="4" t="n">
        <v>3714</v>
      </c>
      <c r="B3715" s="4" t="inlineStr">
        <is>
          <t>00178</t>
        </is>
      </c>
      <c r="C3715" s="4" t="inlineStr">
        <is>
          <t>00178</t>
        </is>
      </c>
      <c r="D3715" s="29" t="inlineStr">
        <is>
          <t>ŞAKİR KARAKAŞ</t>
        </is>
      </c>
      <c r="E3715" s="4" t="inlineStr">
        <is>
          <t>Cumartesi</t>
        </is>
      </c>
      <c r="F3715" s="4" t="inlineStr">
        <is>
          <t>17.10.2026</t>
        </is>
      </c>
      <c r="G3715" s="4" t="inlineStr">
        <is>
          <t>07:48</t>
        </is>
      </c>
      <c r="H3715" s="4" t="inlineStr">
        <is>
          <t>17.10.2026</t>
        </is>
      </c>
      <c r="I3715" s="4" t="inlineStr">
        <is>
          <t>17:51</t>
        </is>
      </c>
      <c r="J3715" s="8" t="n">
        <v>8.5</v>
      </c>
      <c r="K3715" s="8" t="n">
        <v>7.5</v>
      </c>
      <c r="L3715" s="8" t="n">
        <v>1</v>
      </c>
      <c r="M3715" s="29" t="inlineStr">
        <is>
          <t>BANDIRMA</t>
        </is>
      </c>
    </row>
    <row r="3716">
      <c r="A3716" s="4" t="n">
        <v>3715</v>
      </c>
      <c r="B3716" s="4" t="inlineStr">
        <is>
          <t>00178</t>
        </is>
      </c>
      <c r="C3716" s="4" t="inlineStr">
        <is>
          <t>00178</t>
        </is>
      </c>
      <c r="D3716" s="29" t="inlineStr">
        <is>
          <t>ŞAKİR KARAKAŞ</t>
        </is>
      </c>
      <c r="E3716" s="4" t="inlineStr">
        <is>
          <t>Pazartesi</t>
        </is>
      </c>
      <c r="F3716" s="4" t="inlineStr">
        <is>
          <t>19.10.2026</t>
        </is>
      </c>
      <c r="G3716" s="4" t="inlineStr">
        <is>
          <t>07:58</t>
        </is>
      </c>
      <c r="H3716" s="4" t="inlineStr">
        <is>
          <t>19.10.2026</t>
        </is>
      </c>
      <c r="I3716" s="4" t="inlineStr">
        <is>
          <t>17:43</t>
        </is>
      </c>
      <c r="J3716" s="8" t="n">
        <v>8</v>
      </c>
      <c r="K3716" s="8" t="n">
        <v>7.5</v>
      </c>
      <c r="L3716" s="8" t="n">
        <v>0.5</v>
      </c>
      <c r="M3716" s="29" t="inlineStr">
        <is>
          <t>BANDIRMA</t>
        </is>
      </c>
    </row>
    <row r="3717">
      <c r="A3717" s="4" t="n">
        <v>3716</v>
      </c>
      <c r="B3717" s="4" t="inlineStr">
        <is>
          <t>00178</t>
        </is>
      </c>
      <c r="C3717" s="4" t="inlineStr">
        <is>
          <t>00178</t>
        </is>
      </c>
      <c r="D3717" s="29" t="inlineStr">
        <is>
          <t>ŞAKİR KARAKAŞ</t>
        </is>
      </c>
      <c r="E3717" s="4" t="inlineStr">
        <is>
          <t>Salı</t>
        </is>
      </c>
      <c r="F3717" s="4" t="inlineStr">
        <is>
          <t>20.10.2026</t>
        </is>
      </c>
      <c r="G3717" s="4" t="inlineStr">
        <is>
          <t>07:44</t>
        </is>
      </c>
      <c r="H3717" s="4" t="inlineStr">
        <is>
          <t>20.10.2026</t>
        </is>
      </c>
      <c r="I3717" s="4" t="inlineStr">
        <is>
          <t>17:05</t>
        </is>
      </c>
      <c r="J3717" s="8" t="n">
        <v>7.5</v>
      </c>
      <c r="K3717" s="8" t="n">
        <v>7.5</v>
      </c>
      <c r="L3717" s="8" t="n">
        <v>0</v>
      </c>
      <c r="M3717" s="29" t="inlineStr">
        <is>
          <t>BANDIRMA</t>
        </is>
      </c>
    </row>
    <row r="3718">
      <c r="A3718" s="4" t="n">
        <v>3717</v>
      </c>
      <c r="B3718" s="4" t="inlineStr">
        <is>
          <t>00178</t>
        </is>
      </c>
      <c r="C3718" s="4" t="inlineStr">
        <is>
          <t>00178</t>
        </is>
      </c>
      <c r="D3718" s="29" t="inlineStr">
        <is>
          <t>ŞAKİR KARAKAŞ</t>
        </is>
      </c>
      <c r="E3718" s="4" t="inlineStr">
        <is>
          <t>Çarşamba</t>
        </is>
      </c>
      <c r="F3718" s="4" t="inlineStr">
        <is>
          <t>21.10.2026</t>
        </is>
      </c>
      <c r="G3718" s="4" t="inlineStr">
        <is>
          <t>07:43</t>
        </is>
      </c>
      <c r="H3718" s="4" t="inlineStr">
        <is>
          <t>21.10.2026</t>
        </is>
      </c>
      <c r="I3718" s="4" t="inlineStr">
        <is>
          <t>17:09</t>
        </is>
      </c>
      <c r="J3718" s="8" t="n">
        <v>7.5</v>
      </c>
      <c r="K3718" s="8" t="n">
        <v>7.5</v>
      </c>
      <c r="L3718" s="8" t="n">
        <v>0</v>
      </c>
      <c r="M3718" s="29" t="inlineStr">
        <is>
          <t>BANDIRMA</t>
        </is>
      </c>
    </row>
    <row r="3719">
      <c r="A3719" s="4" t="n">
        <v>3718</v>
      </c>
      <c r="B3719" s="4" t="inlineStr">
        <is>
          <t>01379</t>
        </is>
      </c>
      <c r="C3719" s="4" t="inlineStr">
        <is>
          <t>01379</t>
        </is>
      </c>
      <c r="D3719" s="29" t="inlineStr">
        <is>
          <t>ŞARİSTAN AYDIN</t>
        </is>
      </c>
      <c r="E3719" s="4" t="inlineStr">
        <is>
          <t>Cumartesi</t>
        </is>
      </c>
      <c r="F3719" s="4" t="inlineStr">
        <is>
          <t>3.10.2026</t>
        </is>
      </c>
      <c r="G3719" s="4" t="inlineStr">
        <is>
          <t>-</t>
        </is>
      </c>
      <c r="H3719" s="4" t="inlineStr">
        <is>
          <t>3.10.2026</t>
        </is>
      </c>
      <c r="I3719" s="4" t="inlineStr">
        <is>
          <t>17:07</t>
        </is>
      </c>
      <c r="J3719" s="8" t="n">
        <v>7.5</v>
      </c>
      <c r="K3719" s="8" t="n">
        <v>7.5</v>
      </c>
      <c r="L3719" s="8" t="n">
        <v>0</v>
      </c>
      <c r="M3719" s="29" t="inlineStr">
        <is>
          <t>HALİL DİĞRENCİ</t>
        </is>
      </c>
    </row>
    <row r="3720">
      <c r="A3720" s="4" t="n">
        <v>3719</v>
      </c>
      <c r="B3720" s="4" t="inlineStr">
        <is>
          <t>01379</t>
        </is>
      </c>
      <c r="C3720" s="4" t="inlineStr">
        <is>
          <t>01379</t>
        </is>
      </c>
      <c r="D3720" s="29" t="inlineStr">
        <is>
          <t>ŞARİSTAN AYDIN</t>
        </is>
      </c>
      <c r="E3720" s="4" t="inlineStr">
        <is>
          <t>Pazar</t>
        </is>
      </c>
      <c r="F3720" s="4" t="inlineStr">
        <is>
          <t>4.10.2026</t>
        </is>
      </c>
      <c r="G3720" s="4" t="inlineStr">
        <is>
          <t>07:52</t>
        </is>
      </c>
      <c r="H3720" s="4" t="inlineStr">
        <is>
          <t>4.10.2026</t>
        </is>
      </c>
      <c r="I3720" s="4" t="inlineStr">
        <is>
          <t>17:09</t>
        </is>
      </c>
      <c r="J3720" s="8" t="n">
        <v>7.5</v>
      </c>
      <c r="K3720" s="8" t="n">
        <v>7.5</v>
      </c>
      <c r="L3720" s="8" t="n">
        <v>0</v>
      </c>
      <c r="M3720" s="29" t="inlineStr">
        <is>
          <t>HALİL DİĞRENCİ</t>
        </is>
      </c>
    </row>
    <row r="3721">
      <c r="A3721" s="4" t="n">
        <v>3720</v>
      </c>
      <c r="B3721" s="4" t="inlineStr">
        <is>
          <t>01379</t>
        </is>
      </c>
      <c r="C3721" s="4" t="inlineStr">
        <is>
          <t>01379</t>
        </is>
      </c>
      <c r="D3721" s="29" t="inlineStr">
        <is>
          <t>ŞARİSTAN AYDIN</t>
        </is>
      </c>
      <c r="E3721" s="4" t="inlineStr">
        <is>
          <t>Salı</t>
        </is>
      </c>
      <c r="F3721" s="4" t="inlineStr">
        <is>
          <t>6.10.2026</t>
        </is>
      </c>
      <c r="G3721" s="4" t="inlineStr">
        <is>
          <t>-</t>
        </is>
      </c>
      <c r="H3721" s="4" t="inlineStr">
        <is>
          <t>6.10.2026</t>
        </is>
      </c>
      <c r="I3721" s="4" t="inlineStr">
        <is>
          <t>17:07</t>
        </is>
      </c>
      <c r="J3721" s="8" t="n">
        <v>7.5</v>
      </c>
      <c r="K3721" s="8" t="n">
        <v>7.5</v>
      </c>
      <c r="L3721" s="8" t="n">
        <v>0</v>
      </c>
      <c r="M3721" s="29" t="inlineStr">
        <is>
          <t>HALİL DİĞRENCİ</t>
        </is>
      </c>
    </row>
    <row r="3722">
      <c r="A3722" s="4" t="n">
        <v>3721</v>
      </c>
      <c r="B3722" s="4" t="inlineStr">
        <is>
          <t>01379</t>
        </is>
      </c>
      <c r="C3722" s="4" t="inlineStr">
        <is>
          <t>01379</t>
        </is>
      </c>
      <c r="D3722" s="29" t="inlineStr">
        <is>
          <t>ŞARİSTAN AYDIN</t>
        </is>
      </c>
      <c r="E3722" s="4" t="inlineStr">
        <is>
          <t>Çarşamba</t>
        </is>
      </c>
      <c r="F3722" s="4" t="inlineStr">
        <is>
          <t>7.10.2026</t>
        </is>
      </c>
      <c r="G3722" s="4" t="inlineStr">
        <is>
          <t>07:50</t>
        </is>
      </c>
      <c r="H3722" s="4" t="inlineStr">
        <is>
          <t>7.10.2026</t>
        </is>
      </c>
      <c r="I3722" s="4" t="inlineStr">
        <is>
          <t>20:06</t>
        </is>
      </c>
      <c r="J3722" s="8" t="n">
        <v>10.5</v>
      </c>
      <c r="K3722" s="8" t="n">
        <v>7.5</v>
      </c>
      <c r="L3722" s="8" t="n">
        <v>3</v>
      </c>
      <c r="M3722" s="29" t="inlineStr">
        <is>
          <t>HALİL DİĞRENCİ</t>
        </is>
      </c>
    </row>
    <row r="3723">
      <c r="A3723" s="4" t="n">
        <v>3722</v>
      </c>
      <c r="B3723" s="4" t="inlineStr">
        <is>
          <t>01379</t>
        </is>
      </c>
      <c r="C3723" s="4" t="inlineStr">
        <is>
          <t>01379</t>
        </is>
      </c>
      <c r="D3723" s="29" t="inlineStr">
        <is>
          <t>ŞARİSTAN AYDIN</t>
        </is>
      </c>
      <c r="E3723" s="4" t="inlineStr">
        <is>
          <t>Perşembe</t>
        </is>
      </c>
      <c r="F3723" s="4" t="inlineStr">
        <is>
          <t>8.10.2026</t>
        </is>
      </c>
      <c r="G3723" s="4" t="inlineStr">
        <is>
          <t>07:54</t>
        </is>
      </c>
      <c r="H3723" s="4" t="inlineStr">
        <is>
          <t>8.10.2026</t>
        </is>
      </c>
      <c r="I3723" s="4" t="inlineStr">
        <is>
          <t>20:02</t>
        </is>
      </c>
      <c r="J3723" s="8" t="n">
        <v>10.5</v>
      </c>
      <c r="K3723" s="8" t="n">
        <v>7.5</v>
      </c>
      <c r="L3723" s="8" t="n">
        <v>3</v>
      </c>
      <c r="M3723" s="29" t="inlineStr">
        <is>
          <t>HALİL DİĞRENCİ</t>
        </is>
      </c>
    </row>
    <row r="3724">
      <c r="A3724" s="4" t="n">
        <v>3723</v>
      </c>
      <c r="B3724" s="4" t="inlineStr">
        <is>
          <t>01379</t>
        </is>
      </c>
      <c r="C3724" s="4" t="inlineStr">
        <is>
          <t>01379</t>
        </is>
      </c>
      <c r="D3724" s="29" t="inlineStr">
        <is>
          <t>ŞARİSTAN AYDIN</t>
        </is>
      </c>
      <c r="E3724" s="4" t="inlineStr">
        <is>
          <t>Cuma</t>
        </is>
      </c>
      <c r="F3724" s="4" t="inlineStr">
        <is>
          <t>9.10.2026</t>
        </is>
      </c>
      <c r="G3724" s="4" t="inlineStr">
        <is>
          <t>12:12</t>
        </is>
      </c>
      <c r="H3724" s="4" t="inlineStr">
        <is>
          <t>9.10.2026</t>
        </is>
      </c>
      <c r="I3724" s="4" t="inlineStr">
        <is>
          <t>20:08</t>
        </is>
      </c>
      <c r="J3724" s="8" t="n">
        <v>0</v>
      </c>
      <c r="K3724" s="8" t="n">
        <v>0</v>
      </c>
      <c r="L3724" s="8" t="n">
        <v>0</v>
      </c>
      <c r="M3724" s="29" t="inlineStr">
        <is>
          <t>HALİL DİĞRENCİ</t>
        </is>
      </c>
    </row>
    <row r="3725">
      <c r="A3725" s="4" t="n">
        <v>3724</v>
      </c>
      <c r="B3725" s="4" t="inlineStr">
        <is>
          <t>01379</t>
        </is>
      </c>
      <c r="C3725" s="4" t="inlineStr">
        <is>
          <t>01379</t>
        </is>
      </c>
      <c r="D3725" s="29" t="inlineStr">
        <is>
          <t>ŞARİSTAN AYDIN</t>
        </is>
      </c>
      <c r="E3725" s="4" t="inlineStr">
        <is>
          <t>Cumartesi</t>
        </is>
      </c>
      <c r="F3725" s="4" t="inlineStr">
        <is>
          <t>10.10.2026</t>
        </is>
      </c>
      <c r="G3725" s="4" t="inlineStr">
        <is>
          <t>08:02</t>
        </is>
      </c>
      <c r="H3725" s="4" t="inlineStr">
        <is>
          <t>10.10.2026</t>
        </is>
      </c>
      <c r="I3725" s="4" t="inlineStr">
        <is>
          <t>17:05</t>
        </is>
      </c>
      <c r="J3725" s="8" t="n">
        <v>7.5</v>
      </c>
      <c r="K3725" s="8" t="n">
        <v>7.5</v>
      </c>
      <c r="L3725" s="8" t="n">
        <v>0</v>
      </c>
      <c r="M3725" s="29" t="inlineStr">
        <is>
          <t>HALİL DİĞRENCİ</t>
        </is>
      </c>
    </row>
    <row r="3726">
      <c r="A3726" s="4" t="n">
        <v>3725</v>
      </c>
      <c r="B3726" s="4" t="inlineStr">
        <is>
          <t>01379</t>
        </is>
      </c>
      <c r="C3726" s="4" t="inlineStr">
        <is>
          <t>01379</t>
        </is>
      </c>
      <c r="D3726" s="29" t="inlineStr">
        <is>
          <t>ŞARİSTAN AYDIN</t>
        </is>
      </c>
      <c r="E3726" s="4" t="inlineStr">
        <is>
          <t>Pazartesi</t>
        </is>
      </c>
      <c r="F3726" s="4" t="inlineStr">
        <is>
          <t>12.10.2026</t>
        </is>
      </c>
      <c r="G3726" s="4" t="inlineStr">
        <is>
          <t>08:04</t>
        </is>
      </c>
      <c r="H3726" s="4" t="inlineStr">
        <is>
          <t>12.10.2026</t>
        </is>
      </c>
      <c r="I3726" s="4" t="inlineStr">
        <is>
          <t>17:06</t>
        </is>
      </c>
      <c r="J3726" s="8" t="n">
        <v>7.5</v>
      </c>
      <c r="K3726" s="8" t="n">
        <v>7.5</v>
      </c>
      <c r="L3726" s="8" t="n">
        <v>0</v>
      </c>
      <c r="M3726" s="29" t="inlineStr">
        <is>
          <t>HALİL DİĞRENCİ</t>
        </is>
      </c>
    </row>
    <row r="3727">
      <c r="A3727" s="4" t="n">
        <v>3726</v>
      </c>
      <c r="B3727" s="4" t="inlineStr">
        <is>
          <t>01379</t>
        </is>
      </c>
      <c r="C3727" s="4" t="inlineStr">
        <is>
          <t>01379</t>
        </is>
      </c>
      <c r="D3727" s="29" t="inlineStr">
        <is>
          <t>ŞARİSTAN AYDIN</t>
        </is>
      </c>
      <c r="E3727" s="4" t="inlineStr">
        <is>
          <t>Salı</t>
        </is>
      </c>
      <c r="F3727" s="4" t="inlineStr">
        <is>
          <t>13.10.2026</t>
        </is>
      </c>
      <c r="G3727" s="4" t="inlineStr">
        <is>
          <t>08:02</t>
        </is>
      </c>
      <c r="H3727" s="4" t="inlineStr">
        <is>
          <t>13.10.2026</t>
        </is>
      </c>
      <c r="I3727" s="4" t="inlineStr">
        <is>
          <t>20:05</t>
        </is>
      </c>
      <c r="J3727" s="8" t="n">
        <v>10.5</v>
      </c>
      <c r="K3727" s="8" t="n">
        <v>7.5</v>
      </c>
      <c r="L3727" s="8" t="n">
        <v>3</v>
      </c>
      <c r="M3727" s="29" t="inlineStr">
        <is>
          <t>HALİL DİĞRENCİ</t>
        </is>
      </c>
    </row>
    <row r="3728">
      <c r="A3728" s="4" t="n">
        <v>3727</v>
      </c>
      <c r="B3728" s="4" t="inlineStr">
        <is>
          <t>01379</t>
        </is>
      </c>
      <c r="C3728" s="4" t="inlineStr">
        <is>
          <t>01379</t>
        </is>
      </c>
      <c r="D3728" s="29" t="inlineStr">
        <is>
          <t>ŞARİSTAN AYDIN</t>
        </is>
      </c>
      <c r="E3728" s="4" t="inlineStr">
        <is>
          <t>Çarşamba</t>
        </is>
      </c>
      <c r="F3728" s="4" t="inlineStr">
        <is>
          <t>14.10.2026</t>
        </is>
      </c>
      <c r="G3728" s="4" t="inlineStr">
        <is>
          <t>07:56</t>
        </is>
      </c>
      <c r="H3728" s="4" t="inlineStr">
        <is>
          <t>14.10.2026</t>
        </is>
      </c>
      <c r="I3728" s="4" t="inlineStr">
        <is>
          <t>20:06</t>
        </is>
      </c>
      <c r="J3728" s="8" t="n">
        <v>10.5</v>
      </c>
      <c r="K3728" s="8" t="n">
        <v>7.5</v>
      </c>
      <c r="L3728" s="8" t="n">
        <v>3</v>
      </c>
      <c r="M3728" s="29" t="inlineStr">
        <is>
          <t>HALİL DİĞRENCİ</t>
        </is>
      </c>
    </row>
    <row r="3729">
      <c r="A3729" s="4" t="n">
        <v>3728</v>
      </c>
      <c r="B3729" s="4" t="inlineStr">
        <is>
          <t>01379</t>
        </is>
      </c>
      <c r="C3729" s="4" t="inlineStr">
        <is>
          <t>01379</t>
        </is>
      </c>
      <c r="D3729" s="29" t="inlineStr">
        <is>
          <t>ŞARİSTAN AYDIN</t>
        </is>
      </c>
      <c r="E3729" s="4" t="inlineStr">
        <is>
          <t>Perşembe</t>
        </is>
      </c>
      <c r="F3729" s="4" t="inlineStr">
        <is>
          <t>15.10.2026</t>
        </is>
      </c>
      <c r="G3729" s="4" t="inlineStr">
        <is>
          <t>08:03</t>
        </is>
      </c>
      <c r="H3729" s="4" t="inlineStr">
        <is>
          <t>15.10.2026</t>
        </is>
      </c>
      <c r="I3729" s="4" t="inlineStr">
        <is>
          <t>20:04</t>
        </is>
      </c>
      <c r="J3729" s="8" t="n">
        <v>10.5</v>
      </c>
      <c r="K3729" s="8" t="n">
        <v>7.5</v>
      </c>
      <c r="L3729" s="8" t="n">
        <v>3</v>
      </c>
      <c r="M3729" s="29" t="inlineStr">
        <is>
          <t>HALİL DİĞRENCİ</t>
        </is>
      </c>
    </row>
    <row r="3730">
      <c r="A3730" s="4" t="n">
        <v>3729</v>
      </c>
      <c r="B3730" s="4" t="inlineStr">
        <is>
          <t>01379</t>
        </is>
      </c>
      <c r="C3730" s="4" t="inlineStr">
        <is>
          <t>01379</t>
        </is>
      </c>
      <c r="D3730" s="29" t="inlineStr">
        <is>
          <t>ŞARİSTAN AYDIN</t>
        </is>
      </c>
      <c r="E3730" s="4" t="inlineStr">
        <is>
          <t>Cuma</t>
        </is>
      </c>
      <c r="F3730" s="4" t="inlineStr">
        <is>
          <t>16.10.2026</t>
        </is>
      </c>
      <c r="G3730" s="4" t="inlineStr">
        <is>
          <t>07:54</t>
        </is>
      </c>
      <c r="H3730" s="4" t="inlineStr">
        <is>
          <t>16.10.2026</t>
        </is>
      </c>
      <c r="I3730" s="4" t="inlineStr">
        <is>
          <t>20:02</t>
        </is>
      </c>
      <c r="J3730" s="8" t="n">
        <v>10.5</v>
      </c>
      <c r="K3730" s="8" t="n">
        <v>7.5</v>
      </c>
      <c r="L3730" s="8" t="n">
        <v>3</v>
      </c>
      <c r="M3730" s="29" t="inlineStr">
        <is>
          <t>HALİL DİĞRENCİ</t>
        </is>
      </c>
    </row>
    <row r="3731">
      <c r="A3731" s="4" t="n">
        <v>3730</v>
      </c>
      <c r="B3731" s="4" t="inlineStr">
        <is>
          <t>01379</t>
        </is>
      </c>
      <c r="C3731" s="4" t="inlineStr">
        <is>
          <t>01379</t>
        </is>
      </c>
      <c r="D3731" s="29" t="inlineStr">
        <is>
          <t>ŞARİSTAN AYDIN</t>
        </is>
      </c>
      <c r="E3731" s="4" t="inlineStr">
        <is>
          <t>Cumartesi</t>
        </is>
      </c>
      <c r="F3731" s="4" t="inlineStr">
        <is>
          <t>17.10.2026</t>
        </is>
      </c>
      <c r="G3731" s="4" t="inlineStr">
        <is>
          <t>07:55</t>
        </is>
      </c>
      <c r="H3731" s="4" t="inlineStr">
        <is>
          <t>17.10.2026</t>
        </is>
      </c>
      <c r="I3731" s="4" t="inlineStr">
        <is>
          <t>20:08</t>
        </is>
      </c>
      <c r="J3731" s="8" t="n">
        <v>10.5</v>
      </c>
      <c r="K3731" s="8" t="n">
        <v>7.5</v>
      </c>
      <c r="L3731" s="8" t="n">
        <v>3</v>
      </c>
      <c r="M3731" s="29" t="inlineStr">
        <is>
          <t>HALİL DİĞRENCİ</t>
        </is>
      </c>
    </row>
    <row r="3732">
      <c r="A3732" s="4" t="n">
        <v>3731</v>
      </c>
      <c r="B3732" s="4" t="inlineStr">
        <is>
          <t>01379</t>
        </is>
      </c>
      <c r="C3732" s="4" t="inlineStr">
        <is>
          <t>01379</t>
        </is>
      </c>
      <c r="D3732" s="29" t="inlineStr">
        <is>
          <t>ŞARİSTAN AYDIN</t>
        </is>
      </c>
      <c r="E3732" s="4" t="inlineStr">
        <is>
          <t>Pazartesi</t>
        </is>
      </c>
      <c r="F3732" s="4" t="inlineStr">
        <is>
          <t>19.10.2026</t>
        </is>
      </c>
      <c r="G3732" s="4" t="inlineStr">
        <is>
          <t>08:01</t>
        </is>
      </c>
      <c r="H3732" s="4" t="inlineStr">
        <is>
          <t>19.10.2026</t>
        </is>
      </c>
      <c r="I3732" s="4" t="inlineStr">
        <is>
          <t>20:05</t>
        </is>
      </c>
      <c r="J3732" s="8" t="n">
        <v>10.5</v>
      </c>
      <c r="K3732" s="8" t="n">
        <v>7.5</v>
      </c>
      <c r="L3732" s="8" t="n">
        <v>3</v>
      </c>
      <c r="M3732" s="29" t="inlineStr">
        <is>
          <t>HALİL DİĞRENCİ</t>
        </is>
      </c>
    </row>
    <row r="3733">
      <c r="A3733" s="4" t="n">
        <v>3732</v>
      </c>
      <c r="B3733" s="4" t="inlineStr">
        <is>
          <t>01379</t>
        </is>
      </c>
      <c r="C3733" s="4" t="inlineStr">
        <is>
          <t>01379</t>
        </is>
      </c>
      <c r="D3733" s="29" t="inlineStr">
        <is>
          <t>ŞARİSTAN AYDIN</t>
        </is>
      </c>
      <c r="E3733" s="4" t="inlineStr">
        <is>
          <t>Salı</t>
        </is>
      </c>
      <c r="F3733" s="4" t="inlineStr">
        <is>
          <t>20.10.2026</t>
        </is>
      </c>
      <c r="G3733" s="4" t="inlineStr">
        <is>
          <t>07:57</t>
        </is>
      </c>
      <c r="H3733" s="4" t="inlineStr">
        <is>
          <t>20.10.2026</t>
        </is>
      </c>
      <c r="I3733" s="4" t="inlineStr">
        <is>
          <t>17:13</t>
        </is>
      </c>
      <c r="J3733" s="8" t="n">
        <v>7.5</v>
      </c>
      <c r="K3733" s="8" t="n">
        <v>7.5</v>
      </c>
      <c r="L3733" s="8" t="n">
        <v>0</v>
      </c>
      <c r="M3733" s="29" t="inlineStr">
        <is>
          <t>HALİL DİĞRENCİ</t>
        </is>
      </c>
    </row>
    <row r="3734">
      <c r="A3734" s="4" t="n">
        <v>3733</v>
      </c>
      <c r="B3734" s="4" t="inlineStr">
        <is>
          <t>00179</t>
        </is>
      </c>
      <c r="C3734" s="4" t="inlineStr">
        <is>
          <t>00179</t>
        </is>
      </c>
      <c r="D3734" s="29" t="inlineStr">
        <is>
          <t>ŞAYİKA KOPARAN</t>
        </is>
      </c>
      <c r="E3734" s="4" t="inlineStr">
        <is>
          <t>Perşembe</t>
        </is>
      </c>
      <c r="F3734" s="4" t="inlineStr">
        <is>
          <t>1.10.2026</t>
        </is>
      </c>
      <c r="G3734" s="4" t="inlineStr">
        <is>
          <t>07:55</t>
        </is>
      </c>
      <c r="H3734" s="4" t="inlineStr">
        <is>
          <t>1.10.2026</t>
        </is>
      </c>
      <c r="I3734" s="4" t="inlineStr">
        <is>
          <t>17:08</t>
        </is>
      </c>
      <c r="J3734" s="8" t="n">
        <v>7.5</v>
      </c>
      <c r="K3734" s="8" t="n">
        <v>7.5</v>
      </c>
      <c r="L3734" s="8" t="n">
        <v>0</v>
      </c>
      <c r="M3734" s="29" t="inlineStr">
        <is>
          <t>BİGADİÇ</t>
        </is>
      </c>
    </row>
    <row r="3735">
      <c r="A3735" s="4" t="n">
        <v>3734</v>
      </c>
      <c r="B3735" s="4" t="inlineStr">
        <is>
          <t>00179</t>
        </is>
      </c>
      <c r="C3735" s="4" t="inlineStr">
        <is>
          <t>00179</t>
        </is>
      </c>
      <c r="D3735" s="29" t="inlineStr">
        <is>
          <t>ŞAYİKA KOPARAN</t>
        </is>
      </c>
      <c r="E3735" s="4" t="inlineStr">
        <is>
          <t>Cuma</t>
        </is>
      </c>
      <c r="F3735" s="4" t="inlineStr">
        <is>
          <t>2.10.2026</t>
        </is>
      </c>
      <c r="G3735" s="4" t="inlineStr">
        <is>
          <t>07:54</t>
        </is>
      </c>
      <c r="H3735" s="4" t="inlineStr">
        <is>
          <t>2.10.2026</t>
        </is>
      </c>
      <c r="I3735" s="4" t="inlineStr">
        <is>
          <t>17:07</t>
        </is>
      </c>
      <c r="J3735" s="8" t="n">
        <v>7.5</v>
      </c>
      <c r="K3735" s="8" t="n">
        <v>7.5</v>
      </c>
      <c r="L3735" s="8" t="n">
        <v>0</v>
      </c>
      <c r="M3735" s="29" t="inlineStr">
        <is>
          <t>BİGADİÇ</t>
        </is>
      </c>
    </row>
    <row r="3736">
      <c r="A3736" s="4" t="n">
        <v>3735</v>
      </c>
      <c r="B3736" s="4" t="inlineStr">
        <is>
          <t>00179</t>
        </is>
      </c>
      <c r="C3736" s="4" t="inlineStr">
        <is>
          <t>00179</t>
        </is>
      </c>
      <c r="D3736" s="29" t="inlineStr">
        <is>
          <t>ŞAYİKA KOPARAN</t>
        </is>
      </c>
      <c r="E3736" s="4" t="inlineStr">
        <is>
          <t>Cumartesi</t>
        </is>
      </c>
      <c r="F3736" s="4" t="inlineStr">
        <is>
          <t>3.10.2026</t>
        </is>
      </c>
      <c r="G3736" s="4" t="inlineStr">
        <is>
          <t>07:36</t>
        </is>
      </c>
      <c r="H3736" s="4" t="inlineStr">
        <is>
          <t>3.10.2026</t>
        </is>
      </c>
      <c r="I3736" s="4" t="inlineStr">
        <is>
          <t>17:08</t>
        </is>
      </c>
      <c r="J3736" s="8" t="n">
        <v>7.5</v>
      </c>
      <c r="K3736" s="8" t="n">
        <v>7.5</v>
      </c>
      <c r="L3736" s="8" t="n">
        <v>0</v>
      </c>
      <c r="M3736" s="29" t="inlineStr">
        <is>
          <t>BİGADİÇ</t>
        </is>
      </c>
    </row>
    <row r="3737">
      <c r="A3737" s="4" t="n">
        <v>3736</v>
      </c>
      <c r="B3737" s="4" t="inlineStr">
        <is>
          <t>01161</t>
        </is>
      </c>
      <c r="C3737" s="4" t="inlineStr">
        <is>
          <t>01161</t>
        </is>
      </c>
      <c r="D3737" s="29" t="inlineStr">
        <is>
          <t>ŞENGÜL ALEMİN</t>
        </is>
      </c>
      <c r="E3737" s="4" t="inlineStr">
        <is>
          <t>Perşembe</t>
        </is>
      </c>
      <c r="F3737" s="4" t="inlineStr">
        <is>
          <t>1.10.2026</t>
        </is>
      </c>
      <c r="G3737" s="4" t="inlineStr">
        <is>
          <t>19:53</t>
        </is>
      </c>
      <c r="H3737" s="4" t="inlineStr">
        <is>
          <t>1.10.2026</t>
        </is>
      </c>
      <c r="I3737" s="4" t="inlineStr">
        <is>
          <t>07:49</t>
        </is>
      </c>
      <c r="J3737" s="8" t="n">
        <v>10.5</v>
      </c>
      <c r="K3737" s="8" t="n">
        <v>7.5</v>
      </c>
      <c r="L3737" s="8" t="n">
        <v>3</v>
      </c>
      <c r="M3737" s="29" t="inlineStr">
        <is>
          <t>HALİL DİĞRENCİ</t>
        </is>
      </c>
    </row>
    <row r="3738">
      <c r="A3738" s="4" t="n">
        <v>3737</v>
      </c>
      <c r="B3738" s="4" t="inlineStr">
        <is>
          <t>01161</t>
        </is>
      </c>
      <c r="C3738" s="4" t="inlineStr">
        <is>
          <t>01161</t>
        </is>
      </c>
      <c r="D3738" s="29" t="inlineStr">
        <is>
          <t>ŞENGÜL ALEMİN</t>
        </is>
      </c>
      <c r="E3738" s="4" t="inlineStr">
        <is>
          <t>Cuma</t>
        </is>
      </c>
      <c r="F3738" s="4" t="inlineStr">
        <is>
          <t>2.10.2026</t>
        </is>
      </c>
      <c r="G3738" s="4" t="inlineStr">
        <is>
          <t>19:49</t>
        </is>
      </c>
      <c r="H3738" s="4" t="inlineStr">
        <is>
          <t>2.10.2026</t>
        </is>
      </c>
      <c r="I3738" s="4" t="inlineStr">
        <is>
          <t>07:58</t>
        </is>
      </c>
      <c r="J3738" s="8" t="n">
        <v>10.5</v>
      </c>
      <c r="K3738" s="8" t="n">
        <v>7.5</v>
      </c>
      <c r="L3738" s="8" t="n">
        <v>3</v>
      </c>
      <c r="M3738" s="29" t="inlineStr">
        <is>
          <t>HALİL DİĞRENCİ</t>
        </is>
      </c>
    </row>
    <row r="3739">
      <c r="A3739" s="4" t="n">
        <v>3738</v>
      </c>
      <c r="B3739" s="4" t="inlineStr">
        <is>
          <t>01161</t>
        </is>
      </c>
      <c r="C3739" s="4" t="inlineStr">
        <is>
          <t>01161</t>
        </is>
      </c>
      <c r="D3739" s="29" t="inlineStr">
        <is>
          <t>ŞENGÜL ALEMİN</t>
        </is>
      </c>
      <c r="E3739" s="4" t="inlineStr">
        <is>
          <t>Cumartesi</t>
        </is>
      </c>
      <c r="F3739" s="4" t="inlineStr">
        <is>
          <t>3.10.2026</t>
        </is>
      </c>
      <c r="G3739" s="4" t="inlineStr">
        <is>
          <t>19:54</t>
        </is>
      </c>
      <c r="H3739" s="4" t="inlineStr">
        <is>
          <t>3.10.2026</t>
        </is>
      </c>
      <c r="I3739" s="4" t="inlineStr">
        <is>
          <t>-</t>
        </is>
      </c>
      <c r="J3739" s="8" t="n">
        <v>7.5</v>
      </c>
      <c r="K3739" s="8" t="n">
        <v>7.5</v>
      </c>
      <c r="L3739" s="8" t="n">
        <v>0</v>
      </c>
      <c r="M3739" s="29" t="inlineStr">
        <is>
          <t>HALİL DİĞRENCİ</t>
        </is>
      </c>
    </row>
    <row r="3740">
      <c r="A3740" s="4" t="n">
        <v>3739</v>
      </c>
      <c r="B3740" s="4" t="inlineStr">
        <is>
          <t>01161</t>
        </is>
      </c>
      <c r="C3740" s="4" t="inlineStr">
        <is>
          <t>01161</t>
        </is>
      </c>
      <c r="D3740" s="29" t="inlineStr">
        <is>
          <t>ŞENGÜL ALEMİN</t>
        </is>
      </c>
      <c r="E3740" s="4" t="inlineStr">
        <is>
          <t>Pazar</t>
        </is>
      </c>
      <c r="F3740" s="4" t="inlineStr">
        <is>
          <t>4.10.2026</t>
        </is>
      </c>
      <c r="G3740" s="4" t="inlineStr">
        <is>
          <t>19:55</t>
        </is>
      </c>
      <c r="H3740" s="4" t="inlineStr">
        <is>
          <t>4.10.2026</t>
        </is>
      </c>
      <c r="I3740" s="4" t="inlineStr">
        <is>
          <t>-</t>
        </is>
      </c>
      <c r="J3740" s="8" t="n">
        <v>7.5</v>
      </c>
      <c r="K3740" s="8" t="n">
        <v>7.5</v>
      </c>
      <c r="L3740" s="8" t="n">
        <v>0</v>
      </c>
      <c r="M3740" s="29" t="inlineStr">
        <is>
          <t>HALİL DİĞRENCİ</t>
        </is>
      </c>
    </row>
    <row r="3741">
      <c r="A3741" s="4" t="n">
        <v>3740</v>
      </c>
      <c r="B3741" s="4" t="inlineStr">
        <is>
          <t>01161</t>
        </is>
      </c>
      <c r="C3741" s="4" t="inlineStr">
        <is>
          <t>01161</t>
        </is>
      </c>
      <c r="D3741" s="29" t="inlineStr">
        <is>
          <t>ŞENGÜL ALEMİN</t>
        </is>
      </c>
      <c r="E3741" s="4" t="inlineStr">
        <is>
          <t>Çarşamba</t>
        </is>
      </c>
      <c r="F3741" s="4" t="inlineStr">
        <is>
          <t>7.10.2026</t>
        </is>
      </c>
      <c r="G3741" s="4" t="inlineStr">
        <is>
          <t>19:52</t>
        </is>
      </c>
      <c r="H3741" s="4" t="inlineStr">
        <is>
          <t>7.10.2026</t>
        </is>
      </c>
      <c r="I3741" s="4" t="inlineStr">
        <is>
          <t>07:57</t>
        </is>
      </c>
      <c r="J3741" s="8" t="n">
        <v>10.5</v>
      </c>
      <c r="K3741" s="8" t="n">
        <v>7.5</v>
      </c>
      <c r="L3741" s="8" t="n">
        <v>3</v>
      </c>
      <c r="M3741" s="29" t="inlineStr">
        <is>
          <t>HALİL DİĞRENCİ</t>
        </is>
      </c>
    </row>
    <row r="3742">
      <c r="A3742" s="4" t="n">
        <v>3741</v>
      </c>
      <c r="B3742" s="4" t="inlineStr">
        <is>
          <t>01161</t>
        </is>
      </c>
      <c r="C3742" s="4" t="inlineStr">
        <is>
          <t>01161</t>
        </is>
      </c>
      <c r="D3742" s="29" t="inlineStr">
        <is>
          <t>ŞENGÜL ALEMİN</t>
        </is>
      </c>
      <c r="E3742" s="4" t="inlineStr">
        <is>
          <t>Perşembe</t>
        </is>
      </c>
      <c r="F3742" s="4" t="inlineStr">
        <is>
          <t>8.10.2026</t>
        </is>
      </c>
      <c r="G3742" s="4" t="inlineStr">
        <is>
          <t>20:03</t>
        </is>
      </c>
      <c r="H3742" s="4" t="inlineStr">
        <is>
          <t>8.10.2026</t>
        </is>
      </c>
      <c r="I3742" s="4" t="inlineStr">
        <is>
          <t>08:04</t>
        </is>
      </c>
      <c r="J3742" s="8" t="n">
        <v>10.5</v>
      </c>
      <c r="K3742" s="8" t="n">
        <v>7.5</v>
      </c>
      <c r="L3742" s="8" t="n">
        <v>3</v>
      </c>
      <c r="M3742" s="29" t="inlineStr">
        <is>
          <t>HALİL DİĞRENCİ</t>
        </is>
      </c>
    </row>
    <row r="3743">
      <c r="A3743" s="4" t="n">
        <v>3742</v>
      </c>
      <c r="B3743" s="4" t="inlineStr">
        <is>
          <t>01161</t>
        </is>
      </c>
      <c r="C3743" s="4" t="inlineStr">
        <is>
          <t>01161</t>
        </is>
      </c>
      <c r="D3743" s="29" t="inlineStr">
        <is>
          <t>ŞENGÜL ALEMİN</t>
        </is>
      </c>
      <c r="E3743" s="4" t="inlineStr">
        <is>
          <t>Cumartesi</t>
        </is>
      </c>
      <c r="F3743" s="4" t="inlineStr">
        <is>
          <t>10.10.2026</t>
        </is>
      </c>
      <c r="G3743" s="4" t="inlineStr">
        <is>
          <t>19:52</t>
        </is>
      </c>
      <c r="H3743" s="4" t="inlineStr">
        <is>
          <t>10.10.2026</t>
        </is>
      </c>
      <c r="I3743" s="4" t="inlineStr">
        <is>
          <t>-</t>
        </is>
      </c>
      <c r="J3743" s="8" t="n">
        <v>7.5</v>
      </c>
      <c r="K3743" s="8" t="n">
        <v>7.5</v>
      </c>
      <c r="L3743" s="8" t="n">
        <v>0</v>
      </c>
      <c r="M3743" s="29" t="inlineStr">
        <is>
          <t>HALİL DİĞRENCİ</t>
        </is>
      </c>
    </row>
    <row r="3744">
      <c r="A3744" s="4" t="n">
        <v>3743</v>
      </c>
      <c r="B3744" s="4" t="inlineStr">
        <is>
          <t>01161</t>
        </is>
      </c>
      <c r="C3744" s="4" t="inlineStr">
        <is>
          <t>01161</t>
        </is>
      </c>
      <c r="D3744" s="29" t="inlineStr">
        <is>
          <t>ŞENGÜL ALEMİN</t>
        </is>
      </c>
      <c r="E3744" s="4" t="inlineStr">
        <is>
          <t>Pazartesi</t>
        </is>
      </c>
      <c r="F3744" s="4" t="inlineStr">
        <is>
          <t>12.10.2026</t>
        </is>
      </c>
      <c r="G3744" s="4" t="inlineStr">
        <is>
          <t>19:59</t>
        </is>
      </c>
      <c r="H3744" s="4" t="inlineStr">
        <is>
          <t>12.10.2026</t>
        </is>
      </c>
      <c r="I3744" s="4" t="inlineStr">
        <is>
          <t>08:00</t>
        </is>
      </c>
      <c r="J3744" s="8" t="n">
        <v>10.5</v>
      </c>
      <c r="K3744" s="8" t="n">
        <v>7.5</v>
      </c>
      <c r="L3744" s="8" t="n">
        <v>3</v>
      </c>
      <c r="M3744" s="29" t="inlineStr">
        <is>
          <t>HALİL DİĞRENCİ</t>
        </is>
      </c>
    </row>
    <row r="3745">
      <c r="A3745" s="4" t="n">
        <v>3744</v>
      </c>
      <c r="B3745" s="4" t="inlineStr">
        <is>
          <t>01161</t>
        </is>
      </c>
      <c r="C3745" s="4" t="inlineStr">
        <is>
          <t>01161</t>
        </is>
      </c>
      <c r="D3745" s="29" t="inlineStr">
        <is>
          <t>ŞENGÜL ALEMİN</t>
        </is>
      </c>
      <c r="E3745" s="4" t="inlineStr">
        <is>
          <t>Salı</t>
        </is>
      </c>
      <c r="F3745" s="4" t="inlineStr">
        <is>
          <t>13.10.2026</t>
        </is>
      </c>
      <c r="G3745" s="4" t="inlineStr">
        <is>
          <t>19:54</t>
        </is>
      </c>
      <c r="H3745" s="4" t="inlineStr">
        <is>
          <t>13.10.2026</t>
        </is>
      </c>
      <c r="I3745" s="4" t="inlineStr">
        <is>
          <t>-</t>
        </is>
      </c>
      <c r="J3745" s="8" t="n">
        <v>7.5</v>
      </c>
      <c r="K3745" s="8" t="n">
        <v>7.5</v>
      </c>
      <c r="L3745" s="8" t="n">
        <v>0</v>
      </c>
      <c r="M3745" s="29" t="inlineStr">
        <is>
          <t>HALİL DİĞRENCİ</t>
        </is>
      </c>
    </row>
    <row r="3746">
      <c r="A3746" s="4" t="n">
        <v>3745</v>
      </c>
      <c r="B3746" s="4" t="inlineStr">
        <is>
          <t>01161</t>
        </is>
      </c>
      <c r="C3746" s="4" t="inlineStr">
        <is>
          <t>01161</t>
        </is>
      </c>
      <c r="D3746" s="29" t="inlineStr">
        <is>
          <t>ŞENGÜL ALEMİN</t>
        </is>
      </c>
      <c r="E3746" s="4" t="inlineStr">
        <is>
          <t>Pazartesi</t>
        </is>
      </c>
      <c r="F3746" s="4" t="inlineStr">
        <is>
          <t>19.10.2026</t>
        </is>
      </c>
      <c r="G3746" s="4" t="inlineStr">
        <is>
          <t>20:14</t>
        </is>
      </c>
      <c r="H3746" s="4" t="inlineStr">
        <is>
          <t>19.10.2026</t>
        </is>
      </c>
      <c r="I3746" s="4" t="inlineStr">
        <is>
          <t>08:02</t>
        </is>
      </c>
      <c r="J3746" s="8" t="n">
        <v>10.5</v>
      </c>
      <c r="K3746" s="8" t="n">
        <v>7.5</v>
      </c>
      <c r="L3746" s="8" t="n">
        <v>3</v>
      </c>
      <c r="M3746" s="29" t="inlineStr">
        <is>
          <t>HALİL DİĞRENCİ</t>
        </is>
      </c>
    </row>
    <row r="3747">
      <c r="A3747" s="4" t="n">
        <v>3746</v>
      </c>
      <c r="B3747" s="4" t="inlineStr">
        <is>
          <t>00242</t>
        </is>
      </c>
      <c r="C3747" s="4" t="inlineStr">
        <is>
          <t>00242</t>
        </is>
      </c>
      <c r="D3747" s="29" t="inlineStr">
        <is>
          <t>ŞERBANE SARAN</t>
        </is>
      </c>
      <c r="E3747" s="4" t="inlineStr">
        <is>
          <t>Perşembe</t>
        </is>
      </c>
      <c r="F3747" s="4" t="inlineStr">
        <is>
          <t>1.10.2026</t>
        </is>
      </c>
      <c r="G3747" s="4" t="inlineStr">
        <is>
          <t>07:51</t>
        </is>
      </c>
      <c r="H3747" s="4" t="inlineStr">
        <is>
          <t>1.10.2026</t>
        </is>
      </c>
      <c r="I3747" s="4" t="inlineStr">
        <is>
          <t>17:29</t>
        </is>
      </c>
      <c r="J3747" s="8" t="n">
        <v>8</v>
      </c>
      <c r="K3747" s="8" t="n">
        <v>7.5</v>
      </c>
      <c r="L3747" s="8" t="n">
        <v>0.5</v>
      </c>
      <c r="M3747" s="29" t="inlineStr">
        <is>
          <t>BALIKESİR</t>
        </is>
      </c>
    </row>
    <row r="3748">
      <c r="A3748" s="4" t="n">
        <v>3747</v>
      </c>
      <c r="B3748" s="4" t="inlineStr">
        <is>
          <t>00242</t>
        </is>
      </c>
      <c r="C3748" s="4" t="inlineStr">
        <is>
          <t>00242</t>
        </is>
      </c>
      <c r="D3748" s="29" t="inlineStr">
        <is>
          <t>ŞERBANE SARAN</t>
        </is>
      </c>
      <c r="E3748" s="4" t="inlineStr">
        <is>
          <t>Cuma</t>
        </is>
      </c>
      <c r="F3748" s="4" t="inlineStr">
        <is>
          <t>2.10.2026</t>
        </is>
      </c>
      <c r="G3748" s="4" t="inlineStr">
        <is>
          <t>07:56</t>
        </is>
      </c>
      <c r="H3748" s="4" t="inlineStr">
        <is>
          <t>2.10.2026</t>
        </is>
      </c>
      <c r="I3748" s="4" t="inlineStr">
        <is>
          <t>17:47</t>
        </is>
      </c>
      <c r="J3748" s="8" t="n">
        <v>8.5</v>
      </c>
      <c r="K3748" s="8" t="n">
        <v>7.5</v>
      </c>
      <c r="L3748" s="8" t="n">
        <v>1</v>
      </c>
      <c r="M3748" s="29" t="inlineStr">
        <is>
          <t>BALIKESİR</t>
        </is>
      </c>
    </row>
    <row r="3749">
      <c r="A3749" s="4" t="n">
        <v>3748</v>
      </c>
      <c r="B3749" s="4" t="inlineStr">
        <is>
          <t>00242</t>
        </is>
      </c>
      <c r="C3749" s="4" t="inlineStr">
        <is>
          <t>00242</t>
        </is>
      </c>
      <c r="D3749" s="29" t="inlineStr">
        <is>
          <t>ŞERBANE SARAN</t>
        </is>
      </c>
      <c r="E3749" s="4" t="inlineStr">
        <is>
          <t>Cumartesi</t>
        </is>
      </c>
      <c r="F3749" s="4" t="inlineStr">
        <is>
          <t>3.10.2026</t>
        </is>
      </c>
      <c r="G3749" s="4" t="inlineStr">
        <is>
          <t>07:56</t>
        </is>
      </c>
      <c r="H3749" s="4" t="inlineStr">
        <is>
          <t>3.10.2026</t>
        </is>
      </c>
      <c r="I3749" s="4" t="inlineStr">
        <is>
          <t>17:37</t>
        </is>
      </c>
      <c r="J3749" s="8" t="n">
        <v>8</v>
      </c>
      <c r="K3749" s="8" t="n">
        <v>7.5</v>
      </c>
      <c r="L3749" s="8" t="n">
        <v>0.5</v>
      </c>
      <c r="M3749" s="29" t="inlineStr">
        <is>
          <t>BALIKESİR</t>
        </is>
      </c>
    </row>
    <row r="3750">
      <c r="A3750" s="4" t="n">
        <v>3749</v>
      </c>
      <c r="B3750" s="4" t="inlineStr">
        <is>
          <t>00242</t>
        </is>
      </c>
      <c r="C3750" s="4" t="inlineStr">
        <is>
          <t>00242</t>
        </is>
      </c>
      <c r="D3750" s="29" t="inlineStr">
        <is>
          <t>ŞERBANE SARAN</t>
        </is>
      </c>
      <c r="E3750" s="4" t="inlineStr">
        <is>
          <t>Pazartesi</t>
        </is>
      </c>
      <c r="F3750" s="4" t="inlineStr">
        <is>
          <t>5.10.2026</t>
        </is>
      </c>
      <c r="G3750" s="4" t="inlineStr">
        <is>
          <t>07:53</t>
        </is>
      </c>
      <c r="H3750" s="4" t="inlineStr">
        <is>
          <t>5.10.2026</t>
        </is>
      </c>
      <c r="I3750" s="4" t="inlineStr">
        <is>
          <t>17:02</t>
        </is>
      </c>
      <c r="J3750" s="8" t="n">
        <v>7.5</v>
      </c>
      <c r="K3750" s="8" t="n">
        <v>7.5</v>
      </c>
      <c r="L3750" s="8" t="n">
        <v>0</v>
      </c>
      <c r="M3750" s="29" t="inlineStr">
        <is>
          <t>BALIKESİR</t>
        </is>
      </c>
    </row>
    <row r="3751">
      <c r="A3751" s="4" t="n">
        <v>3750</v>
      </c>
      <c r="B3751" s="4" t="inlineStr">
        <is>
          <t>00242</t>
        </is>
      </c>
      <c r="C3751" s="4" t="inlineStr">
        <is>
          <t>00242</t>
        </is>
      </c>
      <c r="D3751" s="29" t="inlineStr">
        <is>
          <t>ŞERBANE SARAN</t>
        </is>
      </c>
      <c r="E3751" s="4" t="inlineStr">
        <is>
          <t>Salı</t>
        </is>
      </c>
      <c r="F3751" s="4" t="inlineStr">
        <is>
          <t>6.10.2026</t>
        </is>
      </c>
      <c r="G3751" s="4" t="inlineStr">
        <is>
          <t>07:50</t>
        </is>
      </c>
      <c r="H3751" s="4" t="inlineStr">
        <is>
          <t>6.10.2026</t>
        </is>
      </c>
      <c r="I3751" s="4" t="inlineStr">
        <is>
          <t>17:42</t>
        </is>
      </c>
      <c r="J3751" s="8" t="n">
        <v>8</v>
      </c>
      <c r="K3751" s="8" t="n">
        <v>7.5</v>
      </c>
      <c r="L3751" s="8" t="n">
        <v>0.5</v>
      </c>
      <c r="M3751" s="29" t="inlineStr">
        <is>
          <t>BALIKESİR</t>
        </is>
      </c>
    </row>
    <row r="3752">
      <c r="A3752" s="4" t="n">
        <v>3751</v>
      </c>
      <c r="B3752" s="4" t="inlineStr">
        <is>
          <t>00242</t>
        </is>
      </c>
      <c r="C3752" s="4" t="inlineStr">
        <is>
          <t>00242</t>
        </is>
      </c>
      <c r="D3752" s="29" t="inlineStr">
        <is>
          <t>ŞERBANE SARAN</t>
        </is>
      </c>
      <c r="E3752" s="4" t="inlineStr">
        <is>
          <t>Çarşamba</t>
        </is>
      </c>
      <c r="F3752" s="4" t="inlineStr">
        <is>
          <t>7.10.2026</t>
        </is>
      </c>
      <c r="G3752" s="4" t="inlineStr">
        <is>
          <t>07:49</t>
        </is>
      </c>
      <c r="H3752" s="4" t="inlineStr">
        <is>
          <t>7.10.2026</t>
        </is>
      </c>
      <c r="I3752" s="4" t="inlineStr">
        <is>
          <t>17:23</t>
        </is>
      </c>
      <c r="J3752" s="8" t="n">
        <v>8</v>
      </c>
      <c r="K3752" s="8" t="n">
        <v>7.5</v>
      </c>
      <c r="L3752" s="8" t="n">
        <v>0.5</v>
      </c>
      <c r="M3752" s="29" t="inlineStr">
        <is>
          <t>BALIKESİR</t>
        </is>
      </c>
    </row>
    <row r="3753">
      <c r="A3753" s="4" t="n">
        <v>3752</v>
      </c>
      <c r="B3753" s="4" t="inlineStr">
        <is>
          <t>00242</t>
        </is>
      </c>
      <c r="C3753" s="4" t="inlineStr">
        <is>
          <t>00242</t>
        </is>
      </c>
      <c r="D3753" s="29" t="inlineStr">
        <is>
          <t>ŞERBANE SARAN</t>
        </is>
      </c>
      <c r="E3753" s="4" t="inlineStr">
        <is>
          <t>Perşembe</t>
        </is>
      </c>
      <c r="F3753" s="4" t="inlineStr">
        <is>
          <t>8.10.2026</t>
        </is>
      </c>
      <c r="G3753" s="4" t="inlineStr">
        <is>
          <t>07:51</t>
        </is>
      </c>
      <c r="H3753" s="4" t="inlineStr">
        <is>
          <t>8.10.2026</t>
        </is>
      </c>
      <c r="I3753" s="4" t="inlineStr">
        <is>
          <t>17:34</t>
        </is>
      </c>
      <c r="J3753" s="8" t="n">
        <v>8</v>
      </c>
      <c r="K3753" s="8" t="n">
        <v>7.5</v>
      </c>
      <c r="L3753" s="8" t="n">
        <v>0.5</v>
      </c>
      <c r="M3753" s="29" t="inlineStr">
        <is>
          <t>BALIKESİR</t>
        </is>
      </c>
    </row>
    <row r="3754">
      <c r="A3754" s="4" t="n">
        <v>3753</v>
      </c>
      <c r="B3754" s="4" t="inlineStr">
        <is>
          <t>00242</t>
        </is>
      </c>
      <c r="C3754" s="4" t="inlineStr">
        <is>
          <t>00242</t>
        </is>
      </c>
      <c r="D3754" s="29" t="inlineStr">
        <is>
          <t>ŞERBANE SARAN</t>
        </is>
      </c>
      <c r="E3754" s="4" t="inlineStr">
        <is>
          <t>Cuma</t>
        </is>
      </c>
      <c r="F3754" s="4" t="inlineStr">
        <is>
          <t>9.10.2026</t>
        </is>
      </c>
      <c r="G3754" s="4" t="inlineStr">
        <is>
          <t>07:51</t>
        </is>
      </c>
      <c r="H3754" s="4" t="inlineStr">
        <is>
          <t>9.10.2026</t>
        </is>
      </c>
      <c r="I3754" s="4" t="inlineStr">
        <is>
          <t>17:46</t>
        </is>
      </c>
      <c r="J3754" s="8" t="n">
        <v>8.5</v>
      </c>
      <c r="K3754" s="8" t="n">
        <v>7.5</v>
      </c>
      <c r="L3754" s="8" t="n">
        <v>1</v>
      </c>
      <c r="M3754" s="29" t="inlineStr">
        <is>
          <t>BALIKESİR</t>
        </is>
      </c>
    </row>
    <row r="3755">
      <c r="A3755" s="4" t="n">
        <v>3754</v>
      </c>
      <c r="B3755" s="4" t="inlineStr">
        <is>
          <t>00242</t>
        </is>
      </c>
      <c r="C3755" s="4" t="inlineStr">
        <is>
          <t>00242</t>
        </is>
      </c>
      <c r="D3755" s="29" t="inlineStr">
        <is>
          <t>ŞERBANE SARAN</t>
        </is>
      </c>
      <c r="E3755" s="4" t="inlineStr">
        <is>
          <t>Cumartesi</t>
        </is>
      </c>
      <c r="F3755" s="4" t="inlineStr">
        <is>
          <t>10.10.2026</t>
        </is>
      </c>
      <c r="G3755" s="4" t="inlineStr">
        <is>
          <t>07:54</t>
        </is>
      </c>
      <c r="H3755" s="4" t="inlineStr">
        <is>
          <t>10.10.2026</t>
        </is>
      </c>
      <c r="I3755" s="4" t="inlineStr">
        <is>
          <t>18:11</t>
        </is>
      </c>
      <c r="J3755" s="8" t="n">
        <v>8.5</v>
      </c>
      <c r="K3755" s="8" t="n">
        <v>7.5</v>
      </c>
      <c r="L3755" s="8" t="n">
        <v>1</v>
      </c>
      <c r="M3755" s="29" t="inlineStr">
        <is>
          <t>BALIKESİR</t>
        </is>
      </c>
    </row>
    <row r="3756">
      <c r="A3756" s="4" t="n">
        <v>3755</v>
      </c>
      <c r="B3756" s="4" t="inlineStr">
        <is>
          <t>00242</t>
        </is>
      </c>
      <c r="C3756" s="4" t="inlineStr">
        <is>
          <t>00242</t>
        </is>
      </c>
      <c r="D3756" s="29" t="inlineStr">
        <is>
          <t>ŞERBANE SARAN</t>
        </is>
      </c>
      <c r="E3756" s="4" t="inlineStr">
        <is>
          <t>Pazartesi</t>
        </is>
      </c>
      <c r="F3756" s="4" t="inlineStr">
        <is>
          <t>12.10.2026</t>
        </is>
      </c>
      <c r="G3756" s="4" t="inlineStr">
        <is>
          <t>07:52</t>
        </is>
      </c>
      <c r="H3756" s="4" t="inlineStr">
        <is>
          <t>12.10.2026</t>
        </is>
      </c>
      <c r="I3756" s="4" t="inlineStr">
        <is>
          <t>17:01</t>
        </is>
      </c>
      <c r="J3756" s="8" t="n">
        <v>7.5</v>
      </c>
      <c r="K3756" s="8" t="n">
        <v>7.5</v>
      </c>
      <c r="L3756" s="8" t="n">
        <v>0</v>
      </c>
      <c r="M3756" s="29" t="inlineStr">
        <is>
          <t>BALIKESİR</t>
        </is>
      </c>
    </row>
    <row r="3757">
      <c r="A3757" s="4" t="n">
        <v>3756</v>
      </c>
      <c r="B3757" s="4" t="inlineStr">
        <is>
          <t>00242</t>
        </is>
      </c>
      <c r="C3757" s="4" t="inlineStr">
        <is>
          <t>00242</t>
        </is>
      </c>
      <c r="D3757" s="29" t="inlineStr">
        <is>
          <t>ŞERBANE SARAN</t>
        </is>
      </c>
      <c r="E3757" s="4" t="inlineStr">
        <is>
          <t>Salı</t>
        </is>
      </c>
      <c r="F3757" s="4" t="inlineStr">
        <is>
          <t>13.10.2026</t>
        </is>
      </c>
      <c r="G3757" s="4" t="inlineStr">
        <is>
          <t>07:50</t>
        </is>
      </c>
      <c r="H3757" s="4" t="inlineStr">
        <is>
          <t>13.10.2026</t>
        </is>
      </c>
      <c r="I3757" s="4" t="inlineStr">
        <is>
          <t>17:01</t>
        </is>
      </c>
      <c r="J3757" s="8" t="n">
        <v>7.5</v>
      </c>
      <c r="K3757" s="8" t="n">
        <v>7.5</v>
      </c>
      <c r="L3757" s="8" t="n">
        <v>0</v>
      </c>
      <c r="M3757" s="29" t="inlineStr">
        <is>
          <t>BALIKESİR</t>
        </is>
      </c>
    </row>
    <row r="3758">
      <c r="A3758" s="4" t="n">
        <v>3757</v>
      </c>
      <c r="B3758" s="4" t="inlineStr">
        <is>
          <t>00242</t>
        </is>
      </c>
      <c r="C3758" s="4" t="inlineStr">
        <is>
          <t>00242</t>
        </is>
      </c>
      <c r="D3758" s="29" t="inlineStr">
        <is>
          <t>ŞERBANE SARAN</t>
        </is>
      </c>
      <c r="E3758" s="4" t="inlineStr">
        <is>
          <t>Çarşamba</t>
        </is>
      </c>
      <c r="F3758" s="4" t="inlineStr">
        <is>
          <t>14.10.2026</t>
        </is>
      </c>
      <c r="G3758" s="4" t="inlineStr">
        <is>
          <t>07:51</t>
        </is>
      </c>
      <c r="H3758" s="4" t="inlineStr">
        <is>
          <t>14.10.2026</t>
        </is>
      </c>
      <c r="I3758" s="4" t="inlineStr">
        <is>
          <t>18:04</t>
        </is>
      </c>
      <c r="J3758" s="8" t="n">
        <v>8.5</v>
      </c>
      <c r="K3758" s="8" t="n">
        <v>7.5</v>
      </c>
      <c r="L3758" s="8" t="n">
        <v>1</v>
      </c>
      <c r="M3758" s="29" t="inlineStr">
        <is>
          <t>BALIKESİR</t>
        </is>
      </c>
    </row>
    <row r="3759">
      <c r="A3759" s="4" t="n">
        <v>3758</v>
      </c>
      <c r="B3759" s="4" t="inlineStr">
        <is>
          <t>00242</t>
        </is>
      </c>
      <c r="C3759" s="4" t="inlineStr">
        <is>
          <t>00242</t>
        </is>
      </c>
      <c r="D3759" s="29" t="inlineStr">
        <is>
          <t>ŞERBANE SARAN</t>
        </is>
      </c>
      <c r="E3759" s="4" t="inlineStr">
        <is>
          <t>Perşembe</t>
        </is>
      </c>
      <c r="F3759" s="4" t="inlineStr">
        <is>
          <t>15.10.2026</t>
        </is>
      </c>
      <c r="G3759" s="4" t="inlineStr">
        <is>
          <t>07:53</t>
        </is>
      </c>
      <c r="H3759" s="4" t="inlineStr">
        <is>
          <t>15.10.2026</t>
        </is>
      </c>
      <c r="I3759" s="4" t="inlineStr">
        <is>
          <t>17:02</t>
        </is>
      </c>
      <c r="J3759" s="8" t="n">
        <v>7.5</v>
      </c>
      <c r="K3759" s="8" t="n">
        <v>7.5</v>
      </c>
      <c r="L3759" s="8" t="n">
        <v>0</v>
      </c>
      <c r="M3759" s="29" t="inlineStr">
        <is>
          <t>BALIKESİR</t>
        </is>
      </c>
    </row>
    <row r="3760">
      <c r="A3760" s="4" t="n">
        <v>3759</v>
      </c>
      <c r="B3760" s="4" t="inlineStr">
        <is>
          <t>00242</t>
        </is>
      </c>
      <c r="C3760" s="4" t="inlineStr">
        <is>
          <t>00242</t>
        </is>
      </c>
      <c r="D3760" s="29" t="inlineStr">
        <is>
          <t>ŞERBANE SARAN</t>
        </is>
      </c>
      <c r="E3760" s="4" t="inlineStr">
        <is>
          <t>Cuma</t>
        </is>
      </c>
      <c r="F3760" s="4" t="inlineStr">
        <is>
          <t>16.10.2026</t>
        </is>
      </c>
      <c r="G3760" s="4" t="inlineStr">
        <is>
          <t>07:49</t>
        </is>
      </c>
      <c r="H3760" s="4" t="inlineStr">
        <is>
          <t>16.10.2026</t>
        </is>
      </c>
      <c r="I3760" s="4" t="inlineStr">
        <is>
          <t>17:16</t>
        </is>
      </c>
      <c r="J3760" s="8" t="n">
        <v>7.5</v>
      </c>
      <c r="K3760" s="8" t="n">
        <v>7.5</v>
      </c>
      <c r="L3760" s="8" t="n">
        <v>0</v>
      </c>
      <c r="M3760" s="29" t="inlineStr">
        <is>
          <t>BALIKESİR</t>
        </is>
      </c>
    </row>
    <row r="3761">
      <c r="A3761" s="4" t="n">
        <v>3760</v>
      </c>
      <c r="B3761" s="4" t="inlineStr">
        <is>
          <t>00242</t>
        </is>
      </c>
      <c r="C3761" s="4" t="inlineStr">
        <is>
          <t>00242</t>
        </is>
      </c>
      <c r="D3761" s="29" t="inlineStr">
        <is>
          <t>ŞERBANE SARAN</t>
        </is>
      </c>
      <c r="E3761" s="4" t="inlineStr">
        <is>
          <t>Cumartesi</t>
        </is>
      </c>
      <c r="F3761" s="4" t="inlineStr">
        <is>
          <t>17.10.2026</t>
        </is>
      </c>
      <c r="G3761" s="4" t="inlineStr">
        <is>
          <t>07:58</t>
        </is>
      </c>
      <c r="H3761" s="4" t="inlineStr">
        <is>
          <t>17.10.2026</t>
        </is>
      </c>
      <c r="I3761" s="4" t="inlineStr">
        <is>
          <t>17:49</t>
        </is>
      </c>
      <c r="J3761" s="8" t="n">
        <v>8.5</v>
      </c>
      <c r="K3761" s="8" t="n">
        <v>7.5</v>
      </c>
      <c r="L3761" s="8" t="n">
        <v>1</v>
      </c>
      <c r="M3761" s="29" t="inlineStr">
        <is>
          <t>BALIKESİR</t>
        </is>
      </c>
    </row>
    <row r="3762">
      <c r="A3762" s="4" t="n">
        <v>3761</v>
      </c>
      <c r="B3762" s="4" t="inlineStr">
        <is>
          <t>00242</t>
        </is>
      </c>
      <c r="C3762" s="4" t="inlineStr">
        <is>
          <t>00242</t>
        </is>
      </c>
      <c r="D3762" s="29" t="inlineStr">
        <is>
          <t>ŞERBANE SARAN</t>
        </is>
      </c>
      <c r="E3762" s="4" t="inlineStr">
        <is>
          <t>Pazartesi</t>
        </is>
      </c>
      <c r="F3762" s="4" t="inlineStr">
        <is>
          <t>19.10.2026</t>
        </is>
      </c>
      <c r="G3762" s="4" t="inlineStr">
        <is>
          <t>07:51</t>
        </is>
      </c>
      <c r="H3762" s="4" t="inlineStr">
        <is>
          <t>19.10.2026</t>
        </is>
      </c>
      <c r="I3762" s="4" t="inlineStr">
        <is>
          <t>17:44</t>
        </is>
      </c>
      <c r="J3762" s="8" t="n">
        <v>8</v>
      </c>
      <c r="K3762" s="8" t="n">
        <v>7.5</v>
      </c>
      <c r="L3762" s="8" t="n">
        <v>0.5</v>
      </c>
      <c r="M3762" s="29" t="inlineStr">
        <is>
          <t>BALIKESİR</t>
        </is>
      </c>
    </row>
    <row r="3763">
      <c r="A3763" s="4" t="n">
        <v>3762</v>
      </c>
      <c r="B3763" s="4" t="inlineStr">
        <is>
          <t>00242</t>
        </is>
      </c>
      <c r="C3763" s="4" t="inlineStr">
        <is>
          <t>00242</t>
        </is>
      </c>
      <c r="D3763" s="29" t="inlineStr">
        <is>
          <t>ŞERBANE SARAN</t>
        </is>
      </c>
      <c r="E3763" s="4" t="inlineStr">
        <is>
          <t>Salı</t>
        </is>
      </c>
      <c r="F3763" s="4" t="inlineStr">
        <is>
          <t>20.10.2026</t>
        </is>
      </c>
      <c r="G3763" s="4" t="inlineStr">
        <is>
          <t>07:49</t>
        </is>
      </c>
      <c r="H3763" s="4" t="inlineStr">
        <is>
          <t>20.10.2026</t>
        </is>
      </c>
      <c r="I3763" s="4" t="inlineStr">
        <is>
          <t>17:01</t>
        </is>
      </c>
      <c r="J3763" s="8" t="n">
        <v>7.5</v>
      </c>
      <c r="K3763" s="8" t="n">
        <v>7.5</v>
      </c>
      <c r="L3763" s="8" t="n">
        <v>0</v>
      </c>
      <c r="M3763" s="29" t="inlineStr">
        <is>
          <t>BALIKESİR</t>
        </is>
      </c>
    </row>
    <row r="3764">
      <c r="A3764" s="4" t="n">
        <v>3763</v>
      </c>
      <c r="B3764" s="4" t="inlineStr">
        <is>
          <t>00242</t>
        </is>
      </c>
      <c r="C3764" s="4" t="inlineStr">
        <is>
          <t>00242</t>
        </is>
      </c>
      <c r="D3764" s="29" t="inlineStr">
        <is>
          <t>ŞERBANE SARAN</t>
        </is>
      </c>
      <c r="E3764" s="4" t="inlineStr">
        <is>
          <t>Çarşamba</t>
        </is>
      </c>
      <c r="F3764" s="4" t="inlineStr">
        <is>
          <t>21.10.2026</t>
        </is>
      </c>
      <c r="G3764" s="4" t="inlineStr">
        <is>
          <t>07:51</t>
        </is>
      </c>
      <c r="H3764" s="4" t="inlineStr">
        <is>
          <t>21.10.2026</t>
        </is>
      </c>
      <c r="I3764" s="4" t="inlineStr">
        <is>
          <t>17:00</t>
        </is>
      </c>
      <c r="J3764" s="8" t="n">
        <v>7.5</v>
      </c>
      <c r="K3764" s="8" t="n">
        <v>7.5</v>
      </c>
      <c r="L3764" s="8" t="n">
        <v>0</v>
      </c>
      <c r="M3764" s="29" t="inlineStr">
        <is>
          <t>BALIKESİR</t>
        </is>
      </c>
    </row>
    <row r="3765">
      <c r="A3765" s="4" t="n">
        <v>3764</v>
      </c>
      <c r="B3765" s="4" t="inlineStr">
        <is>
          <t>01460</t>
        </is>
      </c>
      <c r="C3765" s="4" t="inlineStr">
        <is>
          <t>01460</t>
        </is>
      </c>
      <c r="D3765" s="29" t="inlineStr">
        <is>
          <t>ŞERİFE SEDA ÜZER</t>
        </is>
      </c>
      <c r="E3765" s="4" t="inlineStr">
        <is>
          <t>Cuma</t>
        </is>
      </c>
      <c r="F3765" s="4" t="inlineStr">
        <is>
          <t>2.10.2026</t>
        </is>
      </c>
      <c r="G3765" s="4" t="inlineStr">
        <is>
          <t>-</t>
        </is>
      </c>
      <c r="H3765" s="4" t="inlineStr">
        <is>
          <t>2.10.2026</t>
        </is>
      </c>
      <c r="I3765" s="4" t="inlineStr">
        <is>
          <t>17:52</t>
        </is>
      </c>
      <c r="J3765" s="8" t="n">
        <v>8.5</v>
      </c>
      <c r="K3765" s="8" t="n">
        <v>7.5</v>
      </c>
      <c r="L3765" s="8" t="n">
        <v>1</v>
      </c>
      <c r="M3765" s="29" t="inlineStr">
        <is>
          <t>HALİL DİĞRENCİ</t>
        </is>
      </c>
    </row>
    <row r="3766">
      <c r="A3766" s="4" t="n">
        <v>3765</v>
      </c>
      <c r="B3766" s="4" t="inlineStr">
        <is>
          <t>01460</t>
        </is>
      </c>
      <c r="C3766" s="4" t="inlineStr">
        <is>
          <t>01460</t>
        </is>
      </c>
      <c r="D3766" s="29" t="inlineStr">
        <is>
          <t>ŞERİFE SEDA ÜZER</t>
        </is>
      </c>
      <c r="E3766" s="4" t="inlineStr">
        <is>
          <t>Cumartesi</t>
        </is>
      </c>
      <c r="F3766" s="4" t="inlineStr">
        <is>
          <t>3.10.2026</t>
        </is>
      </c>
      <c r="G3766" s="4" t="inlineStr">
        <is>
          <t>07:37</t>
        </is>
      </c>
      <c r="H3766" s="4" t="inlineStr">
        <is>
          <t>3.10.2026</t>
        </is>
      </c>
      <c r="I3766" s="4" t="inlineStr">
        <is>
          <t>17:40</t>
        </is>
      </c>
      <c r="J3766" s="8" t="n">
        <v>8</v>
      </c>
      <c r="K3766" s="8" t="n">
        <v>7.5</v>
      </c>
      <c r="L3766" s="8" t="n">
        <v>0.5</v>
      </c>
      <c r="M3766" s="29" t="inlineStr">
        <is>
          <t>HALİL DİĞRENCİ</t>
        </is>
      </c>
    </row>
    <row r="3767">
      <c r="A3767" s="4" t="n">
        <v>3766</v>
      </c>
      <c r="B3767" s="4" t="inlineStr">
        <is>
          <t>01460</t>
        </is>
      </c>
      <c r="C3767" s="4" t="inlineStr">
        <is>
          <t>01460</t>
        </is>
      </c>
      <c r="D3767" s="29" t="inlineStr">
        <is>
          <t>ŞERİFE SEDA ÜZER</t>
        </is>
      </c>
      <c r="E3767" s="4" t="inlineStr">
        <is>
          <t>Pazartesi</t>
        </is>
      </c>
      <c r="F3767" s="4" t="inlineStr">
        <is>
          <t>5.10.2026</t>
        </is>
      </c>
      <c r="G3767" s="4" t="inlineStr">
        <is>
          <t>07:39</t>
        </is>
      </c>
      <c r="H3767" s="4" t="inlineStr">
        <is>
          <t>5.10.2026</t>
        </is>
      </c>
      <c r="I3767" s="4" t="inlineStr">
        <is>
          <t>17:06</t>
        </is>
      </c>
      <c r="J3767" s="8" t="n">
        <v>7.5</v>
      </c>
      <c r="K3767" s="8" t="n">
        <v>7.5</v>
      </c>
      <c r="L3767" s="8" t="n">
        <v>0</v>
      </c>
      <c r="M3767" s="29" t="inlineStr">
        <is>
          <t>HALİL DİĞRENCİ</t>
        </is>
      </c>
    </row>
    <row r="3768">
      <c r="A3768" s="4" t="n">
        <v>3767</v>
      </c>
      <c r="B3768" s="4" t="inlineStr">
        <is>
          <t>01460</t>
        </is>
      </c>
      <c r="C3768" s="4" t="inlineStr">
        <is>
          <t>01460</t>
        </is>
      </c>
      <c r="D3768" s="29" t="inlineStr">
        <is>
          <t>ŞERİFE SEDA ÜZER</t>
        </is>
      </c>
      <c r="E3768" s="4" t="inlineStr">
        <is>
          <t>Salı</t>
        </is>
      </c>
      <c r="F3768" s="4" t="inlineStr">
        <is>
          <t>6.10.2026</t>
        </is>
      </c>
      <c r="G3768" s="4" t="inlineStr">
        <is>
          <t>07:42</t>
        </is>
      </c>
      <c r="H3768" s="4" t="inlineStr">
        <is>
          <t>6.10.2026</t>
        </is>
      </c>
      <c r="I3768" s="4" t="inlineStr">
        <is>
          <t>17:44</t>
        </is>
      </c>
      <c r="J3768" s="8" t="n">
        <v>8</v>
      </c>
      <c r="K3768" s="8" t="n">
        <v>7.5</v>
      </c>
      <c r="L3768" s="8" t="n">
        <v>0.5</v>
      </c>
      <c r="M3768" s="29" t="inlineStr">
        <is>
          <t>HALİL DİĞRENCİ</t>
        </is>
      </c>
    </row>
    <row r="3769">
      <c r="A3769" s="4" t="n">
        <v>3768</v>
      </c>
      <c r="B3769" s="4" t="inlineStr">
        <is>
          <t>01460</t>
        </is>
      </c>
      <c r="C3769" s="4" t="inlineStr">
        <is>
          <t>01460</t>
        </is>
      </c>
      <c r="D3769" s="29" t="inlineStr">
        <is>
          <t>ŞERİFE SEDA ÜZER</t>
        </is>
      </c>
      <c r="E3769" s="4" t="inlineStr">
        <is>
          <t>Çarşamba</t>
        </is>
      </c>
      <c r="F3769" s="4" t="inlineStr">
        <is>
          <t>7.10.2026</t>
        </is>
      </c>
      <c r="G3769" s="4" t="inlineStr">
        <is>
          <t>07:37</t>
        </is>
      </c>
      <c r="H3769" s="4" t="inlineStr">
        <is>
          <t>7.10.2026</t>
        </is>
      </c>
      <c r="I3769" s="4" t="inlineStr">
        <is>
          <t>17:29</t>
        </is>
      </c>
      <c r="J3769" s="8" t="n">
        <v>8</v>
      </c>
      <c r="K3769" s="8" t="n">
        <v>7.5</v>
      </c>
      <c r="L3769" s="8" t="n">
        <v>0.5</v>
      </c>
      <c r="M3769" s="29" t="inlineStr">
        <is>
          <t>HALİL DİĞRENCİ</t>
        </is>
      </c>
    </row>
    <row r="3770">
      <c r="A3770" s="4" t="n">
        <v>3769</v>
      </c>
      <c r="B3770" s="4" t="inlineStr">
        <is>
          <t>01460</t>
        </is>
      </c>
      <c r="C3770" s="4" t="inlineStr">
        <is>
          <t>01460</t>
        </is>
      </c>
      <c r="D3770" s="29" t="inlineStr">
        <is>
          <t>ŞERİFE SEDA ÜZER</t>
        </is>
      </c>
      <c r="E3770" s="4" t="inlineStr">
        <is>
          <t>Perşembe</t>
        </is>
      </c>
      <c r="F3770" s="4" t="inlineStr">
        <is>
          <t>8.10.2026</t>
        </is>
      </c>
      <c r="G3770" s="4" t="inlineStr">
        <is>
          <t>07:36</t>
        </is>
      </c>
      <c r="H3770" s="4" t="inlineStr">
        <is>
          <t>8.10.2026</t>
        </is>
      </c>
      <c r="I3770" s="4" t="inlineStr">
        <is>
          <t>17:39</t>
        </is>
      </c>
      <c r="J3770" s="8" t="n">
        <v>8</v>
      </c>
      <c r="K3770" s="8" t="n">
        <v>7.5</v>
      </c>
      <c r="L3770" s="8" t="n">
        <v>0.5</v>
      </c>
      <c r="M3770" s="29" t="inlineStr">
        <is>
          <t>HALİL DİĞRENCİ</t>
        </is>
      </c>
    </row>
    <row r="3771">
      <c r="A3771" s="4" t="n">
        <v>3770</v>
      </c>
      <c r="B3771" s="4" t="inlineStr">
        <is>
          <t>01460</t>
        </is>
      </c>
      <c r="C3771" s="4" t="inlineStr">
        <is>
          <t>01460</t>
        </is>
      </c>
      <c r="D3771" s="29" t="inlineStr">
        <is>
          <t>ŞERİFE SEDA ÜZER</t>
        </is>
      </c>
      <c r="E3771" s="4" t="inlineStr">
        <is>
          <t>Cuma</t>
        </is>
      </c>
      <c r="F3771" s="4" t="inlineStr">
        <is>
          <t>9.10.2026</t>
        </is>
      </c>
      <c r="G3771" s="4" t="inlineStr">
        <is>
          <t>07:38</t>
        </is>
      </c>
      <c r="H3771" s="4" t="inlineStr">
        <is>
          <t>9.10.2026</t>
        </is>
      </c>
      <c r="I3771" s="4" t="inlineStr">
        <is>
          <t>17:42</t>
        </is>
      </c>
      <c r="J3771" s="8" t="n">
        <v>8</v>
      </c>
      <c r="K3771" s="8" t="n">
        <v>7.5</v>
      </c>
      <c r="L3771" s="8" t="n">
        <v>0.5</v>
      </c>
      <c r="M3771" s="29" t="inlineStr">
        <is>
          <t>HALİL DİĞRENCİ</t>
        </is>
      </c>
    </row>
    <row r="3772">
      <c r="A3772" s="4" t="n">
        <v>3771</v>
      </c>
      <c r="B3772" s="4" t="inlineStr">
        <is>
          <t>01460</t>
        </is>
      </c>
      <c r="C3772" s="4" t="inlineStr">
        <is>
          <t>01460</t>
        </is>
      </c>
      <c r="D3772" s="29" t="inlineStr">
        <is>
          <t>ŞERİFE SEDA ÜZER</t>
        </is>
      </c>
      <c r="E3772" s="4" t="inlineStr">
        <is>
          <t>Cumartesi</t>
        </is>
      </c>
      <c r="F3772" s="4" t="inlineStr">
        <is>
          <t>10.10.2026</t>
        </is>
      </c>
      <c r="G3772" s="4" t="inlineStr">
        <is>
          <t>07:41</t>
        </is>
      </c>
      <c r="H3772" s="4" t="inlineStr">
        <is>
          <t>10.10.2026</t>
        </is>
      </c>
      <c r="I3772" s="4" t="inlineStr">
        <is>
          <t>19:57</t>
        </is>
      </c>
      <c r="J3772" s="8" t="n">
        <v>10.5</v>
      </c>
      <c r="K3772" s="8" t="n">
        <v>7.5</v>
      </c>
      <c r="L3772" s="8" t="n">
        <v>3</v>
      </c>
      <c r="M3772" s="29" t="inlineStr">
        <is>
          <t>HALİL DİĞRENCİ</t>
        </is>
      </c>
    </row>
    <row r="3773">
      <c r="A3773" s="4" t="n">
        <v>3772</v>
      </c>
      <c r="B3773" s="4" t="inlineStr">
        <is>
          <t>01460</t>
        </is>
      </c>
      <c r="C3773" s="4" t="inlineStr">
        <is>
          <t>01460</t>
        </is>
      </c>
      <c r="D3773" s="29" t="inlineStr">
        <is>
          <t>ŞERİFE SEDA ÜZER</t>
        </is>
      </c>
      <c r="E3773" s="4" t="inlineStr">
        <is>
          <t>Pazartesi</t>
        </is>
      </c>
      <c r="F3773" s="4" t="inlineStr">
        <is>
          <t>12.10.2026</t>
        </is>
      </c>
      <c r="G3773" s="4" t="inlineStr">
        <is>
          <t>07:45</t>
        </is>
      </c>
      <c r="H3773" s="4" t="inlineStr">
        <is>
          <t>12.10.2026</t>
        </is>
      </c>
      <c r="I3773" s="4" t="inlineStr">
        <is>
          <t>17:04</t>
        </is>
      </c>
      <c r="J3773" s="8" t="n">
        <v>7.5</v>
      </c>
      <c r="K3773" s="8" t="n">
        <v>7.5</v>
      </c>
      <c r="L3773" s="8" t="n">
        <v>0</v>
      </c>
      <c r="M3773" s="29" t="inlineStr">
        <is>
          <t>HALİL DİĞRENCİ</t>
        </is>
      </c>
    </row>
    <row r="3774">
      <c r="A3774" s="4" t="n">
        <v>3773</v>
      </c>
      <c r="B3774" s="4" t="inlineStr">
        <is>
          <t>01460</t>
        </is>
      </c>
      <c r="C3774" s="4" t="inlineStr">
        <is>
          <t>01460</t>
        </is>
      </c>
      <c r="D3774" s="29" t="inlineStr">
        <is>
          <t>ŞERİFE SEDA ÜZER</t>
        </is>
      </c>
      <c r="E3774" s="4" t="inlineStr">
        <is>
          <t>Salı</t>
        </is>
      </c>
      <c r="F3774" s="4" t="inlineStr">
        <is>
          <t>13.10.2026</t>
        </is>
      </c>
      <c r="G3774" s="4" t="inlineStr">
        <is>
          <t>07:42</t>
        </is>
      </c>
      <c r="H3774" s="4" t="inlineStr">
        <is>
          <t>13.10.2026</t>
        </is>
      </c>
      <c r="I3774" s="4" t="inlineStr">
        <is>
          <t>17:05</t>
        </is>
      </c>
      <c r="J3774" s="8" t="n">
        <v>7.5</v>
      </c>
      <c r="K3774" s="8" t="n">
        <v>7.5</v>
      </c>
      <c r="L3774" s="8" t="n">
        <v>0</v>
      </c>
      <c r="M3774" s="29" t="inlineStr">
        <is>
          <t>HALİL DİĞRENCİ</t>
        </is>
      </c>
    </row>
    <row r="3775">
      <c r="A3775" s="4" t="n">
        <v>3774</v>
      </c>
      <c r="B3775" s="4" t="inlineStr">
        <is>
          <t>01460</t>
        </is>
      </c>
      <c r="C3775" s="4" t="inlineStr">
        <is>
          <t>01460</t>
        </is>
      </c>
      <c r="D3775" s="29" t="inlineStr">
        <is>
          <t>ŞERİFE SEDA ÜZER</t>
        </is>
      </c>
      <c r="E3775" s="4" t="inlineStr">
        <is>
          <t>Çarşamba</t>
        </is>
      </c>
      <c r="F3775" s="4" t="inlineStr">
        <is>
          <t>14.10.2026</t>
        </is>
      </c>
      <c r="G3775" s="4" t="inlineStr">
        <is>
          <t>07:47</t>
        </is>
      </c>
      <c r="H3775" s="4" t="inlineStr">
        <is>
          <t>14.10.2026</t>
        </is>
      </c>
      <c r="I3775" s="4" t="inlineStr">
        <is>
          <t>18:13</t>
        </is>
      </c>
      <c r="J3775" s="8" t="n">
        <v>8.5</v>
      </c>
      <c r="K3775" s="8" t="n">
        <v>7.5</v>
      </c>
      <c r="L3775" s="8" t="n">
        <v>1</v>
      </c>
      <c r="M3775" s="29" t="inlineStr">
        <is>
          <t>HALİL DİĞRENCİ</t>
        </is>
      </c>
    </row>
    <row r="3776">
      <c r="A3776" s="4" t="n">
        <v>3775</v>
      </c>
      <c r="B3776" s="4" t="inlineStr">
        <is>
          <t>01460</t>
        </is>
      </c>
      <c r="C3776" s="4" t="inlineStr">
        <is>
          <t>01460</t>
        </is>
      </c>
      <c r="D3776" s="29" t="inlineStr">
        <is>
          <t>ŞERİFE SEDA ÜZER</t>
        </is>
      </c>
      <c r="E3776" s="4" t="inlineStr">
        <is>
          <t>Cuma</t>
        </is>
      </c>
      <c r="F3776" s="4" t="inlineStr">
        <is>
          <t>16.10.2026</t>
        </is>
      </c>
      <c r="G3776" s="4" t="inlineStr">
        <is>
          <t>07:39</t>
        </is>
      </c>
      <c r="H3776" s="4" t="inlineStr">
        <is>
          <t>16.10.2026</t>
        </is>
      </c>
      <c r="I3776" s="4" t="inlineStr">
        <is>
          <t>17:19</t>
        </is>
      </c>
      <c r="J3776" s="8" t="n">
        <v>7.5</v>
      </c>
      <c r="K3776" s="8" t="n">
        <v>7.5</v>
      </c>
      <c r="L3776" s="8" t="n">
        <v>0</v>
      </c>
      <c r="M3776" s="29" t="inlineStr">
        <is>
          <t>HALİL DİĞRENCİ</t>
        </is>
      </c>
    </row>
    <row r="3777">
      <c r="A3777" s="4" t="n">
        <v>3776</v>
      </c>
      <c r="B3777" s="4" t="inlineStr">
        <is>
          <t>01460</t>
        </is>
      </c>
      <c r="C3777" s="4" t="inlineStr">
        <is>
          <t>01460</t>
        </is>
      </c>
      <c r="D3777" s="29" t="inlineStr">
        <is>
          <t>ŞERİFE SEDA ÜZER</t>
        </is>
      </c>
      <c r="E3777" s="4" t="inlineStr">
        <is>
          <t>Cumartesi</t>
        </is>
      </c>
      <c r="F3777" s="4" t="inlineStr">
        <is>
          <t>17.10.2026</t>
        </is>
      </c>
      <c r="G3777" s="4" t="inlineStr">
        <is>
          <t>07:45</t>
        </is>
      </c>
      <c r="H3777" s="4" t="inlineStr">
        <is>
          <t>17.10.2026</t>
        </is>
      </c>
      <c r="I3777" s="4" t="inlineStr">
        <is>
          <t>17:54</t>
        </is>
      </c>
      <c r="J3777" s="8" t="n">
        <v>8.5</v>
      </c>
      <c r="K3777" s="8" t="n">
        <v>7.5</v>
      </c>
      <c r="L3777" s="8" t="n">
        <v>1</v>
      </c>
      <c r="M3777" s="29" t="inlineStr">
        <is>
          <t>HALİL DİĞRENCİ</t>
        </is>
      </c>
    </row>
    <row r="3778">
      <c r="A3778" s="4" t="n">
        <v>3777</v>
      </c>
      <c r="B3778" s="4" t="inlineStr">
        <is>
          <t>01460</t>
        </is>
      </c>
      <c r="C3778" s="4" t="inlineStr">
        <is>
          <t>01460</t>
        </is>
      </c>
      <c r="D3778" s="29" t="inlineStr">
        <is>
          <t>ŞERİFE SEDA ÜZER</t>
        </is>
      </c>
      <c r="E3778" s="4" t="inlineStr">
        <is>
          <t>Pazartesi</t>
        </is>
      </c>
      <c r="F3778" s="4" t="inlineStr">
        <is>
          <t>19.10.2026</t>
        </is>
      </c>
      <c r="G3778" s="4" t="inlineStr">
        <is>
          <t>07:38</t>
        </is>
      </c>
      <c r="H3778" s="4" t="inlineStr">
        <is>
          <t>19.10.2026</t>
        </is>
      </c>
      <c r="I3778" s="4" t="inlineStr">
        <is>
          <t>17:47</t>
        </is>
      </c>
      <c r="J3778" s="8" t="n">
        <v>8.5</v>
      </c>
      <c r="K3778" s="8" t="n">
        <v>7.5</v>
      </c>
      <c r="L3778" s="8" t="n">
        <v>1</v>
      </c>
      <c r="M3778" s="29" t="inlineStr">
        <is>
          <t>HALİL DİĞRENCİ</t>
        </is>
      </c>
    </row>
    <row r="3779">
      <c r="A3779" s="4" t="n">
        <v>3778</v>
      </c>
      <c r="B3779" s="4" t="inlineStr">
        <is>
          <t>01460</t>
        </is>
      </c>
      <c r="C3779" s="4" t="inlineStr">
        <is>
          <t>01460</t>
        </is>
      </c>
      <c r="D3779" s="29" t="inlineStr">
        <is>
          <t>ŞERİFE SEDA ÜZER</t>
        </is>
      </c>
      <c r="E3779" s="4" t="inlineStr">
        <is>
          <t>Salı</t>
        </is>
      </c>
      <c r="F3779" s="4" t="inlineStr">
        <is>
          <t>20.10.2026</t>
        </is>
      </c>
      <c r="G3779" s="4" t="inlineStr">
        <is>
          <t>07:40</t>
        </is>
      </c>
      <c r="H3779" s="4" t="inlineStr">
        <is>
          <t>20.10.2026</t>
        </is>
      </c>
      <c r="I3779" s="4" t="inlineStr">
        <is>
          <t>17:03</t>
        </is>
      </c>
      <c r="J3779" s="8" t="n">
        <v>7.5</v>
      </c>
      <c r="K3779" s="8" t="n">
        <v>7.5</v>
      </c>
      <c r="L3779" s="8" t="n">
        <v>0</v>
      </c>
      <c r="M3779" s="29" t="inlineStr">
        <is>
          <t>HALİL DİĞRENCİ</t>
        </is>
      </c>
    </row>
    <row r="3780">
      <c r="A3780" s="4" t="n">
        <v>3779</v>
      </c>
      <c r="B3780" s="4" t="inlineStr">
        <is>
          <t>01460</t>
        </is>
      </c>
      <c r="C3780" s="4" t="inlineStr">
        <is>
          <t>01460</t>
        </is>
      </c>
      <c r="D3780" s="29" t="inlineStr">
        <is>
          <t>ŞERİFE SEDA ÜZER</t>
        </is>
      </c>
      <c r="E3780" s="4" t="inlineStr">
        <is>
          <t>Çarşamba</t>
        </is>
      </c>
      <c r="F3780" s="4" t="inlineStr">
        <is>
          <t>21.10.2026</t>
        </is>
      </c>
      <c r="G3780" s="4" t="inlineStr">
        <is>
          <t>07:48</t>
        </is>
      </c>
      <c r="H3780" s="4" t="inlineStr">
        <is>
          <t>21.10.2026</t>
        </is>
      </c>
      <c r="I3780" s="4" t="inlineStr">
        <is>
          <t>17:05</t>
        </is>
      </c>
      <c r="J3780" s="8" t="n">
        <v>7.5</v>
      </c>
      <c r="K3780" s="8" t="n">
        <v>7.5</v>
      </c>
      <c r="L3780" s="8" t="n">
        <v>0</v>
      </c>
      <c r="M3780" s="29" t="inlineStr">
        <is>
          <t>HALİL DİĞRENCİ</t>
        </is>
      </c>
    </row>
    <row r="3781">
      <c r="A3781" s="4" t="n">
        <v>3780</v>
      </c>
      <c r="B3781" s="4" t="inlineStr">
        <is>
          <t>01384</t>
        </is>
      </c>
      <c r="C3781" s="4" t="inlineStr">
        <is>
          <t>01384</t>
        </is>
      </c>
      <c r="D3781" s="29" t="inlineStr">
        <is>
          <t>ŞEYMA İİPEK</t>
        </is>
      </c>
      <c r="E3781" s="4" t="inlineStr">
        <is>
          <t>Cuma</t>
        </is>
      </c>
      <c r="F3781" s="4" t="inlineStr">
        <is>
          <t>2.10.2026</t>
        </is>
      </c>
      <c r="G3781" s="4" t="inlineStr">
        <is>
          <t>07:46</t>
        </is>
      </c>
      <c r="H3781" s="4" t="inlineStr">
        <is>
          <t>2.10.2026</t>
        </is>
      </c>
      <c r="I3781" s="4" t="inlineStr">
        <is>
          <t>17:53</t>
        </is>
      </c>
      <c r="J3781" s="8" t="n">
        <v>8.5</v>
      </c>
      <c r="K3781" s="8" t="n">
        <v>7.5</v>
      </c>
      <c r="L3781" s="8" t="n">
        <v>1</v>
      </c>
      <c r="M3781" s="29" t="inlineStr">
        <is>
          <t>HALİL DİĞRENCİ</t>
        </is>
      </c>
    </row>
    <row r="3782">
      <c r="A3782" s="4" t="n">
        <v>3781</v>
      </c>
      <c r="B3782" s="4" t="inlineStr">
        <is>
          <t>01384</t>
        </is>
      </c>
      <c r="C3782" s="4" t="inlineStr">
        <is>
          <t>01384</t>
        </is>
      </c>
      <c r="D3782" s="29" t="inlineStr">
        <is>
          <t>ŞEYMA İİPEK</t>
        </is>
      </c>
      <c r="E3782" s="4" t="inlineStr">
        <is>
          <t>Cumartesi</t>
        </is>
      </c>
      <c r="F3782" s="4" t="inlineStr">
        <is>
          <t>3.10.2026</t>
        </is>
      </c>
      <c r="G3782" s="4" t="inlineStr">
        <is>
          <t>07:48</t>
        </is>
      </c>
      <c r="H3782" s="4" t="inlineStr">
        <is>
          <t>3.10.2026</t>
        </is>
      </c>
      <c r="I3782" s="4" t="inlineStr">
        <is>
          <t>17:36</t>
        </is>
      </c>
      <c r="J3782" s="8" t="n">
        <v>8</v>
      </c>
      <c r="K3782" s="8" t="n">
        <v>7.5</v>
      </c>
      <c r="L3782" s="8" t="n">
        <v>0.5</v>
      </c>
      <c r="M3782" s="29" t="inlineStr">
        <is>
          <t>HALİL DİĞRENCİ</t>
        </is>
      </c>
    </row>
    <row r="3783">
      <c r="A3783" s="4" t="n">
        <v>3782</v>
      </c>
      <c r="B3783" s="4" t="inlineStr">
        <is>
          <t>01384</t>
        </is>
      </c>
      <c r="C3783" s="4" t="inlineStr">
        <is>
          <t>01384</t>
        </is>
      </c>
      <c r="D3783" s="29" t="inlineStr">
        <is>
          <t>ŞEYMA İİPEK</t>
        </is>
      </c>
      <c r="E3783" s="4" t="inlineStr">
        <is>
          <t>Salı</t>
        </is>
      </c>
      <c r="F3783" s="4" t="inlineStr">
        <is>
          <t>6.10.2026</t>
        </is>
      </c>
      <c r="G3783" s="4" t="inlineStr">
        <is>
          <t>07:34</t>
        </is>
      </c>
      <c r="H3783" s="4" t="inlineStr">
        <is>
          <t>6.10.2026</t>
        </is>
      </c>
      <c r="I3783" s="4" t="inlineStr">
        <is>
          <t>17:46</t>
        </is>
      </c>
      <c r="J3783" s="8" t="n">
        <v>8.5</v>
      </c>
      <c r="K3783" s="8" t="n">
        <v>7.5</v>
      </c>
      <c r="L3783" s="8" t="n">
        <v>1</v>
      </c>
      <c r="M3783" s="29" t="inlineStr">
        <is>
          <t>HALİL DİĞRENCİ</t>
        </is>
      </c>
    </row>
    <row r="3784">
      <c r="A3784" s="4" t="n">
        <v>3783</v>
      </c>
      <c r="B3784" s="4" t="inlineStr">
        <is>
          <t>01384</t>
        </is>
      </c>
      <c r="C3784" s="4" t="inlineStr">
        <is>
          <t>01384</t>
        </is>
      </c>
      <c r="D3784" s="29" t="inlineStr">
        <is>
          <t>ŞEYMA İİPEK</t>
        </is>
      </c>
      <c r="E3784" s="4" t="inlineStr">
        <is>
          <t>Çarşamba</t>
        </is>
      </c>
      <c r="F3784" s="4" t="inlineStr">
        <is>
          <t>7.10.2026</t>
        </is>
      </c>
      <c r="G3784" s="4" t="inlineStr">
        <is>
          <t>07:50</t>
        </is>
      </c>
      <c r="H3784" s="4" t="inlineStr">
        <is>
          <t>7.10.2026</t>
        </is>
      </c>
      <c r="I3784" s="4" t="inlineStr">
        <is>
          <t>17:20</t>
        </is>
      </c>
      <c r="J3784" s="8" t="n">
        <v>7.5</v>
      </c>
      <c r="K3784" s="8" t="n">
        <v>7.5</v>
      </c>
      <c r="L3784" s="8" t="n">
        <v>0</v>
      </c>
      <c r="M3784" s="29" t="inlineStr">
        <is>
          <t>HALİL DİĞRENCİ</t>
        </is>
      </c>
    </row>
    <row r="3785">
      <c r="A3785" s="4" t="n">
        <v>3784</v>
      </c>
      <c r="B3785" s="4" t="inlineStr">
        <is>
          <t>01384</t>
        </is>
      </c>
      <c r="C3785" s="4" t="inlineStr">
        <is>
          <t>01384</t>
        </is>
      </c>
      <c r="D3785" s="29" t="inlineStr">
        <is>
          <t>ŞEYMA İİPEK</t>
        </is>
      </c>
      <c r="E3785" s="4" t="inlineStr">
        <is>
          <t>Perşembe</t>
        </is>
      </c>
      <c r="F3785" s="4" t="inlineStr">
        <is>
          <t>8.10.2026</t>
        </is>
      </c>
      <c r="G3785" s="4" t="inlineStr">
        <is>
          <t>07:59</t>
        </is>
      </c>
      <c r="H3785" s="4" t="inlineStr">
        <is>
          <t>8.10.2026</t>
        </is>
      </c>
      <c r="I3785" s="4" t="inlineStr">
        <is>
          <t>17:22</t>
        </is>
      </c>
      <c r="J3785" s="8" t="n">
        <v>8</v>
      </c>
      <c r="K3785" s="8" t="n">
        <v>7.5</v>
      </c>
      <c r="L3785" s="8" t="n">
        <v>0.5</v>
      </c>
      <c r="M3785" s="29" t="inlineStr">
        <is>
          <t>HALİL DİĞRENCİ</t>
        </is>
      </c>
    </row>
    <row r="3786">
      <c r="A3786" s="4" t="n">
        <v>3785</v>
      </c>
      <c r="B3786" s="4" t="inlineStr">
        <is>
          <t>01384</t>
        </is>
      </c>
      <c r="C3786" s="4" t="inlineStr">
        <is>
          <t>01384</t>
        </is>
      </c>
      <c r="D3786" s="29" t="inlineStr">
        <is>
          <t>ŞEYMA İİPEK</t>
        </is>
      </c>
      <c r="E3786" s="4" t="inlineStr">
        <is>
          <t>Cuma</t>
        </is>
      </c>
      <c r="F3786" s="4" t="inlineStr">
        <is>
          <t>9.10.2026</t>
        </is>
      </c>
      <c r="G3786" s="4" t="inlineStr">
        <is>
          <t>07:30</t>
        </is>
      </c>
      <c r="H3786" s="4" t="inlineStr">
        <is>
          <t>9.10.2026</t>
        </is>
      </c>
      <c r="I3786" s="4" t="inlineStr">
        <is>
          <t>17:24</t>
        </is>
      </c>
      <c r="J3786" s="8" t="n">
        <v>8</v>
      </c>
      <c r="K3786" s="8" t="n">
        <v>7.5</v>
      </c>
      <c r="L3786" s="8" t="n">
        <v>0.5</v>
      </c>
      <c r="M3786" s="29" t="inlineStr">
        <is>
          <t>HALİL DİĞRENCİ</t>
        </is>
      </c>
    </row>
    <row r="3787">
      <c r="A3787" s="4" t="n">
        <v>3786</v>
      </c>
      <c r="B3787" s="4" t="inlineStr">
        <is>
          <t>01384</t>
        </is>
      </c>
      <c r="C3787" s="4" t="inlineStr">
        <is>
          <t>01384</t>
        </is>
      </c>
      <c r="D3787" s="29" t="inlineStr">
        <is>
          <t>ŞEYMA İİPEK</t>
        </is>
      </c>
      <c r="E3787" s="4" t="inlineStr">
        <is>
          <t>Cumartesi</t>
        </is>
      </c>
      <c r="F3787" s="4" t="inlineStr">
        <is>
          <t>10.10.2026</t>
        </is>
      </c>
      <c r="G3787" s="4" t="inlineStr">
        <is>
          <t>07:39</t>
        </is>
      </c>
      <c r="H3787" s="4" t="inlineStr">
        <is>
          <t>10.10.2026</t>
        </is>
      </c>
      <c r="I3787" s="4" t="inlineStr">
        <is>
          <t>18:08</t>
        </is>
      </c>
      <c r="J3787" s="8" t="n">
        <v>8.5</v>
      </c>
      <c r="K3787" s="8" t="n">
        <v>7.5</v>
      </c>
      <c r="L3787" s="8" t="n">
        <v>1</v>
      </c>
      <c r="M3787" s="29" t="inlineStr">
        <is>
          <t>HALİL DİĞRENCİ</t>
        </is>
      </c>
    </row>
    <row r="3788">
      <c r="A3788" s="4" t="n">
        <v>3787</v>
      </c>
      <c r="B3788" s="4" t="inlineStr">
        <is>
          <t>01384</t>
        </is>
      </c>
      <c r="C3788" s="4" t="inlineStr">
        <is>
          <t>01384</t>
        </is>
      </c>
      <c r="D3788" s="29" t="inlineStr">
        <is>
          <t>ŞEYMA İİPEK</t>
        </is>
      </c>
      <c r="E3788" s="4" t="inlineStr">
        <is>
          <t>Pazartesi</t>
        </is>
      </c>
      <c r="F3788" s="4" t="inlineStr">
        <is>
          <t>12.10.2026</t>
        </is>
      </c>
      <c r="G3788" s="4" t="inlineStr">
        <is>
          <t>07:41</t>
        </is>
      </c>
      <c r="H3788" s="4" t="inlineStr">
        <is>
          <t>12.10.2026</t>
        </is>
      </c>
      <c r="I3788" s="4" t="inlineStr">
        <is>
          <t>17:04</t>
        </is>
      </c>
      <c r="J3788" s="8" t="n">
        <v>7.5</v>
      </c>
      <c r="K3788" s="8" t="n">
        <v>7.5</v>
      </c>
      <c r="L3788" s="8" t="n">
        <v>0</v>
      </c>
      <c r="M3788" s="29" t="inlineStr">
        <is>
          <t>HALİL DİĞRENCİ</t>
        </is>
      </c>
    </row>
    <row r="3789">
      <c r="A3789" s="4" t="n">
        <v>3788</v>
      </c>
      <c r="B3789" s="4" t="inlineStr">
        <is>
          <t>01384</t>
        </is>
      </c>
      <c r="C3789" s="4" t="inlineStr">
        <is>
          <t>01384</t>
        </is>
      </c>
      <c r="D3789" s="29" t="inlineStr">
        <is>
          <t>ŞEYMA İİPEK</t>
        </is>
      </c>
      <c r="E3789" s="4" t="inlineStr">
        <is>
          <t>Salı</t>
        </is>
      </c>
      <c r="F3789" s="4" t="inlineStr">
        <is>
          <t>13.10.2026</t>
        </is>
      </c>
      <c r="G3789" s="4" t="inlineStr">
        <is>
          <t>07:35</t>
        </is>
      </c>
      <c r="H3789" s="4" t="inlineStr">
        <is>
          <t>13.10.2026</t>
        </is>
      </c>
      <c r="I3789" s="4" t="inlineStr">
        <is>
          <t>17:07</t>
        </is>
      </c>
      <c r="J3789" s="8" t="n">
        <v>7.5</v>
      </c>
      <c r="K3789" s="8" t="n">
        <v>7.5</v>
      </c>
      <c r="L3789" s="8" t="n">
        <v>0</v>
      </c>
      <c r="M3789" s="29" t="inlineStr">
        <is>
          <t>HALİL DİĞRENCİ</t>
        </is>
      </c>
    </row>
    <row r="3790">
      <c r="A3790" s="4" t="n">
        <v>3789</v>
      </c>
      <c r="B3790" s="4" t="inlineStr">
        <is>
          <t>01384</t>
        </is>
      </c>
      <c r="C3790" s="4" t="inlineStr">
        <is>
          <t>01384</t>
        </is>
      </c>
      <c r="D3790" s="29" t="inlineStr">
        <is>
          <t>ŞEYMA İİPEK</t>
        </is>
      </c>
      <c r="E3790" s="4" t="inlineStr">
        <is>
          <t>Çarşamba</t>
        </is>
      </c>
      <c r="F3790" s="4" t="inlineStr">
        <is>
          <t>14.10.2026</t>
        </is>
      </c>
      <c r="G3790" s="4" t="inlineStr">
        <is>
          <t>07:40</t>
        </is>
      </c>
      <c r="H3790" s="4" t="inlineStr">
        <is>
          <t>14.10.2026</t>
        </is>
      </c>
      <c r="I3790" s="4" t="inlineStr">
        <is>
          <t>20:06</t>
        </is>
      </c>
      <c r="J3790" s="8" t="n">
        <v>10.5</v>
      </c>
      <c r="K3790" s="8" t="n">
        <v>7.5</v>
      </c>
      <c r="L3790" s="8" t="n">
        <v>3</v>
      </c>
      <c r="M3790" s="29" t="inlineStr">
        <is>
          <t>HALİL DİĞRENCİ</t>
        </is>
      </c>
    </row>
    <row r="3791">
      <c r="A3791" s="4" t="n">
        <v>3790</v>
      </c>
      <c r="B3791" s="4" t="inlineStr">
        <is>
          <t>01384</t>
        </is>
      </c>
      <c r="C3791" s="4" t="inlineStr">
        <is>
          <t>01384</t>
        </is>
      </c>
      <c r="D3791" s="29" t="inlineStr">
        <is>
          <t>ŞEYMA İİPEK</t>
        </is>
      </c>
      <c r="E3791" s="4" t="inlineStr">
        <is>
          <t>Perşembe</t>
        </is>
      </c>
      <c r="F3791" s="4" t="inlineStr">
        <is>
          <t>15.10.2026</t>
        </is>
      </c>
      <c r="G3791" s="4" t="inlineStr">
        <is>
          <t>07:36</t>
        </is>
      </c>
      <c r="H3791" s="4" t="inlineStr">
        <is>
          <t>15.10.2026</t>
        </is>
      </c>
      <c r="I3791" s="4" t="inlineStr">
        <is>
          <t>17:09</t>
        </is>
      </c>
      <c r="J3791" s="8" t="n">
        <v>7.5</v>
      </c>
      <c r="K3791" s="8" t="n">
        <v>7.5</v>
      </c>
      <c r="L3791" s="8" t="n">
        <v>0</v>
      </c>
      <c r="M3791" s="29" t="inlineStr">
        <is>
          <t>HALİL DİĞRENCİ</t>
        </is>
      </c>
    </row>
    <row r="3792">
      <c r="A3792" s="4" t="n">
        <v>3791</v>
      </c>
      <c r="B3792" s="4" t="inlineStr">
        <is>
          <t>01384</t>
        </is>
      </c>
      <c r="C3792" s="4" t="inlineStr">
        <is>
          <t>01384</t>
        </is>
      </c>
      <c r="D3792" s="29" t="inlineStr">
        <is>
          <t>ŞEYMA İİPEK</t>
        </is>
      </c>
      <c r="E3792" s="4" t="inlineStr">
        <is>
          <t>Cuma</t>
        </is>
      </c>
      <c r="F3792" s="4" t="inlineStr">
        <is>
          <t>16.10.2026</t>
        </is>
      </c>
      <c r="G3792" s="4" t="inlineStr">
        <is>
          <t>07:54</t>
        </is>
      </c>
      <c r="H3792" s="4" t="inlineStr">
        <is>
          <t>16.10.2026</t>
        </is>
      </c>
      <c r="I3792" s="4" t="inlineStr">
        <is>
          <t>17:12</t>
        </is>
      </c>
      <c r="J3792" s="8" t="n">
        <v>7.5</v>
      </c>
      <c r="K3792" s="8" t="n">
        <v>7.5</v>
      </c>
      <c r="L3792" s="8" t="n">
        <v>0</v>
      </c>
      <c r="M3792" s="29" t="inlineStr">
        <is>
          <t>HALİL DİĞRENCİ</t>
        </is>
      </c>
    </row>
    <row r="3793">
      <c r="A3793" s="4" t="n">
        <v>3792</v>
      </c>
      <c r="B3793" s="4" t="inlineStr">
        <is>
          <t>01384</t>
        </is>
      </c>
      <c r="C3793" s="4" t="inlineStr">
        <is>
          <t>01384</t>
        </is>
      </c>
      <c r="D3793" s="29" t="inlineStr">
        <is>
          <t>ŞEYMA İİPEK</t>
        </is>
      </c>
      <c r="E3793" s="4" t="inlineStr">
        <is>
          <t>Cumartesi</t>
        </is>
      </c>
      <c r="F3793" s="4" t="inlineStr">
        <is>
          <t>17.10.2026</t>
        </is>
      </c>
      <c r="G3793" s="4" t="inlineStr">
        <is>
          <t>07:58</t>
        </is>
      </c>
      <c r="H3793" s="4" t="inlineStr">
        <is>
          <t>17.10.2026</t>
        </is>
      </c>
      <c r="I3793" s="4" t="inlineStr">
        <is>
          <t>17:52</t>
        </is>
      </c>
      <c r="J3793" s="8" t="n">
        <v>8.5</v>
      </c>
      <c r="K3793" s="8" t="n">
        <v>7.5</v>
      </c>
      <c r="L3793" s="8" t="n">
        <v>1</v>
      </c>
      <c r="M3793" s="29" t="inlineStr">
        <is>
          <t>HALİL DİĞRENCİ</t>
        </is>
      </c>
    </row>
    <row r="3794">
      <c r="A3794" s="4" t="n">
        <v>3793</v>
      </c>
      <c r="B3794" s="4" t="inlineStr">
        <is>
          <t>01384</t>
        </is>
      </c>
      <c r="C3794" s="4" t="inlineStr">
        <is>
          <t>01384</t>
        </is>
      </c>
      <c r="D3794" s="29" t="inlineStr">
        <is>
          <t>ŞEYMA İİPEK</t>
        </is>
      </c>
      <c r="E3794" s="4" t="inlineStr">
        <is>
          <t>Pazartesi</t>
        </is>
      </c>
      <c r="F3794" s="4" t="inlineStr">
        <is>
          <t>19.10.2026</t>
        </is>
      </c>
      <c r="G3794" s="4" t="inlineStr">
        <is>
          <t>07:36</t>
        </is>
      </c>
      <c r="H3794" s="4" t="inlineStr">
        <is>
          <t>19.10.2026</t>
        </is>
      </c>
      <c r="I3794" s="4" t="inlineStr">
        <is>
          <t>17:16</t>
        </is>
      </c>
      <c r="J3794" s="8" t="n">
        <v>7.5</v>
      </c>
      <c r="K3794" s="8" t="n">
        <v>7.5</v>
      </c>
      <c r="L3794" s="8" t="n">
        <v>0</v>
      </c>
      <c r="M3794" s="29" t="inlineStr">
        <is>
          <t>HALİL DİĞRENCİ</t>
        </is>
      </c>
    </row>
    <row r="3795">
      <c r="A3795" s="4" t="n">
        <v>3794</v>
      </c>
      <c r="B3795" s="4" t="inlineStr">
        <is>
          <t>01384</t>
        </is>
      </c>
      <c r="C3795" s="4" t="inlineStr">
        <is>
          <t>01384</t>
        </is>
      </c>
      <c r="D3795" s="29" t="inlineStr">
        <is>
          <t>ŞEYMA İİPEK</t>
        </is>
      </c>
      <c r="E3795" s="4" t="inlineStr">
        <is>
          <t>Salı</t>
        </is>
      </c>
      <c r="F3795" s="4" t="inlineStr">
        <is>
          <t>20.10.2026</t>
        </is>
      </c>
      <c r="G3795" s="4" t="inlineStr">
        <is>
          <t>07:57</t>
        </is>
      </c>
      <c r="H3795" s="4" t="inlineStr">
        <is>
          <t>20.10.2026</t>
        </is>
      </c>
      <c r="I3795" s="4" t="inlineStr">
        <is>
          <t>17:13</t>
        </is>
      </c>
      <c r="J3795" s="8" t="n">
        <v>7.5</v>
      </c>
      <c r="K3795" s="8" t="n">
        <v>7.5</v>
      </c>
      <c r="L3795" s="8" t="n">
        <v>0</v>
      </c>
      <c r="M3795" s="29" t="inlineStr">
        <is>
          <t>HALİL DİĞRENCİ</t>
        </is>
      </c>
    </row>
    <row r="3796">
      <c r="A3796" s="4" t="n">
        <v>3795</v>
      </c>
      <c r="B3796" s="4" t="inlineStr">
        <is>
          <t>01384</t>
        </is>
      </c>
      <c r="C3796" s="4" t="inlineStr">
        <is>
          <t>01384</t>
        </is>
      </c>
      <c r="D3796" s="29" t="inlineStr">
        <is>
          <t>ŞEYMA İİPEK</t>
        </is>
      </c>
      <c r="E3796" s="4" t="inlineStr">
        <is>
          <t>Çarşamba</t>
        </is>
      </c>
      <c r="F3796" s="4" t="inlineStr">
        <is>
          <t>21.10.2026</t>
        </is>
      </c>
      <c r="G3796" s="4" t="inlineStr">
        <is>
          <t>07:43</t>
        </is>
      </c>
      <c r="H3796" s="4" t="inlineStr">
        <is>
          <t>21.10.2026</t>
        </is>
      </c>
      <c r="I3796" s="4" t="inlineStr">
        <is>
          <t>17:02</t>
        </is>
      </c>
      <c r="J3796" s="8" t="n">
        <v>7.5</v>
      </c>
      <c r="K3796" s="8" t="n">
        <v>7.5</v>
      </c>
      <c r="L3796" s="8" t="n">
        <v>0</v>
      </c>
      <c r="M3796" s="29" t="inlineStr">
        <is>
          <t>HALİL DİĞRENCİ</t>
        </is>
      </c>
    </row>
    <row r="3797">
      <c r="A3797" s="4" t="n">
        <v>3796</v>
      </c>
      <c r="B3797" s="4" t="inlineStr">
        <is>
          <t>01533</t>
        </is>
      </c>
      <c r="C3797" s="4" t="inlineStr">
        <is>
          <t>01533</t>
        </is>
      </c>
      <c r="D3797" s="29" t="inlineStr">
        <is>
          <t>ŞİLAN AY</t>
        </is>
      </c>
      <c r="E3797" s="4" t="inlineStr">
        <is>
          <t>Perşembe</t>
        </is>
      </c>
      <c r="F3797" s="4" t="inlineStr">
        <is>
          <t>8.10.2026</t>
        </is>
      </c>
      <c r="G3797" s="4" t="inlineStr">
        <is>
          <t>08:05</t>
        </is>
      </c>
      <c r="H3797" s="4" t="inlineStr">
        <is>
          <t>8.10.2026</t>
        </is>
      </c>
      <c r="I3797" s="4" t="inlineStr">
        <is>
          <t>17:07</t>
        </is>
      </c>
      <c r="J3797" s="8" t="n">
        <v>7.5</v>
      </c>
      <c r="K3797" s="8" t="n">
        <v>7.5</v>
      </c>
      <c r="L3797" s="8" t="n">
        <v>0</v>
      </c>
      <c r="M3797" s="29" t="inlineStr">
        <is>
          <t>HALİL DİĞRENCİ</t>
        </is>
      </c>
    </row>
    <row r="3798">
      <c r="A3798" s="4" t="n">
        <v>3797</v>
      </c>
      <c r="B3798" s="4" t="inlineStr">
        <is>
          <t>01552</t>
        </is>
      </c>
      <c r="C3798" s="4" t="inlineStr">
        <is>
          <t>01552</t>
        </is>
      </c>
      <c r="D3798" s="29" t="inlineStr">
        <is>
          <t>ŞÜKRÜ YAVUZ</t>
        </is>
      </c>
      <c r="E3798" s="4" t="inlineStr">
        <is>
          <t>Salı</t>
        </is>
      </c>
      <c r="F3798" s="4" t="inlineStr">
        <is>
          <t>13.10.2026</t>
        </is>
      </c>
      <c r="G3798" s="4" t="inlineStr">
        <is>
          <t>-</t>
        </is>
      </c>
      <c r="H3798" s="4" t="inlineStr">
        <is>
          <t>13.10.2026</t>
        </is>
      </c>
      <c r="I3798" s="4" t="inlineStr">
        <is>
          <t>17:07</t>
        </is>
      </c>
      <c r="J3798" s="8" t="n">
        <v>7.5</v>
      </c>
      <c r="K3798" s="8" t="n">
        <v>7.5</v>
      </c>
      <c r="L3798" s="8" t="n">
        <v>0</v>
      </c>
      <c r="M3798" s="29" t="inlineStr">
        <is>
          <t>BİGADİÇ</t>
        </is>
      </c>
    </row>
    <row r="3799">
      <c r="A3799" s="4" t="n">
        <v>3798</v>
      </c>
      <c r="B3799" s="4" t="inlineStr">
        <is>
          <t>01552</t>
        </is>
      </c>
      <c r="C3799" s="4" t="inlineStr">
        <is>
          <t>01552</t>
        </is>
      </c>
      <c r="D3799" s="29" t="inlineStr">
        <is>
          <t>ŞÜKRÜ YAVUZ</t>
        </is>
      </c>
      <c r="E3799" s="4" t="inlineStr">
        <is>
          <t>Çarşamba</t>
        </is>
      </c>
      <c r="F3799" s="4" t="inlineStr">
        <is>
          <t>14.10.2026</t>
        </is>
      </c>
      <c r="G3799" s="4" t="inlineStr">
        <is>
          <t>08:01</t>
        </is>
      </c>
      <c r="H3799" s="4" t="inlineStr">
        <is>
          <t>14.10.2026</t>
        </is>
      </c>
      <c r="I3799" s="4" t="inlineStr">
        <is>
          <t>17:29</t>
        </is>
      </c>
      <c r="J3799" s="8" t="n">
        <v>8</v>
      </c>
      <c r="K3799" s="8" t="n">
        <v>7.5</v>
      </c>
      <c r="L3799" s="8" t="n">
        <v>0.5</v>
      </c>
      <c r="M3799" s="29" t="inlineStr">
        <is>
          <t>BİGADİÇ</t>
        </is>
      </c>
    </row>
    <row r="3800">
      <c r="A3800" s="4" t="n">
        <v>3799</v>
      </c>
      <c r="B3800" s="4" t="inlineStr">
        <is>
          <t>01552</t>
        </is>
      </c>
      <c r="C3800" s="4" t="inlineStr">
        <is>
          <t>01552</t>
        </is>
      </c>
      <c r="D3800" s="29" t="inlineStr">
        <is>
          <t>ŞÜKRÜ YAVUZ</t>
        </is>
      </c>
      <c r="E3800" s="4" t="inlineStr">
        <is>
          <t>Perşembe</t>
        </is>
      </c>
      <c r="F3800" s="4" t="inlineStr">
        <is>
          <t>15.10.2026</t>
        </is>
      </c>
      <c r="G3800" s="4" t="inlineStr">
        <is>
          <t>07:44</t>
        </is>
      </c>
      <c r="H3800" s="4" t="inlineStr">
        <is>
          <t>15.10.2026</t>
        </is>
      </c>
      <c r="I3800" s="4" t="inlineStr">
        <is>
          <t>17:18</t>
        </is>
      </c>
      <c r="J3800" s="8" t="n">
        <v>7.5</v>
      </c>
      <c r="K3800" s="8" t="n">
        <v>7.5</v>
      </c>
      <c r="L3800" s="8" t="n">
        <v>0</v>
      </c>
      <c r="M3800" s="29" t="inlineStr">
        <is>
          <t>BİGADİÇ</t>
        </is>
      </c>
    </row>
    <row r="3801">
      <c r="A3801" s="4" t="n">
        <v>3800</v>
      </c>
      <c r="B3801" s="4" t="inlineStr">
        <is>
          <t>01552</t>
        </is>
      </c>
      <c r="C3801" s="4" t="inlineStr">
        <is>
          <t>01552</t>
        </is>
      </c>
      <c r="D3801" s="29" t="inlineStr">
        <is>
          <t>ŞÜKRÜ YAVUZ</t>
        </is>
      </c>
      <c r="E3801" s="4" t="inlineStr">
        <is>
          <t>Cumartesi</t>
        </is>
      </c>
      <c r="F3801" s="4" t="inlineStr">
        <is>
          <t>17.10.2026</t>
        </is>
      </c>
      <c r="G3801" s="4" t="inlineStr">
        <is>
          <t>08:02</t>
        </is>
      </c>
      <c r="H3801" s="4" t="inlineStr">
        <is>
          <t>17.10.2026</t>
        </is>
      </c>
      <c r="I3801" s="4" t="inlineStr">
        <is>
          <t>17:52</t>
        </is>
      </c>
      <c r="J3801" s="8" t="n">
        <v>8.5</v>
      </c>
      <c r="K3801" s="8" t="n">
        <v>7.5</v>
      </c>
      <c r="L3801" s="8" t="n">
        <v>1</v>
      </c>
      <c r="M3801" s="29" t="inlineStr">
        <is>
          <t>BİGADİÇ</t>
        </is>
      </c>
    </row>
    <row r="3802">
      <c r="A3802" s="4" t="n">
        <v>3801</v>
      </c>
      <c r="B3802" s="4" t="inlineStr">
        <is>
          <t>01552</t>
        </is>
      </c>
      <c r="C3802" s="4" t="inlineStr">
        <is>
          <t>01552</t>
        </is>
      </c>
      <c r="D3802" s="29" t="inlineStr">
        <is>
          <t>ŞÜKRÜ YAVUZ</t>
        </is>
      </c>
      <c r="E3802" s="4" t="inlineStr">
        <is>
          <t>Pazar</t>
        </is>
      </c>
      <c r="F3802" s="4" t="inlineStr">
        <is>
          <t>18.10.2026</t>
        </is>
      </c>
      <c r="G3802" s="4" t="inlineStr">
        <is>
          <t>08:04</t>
        </is>
      </c>
      <c r="H3802" s="4" t="inlineStr">
        <is>
          <t>18.10.2026</t>
        </is>
      </c>
      <c r="I3802" s="4" t="inlineStr">
        <is>
          <t>17:07</t>
        </is>
      </c>
      <c r="J3802" s="8" t="n">
        <v>7.5</v>
      </c>
      <c r="K3802" s="8" t="n">
        <v>7.5</v>
      </c>
      <c r="L3802" s="8" t="n">
        <v>0</v>
      </c>
      <c r="M3802" s="29" t="inlineStr">
        <is>
          <t>BİGADİÇ</t>
        </is>
      </c>
    </row>
    <row r="3803">
      <c r="A3803" s="4" t="n">
        <v>3802</v>
      </c>
      <c r="B3803" s="4" t="inlineStr">
        <is>
          <t>01552</t>
        </is>
      </c>
      <c r="C3803" s="4" t="inlineStr">
        <is>
          <t>01552</t>
        </is>
      </c>
      <c r="D3803" s="29" t="inlineStr">
        <is>
          <t>ŞÜKRÜ YAVUZ</t>
        </is>
      </c>
      <c r="E3803" s="4" t="inlineStr">
        <is>
          <t>Pazartesi</t>
        </is>
      </c>
      <c r="F3803" s="4" t="inlineStr">
        <is>
          <t>19.10.2026</t>
        </is>
      </c>
      <c r="G3803" s="4" t="inlineStr">
        <is>
          <t>07:48</t>
        </is>
      </c>
      <c r="H3803" s="4" t="inlineStr">
        <is>
          <t>19.10.2026</t>
        </is>
      </c>
      <c r="I3803" s="4" t="inlineStr">
        <is>
          <t>17:07</t>
        </is>
      </c>
      <c r="J3803" s="8" t="n">
        <v>7.5</v>
      </c>
      <c r="K3803" s="8" t="n">
        <v>7.5</v>
      </c>
      <c r="L3803" s="8" t="n">
        <v>0</v>
      </c>
      <c r="M3803" s="29" t="inlineStr">
        <is>
          <t>BİGADİÇ</t>
        </is>
      </c>
    </row>
    <row r="3804">
      <c r="A3804" s="4" t="n">
        <v>3803</v>
      </c>
      <c r="B3804" s="4" t="inlineStr">
        <is>
          <t>01552</t>
        </is>
      </c>
      <c r="C3804" s="4" t="inlineStr">
        <is>
          <t>01552</t>
        </is>
      </c>
      <c r="D3804" s="29" t="inlineStr">
        <is>
          <t>ŞÜKRÜ YAVUZ</t>
        </is>
      </c>
      <c r="E3804" s="4" t="inlineStr">
        <is>
          <t>Salı</t>
        </is>
      </c>
      <c r="F3804" s="4" t="inlineStr">
        <is>
          <t>20.10.2026</t>
        </is>
      </c>
      <c r="G3804" s="4" t="inlineStr">
        <is>
          <t>07:49</t>
        </is>
      </c>
      <c r="H3804" s="4" t="inlineStr">
        <is>
          <t>20.10.2026</t>
        </is>
      </c>
      <c r="I3804" s="4" t="inlineStr">
        <is>
          <t>17:08</t>
        </is>
      </c>
      <c r="J3804" s="8" t="n">
        <v>7.5</v>
      </c>
      <c r="K3804" s="8" t="n">
        <v>7.5</v>
      </c>
      <c r="L3804" s="8" t="n">
        <v>0</v>
      </c>
      <c r="M3804" s="29" t="inlineStr">
        <is>
          <t>BİGADİÇ</t>
        </is>
      </c>
    </row>
    <row r="3805">
      <c r="A3805" s="4" t="n">
        <v>3804</v>
      </c>
      <c r="B3805" s="4" t="inlineStr">
        <is>
          <t>01552</t>
        </is>
      </c>
      <c r="C3805" s="4" t="inlineStr">
        <is>
          <t>01552</t>
        </is>
      </c>
      <c r="D3805" s="29" t="inlineStr">
        <is>
          <t>ŞÜKRÜ YAVUZ</t>
        </is>
      </c>
      <c r="E3805" s="4" t="inlineStr">
        <is>
          <t>Çarşamba</t>
        </is>
      </c>
      <c r="F3805" s="4" t="inlineStr">
        <is>
          <t>21.10.2026</t>
        </is>
      </c>
      <c r="G3805" s="4" t="inlineStr">
        <is>
          <t>07:51</t>
        </is>
      </c>
      <c r="H3805" s="4" t="inlineStr">
        <is>
          <t>21.10.2026</t>
        </is>
      </c>
      <c r="I3805" s="4" t="inlineStr">
        <is>
          <t>17:10</t>
        </is>
      </c>
      <c r="J3805" s="8" t="n">
        <v>7.5</v>
      </c>
      <c r="K3805" s="8" t="n">
        <v>7.5</v>
      </c>
      <c r="L3805" s="8" t="n">
        <v>0</v>
      </c>
      <c r="M3805" s="29" t="inlineStr">
        <is>
          <t>BİGADİÇ</t>
        </is>
      </c>
    </row>
    <row r="3806">
      <c r="A3806" s="4" t="n">
        <v>3805</v>
      </c>
      <c r="B3806" s="4" t="inlineStr">
        <is>
          <t>01038</t>
        </is>
      </c>
      <c r="C3806" s="4" t="inlineStr">
        <is>
          <t>01038</t>
        </is>
      </c>
      <c r="D3806" s="29" t="inlineStr">
        <is>
          <t>TALHA YAVAŞ</t>
        </is>
      </c>
      <c r="E3806" s="4" t="inlineStr">
        <is>
          <t>Perşembe</t>
        </is>
      </c>
      <c r="F3806" s="4" t="inlineStr">
        <is>
          <t>1.10.2026</t>
        </is>
      </c>
      <c r="G3806" s="4" t="inlineStr">
        <is>
          <t>23:44</t>
        </is>
      </c>
      <c r="H3806" s="4" t="inlineStr">
        <is>
          <t>1.10.2026</t>
        </is>
      </c>
      <c r="I3806" s="4" t="inlineStr">
        <is>
          <t>08:13</t>
        </is>
      </c>
      <c r="J3806" s="8" t="n">
        <v>7.5</v>
      </c>
      <c r="K3806" s="8" t="n">
        <v>7.5</v>
      </c>
      <c r="L3806" s="8" t="n">
        <v>0</v>
      </c>
      <c r="M3806" s="29" t="inlineStr">
        <is>
          <t>BANDIRMA</t>
        </is>
      </c>
    </row>
    <row r="3807">
      <c r="A3807" s="4" t="n">
        <v>3806</v>
      </c>
      <c r="B3807" s="4" t="inlineStr">
        <is>
          <t>01038</t>
        </is>
      </c>
      <c r="C3807" s="4" t="inlineStr">
        <is>
          <t>01038</t>
        </is>
      </c>
      <c r="D3807" s="29" t="inlineStr">
        <is>
          <t>TALHA YAVAŞ</t>
        </is>
      </c>
      <c r="E3807" s="4" t="inlineStr">
        <is>
          <t>Cuma</t>
        </is>
      </c>
      <c r="F3807" s="4" t="inlineStr">
        <is>
          <t>2.10.2026</t>
        </is>
      </c>
      <c r="G3807" s="4" t="inlineStr">
        <is>
          <t>23:34</t>
        </is>
      </c>
      <c r="H3807" s="4" t="inlineStr">
        <is>
          <t>2.10.2026</t>
        </is>
      </c>
      <c r="I3807" s="4" t="inlineStr">
        <is>
          <t>08:11</t>
        </is>
      </c>
      <c r="J3807" s="8" t="n">
        <v>7.5</v>
      </c>
      <c r="K3807" s="8" t="n">
        <v>7.5</v>
      </c>
      <c r="L3807" s="8" t="n">
        <v>0</v>
      </c>
      <c r="M3807" s="29" t="inlineStr">
        <is>
          <t>BANDIRMA</t>
        </is>
      </c>
    </row>
    <row r="3808">
      <c r="A3808" s="4" t="n">
        <v>3807</v>
      </c>
      <c r="B3808" s="4" t="inlineStr">
        <is>
          <t>01038</t>
        </is>
      </c>
      <c r="C3808" s="4" t="inlineStr">
        <is>
          <t>01038</t>
        </is>
      </c>
      <c r="D3808" s="29" t="inlineStr">
        <is>
          <t>TALHA YAVAŞ</t>
        </is>
      </c>
      <c r="E3808" s="4" t="inlineStr">
        <is>
          <t>Cumartesi</t>
        </is>
      </c>
      <c r="F3808" s="4" t="inlineStr">
        <is>
          <t>3.10.2026</t>
        </is>
      </c>
      <c r="G3808" s="4" t="inlineStr">
        <is>
          <t>23:23</t>
        </is>
      </c>
      <c r="H3808" s="4" t="inlineStr">
        <is>
          <t>3.10.2026</t>
        </is>
      </c>
      <c r="I3808" s="4" t="inlineStr">
        <is>
          <t>10:16</t>
        </is>
      </c>
      <c r="J3808" s="8" t="n">
        <v>9.5</v>
      </c>
      <c r="K3808" s="8" t="n">
        <v>7.5</v>
      </c>
      <c r="L3808" s="8" t="n">
        <v>2</v>
      </c>
      <c r="M3808" s="29" t="inlineStr">
        <is>
          <t>BANDIRMA</t>
        </is>
      </c>
    </row>
    <row r="3809">
      <c r="A3809" s="4" t="n">
        <v>3808</v>
      </c>
      <c r="B3809" s="4" t="inlineStr">
        <is>
          <t>01038</t>
        </is>
      </c>
      <c r="C3809" s="4" t="inlineStr">
        <is>
          <t>01038</t>
        </is>
      </c>
      <c r="D3809" s="29" t="inlineStr">
        <is>
          <t>TALHA YAVAŞ</t>
        </is>
      </c>
      <c r="E3809" s="4" t="inlineStr">
        <is>
          <t>Pazar</t>
        </is>
      </c>
      <c r="F3809" s="4" t="inlineStr">
        <is>
          <t>4.10.2026</t>
        </is>
      </c>
      <c r="G3809" s="4" t="inlineStr">
        <is>
          <t>23:30</t>
        </is>
      </c>
      <c r="H3809" s="4" t="inlineStr">
        <is>
          <t>4.10.2026</t>
        </is>
      </c>
      <c r="I3809" s="4" t="inlineStr">
        <is>
          <t>08:41</t>
        </is>
      </c>
      <c r="J3809" s="8" t="n">
        <v>8</v>
      </c>
      <c r="K3809" s="8" t="n">
        <v>7.5</v>
      </c>
      <c r="L3809" s="8" t="n">
        <v>0.5</v>
      </c>
      <c r="M3809" s="29" t="inlineStr">
        <is>
          <t>BANDIRMA</t>
        </is>
      </c>
    </row>
    <row r="3810">
      <c r="A3810" s="4" t="n">
        <v>3809</v>
      </c>
      <c r="B3810" s="4" t="inlineStr">
        <is>
          <t>01038</t>
        </is>
      </c>
      <c r="C3810" s="4" t="inlineStr">
        <is>
          <t>01038</t>
        </is>
      </c>
      <c r="D3810" s="29" t="inlineStr">
        <is>
          <t>TALHA YAVAŞ</t>
        </is>
      </c>
      <c r="E3810" s="4" t="inlineStr">
        <is>
          <t>Pazartesi</t>
        </is>
      </c>
      <c r="F3810" s="4" t="inlineStr">
        <is>
          <t>5.10.2026</t>
        </is>
      </c>
      <c r="G3810" s="4" t="inlineStr">
        <is>
          <t>23:24</t>
        </is>
      </c>
      <c r="H3810" s="4" t="inlineStr">
        <is>
          <t>5.10.2026</t>
        </is>
      </c>
      <c r="I3810" s="4" t="inlineStr">
        <is>
          <t>08:06</t>
        </is>
      </c>
      <c r="J3810" s="8" t="n">
        <v>7.5</v>
      </c>
      <c r="K3810" s="8" t="n">
        <v>7.5</v>
      </c>
      <c r="L3810" s="8" t="n">
        <v>0</v>
      </c>
      <c r="M3810" s="29" t="inlineStr">
        <is>
          <t>BANDIRMA</t>
        </is>
      </c>
    </row>
    <row r="3811">
      <c r="A3811" s="4" t="n">
        <v>3810</v>
      </c>
      <c r="B3811" s="4" t="inlineStr">
        <is>
          <t>01038</t>
        </is>
      </c>
      <c r="C3811" s="4" t="inlineStr">
        <is>
          <t>01038</t>
        </is>
      </c>
      <c r="D3811" s="29" t="inlineStr">
        <is>
          <t>TALHA YAVAŞ</t>
        </is>
      </c>
      <c r="E3811" s="4" t="inlineStr">
        <is>
          <t>Salı</t>
        </is>
      </c>
      <c r="F3811" s="4" t="inlineStr">
        <is>
          <t>6.10.2026</t>
        </is>
      </c>
      <c r="G3811" s="4" t="inlineStr">
        <is>
          <t>23:32</t>
        </is>
      </c>
      <c r="H3811" s="4" t="inlineStr">
        <is>
          <t>6.10.2026</t>
        </is>
      </c>
      <c r="I3811" s="4" t="inlineStr">
        <is>
          <t>08:26</t>
        </is>
      </c>
      <c r="J3811" s="8" t="n">
        <v>8</v>
      </c>
      <c r="K3811" s="8" t="n">
        <v>7.5</v>
      </c>
      <c r="L3811" s="8" t="n">
        <v>0.5</v>
      </c>
      <c r="M3811" s="29" t="inlineStr">
        <is>
          <t>BANDIRMA</t>
        </is>
      </c>
    </row>
    <row r="3812">
      <c r="A3812" s="4" t="n">
        <v>3811</v>
      </c>
      <c r="B3812" s="4" t="inlineStr">
        <is>
          <t>01038</t>
        </is>
      </c>
      <c r="C3812" s="4" t="inlineStr">
        <is>
          <t>01038</t>
        </is>
      </c>
      <c r="D3812" s="29" t="inlineStr">
        <is>
          <t>TALHA YAVAŞ</t>
        </is>
      </c>
      <c r="E3812" s="4" t="inlineStr">
        <is>
          <t>Çarşamba</t>
        </is>
      </c>
      <c r="F3812" s="4" t="inlineStr">
        <is>
          <t>7.10.2026</t>
        </is>
      </c>
      <c r="G3812" s="4" t="inlineStr">
        <is>
          <t>23:23</t>
        </is>
      </c>
      <c r="H3812" s="4" t="inlineStr">
        <is>
          <t>7.10.2026</t>
        </is>
      </c>
      <c r="I3812" s="4" t="inlineStr">
        <is>
          <t>08:12</t>
        </is>
      </c>
      <c r="J3812" s="8" t="n">
        <v>7.5</v>
      </c>
      <c r="K3812" s="8" t="n">
        <v>7.5</v>
      </c>
      <c r="L3812" s="8" t="n">
        <v>0</v>
      </c>
      <c r="M3812" s="29" t="inlineStr">
        <is>
          <t>BANDIRMA</t>
        </is>
      </c>
    </row>
    <row r="3813">
      <c r="A3813" s="4" t="n">
        <v>3812</v>
      </c>
      <c r="B3813" s="4" t="inlineStr">
        <is>
          <t>01038</t>
        </is>
      </c>
      <c r="C3813" s="4" t="inlineStr">
        <is>
          <t>01038</t>
        </is>
      </c>
      <c r="D3813" s="29" t="inlineStr">
        <is>
          <t>TALHA YAVAŞ</t>
        </is>
      </c>
      <c r="E3813" s="4" t="inlineStr">
        <is>
          <t>Perşembe</t>
        </is>
      </c>
      <c r="F3813" s="4" t="inlineStr">
        <is>
          <t>8.10.2026</t>
        </is>
      </c>
      <c r="G3813" s="4" t="inlineStr">
        <is>
          <t>23:24</t>
        </is>
      </c>
      <c r="H3813" s="4" t="inlineStr">
        <is>
          <t>8.10.2026</t>
        </is>
      </c>
      <c r="I3813" s="4" t="inlineStr">
        <is>
          <t>08:30</t>
        </is>
      </c>
      <c r="J3813" s="8" t="n">
        <v>8</v>
      </c>
      <c r="K3813" s="8" t="n">
        <v>7.5</v>
      </c>
      <c r="L3813" s="8" t="n">
        <v>0.5</v>
      </c>
      <c r="M3813" s="29" t="inlineStr">
        <is>
          <t>BANDIRMA</t>
        </is>
      </c>
    </row>
    <row r="3814">
      <c r="A3814" s="4" t="n">
        <v>3813</v>
      </c>
      <c r="B3814" s="4" t="inlineStr">
        <is>
          <t>01038</t>
        </is>
      </c>
      <c r="C3814" s="4" t="inlineStr">
        <is>
          <t>01038</t>
        </is>
      </c>
      <c r="D3814" s="29" t="inlineStr">
        <is>
          <t>TALHA YAVAŞ</t>
        </is>
      </c>
      <c r="E3814" s="4" t="inlineStr">
        <is>
          <t>Cuma</t>
        </is>
      </c>
      <c r="F3814" s="4" t="inlineStr">
        <is>
          <t>9.10.2026</t>
        </is>
      </c>
      <c r="G3814" s="4" t="inlineStr">
        <is>
          <t>23:23</t>
        </is>
      </c>
      <c r="H3814" s="4" t="inlineStr">
        <is>
          <t>9.10.2026</t>
        </is>
      </c>
      <c r="I3814" s="4" t="inlineStr">
        <is>
          <t>08:25</t>
        </is>
      </c>
      <c r="J3814" s="8" t="n">
        <v>8</v>
      </c>
      <c r="K3814" s="8" t="n">
        <v>7.5</v>
      </c>
      <c r="L3814" s="8" t="n">
        <v>0.5</v>
      </c>
      <c r="M3814" s="29" t="inlineStr">
        <is>
          <t>BANDIRMA</t>
        </is>
      </c>
    </row>
    <row r="3815">
      <c r="A3815" s="4" t="n">
        <v>3814</v>
      </c>
      <c r="B3815" s="4" t="inlineStr">
        <is>
          <t>01038</t>
        </is>
      </c>
      <c r="C3815" s="4" t="inlineStr">
        <is>
          <t>01038</t>
        </is>
      </c>
      <c r="D3815" s="29" t="inlineStr">
        <is>
          <t>TALHA YAVAŞ</t>
        </is>
      </c>
      <c r="E3815" s="4" t="inlineStr">
        <is>
          <t>Cumartesi</t>
        </is>
      </c>
      <c r="F3815" s="4" t="inlineStr">
        <is>
          <t>10.10.2026</t>
        </is>
      </c>
      <c r="G3815" s="4" t="inlineStr">
        <is>
          <t>23:28</t>
        </is>
      </c>
      <c r="H3815" s="4" t="inlineStr">
        <is>
          <t>10.10.2026</t>
        </is>
      </c>
      <c r="I3815" s="4" t="inlineStr">
        <is>
          <t>08:58</t>
        </is>
      </c>
      <c r="J3815" s="8" t="n">
        <v>8.5</v>
      </c>
      <c r="K3815" s="8" t="n">
        <v>7.5</v>
      </c>
      <c r="L3815" s="8" t="n">
        <v>1</v>
      </c>
      <c r="M3815" s="29" t="inlineStr">
        <is>
          <t>BANDIRMA</t>
        </is>
      </c>
    </row>
    <row r="3816">
      <c r="A3816" s="4" t="n">
        <v>3815</v>
      </c>
      <c r="B3816" s="4" t="inlineStr">
        <is>
          <t>01038</t>
        </is>
      </c>
      <c r="C3816" s="4" t="inlineStr">
        <is>
          <t>01038</t>
        </is>
      </c>
      <c r="D3816" s="29" t="inlineStr">
        <is>
          <t>TALHA YAVAŞ</t>
        </is>
      </c>
      <c r="E3816" s="4" t="inlineStr">
        <is>
          <t>Pazar</t>
        </is>
      </c>
      <c r="F3816" s="4" t="inlineStr">
        <is>
          <t>11.10.2026</t>
        </is>
      </c>
      <c r="G3816" s="4" t="inlineStr">
        <is>
          <t>23:27</t>
        </is>
      </c>
      <c r="H3816" s="4" t="inlineStr">
        <is>
          <t>11.10.2026</t>
        </is>
      </c>
      <c r="I3816" s="4" t="inlineStr">
        <is>
          <t>08:15</t>
        </is>
      </c>
      <c r="J3816" s="8" t="n">
        <v>7.5</v>
      </c>
      <c r="K3816" s="8" t="n">
        <v>7.5</v>
      </c>
      <c r="L3816" s="8" t="n">
        <v>0</v>
      </c>
      <c r="M3816" s="29" t="inlineStr">
        <is>
          <t>BANDIRMA</t>
        </is>
      </c>
    </row>
    <row r="3817">
      <c r="A3817" s="4" t="n">
        <v>3816</v>
      </c>
      <c r="B3817" s="4" t="inlineStr">
        <is>
          <t>01038</t>
        </is>
      </c>
      <c r="C3817" s="4" t="inlineStr">
        <is>
          <t>01038</t>
        </is>
      </c>
      <c r="D3817" s="29" t="inlineStr">
        <is>
          <t>TALHA YAVAŞ</t>
        </is>
      </c>
      <c r="E3817" s="4" t="inlineStr">
        <is>
          <t>Pazartesi</t>
        </is>
      </c>
      <c r="F3817" s="4" t="inlineStr">
        <is>
          <t>12.10.2026</t>
        </is>
      </c>
      <c r="G3817" s="4" t="inlineStr">
        <is>
          <t>23:25</t>
        </is>
      </c>
      <c r="H3817" s="4" t="inlineStr">
        <is>
          <t>12.10.2026</t>
        </is>
      </c>
      <c r="I3817" s="4" t="inlineStr">
        <is>
          <t>08:14</t>
        </is>
      </c>
      <c r="J3817" s="8" t="n">
        <v>7.5</v>
      </c>
      <c r="K3817" s="8" t="n">
        <v>7.5</v>
      </c>
      <c r="L3817" s="8" t="n">
        <v>0</v>
      </c>
      <c r="M3817" s="29" t="inlineStr">
        <is>
          <t>BANDIRMA</t>
        </is>
      </c>
    </row>
    <row r="3818">
      <c r="A3818" s="4" t="n">
        <v>3817</v>
      </c>
      <c r="B3818" s="4" t="inlineStr">
        <is>
          <t>01038</t>
        </is>
      </c>
      <c r="C3818" s="4" t="inlineStr">
        <is>
          <t>01038</t>
        </is>
      </c>
      <c r="D3818" s="29" t="inlineStr">
        <is>
          <t>TALHA YAVAŞ</t>
        </is>
      </c>
      <c r="E3818" s="4" t="inlineStr">
        <is>
          <t>Salı</t>
        </is>
      </c>
      <c r="F3818" s="4" t="inlineStr">
        <is>
          <t>13.10.2026</t>
        </is>
      </c>
      <c r="G3818" s="4" t="inlineStr">
        <is>
          <t>23:22</t>
        </is>
      </c>
      <c r="H3818" s="4" t="inlineStr">
        <is>
          <t>13.10.2026</t>
        </is>
      </c>
      <c r="I3818" s="4" t="inlineStr">
        <is>
          <t>08:18</t>
        </is>
      </c>
      <c r="J3818" s="8" t="n">
        <v>7.5</v>
      </c>
      <c r="K3818" s="8" t="n">
        <v>7.5</v>
      </c>
      <c r="L3818" s="8" t="n">
        <v>0</v>
      </c>
      <c r="M3818" s="29" t="inlineStr">
        <is>
          <t>BANDIRMA</t>
        </is>
      </c>
    </row>
    <row r="3819">
      <c r="A3819" s="4" t="n">
        <v>3818</v>
      </c>
      <c r="B3819" s="4" t="inlineStr">
        <is>
          <t>01038</t>
        </is>
      </c>
      <c r="C3819" s="4" t="inlineStr">
        <is>
          <t>01038</t>
        </is>
      </c>
      <c r="D3819" s="29" t="inlineStr">
        <is>
          <t>TALHA YAVAŞ</t>
        </is>
      </c>
      <c r="E3819" s="4" t="inlineStr">
        <is>
          <t>Çarşamba</t>
        </is>
      </c>
      <c r="F3819" s="4" t="inlineStr">
        <is>
          <t>14.10.2026</t>
        </is>
      </c>
      <c r="G3819" s="4" t="inlineStr">
        <is>
          <t>23:29</t>
        </is>
      </c>
      <c r="H3819" s="4" t="inlineStr">
        <is>
          <t>14.10.2026</t>
        </is>
      </c>
      <c r="I3819" s="4" t="inlineStr">
        <is>
          <t>08:28</t>
        </is>
      </c>
      <c r="J3819" s="8" t="n">
        <v>8</v>
      </c>
      <c r="K3819" s="8" t="n">
        <v>7.5</v>
      </c>
      <c r="L3819" s="8" t="n">
        <v>0.5</v>
      </c>
      <c r="M3819" s="29" t="inlineStr">
        <is>
          <t>BANDIRMA</t>
        </is>
      </c>
    </row>
    <row r="3820">
      <c r="A3820" s="4" t="n">
        <v>3819</v>
      </c>
      <c r="B3820" s="4" t="inlineStr">
        <is>
          <t>01038</t>
        </is>
      </c>
      <c r="C3820" s="4" t="inlineStr">
        <is>
          <t>01038</t>
        </is>
      </c>
      <c r="D3820" s="29" t="inlineStr">
        <is>
          <t>TALHA YAVAŞ</t>
        </is>
      </c>
      <c r="E3820" s="4" t="inlineStr">
        <is>
          <t>Perşembe</t>
        </is>
      </c>
      <c r="F3820" s="4" t="inlineStr">
        <is>
          <t>15.10.2026</t>
        </is>
      </c>
      <c r="G3820" s="4" t="inlineStr">
        <is>
          <t>23:18</t>
        </is>
      </c>
      <c r="H3820" s="4" t="inlineStr">
        <is>
          <t>15.10.2026</t>
        </is>
      </c>
      <c r="I3820" s="4" t="inlineStr">
        <is>
          <t>08:22</t>
        </is>
      </c>
      <c r="J3820" s="8" t="n">
        <v>8</v>
      </c>
      <c r="K3820" s="8" t="n">
        <v>7.5</v>
      </c>
      <c r="L3820" s="8" t="n">
        <v>0.5</v>
      </c>
      <c r="M3820" s="29" t="inlineStr">
        <is>
          <t>BANDIRMA</t>
        </is>
      </c>
    </row>
    <row r="3821">
      <c r="A3821" s="4" t="n">
        <v>3820</v>
      </c>
      <c r="B3821" s="4" t="inlineStr">
        <is>
          <t>01038</t>
        </is>
      </c>
      <c r="C3821" s="4" t="inlineStr">
        <is>
          <t>01038</t>
        </is>
      </c>
      <c r="D3821" s="29" t="inlineStr">
        <is>
          <t>TALHA YAVAŞ</t>
        </is>
      </c>
      <c r="E3821" s="4" t="inlineStr">
        <is>
          <t>Pazartesi</t>
        </is>
      </c>
      <c r="F3821" s="4" t="inlineStr">
        <is>
          <t>19.10.2026</t>
        </is>
      </c>
      <c r="G3821" s="4" t="inlineStr">
        <is>
          <t>23:39</t>
        </is>
      </c>
      <c r="H3821" s="4" t="inlineStr">
        <is>
          <t>19.10.2026</t>
        </is>
      </c>
      <c r="I3821" s="4" t="inlineStr">
        <is>
          <t>08:20</t>
        </is>
      </c>
      <c r="J3821" s="8" t="n">
        <v>7.5</v>
      </c>
      <c r="K3821" s="8" t="n">
        <v>7.5</v>
      </c>
      <c r="L3821" s="8" t="n">
        <v>0</v>
      </c>
      <c r="M3821" s="29" t="inlineStr">
        <is>
          <t>BANDIRMA</t>
        </is>
      </c>
    </row>
    <row r="3822">
      <c r="A3822" s="4" t="n">
        <v>3821</v>
      </c>
      <c r="B3822" s="4" t="inlineStr">
        <is>
          <t>01047</t>
        </is>
      </c>
      <c r="C3822" s="4" t="inlineStr">
        <is>
          <t>01047</t>
        </is>
      </c>
      <c r="D3822" s="29" t="inlineStr">
        <is>
          <t>TANER BEYİRKEN</t>
        </is>
      </c>
      <c r="E3822" s="4" t="inlineStr">
        <is>
          <t>Cuma</t>
        </is>
      </c>
      <c r="F3822" s="4" t="inlineStr">
        <is>
          <t>2.10.2026</t>
        </is>
      </c>
      <c r="G3822" s="4" t="inlineStr">
        <is>
          <t>08:00</t>
        </is>
      </c>
      <c r="H3822" s="4" t="inlineStr">
        <is>
          <t>2.10.2026</t>
        </is>
      </c>
      <c r="I3822" s="4" t="inlineStr">
        <is>
          <t>17:10</t>
        </is>
      </c>
      <c r="J3822" s="8" t="n">
        <v>7.5</v>
      </c>
      <c r="K3822" s="8" t="n">
        <v>7.5</v>
      </c>
      <c r="L3822" s="8" t="n">
        <v>0</v>
      </c>
      <c r="M3822" s="29" t="inlineStr">
        <is>
          <t>HALİL DİĞRENCİ</t>
        </is>
      </c>
    </row>
    <row r="3823">
      <c r="A3823" s="4" t="n">
        <v>3822</v>
      </c>
      <c r="B3823" s="4" t="inlineStr">
        <is>
          <t>01047</t>
        </is>
      </c>
      <c r="C3823" s="4" t="inlineStr">
        <is>
          <t>01047</t>
        </is>
      </c>
      <c r="D3823" s="29" t="inlineStr">
        <is>
          <t>TANER BEYİRKEN</t>
        </is>
      </c>
      <c r="E3823" s="4" t="inlineStr">
        <is>
          <t>Cumartesi</t>
        </is>
      </c>
      <c r="F3823" s="4" t="inlineStr">
        <is>
          <t>3.10.2026</t>
        </is>
      </c>
      <c r="G3823" s="4" t="inlineStr">
        <is>
          <t>08:02</t>
        </is>
      </c>
      <c r="H3823" s="4" t="inlineStr">
        <is>
          <t>3.10.2026</t>
        </is>
      </c>
      <c r="I3823" s="4" t="inlineStr">
        <is>
          <t>17:07</t>
        </is>
      </c>
      <c r="J3823" s="8" t="n">
        <v>7.5</v>
      </c>
      <c r="K3823" s="8" t="n">
        <v>7.5</v>
      </c>
      <c r="L3823" s="8" t="n">
        <v>0</v>
      </c>
      <c r="M3823" s="29" t="inlineStr">
        <is>
          <t>HALİL DİĞRENCİ</t>
        </is>
      </c>
    </row>
    <row r="3824">
      <c r="A3824" s="4" t="n">
        <v>3823</v>
      </c>
      <c r="B3824" s="4" t="inlineStr">
        <is>
          <t>01047</t>
        </is>
      </c>
      <c r="C3824" s="4" t="inlineStr">
        <is>
          <t>01047</t>
        </is>
      </c>
      <c r="D3824" s="29" t="inlineStr">
        <is>
          <t>TANER BEYİRKEN</t>
        </is>
      </c>
      <c r="E3824" s="4" t="inlineStr">
        <is>
          <t>Pazartesi</t>
        </is>
      </c>
      <c r="F3824" s="4" t="inlineStr">
        <is>
          <t>5.10.2026</t>
        </is>
      </c>
      <c r="G3824" s="4" t="inlineStr">
        <is>
          <t>08:01</t>
        </is>
      </c>
      <c r="H3824" s="4" t="inlineStr">
        <is>
          <t>5.10.2026</t>
        </is>
      </c>
      <c r="I3824" s="4" t="inlineStr">
        <is>
          <t>17:07</t>
        </is>
      </c>
      <c r="J3824" s="8" t="n">
        <v>7.5</v>
      </c>
      <c r="K3824" s="8" t="n">
        <v>7.5</v>
      </c>
      <c r="L3824" s="8" t="n">
        <v>0</v>
      </c>
      <c r="M3824" s="29" t="inlineStr">
        <is>
          <t>HALİL DİĞRENCİ</t>
        </is>
      </c>
    </row>
    <row r="3825">
      <c r="A3825" s="4" t="n">
        <v>3824</v>
      </c>
      <c r="B3825" s="4" t="inlineStr">
        <is>
          <t>01047</t>
        </is>
      </c>
      <c r="C3825" s="4" t="inlineStr">
        <is>
          <t>01047</t>
        </is>
      </c>
      <c r="D3825" s="29" t="inlineStr">
        <is>
          <t>TANER BEYİRKEN</t>
        </is>
      </c>
      <c r="E3825" s="4" t="inlineStr">
        <is>
          <t>Cuma</t>
        </is>
      </c>
      <c r="F3825" s="4" t="inlineStr">
        <is>
          <t>9.10.2026</t>
        </is>
      </c>
      <c r="G3825" s="4" t="inlineStr">
        <is>
          <t>07:58</t>
        </is>
      </c>
      <c r="H3825" s="4" t="inlineStr">
        <is>
          <t>9.10.2026</t>
        </is>
      </c>
      <c r="I3825" s="4" t="inlineStr">
        <is>
          <t>20:02</t>
        </is>
      </c>
      <c r="J3825" s="8" t="n">
        <v>10.5</v>
      </c>
      <c r="K3825" s="8" t="n">
        <v>7.5</v>
      </c>
      <c r="L3825" s="8" t="n">
        <v>3</v>
      </c>
      <c r="M3825" s="29" t="inlineStr">
        <is>
          <t>HALİL DİĞRENCİ</t>
        </is>
      </c>
    </row>
    <row r="3826">
      <c r="A3826" s="4" t="n">
        <v>3825</v>
      </c>
      <c r="B3826" s="4" t="inlineStr">
        <is>
          <t>01047</t>
        </is>
      </c>
      <c r="C3826" s="4" t="inlineStr">
        <is>
          <t>01047</t>
        </is>
      </c>
      <c r="D3826" s="29" t="inlineStr">
        <is>
          <t>TANER BEYİRKEN</t>
        </is>
      </c>
      <c r="E3826" s="4" t="inlineStr">
        <is>
          <t>Cumartesi</t>
        </is>
      </c>
      <c r="F3826" s="4" t="inlineStr">
        <is>
          <t>10.10.2026</t>
        </is>
      </c>
      <c r="G3826" s="4" t="inlineStr">
        <is>
          <t>08:01</t>
        </is>
      </c>
      <c r="H3826" s="4" t="inlineStr">
        <is>
          <t>10.10.2026</t>
        </is>
      </c>
      <c r="I3826" s="4" t="inlineStr">
        <is>
          <t>20:02</t>
        </is>
      </c>
      <c r="J3826" s="8" t="n">
        <v>10.5</v>
      </c>
      <c r="K3826" s="8" t="n">
        <v>7.5</v>
      </c>
      <c r="L3826" s="8" t="n">
        <v>3</v>
      </c>
      <c r="M3826" s="29" t="inlineStr">
        <is>
          <t>HALİL DİĞRENCİ</t>
        </is>
      </c>
    </row>
    <row r="3827">
      <c r="A3827" s="4" t="n">
        <v>3826</v>
      </c>
      <c r="B3827" s="4" t="inlineStr">
        <is>
          <t>00183</t>
        </is>
      </c>
      <c r="C3827" s="4" t="inlineStr">
        <is>
          <t>00183</t>
        </is>
      </c>
      <c r="D3827" s="29" t="inlineStr">
        <is>
          <t>TAYFUN ÇELİK</t>
        </is>
      </c>
      <c r="E3827" s="4" t="inlineStr">
        <is>
          <t>Perşembe</t>
        </is>
      </c>
      <c r="F3827" s="4" t="inlineStr">
        <is>
          <t>1.10.2026</t>
        </is>
      </c>
      <c r="G3827" s="4" t="inlineStr">
        <is>
          <t>07:58</t>
        </is>
      </c>
      <c r="H3827" s="4" t="inlineStr">
        <is>
          <t>1.10.2026</t>
        </is>
      </c>
      <c r="I3827" s="4" t="inlineStr">
        <is>
          <t>10:18</t>
        </is>
      </c>
      <c r="J3827" s="8" t="n">
        <v>0.02</v>
      </c>
      <c r="K3827" s="8" t="n">
        <v>0.02</v>
      </c>
      <c r="L3827" s="8" t="n">
        <v>0</v>
      </c>
      <c r="M3827" s="29" t="inlineStr">
        <is>
          <t>MKP</t>
        </is>
      </c>
    </row>
    <row r="3828">
      <c r="A3828" s="4" t="n">
        <v>3827</v>
      </c>
      <c r="B3828" s="4" t="inlineStr">
        <is>
          <t>00183</t>
        </is>
      </c>
      <c r="C3828" s="4" t="inlineStr">
        <is>
          <t>00183</t>
        </is>
      </c>
      <c r="D3828" s="29" t="inlineStr">
        <is>
          <t>TAYFUN ÇELİK</t>
        </is>
      </c>
      <c r="E3828" s="4" t="inlineStr">
        <is>
          <t>Cuma</t>
        </is>
      </c>
      <c r="F3828" s="4" t="inlineStr">
        <is>
          <t>2.10.2026</t>
        </is>
      </c>
      <c r="G3828" s="4" t="inlineStr">
        <is>
          <t>07:53</t>
        </is>
      </c>
      <c r="H3828" s="4" t="inlineStr">
        <is>
          <t>2.10.2026</t>
        </is>
      </c>
      <c r="I3828" s="4" t="inlineStr">
        <is>
          <t>19:59</t>
        </is>
      </c>
      <c r="J3828" s="8" t="n">
        <v>10.5</v>
      </c>
      <c r="K3828" s="8" t="n">
        <v>7.5</v>
      </c>
      <c r="L3828" s="8" t="n">
        <v>3</v>
      </c>
      <c r="M3828" s="29" t="inlineStr">
        <is>
          <t>MKP</t>
        </is>
      </c>
    </row>
    <row r="3829">
      <c r="A3829" s="4" t="n">
        <v>3828</v>
      </c>
      <c r="B3829" s="4" t="inlineStr">
        <is>
          <t>00183</t>
        </is>
      </c>
      <c r="C3829" s="4" t="inlineStr">
        <is>
          <t>00183</t>
        </is>
      </c>
      <c r="D3829" s="29" t="inlineStr">
        <is>
          <t>TAYFUN ÇELİK</t>
        </is>
      </c>
      <c r="E3829" s="4" t="inlineStr">
        <is>
          <t>Cumartesi</t>
        </is>
      </c>
      <c r="F3829" s="4" t="inlineStr">
        <is>
          <t>3.10.2026</t>
        </is>
      </c>
      <c r="G3829" s="4" t="inlineStr">
        <is>
          <t>07:43</t>
        </is>
      </c>
      <c r="H3829" s="4" t="inlineStr">
        <is>
          <t>3.10.2026</t>
        </is>
      </c>
      <c r="I3829" s="4" t="inlineStr">
        <is>
          <t>-</t>
        </is>
      </c>
      <c r="J3829" s="8" t="n">
        <v>7.5</v>
      </c>
      <c r="K3829" s="8" t="n">
        <v>7.5</v>
      </c>
      <c r="L3829" s="8" t="n">
        <v>0</v>
      </c>
      <c r="M3829" s="29" t="inlineStr">
        <is>
          <t>MKP</t>
        </is>
      </c>
    </row>
    <row r="3830">
      <c r="A3830" s="4" t="n">
        <v>3829</v>
      </c>
      <c r="B3830" s="4" t="inlineStr">
        <is>
          <t>00183</t>
        </is>
      </c>
      <c r="C3830" s="4" t="inlineStr">
        <is>
          <t>00183</t>
        </is>
      </c>
      <c r="D3830" s="29" t="inlineStr">
        <is>
          <t>TAYFUN ÇELİK</t>
        </is>
      </c>
      <c r="E3830" s="4" t="inlineStr">
        <is>
          <t>Pazar</t>
        </is>
      </c>
      <c r="F3830" s="4" t="inlineStr">
        <is>
          <t>4.10.2026</t>
        </is>
      </c>
      <c r="G3830" s="4" t="inlineStr">
        <is>
          <t>-</t>
        </is>
      </c>
      <c r="H3830" s="4" t="inlineStr">
        <is>
          <t>4.10.2026</t>
        </is>
      </c>
      <c r="I3830" s="4" t="inlineStr">
        <is>
          <t>03:04</t>
        </is>
      </c>
      <c r="J3830" s="8" t="n">
        <v>17.5</v>
      </c>
      <c r="K3830" s="8" t="n">
        <v>7.5</v>
      </c>
      <c r="L3830" s="8" t="n">
        <v>10</v>
      </c>
      <c r="M3830" s="29" t="inlineStr">
        <is>
          <t>MKP</t>
        </is>
      </c>
    </row>
    <row r="3831">
      <c r="A3831" s="4" t="n">
        <v>3830</v>
      </c>
      <c r="B3831" s="4" t="inlineStr">
        <is>
          <t>00183</t>
        </is>
      </c>
      <c r="C3831" s="4" t="inlineStr">
        <is>
          <t>00183</t>
        </is>
      </c>
      <c r="D3831" s="29" t="inlineStr">
        <is>
          <t>TAYFUN ÇELİK</t>
        </is>
      </c>
      <c r="E3831" s="4" t="inlineStr">
        <is>
          <t>Pazartesi</t>
        </is>
      </c>
      <c r="F3831" s="4" t="inlineStr">
        <is>
          <t>5.10.2026</t>
        </is>
      </c>
      <c r="G3831" s="4" t="inlineStr">
        <is>
          <t>07:51</t>
        </is>
      </c>
      <c r="H3831" s="4" t="inlineStr">
        <is>
          <t>5.10.2026</t>
        </is>
      </c>
      <c r="I3831" s="4" t="inlineStr">
        <is>
          <t>20:03</t>
        </is>
      </c>
      <c r="J3831" s="8" t="n">
        <v>10.5</v>
      </c>
      <c r="K3831" s="8" t="n">
        <v>7.5</v>
      </c>
      <c r="L3831" s="8" t="n">
        <v>3</v>
      </c>
      <c r="M3831" s="29" t="inlineStr">
        <is>
          <t>MKP</t>
        </is>
      </c>
    </row>
    <row r="3832">
      <c r="A3832" s="4" t="n">
        <v>3831</v>
      </c>
      <c r="B3832" s="4" t="inlineStr">
        <is>
          <t>00183</t>
        </is>
      </c>
      <c r="C3832" s="4" t="inlineStr">
        <is>
          <t>00183</t>
        </is>
      </c>
      <c r="D3832" s="29" t="inlineStr">
        <is>
          <t>TAYFUN ÇELİK</t>
        </is>
      </c>
      <c r="E3832" s="4" t="inlineStr">
        <is>
          <t>Salı</t>
        </is>
      </c>
      <c r="F3832" s="4" t="inlineStr">
        <is>
          <t>6.10.2026</t>
        </is>
      </c>
      <c r="G3832" s="4" t="inlineStr">
        <is>
          <t>07:48</t>
        </is>
      </c>
      <c r="H3832" s="4" t="inlineStr">
        <is>
          <t>6.10.2026</t>
        </is>
      </c>
      <c r="I3832" s="4" t="inlineStr">
        <is>
          <t>20:03</t>
        </is>
      </c>
      <c r="J3832" s="8" t="n">
        <v>10.5</v>
      </c>
      <c r="K3832" s="8" t="n">
        <v>7.5</v>
      </c>
      <c r="L3832" s="8" t="n">
        <v>3</v>
      </c>
      <c r="M3832" s="29" t="inlineStr">
        <is>
          <t>MKP</t>
        </is>
      </c>
    </row>
    <row r="3833">
      <c r="A3833" s="4" t="n">
        <v>3832</v>
      </c>
      <c r="B3833" s="4" t="inlineStr">
        <is>
          <t>00183</t>
        </is>
      </c>
      <c r="C3833" s="4" t="inlineStr">
        <is>
          <t>00183</t>
        </is>
      </c>
      <c r="D3833" s="29" t="inlineStr">
        <is>
          <t>TAYFUN ÇELİK</t>
        </is>
      </c>
      <c r="E3833" s="4" t="inlineStr">
        <is>
          <t>Çarşamba</t>
        </is>
      </c>
      <c r="F3833" s="4" t="inlineStr">
        <is>
          <t>7.10.2026</t>
        </is>
      </c>
      <c r="G3833" s="4" t="inlineStr">
        <is>
          <t>07:47</t>
        </is>
      </c>
      <c r="H3833" s="4" t="inlineStr">
        <is>
          <t>7.10.2026</t>
        </is>
      </c>
      <c r="I3833" s="4" t="inlineStr">
        <is>
          <t>20:12</t>
        </is>
      </c>
      <c r="J3833" s="8" t="n">
        <v>10.5</v>
      </c>
      <c r="K3833" s="8" t="n">
        <v>7.5</v>
      </c>
      <c r="L3833" s="8" t="n">
        <v>3</v>
      </c>
      <c r="M3833" s="29" t="inlineStr">
        <is>
          <t>MKP</t>
        </is>
      </c>
    </row>
    <row r="3834">
      <c r="A3834" s="4" t="n">
        <v>3833</v>
      </c>
      <c r="B3834" s="4" t="inlineStr">
        <is>
          <t>00183</t>
        </is>
      </c>
      <c r="C3834" s="4" t="inlineStr">
        <is>
          <t>00183</t>
        </is>
      </c>
      <c r="D3834" s="29" t="inlineStr">
        <is>
          <t>TAYFUN ÇELİK</t>
        </is>
      </c>
      <c r="E3834" s="4" t="inlineStr">
        <is>
          <t>Perşembe</t>
        </is>
      </c>
      <c r="F3834" s="4" t="inlineStr">
        <is>
          <t>8.10.2026</t>
        </is>
      </c>
      <c r="G3834" s="4" t="inlineStr">
        <is>
          <t>07:53</t>
        </is>
      </c>
      <c r="H3834" s="4" t="inlineStr">
        <is>
          <t>8.10.2026</t>
        </is>
      </c>
      <c r="I3834" s="4" t="inlineStr">
        <is>
          <t>20:07</t>
        </is>
      </c>
      <c r="J3834" s="8" t="n">
        <v>10.5</v>
      </c>
      <c r="K3834" s="8" t="n">
        <v>7.5</v>
      </c>
      <c r="L3834" s="8" t="n">
        <v>3</v>
      </c>
      <c r="M3834" s="29" t="inlineStr">
        <is>
          <t>MKP</t>
        </is>
      </c>
    </row>
    <row r="3835">
      <c r="A3835" s="4" t="n">
        <v>3834</v>
      </c>
      <c r="B3835" s="4" t="inlineStr">
        <is>
          <t>00183</t>
        </is>
      </c>
      <c r="C3835" s="4" t="inlineStr">
        <is>
          <t>00183</t>
        </is>
      </c>
      <c r="D3835" s="29" t="inlineStr">
        <is>
          <t>TAYFUN ÇELİK</t>
        </is>
      </c>
      <c r="E3835" s="4" t="inlineStr">
        <is>
          <t>Cuma</t>
        </is>
      </c>
      <c r="F3835" s="4" t="inlineStr">
        <is>
          <t>9.10.2026</t>
        </is>
      </c>
      <c r="G3835" s="4" t="inlineStr">
        <is>
          <t>07:50</t>
        </is>
      </c>
      <c r="H3835" s="4" t="inlineStr">
        <is>
          <t>9.10.2026</t>
        </is>
      </c>
      <c r="I3835" s="4" t="inlineStr">
        <is>
          <t>20:04</t>
        </is>
      </c>
      <c r="J3835" s="8" t="n">
        <v>10.5</v>
      </c>
      <c r="K3835" s="8" t="n">
        <v>7.5</v>
      </c>
      <c r="L3835" s="8" t="n">
        <v>3</v>
      </c>
      <c r="M3835" s="29" t="inlineStr">
        <is>
          <t>MKP</t>
        </is>
      </c>
    </row>
    <row r="3836">
      <c r="A3836" s="4" t="n">
        <v>3835</v>
      </c>
      <c r="B3836" s="4" t="inlineStr">
        <is>
          <t>00183</t>
        </is>
      </c>
      <c r="C3836" s="4" t="inlineStr">
        <is>
          <t>00183</t>
        </is>
      </c>
      <c r="D3836" s="29" t="inlineStr">
        <is>
          <t>TAYFUN ÇELİK</t>
        </is>
      </c>
      <c r="E3836" s="4" t="inlineStr">
        <is>
          <t>Cumartesi</t>
        </is>
      </c>
      <c r="F3836" s="4" t="inlineStr">
        <is>
          <t>10.10.2026</t>
        </is>
      </c>
      <c r="G3836" s="4" t="inlineStr">
        <is>
          <t>07:47</t>
        </is>
      </c>
      <c r="H3836" s="4" t="inlineStr">
        <is>
          <t>10.10.2026</t>
        </is>
      </c>
      <c r="I3836" s="4" t="inlineStr">
        <is>
          <t>20:10</t>
        </is>
      </c>
      <c r="J3836" s="8" t="n">
        <v>10.5</v>
      </c>
      <c r="K3836" s="8" t="n">
        <v>7.5</v>
      </c>
      <c r="L3836" s="8" t="n">
        <v>3</v>
      </c>
      <c r="M3836" s="29" t="inlineStr">
        <is>
          <t>MKP</t>
        </is>
      </c>
    </row>
    <row r="3837">
      <c r="A3837" s="4" t="n">
        <v>3836</v>
      </c>
      <c r="B3837" s="4" t="inlineStr">
        <is>
          <t>00183</t>
        </is>
      </c>
      <c r="C3837" s="4" t="inlineStr">
        <is>
          <t>00183</t>
        </is>
      </c>
      <c r="D3837" s="29" t="inlineStr">
        <is>
          <t>TAYFUN ÇELİK</t>
        </is>
      </c>
      <c r="E3837" s="4" t="inlineStr">
        <is>
          <t>Pazar</t>
        </is>
      </c>
      <c r="F3837" s="4" t="inlineStr">
        <is>
          <t>11.10.2026</t>
        </is>
      </c>
      <c r="G3837" s="4" t="inlineStr">
        <is>
          <t>08:54</t>
        </is>
      </c>
      <c r="H3837" s="4" t="inlineStr">
        <is>
          <t>11.10.2026</t>
        </is>
      </c>
      <c r="I3837" s="4" t="inlineStr">
        <is>
          <t>20:03</t>
        </is>
      </c>
      <c r="J3837" s="8" t="n">
        <v>9.5</v>
      </c>
      <c r="K3837" s="8" t="n">
        <v>6.5</v>
      </c>
      <c r="L3837" s="8" t="n">
        <v>3</v>
      </c>
      <c r="M3837" s="29" t="inlineStr">
        <is>
          <t>MKP</t>
        </is>
      </c>
    </row>
    <row r="3838">
      <c r="A3838" s="4" t="n">
        <v>3837</v>
      </c>
      <c r="B3838" s="4" t="inlineStr">
        <is>
          <t>00183</t>
        </is>
      </c>
      <c r="C3838" s="4" t="inlineStr">
        <is>
          <t>00183</t>
        </is>
      </c>
      <c r="D3838" s="29" t="inlineStr">
        <is>
          <t>TAYFUN ÇELİK</t>
        </is>
      </c>
      <c r="E3838" s="4" t="inlineStr">
        <is>
          <t>Salı</t>
        </is>
      </c>
      <c r="F3838" s="4" t="inlineStr">
        <is>
          <t>13.10.2026</t>
        </is>
      </c>
      <c r="G3838" s="4" t="inlineStr">
        <is>
          <t>07:50</t>
        </is>
      </c>
      <c r="H3838" s="4" t="inlineStr">
        <is>
          <t>13.10.2026</t>
        </is>
      </c>
      <c r="I3838" s="4" t="inlineStr">
        <is>
          <t>19:06</t>
        </is>
      </c>
      <c r="J3838" s="8" t="n">
        <v>9.5</v>
      </c>
      <c r="K3838" s="8" t="n">
        <v>7.5</v>
      </c>
      <c r="L3838" s="8" t="n">
        <v>2</v>
      </c>
      <c r="M3838" s="29" t="inlineStr">
        <is>
          <t>MKP</t>
        </is>
      </c>
    </row>
    <row r="3839">
      <c r="A3839" s="4" t="n">
        <v>3838</v>
      </c>
      <c r="B3839" s="4" t="inlineStr">
        <is>
          <t>00183</t>
        </is>
      </c>
      <c r="C3839" s="4" t="inlineStr">
        <is>
          <t>00183</t>
        </is>
      </c>
      <c r="D3839" s="29" t="inlineStr">
        <is>
          <t>TAYFUN ÇELİK</t>
        </is>
      </c>
      <c r="E3839" s="4" t="inlineStr">
        <is>
          <t>Çarşamba</t>
        </is>
      </c>
      <c r="F3839" s="4" t="inlineStr">
        <is>
          <t>14.10.2026</t>
        </is>
      </c>
      <c r="G3839" s="4" t="inlineStr">
        <is>
          <t>07:58</t>
        </is>
      </c>
      <c r="H3839" s="4" t="inlineStr">
        <is>
          <t>14.10.2026</t>
        </is>
      </c>
      <c r="I3839" s="4" t="inlineStr">
        <is>
          <t>-</t>
        </is>
      </c>
      <c r="J3839" s="8" t="n">
        <v>7.5</v>
      </c>
      <c r="K3839" s="8" t="n">
        <v>7.5</v>
      </c>
      <c r="L3839" s="8" t="n">
        <v>0</v>
      </c>
      <c r="M3839" s="29" t="inlineStr">
        <is>
          <t>MKP</t>
        </is>
      </c>
    </row>
    <row r="3840">
      <c r="A3840" s="4" t="n">
        <v>3839</v>
      </c>
      <c r="B3840" s="4" t="inlineStr">
        <is>
          <t>00183</t>
        </is>
      </c>
      <c r="C3840" s="4" t="inlineStr">
        <is>
          <t>00183</t>
        </is>
      </c>
      <c r="D3840" s="29" t="inlineStr">
        <is>
          <t>TAYFUN ÇELİK</t>
        </is>
      </c>
      <c r="E3840" s="4" t="inlineStr">
        <is>
          <t>Perşembe</t>
        </is>
      </c>
      <c r="F3840" s="4" t="inlineStr">
        <is>
          <t>15.10.2026</t>
        </is>
      </c>
      <c r="G3840" s="4" t="inlineStr">
        <is>
          <t>-</t>
        </is>
      </c>
      <c r="H3840" s="4" t="inlineStr">
        <is>
          <t>15.10.2026</t>
        </is>
      </c>
      <c r="I3840" s="4" t="inlineStr">
        <is>
          <t>04:07</t>
        </is>
      </c>
      <c r="J3840" s="8" t="n">
        <v>18.5</v>
      </c>
      <c r="K3840" s="8" t="n">
        <v>7.5</v>
      </c>
      <c r="L3840" s="8" t="n">
        <v>11</v>
      </c>
      <c r="M3840" s="29" t="inlineStr">
        <is>
          <t>MKP</t>
        </is>
      </c>
    </row>
    <row r="3841">
      <c r="A3841" s="4" t="n">
        <v>3840</v>
      </c>
      <c r="B3841" s="4" t="inlineStr">
        <is>
          <t>00183</t>
        </is>
      </c>
      <c r="C3841" s="4" t="inlineStr">
        <is>
          <t>00183</t>
        </is>
      </c>
      <c r="D3841" s="29" t="inlineStr">
        <is>
          <t>TAYFUN ÇELİK</t>
        </is>
      </c>
      <c r="E3841" s="4" t="inlineStr">
        <is>
          <t>Cuma</t>
        </is>
      </c>
      <c r="F3841" s="4" t="inlineStr">
        <is>
          <t>16.10.2026</t>
        </is>
      </c>
      <c r="G3841" s="4" t="inlineStr">
        <is>
          <t>07:44</t>
        </is>
      </c>
      <c r="H3841" s="4" t="inlineStr">
        <is>
          <t>16.10.2026</t>
        </is>
      </c>
      <c r="I3841" s="4" t="inlineStr">
        <is>
          <t>20:02</t>
        </is>
      </c>
      <c r="J3841" s="8" t="n">
        <v>10.5</v>
      </c>
      <c r="K3841" s="8" t="n">
        <v>7.5</v>
      </c>
      <c r="L3841" s="8" t="n">
        <v>3</v>
      </c>
      <c r="M3841" s="29" t="inlineStr">
        <is>
          <t>MKP</t>
        </is>
      </c>
    </row>
    <row r="3842">
      <c r="A3842" s="4" t="n">
        <v>3841</v>
      </c>
      <c r="B3842" s="4" t="inlineStr">
        <is>
          <t>00183</t>
        </is>
      </c>
      <c r="C3842" s="4" t="inlineStr">
        <is>
          <t>00183</t>
        </is>
      </c>
      <c r="D3842" s="29" t="inlineStr">
        <is>
          <t>TAYFUN ÇELİK</t>
        </is>
      </c>
      <c r="E3842" s="4" t="inlineStr">
        <is>
          <t>Cumartesi</t>
        </is>
      </c>
      <c r="F3842" s="4" t="inlineStr">
        <is>
          <t>17.10.2026</t>
        </is>
      </c>
      <c r="G3842" s="4" t="inlineStr">
        <is>
          <t>07:49</t>
        </is>
      </c>
      <c r="H3842" s="4" t="inlineStr">
        <is>
          <t>17.10.2026</t>
        </is>
      </c>
      <c r="I3842" s="4" t="inlineStr">
        <is>
          <t>-</t>
        </is>
      </c>
      <c r="J3842" s="8" t="n">
        <v>7.5</v>
      </c>
      <c r="K3842" s="8" t="n">
        <v>7.5</v>
      </c>
      <c r="L3842" s="8" t="n">
        <v>0</v>
      </c>
      <c r="M3842" s="29" t="inlineStr">
        <is>
          <t>MKP</t>
        </is>
      </c>
    </row>
    <row r="3843">
      <c r="A3843" s="4" t="n">
        <v>3842</v>
      </c>
      <c r="B3843" s="4" t="inlineStr">
        <is>
          <t>00183</t>
        </is>
      </c>
      <c r="C3843" s="4" t="inlineStr">
        <is>
          <t>00183</t>
        </is>
      </c>
      <c r="D3843" s="29" t="inlineStr">
        <is>
          <t>TAYFUN ÇELİK</t>
        </is>
      </c>
      <c r="E3843" s="4" t="inlineStr">
        <is>
          <t>Pazar</t>
        </is>
      </c>
      <c r="F3843" s="4" t="inlineStr">
        <is>
          <t>18.10.2026</t>
        </is>
      </c>
      <c r="G3843" s="4" t="inlineStr">
        <is>
          <t>-</t>
        </is>
      </c>
      <c r="H3843" s="4" t="inlineStr">
        <is>
          <t>18.10.2026</t>
        </is>
      </c>
      <c r="I3843" s="4" t="inlineStr">
        <is>
          <t>02:32</t>
        </is>
      </c>
      <c r="J3843" s="8" t="n">
        <v>17</v>
      </c>
      <c r="K3843" s="8" t="n">
        <v>7.5</v>
      </c>
      <c r="L3843" s="8" t="n">
        <v>9.5</v>
      </c>
      <c r="M3843" s="29" t="inlineStr">
        <is>
          <t>MKP</t>
        </is>
      </c>
    </row>
    <row r="3844">
      <c r="A3844" s="4" t="n">
        <v>3843</v>
      </c>
      <c r="B3844" s="4" t="inlineStr">
        <is>
          <t>00183</t>
        </is>
      </c>
      <c r="C3844" s="4" t="inlineStr">
        <is>
          <t>00183</t>
        </is>
      </c>
      <c r="D3844" s="29" t="inlineStr">
        <is>
          <t>TAYFUN ÇELİK</t>
        </is>
      </c>
      <c r="E3844" s="4" t="inlineStr">
        <is>
          <t>Pazartesi</t>
        </is>
      </c>
      <c r="F3844" s="4" t="inlineStr">
        <is>
          <t>19.10.2026</t>
        </is>
      </c>
      <c r="G3844" s="4" t="inlineStr">
        <is>
          <t>07:47</t>
        </is>
      </c>
      <c r="H3844" s="4" t="inlineStr">
        <is>
          <t>19.10.2026</t>
        </is>
      </c>
      <c r="I3844" s="4" t="inlineStr">
        <is>
          <t>17:53</t>
        </is>
      </c>
      <c r="J3844" s="8" t="n">
        <v>8.5</v>
      </c>
      <c r="K3844" s="8" t="n">
        <v>7.5</v>
      </c>
      <c r="L3844" s="8" t="n">
        <v>1</v>
      </c>
      <c r="M3844" s="29" t="inlineStr">
        <is>
          <t>MKP</t>
        </is>
      </c>
    </row>
    <row r="3845">
      <c r="A3845" s="4" t="n">
        <v>3844</v>
      </c>
      <c r="B3845" s="4" t="inlineStr">
        <is>
          <t>00183</t>
        </is>
      </c>
      <c r="C3845" s="4" t="inlineStr">
        <is>
          <t>00183</t>
        </is>
      </c>
      <c r="D3845" s="29" t="inlineStr">
        <is>
          <t>TAYFUN ÇELİK</t>
        </is>
      </c>
      <c r="E3845" s="4" t="inlineStr">
        <is>
          <t>Salı</t>
        </is>
      </c>
      <c r="F3845" s="4" t="inlineStr">
        <is>
          <t>20.10.2026</t>
        </is>
      </c>
      <c r="G3845" s="4" t="inlineStr">
        <is>
          <t>07:47</t>
        </is>
      </c>
      <c r="H3845" s="4" t="inlineStr">
        <is>
          <t>20.10.2026</t>
        </is>
      </c>
      <c r="I3845" s="4" t="inlineStr">
        <is>
          <t>17:05</t>
        </is>
      </c>
      <c r="J3845" s="8" t="n">
        <v>7.5</v>
      </c>
      <c r="K3845" s="8" t="n">
        <v>7.5</v>
      </c>
      <c r="L3845" s="8" t="n">
        <v>0</v>
      </c>
      <c r="M3845" s="29" t="inlineStr">
        <is>
          <t>MKP</t>
        </is>
      </c>
    </row>
    <row r="3846">
      <c r="A3846" s="4" t="n">
        <v>3845</v>
      </c>
      <c r="B3846" s="4" t="inlineStr">
        <is>
          <t>00183</t>
        </is>
      </c>
      <c r="C3846" s="4" t="inlineStr">
        <is>
          <t>00183</t>
        </is>
      </c>
      <c r="D3846" s="29" t="inlineStr">
        <is>
          <t>TAYFUN ÇELİK</t>
        </is>
      </c>
      <c r="E3846" s="4" t="inlineStr">
        <is>
          <t>Çarşamba</t>
        </is>
      </c>
      <c r="F3846" s="4" t="inlineStr">
        <is>
          <t>21.10.2026</t>
        </is>
      </c>
      <c r="G3846" s="4" t="inlineStr">
        <is>
          <t>07:47</t>
        </is>
      </c>
      <c r="H3846" s="4" t="inlineStr">
        <is>
          <t>21.10.2026</t>
        </is>
      </c>
      <c r="I3846" s="4" t="inlineStr">
        <is>
          <t>-</t>
        </is>
      </c>
      <c r="J3846" s="8" t="n">
        <v>7.5</v>
      </c>
      <c r="K3846" s="8" t="n">
        <v>7.5</v>
      </c>
      <c r="L3846" s="8" t="n">
        <v>0</v>
      </c>
      <c r="M3846" s="29" t="inlineStr">
        <is>
          <t>MKP</t>
        </is>
      </c>
    </row>
    <row r="3847">
      <c r="A3847" s="4" t="n">
        <v>3846</v>
      </c>
      <c r="B3847" s="4" t="inlineStr">
        <is>
          <t>00243</t>
        </is>
      </c>
      <c r="C3847" s="4" t="inlineStr">
        <is>
          <t>00243</t>
        </is>
      </c>
      <c r="D3847" s="29" t="inlineStr">
        <is>
          <t>TAYFUN TIĞRAK</t>
        </is>
      </c>
      <c r="E3847" s="4" t="inlineStr">
        <is>
          <t>Perşembe</t>
        </is>
      </c>
      <c r="F3847" s="4" t="inlineStr">
        <is>
          <t>1.10.2026</t>
        </is>
      </c>
      <c r="G3847" s="4" t="inlineStr">
        <is>
          <t>07:47</t>
        </is>
      </c>
      <c r="H3847" s="4" t="inlineStr">
        <is>
          <t>1.10.2026</t>
        </is>
      </c>
      <c r="I3847" s="4" t="inlineStr">
        <is>
          <t>19:16</t>
        </is>
      </c>
      <c r="J3847" s="8" t="n">
        <v>9.5</v>
      </c>
      <c r="K3847" s="8" t="n">
        <v>7.5</v>
      </c>
      <c r="L3847" s="8" t="n">
        <v>2</v>
      </c>
      <c r="M3847" s="29" t="inlineStr">
        <is>
          <t>KARACABEY</t>
        </is>
      </c>
    </row>
    <row r="3848">
      <c r="A3848" s="4" t="n">
        <v>3847</v>
      </c>
      <c r="B3848" s="4" t="inlineStr">
        <is>
          <t>00243</t>
        </is>
      </c>
      <c r="C3848" s="4" t="inlineStr">
        <is>
          <t>00243</t>
        </is>
      </c>
      <c r="D3848" s="29" t="inlineStr">
        <is>
          <t>TAYFUN TIĞRAK</t>
        </is>
      </c>
      <c r="E3848" s="4" t="inlineStr">
        <is>
          <t>Cuma</t>
        </is>
      </c>
      <c r="F3848" s="4" t="inlineStr">
        <is>
          <t>2.10.2026</t>
        </is>
      </c>
      <c r="G3848" s="4" t="inlineStr">
        <is>
          <t>07:54</t>
        </is>
      </c>
      <c r="H3848" s="4" t="inlineStr">
        <is>
          <t>2.10.2026</t>
        </is>
      </c>
      <c r="I3848" s="4" t="inlineStr">
        <is>
          <t>19:52</t>
        </is>
      </c>
      <c r="J3848" s="8" t="n">
        <v>10.5</v>
      </c>
      <c r="K3848" s="8" t="n">
        <v>7.5</v>
      </c>
      <c r="L3848" s="8" t="n">
        <v>3</v>
      </c>
      <c r="M3848" s="29" t="inlineStr">
        <is>
          <t>KARACABEY</t>
        </is>
      </c>
    </row>
    <row r="3849">
      <c r="A3849" s="4" t="n">
        <v>3848</v>
      </c>
      <c r="B3849" s="4" t="inlineStr">
        <is>
          <t>00243</t>
        </is>
      </c>
      <c r="C3849" s="4" t="inlineStr">
        <is>
          <t>00243</t>
        </is>
      </c>
      <c r="D3849" s="29" t="inlineStr">
        <is>
          <t>TAYFUN TIĞRAK</t>
        </is>
      </c>
      <c r="E3849" s="4" t="inlineStr">
        <is>
          <t>Cumartesi</t>
        </is>
      </c>
      <c r="F3849" s="4" t="inlineStr">
        <is>
          <t>3.10.2026</t>
        </is>
      </c>
      <c r="G3849" s="4" t="inlineStr">
        <is>
          <t>07:50</t>
        </is>
      </c>
      <c r="H3849" s="4" t="inlineStr">
        <is>
          <t>3.10.2026</t>
        </is>
      </c>
      <c r="I3849" s="4" t="inlineStr">
        <is>
          <t>20:00</t>
        </is>
      </c>
      <c r="J3849" s="8" t="n">
        <v>10.5</v>
      </c>
      <c r="K3849" s="8" t="n">
        <v>7.5</v>
      </c>
      <c r="L3849" s="8" t="n">
        <v>3</v>
      </c>
      <c r="M3849" s="29" t="inlineStr">
        <is>
          <t>KARACABEY</t>
        </is>
      </c>
    </row>
    <row r="3850">
      <c r="A3850" s="4" t="n">
        <v>3849</v>
      </c>
      <c r="B3850" s="4" t="inlineStr">
        <is>
          <t>00243</t>
        </is>
      </c>
      <c r="C3850" s="4" t="inlineStr">
        <is>
          <t>00243</t>
        </is>
      </c>
      <c r="D3850" s="29" t="inlineStr">
        <is>
          <t>TAYFUN TIĞRAK</t>
        </is>
      </c>
      <c r="E3850" s="4" t="inlineStr">
        <is>
          <t>Pazartesi</t>
        </is>
      </c>
      <c r="F3850" s="4" t="inlineStr">
        <is>
          <t>5.10.2026</t>
        </is>
      </c>
      <c r="G3850" s="4" t="inlineStr">
        <is>
          <t>07:52</t>
        </is>
      </c>
      <c r="H3850" s="4" t="inlineStr">
        <is>
          <t>5.10.2026</t>
        </is>
      </c>
      <c r="I3850" s="4" t="inlineStr">
        <is>
          <t>18:55</t>
        </is>
      </c>
      <c r="J3850" s="8" t="n">
        <v>9.5</v>
      </c>
      <c r="K3850" s="8" t="n">
        <v>7.5</v>
      </c>
      <c r="L3850" s="8" t="n">
        <v>2</v>
      </c>
      <c r="M3850" s="29" t="inlineStr">
        <is>
          <t>KARACABEY</t>
        </is>
      </c>
    </row>
    <row r="3851">
      <c r="A3851" s="4" t="n">
        <v>3850</v>
      </c>
      <c r="B3851" s="4" t="inlineStr">
        <is>
          <t>00243</t>
        </is>
      </c>
      <c r="C3851" s="4" t="inlineStr">
        <is>
          <t>00243</t>
        </is>
      </c>
      <c r="D3851" s="29" t="inlineStr">
        <is>
          <t>TAYFUN TIĞRAK</t>
        </is>
      </c>
      <c r="E3851" s="4" t="inlineStr">
        <is>
          <t>Salı</t>
        </is>
      </c>
      <c r="F3851" s="4" t="inlineStr">
        <is>
          <t>6.10.2026</t>
        </is>
      </c>
      <c r="G3851" s="4" t="inlineStr">
        <is>
          <t>07:54</t>
        </is>
      </c>
      <c r="H3851" s="4" t="inlineStr">
        <is>
          <t>6.10.2026</t>
        </is>
      </c>
      <c r="I3851" s="4" t="inlineStr">
        <is>
          <t>20:17</t>
        </is>
      </c>
      <c r="J3851" s="8" t="n">
        <v>10.5</v>
      </c>
      <c r="K3851" s="8" t="n">
        <v>7.5</v>
      </c>
      <c r="L3851" s="8" t="n">
        <v>3</v>
      </c>
      <c r="M3851" s="29" t="inlineStr">
        <is>
          <t>KARACABEY</t>
        </is>
      </c>
    </row>
    <row r="3852">
      <c r="A3852" s="4" t="n">
        <v>3851</v>
      </c>
      <c r="B3852" s="4" t="inlineStr">
        <is>
          <t>00243</t>
        </is>
      </c>
      <c r="C3852" s="4" t="inlineStr">
        <is>
          <t>00243</t>
        </is>
      </c>
      <c r="D3852" s="29" t="inlineStr">
        <is>
          <t>TAYFUN TIĞRAK</t>
        </is>
      </c>
      <c r="E3852" s="4" t="inlineStr">
        <is>
          <t>Çarşamba</t>
        </is>
      </c>
      <c r="F3852" s="4" t="inlineStr">
        <is>
          <t>7.10.2026</t>
        </is>
      </c>
      <c r="G3852" s="4" t="inlineStr">
        <is>
          <t>07:46</t>
        </is>
      </c>
      <c r="H3852" s="4" t="inlineStr">
        <is>
          <t>7.10.2026</t>
        </is>
      </c>
      <c r="I3852" s="4" t="inlineStr">
        <is>
          <t>17:11</t>
        </is>
      </c>
      <c r="J3852" s="8" t="n">
        <v>7.5</v>
      </c>
      <c r="K3852" s="8" t="n">
        <v>7.5</v>
      </c>
      <c r="L3852" s="8" t="n">
        <v>0</v>
      </c>
      <c r="M3852" s="29" t="inlineStr">
        <is>
          <t>KARACABEY</t>
        </is>
      </c>
    </row>
    <row r="3853">
      <c r="A3853" s="4" t="n">
        <v>3852</v>
      </c>
      <c r="B3853" s="4" t="inlineStr">
        <is>
          <t>00243</t>
        </is>
      </c>
      <c r="C3853" s="4" t="inlineStr">
        <is>
          <t>00243</t>
        </is>
      </c>
      <c r="D3853" s="29" t="inlineStr">
        <is>
          <t>TAYFUN TIĞRAK</t>
        </is>
      </c>
      <c r="E3853" s="4" t="inlineStr">
        <is>
          <t>Perşembe</t>
        </is>
      </c>
      <c r="F3853" s="4" t="inlineStr">
        <is>
          <t>8.10.2026</t>
        </is>
      </c>
      <c r="G3853" s="4" t="inlineStr">
        <is>
          <t>07:48</t>
        </is>
      </c>
      <c r="H3853" s="4" t="inlineStr">
        <is>
          <t>8.10.2026</t>
        </is>
      </c>
      <c r="I3853" s="4" t="inlineStr">
        <is>
          <t>20:07</t>
        </is>
      </c>
      <c r="J3853" s="8" t="n">
        <v>10.5</v>
      </c>
      <c r="K3853" s="8" t="n">
        <v>7.5</v>
      </c>
      <c r="L3853" s="8" t="n">
        <v>3</v>
      </c>
      <c r="M3853" s="29" t="inlineStr">
        <is>
          <t>KARACABEY</t>
        </is>
      </c>
    </row>
    <row r="3854">
      <c r="A3854" s="4" t="n">
        <v>3853</v>
      </c>
      <c r="B3854" s="4" t="inlineStr">
        <is>
          <t>00243</t>
        </is>
      </c>
      <c r="C3854" s="4" t="inlineStr">
        <is>
          <t>00243</t>
        </is>
      </c>
      <c r="D3854" s="29" t="inlineStr">
        <is>
          <t>TAYFUN TIĞRAK</t>
        </is>
      </c>
      <c r="E3854" s="4" t="inlineStr">
        <is>
          <t>Cuma</t>
        </is>
      </c>
      <c r="F3854" s="4" t="inlineStr">
        <is>
          <t>9.10.2026</t>
        </is>
      </c>
      <c r="G3854" s="4" t="inlineStr">
        <is>
          <t>07:49</t>
        </is>
      </c>
      <c r="H3854" s="4" t="inlineStr">
        <is>
          <t>9.10.2026</t>
        </is>
      </c>
      <c r="I3854" s="4" t="inlineStr">
        <is>
          <t>17:46</t>
        </is>
      </c>
      <c r="J3854" s="8" t="n">
        <v>8.5</v>
      </c>
      <c r="K3854" s="8" t="n">
        <v>7.5</v>
      </c>
      <c r="L3854" s="8" t="n">
        <v>1</v>
      </c>
      <c r="M3854" s="29" t="inlineStr">
        <is>
          <t>KARACABEY</t>
        </is>
      </c>
    </row>
    <row r="3855">
      <c r="A3855" s="4" t="n">
        <v>3854</v>
      </c>
      <c r="B3855" s="4" t="inlineStr">
        <is>
          <t>00243</t>
        </is>
      </c>
      <c r="C3855" s="4" t="inlineStr">
        <is>
          <t>00243</t>
        </is>
      </c>
      <c r="D3855" s="29" t="inlineStr">
        <is>
          <t>TAYFUN TIĞRAK</t>
        </is>
      </c>
      <c r="E3855" s="4" t="inlineStr">
        <is>
          <t>Cumartesi</t>
        </is>
      </c>
      <c r="F3855" s="4" t="inlineStr">
        <is>
          <t>10.10.2026</t>
        </is>
      </c>
      <c r="G3855" s="4" t="inlineStr">
        <is>
          <t>07:48</t>
        </is>
      </c>
      <c r="H3855" s="4" t="inlineStr">
        <is>
          <t>10.10.2026</t>
        </is>
      </c>
      <c r="I3855" s="4" t="inlineStr">
        <is>
          <t>00:46</t>
        </is>
      </c>
      <c r="J3855" s="8" t="n">
        <v>15.5</v>
      </c>
      <c r="K3855" s="8" t="n">
        <v>7.5</v>
      </c>
      <c r="L3855" s="8" t="n">
        <v>8</v>
      </c>
      <c r="M3855" s="29" t="inlineStr">
        <is>
          <t>KARACABEY</t>
        </is>
      </c>
    </row>
    <row r="3856">
      <c r="A3856" s="4" t="n">
        <v>3855</v>
      </c>
      <c r="B3856" s="4" t="inlineStr">
        <is>
          <t>00243</t>
        </is>
      </c>
      <c r="C3856" s="4" t="inlineStr">
        <is>
          <t>00243</t>
        </is>
      </c>
      <c r="D3856" s="29" t="inlineStr">
        <is>
          <t>TAYFUN TIĞRAK</t>
        </is>
      </c>
      <c r="E3856" s="4" t="inlineStr">
        <is>
          <t>Pazartesi</t>
        </is>
      </c>
      <c r="F3856" s="4" t="inlineStr">
        <is>
          <t>12.10.2026</t>
        </is>
      </c>
      <c r="G3856" s="4" t="inlineStr">
        <is>
          <t>07:47</t>
        </is>
      </c>
      <c r="H3856" s="4" t="inlineStr">
        <is>
          <t>12.10.2026</t>
        </is>
      </c>
      <c r="I3856" s="4" t="inlineStr">
        <is>
          <t>18:52</t>
        </is>
      </c>
      <c r="J3856" s="8" t="n">
        <v>9.5</v>
      </c>
      <c r="K3856" s="8" t="n">
        <v>7.5</v>
      </c>
      <c r="L3856" s="8" t="n">
        <v>2</v>
      </c>
      <c r="M3856" s="29" t="inlineStr">
        <is>
          <t>KARACABEY</t>
        </is>
      </c>
    </row>
    <row r="3857">
      <c r="A3857" s="4" t="n">
        <v>3856</v>
      </c>
      <c r="B3857" s="4" t="inlineStr">
        <is>
          <t>00243</t>
        </is>
      </c>
      <c r="C3857" s="4" t="inlineStr">
        <is>
          <t>00243</t>
        </is>
      </c>
      <c r="D3857" s="29" t="inlineStr">
        <is>
          <t>TAYFUN TIĞRAK</t>
        </is>
      </c>
      <c r="E3857" s="4" t="inlineStr">
        <is>
          <t>Salı</t>
        </is>
      </c>
      <c r="F3857" s="4" t="inlineStr">
        <is>
          <t>13.10.2026</t>
        </is>
      </c>
      <c r="G3857" s="4" t="inlineStr">
        <is>
          <t>07:51</t>
        </is>
      </c>
      <c r="H3857" s="4" t="inlineStr">
        <is>
          <t>13.10.2026</t>
        </is>
      </c>
      <c r="I3857" s="4" t="inlineStr">
        <is>
          <t>19:07</t>
        </is>
      </c>
      <c r="J3857" s="8" t="n">
        <v>9.5</v>
      </c>
      <c r="K3857" s="8" t="n">
        <v>7.5</v>
      </c>
      <c r="L3857" s="8" t="n">
        <v>2</v>
      </c>
      <c r="M3857" s="29" t="inlineStr">
        <is>
          <t>KARACABEY</t>
        </is>
      </c>
    </row>
    <row r="3858">
      <c r="A3858" s="4" t="n">
        <v>3857</v>
      </c>
      <c r="B3858" s="4" t="inlineStr">
        <is>
          <t>00243</t>
        </is>
      </c>
      <c r="C3858" s="4" t="inlineStr">
        <is>
          <t>00243</t>
        </is>
      </c>
      <c r="D3858" s="29" t="inlineStr">
        <is>
          <t>TAYFUN TIĞRAK</t>
        </is>
      </c>
      <c r="E3858" s="4" t="inlineStr">
        <is>
          <t>Çarşamba</t>
        </is>
      </c>
      <c r="F3858" s="4" t="inlineStr">
        <is>
          <t>14.10.2026</t>
        </is>
      </c>
      <c r="G3858" s="4" t="inlineStr">
        <is>
          <t>09:43</t>
        </is>
      </c>
      <c r="H3858" s="4" t="inlineStr">
        <is>
          <t>14.10.2026</t>
        </is>
      </c>
      <c r="I3858" s="4" t="inlineStr">
        <is>
          <t>18:28</t>
        </is>
      </c>
      <c r="J3858" s="8" t="n">
        <v>7.5</v>
      </c>
      <c r="K3858" s="8" t="n">
        <v>6</v>
      </c>
      <c r="L3858" s="8" t="n">
        <v>1.5</v>
      </c>
      <c r="M3858" s="29" t="inlineStr">
        <is>
          <t>KARACABEY</t>
        </is>
      </c>
    </row>
    <row r="3859">
      <c r="A3859" s="4" t="n">
        <v>3858</v>
      </c>
      <c r="B3859" s="4" t="inlineStr">
        <is>
          <t>00243</t>
        </is>
      </c>
      <c r="C3859" s="4" t="inlineStr">
        <is>
          <t>00243</t>
        </is>
      </c>
      <c r="D3859" s="29" t="inlineStr">
        <is>
          <t>TAYFUN TIĞRAK</t>
        </is>
      </c>
      <c r="E3859" s="4" t="inlineStr">
        <is>
          <t>Perşembe</t>
        </is>
      </c>
      <c r="F3859" s="4" t="inlineStr">
        <is>
          <t>15.10.2026</t>
        </is>
      </c>
      <c r="G3859" s="4" t="inlineStr">
        <is>
          <t>07:45</t>
        </is>
      </c>
      <c r="H3859" s="4" t="inlineStr">
        <is>
          <t>15.10.2026</t>
        </is>
      </c>
      <c r="I3859" s="4" t="inlineStr">
        <is>
          <t>17:04</t>
        </is>
      </c>
      <c r="J3859" s="8" t="n">
        <v>7.5</v>
      </c>
      <c r="K3859" s="8" t="n">
        <v>7.5</v>
      </c>
      <c r="L3859" s="8" t="n">
        <v>0</v>
      </c>
      <c r="M3859" s="29" t="inlineStr">
        <is>
          <t>KARACABEY</t>
        </is>
      </c>
    </row>
    <row r="3860">
      <c r="A3860" s="4" t="n">
        <v>3859</v>
      </c>
      <c r="B3860" s="4" t="inlineStr">
        <is>
          <t>00243</t>
        </is>
      </c>
      <c r="C3860" s="4" t="inlineStr">
        <is>
          <t>00243</t>
        </is>
      </c>
      <c r="D3860" s="29" t="inlineStr">
        <is>
          <t>TAYFUN TIĞRAK</t>
        </is>
      </c>
      <c r="E3860" s="4" t="inlineStr">
        <is>
          <t>Cuma</t>
        </is>
      </c>
      <c r="F3860" s="4" t="inlineStr">
        <is>
          <t>16.10.2026</t>
        </is>
      </c>
      <c r="G3860" s="4" t="inlineStr">
        <is>
          <t>07:47</t>
        </is>
      </c>
      <c r="H3860" s="4" t="inlineStr">
        <is>
          <t>16.10.2026</t>
        </is>
      </c>
      <c r="I3860" s="4" t="inlineStr">
        <is>
          <t>20:02</t>
        </is>
      </c>
      <c r="J3860" s="8" t="n">
        <v>10.5</v>
      </c>
      <c r="K3860" s="8" t="n">
        <v>7.5</v>
      </c>
      <c r="L3860" s="8" t="n">
        <v>3</v>
      </c>
      <c r="M3860" s="29" t="inlineStr">
        <is>
          <t>KARACABEY</t>
        </is>
      </c>
    </row>
    <row r="3861">
      <c r="A3861" s="4" t="n">
        <v>3860</v>
      </c>
      <c r="B3861" s="4" t="inlineStr">
        <is>
          <t>00243</t>
        </is>
      </c>
      <c r="C3861" s="4" t="inlineStr">
        <is>
          <t>00243</t>
        </is>
      </c>
      <c r="D3861" s="29" t="inlineStr">
        <is>
          <t>TAYFUN TIĞRAK</t>
        </is>
      </c>
      <c r="E3861" s="4" t="inlineStr">
        <is>
          <t>Cumartesi</t>
        </is>
      </c>
      <c r="F3861" s="4" t="inlineStr">
        <is>
          <t>17.10.2026</t>
        </is>
      </c>
      <c r="G3861" s="4" t="inlineStr">
        <is>
          <t>07:50</t>
        </is>
      </c>
      <c r="H3861" s="4" t="inlineStr">
        <is>
          <t>17.10.2026</t>
        </is>
      </c>
      <c r="I3861" s="4" t="inlineStr">
        <is>
          <t>19:54</t>
        </is>
      </c>
      <c r="J3861" s="8" t="n">
        <v>10.5</v>
      </c>
      <c r="K3861" s="8" t="n">
        <v>7.5</v>
      </c>
      <c r="L3861" s="8" t="n">
        <v>3</v>
      </c>
      <c r="M3861" s="29" t="inlineStr">
        <is>
          <t>KARACABEY</t>
        </is>
      </c>
    </row>
    <row r="3862">
      <c r="A3862" s="4" t="n">
        <v>3861</v>
      </c>
      <c r="B3862" s="4" t="inlineStr">
        <is>
          <t>00243</t>
        </is>
      </c>
      <c r="C3862" s="4" t="inlineStr">
        <is>
          <t>00243</t>
        </is>
      </c>
      <c r="D3862" s="29" t="inlineStr">
        <is>
          <t>TAYFUN TIĞRAK</t>
        </is>
      </c>
      <c r="E3862" s="4" t="inlineStr">
        <is>
          <t>Pazartesi</t>
        </is>
      </c>
      <c r="F3862" s="4" t="inlineStr">
        <is>
          <t>19.10.2026</t>
        </is>
      </c>
      <c r="G3862" s="4" t="inlineStr">
        <is>
          <t>07:44</t>
        </is>
      </c>
      <c r="H3862" s="4" t="inlineStr">
        <is>
          <t>19.10.2026</t>
        </is>
      </c>
      <c r="I3862" s="4" t="inlineStr">
        <is>
          <t>18:25</t>
        </is>
      </c>
      <c r="J3862" s="8" t="n">
        <v>9</v>
      </c>
      <c r="K3862" s="8" t="n">
        <v>7.5</v>
      </c>
      <c r="L3862" s="8" t="n">
        <v>1.5</v>
      </c>
      <c r="M3862" s="29" t="inlineStr">
        <is>
          <t>KARACABEY</t>
        </is>
      </c>
    </row>
    <row r="3863">
      <c r="A3863" s="4" t="n">
        <v>3862</v>
      </c>
      <c r="B3863" s="4" t="inlineStr">
        <is>
          <t>00243</t>
        </is>
      </c>
      <c r="C3863" s="4" t="inlineStr">
        <is>
          <t>00243</t>
        </is>
      </c>
      <c r="D3863" s="29" t="inlineStr">
        <is>
          <t>TAYFUN TIĞRAK</t>
        </is>
      </c>
      <c r="E3863" s="4" t="inlineStr">
        <is>
          <t>Salı</t>
        </is>
      </c>
      <c r="F3863" s="4" t="inlineStr">
        <is>
          <t>20.10.2026</t>
        </is>
      </c>
      <c r="G3863" s="4" t="inlineStr">
        <is>
          <t>07:44</t>
        </is>
      </c>
      <c r="H3863" s="4" t="inlineStr">
        <is>
          <t>20.10.2026</t>
        </is>
      </c>
      <c r="I3863" s="4" t="inlineStr">
        <is>
          <t>19:00</t>
        </is>
      </c>
      <c r="J3863" s="8" t="n">
        <v>9.5</v>
      </c>
      <c r="K3863" s="8" t="n">
        <v>7.5</v>
      </c>
      <c r="L3863" s="8" t="n">
        <v>2</v>
      </c>
      <c r="M3863" s="29" t="inlineStr">
        <is>
          <t>KARACABEY</t>
        </is>
      </c>
    </row>
    <row r="3864">
      <c r="A3864" s="4" t="n">
        <v>3863</v>
      </c>
      <c r="B3864" s="4" t="inlineStr">
        <is>
          <t>00243</t>
        </is>
      </c>
      <c r="C3864" s="4" t="inlineStr">
        <is>
          <t>00243</t>
        </is>
      </c>
      <c r="D3864" s="29" t="inlineStr">
        <is>
          <t>TAYFUN TIĞRAK</t>
        </is>
      </c>
      <c r="E3864" s="4" t="inlineStr">
        <is>
          <t>Çarşamba</t>
        </is>
      </c>
      <c r="F3864" s="4" t="inlineStr">
        <is>
          <t>21.10.2026</t>
        </is>
      </c>
      <c r="G3864" s="4" t="inlineStr">
        <is>
          <t>10:18</t>
        </is>
      </c>
      <c r="H3864" s="4" t="inlineStr">
        <is>
          <t>21.10.2026</t>
        </is>
      </c>
      <c r="I3864" s="4" t="inlineStr">
        <is>
          <t>19:00</t>
        </is>
      </c>
      <c r="J3864" s="8" t="n">
        <v>7.5</v>
      </c>
      <c r="K3864" s="8" t="n">
        <v>5.5</v>
      </c>
      <c r="L3864" s="8" t="n">
        <v>2</v>
      </c>
      <c r="M3864" s="29" t="inlineStr">
        <is>
          <t>KARACABEY</t>
        </is>
      </c>
    </row>
    <row r="3865">
      <c r="A3865" s="4" t="n">
        <v>3864</v>
      </c>
      <c r="B3865" s="4" t="inlineStr">
        <is>
          <t>00976</t>
        </is>
      </c>
      <c r="C3865" s="4" t="inlineStr">
        <is>
          <t>00976</t>
        </is>
      </c>
      <c r="D3865" s="29" t="inlineStr">
        <is>
          <t>TAYFUN GÜNCÜ</t>
        </is>
      </c>
      <c r="E3865" s="4" t="inlineStr">
        <is>
          <t>Perşembe</t>
        </is>
      </c>
      <c r="F3865" s="4" t="inlineStr">
        <is>
          <t>1.10.2026</t>
        </is>
      </c>
      <c r="G3865" s="4" t="inlineStr">
        <is>
          <t>07:54</t>
        </is>
      </c>
      <c r="H3865" s="4" t="inlineStr">
        <is>
          <t>1.10.2026</t>
        </is>
      </c>
      <c r="I3865" s="4" t="inlineStr">
        <is>
          <t>17:27</t>
        </is>
      </c>
      <c r="J3865" s="8" t="n">
        <v>8</v>
      </c>
      <c r="K3865" s="8" t="n">
        <v>7.5</v>
      </c>
      <c r="L3865" s="8" t="n">
        <v>0.5</v>
      </c>
      <c r="M3865" s="29" t="inlineStr">
        <is>
          <t>HALİL DİĞRENCİ</t>
        </is>
      </c>
    </row>
    <row r="3866">
      <c r="A3866" s="4" t="n">
        <v>3865</v>
      </c>
      <c r="B3866" s="4" t="inlineStr">
        <is>
          <t>00976</t>
        </is>
      </c>
      <c r="C3866" s="4" t="inlineStr">
        <is>
          <t>00976</t>
        </is>
      </c>
      <c r="D3866" s="29" t="inlineStr">
        <is>
          <t>TAYFUN GÜNCÜ</t>
        </is>
      </c>
      <c r="E3866" s="4" t="inlineStr">
        <is>
          <t>Cuma</t>
        </is>
      </c>
      <c r="F3866" s="4" t="inlineStr">
        <is>
          <t>2.10.2026</t>
        </is>
      </c>
      <c r="G3866" s="4" t="inlineStr">
        <is>
          <t>07:59</t>
        </is>
      </c>
      <c r="H3866" s="4" t="inlineStr">
        <is>
          <t>2.10.2026</t>
        </is>
      </c>
      <c r="I3866" s="4" t="inlineStr">
        <is>
          <t>17:48</t>
        </is>
      </c>
      <c r="J3866" s="8" t="n">
        <v>8.5</v>
      </c>
      <c r="K3866" s="8" t="n">
        <v>7.5</v>
      </c>
      <c r="L3866" s="8" t="n">
        <v>1</v>
      </c>
      <c r="M3866" s="29" t="inlineStr">
        <is>
          <t>HALİL DİĞRENCİ</t>
        </is>
      </c>
    </row>
    <row r="3867">
      <c r="A3867" s="4" t="n">
        <v>3866</v>
      </c>
      <c r="B3867" s="4" t="inlineStr">
        <is>
          <t>00976</t>
        </is>
      </c>
      <c r="C3867" s="4" t="inlineStr">
        <is>
          <t>00976</t>
        </is>
      </c>
      <c r="D3867" s="29" t="inlineStr">
        <is>
          <t>TAYFUN GÜNCÜ</t>
        </is>
      </c>
      <c r="E3867" s="4" t="inlineStr">
        <is>
          <t>Cumartesi</t>
        </is>
      </c>
      <c r="F3867" s="4" t="inlineStr">
        <is>
          <t>3.10.2026</t>
        </is>
      </c>
      <c r="G3867" s="4" t="inlineStr">
        <is>
          <t>08:01</t>
        </is>
      </c>
      <c r="H3867" s="4" t="inlineStr">
        <is>
          <t>3.10.2026</t>
        </is>
      </c>
      <c r="I3867" s="4" t="inlineStr">
        <is>
          <t>17:40</t>
        </is>
      </c>
      <c r="J3867" s="8" t="n">
        <v>8</v>
      </c>
      <c r="K3867" s="8" t="n">
        <v>7.5</v>
      </c>
      <c r="L3867" s="8" t="n">
        <v>0.5</v>
      </c>
      <c r="M3867" s="29" t="inlineStr">
        <is>
          <t>HALİL DİĞRENCİ</t>
        </is>
      </c>
    </row>
    <row r="3868">
      <c r="A3868" s="4" t="n">
        <v>3867</v>
      </c>
      <c r="B3868" s="4" t="inlineStr">
        <is>
          <t>00976</t>
        </is>
      </c>
      <c r="C3868" s="4" t="inlineStr">
        <is>
          <t>00976</t>
        </is>
      </c>
      <c r="D3868" s="29" t="inlineStr">
        <is>
          <t>TAYFUN GÜNCÜ</t>
        </is>
      </c>
      <c r="E3868" s="4" t="inlineStr">
        <is>
          <t>Pazartesi</t>
        </is>
      </c>
      <c r="F3868" s="4" t="inlineStr">
        <is>
          <t>5.10.2026</t>
        </is>
      </c>
      <c r="G3868" s="4" t="inlineStr">
        <is>
          <t>08:00</t>
        </is>
      </c>
      <c r="H3868" s="4" t="inlineStr">
        <is>
          <t>5.10.2026</t>
        </is>
      </c>
      <c r="I3868" s="4" t="inlineStr">
        <is>
          <t>17:06</t>
        </is>
      </c>
      <c r="J3868" s="8" t="n">
        <v>7.5</v>
      </c>
      <c r="K3868" s="8" t="n">
        <v>7.5</v>
      </c>
      <c r="L3868" s="8" t="n">
        <v>0</v>
      </c>
      <c r="M3868" s="29" t="inlineStr">
        <is>
          <t>HALİL DİĞRENCİ</t>
        </is>
      </c>
    </row>
    <row r="3869">
      <c r="A3869" s="4" t="n">
        <v>3868</v>
      </c>
      <c r="B3869" s="4" t="inlineStr">
        <is>
          <t>00976</t>
        </is>
      </c>
      <c r="C3869" s="4" t="inlineStr">
        <is>
          <t>00976</t>
        </is>
      </c>
      <c r="D3869" s="29" t="inlineStr">
        <is>
          <t>TAYFUN GÜNCÜ</t>
        </is>
      </c>
      <c r="E3869" s="4" t="inlineStr">
        <is>
          <t>Salı</t>
        </is>
      </c>
      <c r="F3869" s="4" t="inlineStr">
        <is>
          <t>6.10.2026</t>
        </is>
      </c>
      <c r="G3869" s="4" t="inlineStr">
        <is>
          <t>07:33</t>
        </is>
      </c>
      <c r="H3869" s="4" t="inlineStr">
        <is>
          <t>6.10.2026</t>
        </is>
      </c>
      <c r="I3869" s="4" t="inlineStr">
        <is>
          <t>17:43</t>
        </is>
      </c>
      <c r="J3869" s="8" t="n">
        <v>8</v>
      </c>
      <c r="K3869" s="8" t="n">
        <v>7.5</v>
      </c>
      <c r="L3869" s="8" t="n">
        <v>0.5</v>
      </c>
      <c r="M3869" s="29" t="inlineStr">
        <is>
          <t>HALİL DİĞRENCİ</t>
        </is>
      </c>
    </row>
    <row r="3870">
      <c r="A3870" s="4" t="n">
        <v>3869</v>
      </c>
      <c r="B3870" s="4" t="inlineStr">
        <is>
          <t>00976</t>
        </is>
      </c>
      <c r="C3870" s="4" t="inlineStr">
        <is>
          <t>00976</t>
        </is>
      </c>
      <c r="D3870" s="29" t="inlineStr">
        <is>
          <t>TAYFUN GÜNCÜ</t>
        </is>
      </c>
      <c r="E3870" s="4" t="inlineStr">
        <is>
          <t>Çarşamba</t>
        </is>
      </c>
      <c r="F3870" s="4" t="inlineStr">
        <is>
          <t>7.10.2026</t>
        </is>
      </c>
      <c r="G3870" s="4" t="inlineStr">
        <is>
          <t>07:50</t>
        </is>
      </c>
      <c r="H3870" s="4" t="inlineStr">
        <is>
          <t>7.10.2026</t>
        </is>
      </c>
      <c r="I3870" s="4" t="inlineStr">
        <is>
          <t>17:26</t>
        </is>
      </c>
      <c r="J3870" s="8" t="n">
        <v>8</v>
      </c>
      <c r="K3870" s="8" t="n">
        <v>7.5</v>
      </c>
      <c r="L3870" s="8" t="n">
        <v>0.5</v>
      </c>
      <c r="M3870" s="29" t="inlineStr">
        <is>
          <t>HALİL DİĞRENCİ</t>
        </is>
      </c>
    </row>
    <row r="3871">
      <c r="A3871" s="4" t="n">
        <v>3870</v>
      </c>
      <c r="B3871" s="4" t="inlineStr">
        <is>
          <t>00976</t>
        </is>
      </c>
      <c r="C3871" s="4" t="inlineStr">
        <is>
          <t>00976</t>
        </is>
      </c>
      <c r="D3871" s="29" t="inlineStr">
        <is>
          <t>TAYFUN GÜNCÜ</t>
        </is>
      </c>
      <c r="E3871" s="4" t="inlineStr">
        <is>
          <t>Perşembe</t>
        </is>
      </c>
      <c r="F3871" s="4" t="inlineStr">
        <is>
          <t>8.10.2026</t>
        </is>
      </c>
      <c r="G3871" s="4" t="inlineStr">
        <is>
          <t>07:35</t>
        </is>
      </c>
      <c r="H3871" s="4" t="inlineStr">
        <is>
          <t>8.10.2026</t>
        </is>
      </c>
      <c r="I3871" s="4" t="inlineStr">
        <is>
          <t>17:31</t>
        </is>
      </c>
      <c r="J3871" s="8" t="n">
        <v>8</v>
      </c>
      <c r="K3871" s="8" t="n">
        <v>7.5</v>
      </c>
      <c r="L3871" s="8" t="n">
        <v>0.5</v>
      </c>
      <c r="M3871" s="29" t="inlineStr">
        <is>
          <t>HALİL DİĞRENCİ</t>
        </is>
      </c>
    </row>
    <row r="3872">
      <c r="A3872" s="4" t="n">
        <v>3871</v>
      </c>
      <c r="B3872" s="4" t="inlineStr">
        <is>
          <t>00976</t>
        </is>
      </c>
      <c r="C3872" s="4" t="inlineStr">
        <is>
          <t>00976</t>
        </is>
      </c>
      <c r="D3872" s="29" t="inlineStr">
        <is>
          <t>TAYFUN GÜNCÜ</t>
        </is>
      </c>
      <c r="E3872" s="4" t="inlineStr">
        <is>
          <t>Cuma</t>
        </is>
      </c>
      <c r="F3872" s="4" t="inlineStr">
        <is>
          <t>9.10.2026</t>
        </is>
      </c>
      <c r="G3872" s="4" t="inlineStr">
        <is>
          <t>07:31</t>
        </is>
      </c>
      <c r="H3872" s="4" t="inlineStr">
        <is>
          <t>9.10.2026</t>
        </is>
      </c>
      <c r="I3872" s="4" t="inlineStr">
        <is>
          <t>17:40</t>
        </is>
      </c>
      <c r="J3872" s="8" t="n">
        <v>8</v>
      </c>
      <c r="K3872" s="8" t="n">
        <v>7.5</v>
      </c>
      <c r="L3872" s="8" t="n">
        <v>0.5</v>
      </c>
      <c r="M3872" s="29" t="inlineStr">
        <is>
          <t>HALİL DİĞRENCİ</t>
        </is>
      </c>
    </row>
    <row r="3873">
      <c r="A3873" s="4" t="n">
        <v>3872</v>
      </c>
      <c r="B3873" s="4" t="inlineStr">
        <is>
          <t>00976</t>
        </is>
      </c>
      <c r="C3873" s="4" t="inlineStr">
        <is>
          <t>00976</t>
        </is>
      </c>
      <c r="D3873" s="29" t="inlineStr">
        <is>
          <t>TAYFUN GÜNCÜ</t>
        </is>
      </c>
      <c r="E3873" s="4" t="inlineStr">
        <is>
          <t>Cumartesi</t>
        </is>
      </c>
      <c r="F3873" s="4" t="inlineStr">
        <is>
          <t>10.10.2026</t>
        </is>
      </c>
      <c r="G3873" s="4" t="inlineStr">
        <is>
          <t>07:58</t>
        </is>
      </c>
      <c r="H3873" s="4" t="inlineStr">
        <is>
          <t>10.10.2026</t>
        </is>
      </c>
      <c r="I3873" s="4" t="inlineStr">
        <is>
          <t>18:11</t>
        </is>
      </c>
      <c r="J3873" s="8" t="n">
        <v>8.5</v>
      </c>
      <c r="K3873" s="8" t="n">
        <v>7.5</v>
      </c>
      <c r="L3873" s="8" t="n">
        <v>1</v>
      </c>
      <c r="M3873" s="29" t="inlineStr">
        <is>
          <t>HALİL DİĞRENCİ</t>
        </is>
      </c>
    </row>
    <row r="3874">
      <c r="A3874" s="4" t="n">
        <v>3873</v>
      </c>
      <c r="B3874" s="4" t="inlineStr">
        <is>
          <t>00976</t>
        </is>
      </c>
      <c r="C3874" s="4" t="inlineStr">
        <is>
          <t>00976</t>
        </is>
      </c>
      <c r="D3874" s="29" t="inlineStr">
        <is>
          <t>TAYFUN GÜNCÜ</t>
        </is>
      </c>
      <c r="E3874" s="4" t="inlineStr">
        <is>
          <t>Pazartesi</t>
        </is>
      </c>
      <c r="F3874" s="4" t="inlineStr">
        <is>
          <t>12.10.2026</t>
        </is>
      </c>
      <c r="G3874" s="4" t="inlineStr">
        <is>
          <t>07:41</t>
        </is>
      </c>
      <c r="H3874" s="4" t="inlineStr">
        <is>
          <t>12.10.2026</t>
        </is>
      </c>
      <c r="I3874" s="4" t="inlineStr">
        <is>
          <t>16:57</t>
        </is>
      </c>
      <c r="J3874" s="8" t="n">
        <v>7.5</v>
      </c>
      <c r="K3874" s="8" t="n">
        <v>7.5</v>
      </c>
      <c r="L3874" s="8" t="n">
        <v>0</v>
      </c>
      <c r="M3874" s="29" t="inlineStr">
        <is>
          <t>HALİL DİĞRENCİ</t>
        </is>
      </c>
    </row>
    <row r="3875">
      <c r="A3875" s="4" t="n">
        <v>3874</v>
      </c>
      <c r="B3875" s="4" t="inlineStr">
        <is>
          <t>00976</t>
        </is>
      </c>
      <c r="C3875" s="4" t="inlineStr">
        <is>
          <t>00976</t>
        </is>
      </c>
      <c r="D3875" s="29" t="inlineStr">
        <is>
          <t>TAYFUN GÜNCÜ</t>
        </is>
      </c>
      <c r="E3875" s="4" t="inlineStr">
        <is>
          <t>Salı</t>
        </is>
      </c>
      <c r="F3875" s="4" t="inlineStr">
        <is>
          <t>13.10.2026</t>
        </is>
      </c>
      <c r="G3875" s="4" t="inlineStr">
        <is>
          <t>08:01</t>
        </is>
      </c>
      <c r="H3875" s="4" t="inlineStr">
        <is>
          <t>13.10.2026</t>
        </is>
      </c>
      <c r="I3875" s="4" t="inlineStr">
        <is>
          <t>17:03</t>
        </is>
      </c>
      <c r="J3875" s="8" t="n">
        <v>7.5</v>
      </c>
      <c r="K3875" s="8" t="n">
        <v>7.5</v>
      </c>
      <c r="L3875" s="8" t="n">
        <v>0</v>
      </c>
      <c r="M3875" s="29" t="inlineStr">
        <is>
          <t>HALİL DİĞRENCİ</t>
        </is>
      </c>
    </row>
    <row r="3876">
      <c r="A3876" s="4" t="n">
        <v>3875</v>
      </c>
      <c r="B3876" s="4" t="inlineStr">
        <is>
          <t>00976</t>
        </is>
      </c>
      <c r="C3876" s="4" t="inlineStr">
        <is>
          <t>00976</t>
        </is>
      </c>
      <c r="D3876" s="29" t="inlineStr">
        <is>
          <t>TAYFUN GÜNCÜ</t>
        </is>
      </c>
      <c r="E3876" s="4" t="inlineStr">
        <is>
          <t>Çarşamba</t>
        </is>
      </c>
      <c r="F3876" s="4" t="inlineStr">
        <is>
          <t>14.10.2026</t>
        </is>
      </c>
      <c r="G3876" s="4" t="inlineStr">
        <is>
          <t>07:56</t>
        </is>
      </c>
      <c r="H3876" s="4" t="inlineStr">
        <is>
          <t>14.10.2026</t>
        </is>
      </c>
      <c r="I3876" s="4" t="inlineStr">
        <is>
          <t>18:00</t>
        </is>
      </c>
      <c r="J3876" s="8" t="n">
        <v>8.5</v>
      </c>
      <c r="K3876" s="8" t="n">
        <v>7.5</v>
      </c>
      <c r="L3876" s="8" t="n">
        <v>1</v>
      </c>
      <c r="M3876" s="29" t="inlineStr">
        <is>
          <t>HALİL DİĞRENCİ</t>
        </is>
      </c>
    </row>
    <row r="3877">
      <c r="A3877" s="4" t="n">
        <v>3876</v>
      </c>
      <c r="B3877" s="4" t="inlineStr">
        <is>
          <t>00976</t>
        </is>
      </c>
      <c r="C3877" s="4" t="inlineStr">
        <is>
          <t>00976</t>
        </is>
      </c>
      <c r="D3877" s="29" t="inlineStr">
        <is>
          <t>TAYFUN GÜNCÜ</t>
        </is>
      </c>
      <c r="E3877" s="4" t="inlineStr">
        <is>
          <t>Cuma</t>
        </is>
      </c>
      <c r="F3877" s="4" t="inlineStr">
        <is>
          <t>16.10.2026</t>
        </is>
      </c>
      <c r="G3877" s="4" t="inlineStr">
        <is>
          <t>07:57</t>
        </is>
      </c>
      <c r="H3877" s="4" t="inlineStr">
        <is>
          <t>16.10.2026</t>
        </is>
      </c>
      <c r="I3877" s="4" t="inlineStr">
        <is>
          <t>17:18</t>
        </is>
      </c>
      <c r="J3877" s="8" t="n">
        <v>7.5</v>
      </c>
      <c r="K3877" s="8" t="n">
        <v>7.5</v>
      </c>
      <c r="L3877" s="8" t="n">
        <v>0</v>
      </c>
      <c r="M3877" s="29" t="inlineStr">
        <is>
          <t>HALİL DİĞRENCİ</t>
        </is>
      </c>
    </row>
    <row r="3878">
      <c r="A3878" s="4" t="n">
        <v>3877</v>
      </c>
      <c r="B3878" s="4" t="inlineStr">
        <is>
          <t>00976</t>
        </is>
      </c>
      <c r="C3878" s="4" t="inlineStr">
        <is>
          <t>00976</t>
        </is>
      </c>
      <c r="D3878" s="29" t="inlineStr">
        <is>
          <t>TAYFUN GÜNCÜ</t>
        </is>
      </c>
      <c r="E3878" s="4" t="inlineStr">
        <is>
          <t>Cumartesi</t>
        </is>
      </c>
      <c r="F3878" s="4" t="inlineStr">
        <is>
          <t>17.10.2026</t>
        </is>
      </c>
      <c r="G3878" s="4" t="inlineStr">
        <is>
          <t>07:57</t>
        </is>
      </c>
      <c r="H3878" s="4" t="inlineStr">
        <is>
          <t>17.10.2026</t>
        </is>
      </c>
      <c r="I3878" s="4" t="inlineStr">
        <is>
          <t>17:47</t>
        </is>
      </c>
      <c r="J3878" s="8" t="n">
        <v>8.5</v>
      </c>
      <c r="K3878" s="8" t="n">
        <v>7.5</v>
      </c>
      <c r="L3878" s="8" t="n">
        <v>1</v>
      </c>
      <c r="M3878" s="29" t="inlineStr">
        <is>
          <t>HALİL DİĞRENCİ</t>
        </is>
      </c>
    </row>
    <row r="3879">
      <c r="A3879" s="4" t="n">
        <v>3878</v>
      </c>
      <c r="B3879" s="4" t="inlineStr">
        <is>
          <t>00976</t>
        </is>
      </c>
      <c r="C3879" s="4" t="inlineStr">
        <is>
          <t>00976</t>
        </is>
      </c>
      <c r="D3879" s="29" t="inlineStr">
        <is>
          <t>TAYFUN GÜNCÜ</t>
        </is>
      </c>
      <c r="E3879" s="4" t="inlineStr">
        <is>
          <t>Pazartesi</t>
        </is>
      </c>
      <c r="F3879" s="4" t="inlineStr">
        <is>
          <t>19.10.2026</t>
        </is>
      </c>
      <c r="G3879" s="4" t="inlineStr">
        <is>
          <t>07:37</t>
        </is>
      </c>
      <c r="H3879" s="4" t="inlineStr">
        <is>
          <t>19.10.2026</t>
        </is>
      </c>
      <c r="I3879" s="4" t="inlineStr">
        <is>
          <t>17:42</t>
        </is>
      </c>
      <c r="J3879" s="8" t="n">
        <v>8</v>
      </c>
      <c r="K3879" s="8" t="n">
        <v>7.5</v>
      </c>
      <c r="L3879" s="8" t="n">
        <v>0.5</v>
      </c>
      <c r="M3879" s="29" t="inlineStr">
        <is>
          <t>HALİL DİĞRENCİ</t>
        </is>
      </c>
    </row>
    <row r="3880">
      <c r="A3880" s="4" t="n">
        <v>3879</v>
      </c>
      <c r="B3880" s="4" t="inlineStr">
        <is>
          <t>00976</t>
        </is>
      </c>
      <c r="C3880" s="4" t="inlineStr">
        <is>
          <t>00976</t>
        </is>
      </c>
      <c r="D3880" s="29" t="inlineStr">
        <is>
          <t>TAYFUN GÜNCÜ</t>
        </is>
      </c>
      <c r="E3880" s="4" t="inlineStr">
        <is>
          <t>Salı</t>
        </is>
      </c>
      <c r="F3880" s="4" t="inlineStr">
        <is>
          <t>20.10.2026</t>
        </is>
      </c>
      <c r="G3880" s="4" t="inlineStr">
        <is>
          <t>07:31</t>
        </is>
      </c>
      <c r="H3880" s="4" t="inlineStr">
        <is>
          <t>20.10.2026</t>
        </is>
      </c>
      <c r="I3880" s="4" t="inlineStr">
        <is>
          <t>16:59</t>
        </is>
      </c>
      <c r="J3880" s="8" t="n">
        <v>7.5</v>
      </c>
      <c r="K3880" s="8" t="n">
        <v>7.5</v>
      </c>
      <c r="L3880" s="8" t="n">
        <v>0</v>
      </c>
      <c r="M3880" s="29" t="inlineStr">
        <is>
          <t>HALİL DİĞRENCİ</t>
        </is>
      </c>
    </row>
    <row r="3881">
      <c r="A3881" s="4" t="n">
        <v>3880</v>
      </c>
      <c r="B3881" s="4" t="inlineStr">
        <is>
          <t>00976</t>
        </is>
      </c>
      <c r="C3881" s="4" t="inlineStr">
        <is>
          <t>00976</t>
        </is>
      </c>
      <c r="D3881" s="29" t="inlineStr">
        <is>
          <t>TAYFUN GÜNCÜ</t>
        </is>
      </c>
      <c r="E3881" s="4" t="inlineStr">
        <is>
          <t>Çarşamba</t>
        </is>
      </c>
      <c r="F3881" s="4" t="inlineStr">
        <is>
          <t>21.10.2026</t>
        </is>
      </c>
      <c r="G3881" s="4" t="inlineStr">
        <is>
          <t>07:39</t>
        </is>
      </c>
      <c r="H3881" s="4" t="inlineStr">
        <is>
          <t>21.10.2026</t>
        </is>
      </c>
      <c r="I3881" s="4" t="inlineStr">
        <is>
          <t>16:58</t>
        </is>
      </c>
      <c r="J3881" s="8" t="n">
        <v>7.5</v>
      </c>
      <c r="K3881" s="8" t="n">
        <v>7.5</v>
      </c>
      <c r="L3881" s="8" t="n">
        <v>0</v>
      </c>
      <c r="M3881" s="29" t="inlineStr">
        <is>
          <t>HALİL DİĞRENCİ</t>
        </is>
      </c>
    </row>
    <row r="3882">
      <c r="A3882" s="4" t="n">
        <v>3881</v>
      </c>
      <c r="B3882" s="4" t="inlineStr">
        <is>
          <t>01536</t>
        </is>
      </c>
      <c r="C3882" s="4" t="inlineStr">
        <is>
          <t>01536</t>
        </is>
      </c>
      <c r="D3882" s="29" t="inlineStr">
        <is>
          <t>TUĞÇE KATMIŞ</t>
        </is>
      </c>
      <c r="E3882" s="4" t="inlineStr">
        <is>
          <t>Perşembe</t>
        </is>
      </c>
      <c r="F3882" s="4" t="inlineStr">
        <is>
          <t>8.10.2026</t>
        </is>
      </c>
      <c r="G3882" s="4" t="inlineStr">
        <is>
          <t>08:05</t>
        </is>
      </c>
      <c r="H3882" s="4" t="inlineStr">
        <is>
          <t>8.10.2026</t>
        </is>
      </c>
      <c r="I3882" s="4" t="inlineStr">
        <is>
          <t>17:09</t>
        </is>
      </c>
      <c r="J3882" s="8" t="n">
        <v>7.5</v>
      </c>
      <c r="K3882" s="8" t="n">
        <v>7.5</v>
      </c>
      <c r="L3882" s="8" t="n">
        <v>0</v>
      </c>
      <c r="M3882" s="29" t="inlineStr">
        <is>
          <t>HALİL DİĞRENCİ</t>
        </is>
      </c>
    </row>
    <row r="3883">
      <c r="A3883" s="4" t="n">
        <v>3882</v>
      </c>
      <c r="B3883" s="4" t="inlineStr">
        <is>
          <t>00501</t>
        </is>
      </c>
      <c r="C3883" s="4" t="inlineStr">
        <is>
          <t>00501</t>
        </is>
      </c>
      <c r="D3883" s="29" t="inlineStr">
        <is>
          <t>TUNCAY METİN</t>
        </is>
      </c>
      <c r="E3883" s="4" t="inlineStr">
        <is>
          <t>Cuma</t>
        </is>
      </c>
      <c r="F3883" s="4" t="inlineStr">
        <is>
          <t>2.10.2026</t>
        </is>
      </c>
      <c r="G3883" s="4" t="inlineStr">
        <is>
          <t>23:46</t>
        </is>
      </c>
      <c r="H3883" s="4" t="inlineStr">
        <is>
          <t>2.10.2026</t>
        </is>
      </c>
      <c r="I3883" s="4" t="inlineStr">
        <is>
          <t>-</t>
        </is>
      </c>
      <c r="J3883" s="8" t="n">
        <v>7.5</v>
      </c>
      <c r="K3883" s="8" t="n">
        <v>7.5</v>
      </c>
      <c r="L3883" s="8" t="n">
        <v>0</v>
      </c>
      <c r="M3883" s="29" t="inlineStr">
        <is>
          <t>SUSURLUK</t>
        </is>
      </c>
    </row>
    <row r="3884">
      <c r="A3884" s="4" t="n">
        <v>3883</v>
      </c>
      <c r="B3884" s="4" t="inlineStr">
        <is>
          <t>00501</t>
        </is>
      </c>
      <c r="C3884" s="4" t="inlineStr">
        <is>
          <t>00501</t>
        </is>
      </c>
      <c r="D3884" s="29" t="inlineStr">
        <is>
          <t>TUNCAY METİN</t>
        </is>
      </c>
      <c r="E3884" s="4" t="inlineStr">
        <is>
          <t>Cumartesi</t>
        </is>
      </c>
      <c r="F3884" s="4" t="inlineStr">
        <is>
          <t>3.10.2026</t>
        </is>
      </c>
      <c r="G3884" s="4" t="inlineStr">
        <is>
          <t>23:51</t>
        </is>
      </c>
      <c r="H3884" s="4" t="inlineStr">
        <is>
          <t>3.10.2026</t>
        </is>
      </c>
      <c r="I3884" s="4" t="inlineStr">
        <is>
          <t>08:04</t>
        </is>
      </c>
      <c r="J3884" s="8" t="n">
        <v>7.5</v>
      </c>
      <c r="K3884" s="8" t="n">
        <v>7.5</v>
      </c>
      <c r="L3884" s="8" t="n">
        <v>0</v>
      </c>
      <c r="M3884" s="29" t="inlineStr">
        <is>
          <t>SUSURLUK</t>
        </is>
      </c>
    </row>
    <row r="3885">
      <c r="A3885" s="4" t="n">
        <v>3884</v>
      </c>
      <c r="B3885" s="4" t="inlineStr">
        <is>
          <t>00501</t>
        </is>
      </c>
      <c r="C3885" s="4" t="inlineStr">
        <is>
          <t>00501</t>
        </is>
      </c>
      <c r="D3885" s="29" t="inlineStr">
        <is>
          <t>TUNCAY METİN</t>
        </is>
      </c>
      <c r="E3885" s="4" t="inlineStr">
        <is>
          <t>Pazar</t>
        </is>
      </c>
      <c r="F3885" s="4" t="inlineStr">
        <is>
          <t>4.10.2026</t>
        </is>
      </c>
      <c r="G3885" s="4" t="inlineStr">
        <is>
          <t>23:46</t>
        </is>
      </c>
      <c r="H3885" s="4" t="inlineStr">
        <is>
          <t>4.10.2026</t>
        </is>
      </c>
      <c r="I3885" s="4" t="inlineStr">
        <is>
          <t>08:02</t>
        </is>
      </c>
      <c r="J3885" s="8" t="n">
        <v>7.5</v>
      </c>
      <c r="K3885" s="8" t="n">
        <v>7.5</v>
      </c>
      <c r="L3885" s="8" t="n">
        <v>0</v>
      </c>
      <c r="M3885" s="29" t="inlineStr">
        <is>
          <t>SUSURLUK</t>
        </is>
      </c>
    </row>
    <row r="3886">
      <c r="A3886" s="4" t="n">
        <v>3885</v>
      </c>
      <c r="B3886" s="4" t="inlineStr">
        <is>
          <t>00501</t>
        </is>
      </c>
      <c r="C3886" s="4" t="inlineStr">
        <is>
          <t>00501</t>
        </is>
      </c>
      <c r="D3886" s="29" t="inlineStr">
        <is>
          <t>TUNCAY METİN</t>
        </is>
      </c>
      <c r="E3886" s="4" t="inlineStr">
        <is>
          <t>Pazartesi</t>
        </is>
      </c>
      <c r="F3886" s="4" t="inlineStr">
        <is>
          <t>5.10.2026</t>
        </is>
      </c>
      <c r="G3886" s="4" t="inlineStr">
        <is>
          <t>23:45</t>
        </is>
      </c>
      <c r="H3886" s="4" t="inlineStr">
        <is>
          <t>5.10.2026</t>
        </is>
      </c>
      <c r="I3886" s="4" t="inlineStr">
        <is>
          <t>07:59</t>
        </is>
      </c>
      <c r="J3886" s="8" t="n">
        <v>7.5</v>
      </c>
      <c r="K3886" s="8" t="n">
        <v>7.5</v>
      </c>
      <c r="L3886" s="8" t="n">
        <v>0</v>
      </c>
      <c r="M3886" s="29" t="inlineStr">
        <is>
          <t>SUSURLUK</t>
        </is>
      </c>
    </row>
    <row r="3887">
      <c r="A3887" s="4" t="n">
        <v>3886</v>
      </c>
      <c r="B3887" s="4" t="inlineStr">
        <is>
          <t>00501</t>
        </is>
      </c>
      <c r="C3887" s="4" t="inlineStr">
        <is>
          <t>00501</t>
        </is>
      </c>
      <c r="D3887" s="29" t="inlineStr">
        <is>
          <t>TUNCAY METİN</t>
        </is>
      </c>
      <c r="E3887" s="4" t="inlineStr">
        <is>
          <t>Salı</t>
        </is>
      </c>
      <c r="F3887" s="4" t="inlineStr">
        <is>
          <t>6.10.2026</t>
        </is>
      </c>
      <c r="G3887" s="4" t="inlineStr">
        <is>
          <t>23:46</t>
        </is>
      </c>
      <c r="H3887" s="4" t="inlineStr">
        <is>
          <t>6.10.2026</t>
        </is>
      </c>
      <c r="I3887" s="4" t="inlineStr">
        <is>
          <t>08:03</t>
        </is>
      </c>
      <c r="J3887" s="8" t="n">
        <v>7.5</v>
      </c>
      <c r="K3887" s="8" t="n">
        <v>7.5</v>
      </c>
      <c r="L3887" s="8" t="n">
        <v>0</v>
      </c>
      <c r="M3887" s="29" t="inlineStr">
        <is>
          <t>SUSURLUK</t>
        </is>
      </c>
    </row>
    <row r="3888">
      <c r="A3888" s="4" t="n">
        <v>3887</v>
      </c>
      <c r="B3888" s="4" t="inlineStr">
        <is>
          <t>00501</t>
        </is>
      </c>
      <c r="C3888" s="4" t="inlineStr">
        <is>
          <t>00501</t>
        </is>
      </c>
      <c r="D3888" s="29" t="inlineStr">
        <is>
          <t>TUNCAY METİN</t>
        </is>
      </c>
      <c r="E3888" s="4" t="inlineStr">
        <is>
          <t>Çarşamba</t>
        </is>
      </c>
      <c r="F3888" s="4" t="inlineStr">
        <is>
          <t>7.10.2026</t>
        </is>
      </c>
      <c r="G3888" s="4" t="inlineStr">
        <is>
          <t>23:45</t>
        </is>
      </c>
      <c r="H3888" s="4" t="inlineStr">
        <is>
          <t>7.10.2026</t>
        </is>
      </c>
      <c r="I3888" s="4" t="inlineStr">
        <is>
          <t>08:03</t>
        </is>
      </c>
      <c r="J3888" s="8" t="n">
        <v>7.5</v>
      </c>
      <c r="K3888" s="8" t="n">
        <v>7.5</v>
      </c>
      <c r="L3888" s="8" t="n">
        <v>0</v>
      </c>
      <c r="M3888" s="29" t="inlineStr">
        <is>
          <t>SUSURLUK</t>
        </is>
      </c>
    </row>
    <row r="3889">
      <c r="A3889" s="4" t="n">
        <v>3888</v>
      </c>
      <c r="B3889" s="4" t="inlineStr">
        <is>
          <t>00501</t>
        </is>
      </c>
      <c r="C3889" s="4" t="inlineStr">
        <is>
          <t>00501</t>
        </is>
      </c>
      <c r="D3889" s="29" t="inlineStr">
        <is>
          <t>TUNCAY METİN</t>
        </is>
      </c>
      <c r="E3889" s="4" t="inlineStr">
        <is>
          <t>Perşembe</t>
        </is>
      </c>
      <c r="F3889" s="4" t="inlineStr">
        <is>
          <t>8.10.2026</t>
        </is>
      </c>
      <c r="G3889" s="4" t="inlineStr">
        <is>
          <t>23:43</t>
        </is>
      </c>
      <c r="H3889" s="4" t="inlineStr">
        <is>
          <t>8.10.2026</t>
        </is>
      </c>
      <c r="I3889" s="4" t="inlineStr">
        <is>
          <t>-</t>
        </is>
      </c>
      <c r="J3889" s="8" t="n">
        <v>7.5</v>
      </c>
      <c r="K3889" s="8" t="n">
        <v>7.5</v>
      </c>
      <c r="L3889" s="8" t="n">
        <v>0</v>
      </c>
      <c r="M3889" s="29" t="inlineStr">
        <is>
          <t>SUSURLUK</t>
        </is>
      </c>
    </row>
    <row r="3890">
      <c r="A3890" s="4" t="n">
        <v>3889</v>
      </c>
      <c r="B3890" s="4" t="inlineStr">
        <is>
          <t>00501</t>
        </is>
      </c>
      <c r="C3890" s="4" t="inlineStr">
        <is>
          <t>00501</t>
        </is>
      </c>
      <c r="D3890" s="29" t="inlineStr">
        <is>
          <t>TUNCAY METİN</t>
        </is>
      </c>
      <c r="E3890" s="4" t="inlineStr">
        <is>
          <t>Cuma</t>
        </is>
      </c>
      <c r="F3890" s="4" t="inlineStr">
        <is>
          <t>9.10.2026</t>
        </is>
      </c>
      <c r="G3890" s="4" t="inlineStr">
        <is>
          <t>00:22</t>
        </is>
      </c>
      <c r="H3890" s="4" t="inlineStr">
        <is>
          <t>9.10.2026</t>
        </is>
      </c>
      <c r="I3890" s="4" t="inlineStr">
        <is>
          <t>07:59</t>
        </is>
      </c>
      <c r="J3890" s="8" t="n">
        <v>14.37</v>
      </c>
      <c r="K3890" s="8" t="n">
        <v>7.5</v>
      </c>
      <c r="L3890" s="8" t="n">
        <v>6.87</v>
      </c>
      <c r="M3890" s="29" t="inlineStr">
        <is>
          <t>SUSURLUK</t>
        </is>
      </c>
    </row>
    <row r="3891">
      <c r="A3891" s="4" t="n">
        <v>3890</v>
      </c>
      <c r="B3891" s="4" t="inlineStr">
        <is>
          <t>00501</t>
        </is>
      </c>
      <c r="C3891" s="4" t="inlineStr">
        <is>
          <t>00501</t>
        </is>
      </c>
      <c r="D3891" s="29" t="inlineStr">
        <is>
          <t>TUNCAY METİN</t>
        </is>
      </c>
      <c r="E3891" s="4" t="inlineStr">
        <is>
          <t>Pazar</t>
        </is>
      </c>
      <c r="F3891" s="4" t="inlineStr">
        <is>
          <t>11.10.2026</t>
        </is>
      </c>
      <c r="G3891" s="4" t="inlineStr">
        <is>
          <t>15:46</t>
        </is>
      </c>
      <c r="H3891" s="4" t="inlineStr">
        <is>
          <t>11.10.2026</t>
        </is>
      </c>
      <c r="I3891" s="4" t="inlineStr">
        <is>
          <t>23:59</t>
        </is>
      </c>
      <c r="J3891" s="8" t="n">
        <v>7.5</v>
      </c>
      <c r="K3891" s="8" t="n">
        <v>7.5</v>
      </c>
      <c r="L3891" s="8" t="n">
        <v>0</v>
      </c>
      <c r="M3891" s="29" t="inlineStr">
        <is>
          <t>SUSURLUK</t>
        </is>
      </c>
    </row>
    <row r="3892">
      <c r="A3892" s="4" t="n">
        <v>3891</v>
      </c>
      <c r="B3892" s="4" t="inlineStr">
        <is>
          <t>00501</t>
        </is>
      </c>
      <c r="C3892" s="4" t="inlineStr">
        <is>
          <t>00501</t>
        </is>
      </c>
      <c r="D3892" s="29" t="inlineStr">
        <is>
          <t>TUNCAY METİN</t>
        </is>
      </c>
      <c r="E3892" s="4" t="inlineStr">
        <is>
          <t>Pazartesi</t>
        </is>
      </c>
      <c r="F3892" s="4" t="inlineStr">
        <is>
          <t>12.10.2026</t>
        </is>
      </c>
      <c r="G3892" s="4" t="inlineStr">
        <is>
          <t>15:50</t>
        </is>
      </c>
      <c r="H3892" s="4" t="inlineStr">
        <is>
          <t>12.10.2026</t>
        </is>
      </c>
      <c r="I3892" s="4" t="inlineStr">
        <is>
          <t>00:00</t>
        </is>
      </c>
      <c r="J3892" s="8" t="n">
        <v>7.5</v>
      </c>
      <c r="K3892" s="8" t="n">
        <v>7.5</v>
      </c>
      <c r="L3892" s="8" t="n">
        <v>0</v>
      </c>
      <c r="M3892" s="29" t="inlineStr">
        <is>
          <t>SUSURLUK</t>
        </is>
      </c>
    </row>
    <row r="3893">
      <c r="A3893" s="4" t="n">
        <v>3892</v>
      </c>
      <c r="B3893" s="4" t="inlineStr">
        <is>
          <t>00501</t>
        </is>
      </c>
      <c r="C3893" s="4" t="inlineStr">
        <is>
          <t>00501</t>
        </is>
      </c>
      <c r="D3893" s="29" t="inlineStr">
        <is>
          <t>TUNCAY METİN</t>
        </is>
      </c>
      <c r="E3893" s="4" t="inlineStr">
        <is>
          <t>Salı</t>
        </is>
      </c>
      <c r="F3893" s="4" t="inlineStr">
        <is>
          <t>13.10.2026</t>
        </is>
      </c>
      <c r="G3893" s="4" t="inlineStr">
        <is>
          <t>15:52</t>
        </is>
      </c>
      <c r="H3893" s="4" t="inlineStr">
        <is>
          <t>13.10.2026</t>
        </is>
      </c>
      <c r="I3893" s="4" t="inlineStr">
        <is>
          <t>23:59</t>
        </is>
      </c>
      <c r="J3893" s="8" t="n">
        <v>7.5</v>
      </c>
      <c r="K3893" s="8" t="n">
        <v>7.5</v>
      </c>
      <c r="L3893" s="8" t="n">
        <v>0</v>
      </c>
      <c r="M3893" s="29" t="inlineStr">
        <is>
          <t>SUSURLUK</t>
        </is>
      </c>
    </row>
    <row r="3894">
      <c r="A3894" s="4" t="n">
        <v>3893</v>
      </c>
      <c r="B3894" s="4" t="inlineStr">
        <is>
          <t>00501</t>
        </is>
      </c>
      <c r="C3894" s="4" t="inlineStr">
        <is>
          <t>00501</t>
        </is>
      </c>
      <c r="D3894" s="29" t="inlineStr">
        <is>
          <t>TUNCAY METİN</t>
        </is>
      </c>
      <c r="E3894" s="4" t="inlineStr">
        <is>
          <t>Çarşamba</t>
        </is>
      </c>
      <c r="F3894" s="4" t="inlineStr">
        <is>
          <t>14.10.2026</t>
        </is>
      </c>
      <c r="G3894" s="4" t="inlineStr">
        <is>
          <t>15:57</t>
        </is>
      </c>
      <c r="H3894" s="4" t="inlineStr">
        <is>
          <t>14.10.2026</t>
        </is>
      </c>
      <c r="I3894" s="4" t="inlineStr">
        <is>
          <t>00:01</t>
        </is>
      </c>
      <c r="J3894" s="8" t="n">
        <v>7.5</v>
      </c>
      <c r="K3894" s="8" t="n">
        <v>7.5</v>
      </c>
      <c r="L3894" s="8" t="n">
        <v>0</v>
      </c>
      <c r="M3894" s="29" t="inlineStr">
        <is>
          <t>SUSURLUK</t>
        </is>
      </c>
    </row>
    <row r="3895">
      <c r="A3895" s="4" t="n">
        <v>3894</v>
      </c>
      <c r="B3895" s="4" t="inlineStr">
        <is>
          <t>00501</t>
        </is>
      </c>
      <c r="C3895" s="4" t="inlineStr">
        <is>
          <t>00501</t>
        </is>
      </c>
      <c r="D3895" s="29" t="inlineStr">
        <is>
          <t>TUNCAY METİN</t>
        </is>
      </c>
      <c r="E3895" s="4" t="inlineStr">
        <is>
          <t>Perşembe</t>
        </is>
      </c>
      <c r="F3895" s="4" t="inlineStr">
        <is>
          <t>15.10.2026</t>
        </is>
      </c>
      <c r="G3895" s="4" t="inlineStr">
        <is>
          <t>15:55</t>
        </is>
      </c>
      <c r="H3895" s="4" t="inlineStr">
        <is>
          <t>15.10.2026</t>
        </is>
      </c>
      <c r="I3895" s="4" t="inlineStr">
        <is>
          <t>00:00</t>
        </is>
      </c>
      <c r="J3895" s="8" t="n">
        <v>7.5</v>
      </c>
      <c r="K3895" s="8" t="n">
        <v>7.5</v>
      </c>
      <c r="L3895" s="8" t="n">
        <v>0</v>
      </c>
      <c r="M3895" s="29" t="inlineStr">
        <is>
          <t>SUSURLUK</t>
        </is>
      </c>
    </row>
    <row r="3896">
      <c r="A3896" s="4" t="n">
        <v>3895</v>
      </c>
      <c r="B3896" s="4" t="inlineStr">
        <is>
          <t>00501</t>
        </is>
      </c>
      <c r="C3896" s="4" t="inlineStr">
        <is>
          <t>00501</t>
        </is>
      </c>
      <c r="D3896" s="29" t="inlineStr">
        <is>
          <t>TUNCAY METİN</t>
        </is>
      </c>
      <c r="E3896" s="4" t="inlineStr">
        <is>
          <t>Cuma</t>
        </is>
      </c>
      <c r="F3896" s="4" t="inlineStr">
        <is>
          <t>16.10.2026</t>
        </is>
      </c>
      <c r="G3896" s="4" t="inlineStr">
        <is>
          <t>16:40</t>
        </is>
      </c>
      <c r="H3896" s="4" t="inlineStr">
        <is>
          <t>16.10.2026</t>
        </is>
      </c>
      <c r="I3896" s="4" t="inlineStr">
        <is>
          <t>23:58</t>
        </is>
      </c>
      <c r="J3896" s="8" t="n">
        <v>7</v>
      </c>
      <c r="K3896" s="8" t="n">
        <v>7</v>
      </c>
      <c r="L3896" s="8" t="n">
        <v>0</v>
      </c>
      <c r="M3896" s="29" t="inlineStr">
        <is>
          <t>SUSURLUK</t>
        </is>
      </c>
    </row>
    <row r="3897">
      <c r="A3897" s="4" t="n">
        <v>3896</v>
      </c>
      <c r="B3897" s="4" t="inlineStr">
        <is>
          <t>00501</t>
        </is>
      </c>
      <c r="C3897" s="4" t="inlineStr">
        <is>
          <t>00501</t>
        </is>
      </c>
      <c r="D3897" s="29" t="inlineStr">
        <is>
          <t>TUNCAY METİN</t>
        </is>
      </c>
      <c r="E3897" s="4" t="inlineStr">
        <is>
          <t>Cumartesi</t>
        </is>
      </c>
      <c r="F3897" s="4" t="inlineStr">
        <is>
          <t>17.10.2026</t>
        </is>
      </c>
      <c r="G3897" s="4" t="inlineStr">
        <is>
          <t>15:49</t>
        </is>
      </c>
      <c r="H3897" s="4" t="inlineStr">
        <is>
          <t>17.10.2026</t>
        </is>
      </c>
      <c r="I3897" s="4" t="inlineStr">
        <is>
          <t>23:59</t>
        </is>
      </c>
      <c r="J3897" s="8" t="n">
        <v>7.5</v>
      </c>
      <c r="K3897" s="8" t="n">
        <v>7.5</v>
      </c>
      <c r="L3897" s="8" t="n">
        <v>0</v>
      </c>
      <c r="M3897" s="29" t="inlineStr">
        <is>
          <t>SUSURLUK</t>
        </is>
      </c>
    </row>
    <row r="3898">
      <c r="A3898" s="4" t="n">
        <v>3897</v>
      </c>
      <c r="B3898" s="4" t="inlineStr">
        <is>
          <t>00501</t>
        </is>
      </c>
      <c r="C3898" s="4" t="inlineStr">
        <is>
          <t>00501</t>
        </is>
      </c>
      <c r="D3898" s="29" t="inlineStr">
        <is>
          <t>TUNCAY METİN</t>
        </is>
      </c>
      <c r="E3898" s="4" t="inlineStr">
        <is>
          <t>Pazar</t>
        </is>
      </c>
      <c r="F3898" s="4" t="inlineStr">
        <is>
          <t>18.10.2026</t>
        </is>
      </c>
      <c r="G3898" s="4" t="inlineStr">
        <is>
          <t>15:34</t>
        </is>
      </c>
      <c r="H3898" s="4" t="inlineStr">
        <is>
          <t>18.10.2026</t>
        </is>
      </c>
      <c r="I3898" s="4" t="inlineStr">
        <is>
          <t>23:43</t>
        </is>
      </c>
      <c r="J3898" s="8" t="n">
        <v>7.5</v>
      </c>
      <c r="K3898" s="8" t="n">
        <v>7.5</v>
      </c>
      <c r="L3898" s="8" t="n">
        <v>0</v>
      </c>
      <c r="M3898" s="29" t="inlineStr">
        <is>
          <t>SUSURLUK</t>
        </is>
      </c>
    </row>
    <row r="3899">
      <c r="A3899" s="4" t="n">
        <v>3898</v>
      </c>
      <c r="B3899" s="4" t="inlineStr">
        <is>
          <t>00501</t>
        </is>
      </c>
      <c r="C3899" s="4" t="inlineStr">
        <is>
          <t>00501</t>
        </is>
      </c>
      <c r="D3899" s="29" t="inlineStr">
        <is>
          <t>TUNCAY METİN</t>
        </is>
      </c>
      <c r="E3899" s="4" t="inlineStr">
        <is>
          <t>Pazartesi</t>
        </is>
      </c>
      <c r="F3899" s="4" t="inlineStr">
        <is>
          <t>19.10.2026</t>
        </is>
      </c>
      <c r="G3899" s="4" t="inlineStr">
        <is>
          <t>23:47</t>
        </is>
      </c>
      <c r="H3899" s="4" t="inlineStr">
        <is>
          <t>19.10.2026</t>
        </is>
      </c>
      <c r="I3899" s="4" t="inlineStr">
        <is>
          <t>08:03</t>
        </is>
      </c>
      <c r="J3899" s="8" t="n">
        <v>7.5</v>
      </c>
      <c r="K3899" s="8" t="n">
        <v>7.5</v>
      </c>
      <c r="L3899" s="8" t="n">
        <v>0</v>
      </c>
      <c r="M3899" s="29" t="inlineStr">
        <is>
          <t>SUSURLUK</t>
        </is>
      </c>
    </row>
    <row r="3900">
      <c r="A3900" s="4" t="n">
        <v>3899</v>
      </c>
      <c r="B3900" s="4" t="inlineStr">
        <is>
          <t>01463</t>
        </is>
      </c>
      <c r="C3900" s="4" t="inlineStr">
        <is>
          <t>01463</t>
        </is>
      </c>
      <c r="D3900" s="29" t="inlineStr">
        <is>
          <t>TÜRKAN BÇAKIR</t>
        </is>
      </c>
      <c r="E3900" s="4" t="inlineStr">
        <is>
          <t>Cuma</t>
        </is>
      </c>
      <c r="F3900" s="4" t="inlineStr">
        <is>
          <t>2.10.2026</t>
        </is>
      </c>
      <c r="G3900" s="4" t="inlineStr">
        <is>
          <t>19:46</t>
        </is>
      </c>
      <c r="H3900" s="4" t="inlineStr">
        <is>
          <t>2.10.2026</t>
        </is>
      </c>
      <c r="I3900" s="4" t="inlineStr">
        <is>
          <t>07:53</t>
        </is>
      </c>
      <c r="J3900" s="8" t="n">
        <v>10.5</v>
      </c>
      <c r="K3900" s="8" t="n">
        <v>7.5</v>
      </c>
      <c r="L3900" s="8" t="n">
        <v>3</v>
      </c>
      <c r="M3900" s="29" t="inlineStr">
        <is>
          <t>HALİL DİĞRENCİ</t>
        </is>
      </c>
    </row>
    <row r="3901">
      <c r="A3901" s="4" t="n">
        <v>3900</v>
      </c>
      <c r="B3901" s="4" t="inlineStr">
        <is>
          <t>01463</t>
        </is>
      </c>
      <c r="C3901" s="4" t="inlineStr">
        <is>
          <t>01463</t>
        </is>
      </c>
      <c r="D3901" s="29" t="inlineStr">
        <is>
          <t>TÜRKAN BÇAKIR</t>
        </is>
      </c>
      <c r="E3901" s="4" t="inlineStr">
        <is>
          <t>Cumartesi</t>
        </is>
      </c>
      <c r="F3901" s="4" t="inlineStr">
        <is>
          <t>3.10.2026</t>
        </is>
      </c>
      <c r="G3901" s="4" t="inlineStr">
        <is>
          <t>19:54</t>
        </is>
      </c>
      <c r="H3901" s="4" t="inlineStr">
        <is>
          <t>3.10.2026</t>
        </is>
      </c>
      <c r="I3901" s="4" t="inlineStr">
        <is>
          <t>07:56</t>
        </is>
      </c>
      <c r="J3901" s="8" t="n">
        <v>10.5</v>
      </c>
      <c r="K3901" s="8" t="n">
        <v>7.5</v>
      </c>
      <c r="L3901" s="8" t="n">
        <v>3</v>
      </c>
      <c r="M3901" s="29" t="inlineStr">
        <is>
          <t>HALİL DİĞRENCİ</t>
        </is>
      </c>
    </row>
    <row r="3902">
      <c r="A3902" s="4" t="n">
        <v>3901</v>
      </c>
      <c r="B3902" s="4" t="inlineStr">
        <is>
          <t>01463</t>
        </is>
      </c>
      <c r="C3902" s="4" t="inlineStr">
        <is>
          <t>01463</t>
        </is>
      </c>
      <c r="D3902" s="29" t="inlineStr">
        <is>
          <t>TÜRKAN BÇAKIR</t>
        </is>
      </c>
      <c r="E3902" s="4" t="inlineStr">
        <is>
          <t>Pazar</t>
        </is>
      </c>
      <c r="F3902" s="4" t="inlineStr">
        <is>
          <t>4.10.2026</t>
        </is>
      </c>
      <c r="G3902" s="4" t="inlineStr">
        <is>
          <t>19:59</t>
        </is>
      </c>
      <c r="H3902" s="4" t="inlineStr">
        <is>
          <t>4.10.2026</t>
        </is>
      </c>
      <c r="I3902" s="4" t="inlineStr">
        <is>
          <t>07:58</t>
        </is>
      </c>
      <c r="J3902" s="8" t="n">
        <v>10.5</v>
      </c>
      <c r="K3902" s="8" t="n">
        <v>7.5</v>
      </c>
      <c r="L3902" s="8" t="n">
        <v>3</v>
      </c>
      <c r="M3902" s="29" t="inlineStr">
        <is>
          <t>HALİL DİĞRENCİ</t>
        </is>
      </c>
    </row>
    <row r="3903">
      <c r="A3903" s="4" t="n">
        <v>3902</v>
      </c>
      <c r="B3903" s="4" t="inlineStr">
        <is>
          <t>01463</t>
        </is>
      </c>
      <c r="C3903" s="4" t="inlineStr">
        <is>
          <t>01463</t>
        </is>
      </c>
      <c r="D3903" s="29" t="inlineStr">
        <is>
          <t>TÜRKAN BÇAKIR</t>
        </is>
      </c>
      <c r="E3903" s="4" t="inlineStr">
        <is>
          <t>Pazartesi</t>
        </is>
      </c>
      <c r="F3903" s="4" t="inlineStr">
        <is>
          <t>5.10.2026</t>
        </is>
      </c>
      <c r="G3903" s="4" t="inlineStr">
        <is>
          <t>19:57</t>
        </is>
      </c>
      <c r="H3903" s="4" t="inlineStr">
        <is>
          <t>5.10.2026</t>
        </is>
      </c>
      <c r="I3903" s="4" t="inlineStr">
        <is>
          <t>07:50</t>
        </is>
      </c>
      <c r="J3903" s="8" t="n">
        <v>10.5</v>
      </c>
      <c r="K3903" s="8" t="n">
        <v>7.5</v>
      </c>
      <c r="L3903" s="8" t="n">
        <v>3</v>
      </c>
      <c r="M3903" s="29" t="inlineStr">
        <is>
          <t>HALİL DİĞRENCİ</t>
        </is>
      </c>
    </row>
    <row r="3904">
      <c r="A3904" s="4" t="n">
        <v>3903</v>
      </c>
      <c r="B3904" s="4" t="inlineStr">
        <is>
          <t>01463</t>
        </is>
      </c>
      <c r="C3904" s="4" t="inlineStr">
        <is>
          <t>01463</t>
        </is>
      </c>
      <c r="D3904" s="29" t="inlineStr">
        <is>
          <t>TÜRKAN BÇAKIR</t>
        </is>
      </c>
      <c r="E3904" s="4" t="inlineStr">
        <is>
          <t>Salı</t>
        </is>
      </c>
      <c r="F3904" s="4" t="inlineStr">
        <is>
          <t>6.10.2026</t>
        </is>
      </c>
      <c r="G3904" s="4" t="inlineStr">
        <is>
          <t>19:47</t>
        </is>
      </c>
      <c r="H3904" s="4" t="inlineStr">
        <is>
          <t>6.10.2026</t>
        </is>
      </c>
      <c r="I3904" s="4" t="inlineStr">
        <is>
          <t>08:01</t>
        </is>
      </c>
      <c r="J3904" s="8" t="n">
        <v>10.5</v>
      </c>
      <c r="K3904" s="8" t="n">
        <v>7.5</v>
      </c>
      <c r="L3904" s="8" t="n">
        <v>3</v>
      </c>
      <c r="M3904" s="29" t="inlineStr">
        <is>
          <t>HALİL DİĞRENCİ</t>
        </is>
      </c>
    </row>
    <row r="3905">
      <c r="A3905" s="4" t="n">
        <v>3904</v>
      </c>
      <c r="B3905" s="4" t="inlineStr">
        <is>
          <t>01463</t>
        </is>
      </c>
      <c r="C3905" s="4" t="inlineStr">
        <is>
          <t>01463</t>
        </is>
      </c>
      <c r="D3905" s="29" t="inlineStr">
        <is>
          <t>TÜRKAN BÇAKIR</t>
        </is>
      </c>
      <c r="E3905" s="4" t="inlineStr">
        <is>
          <t>Perşembe</t>
        </is>
      </c>
      <c r="F3905" s="4" t="inlineStr">
        <is>
          <t>8.10.2026</t>
        </is>
      </c>
      <c r="G3905" s="4" t="inlineStr">
        <is>
          <t>19:57</t>
        </is>
      </c>
      <c r="H3905" s="4" t="inlineStr">
        <is>
          <t>8.10.2026</t>
        </is>
      </c>
      <c r="I3905" s="4" t="inlineStr">
        <is>
          <t>07:58</t>
        </is>
      </c>
      <c r="J3905" s="8" t="n">
        <v>10.5</v>
      </c>
      <c r="K3905" s="8" t="n">
        <v>7.5</v>
      </c>
      <c r="L3905" s="8" t="n">
        <v>3</v>
      </c>
      <c r="M3905" s="29" t="inlineStr">
        <is>
          <t>HALİL DİĞRENCİ</t>
        </is>
      </c>
    </row>
    <row r="3906">
      <c r="A3906" s="4" t="n">
        <v>3905</v>
      </c>
      <c r="B3906" s="4" t="inlineStr">
        <is>
          <t>01463</t>
        </is>
      </c>
      <c r="C3906" s="4" t="inlineStr">
        <is>
          <t>01463</t>
        </is>
      </c>
      <c r="D3906" s="29" t="inlineStr">
        <is>
          <t>TÜRKAN BÇAKIR</t>
        </is>
      </c>
      <c r="E3906" s="4" t="inlineStr">
        <is>
          <t>Cuma</t>
        </is>
      </c>
      <c r="F3906" s="4" t="inlineStr">
        <is>
          <t>9.10.2026</t>
        </is>
      </c>
      <c r="G3906" s="4" t="inlineStr">
        <is>
          <t>20:02</t>
        </is>
      </c>
      <c r="H3906" s="4" t="inlineStr">
        <is>
          <t>9.10.2026</t>
        </is>
      </c>
      <c r="I3906" s="4" t="inlineStr">
        <is>
          <t>07:56</t>
        </is>
      </c>
      <c r="J3906" s="8" t="n">
        <v>10.5</v>
      </c>
      <c r="K3906" s="8" t="n">
        <v>7.5</v>
      </c>
      <c r="L3906" s="8" t="n">
        <v>3</v>
      </c>
      <c r="M3906" s="29" t="inlineStr">
        <is>
          <t>HALİL DİĞRENCİ</t>
        </is>
      </c>
    </row>
    <row r="3907">
      <c r="A3907" s="4" t="n">
        <v>3906</v>
      </c>
      <c r="B3907" s="4" t="inlineStr">
        <is>
          <t>01463</t>
        </is>
      </c>
      <c r="C3907" s="4" t="inlineStr">
        <is>
          <t>01463</t>
        </is>
      </c>
      <c r="D3907" s="29" t="inlineStr">
        <is>
          <t>TÜRKAN BÇAKIR</t>
        </is>
      </c>
      <c r="E3907" s="4" t="inlineStr">
        <is>
          <t>Cumartesi</t>
        </is>
      </c>
      <c r="F3907" s="4" t="inlineStr">
        <is>
          <t>10.10.2026</t>
        </is>
      </c>
      <c r="G3907" s="4" t="inlineStr">
        <is>
          <t>20:12</t>
        </is>
      </c>
      <c r="H3907" s="4" t="inlineStr">
        <is>
          <t>10.10.2026</t>
        </is>
      </c>
      <c r="I3907" s="4" t="inlineStr">
        <is>
          <t>08:07</t>
        </is>
      </c>
      <c r="J3907" s="8" t="n">
        <v>10.5</v>
      </c>
      <c r="K3907" s="8" t="n">
        <v>7.5</v>
      </c>
      <c r="L3907" s="8" t="n">
        <v>3</v>
      </c>
      <c r="M3907" s="29" t="inlineStr">
        <is>
          <t>HALİL DİĞRENCİ</t>
        </is>
      </c>
    </row>
    <row r="3908">
      <c r="A3908" s="4" t="n">
        <v>3907</v>
      </c>
      <c r="B3908" s="4" t="inlineStr">
        <is>
          <t>01463</t>
        </is>
      </c>
      <c r="C3908" s="4" t="inlineStr">
        <is>
          <t>01463</t>
        </is>
      </c>
      <c r="D3908" s="29" t="inlineStr">
        <is>
          <t>TÜRKAN BÇAKIR</t>
        </is>
      </c>
      <c r="E3908" s="4" t="inlineStr">
        <is>
          <t>Pazartesi</t>
        </is>
      </c>
      <c r="F3908" s="4" t="inlineStr">
        <is>
          <t>12.10.2026</t>
        </is>
      </c>
      <c r="G3908" s="4" t="inlineStr">
        <is>
          <t>20:02</t>
        </is>
      </c>
      <c r="H3908" s="4" t="inlineStr">
        <is>
          <t>12.10.2026</t>
        </is>
      </c>
      <c r="I3908" s="4" t="inlineStr">
        <is>
          <t>07:53</t>
        </is>
      </c>
      <c r="J3908" s="8" t="n">
        <v>10.5</v>
      </c>
      <c r="K3908" s="8" t="n">
        <v>7.5</v>
      </c>
      <c r="L3908" s="8" t="n">
        <v>3</v>
      </c>
      <c r="M3908" s="29" t="inlineStr">
        <is>
          <t>HALİL DİĞRENCİ</t>
        </is>
      </c>
    </row>
    <row r="3909">
      <c r="A3909" s="4" t="n">
        <v>3908</v>
      </c>
      <c r="B3909" s="4" t="inlineStr">
        <is>
          <t>01463</t>
        </is>
      </c>
      <c r="C3909" s="4" t="inlineStr">
        <is>
          <t>01463</t>
        </is>
      </c>
      <c r="D3909" s="29" t="inlineStr">
        <is>
          <t>TÜRKAN BÇAKIR</t>
        </is>
      </c>
      <c r="E3909" s="4" t="inlineStr">
        <is>
          <t>Salı</t>
        </is>
      </c>
      <c r="F3909" s="4" t="inlineStr">
        <is>
          <t>13.10.2026</t>
        </is>
      </c>
      <c r="G3909" s="4" t="inlineStr">
        <is>
          <t>20:00</t>
        </is>
      </c>
      <c r="H3909" s="4" t="inlineStr">
        <is>
          <t>13.10.2026</t>
        </is>
      </c>
      <c r="I3909" s="4" t="inlineStr">
        <is>
          <t>07:54</t>
        </is>
      </c>
      <c r="J3909" s="8" t="n">
        <v>10.5</v>
      </c>
      <c r="K3909" s="8" t="n">
        <v>7.5</v>
      </c>
      <c r="L3909" s="8" t="n">
        <v>3</v>
      </c>
      <c r="M3909" s="29" t="inlineStr">
        <is>
          <t>HALİL DİĞRENCİ</t>
        </is>
      </c>
    </row>
    <row r="3910">
      <c r="A3910" s="4" t="n">
        <v>3909</v>
      </c>
      <c r="B3910" s="4" t="inlineStr">
        <is>
          <t>01463</t>
        </is>
      </c>
      <c r="C3910" s="4" t="inlineStr">
        <is>
          <t>01463</t>
        </is>
      </c>
      <c r="D3910" s="29" t="inlineStr">
        <is>
          <t>TÜRKAN BÇAKIR</t>
        </is>
      </c>
      <c r="E3910" s="4" t="inlineStr">
        <is>
          <t>Çarşamba</t>
        </is>
      </c>
      <c r="F3910" s="4" t="inlineStr">
        <is>
          <t>14.10.2026</t>
        </is>
      </c>
      <c r="G3910" s="4" t="inlineStr">
        <is>
          <t>20:14</t>
        </is>
      </c>
      <c r="H3910" s="4" t="inlineStr">
        <is>
          <t>14.10.2026</t>
        </is>
      </c>
      <c r="I3910" s="4" t="inlineStr">
        <is>
          <t>07:58</t>
        </is>
      </c>
      <c r="J3910" s="8" t="n">
        <v>10.5</v>
      </c>
      <c r="K3910" s="8" t="n">
        <v>7.5</v>
      </c>
      <c r="L3910" s="8" t="n">
        <v>3</v>
      </c>
      <c r="M3910" s="29" t="inlineStr">
        <is>
          <t>HALİL DİĞRENCİ</t>
        </is>
      </c>
    </row>
    <row r="3911">
      <c r="A3911" s="4" t="n">
        <v>3910</v>
      </c>
      <c r="B3911" s="4" t="inlineStr">
        <is>
          <t>01463</t>
        </is>
      </c>
      <c r="C3911" s="4" t="inlineStr">
        <is>
          <t>01463</t>
        </is>
      </c>
      <c r="D3911" s="29" t="inlineStr">
        <is>
          <t>TÜRKAN BÇAKIR</t>
        </is>
      </c>
      <c r="E3911" s="4" t="inlineStr">
        <is>
          <t>Perşembe</t>
        </is>
      </c>
      <c r="F3911" s="4" t="inlineStr">
        <is>
          <t>15.10.2026</t>
        </is>
      </c>
      <c r="G3911" s="4" t="inlineStr">
        <is>
          <t>20:11</t>
        </is>
      </c>
      <c r="H3911" s="4" t="inlineStr">
        <is>
          <t>15.10.2026</t>
        </is>
      </c>
      <c r="I3911" s="4" t="inlineStr">
        <is>
          <t>07:56</t>
        </is>
      </c>
      <c r="J3911" s="8" t="n">
        <v>10.5</v>
      </c>
      <c r="K3911" s="8" t="n">
        <v>7.5</v>
      </c>
      <c r="L3911" s="8" t="n">
        <v>3</v>
      </c>
      <c r="M3911" s="29" t="inlineStr">
        <is>
          <t>HALİL DİĞRENCİ</t>
        </is>
      </c>
    </row>
    <row r="3912">
      <c r="A3912" s="4" t="n">
        <v>3911</v>
      </c>
      <c r="B3912" s="4" t="inlineStr">
        <is>
          <t>01463</t>
        </is>
      </c>
      <c r="C3912" s="4" t="inlineStr">
        <is>
          <t>01463</t>
        </is>
      </c>
      <c r="D3912" s="29" t="inlineStr">
        <is>
          <t>TÜRKAN BÇAKIR</t>
        </is>
      </c>
      <c r="E3912" s="4" t="inlineStr">
        <is>
          <t>Pazar</t>
        </is>
      </c>
      <c r="F3912" s="4" t="inlineStr">
        <is>
          <t>18.10.2026</t>
        </is>
      </c>
      <c r="G3912" s="4" t="inlineStr">
        <is>
          <t>08:17</t>
        </is>
      </c>
      <c r="H3912" s="4" t="inlineStr">
        <is>
          <t>18.10.2026</t>
        </is>
      </c>
      <c r="I3912" s="4" t="inlineStr">
        <is>
          <t>19:58</t>
        </is>
      </c>
      <c r="J3912" s="8" t="n">
        <v>10.5</v>
      </c>
      <c r="K3912" s="8" t="n">
        <v>7.5</v>
      </c>
      <c r="L3912" s="8" t="n">
        <v>3</v>
      </c>
      <c r="M3912" s="29" t="inlineStr">
        <is>
          <t>HALİL DİĞRENCİ</t>
        </is>
      </c>
    </row>
    <row r="3913">
      <c r="A3913" s="4" t="n">
        <v>3912</v>
      </c>
      <c r="B3913" s="4" t="inlineStr">
        <is>
          <t>01463</t>
        </is>
      </c>
      <c r="C3913" s="4" t="inlineStr">
        <is>
          <t>01463</t>
        </is>
      </c>
      <c r="D3913" s="29" t="inlineStr">
        <is>
          <t>TÜRKAN BÇAKIR</t>
        </is>
      </c>
      <c r="E3913" s="4" t="inlineStr">
        <is>
          <t>Pazartesi</t>
        </is>
      </c>
      <c r="F3913" s="4" t="inlineStr">
        <is>
          <t>19.10.2026</t>
        </is>
      </c>
      <c r="G3913" s="4" t="inlineStr">
        <is>
          <t>19:42</t>
        </is>
      </c>
      <c r="H3913" s="4" t="inlineStr">
        <is>
          <t>19.10.2026</t>
        </is>
      </c>
      <c r="I3913" s="4" t="inlineStr">
        <is>
          <t>07:56</t>
        </is>
      </c>
      <c r="J3913" s="8" t="n">
        <v>10.5</v>
      </c>
      <c r="K3913" s="8" t="n">
        <v>7.5</v>
      </c>
      <c r="L3913" s="8" t="n">
        <v>3</v>
      </c>
      <c r="M3913" s="29" t="inlineStr">
        <is>
          <t>HALİL DİĞRENCİ</t>
        </is>
      </c>
    </row>
    <row r="3914">
      <c r="A3914" s="4" t="n">
        <v>3913</v>
      </c>
      <c r="B3914" s="4" t="inlineStr">
        <is>
          <t>00185</t>
        </is>
      </c>
      <c r="C3914" s="4" t="inlineStr">
        <is>
          <t>00185</t>
        </is>
      </c>
      <c r="D3914" s="29" t="inlineStr">
        <is>
          <t>ÜMMÜ AYDOĞAN</t>
        </is>
      </c>
      <c r="E3914" s="4" t="inlineStr">
        <is>
          <t>Perşembe</t>
        </is>
      </c>
      <c r="F3914" s="4" t="inlineStr">
        <is>
          <t>1.10.2026</t>
        </is>
      </c>
      <c r="G3914" s="4" t="inlineStr">
        <is>
          <t>07:39</t>
        </is>
      </c>
      <c r="H3914" s="4" t="inlineStr">
        <is>
          <t>1.10.2026</t>
        </is>
      </c>
      <c r="I3914" s="4" t="inlineStr">
        <is>
          <t>17:01</t>
        </is>
      </c>
      <c r="J3914" s="8" t="n">
        <v>7.5</v>
      </c>
      <c r="K3914" s="8" t="n">
        <v>7.5</v>
      </c>
      <c r="L3914" s="8" t="n">
        <v>0</v>
      </c>
      <c r="M3914" s="29" t="inlineStr">
        <is>
          <t>SUSURLUK TUR-REŞAT</t>
        </is>
      </c>
    </row>
    <row r="3915">
      <c r="A3915" s="4" t="n">
        <v>3914</v>
      </c>
      <c r="B3915" s="4" t="inlineStr">
        <is>
          <t>00185</t>
        </is>
      </c>
      <c r="C3915" s="4" t="inlineStr">
        <is>
          <t>00185</t>
        </is>
      </c>
      <c r="D3915" s="29" t="inlineStr">
        <is>
          <t>ÜMMÜ AYDOĞAN</t>
        </is>
      </c>
      <c r="E3915" s="4" t="inlineStr">
        <is>
          <t>Cuma</t>
        </is>
      </c>
      <c r="F3915" s="4" t="inlineStr">
        <is>
          <t>2.10.2026</t>
        </is>
      </c>
      <c r="G3915" s="4" t="inlineStr">
        <is>
          <t>07:43</t>
        </is>
      </c>
      <c r="H3915" s="4" t="inlineStr">
        <is>
          <t>2.10.2026</t>
        </is>
      </c>
      <c r="I3915" s="4" t="inlineStr">
        <is>
          <t>17:05</t>
        </is>
      </c>
      <c r="J3915" s="8" t="n">
        <v>7.5</v>
      </c>
      <c r="K3915" s="8" t="n">
        <v>7.5</v>
      </c>
      <c r="L3915" s="8" t="n">
        <v>0</v>
      </c>
      <c r="M3915" s="29" t="inlineStr">
        <is>
          <t>SUSURLUK TUR-REŞAT</t>
        </is>
      </c>
    </row>
    <row r="3916">
      <c r="A3916" s="4" t="n">
        <v>3915</v>
      </c>
      <c r="B3916" s="4" t="inlineStr">
        <is>
          <t>00185</t>
        </is>
      </c>
      <c r="C3916" s="4" t="inlineStr">
        <is>
          <t>00185</t>
        </is>
      </c>
      <c r="D3916" s="29" t="inlineStr">
        <is>
          <t>ÜMMÜ AYDOĞAN</t>
        </is>
      </c>
      <c r="E3916" s="4" t="inlineStr">
        <is>
          <t>Cumartesi</t>
        </is>
      </c>
      <c r="F3916" s="4" t="inlineStr">
        <is>
          <t>3.10.2026</t>
        </is>
      </c>
      <c r="G3916" s="4" t="inlineStr">
        <is>
          <t>07:45</t>
        </is>
      </c>
      <c r="H3916" s="4" t="inlineStr">
        <is>
          <t>3.10.2026</t>
        </is>
      </c>
      <c r="I3916" s="4" t="inlineStr">
        <is>
          <t>17:04</t>
        </is>
      </c>
      <c r="J3916" s="8" t="n">
        <v>7.5</v>
      </c>
      <c r="K3916" s="8" t="n">
        <v>7.5</v>
      </c>
      <c r="L3916" s="8" t="n">
        <v>0</v>
      </c>
      <c r="M3916" s="29" t="inlineStr">
        <is>
          <t>SUSURLUK TUR-REŞAT</t>
        </is>
      </c>
    </row>
    <row r="3917">
      <c r="A3917" s="4" t="n">
        <v>3916</v>
      </c>
      <c r="B3917" s="4" t="inlineStr">
        <is>
          <t>00185</t>
        </is>
      </c>
      <c r="C3917" s="4" t="inlineStr">
        <is>
          <t>00185</t>
        </is>
      </c>
      <c r="D3917" s="29" t="inlineStr">
        <is>
          <t>ÜMMÜ AYDOĞAN</t>
        </is>
      </c>
      <c r="E3917" s="4" t="inlineStr">
        <is>
          <t>Pazartesi</t>
        </is>
      </c>
      <c r="F3917" s="4" t="inlineStr">
        <is>
          <t>5.10.2026</t>
        </is>
      </c>
      <c r="G3917" s="4" t="inlineStr">
        <is>
          <t>07:43</t>
        </is>
      </c>
      <c r="H3917" s="4" t="inlineStr">
        <is>
          <t>5.10.2026</t>
        </is>
      </c>
      <c r="I3917" s="4" t="inlineStr">
        <is>
          <t>17:04</t>
        </is>
      </c>
      <c r="J3917" s="8" t="n">
        <v>7.5</v>
      </c>
      <c r="K3917" s="8" t="n">
        <v>7.5</v>
      </c>
      <c r="L3917" s="8" t="n">
        <v>0</v>
      </c>
      <c r="M3917" s="29" t="inlineStr">
        <is>
          <t>SUSURLUK TUR-REŞAT</t>
        </is>
      </c>
    </row>
    <row r="3918">
      <c r="A3918" s="4" t="n">
        <v>3917</v>
      </c>
      <c r="B3918" s="4" t="inlineStr">
        <is>
          <t>00185</t>
        </is>
      </c>
      <c r="C3918" s="4" t="inlineStr">
        <is>
          <t>00185</t>
        </is>
      </c>
      <c r="D3918" s="29" t="inlineStr">
        <is>
          <t>ÜMMÜ AYDOĞAN</t>
        </is>
      </c>
      <c r="E3918" s="4" t="inlineStr">
        <is>
          <t>Salı</t>
        </is>
      </c>
      <c r="F3918" s="4" t="inlineStr">
        <is>
          <t>6.10.2026</t>
        </is>
      </c>
      <c r="G3918" s="4" t="inlineStr">
        <is>
          <t>07:43</t>
        </is>
      </c>
      <c r="H3918" s="4" t="inlineStr">
        <is>
          <t>6.10.2026</t>
        </is>
      </c>
      <c r="I3918" s="4" t="inlineStr">
        <is>
          <t>17:10</t>
        </is>
      </c>
      <c r="J3918" s="8" t="n">
        <v>7.5</v>
      </c>
      <c r="K3918" s="8" t="n">
        <v>7.5</v>
      </c>
      <c r="L3918" s="8" t="n">
        <v>0</v>
      </c>
      <c r="M3918" s="29" t="inlineStr">
        <is>
          <t>SUSURLUK TUR-REŞAT</t>
        </is>
      </c>
    </row>
    <row r="3919">
      <c r="A3919" s="4" t="n">
        <v>3918</v>
      </c>
      <c r="B3919" s="4" t="inlineStr">
        <is>
          <t>00185</t>
        </is>
      </c>
      <c r="C3919" s="4" t="inlineStr">
        <is>
          <t>00185</t>
        </is>
      </c>
      <c r="D3919" s="29" t="inlineStr">
        <is>
          <t>ÜMMÜ AYDOĞAN</t>
        </is>
      </c>
      <c r="E3919" s="4" t="inlineStr">
        <is>
          <t>Perşembe</t>
        </is>
      </c>
      <c r="F3919" s="4" t="inlineStr">
        <is>
          <t>8.10.2026</t>
        </is>
      </c>
      <c r="G3919" s="4" t="inlineStr">
        <is>
          <t>07:44</t>
        </is>
      </c>
      <c r="H3919" s="4" t="inlineStr">
        <is>
          <t>8.10.2026</t>
        </is>
      </c>
      <c r="I3919" s="4" t="inlineStr">
        <is>
          <t>17:06</t>
        </is>
      </c>
      <c r="J3919" s="8" t="n">
        <v>7.5</v>
      </c>
      <c r="K3919" s="8" t="n">
        <v>7.5</v>
      </c>
      <c r="L3919" s="8" t="n">
        <v>0</v>
      </c>
      <c r="M3919" s="29" t="inlineStr">
        <is>
          <t>SUSURLUK TUR-REŞAT</t>
        </is>
      </c>
    </row>
    <row r="3920">
      <c r="A3920" s="4" t="n">
        <v>3919</v>
      </c>
      <c r="B3920" s="4" t="inlineStr">
        <is>
          <t>00185</t>
        </is>
      </c>
      <c r="C3920" s="4" t="inlineStr">
        <is>
          <t>00185</t>
        </is>
      </c>
      <c r="D3920" s="29" t="inlineStr">
        <is>
          <t>ÜMMÜ AYDOĞAN</t>
        </is>
      </c>
      <c r="E3920" s="4" t="inlineStr">
        <is>
          <t>Cuma</t>
        </is>
      </c>
      <c r="F3920" s="4" t="inlineStr">
        <is>
          <t>9.10.2026</t>
        </is>
      </c>
      <c r="G3920" s="4" t="inlineStr">
        <is>
          <t>07:47</t>
        </is>
      </c>
      <c r="H3920" s="4" t="inlineStr">
        <is>
          <t>9.10.2026</t>
        </is>
      </c>
      <c r="I3920" s="4" t="inlineStr">
        <is>
          <t>17:09</t>
        </is>
      </c>
      <c r="J3920" s="8" t="n">
        <v>7.5</v>
      </c>
      <c r="K3920" s="8" t="n">
        <v>7.5</v>
      </c>
      <c r="L3920" s="8" t="n">
        <v>0</v>
      </c>
      <c r="M3920" s="29" t="inlineStr">
        <is>
          <t>SUSURLUK TUR-REŞAT</t>
        </is>
      </c>
    </row>
    <row r="3921">
      <c r="A3921" s="4" t="n">
        <v>3920</v>
      </c>
      <c r="B3921" s="4" t="inlineStr">
        <is>
          <t>00185</t>
        </is>
      </c>
      <c r="C3921" s="4" t="inlineStr">
        <is>
          <t>00185</t>
        </is>
      </c>
      <c r="D3921" s="29" t="inlineStr">
        <is>
          <t>ÜMMÜ AYDOĞAN</t>
        </is>
      </c>
      <c r="E3921" s="4" t="inlineStr">
        <is>
          <t>Cumartesi</t>
        </is>
      </c>
      <c r="F3921" s="4" t="inlineStr">
        <is>
          <t>10.10.2026</t>
        </is>
      </c>
      <c r="G3921" s="4" t="inlineStr">
        <is>
          <t>07:47</t>
        </is>
      </c>
      <c r="H3921" s="4" t="inlineStr">
        <is>
          <t>10.10.2026</t>
        </is>
      </c>
      <c r="I3921" s="4" t="inlineStr">
        <is>
          <t>17:10</t>
        </is>
      </c>
      <c r="J3921" s="8" t="n">
        <v>7.5</v>
      </c>
      <c r="K3921" s="8" t="n">
        <v>7.5</v>
      </c>
      <c r="L3921" s="8" t="n">
        <v>0</v>
      </c>
      <c r="M3921" s="29" t="inlineStr">
        <is>
          <t>SUSURLUK TUR-REŞAT</t>
        </is>
      </c>
    </row>
    <row r="3922">
      <c r="A3922" s="4" t="n">
        <v>3921</v>
      </c>
      <c r="B3922" s="4" t="inlineStr">
        <is>
          <t>00185</t>
        </is>
      </c>
      <c r="C3922" s="4" t="inlineStr">
        <is>
          <t>00185</t>
        </is>
      </c>
      <c r="D3922" s="29" t="inlineStr">
        <is>
          <t>ÜMMÜ AYDOĞAN</t>
        </is>
      </c>
      <c r="E3922" s="4" t="inlineStr">
        <is>
          <t>Pazar</t>
        </is>
      </c>
      <c r="F3922" s="4" t="inlineStr">
        <is>
          <t>11.10.2026</t>
        </is>
      </c>
      <c r="G3922" s="4" t="inlineStr">
        <is>
          <t>07:40</t>
        </is>
      </c>
      <c r="H3922" s="4" t="inlineStr">
        <is>
          <t>11.10.2026</t>
        </is>
      </c>
      <c r="I3922" s="4" t="inlineStr">
        <is>
          <t>17:10</t>
        </is>
      </c>
      <c r="J3922" s="8" t="n">
        <v>7.5</v>
      </c>
      <c r="K3922" s="8" t="n">
        <v>7.5</v>
      </c>
      <c r="L3922" s="8" t="n">
        <v>0</v>
      </c>
      <c r="M3922" s="29" t="inlineStr">
        <is>
          <t>SUSURLUK TUR-REŞAT</t>
        </is>
      </c>
    </row>
    <row r="3923">
      <c r="A3923" s="4" t="n">
        <v>3922</v>
      </c>
      <c r="B3923" s="4" t="inlineStr">
        <is>
          <t>00185</t>
        </is>
      </c>
      <c r="C3923" s="4" t="inlineStr">
        <is>
          <t>00185</t>
        </is>
      </c>
      <c r="D3923" s="29" t="inlineStr">
        <is>
          <t>ÜMMÜ AYDOĞAN</t>
        </is>
      </c>
      <c r="E3923" s="4" t="inlineStr">
        <is>
          <t>Pazartesi</t>
        </is>
      </c>
      <c r="F3923" s="4" t="inlineStr">
        <is>
          <t>12.10.2026</t>
        </is>
      </c>
      <c r="G3923" s="4" t="inlineStr">
        <is>
          <t>07:49</t>
        </is>
      </c>
      <c r="H3923" s="4" t="inlineStr">
        <is>
          <t>12.10.2026</t>
        </is>
      </c>
      <c r="I3923" s="4" t="inlineStr">
        <is>
          <t>17:03</t>
        </is>
      </c>
      <c r="J3923" s="8" t="n">
        <v>7.5</v>
      </c>
      <c r="K3923" s="8" t="n">
        <v>7.5</v>
      </c>
      <c r="L3923" s="8" t="n">
        <v>0</v>
      </c>
      <c r="M3923" s="29" t="inlineStr">
        <is>
          <t>SUSURLUK TUR-REŞAT</t>
        </is>
      </c>
    </row>
    <row r="3924">
      <c r="A3924" s="4" t="n">
        <v>3923</v>
      </c>
      <c r="B3924" s="4" t="inlineStr">
        <is>
          <t>00185</t>
        </is>
      </c>
      <c r="C3924" s="4" t="inlineStr">
        <is>
          <t>00185</t>
        </is>
      </c>
      <c r="D3924" s="29" t="inlineStr">
        <is>
          <t>ÜMMÜ AYDOĞAN</t>
        </is>
      </c>
      <c r="E3924" s="4" t="inlineStr">
        <is>
          <t>Salı</t>
        </is>
      </c>
      <c r="F3924" s="4" t="inlineStr">
        <is>
          <t>13.10.2026</t>
        </is>
      </c>
      <c r="G3924" s="4" t="inlineStr">
        <is>
          <t>07:48</t>
        </is>
      </c>
      <c r="H3924" s="4" t="inlineStr">
        <is>
          <t>13.10.2026</t>
        </is>
      </c>
      <c r="I3924" s="4" t="inlineStr">
        <is>
          <t>17:06</t>
        </is>
      </c>
      <c r="J3924" s="8" t="n">
        <v>7.5</v>
      </c>
      <c r="K3924" s="8" t="n">
        <v>7.5</v>
      </c>
      <c r="L3924" s="8" t="n">
        <v>0</v>
      </c>
      <c r="M3924" s="29" t="inlineStr">
        <is>
          <t>SUSURLUK TUR-REŞAT</t>
        </is>
      </c>
    </row>
    <row r="3925">
      <c r="A3925" s="4" t="n">
        <v>3924</v>
      </c>
      <c r="B3925" s="4" t="inlineStr">
        <is>
          <t>00185</t>
        </is>
      </c>
      <c r="C3925" s="4" t="inlineStr">
        <is>
          <t>00185</t>
        </is>
      </c>
      <c r="D3925" s="29" t="inlineStr">
        <is>
          <t>ÜMMÜ AYDOĞAN</t>
        </is>
      </c>
      <c r="E3925" s="4" t="inlineStr">
        <is>
          <t>Çarşamba</t>
        </is>
      </c>
      <c r="F3925" s="4" t="inlineStr">
        <is>
          <t>14.10.2026</t>
        </is>
      </c>
      <c r="G3925" s="4" t="inlineStr">
        <is>
          <t>07:48</t>
        </is>
      </c>
      <c r="H3925" s="4" t="inlineStr">
        <is>
          <t>14.10.2026</t>
        </is>
      </c>
      <c r="I3925" s="4" t="inlineStr">
        <is>
          <t>19:19</t>
        </is>
      </c>
      <c r="J3925" s="8" t="n">
        <v>9.5</v>
      </c>
      <c r="K3925" s="8" t="n">
        <v>7.5</v>
      </c>
      <c r="L3925" s="8" t="n">
        <v>2</v>
      </c>
      <c r="M3925" s="29" t="inlineStr">
        <is>
          <t>SUSURLUK TUR-REŞAT</t>
        </is>
      </c>
    </row>
    <row r="3926">
      <c r="A3926" s="4" t="n">
        <v>3925</v>
      </c>
      <c r="B3926" s="4" t="inlineStr">
        <is>
          <t>00185</t>
        </is>
      </c>
      <c r="C3926" s="4" t="inlineStr">
        <is>
          <t>00185</t>
        </is>
      </c>
      <c r="D3926" s="29" t="inlineStr">
        <is>
          <t>ÜMMÜ AYDOĞAN</t>
        </is>
      </c>
      <c r="E3926" s="4" t="inlineStr">
        <is>
          <t>Perşembe</t>
        </is>
      </c>
      <c r="F3926" s="4" t="inlineStr">
        <is>
          <t>15.10.2026</t>
        </is>
      </c>
      <c r="G3926" s="4" t="inlineStr">
        <is>
          <t>07:50</t>
        </is>
      </c>
      <c r="H3926" s="4" t="inlineStr">
        <is>
          <t>15.10.2026</t>
        </is>
      </c>
      <c r="I3926" s="4" t="inlineStr">
        <is>
          <t>19:14</t>
        </is>
      </c>
      <c r="J3926" s="8" t="n">
        <v>9.5</v>
      </c>
      <c r="K3926" s="8" t="n">
        <v>7.5</v>
      </c>
      <c r="L3926" s="8" t="n">
        <v>2</v>
      </c>
      <c r="M3926" s="29" t="inlineStr">
        <is>
          <t>SUSURLUK TUR-REŞAT</t>
        </is>
      </c>
    </row>
    <row r="3927">
      <c r="A3927" s="4" t="n">
        <v>3926</v>
      </c>
      <c r="B3927" s="4" t="inlineStr">
        <is>
          <t>00185</t>
        </is>
      </c>
      <c r="C3927" s="4" t="inlineStr">
        <is>
          <t>00185</t>
        </is>
      </c>
      <c r="D3927" s="29" t="inlineStr">
        <is>
          <t>ÜMMÜ AYDOĞAN</t>
        </is>
      </c>
      <c r="E3927" s="4" t="inlineStr">
        <is>
          <t>Cuma</t>
        </is>
      </c>
      <c r="F3927" s="4" t="inlineStr">
        <is>
          <t>16.10.2026</t>
        </is>
      </c>
      <c r="G3927" s="4" t="inlineStr">
        <is>
          <t>07:40</t>
        </is>
      </c>
      <c r="H3927" s="4" t="inlineStr">
        <is>
          <t>16.10.2026</t>
        </is>
      </c>
      <c r="I3927" s="4" t="inlineStr">
        <is>
          <t>17:06</t>
        </is>
      </c>
      <c r="J3927" s="8" t="n">
        <v>7.5</v>
      </c>
      <c r="K3927" s="8" t="n">
        <v>7.5</v>
      </c>
      <c r="L3927" s="8" t="n">
        <v>0</v>
      </c>
      <c r="M3927" s="29" t="inlineStr">
        <is>
          <t>SUSURLUK TUR-REŞAT</t>
        </is>
      </c>
    </row>
    <row r="3928">
      <c r="A3928" s="4" t="n">
        <v>3927</v>
      </c>
      <c r="B3928" s="4" t="inlineStr">
        <is>
          <t>00185</t>
        </is>
      </c>
      <c r="C3928" s="4" t="inlineStr">
        <is>
          <t>00185</t>
        </is>
      </c>
      <c r="D3928" s="29" t="inlineStr">
        <is>
          <t>ÜMMÜ AYDOĞAN</t>
        </is>
      </c>
      <c r="E3928" s="4" t="inlineStr">
        <is>
          <t>Cumartesi</t>
        </is>
      </c>
      <c r="F3928" s="4" t="inlineStr">
        <is>
          <t>17.10.2026</t>
        </is>
      </c>
      <c r="G3928" s="4" t="inlineStr">
        <is>
          <t>07:49</t>
        </is>
      </c>
      <c r="H3928" s="4" t="inlineStr">
        <is>
          <t>17.10.2026</t>
        </is>
      </c>
      <c r="I3928" s="4" t="inlineStr">
        <is>
          <t>21:22</t>
        </is>
      </c>
      <c r="J3928" s="8" t="n">
        <v>12</v>
      </c>
      <c r="K3928" s="8" t="n">
        <v>7.5</v>
      </c>
      <c r="L3928" s="8" t="n">
        <v>4.5</v>
      </c>
      <c r="M3928" s="29" t="inlineStr">
        <is>
          <t>SUSURLUK TUR-REŞAT</t>
        </is>
      </c>
    </row>
    <row r="3929">
      <c r="A3929" s="4" t="n">
        <v>3928</v>
      </c>
      <c r="B3929" s="4" t="inlineStr">
        <is>
          <t>00185</t>
        </is>
      </c>
      <c r="C3929" s="4" t="inlineStr">
        <is>
          <t>00185</t>
        </is>
      </c>
      <c r="D3929" s="29" t="inlineStr">
        <is>
          <t>ÜMMÜ AYDOĞAN</t>
        </is>
      </c>
      <c r="E3929" s="4" t="inlineStr">
        <is>
          <t>Pazartesi</t>
        </is>
      </c>
      <c r="F3929" s="4" t="inlineStr">
        <is>
          <t>19.10.2026</t>
        </is>
      </c>
      <c r="G3929" s="4" t="inlineStr">
        <is>
          <t>07:42</t>
        </is>
      </c>
      <c r="H3929" s="4" t="inlineStr">
        <is>
          <t>19.10.2026</t>
        </is>
      </c>
      <c r="I3929" s="4" t="inlineStr">
        <is>
          <t>17:06</t>
        </is>
      </c>
      <c r="J3929" s="8" t="n">
        <v>7.5</v>
      </c>
      <c r="K3929" s="8" t="n">
        <v>7.5</v>
      </c>
      <c r="L3929" s="8" t="n">
        <v>0</v>
      </c>
      <c r="M3929" s="29" t="inlineStr">
        <is>
          <t>SUSURLUK TUR-REŞAT</t>
        </is>
      </c>
    </row>
    <row r="3930">
      <c r="A3930" s="4" t="n">
        <v>3929</v>
      </c>
      <c r="B3930" s="4" t="inlineStr">
        <is>
          <t>00185</t>
        </is>
      </c>
      <c r="C3930" s="4" t="inlineStr">
        <is>
          <t>00185</t>
        </is>
      </c>
      <c r="D3930" s="29" t="inlineStr">
        <is>
          <t>ÜMMÜ AYDOĞAN</t>
        </is>
      </c>
      <c r="E3930" s="4" t="inlineStr">
        <is>
          <t>Salı</t>
        </is>
      </c>
      <c r="F3930" s="4" t="inlineStr">
        <is>
          <t>20.10.2026</t>
        </is>
      </c>
      <c r="G3930" s="4" t="inlineStr">
        <is>
          <t>07:41</t>
        </is>
      </c>
      <c r="H3930" s="4" t="inlineStr">
        <is>
          <t>20.10.2026</t>
        </is>
      </c>
      <c r="I3930" s="4" t="inlineStr">
        <is>
          <t>17:07</t>
        </is>
      </c>
      <c r="J3930" s="8" t="n">
        <v>7.5</v>
      </c>
      <c r="K3930" s="8" t="n">
        <v>7.5</v>
      </c>
      <c r="L3930" s="8" t="n">
        <v>0</v>
      </c>
      <c r="M3930" s="29" t="inlineStr">
        <is>
          <t>SUSURLUK TUR-REŞAT</t>
        </is>
      </c>
    </row>
    <row r="3931">
      <c r="A3931" s="4" t="n">
        <v>3930</v>
      </c>
      <c r="B3931" s="4" t="inlineStr">
        <is>
          <t>00185</t>
        </is>
      </c>
      <c r="C3931" s="4" t="inlineStr">
        <is>
          <t>00185</t>
        </is>
      </c>
      <c r="D3931" s="29" t="inlineStr">
        <is>
          <t>ÜMMÜ AYDOĞAN</t>
        </is>
      </c>
      <c r="E3931" s="4" t="inlineStr">
        <is>
          <t>Çarşamba</t>
        </is>
      </c>
      <c r="F3931" s="4" t="inlineStr">
        <is>
          <t>21.10.2026</t>
        </is>
      </c>
      <c r="G3931" s="4" t="inlineStr">
        <is>
          <t>07:46</t>
        </is>
      </c>
      <c r="H3931" s="4" t="inlineStr">
        <is>
          <t>21.10.2026</t>
        </is>
      </c>
      <c r="I3931" s="4" t="inlineStr">
        <is>
          <t>17:55</t>
        </is>
      </c>
      <c r="J3931" s="8" t="n">
        <v>8.5</v>
      </c>
      <c r="K3931" s="8" t="n">
        <v>7.5</v>
      </c>
      <c r="L3931" s="8" t="n">
        <v>1</v>
      </c>
      <c r="M3931" s="29" t="inlineStr">
        <is>
          <t>SUSURLUK TUR-REŞAT</t>
        </is>
      </c>
    </row>
    <row r="3932">
      <c r="A3932" s="4" t="n">
        <v>3931</v>
      </c>
      <c r="B3932" s="4" t="inlineStr">
        <is>
          <t>01350</t>
        </is>
      </c>
      <c r="C3932" s="4" t="inlineStr">
        <is>
          <t>01350</t>
        </is>
      </c>
      <c r="D3932" s="29" t="inlineStr">
        <is>
          <t>ÜVEYS SEPETÇİ</t>
        </is>
      </c>
      <c r="E3932" s="4" t="inlineStr">
        <is>
          <t>Perşembe</t>
        </is>
      </c>
      <c r="F3932" s="4" t="inlineStr">
        <is>
          <t>1.10.2026</t>
        </is>
      </c>
      <c r="G3932" s="4" t="inlineStr">
        <is>
          <t>08:03</t>
        </is>
      </c>
      <c r="H3932" s="4" t="inlineStr">
        <is>
          <t>1.10.2026</t>
        </is>
      </c>
      <c r="I3932" s="4" t="inlineStr">
        <is>
          <t>17:23</t>
        </is>
      </c>
      <c r="J3932" s="8" t="n">
        <v>8</v>
      </c>
      <c r="K3932" s="8" t="n">
        <v>7.5</v>
      </c>
      <c r="L3932" s="8" t="n">
        <v>0.5</v>
      </c>
      <c r="M3932" s="29" t="inlineStr">
        <is>
          <t>GÜVEN MUSTAFAKEMALPAŞA</t>
        </is>
      </c>
    </row>
    <row r="3933">
      <c r="A3933" s="4" t="n">
        <v>3932</v>
      </c>
      <c r="B3933" s="4" t="inlineStr">
        <is>
          <t>01350</t>
        </is>
      </c>
      <c r="C3933" s="4" t="inlineStr">
        <is>
          <t>01350</t>
        </is>
      </c>
      <c r="D3933" s="29" t="inlineStr">
        <is>
          <t>ÜVEYS SEPETÇİ</t>
        </is>
      </c>
      <c r="E3933" s="4" t="inlineStr">
        <is>
          <t>Cuma</t>
        </is>
      </c>
      <c r="F3933" s="4" t="inlineStr">
        <is>
          <t>2.10.2026</t>
        </is>
      </c>
      <c r="G3933" s="4" t="inlineStr">
        <is>
          <t>07:59</t>
        </is>
      </c>
      <c r="H3933" s="4" t="inlineStr">
        <is>
          <t>2.10.2026</t>
        </is>
      </c>
      <c r="I3933" s="4" t="inlineStr">
        <is>
          <t>17:40</t>
        </is>
      </c>
      <c r="J3933" s="8" t="n">
        <v>8</v>
      </c>
      <c r="K3933" s="8" t="n">
        <v>7.5</v>
      </c>
      <c r="L3933" s="8" t="n">
        <v>0.5</v>
      </c>
      <c r="M3933" s="29" t="inlineStr">
        <is>
          <t>GÜVEN MUSTAFAKEMALPAŞA</t>
        </is>
      </c>
    </row>
    <row r="3934">
      <c r="A3934" s="4" t="n">
        <v>3933</v>
      </c>
      <c r="B3934" s="4" t="inlineStr">
        <is>
          <t>01350</t>
        </is>
      </c>
      <c r="C3934" s="4" t="inlineStr">
        <is>
          <t>01350</t>
        </is>
      </c>
      <c r="D3934" s="29" t="inlineStr">
        <is>
          <t>ÜVEYS SEPETÇİ</t>
        </is>
      </c>
      <c r="E3934" s="4" t="inlineStr">
        <is>
          <t>Cumartesi</t>
        </is>
      </c>
      <c r="F3934" s="4" t="inlineStr">
        <is>
          <t>3.10.2026</t>
        </is>
      </c>
      <c r="G3934" s="4" t="inlineStr">
        <is>
          <t>07:54</t>
        </is>
      </c>
      <c r="H3934" s="4" t="inlineStr">
        <is>
          <t>3.10.2026</t>
        </is>
      </c>
      <c r="I3934" s="4" t="inlineStr">
        <is>
          <t>-</t>
        </is>
      </c>
      <c r="J3934" s="8" t="n">
        <v>7.5</v>
      </c>
      <c r="K3934" s="8" t="n">
        <v>7.5</v>
      </c>
      <c r="L3934" s="8" t="n">
        <v>0</v>
      </c>
      <c r="M3934" s="29" t="inlineStr">
        <is>
          <t>GÜVEN MUSTAFAKEMALPAŞA</t>
        </is>
      </c>
    </row>
    <row r="3935">
      <c r="A3935" s="4" t="n">
        <v>3934</v>
      </c>
      <c r="B3935" s="4" t="inlineStr">
        <is>
          <t>01350</t>
        </is>
      </c>
      <c r="C3935" s="4" t="inlineStr">
        <is>
          <t>01350</t>
        </is>
      </c>
      <c r="D3935" s="29" t="inlineStr">
        <is>
          <t>ÜVEYS SEPETÇİ</t>
        </is>
      </c>
      <c r="E3935" s="4" t="inlineStr">
        <is>
          <t>Pazartesi</t>
        </is>
      </c>
      <c r="F3935" s="4" t="inlineStr">
        <is>
          <t>5.10.2026</t>
        </is>
      </c>
      <c r="G3935" s="4" t="inlineStr">
        <is>
          <t>07:51</t>
        </is>
      </c>
      <c r="H3935" s="4" t="inlineStr">
        <is>
          <t>5.10.2026</t>
        </is>
      </c>
      <c r="I3935" s="4" t="inlineStr">
        <is>
          <t>17:08</t>
        </is>
      </c>
      <c r="J3935" s="8" t="n">
        <v>7.5</v>
      </c>
      <c r="K3935" s="8" t="n">
        <v>7.5</v>
      </c>
      <c r="L3935" s="8" t="n">
        <v>0</v>
      </c>
      <c r="M3935" s="29" t="inlineStr">
        <is>
          <t>GÜVEN MUSTAFAKEMALPAŞA</t>
        </is>
      </c>
    </row>
    <row r="3936">
      <c r="A3936" s="4" t="n">
        <v>3935</v>
      </c>
      <c r="B3936" s="4" t="inlineStr">
        <is>
          <t>01350</t>
        </is>
      </c>
      <c r="C3936" s="4" t="inlineStr">
        <is>
          <t>01350</t>
        </is>
      </c>
      <c r="D3936" s="29" t="inlineStr">
        <is>
          <t>ÜVEYS SEPETÇİ</t>
        </is>
      </c>
      <c r="E3936" s="4" t="inlineStr">
        <is>
          <t>Salı</t>
        </is>
      </c>
      <c r="F3936" s="4" t="inlineStr">
        <is>
          <t>6.10.2026</t>
        </is>
      </c>
      <c r="G3936" s="4" t="inlineStr">
        <is>
          <t>08:01</t>
        </is>
      </c>
      <c r="H3936" s="4" t="inlineStr">
        <is>
          <t>6.10.2026</t>
        </is>
      </c>
      <c r="I3936" s="4" t="inlineStr">
        <is>
          <t>07:55</t>
        </is>
      </c>
      <c r="J3936" s="8" t="n">
        <v>14</v>
      </c>
      <c r="K3936" s="8" t="n">
        <v>7.5</v>
      </c>
      <c r="L3936" s="8" t="n">
        <v>6.5</v>
      </c>
      <c r="M3936" s="29" t="inlineStr">
        <is>
          <t>GÜVEN MUSTAFAKEMALPAŞA</t>
        </is>
      </c>
    </row>
    <row r="3937">
      <c r="A3937" s="4" t="n">
        <v>3936</v>
      </c>
      <c r="B3937" s="4" t="inlineStr">
        <is>
          <t>01350</t>
        </is>
      </c>
      <c r="C3937" s="4" t="inlineStr">
        <is>
          <t>01350</t>
        </is>
      </c>
      <c r="D3937" s="29" t="inlineStr">
        <is>
          <t>ÜVEYS SEPETÇİ</t>
        </is>
      </c>
      <c r="E3937" s="4" t="inlineStr">
        <is>
          <t>Perşembe</t>
        </is>
      </c>
      <c r="F3937" s="4" t="inlineStr">
        <is>
          <t>8.10.2026</t>
        </is>
      </c>
      <c r="G3937" s="4" t="inlineStr">
        <is>
          <t>07:59</t>
        </is>
      </c>
      <c r="H3937" s="4" t="inlineStr">
        <is>
          <t>8.10.2026</t>
        </is>
      </c>
      <c r="I3937" s="4" t="inlineStr">
        <is>
          <t>17:00</t>
        </is>
      </c>
      <c r="J3937" s="8" t="n">
        <v>7.5</v>
      </c>
      <c r="K3937" s="8" t="n">
        <v>7.5</v>
      </c>
      <c r="L3937" s="8" t="n">
        <v>0</v>
      </c>
      <c r="M3937" s="29" t="inlineStr">
        <is>
          <t>GÜVEN MUSTAFAKEMALPAŞA</t>
        </is>
      </c>
    </row>
    <row r="3938">
      <c r="A3938" s="4" t="n">
        <v>3937</v>
      </c>
      <c r="B3938" s="4" t="inlineStr">
        <is>
          <t>01350</t>
        </is>
      </c>
      <c r="C3938" s="4" t="inlineStr">
        <is>
          <t>01350</t>
        </is>
      </c>
      <c r="D3938" s="29" t="inlineStr">
        <is>
          <t>ÜVEYS SEPETÇİ</t>
        </is>
      </c>
      <c r="E3938" s="4" t="inlineStr">
        <is>
          <t>Pazartesi</t>
        </is>
      </c>
      <c r="F3938" s="4" t="inlineStr">
        <is>
          <t>12.10.2026</t>
        </is>
      </c>
      <c r="G3938" s="4" t="inlineStr">
        <is>
          <t>07:56</t>
        </is>
      </c>
      <c r="H3938" s="4" t="inlineStr">
        <is>
          <t>12.10.2026</t>
        </is>
      </c>
      <c r="I3938" s="4" t="inlineStr">
        <is>
          <t>17:02</t>
        </is>
      </c>
      <c r="J3938" s="8" t="n">
        <v>7.5</v>
      </c>
      <c r="K3938" s="8" t="n">
        <v>7.5</v>
      </c>
      <c r="L3938" s="8" t="n">
        <v>0</v>
      </c>
      <c r="M3938" s="29" t="inlineStr">
        <is>
          <t>GÜVEN MUSTAFAKEMALPAŞA</t>
        </is>
      </c>
    </row>
    <row r="3939">
      <c r="A3939" s="4" t="n">
        <v>3938</v>
      </c>
      <c r="B3939" s="4" t="inlineStr">
        <is>
          <t>01350</t>
        </is>
      </c>
      <c r="C3939" s="4" t="inlineStr">
        <is>
          <t>01350</t>
        </is>
      </c>
      <c r="D3939" s="29" t="inlineStr">
        <is>
          <t>ÜVEYS SEPETÇİ</t>
        </is>
      </c>
      <c r="E3939" s="4" t="inlineStr">
        <is>
          <t>Salı</t>
        </is>
      </c>
      <c r="F3939" s="4" t="inlineStr">
        <is>
          <t>13.10.2026</t>
        </is>
      </c>
      <c r="G3939" s="4" t="inlineStr">
        <is>
          <t>07:52</t>
        </is>
      </c>
      <c r="H3939" s="4" t="inlineStr">
        <is>
          <t>13.10.2026</t>
        </is>
      </c>
      <c r="I3939" s="4" t="inlineStr">
        <is>
          <t>17:06</t>
        </is>
      </c>
      <c r="J3939" s="8" t="n">
        <v>7.5</v>
      </c>
      <c r="K3939" s="8" t="n">
        <v>7.5</v>
      </c>
      <c r="L3939" s="8" t="n">
        <v>0</v>
      </c>
      <c r="M3939" s="29" t="inlineStr">
        <is>
          <t>GÜVEN MUSTAFAKEMALPAŞA</t>
        </is>
      </c>
    </row>
    <row r="3940">
      <c r="A3940" s="4" t="n">
        <v>3939</v>
      </c>
      <c r="B3940" s="4" t="inlineStr">
        <is>
          <t>01350</t>
        </is>
      </c>
      <c r="C3940" s="4" t="inlineStr">
        <is>
          <t>01350</t>
        </is>
      </c>
      <c r="D3940" s="29" t="inlineStr">
        <is>
          <t>ÜVEYS SEPETÇİ</t>
        </is>
      </c>
      <c r="E3940" s="4" t="inlineStr">
        <is>
          <t>Çarşamba</t>
        </is>
      </c>
      <c r="F3940" s="4" t="inlineStr">
        <is>
          <t>14.10.2026</t>
        </is>
      </c>
      <c r="G3940" s="4" t="inlineStr">
        <is>
          <t>07:53</t>
        </is>
      </c>
      <c r="H3940" s="4" t="inlineStr">
        <is>
          <t>14.10.2026</t>
        </is>
      </c>
      <c r="I3940" s="4" t="inlineStr">
        <is>
          <t>17:32</t>
        </is>
      </c>
      <c r="J3940" s="8" t="n">
        <v>8</v>
      </c>
      <c r="K3940" s="8" t="n">
        <v>7.5</v>
      </c>
      <c r="L3940" s="8" t="n">
        <v>0.5</v>
      </c>
      <c r="M3940" s="29" t="inlineStr">
        <is>
          <t>GÜVEN MUSTAFAKEMALPAŞA</t>
        </is>
      </c>
    </row>
    <row r="3941">
      <c r="A3941" s="4" t="n">
        <v>3940</v>
      </c>
      <c r="B3941" s="4" t="inlineStr">
        <is>
          <t>01350</t>
        </is>
      </c>
      <c r="C3941" s="4" t="inlineStr">
        <is>
          <t>01350</t>
        </is>
      </c>
      <c r="D3941" s="29" t="inlineStr">
        <is>
          <t>ÜVEYS SEPETÇİ</t>
        </is>
      </c>
      <c r="E3941" s="4" t="inlineStr">
        <is>
          <t>Perşembe</t>
        </is>
      </c>
      <c r="F3941" s="4" t="inlineStr">
        <is>
          <t>15.10.2026</t>
        </is>
      </c>
      <c r="G3941" s="4" t="inlineStr">
        <is>
          <t>07:56</t>
        </is>
      </c>
      <c r="H3941" s="4" t="inlineStr">
        <is>
          <t>15.10.2026</t>
        </is>
      </c>
      <c r="I3941" s="4" t="inlineStr">
        <is>
          <t>17:02</t>
        </is>
      </c>
      <c r="J3941" s="8" t="n">
        <v>7.5</v>
      </c>
      <c r="K3941" s="8" t="n">
        <v>7.5</v>
      </c>
      <c r="L3941" s="8" t="n">
        <v>0</v>
      </c>
      <c r="M3941" s="29" t="inlineStr">
        <is>
          <t>GÜVEN MUSTAFAKEMALPAŞA</t>
        </is>
      </c>
    </row>
    <row r="3942">
      <c r="A3942" s="4" t="n">
        <v>3941</v>
      </c>
      <c r="B3942" s="4" t="inlineStr">
        <is>
          <t>01350</t>
        </is>
      </c>
      <c r="C3942" s="4" t="inlineStr">
        <is>
          <t>01350</t>
        </is>
      </c>
      <c r="D3942" s="29" t="inlineStr">
        <is>
          <t>ÜVEYS SEPETÇİ</t>
        </is>
      </c>
      <c r="E3942" s="4" t="inlineStr">
        <is>
          <t>Cuma</t>
        </is>
      </c>
      <c r="F3942" s="4" t="inlineStr">
        <is>
          <t>16.10.2026</t>
        </is>
      </c>
      <c r="G3942" s="4" t="inlineStr">
        <is>
          <t>07:53</t>
        </is>
      </c>
      <c r="H3942" s="4" t="inlineStr">
        <is>
          <t>16.10.2026</t>
        </is>
      </c>
      <c r="I3942" s="4" t="inlineStr">
        <is>
          <t>17:05</t>
        </is>
      </c>
      <c r="J3942" s="8" t="n">
        <v>7.5</v>
      </c>
      <c r="K3942" s="8" t="n">
        <v>7.5</v>
      </c>
      <c r="L3942" s="8" t="n">
        <v>0</v>
      </c>
      <c r="M3942" s="29" t="inlineStr">
        <is>
          <t>GÜVEN MUSTAFAKEMALPAŞA</t>
        </is>
      </c>
    </row>
    <row r="3943">
      <c r="A3943" s="4" t="n">
        <v>3942</v>
      </c>
      <c r="B3943" s="4" t="inlineStr">
        <is>
          <t>01350</t>
        </is>
      </c>
      <c r="C3943" s="4" t="inlineStr">
        <is>
          <t>01350</t>
        </is>
      </c>
      <c r="D3943" s="29" t="inlineStr">
        <is>
          <t>ÜVEYS SEPETÇİ</t>
        </is>
      </c>
      <c r="E3943" s="4" t="inlineStr">
        <is>
          <t>Cumartesi</t>
        </is>
      </c>
      <c r="F3943" s="4" t="inlineStr">
        <is>
          <t>17.10.2026</t>
        </is>
      </c>
      <c r="G3943" s="4" t="inlineStr">
        <is>
          <t>07:55</t>
        </is>
      </c>
      <c r="H3943" s="4" t="inlineStr">
        <is>
          <t>17.10.2026</t>
        </is>
      </c>
      <c r="I3943" s="4" t="inlineStr">
        <is>
          <t>17:47</t>
        </is>
      </c>
      <c r="J3943" s="8" t="n">
        <v>8.5</v>
      </c>
      <c r="K3943" s="8" t="n">
        <v>7.5</v>
      </c>
      <c r="L3943" s="8" t="n">
        <v>1</v>
      </c>
      <c r="M3943" s="29" t="inlineStr">
        <is>
          <t>GÜVEN MUSTAFAKEMALPAŞA</t>
        </is>
      </c>
    </row>
    <row r="3944">
      <c r="A3944" s="4" t="n">
        <v>3943</v>
      </c>
      <c r="B3944" s="4" t="inlineStr">
        <is>
          <t>01350</t>
        </is>
      </c>
      <c r="C3944" s="4" t="inlineStr">
        <is>
          <t>01350</t>
        </is>
      </c>
      <c r="D3944" s="29" t="inlineStr">
        <is>
          <t>ÜVEYS SEPETÇİ</t>
        </is>
      </c>
      <c r="E3944" s="4" t="inlineStr">
        <is>
          <t>Pazartesi</t>
        </is>
      </c>
      <c r="F3944" s="4" t="inlineStr">
        <is>
          <t>19.10.2026</t>
        </is>
      </c>
      <c r="G3944" s="4" t="inlineStr">
        <is>
          <t>07:53</t>
        </is>
      </c>
      <c r="H3944" s="4" t="inlineStr">
        <is>
          <t>19.10.2026</t>
        </is>
      </c>
      <c r="I3944" s="4" t="inlineStr">
        <is>
          <t>17:39</t>
        </is>
      </c>
      <c r="J3944" s="8" t="n">
        <v>8</v>
      </c>
      <c r="K3944" s="8" t="n">
        <v>7.5</v>
      </c>
      <c r="L3944" s="8" t="n">
        <v>0.5</v>
      </c>
      <c r="M3944" s="29" t="inlineStr">
        <is>
          <t>GÜVEN MUSTAFAKEMALPAŞA</t>
        </is>
      </c>
    </row>
    <row r="3945">
      <c r="A3945" s="4" t="n">
        <v>3944</v>
      </c>
      <c r="B3945" s="4" t="inlineStr">
        <is>
          <t>01350</t>
        </is>
      </c>
      <c r="C3945" s="4" t="inlineStr">
        <is>
          <t>01350</t>
        </is>
      </c>
      <c r="D3945" s="29" t="inlineStr">
        <is>
          <t>ÜVEYS SEPETÇİ</t>
        </is>
      </c>
      <c r="E3945" s="4" t="inlineStr">
        <is>
          <t>Salı</t>
        </is>
      </c>
      <c r="F3945" s="4" t="inlineStr">
        <is>
          <t>20.10.2026</t>
        </is>
      </c>
      <c r="G3945" s="4" t="inlineStr">
        <is>
          <t>07:53</t>
        </is>
      </c>
      <c r="H3945" s="4" t="inlineStr">
        <is>
          <t>20.10.2026</t>
        </is>
      </c>
      <c r="I3945" s="4" t="inlineStr">
        <is>
          <t>17:04</t>
        </is>
      </c>
      <c r="J3945" s="8" t="n">
        <v>7.5</v>
      </c>
      <c r="K3945" s="8" t="n">
        <v>7.5</v>
      </c>
      <c r="L3945" s="8" t="n">
        <v>0</v>
      </c>
      <c r="M3945" s="29" t="inlineStr">
        <is>
          <t>GÜVEN MUSTAFAKEMALPAŞA</t>
        </is>
      </c>
    </row>
    <row r="3946">
      <c r="A3946" s="4" t="n">
        <v>3945</v>
      </c>
      <c r="B3946" s="4" t="inlineStr">
        <is>
          <t>01465</t>
        </is>
      </c>
      <c r="C3946" s="4" t="inlineStr">
        <is>
          <t>01465</t>
        </is>
      </c>
      <c r="D3946" s="29" t="inlineStr">
        <is>
          <t>VEDAT DEMİR</t>
        </is>
      </c>
      <c r="E3946" s="4" t="inlineStr">
        <is>
          <t>Perşembe</t>
        </is>
      </c>
      <c r="F3946" s="4" t="inlineStr">
        <is>
          <t>1.10.2026</t>
        </is>
      </c>
      <c r="G3946" s="4" t="inlineStr">
        <is>
          <t>23:35</t>
        </is>
      </c>
      <c r="H3946" s="4" t="inlineStr">
        <is>
          <t>1.10.2026</t>
        </is>
      </c>
      <c r="I3946" s="4" t="inlineStr">
        <is>
          <t>07:51</t>
        </is>
      </c>
      <c r="J3946" s="8" t="n">
        <v>7.5</v>
      </c>
      <c r="K3946" s="8" t="n">
        <v>7.5</v>
      </c>
      <c r="L3946" s="8" t="n">
        <v>0</v>
      </c>
      <c r="M3946" s="29" t="inlineStr">
        <is>
          <t>HALİL DİĞRENCİ</t>
        </is>
      </c>
    </row>
    <row r="3947">
      <c r="A3947" s="4" t="n">
        <v>3946</v>
      </c>
      <c r="B3947" s="4" t="inlineStr">
        <is>
          <t>01465</t>
        </is>
      </c>
      <c r="C3947" s="4" t="inlineStr">
        <is>
          <t>01465</t>
        </is>
      </c>
      <c r="D3947" s="29" t="inlineStr">
        <is>
          <t>VEDAT DEMİR</t>
        </is>
      </c>
      <c r="E3947" s="4" t="inlineStr">
        <is>
          <t>Cuma</t>
        </is>
      </c>
      <c r="F3947" s="4" t="inlineStr">
        <is>
          <t>2.10.2026</t>
        </is>
      </c>
      <c r="G3947" s="4" t="inlineStr">
        <is>
          <t>19:46</t>
        </is>
      </c>
      <c r="H3947" s="4" t="inlineStr">
        <is>
          <t>2.10.2026</t>
        </is>
      </c>
      <c r="I3947" s="4" t="inlineStr">
        <is>
          <t>07:53</t>
        </is>
      </c>
      <c r="J3947" s="8" t="n">
        <v>10.5</v>
      </c>
      <c r="K3947" s="8" t="n">
        <v>7.5</v>
      </c>
      <c r="L3947" s="8" t="n">
        <v>3</v>
      </c>
      <c r="M3947" s="29" t="inlineStr">
        <is>
          <t>HALİL DİĞRENCİ</t>
        </is>
      </c>
    </row>
    <row r="3948">
      <c r="A3948" s="4" t="n">
        <v>3947</v>
      </c>
      <c r="B3948" s="4" t="inlineStr">
        <is>
          <t>01465</t>
        </is>
      </c>
      <c r="C3948" s="4" t="inlineStr">
        <is>
          <t>01465</t>
        </is>
      </c>
      <c r="D3948" s="29" t="inlineStr">
        <is>
          <t>VEDAT DEMİR</t>
        </is>
      </c>
      <c r="E3948" s="4" t="inlineStr">
        <is>
          <t>Cumartesi</t>
        </is>
      </c>
      <c r="F3948" s="4" t="inlineStr">
        <is>
          <t>3.10.2026</t>
        </is>
      </c>
      <c r="G3948" s="4" t="inlineStr">
        <is>
          <t>19:54</t>
        </is>
      </c>
      <c r="H3948" s="4" t="inlineStr">
        <is>
          <t>3.10.2026</t>
        </is>
      </c>
      <c r="I3948" s="4" t="inlineStr">
        <is>
          <t>07:53</t>
        </is>
      </c>
      <c r="J3948" s="8" t="n">
        <v>10.5</v>
      </c>
      <c r="K3948" s="8" t="n">
        <v>7.5</v>
      </c>
      <c r="L3948" s="8" t="n">
        <v>3</v>
      </c>
      <c r="M3948" s="29" t="inlineStr">
        <is>
          <t>HALİL DİĞRENCİ</t>
        </is>
      </c>
    </row>
    <row r="3949">
      <c r="A3949" s="4" t="n">
        <v>3948</v>
      </c>
      <c r="B3949" s="4" t="inlineStr">
        <is>
          <t>01465</t>
        </is>
      </c>
      <c r="C3949" s="4" t="inlineStr">
        <is>
          <t>01465</t>
        </is>
      </c>
      <c r="D3949" s="29" t="inlineStr">
        <is>
          <t>VEDAT DEMİR</t>
        </is>
      </c>
      <c r="E3949" s="4" t="inlineStr">
        <is>
          <t>Pazar</t>
        </is>
      </c>
      <c r="F3949" s="4" t="inlineStr">
        <is>
          <t>4.10.2026</t>
        </is>
      </c>
      <c r="G3949" s="4" t="inlineStr">
        <is>
          <t>19:59</t>
        </is>
      </c>
      <c r="H3949" s="4" t="inlineStr">
        <is>
          <t>4.10.2026</t>
        </is>
      </c>
      <c r="I3949" s="4" t="inlineStr">
        <is>
          <t>07:57</t>
        </is>
      </c>
      <c r="J3949" s="8" t="n">
        <v>10.5</v>
      </c>
      <c r="K3949" s="8" t="n">
        <v>7.5</v>
      </c>
      <c r="L3949" s="8" t="n">
        <v>3</v>
      </c>
      <c r="M3949" s="29" t="inlineStr">
        <is>
          <t>HALİL DİĞRENCİ</t>
        </is>
      </c>
    </row>
    <row r="3950">
      <c r="A3950" s="4" t="n">
        <v>3949</v>
      </c>
      <c r="B3950" s="4" t="inlineStr">
        <is>
          <t>01465</t>
        </is>
      </c>
      <c r="C3950" s="4" t="inlineStr">
        <is>
          <t>01465</t>
        </is>
      </c>
      <c r="D3950" s="29" t="inlineStr">
        <is>
          <t>VEDAT DEMİR</t>
        </is>
      </c>
      <c r="E3950" s="4" t="inlineStr">
        <is>
          <t>Pazartesi</t>
        </is>
      </c>
      <c r="F3950" s="4" t="inlineStr">
        <is>
          <t>5.10.2026</t>
        </is>
      </c>
      <c r="G3950" s="4" t="inlineStr">
        <is>
          <t>19:56</t>
        </is>
      </c>
      <c r="H3950" s="4" t="inlineStr">
        <is>
          <t>5.10.2026</t>
        </is>
      </c>
      <c r="I3950" s="4" t="inlineStr">
        <is>
          <t>07:50</t>
        </is>
      </c>
      <c r="J3950" s="8" t="n">
        <v>10.5</v>
      </c>
      <c r="K3950" s="8" t="n">
        <v>7.5</v>
      </c>
      <c r="L3950" s="8" t="n">
        <v>3</v>
      </c>
      <c r="M3950" s="29" t="inlineStr">
        <is>
          <t>HALİL DİĞRENCİ</t>
        </is>
      </c>
    </row>
    <row r="3951">
      <c r="A3951" s="4" t="n">
        <v>3950</v>
      </c>
      <c r="B3951" s="4" t="inlineStr">
        <is>
          <t>01465</t>
        </is>
      </c>
      <c r="C3951" s="4" t="inlineStr">
        <is>
          <t>01465</t>
        </is>
      </c>
      <c r="D3951" s="29" t="inlineStr">
        <is>
          <t>VEDAT DEMİR</t>
        </is>
      </c>
      <c r="E3951" s="4" t="inlineStr">
        <is>
          <t>Çarşamba</t>
        </is>
      </c>
      <c r="F3951" s="4" t="inlineStr">
        <is>
          <t>7.10.2026</t>
        </is>
      </c>
      <c r="G3951" s="4" t="inlineStr">
        <is>
          <t>19:58</t>
        </is>
      </c>
      <c r="H3951" s="4" t="inlineStr">
        <is>
          <t>7.10.2026</t>
        </is>
      </c>
      <c r="I3951" s="4" t="inlineStr">
        <is>
          <t>07:55</t>
        </is>
      </c>
      <c r="J3951" s="8" t="n">
        <v>10.5</v>
      </c>
      <c r="K3951" s="8" t="n">
        <v>7.5</v>
      </c>
      <c r="L3951" s="8" t="n">
        <v>3</v>
      </c>
      <c r="M3951" s="29" t="inlineStr">
        <is>
          <t>HALİL DİĞRENCİ</t>
        </is>
      </c>
    </row>
    <row r="3952">
      <c r="A3952" s="4" t="n">
        <v>3951</v>
      </c>
      <c r="B3952" s="4" t="inlineStr">
        <is>
          <t>01465</t>
        </is>
      </c>
      <c r="C3952" s="4" t="inlineStr">
        <is>
          <t>01465</t>
        </is>
      </c>
      <c r="D3952" s="29" t="inlineStr">
        <is>
          <t>VEDAT DEMİR</t>
        </is>
      </c>
      <c r="E3952" s="4" t="inlineStr">
        <is>
          <t>Perşembe</t>
        </is>
      </c>
      <c r="F3952" s="4" t="inlineStr">
        <is>
          <t>8.10.2026</t>
        </is>
      </c>
      <c r="G3952" s="4" t="inlineStr">
        <is>
          <t>19:57</t>
        </is>
      </c>
      <c r="H3952" s="4" t="inlineStr">
        <is>
          <t>8.10.2026</t>
        </is>
      </c>
      <c r="I3952" s="4" t="inlineStr">
        <is>
          <t>07:58</t>
        </is>
      </c>
      <c r="J3952" s="8" t="n">
        <v>10.5</v>
      </c>
      <c r="K3952" s="8" t="n">
        <v>7.5</v>
      </c>
      <c r="L3952" s="8" t="n">
        <v>3</v>
      </c>
      <c r="M3952" s="29" t="inlineStr">
        <is>
          <t>HALİL DİĞRENCİ</t>
        </is>
      </c>
    </row>
    <row r="3953">
      <c r="A3953" s="4" t="n">
        <v>3952</v>
      </c>
      <c r="B3953" s="4" t="inlineStr">
        <is>
          <t>01465</t>
        </is>
      </c>
      <c r="C3953" s="4" t="inlineStr">
        <is>
          <t>01465</t>
        </is>
      </c>
      <c r="D3953" s="29" t="inlineStr">
        <is>
          <t>VEDAT DEMİR</t>
        </is>
      </c>
      <c r="E3953" s="4" t="inlineStr">
        <is>
          <t>Cuma</t>
        </is>
      </c>
      <c r="F3953" s="4" t="inlineStr">
        <is>
          <t>9.10.2026</t>
        </is>
      </c>
      <c r="G3953" s="4" t="inlineStr">
        <is>
          <t>20:05</t>
        </is>
      </c>
      <c r="H3953" s="4" t="inlineStr">
        <is>
          <t>9.10.2026</t>
        </is>
      </c>
      <c r="I3953" s="4" t="inlineStr">
        <is>
          <t>07:56</t>
        </is>
      </c>
      <c r="J3953" s="8" t="n">
        <v>10.5</v>
      </c>
      <c r="K3953" s="8" t="n">
        <v>7.5</v>
      </c>
      <c r="L3953" s="8" t="n">
        <v>3</v>
      </c>
      <c r="M3953" s="29" t="inlineStr">
        <is>
          <t>HALİL DİĞRENCİ</t>
        </is>
      </c>
    </row>
    <row r="3954">
      <c r="A3954" s="4" t="n">
        <v>3953</v>
      </c>
      <c r="B3954" s="4" t="inlineStr">
        <is>
          <t>01465</t>
        </is>
      </c>
      <c r="C3954" s="4" t="inlineStr">
        <is>
          <t>01465</t>
        </is>
      </c>
      <c r="D3954" s="29" t="inlineStr">
        <is>
          <t>VEDAT DEMİR</t>
        </is>
      </c>
      <c r="E3954" s="4" t="inlineStr">
        <is>
          <t>Pazartesi</t>
        </is>
      </c>
      <c r="F3954" s="4" t="inlineStr">
        <is>
          <t>12.10.2026</t>
        </is>
      </c>
      <c r="G3954" s="4" t="inlineStr">
        <is>
          <t>08:10</t>
        </is>
      </c>
      <c r="H3954" s="4" t="inlineStr">
        <is>
          <t>12.10.2026</t>
        </is>
      </c>
      <c r="I3954" s="4" t="inlineStr">
        <is>
          <t>07:53</t>
        </is>
      </c>
      <c r="J3954" s="8" t="n">
        <v>21</v>
      </c>
      <c r="K3954" s="8" t="n">
        <v>7.5</v>
      </c>
      <c r="L3954" s="8" t="n">
        <v>13.5</v>
      </c>
      <c r="M3954" s="29" t="inlineStr">
        <is>
          <t>HALİL DİĞRENCİ</t>
        </is>
      </c>
    </row>
    <row r="3955">
      <c r="A3955" s="4" t="n">
        <v>3954</v>
      </c>
      <c r="B3955" s="4" t="inlineStr">
        <is>
          <t>01465</t>
        </is>
      </c>
      <c r="C3955" s="4" t="inlineStr">
        <is>
          <t>01465</t>
        </is>
      </c>
      <c r="D3955" s="29" t="inlineStr">
        <is>
          <t>VEDAT DEMİR</t>
        </is>
      </c>
      <c r="E3955" s="4" t="inlineStr">
        <is>
          <t>Salı</t>
        </is>
      </c>
      <c r="F3955" s="4" t="inlineStr">
        <is>
          <t>13.10.2026</t>
        </is>
      </c>
      <c r="G3955" s="4" t="inlineStr">
        <is>
          <t>19:56</t>
        </is>
      </c>
      <c r="H3955" s="4" t="inlineStr">
        <is>
          <t>13.10.2026</t>
        </is>
      </c>
      <c r="I3955" s="4" t="inlineStr">
        <is>
          <t>21:14</t>
        </is>
      </c>
      <c r="J3955" s="8" t="n">
        <v>1</v>
      </c>
      <c r="K3955" s="8" t="n">
        <v>1</v>
      </c>
      <c r="L3955" s="8" t="n">
        <v>0</v>
      </c>
      <c r="M3955" s="29" t="inlineStr">
        <is>
          <t>HALİL DİĞRENCİ</t>
        </is>
      </c>
    </row>
    <row r="3956">
      <c r="A3956" s="4" t="n">
        <v>3955</v>
      </c>
      <c r="B3956" s="4" t="inlineStr">
        <is>
          <t>01466</t>
        </is>
      </c>
      <c r="C3956" s="4" t="inlineStr">
        <is>
          <t>01466</t>
        </is>
      </c>
      <c r="D3956" s="29" t="inlineStr">
        <is>
          <t>YELİZ KIRCALI</t>
        </is>
      </c>
      <c r="E3956" s="4" t="inlineStr">
        <is>
          <t>Cuma</t>
        </is>
      </c>
      <c r="F3956" s="4" t="inlineStr">
        <is>
          <t>2.10.2026</t>
        </is>
      </c>
      <c r="G3956" s="4" t="inlineStr">
        <is>
          <t>19:48</t>
        </is>
      </c>
      <c r="H3956" s="4" t="inlineStr">
        <is>
          <t>2.10.2026</t>
        </is>
      </c>
      <c r="I3956" s="4" t="inlineStr">
        <is>
          <t>07:58</t>
        </is>
      </c>
      <c r="J3956" s="8" t="n">
        <v>10.5</v>
      </c>
      <c r="K3956" s="8" t="n">
        <v>7.5</v>
      </c>
      <c r="L3956" s="8" t="n">
        <v>3</v>
      </c>
      <c r="M3956" s="29" t="inlineStr">
        <is>
          <t>HALİL DİĞRENCİ</t>
        </is>
      </c>
    </row>
    <row r="3957">
      <c r="A3957" s="4" t="n">
        <v>3956</v>
      </c>
      <c r="B3957" s="4" t="inlineStr">
        <is>
          <t>01466</t>
        </is>
      </c>
      <c r="C3957" s="4" t="inlineStr">
        <is>
          <t>01466</t>
        </is>
      </c>
      <c r="D3957" s="29" t="inlineStr">
        <is>
          <t>YELİZ KIRCALI</t>
        </is>
      </c>
      <c r="E3957" s="4" t="inlineStr">
        <is>
          <t>Cumartesi</t>
        </is>
      </c>
      <c r="F3957" s="4" t="inlineStr">
        <is>
          <t>3.10.2026</t>
        </is>
      </c>
      <c r="G3957" s="4" t="inlineStr">
        <is>
          <t>19:54</t>
        </is>
      </c>
      <c r="H3957" s="4" t="inlineStr">
        <is>
          <t>3.10.2026</t>
        </is>
      </c>
      <c r="I3957" s="4" t="inlineStr">
        <is>
          <t>07:55</t>
        </is>
      </c>
      <c r="J3957" s="8" t="n">
        <v>10.5</v>
      </c>
      <c r="K3957" s="8" t="n">
        <v>7.5</v>
      </c>
      <c r="L3957" s="8" t="n">
        <v>3</v>
      </c>
      <c r="M3957" s="29" t="inlineStr">
        <is>
          <t>HALİL DİĞRENCİ</t>
        </is>
      </c>
    </row>
    <row r="3958">
      <c r="A3958" s="4" t="n">
        <v>3957</v>
      </c>
      <c r="B3958" s="4" t="inlineStr">
        <is>
          <t>01466</t>
        </is>
      </c>
      <c r="C3958" s="4" t="inlineStr">
        <is>
          <t>01466</t>
        </is>
      </c>
      <c r="D3958" s="29" t="inlineStr">
        <is>
          <t>YELİZ KIRCALI</t>
        </is>
      </c>
      <c r="E3958" s="4" t="inlineStr">
        <is>
          <t>Pazar</t>
        </is>
      </c>
      <c r="F3958" s="4" t="inlineStr">
        <is>
          <t>4.10.2026</t>
        </is>
      </c>
      <c r="G3958" s="4" t="inlineStr">
        <is>
          <t>20:00</t>
        </is>
      </c>
      <c r="H3958" s="4" t="inlineStr">
        <is>
          <t>4.10.2026</t>
        </is>
      </c>
      <c r="I3958" s="4" t="inlineStr">
        <is>
          <t>08:00</t>
        </is>
      </c>
      <c r="J3958" s="8" t="n">
        <v>10.5</v>
      </c>
      <c r="K3958" s="8" t="n">
        <v>7.5</v>
      </c>
      <c r="L3958" s="8" t="n">
        <v>3</v>
      </c>
      <c r="M3958" s="29" t="inlineStr">
        <is>
          <t>HALİL DİĞRENCİ</t>
        </is>
      </c>
    </row>
    <row r="3959">
      <c r="A3959" s="4" t="n">
        <v>3958</v>
      </c>
      <c r="B3959" s="4" t="inlineStr">
        <is>
          <t>01466</t>
        </is>
      </c>
      <c r="C3959" s="4" t="inlineStr">
        <is>
          <t>01466</t>
        </is>
      </c>
      <c r="D3959" s="29" t="inlineStr">
        <is>
          <t>YELİZ KIRCALI</t>
        </is>
      </c>
      <c r="E3959" s="4" t="inlineStr">
        <is>
          <t>Salı</t>
        </is>
      </c>
      <c r="F3959" s="4" t="inlineStr">
        <is>
          <t>6.10.2026</t>
        </is>
      </c>
      <c r="G3959" s="4" t="inlineStr">
        <is>
          <t>19:47</t>
        </is>
      </c>
      <c r="H3959" s="4" t="inlineStr">
        <is>
          <t>6.10.2026</t>
        </is>
      </c>
      <c r="I3959" s="4" t="inlineStr">
        <is>
          <t>08:02</t>
        </is>
      </c>
      <c r="J3959" s="8" t="n">
        <v>10.5</v>
      </c>
      <c r="K3959" s="8" t="n">
        <v>7.5</v>
      </c>
      <c r="L3959" s="8" t="n">
        <v>3</v>
      </c>
      <c r="M3959" s="29" t="inlineStr">
        <is>
          <t>HALİL DİĞRENCİ</t>
        </is>
      </c>
    </row>
    <row r="3960">
      <c r="A3960" s="4" t="n">
        <v>3959</v>
      </c>
      <c r="B3960" s="4" t="inlineStr">
        <is>
          <t>01466</t>
        </is>
      </c>
      <c r="C3960" s="4" t="inlineStr">
        <is>
          <t>01466</t>
        </is>
      </c>
      <c r="D3960" s="29" t="inlineStr">
        <is>
          <t>YELİZ KIRCALI</t>
        </is>
      </c>
      <c r="E3960" s="4" t="inlineStr">
        <is>
          <t>Çarşamba</t>
        </is>
      </c>
      <c r="F3960" s="4" t="inlineStr">
        <is>
          <t>7.10.2026</t>
        </is>
      </c>
      <c r="G3960" s="4" t="inlineStr">
        <is>
          <t>19:56</t>
        </is>
      </c>
      <c r="H3960" s="4" t="inlineStr">
        <is>
          <t>7.10.2026</t>
        </is>
      </c>
      <c r="I3960" s="4" t="inlineStr">
        <is>
          <t>07:56</t>
        </is>
      </c>
      <c r="J3960" s="8" t="n">
        <v>10.5</v>
      </c>
      <c r="K3960" s="8" t="n">
        <v>7.5</v>
      </c>
      <c r="L3960" s="8" t="n">
        <v>3</v>
      </c>
      <c r="M3960" s="29" t="inlineStr">
        <is>
          <t>HALİL DİĞRENCİ</t>
        </is>
      </c>
    </row>
    <row r="3961">
      <c r="A3961" s="4" t="n">
        <v>3960</v>
      </c>
      <c r="B3961" s="4" t="inlineStr">
        <is>
          <t>01466</t>
        </is>
      </c>
      <c r="C3961" s="4" t="inlineStr">
        <is>
          <t>01466</t>
        </is>
      </c>
      <c r="D3961" s="29" t="inlineStr">
        <is>
          <t>YELİZ KIRCALI</t>
        </is>
      </c>
      <c r="E3961" s="4" t="inlineStr">
        <is>
          <t>Perşembe</t>
        </is>
      </c>
      <c r="F3961" s="4" t="inlineStr">
        <is>
          <t>8.10.2026</t>
        </is>
      </c>
      <c r="G3961" s="4" t="inlineStr">
        <is>
          <t>19:57</t>
        </is>
      </c>
      <c r="H3961" s="4" t="inlineStr">
        <is>
          <t>8.10.2026</t>
        </is>
      </c>
      <c r="I3961" s="4" t="inlineStr">
        <is>
          <t>07:59</t>
        </is>
      </c>
      <c r="J3961" s="8" t="n">
        <v>10.5</v>
      </c>
      <c r="K3961" s="8" t="n">
        <v>7.5</v>
      </c>
      <c r="L3961" s="8" t="n">
        <v>3</v>
      </c>
      <c r="M3961" s="29" t="inlineStr">
        <is>
          <t>HALİL DİĞRENCİ</t>
        </is>
      </c>
    </row>
    <row r="3962">
      <c r="A3962" s="4" t="n">
        <v>3961</v>
      </c>
      <c r="B3962" s="4" t="inlineStr">
        <is>
          <t>01466</t>
        </is>
      </c>
      <c r="C3962" s="4" t="inlineStr">
        <is>
          <t>01466</t>
        </is>
      </c>
      <c r="D3962" s="29" t="inlineStr">
        <is>
          <t>YELİZ KIRCALI</t>
        </is>
      </c>
      <c r="E3962" s="4" t="inlineStr">
        <is>
          <t>Cuma</t>
        </is>
      </c>
      <c r="F3962" s="4" t="inlineStr">
        <is>
          <t>9.10.2026</t>
        </is>
      </c>
      <c r="G3962" s="4" t="inlineStr">
        <is>
          <t>20:02</t>
        </is>
      </c>
      <c r="H3962" s="4" t="inlineStr">
        <is>
          <t>9.10.2026</t>
        </is>
      </c>
      <c r="I3962" s="4" t="inlineStr">
        <is>
          <t>07:57</t>
        </is>
      </c>
      <c r="J3962" s="8" t="n">
        <v>10.5</v>
      </c>
      <c r="K3962" s="8" t="n">
        <v>7.5</v>
      </c>
      <c r="L3962" s="8" t="n">
        <v>3</v>
      </c>
      <c r="M3962" s="29" t="inlineStr">
        <is>
          <t>HALİL DİĞRENCİ</t>
        </is>
      </c>
    </row>
    <row r="3963">
      <c r="A3963" s="4" t="n">
        <v>3962</v>
      </c>
      <c r="B3963" s="4" t="inlineStr">
        <is>
          <t>01466</t>
        </is>
      </c>
      <c r="C3963" s="4" t="inlineStr">
        <is>
          <t>01466</t>
        </is>
      </c>
      <c r="D3963" s="29" t="inlineStr">
        <is>
          <t>YELİZ KIRCALI</t>
        </is>
      </c>
      <c r="E3963" s="4" t="inlineStr">
        <is>
          <t>Cumartesi</t>
        </is>
      </c>
      <c r="F3963" s="4" t="inlineStr">
        <is>
          <t>10.10.2026</t>
        </is>
      </c>
      <c r="G3963" s="4" t="inlineStr">
        <is>
          <t>20:13</t>
        </is>
      </c>
      <c r="H3963" s="4" t="inlineStr">
        <is>
          <t>10.10.2026</t>
        </is>
      </c>
      <c r="I3963" s="4" t="inlineStr">
        <is>
          <t>08:04</t>
        </is>
      </c>
      <c r="J3963" s="8" t="n">
        <v>10.5</v>
      </c>
      <c r="K3963" s="8" t="n">
        <v>7.5</v>
      </c>
      <c r="L3963" s="8" t="n">
        <v>3</v>
      </c>
      <c r="M3963" s="29" t="inlineStr">
        <is>
          <t>HALİL DİĞRENCİ</t>
        </is>
      </c>
    </row>
    <row r="3964">
      <c r="A3964" s="4" t="n">
        <v>3963</v>
      </c>
      <c r="B3964" s="4" t="inlineStr">
        <is>
          <t>01466</t>
        </is>
      </c>
      <c r="C3964" s="4" t="inlineStr">
        <is>
          <t>01466</t>
        </is>
      </c>
      <c r="D3964" s="29" t="inlineStr">
        <is>
          <t>YELİZ KIRCALI</t>
        </is>
      </c>
      <c r="E3964" s="4" t="inlineStr">
        <is>
          <t>Pazartesi</t>
        </is>
      </c>
      <c r="F3964" s="4" t="inlineStr">
        <is>
          <t>12.10.2026</t>
        </is>
      </c>
      <c r="G3964" s="4" t="inlineStr">
        <is>
          <t>20:02</t>
        </is>
      </c>
      <c r="H3964" s="4" t="inlineStr">
        <is>
          <t>12.10.2026</t>
        </is>
      </c>
      <c r="I3964" s="4" t="inlineStr">
        <is>
          <t>07:54</t>
        </is>
      </c>
      <c r="J3964" s="8" t="n">
        <v>10.5</v>
      </c>
      <c r="K3964" s="8" t="n">
        <v>7.5</v>
      </c>
      <c r="L3964" s="8" t="n">
        <v>3</v>
      </c>
      <c r="M3964" s="29" t="inlineStr">
        <is>
          <t>HALİL DİĞRENCİ</t>
        </is>
      </c>
    </row>
    <row r="3965">
      <c r="A3965" s="4" t="n">
        <v>3964</v>
      </c>
      <c r="B3965" s="4" t="inlineStr">
        <is>
          <t>01466</t>
        </is>
      </c>
      <c r="C3965" s="4" t="inlineStr">
        <is>
          <t>01466</t>
        </is>
      </c>
      <c r="D3965" s="29" t="inlineStr">
        <is>
          <t>YELİZ KIRCALI</t>
        </is>
      </c>
      <c r="E3965" s="4" t="inlineStr">
        <is>
          <t>Çarşamba</t>
        </is>
      </c>
      <c r="F3965" s="4" t="inlineStr">
        <is>
          <t>14.10.2026</t>
        </is>
      </c>
      <c r="G3965" s="4" t="inlineStr">
        <is>
          <t>20:15</t>
        </is>
      </c>
      <c r="H3965" s="4" t="inlineStr">
        <is>
          <t>14.10.2026</t>
        </is>
      </c>
      <c r="I3965" s="4" t="inlineStr">
        <is>
          <t>07:58</t>
        </is>
      </c>
      <c r="J3965" s="8" t="n">
        <v>10.5</v>
      </c>
      <c r="K3965" s="8" t="n">
        <v>7.5</v>
      </c>
      <c r="L3965" s="8" t="n">
        <v>3</v>
      </c>
      <c r="M3965" s="29" t="inlineStr">
        <is>
          <t>HALİL DİĞRENCİ</t>
        </is>
      </c>
    </row>
    <row r="3966">
      <c r="A3966" s="4" t="n">
        <v>3965</v>
      </c>
      <c r="B3966" s="4" t="inlineStr">
        <is>
          <t>01466</t>
        </is>
      </c>
      <c r="C3966" s="4" t="inlineStr">
        <is>
          <t>01466</t>
        </is>
      </c>
      <c r="D3966" s="29" t="inlineStr">
        <is>
          <t>YELİZ KIRCALI</t>
        </is>
      </c>
      <c r="E3966" s="4" t="inlineStr">
        <is>
          <t>Perşembe</t>
        </is>
      </c>
      <c r="F3966" s="4" t="inlineStr">
        <is>
          <t>15.10.2026</t>
        </is>
      </c>
      <c r="G3966" s="4" t="inlineStr">
        <is>
          <t>20:12</t>
        </is>
      </c>
      <c r="H3966" s="4" t="inlineStr">
        <is>
          <t>15.10.2026</t>
        </is>
      </c>
      <c r="I3966" s="4" t="inlineStr">
        <is>
          <t>07:56</t>
        </is>
      </c>
      <c r="J3966" s="8" t="n">
        <v>10.5</v>
      </c>
      <c r="K3966" s="8" t="n">
        <v>7.5</v>
      </c>
      <c r="L3966" s="8" t="n">
        <v>3</v>
      </c>
      <c r="M3966" s="29" t="inlineStr">
        <is>
          <t>HALİL DİĞRENCİ</t>
        </is>
      </c>
    </row>
    <row r="3967">
      <c r="A3967" s="4" t="n">
        <v>3966</v>
      </c>
      <c r="B3967" s="4" t="inlineStr">
        <is>
          <t>01466</t>
        </is>
      </c>
      <c r="C3967" s="4" t="inlineStr">
        <is>
          <t>01466</t>
        </is>
      </c>
      <c r="D3967" s="29" t="inlineStr">
        <is>
          <t>YELİZ KIRCALI</t>
        </is>
      </c>
      <c r="E3967" s="4" t="inlineStr">
        <is>
          <t>Pazar</t>
        </is>
      </c>
      <c r="F3967" s="4" t="inlineStr">
        <is>
          <t>18.10.2026</t>
        </is>
      </c>
      <c r="G3967" s="4" t="inlineStr">
        <is>
          <t>08:16</t>
        </is>
      </c>
      <c r="H3967" s="4" t="inlineStr">
        <is>
          <t>18.10.2026</t>
        </is>
      </c>
      <c r="I3967" s="4" t="inlineStr">
        <is>
          <t>20:00</t>
        </is>
      </c>
      <c r="J3967" s="8" t="n">
        <v>10.5</v>
      </c>
      <c r="K3967" s="8" t="n">
        <v>7.5</v>
      </c>
      <c r="L3967" s="8" t="n">
        <v>3</v>
      </c>
      <c r="M3967" s="29" t="inlineStr">
        <is>
          <t>HALİL DİĞRENCİ</t>
        </is>
      </c>
    </row>
    <row r="3968">
      <c r="A3968" s="4" t="n">
        <v>3967</v>
      </c>
      <c r="B3968" s="4" t="inlineStr">
        <is>
          <t>01466</t>
        </is>
      </c>
      <c r="C3968" s="4" t="inlineStr">
        <is>
          <t>01466</t>
        </is>
      </c>
      <c r="D3968" s="29" t="inlineStr">
        <is>
          <t>YELİZ KIRCALI</t>
        </is>
      </c>
      <c r="E3968" s="4" t="inlineStr">
        <is>
          <t>Pazartesi</t>
        </is>
      </c>
      <c r="F3968" s="4" t="inlineStr">
        <is>
          <t>19.10.2026</t>
        </is>
      </c>
      <c r="G3968" s="4" t="inlineStr">
        <is>
          <t>19:44</t>
        </is>
      </c>
      <c r="H3968" s="4" t="inlineStr">
        <is>
          <t>19.10.2026</t>
        </is>
      </c>
      <c r="I3968" s="4" t="inlineStr">
        <is>
          <t>07:52</t>
        </is>
      </c>
      <c r="J3968" s="8" t="n">
        <v>10.5</v>
      </c>
      <c r="K3968" s="8" t="n">
        <v>7.5</v>
      </c>
      <c r="L3968" s="8" t="n">
        <v>3</v>
      </c>
      <c r="M3968" s="29" t="inlineStr">
        <is>
          <t>HALİL DİĞRENCİ</t>
        </is>
      </c>
    </row>
    <row r="3969">
      <c r="A3969" s="4" t="n">
        <v>3968</v>
      </c>
      <c r="B3969" s="4" t="inlineStr">
        <is>
          <t>01467</t>
        </is>
      </c>
      <c r="C3969" s="4" t="inlineStr">
        <is>
          <t>01467</t>
        </is>
      </c>
      <c r="D3969" s="29" t="inlineStr">
        <is>
          <t>YEŞİM SARAÇOĞLU</t>
        </is>
      </c>
      <c r="E3969" s="4" t="inlineStr">
        <is>
          <t>Cuma</t>
        </is>
      </c>
      <c r="F3969" s="4" t="inlineStr">
        <is>
          <t>2.10.2026</t>
        </is>
      </c>
      <c r="G3969" s="4" t="inlineStr">
        <is>
          <t>-</t>
        </is>
      </c>
      <c r="H3969" s="4" t="inlineStr">
        <is>
          <t>2.10.2026</t>
        </is>
      </c>
      <c r="I3969" s="4" t="inlineStr">
        <is>
          <t>20:03</t>
        </is>
      </c>
      <c r="J3969" s="8" t="n">
        <v>10.5</v>
      </c>
      <c r="K3969" s="8" t="n">
        <v>7.5</v>
      </c>
      <c r="L3969" s="8" t="n">
        <v>3</v>
      </c>
      <c r="M3969" s="29" t="inlineStr">
        <is>
          <t>HALİL DİĞRENCİ</t>
        </is>
      </c>
    </row>
    <row r="3970">
      <c r="A3970" s="4" t="n">
        <v>3969</v>
      </c>
      <c r="B3970" s="4" t="inlineStr">
        <is>
          <t>01467</t>
        </is>
      </c>
      <c r="C3970" s="4" t="inlineStr">
        <is>
          <t>01467</t>
        </is>
      </c>
      <c r="D3970" s="29" t="inlineStr">
        <is>
          <t>YEŞİM SARAÇOĞLU</t>
        </is>
      </c>
      <c r="E3970" s="4" t="inlineStr">
        <is>
          <t>Cumartesi</t>
        </is>
      </c>
      <c r="F3970" s="4" t="inlineStr">
        <is>
          <t>3.10.2026</t>
        </is>
      </c>
      <c r="G3970" s="4" t="inlineStr">
        <is>
          <t>08:02</t>
        </is>
      </c>
      <c r="H3970" s="4" t="inlineStr">
        <is>
          <t>3.10.2026</t>
        </is>
      </c>
      <c r="I3970" s="4" t="inlineStr">
        <is>
          <t>20:03</t>
        </is>
      </c>
      <c r="J3970" s="8" t="n">
        <v>10.5</v>
      </c>
      <c r="K3970" s="8" t="n">
        <v>7.5</v>
      </c>
      <c r="L3970" s="8" t="n">
        <v>3</v>
      </c>
      <c r="M3970" s="29" t="inlineStr">
        <is>
          <t>HALİL DİĞRENCİ</t>
        </is>
      </c>
    </row>
    <row r="3971">
      <c r="A3971" s="4" t="n">
        <v>3970</v>
      </c>
      <c r="B3971" s="4" t="inlineStr">
        <is>
          <t>01467</t>
        </is>
      </c>
      <c r="C3971" s="4" t="inlineStr">
        <is>
          <t>01467</t>
        </is>
      </c>
      <c r="D3971" s="29" t="inlineStr">
        <is>
          <t>YEŞİM SARAÇOĞLU</t>
        </is>
      </c>
      <c r="E3971" s="4" t="inlineStr">
        <is>
          <t>Pazartesi</t>
        </is>
      </c>
      <c r="F3971" s="4" t="inlineStr">
        <is>
          <t>5.10.2026</t>
        </is>
      </c>
      <c r="G3971" s="4" t="inlineStr">
        <is>
          <t>08:01</t>
        </is>
      </c>
      <c r="H3971" s="4" t="inlineStr">
        <is>
          <t>5.10.2026</t>
        </is>
      </c>
      <c r="I3971" s="4" t="inlineStr">
        <is>
          <t>19:58</t>
        </is>
      </c>
      <c r="J3971" s="8" t="n">
        <v>10.5</v>
      </c>
      <c r="K3971" s="8" t="n">
        <v>7.5</v>
      </c>
      <c r="L3971" s="8" t="n">
        <v>3</v>
      </c>
      <c r="M3971" s="29" t="inlineStr">
        <is>
          <t>HALİL DİĞRENCİ</t>
        </is>
      </c>
    </row>
    <row r="3972">
      <c r="A3972" s="4" t="n">
        <v>3971</v>
      </c>
      <c r="B3972" s="4" t="inlineStr">
        <is>
          <t>01467</t>
        </is>
      </c>
      <c r="C3972" s="4" t="inlineStr">
        <is>
          <t>01467</t>
        </is>
      </c>
      <c r="D3972" s="29" t="inlineStr">
        <is>
          <t>YEŞİM SARAÇOĞLU</t>
        </is>
      </c>
      <c r="E3972" s="4" t="inlineStr">
        <is>
          <t>Salı</t>
        </is>
      </c>
      <c r="F3972" s="4" t="inlineStr">
        <is>
          <t>6.10.2026</t>
        </is>
      </c>
      <c r="G3972" s="4" t="inlineStr">
        <is>
          <t>08:00</t>
        </is>
      </c>
      <c r="H3972" s="4" t="inlineStr">
        <is>
          <t>6.10.2026</t>
        </is>
      </c>
      <c r="I3972" s="4" t="inlineStr">
        <is>
          <t>20:01</t>
        </is>
      </c>
      <c r="J3972" s="8" t="n">
        <v>10.5</v>
      </c>
      <c r="K3972" s="8" t="n">
        <v>7.5</v>
      </c>
      <c r="L3972" s="8" t="n">
        <v>3</v>
      </c>
      <c r="M3972" s="29" t="inlineStr">
        <is>
          <t>HALİL DİĞRENCİ</t>
        </is>
      </c>
    </row>
    <row r="3973">
      <c r="A3973" s="4" t="n">
        <v>3972</v>
      </c>
      <c r="B3973" s="4" t="inlineStr">
        <is>
          <t>01467</t>
        </is>
      </c>
      <c r="C3973" s="4" t="inlineStr">
        <is>
          <t>01467</t>
        </is>
      </c>
      <c r="D3973" s="29" t="inlineStr">
        <is>
          <t>YEŞİM SARAÇOĞLU</t>
        </is>
      </c>
      <c r="E3973" s="4" t="inlineStr">
        <is>
          <t>Perşembe</t>
        </is>
      </c>
      <c r="F3973" s="4" t="inlineStr">
        <is>
          <t>8.10.2026</t>
        </is>
      </c>
      <c r="G3973" s="4" t="inlineStr">
        <is>
          <t>07:53</t>
        </is>
      </c>
      <c r="H3973" s="4" t="inlineStr">
        <is>
          <t>8.10.2026</t>
        </is>
      </c>
      <c r="I3973" s="4" t="inlineStr">
        <is>
          <t>20:01</t>
        </is>
      </c>
      <c r="J3973" s="8" t="n">
        <v>10.5</v>
      </c>
      <c r="K3973" s="8" t="n">
        <v>7.5</v>
      </c>
      <c r="L3973" s="8" t="n">
        <v>3</v>
      </c>
      <c r="M3973" s="29" t="inlineStr">
        <is>
          <t>HALİL DİĞRENCİ</t>
        </is>
      </c>
    </row>
    <row r="3974">
      <c r="A3974" s="4" t="n">
        <v>3973</v>
      </c>
      <c r="B3974" s="4" t="inlineStr">
        <is>
          <t>01467</t>
        </is>
      </c>
      <c r="C3974" s="4" t="inlineStr">
        <is>
          <t>01467</t>
        </is>
      </c>
      <c r="D3974" s="29" t="inlineStr">
        <is>
          <t>YEŞİM SARAÇOĞLU</t>
        </is>
      </c>
      <c r="E3974" s="4" t="inlineStr">
        <is>
          <t>Cuma</t>
        </is>
      </c>
      <c r="F3974" s="4" t="inlineStr">
        <is>
          <t>9.10.2026</t>
        </is>
      </c>
      <c r="G3974" s="4" t="inlineStr">
        <is>
          <t>07:58</t>
        </is>
      </c>
      <c r="H3974" s="4" t="inlineStr">
        <is>
          <t>9.10.2026</t>
        </is>
      </c>
      <c r="I3974" s="4" t="inlineStr">
        <is>
          <t>20:04</t>
        </is>
      </c>
      <c r="J3974" s="8" t="n">
        <v>10.5</v>
      </c>
      <c r="K3974" s="8" t="n">
        <v>7.5</v>
      </c>
      <c r="L3974" s="8" t="n">
        <v>3</v>
      </c>
      <c r="M3974" s="29" t="inlineStr">
        <is>
          <t>HALİL DİĞRENCİ</t>
        </is>
      </c>
    </row>
    <row r="3975">
      <c r="A3975" s="4" t="n">
        <v>3974</v>
      </c>
      <c r="B3975" s="4" t="inlineStr">
        <is>
          <t>01467</t>
        </is>
      </c>
      <c r="C3975" s="4" t="inlineStr">
        <is>
          <t>01467</t>
        </is>
      </c>
      <c r="D3975" s="29" t="inlineStr">
        <is>
          <t>YEŞİM SARAÇOĞLU</t>
        </is>
      </c>
      <c r="E3975" s="4" t="inlineStr">
        <is>
          <t>Cumartesi</t>
        </is>
      </c>
      <c r="F3975" s="4" t="inlineStr">
        <is>
          <t>10.10.2026</t>
        </is>
      </c>
      <c r="G3975" s="4" t="inlineStr">
        <is>
          <t>08:01</t>
        </is>
      </c>
      <c r="H3975" s="4" t="inlineStr">
        <is>
          <t>10.10.2026</t>
        </is>
      </c>
      <c r="I3975" s="4" t="inlineStr">
        <is>
          <t>20:00</t>
        </is>
      </c>
      <c r="J3975" s="8" t="n">
        <v>10.5</v>
      </c>
      <c r="K3975" s="8" t="n">
        <v>7.5</v>
      </c>
      <c r="L3975" s="8" t="n">
        <v>3</v>
      </c>
      <c r="M3975" s="29" t="inlineStr">
        <is>
          <t>HALİL DİĞRENCİ</t>
        </is>
      </c>
    </row>
    <row r="3976">
      <c r="A3976" s="4" t="n">
        <v>3975</v>
      </c>
      <c r="B3976" s="4" t="inlineStr">
        <is>
          <t>01467</t>
        </is>
      </c>
      <c r="C3976" s="4" t="inlineStr">
        <is>
          <t>01467</t>
        </is>
      </c>
      <c r="D3976" s="29" t="inlineStr">
        <is>
          <t>YEŞİM SARAÇOĞLU</t>
        </is>
      </c>
      <c r="E3976" s="4" t="inlineStr">
        <is>
          <t>Pazartesi</t>
        </is>
      </c>
      <c r="F3976" s="4" t="inlineStr">
        <is>
          <t>12.10.2026</t>
        </is>
      </c>
      <c r="G3976" s="4" t="inlineStr">
        <is>
          <t>08:03</t>
        </is>
      </c>
      <c r="H3976" s="4" t="inlineStr">
        <is>
          <t>12.10.2026</t>
        </is>
      </c>
      <c r="I3976" s="4" t="inlineStr">
        <is>
          <t>20:07</t>
        </is>
      </c>
      <c r="J3976" s="8" t="n">
        <v>10.5</v>
      </c>
      <c r="K3976" s="8" t="n">
        <v>7.5</v>
      </c>
      <c r="L3976" s="8" t="n">
        <v>3</v>
      </c>
      <c r="M3976" s="29" t="inlineStr">
        <is>
          <t>HALİL DİĞRENCİ</t>
        </is>
      </c>
    </row>
    <row r="3977">
      <c r="A3977" s="4" t="n">
        <v>3976</v>
      </c>
      <c r="B3977" s="4" t="inlineStr">
        <is>
          <t>01467</t>
        </is>
      </c>
      <c r="C3977" s="4" t="inlineStr">
        <is>
          <t>01467</t>
        </is>
      </c>
      <c r="D3977" s="29" t="inlineStr">
        <is>
          <t>YEŞİM SARAÇOĞLU</t>
        </is>
      </c>
      <c r="E3977" s="4" t="inlineStr">
        <is>
          <t>Salı</t>
        </is>
      </c>
      <c r="F3977" s="4" t="inlineStr">
        <is>
          <t>13.10.2026</t>
        </is>
      </c>
      <c r="G3977" s="4" t="inlineStr">
        <is>
          <t>08:02</t>
        </is>
      </c>
      <c r="H3977" s="4" t="inlineStr">
        <is>
          <t>13.10.2026</t>
        </is>
      </c>
      <c r="I3977" s="4" t="inlineStr">
        <is>
          <t>19:59</t>
        </is>
      </c>
      <c r="J3977" s="8" t="n">
        <v>10.5</v>
      </c>
      <c r="K3977" s="8" t="n">
        <v>7.5</v>
      </c>
      <c r="L3977" s="8" t="n">
        <v>3</v>
      </c>
      <c r="M3977" s="29" t="inlineStr">
        <is>
          <t>HALİL DİĞRENCİ</t>
        </is>
      </c>
    </row>
    <row r="3978">
      <c r="A3978" s="4" t="n">
        <v>3977</v>
      </c>
      <c r="B3978" s="4" t="inlineStr">
        <is>
          <t>01467</t>
        </is>
      </c>
      <c r="C3978" s="4" t="inlineStr">
        <is>
          <t>01467</t>
        </is>
      </c>
      <c r="D3978" s="29" t="inlineStr">
        <is>
          <t>YEŞİM SARAÇOĞLU</t>
        </is>
      </c>
      <c r="E3978" s="4" t="inlineStr">
        <is>
          <t>Cuma</t>
        </is>
      </c>
      <c r="F3978" s="4" t="inlineStr">
        <is>
          <t>16.10.2026</t>
        </is>
      </c>
      <c r="G3978" s="4" t="inlineStr">
        <is>
          <t>07:54</t>
        </is>
      </c>
      <c r="H3978" s="4" t="inlineStr">
        <is>
          <t>16.10.2026</t>
        </is>
      </c>
      <c r="I3978" s="4" t="inlineStr">
        <is>
          <t>20:03</t>
        </is>
      </c>
      <c r="J3978" s="8" t="n">
        <v>10.5</v>
      </c>
      <c r="K3978" s="8" t="n">
        <v>7.5</v>
      </c>
      <c r="L3978" s="8" t="n">
        <v>3</v>
      </c>
      <c r="M3978" s="29" t="inlineStr">
        <is>
          <t>HALİL DİĞRENCİ</t>
        </is>
      </c>
    </row>
    <row r="3979">
      <c r="A3979" s="4" t="n">
        <v>3978</v>
      </c>
      <c r="B3979" s="4" t="inlineStr">
        <is>
          <t>01467</t>
        </is>
      </c>
      <c r="C3979" s="4" t="inlineStr">
        <is>
          <t>01467</t>
        </is>
      </c>
      <c r="D3979" s="29" t="inlineStr">
        <is>
          <t>YEŞİM SARAÇOĞLU</t>
        </is>
      </c>
      <c r="E3979" s="4" t="inlineStr">
        <is>
          <t>Cumartesi</t>
        </is>
      </c>
      <c r="F3979" s="4" t="inlineStr">
        <is>
          <t>17.10.2026</t>
        </is>
      </c>
      <c r="G3979" s="4" t="inlineStr">
        <is>
          <t>07:55</t>
        </is>
      </c>
      <c r="H3979" s="4" t="inlineStr">
        <is>
          <t>17.10.2026</t>
        </is>
      </c>
      <c r="I3979" s="4" t="inlineStr">
        <is>
          <t>20:05</t>
        </is>
      </c>
      <c r="J3979" s="8" t="n">
        <v>10.5</v>
      </c>
      <c r="K3979" s="8" t="n">
        <v>7.5</v>
      </c>
      <c r="L3979" s="8" t="n">
        <v>3</v>
      </c>
      <c r="M3979" s="29" t="inlineStr">
        <is>
          <t>HALİL DİĞRENCİ</t>
        </is>
      </c>
    </row>
    <row r="3980">
      <c r="A3980" s="4" t="n">
        <v>3979</v>
      </c>
      <c r="B3980" s="4" t="inlineStr">
        <is>
          <t>01467</t>
        </is>
      </c>
      <c r="C3980" s="4" t="inlineStr">
        <is>
          <t>01467</t>
        </is>
      </c>
      <c r="D3980" s="29" t="inlineStr">
        <is>
          <t>YEŞİM SARAÇOĞLU</t>
        </is>
      </c>
      <c r="E3980" s="4" t="inlineStr">
        <is>
          <t>Pazartesi</t>
        </is>
      </c>
      <c r="F3980" s="4" t="inlineStr">
        <is>
          <t>19.10.2026</t>
        </is>
      </c>
      <c r="G3980" s="4" t="inlineStr">
        <is>
          <t>08:02</t>
        </is>
      </c>
      <c r="H3980" s="4" t="inlineStr">
        <is>
          <t>19.10.2026</t>
        </is>
      </c>
      <c r="I3980" s="4" t="inlineStr">
        <is>
          <t>19:59</t>
        </is>
      </c>
      <c r="J3980" s="8" t="n">
        <v>10.5</v>
      </c>
      <c r="K3980" s="8" t="n">
        <v>7.5</v>
      </c>
      <c r="L3980" s="8" t="n">
        <v>3</v>
      </c>
      <c r="M3980" s="29" t="inlineStr">
        <is>
          <t>HALİL DİĞRENCİ</t>
        </is>
      </c>
    </row>
    <row r="3981">
      <c r="A3981" s="4" t="n">
        <v>3980</v>
      </c>
      <c r="B3981" s="4" t="inlineStr">
        <is>
          <t>01467</t>
        </is>
      </c>
      <c r="C3981" s="4" t="inlineStr">
        <is>
          <t>01467</t>
        </is>
      </c>
      <c r="D3981" s="29" t="inlineStr">
        <is>
          <t>YEŞİM SARAÇOĞLU</t>
        </is>
      </c>
      <c r="E3981" s="4" t="inlineStr">
        <is>
          <t>Salı</t>
        </is>
      </c>
      <c r="F3981" s="4" t="inlineStr">
        <is>
          <t>20.10.2026</t>
        </is>
      </c>
      <c r="G3981" s="4" t="inlineStr">
        <is>
          <t>07:32</t>
        </is>
      </c>
      <c r="H3981" s="4" t="inlineStr">
        <is>
          <t>20.10.2026</t>
        </is>
      </c>
      <c r="I3981" s="4" t="inlineStr">
        <is>
          <t>17:08</t>
        </is>
      </c>
      <c r="J3981" s="8" t="n">
        <v>7.5</v>
      </c>
      <c r="K3981" s="8" t="n">
        <v>7.5</v>
      </c>
      <c r="L3981" s="8" t="n">
        <v>0</v>
      </c>
      <c r="M3981" s="29" t="inlineStr">
        <is>
          <t>HALİL DİĞRENCİ</t>
        </is>
      </c>
    </row>
    <row r="3982">
      <c r="A3982" s="4" t="n">
        <v>3981</v>
      </c>
      <c r="B3982" s="4" t="inlineStr">
        <is>
          <t>01467</t>
        </is>
      </c>
      <c r="C3982" s="4" t="inlineStr">
        <is>
          <t>01467</t>
        </is>
      </c>
      <c r="D3982" s="29" t="inlineStr">
        <is>
          <t>YEŞİM SARAÇOĞLU</t>
        </is>
      </c>
      <c r="E3982" s="4" t="inlineStr">
        <is>
          <t>Çarşamba</t>
        </is>
      </c>
      <c r="F3982" s="4" t="inlineStr">
        <is>
          <t>21.10.2026</t>
        </is>
      </c>
      <c r="G3982" s="4" t="inlineStr">
        <is>
          <t>07:45</t>
        </is>
      </c>
      <c r="H3982" s="4" t="inlineStr">
        <is>
          <t>21.10.2026</t>
        </is>
      </c>
      <c r="I3982" s="4" t="inlineStr">
        <is>
          <t>17:07</t>
        </is>
      </c>
      <c r="J3982" s="8" t="n">
        <v>7.5</v>
      </c>
      <c r="K3982" s="8" t="n">
        <v>7.5</v>
      </c>
      <c r="L3982" s="8" t="n">
        <v>0</v>
      </c>
      <c r="M3982" s="29" t="inlineStr">
        <is>
          <t>HALİL DİĞRENCİ</t>
        </is>
      </c>
    </row>
    <row r="3983">
      <c r="A3983" s="4" t="n">
        <v>3982</v>
      </c>
      <c r="B3983" s="4" t="inlineStr">
        <is>
          <t>00582</t>
        </is>
      </c>
      <c r="C3983" s="4" t="inlineStr">
        <is>
          <t>00582</t>
        </is>
      </c>
      <c r="D3983" s="29" t="inlineStr">
        <is>
          <t>YUSUF SAMAR</t>
        </is>
      </c>
      <c r="E3983" s="4" t="inlineStr">
        <is>
          <t>Perşembe</t>
        </is>
      </c>
      <c r="F3983" s="4" t="inlineStr">
        <is>
          <t>1.10.2026</t>
        </is>
      </c>
      <c r="G3983" s="4" t="inlineStr">
        <is>
          <t>07:43</t>
        </is>
      </c>
      <c r="H3983" s="4" t="inlineStr">
        <is>
          <t>1.10.2026</t>
        </is>
      </c>
      <c r="I3983" s="4" t="inlineStr">
        <is>
          <t>17:38</t>
        </is>
      </c>
      <c r="J3983" s="8" t="n">
        <v>8</v>
      </c>
      <c r="K3983" s="8" t="n">
        <v>7.5</v>
      </c>
      <c r="L3983" s="8" t="n">
        <v>0.5</v>
      </c>
      <c r="M3983" s="29" t="inlineStr">
        <is>
          <t>KARACABEY</t>
        </is>
      </c>
    </row>
    <row r="3984">
      <c r="A3984" s="4" t="n">
        <v>3983</v>
      </c>
      <c r="B3984" s="4" t="inlineStr">
        <is>
          <t>00582</t>
        </is>
      </c>
      <c r="C3984" s="4" t="inlineStr">
        <is>
          <t>00582</t>
        </is>
      </c>
      <c r="D3984" s="29" t="inlineStr">
        <is>
          <t>YUSUF SAMAR</t>
        </is>
      </c>
      <c r="E3984" s="4" t="inlineStr">
        <is>
          <t>Cuma</t>
        </is>
      </c>
      <c r="F3984" s="4" t="inlineStr">
        <is>
          <t>2.10.2026</t>
        </is>
      </c>
      <c r="G3984" s="4" t="inlineStr">
        <is>
          <t>07:41</t>
        </is>
      </c>
      <c r="H3984" s="4" t="inlineStr">
        <is>
          <t>2.10.2026</t>
        </is>
      </c>
      <c r="I3984" s="4" t="inlineStr">
        <is>
          <t>17:56</t>
        </is>
      </c>
      <c r="J3984" s="8" t="n">
        <v>8.5</v>
      </c>
      <c r="K3984" s="8" t="n">
        <v>7.5</v>
      </c>
      <c r="L3984" s="8" t="n">
        <v>1</v>
      </c>
      <c r="M3984" s="29" t="inlineStr">
        <is>
          <t>KARACABEY</t>
        </is>
      </c>
    </row>
    <row r="3985">
      <c r="A3985" s="4" t="n">
        <v>3984</v>
      </c>
      <c r="B3985" s="4" t="inlineStr">
        <is>
          <t>00582</t>
        </is>
      </c>
      <c r="C3985" s="4" t="inlineStr">
        <is>
          <t>00582</t>
        </is>
      </c>
      <c r="D3985" s="29" t="inlineStr">
        <is>
          <t>YUSUF SAMAR</t>
        </is>
      </c>
      <c r="E3985" s="4" t="inlineStr">
        <is>
          <t>Pazartesi</t>
        </is>
      </c>
      <c r="F3985" s="4" t="inlineStr">
        <is>
          <t>5.10.2026</t>
        </is>
      </c>
      <c r="G3985" s="4" t="inlineStr">
        <is>
          <t>07:45</t>
        </is>
      </c>
      <c r="H3985" s="4" t="inlineStr">
        <is>
          <t>5.10.2026</t>
        </is>
      </c>
      <c r="I3985" s="4" t="inlineStr">
        <is>
          <t>17:10</t>
        </is>
      </c>
      <c r="J3985" s="8" t="n">
        <v>7.5</v>
      </c>
      <c r="K3985" s="8" t="n">
        <v>7.5</v>
      </c>
      <c r="L3985" s="8" t="n">
        <v>0</v>
      </c>
      <c r="M3985" s="29" t="inlineStr">
        <is>
          <t>KARACABEY</t>
        </is>
      </c>
    </row>
    <row r="3986">
      <c r="A3986" s="4" t="n">
        <v>3985</v>
      </c>
      <c r="B3986" s="4" t="inlineStr">
        <is>
          <t>00582</t>
        </is>
      </c>
      <c r="C3986" s="4" t="inlineStr">
        <is>
          <t>00582</t>
        </is>
      </c>
      <c r="D3986" s="29" t="inlineStr">
        <is>
          <t>YUSUF SAMAR</t>
        </is>
      </c>
      <c r="E3986" s="4" t="inlineStr">
        <is>
          <t>Salı</t>
        </is>
      </c>
      <c r="F3986" s="4" t="inlineStr">
        <is>
          <t>6.10.2026</t>
        </is>
      </c>
      <c r="G3986" s="4" t="inlineStr">
        <is>
          <t>07:45</t>
        </is>
      </c>
      <c r="H3986" s="4" t="inlineStr">
        <is>
          <t>6.10.2026</t>
        </is>
      </c>
      <c r="I3986" s="4" t="inlineStr">
        <is>
          <t>17:46</t>
        </is>
      </c>
      <c r="J3986" s="8" t="n">
        <v>8.5</v>
      </c>
      <c r="K3986" s="8" t="n">
        <v>7.5</v>
      </c>
      <c r="L3986" s="8" t="n">
        <v>1</v>
      </c>
      <c r="M3986" s="29" t="inlineStr">
        <is>
          <t>KARACABEY</t>
        </is>
      </c>
    </row>
    <row r="3987">
      <c r="A3987" s="4" t="n">
        <v>3986</v>
      </c>
      <c r="B3987" s="4" t="inlineStr">
        <is>
          <t>00582</t>
        </is>
      </c>
      <c r="C3987" s="4" t="inlineStr">
        <is>
          <t>00582</t>
        </is>
      </c>
      <c r="D3987" s="29" t="inlineStr">
        <is>
          <t>YUSUF SAMAR</t>
        </is>
      </c>
      <c r="E3987" s="4" t="inlineStr">
        <is>
          <t>Çarşamba</t>
        </is>
      </c>
      <c r="F3987" s="4" t="inlineStr">
        <is>
          <t>7.10.2026</t>
        </is>
      </c>
      <c r="G3987" s="4" t="inlineStr">
        <is>
          <t>07:40</t>
        </is>
      </c>
      <c r="H3987" s="4" t="inlineStr">
        <is>
          <t>7.10.2026</t>
        </is>
      </c>
      <c r="I3987" s="4" t="inlineStr">
        <is>
          <t>17:31</t>
        </is>
      </c>
      <c r="J3987" s="8" t="n">
        <v>8</v>
      </c>
      <c r="K3987" s="8" t="n">
        <v>7.5</v>
      </c>
      <c r="L3987" s="8" t="n">
        <v>0.5</v>
      </c>
      <c r="M3987" s="29" t="inlineStr">
        <is>
          <t>KARACABEY</t>
        </is>
      </c>
    </row>
    <row r="3988">
      <c r="A3988" s="4" t="n">
        <v>3987</v>
      </c>
      <c r="B3988" s="4" t="inlineStr">
        <is>
          <t>00582</t>
        </is>
      </c>
      <c r="C3988" s="4" t="inlineStr">
        <is>
          <t>00582</t>
        </is>
      </c>
      <c r="D3988" s="29" t="inlineStr">
        <is>
          <t>YUSUF SAMAR</t>
        </is>
      </c>
      <c r="E3988" s="4" t="inlineStr">
        <is>
          <t>Perşembe</t>
        </is>
      </c>
      <c r="F3988" s="4" t="inlineStr">
        <is>
          <t>8.10.2026</t>
        </is>
      </c>
      <c r="G3988" s="4" t="inlineStr">
        <is>
          <t>07:43</t>
        </is>
      </c>
      <c r="H3988" s="4" t="inlineStr">
        <is>
          <t>8.10.2026</t>
        </is>
      </c>
      <c r="I3988" s="4" t="inlineStr">
        <is>
          <t>17:31</t>
        </is>
      </c>
      <c r="J3988" s="8" t="n">
        <v>8</v>
      </c>
      <c r="K3988" s="8" t="n">
        <v>7.5</v>
      </c>
      <c r="L3988" s="8" t="n">
        <v>0.5</v>
      </c>
      <c r="M3988" s="29" t="inlineStr">
        <is>
          <t>KARACABEY</t>
        </is>
      </c>
    </row>
    <row r="3989">
      <c r="A3989" s="4" t="n">
        <v>3988</v>
      </c>
      <c r="B3989" s="4" t="inlineStr">
        <is>
          <t>00582</t>
        </is>
      </c>
      <c r="C3989" s="4" t="inlineStr">
        <is>
          <t>00582</t>
        </is>
      </c>
      <c r="D3989" s="29" t="inlineStr">
        <is>
          <t>YUSUF SAMAR</t>
        </is>
      </c>
      <c r="E3989" s="4" t="inlineStr">
        <is>
          <t>Cuma</t>
        </is>
      </c>
      <c r="F3989" s="4" t="inlineStr">
        <is>
          <t>9.10.2026</t>
        </is>
      </c>
      <c r="G3989" s="4" t="inlineStr">
        <is>
          <t>07:39</t>
        </is>
      </c>
      <c r="H3989" s="4" t="inlineStr">
        <is>
          <t>9.10.2026</t>
        </is>
      </c>
      <c r="I3989" s="4" t="inlineStr">
        <is>
          <t>17:46</t>
        </is>
      </c>
      <c r="J3989" s="8" t="n">
        <v>8.5</v>
      </c>
      <c r="K3989" s="8" t="n">
        <v>7.5</v>
      </c>
      <c r="L3989" s="8" t="n">
        <v>1</v>
      </c>
      <c r="M3989" s="29" t="inlineStr">
        <is>
          <t>KARACABEY</t>
        </is>
      </c>
    </row>
    <row r="3990">
      <c r="A3990" s="4" t="n">
        <v>3989</v>
      </c>
      <c r="B3990" s="4" t="inlineStr">
        <is>
          <t>00582</t>
        </is>
      </c>
      <c r="C3990" s="4" t="inlineStr">
        <is>
          <t>00582</t>
        </is>
      </c>
      <c r="D3990" s="29" t="inlineStr">
        <is>
          <t>YUSUF SAMAR</t>
        </is>
      </c>
      <c r="E3990" s="4" t="inlineStr">
        <is>
          <t>Cumartesi</t>
        </is>
      </c>
      <c r="F3990" s="4" t="inlineStr">
        <is>
          <t>10.10.2026</t>
        </is>
      </c>
      <c r="G3990" s="4" t="inlineStr">
        <is>
          <t>07:42</t>
        </is>
      </c>
      <c r="H3990" s="4" t="inlineStr">
        <is>
          <t>10.10.2026</t>
        </is>
      </c>
      <c r="I3990" s="4" t="inlineStr">
        <is>
          <t>18:09</t>
        </is>
      </c>
      <c r="J3990" s="8" t="n">
        <v>8.5</v>
      </c>
      <c r="K3990" s="8" t="n">
        <v>7.5</v>
      </c>
      <c r="L3990" s="8" t="n">
        <v>1</v>
      </c>
      <c r="M3990" s="29" t="inlineStr">
        <is>
          <t>KARACABEY</t>
        </is>
      </c>
    </row>
    <row r="3991">
      <c r="A3991" s="4" t="n">
        <v>3990</v>
      </c>
      <c r="B3991" s="4" t="inlineStr">
        <is>
          <t>00582</t>
        </is>
      </c>
      <c r="C3991" s="4" t="inlineStr">
        <is>
          <t>00582</t>
        </is>
      </c>
      <c r="D3991" s="29" t="inlineStr">
        <is>
          <t>YUSUF SAMAR</t>
        </is>
      </c>
      <c r="E3991" s="4" t="inlineStr">
        <is>
          <t>Pazartesi</t>
        </is>
      </c>
      <c r="F3991" s="4" t="inlineStr">
        <is>
          <t>12.10.2026</t>
        </is>
      </c>
      <c r="G3991" s="4" t="inlineStr">
        <is>
          <t>07:41</t>
        </is>
      </c>
      <c r="H3991" s="4" t="inlineStr">
        <is>
          <t>12.10.2026</t>
        </is>
      </c>
      <c r="I3991" s="4" t="inlineStr">
        <is>
          <t>17:07</t>
        </is>
      </c>
      <c r="J3991" s="8" t="n">
        <v>7.5</v>
      </c>
      <c r="K3991" s="8" t="n">
        <v>7.5</v>
      </c>
      <c r="L3991" s="8" t="n">
        <v>0</v>
      </c>
      <c r="M3991" s="29" t="inlineStr">
        <is>
          <t>KARACABEY</t>
        </is>
      </c>
    </row>
    <row r="3992">
      <c r="A3992" s="4" t="n">
        <v>3991</v>
      </c>
      <c r="B3992" s="4" t="inlineStr">
        <is>
          <t>00582</t>
        </is>
      </c>
      <c r="C3992" s="4" t="inlineStr">
        <is>
          <t>00582</t>
        </is>
      </c>
      <c r="D3992" s="29" t="inlineStr">
        <is>
          <t>YUSUF SAMAR</t>
        </is>
      </c>
      <c r="E3992" s="4" t="inlineStr">
        <is>
          <t>Salı</t>
        </is>
      </c>
      <c r="F3992" s="4" t="inlineStr">
        <is>
          <t>13.10.2026</t>
        </is>
      </c>
      <c r="G3992" s="4" t="inlineStr">
        <is>
          <t>07:43</t>
        </is>
      </c>
      <c r="H3992" s="4" t="inlineStr">
        <is>
          <t>13.10.2026</t>
        </is>
      </c>
      <c r="I3992" s="4" t="inlineStr">
        <is>
          <t>17:08</t>
        </is>
      </c>
      <c r="J3992" s="8" t="n">
        <v>7.5</v>
      </c>
      <c r="K3992" s="8" t="n">
        <v>7.5</v>
      </c>
      <c r="L3992" s="8" t="n">
        <v>0</v>
      </c>
      <c r="M3992" s="29" t="inlineStr">
        <is>
          <t>KARACABEY</t>
        </is>
      </c>
    </row>
    <row r="3993">
      <c r="A3993" s="4" t="n">
        <v>3992</v>
      </c>
      <c r="B3993" s="4" t="inlineStr">
        <is>
          <t>00582</t>
        </is>
      </c>
      <c r="C3993" s="4" t="inlineStr">
        <is>
          <t>00582</t>
        </is>
      </c>
      <c r="D3993" s="29" t="inlineStr">
        <is>
          <t>YUSUF SAMAR</t>
        </is>
      </c>
      <c r="E3993" s="4" t="inlineStr">
        <is>
          <t>Çarşamba</t>
        </is>
      </c>
      <c r="F3993" s="4" t="inlineStr">
        <is>
          <t>14.10.2026</t>
        </is>
      </c>
      <c r="G3993" s="4" t="inlineStr">
        <is>
          <t>07:44</t>
        </is>
      </c>
      <c r="H3993" s="4" t="inlineStr">
        <is>
          <t>14.10.2026</t>
        </is>
      </c>
      <c r="I3993" s="4" t="inlineStr">
        <is>
          <t>18:03</t>
        </is>
      </c>
      <c r="J3993" s="8" t="n">
        <v>8.5</v>
      </c>
      <c r="K3993" s="8" t="n">
        <v>7.5</v>
      </c>
      <c r="L3993" s="8" t="n">
        <v>1</v>
      </c>
      <c r="M3993" s="29" t="inlineStr">
        <is>
          <t>KARACABEY</t>
        </is>
      </c>
    </row>
    <row r="3994">
      <c r="A3994" s="4" t="n">
        <v>3993</v>
      </c>
      <c r="B3994" s="4" t="inlineStr">
        <is>
          <t>00582</t>
        </is>
      </c>
      <c r="C3994" s="4" t="inlineStr">
        <is>
          <t>00582</t>
        </is>
      </c>
      <c r="D3994" s="29" t="inlineStr">
        <is>
          <t>YUSUF SAMAR</t>
        </is>
      </c>
      <c r="E3994" s="4" t="inlineStr">
        <is>
          <t>Perşembe</t>
        </is>
      </c>
      <c r="F3994" s="4" t="inlineStr">
        <is>
          <t>15.10.2026</t>
        </is>
      </c>
      <c r="G3994" s="4" t="inlineStr">
        <is>
          <t>07:45</t>
        </is>
      </c>
      <c r="H3994" s="4" t="inlineStr">
        <is>
          <t>15.10.2026</t>
        </is>
      </c>
      <c r="I3994" s="4" t="inlineStr">
        <is>
          <t>17:33</t>
        </is>
      </c>
      <c r="J3994" s="8" t="n">
        <v>8</v>
      </c>
      <c r="K3994" s="8" t="n">
        <v>7.5</v>
      </c>
      <c r="L3994" s="8" t="n">
        <v>0.5</v>
      </c>
      <c r="M3994" s="29" t="inlineStr">
        <is>
          <t>KARACABEY</t>
        </is>
      </c>
    </row>
    <row r="3995">
      <c r="A3995" s="4" t="n">
        <v>3994</v>
      </c>
      <c r="B3995" s="4" t="inlineStr">
        <is>
          <t>00582</t>
        </is>
      </c>
      <c r="C3995" s="4" t="inlineStr">
        <is>
          <t>00582</t>
        </is>
      </c>
      <c r="D3995" s="29" t="inlineStr">
        <is>
          <t>YUSUF SAMAR</t>
        </is>
      </c>
      <c r="E3995" s="4" t="inlineStr">
        <is>
          <t>Cuma</t>
        </is>
      </c>
      <c r="F3995" s="4" t="inlineStr">
        <is>
          <t>16.10.2026</t>
        </is>
      </c>
      <c r="G3995" s="4" t="inlineStr">
        <is>
          <t>07:41</t>
        </is>
      </c>
      <c r="H3995" s="4" t="inlineStr">
        <is>
          <t>16.10.2026</t>
        </is>
      </c>
      <c r="I3995" s="4" t="inlineStr">
        <is>
          <t>17:20</t>
        </is>
      </c>
      <c r="J3995" s="8" t="n">
        <v>7.5</v>
      </c>
      <c r="K3995" s="8" t="n">
        <v>7.5</v>
      </c>
      <c r="L3995" s="8" t="n">
        <v>0</v>
      </c>
      <c r="M3995" s="29" t="inlineStr">
        <is>
          <t>KARACABEY</t>
        </is>
      </c>
    </row>
    <row r="3996">
      <c r="A3996" s="4" t="n">
        <v>3995</v>
      </c>
      <c r="B3996" s="4" t="inlineStr">
        <is>
          <t>00582</t>
        </is>
      </c>
      <c r="C3996" s="4" t="inlineStr">
        <is>
          <t>00582</t>
        </is>
      </c>
      <c r="D3996" s="29" t="inlineStr">
        <is>
          <t>YUSUF SAMAR</t>
        </is>
      </c>
      <c r="E3996" s="4" t="inlineStr">
        <is>
          <t>Cumartesi</t>
        </is>
      </c>
      <c r="F3996" s="4" t="inlineStr">
        <is>
          <t>17.10.2026</t>
        </is>
      </c>
      <c r="G3996" s="4" t="inlineStr">
        <is>
          <t>08:15</t>
        </is>
      </c>
      <c r="H3996" s="4" t="inlineStr">
        <is>
          <t>17.10.2026</t>
        </is>
      </c>
      <c r="I3996" s="4" t="inlineStr">
        <is>
          <t>16:52</t>
        </is>
      </c>
      <c r="J3996" s="8" t="n">
        <v>7.5</v>
      </c>
      <c r="K3996" s="8" t="n">
        <v>7.5</v>
      </c>
      <c r="L3996" s="8" t="n">
        <v>0</v>
      </c>
      <c r="M3996" s="29" t="inlineStr">
        <is>
          <t>KARACABEY</t>
        </is>
      </c>
    </row>
    <row r="3997">
      <c r="A3997" s="4" t="n">
        <v>3996</v>
      </c>
      <c r="B3997" s="4" t="inlineStr">
        <is>
          <t>00582</t>
        </is>
      </c>
      <c r="C3997" s="4" t="inlineStr">
        <is>
          <t>00582</t>
        </is>
      </c>
      <c r="D3997" s="29" t="inlineStr">
        <is>
          <t>YUSUF SAMAR</t>
        </is>
      </c>
      <c r="E3997" s="4" t="inlineStr">
        <is>
          <t>Pazartesi</t>
        </is>
      </c>
      <c r="F3997" s="4" t="inlineStr">
        <is>
          <t>19.10.2026</t>
        </is>
      </c>
      <c r="G3997" s="4" t="inlineStr">
        <is>
          <t>07:47</t>
        </is>
      </c>
      <c r="H3997" s="4" t="inlineStr">
        <is>
          <t>19.10.2026</t>
        </is>
      </c>
      <c r="I3997" s="4" t="inlineStr">
        <is>
          <t>17:46</t>
        </is>
      </c>
      <c r="J3997" s="8" t="n">
        <v>8.5</v>
      </c>
      <c r="K3997" s="8" t="n">
        <v>7.5</v>
      </c>
      <c r="L3997" s="8" t="n">
        <v>1</v>
      </c>
      <c r="M3997" s="29" t="inlineStr">
        <is>
          <t>KARACABEY</t>
        </is>
      </c>
    </row>
    <row r="3998">
      <c r="A3998" s="4" t="n">
        <v>3997</v>
      </c>
      <c r="B3998" s="4" t="inlineStr">
        <is>
          <t>00582</t>
        </is>
      </c>
      <c r="C3998" s="4" t="inlineStr">
        <is>
          <t>00582</t>
        </is>
      </c>
      <c r="D3998" s="29" t="inlineStr">
        <is>
          <t>YUSUF SAMAR</t>
        </is>
      </c>
      <c r="E3998" s="4" t="inlineStr">
        <is>
          <t>Salı</t>
        </is>
      </c>
      <c r="F3998" s="4" t="inlineStr">
        <is>
          <t>20.10.2026</t>
        </is>
      </c>
      <c r="G3998" s="4" t="inlineStr">
        <is>
          <t>07:50</t>
        </is>
      </c>
      <c r="H3998" s="4" t="inlineStr">
        <is>
          <t>20.10.2026</t>
        </is>
      </c>
      <c r="I3998" s="4" t="inlineStr">
        <is>
          <t>16:59</t>
        </is>
      </c>
      <c r="J3998" s="8" t="n">
        <v>7.5</v>
      </c>
      <c r="K3998" s="8" t="n">
        <v>7.5</v>
      </c>
      <c r="L3998" s="8" t="n">
        <v>0</v>
      </c>
      <c r="M3998" s="29" t="inlineStr">
        <is>
          <t>KARACABEY</t>
        </is>
      </c>
    </row>
    <row r="3999">
      <c r="A3999" s="4" t="n">
        <v>3998</v>
      </c>
      <c r="B3999" s="4" t="inlineStr">
        <is>
          <t>00582</t>
        </is>
      </c>
      <c r="C3999" s="4" t="inlineStr">
        <is>
          <t>00582</t>
        </is>
      </c>
      <c r="D3999" s="29" t="inlineStr">
        <is>
          <t>YUSUF SAMAR</t>
        </is>
      </c>
      <c r="E3999" s="4" t="inlineStr">
        <is>
          <t>Çarşamba</t>
        </is>
      </c>
      <c r="F3999" s="4" t="inlineStr">
        <is>
          <t>21.10.2026</t>
        </is>
      </c>
      <c r="G3999" s="4" t="inlineStr">
        <is>
          <t>07:44</t>
        </is>
      </c>
      <c r="H3999" s="4" t="inlineStr">
        <is>
          <t>21.10.2026</t>
        </is>
      </c>
      <c r="I3999" s="4" t="inlineStr">
        <is>
          <t>17:09</t>
        </is>
      </c>
      <c r="J3999" s="8" t="n">
        <v>7.5</v>
      </c>
      <c r="K3999" s="8" t="n">
        <v>7.5</v>
      </c>
      <c r="L3999" s="8" t="n">
        <v>0</v>
      </c>
      <c r="M3999" s="29" t="inlineStr">
        <is>
          <t>KARACABEY</t>
        </is>
      </c>
    </row>
    <row r="4000">
      <c r="A4000" s="4" t="n">
        <v>3999</v>
      </c>
      <c r="B4000" s="4" t="inlineStr">
        <is>
          <t>01364</t>
        </is>
      </c>
      <c r="C4000" s="4" t="inlineStr">
        <is>
          <t>01364</t>
        </is>
      </c>
      <c r="D4000" s="29" t="inlineStr">
        <is>
          <t>YUSUF ÇETİN</t>
        </is>
      </c>
      <c r="E4000" s="4" t="inlineStr">
        <is>
          <t>Perşembe</t>
        </is>
      </c>
      <c r="F4000" s="4" t="inlineStr">
        <is>
          <t>1.10.2026</t>
        </is>
      </c>
      <c r="G4000" s="4" t="inlineStr">
        <is>
          <t>07:52</t>
        </is>
      </c>
      <c r="H4000" s="4" t="inlineStr">
        <is>
          <t>1.10.2026</t>
        </is>
      </c>
      <c r="I4000" s="4" t="inlineStr">
        <is>
          <t>20:00</t>
        </is>
      </c>
      <c r="J4000" s="8" t="n">
        <v>0</v>
      </c>
      <c r="K4000" s="8" t="n">
        <v>0</v>
      </c>
      <c r="L4000" s="8" t="n">
        <v>0</v>
      </c>
      <c r="M4000" s="29" t="inlineStr">
        <is>
          <t>HALİL DİĞRENCİ</t>
        </is>
      </c>
    </row>
    <row r="4001">
      <c r="A4001" s="4" t="n">
        <v>4000</v>
      </c>
      <c r="B4001" s="4" t="inlineStr">
        <is>
          <t>01364</t>
        </is>
      </c>
      <c r="C4001" s="4" t="inlineStr">
        <is>
          <t>01364</t>
        </is>
      </c>
      <c r="D4001" s="29" t="inlineStr">
        <is>
          <t>YUSUF ÇETİN</t>
        </is>
      </c>
      <c r="E4001" s="4" t="inlineStr">
        <is>
          <t>Cuma</t>
        </is>
      </c>
      <c r="F4001" s="4" t="inlineStr">
        <is>
          <t>2.10.2026</t>
        </is>
      </c>
      <c r="G4001" s="4" t="inlineStr">
        <is>
          <t>07:46</t>
        </is>
      </c>
      <c r="H4001" s="4" t="inlineStr">
        <is>
          <t>2.10.2026</t>
        </is>
      </c>
      <c r="I4001" s="4" t="inlineStr">
        <is>
          <t>17:04</t>
        </is>
      </c>
      <c r="J4001" s="8" t="n">
        <v>7.5</v>
      </c>
      <c r="K4001" s="8" t="n">
        <v>7.5</v>
      </c>
      <c r="L4001" s="8" t="n">
        <v>0</v>
      </c>
      <c r="M4001" s="29" t="inlineStr">
        <is>
          <t>HALİL DİĞRENCİ</t>
        </is>
      </c>
    </row>
    <row r="4002">
      <c r="A4002" s="4" t="n">
        <v>4001</v>
      </c>
      <c r="B4002" s="4" t="inlineStr">
        <is>
          <t>01364</t>
        </is>
      </c>
      <c r="C4002" s="4" t="inlineStr">
        <is>
          <t>01364</t>
        </is>
      </c>
      <c r="D4002" s="29" t="inlineStr">
        <is>
          <t>YUSUF ÇETİN</t>
        </is>
      </c>
      <c r="E4002" s="4" t="inlineStr">
        <is>
          <t>Cumartesi</t>
        </is>
      </c>
      <c r="F4002" s="4" t="inlineStr">
        <is>
          <t>3.10.2026</t>
        </is>
      </c>
      <c r="G4002" s="4" t="inlineStr">
        <is>
          <t>07:48</t>
        </is>
      </c>
      <c r="H4002" s="4" t="inlineStr">
        <is>
          <t>3.10.2026</t>
        </is>
      </c>
      <c r="I4002" s="4" t="inlineStr">
        <is>
          <t>17:07</t>
        </is>
      </c>
      <c r="J4002" s="8" t="n">
        <v>7.5</v>
      </c>
      <c r="K4002" s="8" t="n">
        <v>7.5</v>
      </c>
      <c r="L4002" s="8" t="n">
        <v>0</v>
      </c>
      <c r="M4002" s="29" t="inlineStr">
        <is>
          <t>HALİL DİĞRENCİ</t>
        </is>
      </c>
    </row>
    <row r="4003">
      <c r="A4003" s="4" t="n">
        <v>4002</v>
      </c>
      <c r="B4003" s="4" t="inlineStr">
        <is>
          <t>01364</t>
        </is>
      </c>
      <c r="C4003" s="4" t="inlineStr">
        <is>
          <t>01364</t>
        </is>
      </c>
      <c r="D4003" s="29" t="inlineStr">
        <is>
          <t>YUSUF ÇETİN</t>
        </is>
      </c>
      <c r="E4003" s="4" t="inlineStr">
        <is>
          <t>Pazartesi</t>
        </is>
      </c>
      <c r="F4003" s="4" t="inlineStr">
        <is>
          <t>5.10.2026</t>
        </is>
      </c>
      <c r="G4003" s="4" t="inlineStr">
        <is>
          <t>07:37</t>
        </is>
      </c>
      <c r="H4003" s="4" t="inlineStr">
        <is>
          <t>5.10.2026</t>
        </is>
      </c>
      <c r="I4003" s="4" t="inlineStr">
        <is>
          <t>20:01</t>
        </is>
      </c>
      <c r="J4003" s="8" t="n">
        <v>10.5</v>
      </c>
      <c r="K4003" s="8" t="n">
        <v>7.5</v>
      </c>
      <c r="L4003" s="8" t="n">
        <v>3</v>
      </c>
      <c r="M4003" s="29" t="inlineStr">
        <is>
          <t>HALİL DİĞRENCİ</t>
        </is>
      </c>
    </row>
    <row r="4004">
      <c r="A4004" s="4" t="n">
        <v>4003</v>
      </c>
      <c r="B4004" s="4" t="inlineStr">
        <is>
          <t>01364</t>
        </is>
      </c>
      <c r="C4004" s="4" t="inlineStr">
        <is>
          <t>01364</t>
        </is>
      </c>
      <c r="D4004" s="29" t="inlineStr">
        <is>
          <t>YUSUF ÇETİN</t>
        </is>
      </c>
      <c r="E4004" s="4" t="inlineStr">
        <is>
          <t>Salı</t>
        </is>
      </c>
      <c r="F4004" s="4" t="inlineStr">
        <is>
          <t>6.10.2026</t>
        </is>
      </c>
      <c r="G4004" s="4" t="inlineStr">
        <is>
          <t>07:33</t>
        </is>
      </c>
      <c r="H4004" s="4" t="inlineStr">
        <is>
          <t>6.10.2026</t>
        </is>
      </c>
      <c r="I4004" s="4" t="inlineStr">
        <is>
          <t>20:01</t>
        </is>
      </c>
      <c r="J4004" s="8" t="n">
        <v>10.5</v>
      </c>
      <c r="K4004" s="8" t="n">
        <v>7.5</v>
      </c>
      <c r="L4004" s="8" t="n">
        <v>3</v>
      </c>
      <c r="M4004" s="29" t="inlineStr">
        <is>
          <t>HALİL DİĞRENCİ</t>
        </is>
      </c>
    </row>
    <row r="4005">
      <c r="A4005" s="4" t="n">
        <v>4004</v>
      </c>
      <c r="B4005" s="4" t="inlineStr">
        <is>
          <t>01364</t>
        </is>
      </c>
      <c r="C4005" s="4" t="inlineStr">
        <is>
          <t>01364</t>
        </is>
      </c>
      <c r="D4005" s="29" t="inlineStr">
        <is>
          <t>YUSUF ÇETİN</t>
        </is>
      </c>
      <c r="E4005" s="4" t="inlineStr">
        <is>
          <t>Perşembe</t>
        </is>
      </c>
      <c r="F4005" s="4" t="inlineStr">
        <is>
          <t>8.10.2026</t>
        </is>
      </c>
      <c r="G4005" s="4" t="inlineStr">
        <is>
          <t>07:34</t>
        </is>
      </c>
      <c r="H4005" s="4" t="inlineStr">
        <is>
          <t>8.10.2026</t>
        </is>
      </c>
      <c r="I4005" s="4" t="inlineStr">
        <is>
          <t>20:01</t>
        </is>
      </c>
      <c r="J4005" s="8" t="n">
        <v>10.5</v>
      </c>
      <c r="K4005" s="8" t="n">
        <v>7.5</v>
      </c>
      <c r="L4005" s="8" t="n">
        <v>3</v>
      </c>
      <c r="M4005" s="29" t="inlineStr">
        <is>
          <t>HALİL DİĞRENCİ</t>
        </is>
      </c>
    </row>
    <row r="4006">
      <c r="A4006" s="4" t="n">
        <v>4005</v>
      </c>
      <c r="B4006" s="4" t="inlineStr">
        <is>
          <t>01364</t>
        </is>
      </c>
      <c r="C4006" s="4" t="inlineStr">
        <is>
          <t>01364</t>
        </is>
      </c>
      <c r="D4006" s="29" t="inlineStr">
        <is>
          <t>YUSUF ÇETİN</t>
        </is>
      </c>
      <c r="E4006" s="4" t="inlineStr">
        <is>
          <t>Cuma</t>
        </is>
      </c>
      <c r="F4006" s="4" t="inlineStr">
        <is>
          <t>9.10.2026</t>
        </is>
      </c>
      <c r="G4006" s="4" t="inlineStr">
        <is>
          <t>07:30</t>
        </is>
      </c>
      <c r="H4006" s="4" t="inlineStr">
        <is>
          <t>9.10.2026</t>
        </is>
      </c>
      <c r="I4006" s="4" t="inlineStr">
        <is>
          <t>20:01</t>
        </is>
      </c>
      <c r="J4006" s="8" t="n">
        <v>10.5</v>
      </c>
      <c r="K4006" s="8" t="n">
        <v>7.5</v>
      </c>
      <c r="L4006" s="8" t="n">
        <v>3</v>
      </c>
      <c r="M4006" s="29" t="inlineStr">
        <is>
          <t>HALİL DİĞRENCİ</t>
        </is>
      </c>
    </row>
    <row r="4007">
      <c r="A4007" s="4" t="n">
        <v>4006</v>
      </c>
      <c r="B4007" s="4" t="inlineStr">
        <is>
          <t>01364</t>
        </is>
      </c>
      <c r="C4007" s="4" t="inlineStr">
        <is>
          <t>01364</t>
        </is>
      </c>
      <c r="D4007" s="29" t="inlineStr">
        <is>
          <t>YUSUF ÇETİN</t>
        </is>
      </c>
      <c r="E4007" s="4" t="inlineStr">
        <is>
          <t>Pazartesi</t>
        </is>
      </c>
      <c r="F4007" s="4" t="inlineStr">
        <is>
          <t>12.10.2026</t>
        </is>
      </c>
      <c r="G4007" s="4" t="inlineStr">
        <is>
          <t>07:41</t>
        </is>
      </c>
      <c r="H4007" s="4" t="inlineStr">
        <is>
          <t>12.10.2026</t>
        </is>
      </c>
      <c r="I4007" s="4" t="inlineStr">
        <is>
          <t>20:04</t>
        </is>
      </c>
      <c r="J4007" s="8" t="n">
        <v>10.5</v>
      </c>
      <c r="K4007" s="8" t="n">
        <v>7.5</v>
      </c>
      <c r="L4007" s="8" t="n">
        <v>3</v>
      </c>
      <c r="M4007" s="29" t="inlineStr">
        <is>
          <t>HALİL DİĞRENCİ</t>
        </is>
      </c>
    </row>
    <row r="4008">
      <c r="A4008" s="4" t="n">
        <v>4007</v>
      </c>
      <c r="B4008" s="4" t="inlineStr">
        <is>
          <t>01364</t>
        </is>
      </c>
      <c r="C4008" s="4" t="inlineStr">
        <is>
          <t>01364</t>
        </is>
      </c>
      <c r="D4008" s="29" t="inlineStr">
        <is>
          <t>YUSUF ÇETİN</t>
        </is>
      </c>
      <c r="E4008" s="4" t="inlineStr">
        <is>
          <t>Çarşamba</t>
        </is>
      </c>
      <c r="F4008" s="4" t="inlineStr">
        <is>
          <t>14.10.2026</t>
        </is>
      </c>
      <c r="G4008" s="4" t="inlineStr">
        <is>
          <t>07:41</t>
        </is>
      </c>
      <c r="H4008" s="4" t="inlineStr">
        <is>
          <t>14.10.2026</t>
        </is>
      </c>
      <c r="I4008" s="4" t="inlineStr">
        <is>
          <t>20:02</t>
        </is>
      </c>
      <c r="J4008" s="8" t="n">
        <v>10.5</v>
      </c>
      <c r="K4008" s="8" t="n">
        <v>7.5</v>
      </c>
      <c r="L4008" s="8" t="n">
        <v>3</v>
      </c>
      <c r="M4008" s="29" t="inlineStr">
        <is>
          <t>HALİL DİĞRENCİ</t>
        </is>
      </c>
    </row>
    <row r="4009">
      <c r="A4009" s="4" t="n">
        <v>4008</v>
      </c>
      <c r="B4009" s="4" t="inlineStr">
        <is>
          <t>01364</t>
        </is>
      </c>
      <c r="C4009" s="4" t="inlineStr">
        <is>
          <t>01364</t>
        </is>
      </c>
      <c r="D4009" s="29" t="inlineStr">
        <is>
          <t>YUSUF ÇETİN</t>
        </is>
      </c>
      <c r="E4009" s="4" t="inlineStr">
        <is>
          <t>Perşembe</t>
        </is>
      </c>
      <c r="F4009" s="4" t="inlineStr">
        <is>
          <t>15.10.2026</t>
        </is>
      </c>
      <c r="G4009" s="4" t="inlineStr">
        <is>
          <t>07:37</t>
        </is>
      </c>
      <c r="H4009" s="4" t="inlineStr">
        <is>
          <t>15.10.2026</t>
        </is>
      </c>
      <c r="I4009" s="4" t="inlineStr">
        <is>
          <t>20:04</t>
        </is>
      </c>
      <c r="J4009" s="8" t="n">
        <v>10.5</v>
      </c>
      <c r="K4009" s="8" t="n">
        <v>7.5</v>
      </c>
      <c r="L4009" s="8" t="n">
        <v>3</v>
      </c>
      <c r="M4009" s="29" t="inlineStr">
        <is>
          <t>HALİL DİĞRENCİ</t>
        </is>
      </c>
    </row>
    <row r="4010">
      <c r="A4010" s="4" t="n">
        <v>4009</v>
      </c>
      <c r="B4010" s="4" t="inlineStr">
        <is>
          <t>01364</t>
        </is>
      </c>
      <c r="C4010" s="4" t="inlineStr">
        <is>
          <t>01364</t>
        </is>
      </c>
      <c r="D4010" s="29" t="inlineStr">
        <is>
          <t>YUSUF ÇETİN</t>
        </is>
      </c>
      <c r="E4010" s="4" t="inlineStr">
        <is>
          <t>Cuma</t>
        </is>
      </c>
      <c r="F4010" s="4" t="inlineStr">
        <is>
          <t>16.10.2026</t>
        </is>
      </c>
      <c r="G4010" s="4" t="inlineStr">
        <is>
          <t>07:54</t>
        </is>
      </c>
      <c r="H4010" s="4" t="inlineStr">
        <is>
          <t>16.10.2026</t>
        </is>
      </c>
      <c r="I4010" s="4" t="inlineStr">
        <is>
          <t>20:03</t>
        </is>
      </c>
      <c r="J4010" s="8" t="n">
        <v>10.5</v>
      </c>
      <c r="K4010" s="8" t="n">
        <v>7.5</v>
      </c>
      <c r="L4010" s="8" t="n">
        <v>3</v>
      </c>
      <c r="M4010" s="29" t="inlineStr">
        <is>
          <t>HALİL DİĞRENCİ</t>
        </is>
      </c>
    </row>
    <row r="4011">
      <c r="A4011" s="4" t="n">
        <v>4010</v>
      </c>
      <c r="B4011" s="4" t="inlineStr">
        <is>
          <t>01364</t>
        </is>
      </c>
      <c r="C4011" s="4" t="inlineStr">
        <is>
          <t>01364</t>
        </is>
      </c>
      <c r="D4011" s="29" t="inlineStr">
        <is>
          <t>YUSUF ÇETİN</t>
        </is>
      </c>
      <c r="E4011" s="4" t="inlineStr">
        <is>
          <t>Pazartesi</t>
        </is>
      </c>
      <c r="F4011" s="4" t="inlineStr">
        <is>
          <t>19.10.2026</t>
        </is>
      </c>
      <c r="G4011" s="4" t="inlineStr">
        <is>
          <t>07:37</t>
        </is>
      </c>
      <c r="H4011" s="4" t="inlineStr">
        <is>
          <t>19.10.2026</t>
        </is>
      </c>
      <c r="I4011" s="4" t="inlineStr">
        <is>
          <t>20:00</t>
        </is>
      </c>
      <c r="J4011" s="8" t="n">
        <v>10.5</v>
      </c>
      <c r="K4011" s="8" t="n">
        <v>7.5</v>
      </c>
      <c r="L4011" s="8" t="n">
        <v>3</v>
      </c>
      <c r="M4011" s="29" t="inlineStr">
        <is>
          <t>HALİL DİĞRENCİ</t>
        </is>
      </c>
    </row>
    <row r="4012">
      <c r="A4012" s="4" t="n">
        <v>4011</v>
      </c>
      <c r="B4012" s="4" t="inlineStr">
        <is>
          <t>01364</t>
        </is>
      </c>
      <c r="C4012" s="4" t="inlineStr">
        <is>
          <t>01364</t>
        </is>
      </c>
      <c r="D4012" s="29" t="inlineStr">
        <is>
          <t>YUSUF ÇETİN</t>
        </is>
      </c>
      <c r="E4012" s="4" t="inlineStr">
        <is>
          <t>Salı</t>
        </is>
      </c>
      <c r="F4012" s="4" t="inlineStr">
        <is>
          <t>20.10.2026</t>
        </is>
      </c>
      <c r="G4012" s="4" t="inlineStr">
        <is>
          <t>07:32</t>
        </is>
      </c>
      <c r="H4012" s="4" t="inlineStr">
        <is>
          <t>20.10.2026</t>
        </is>
      </c>
      <c r="I4012" s="4" t="inlineStr">
        <is>
          <t>17:04</t>
        </is>
      </c>
      <c r="J4012" s="8" t="n">
        <v>7.5</v>
      </c>
      <c r="K4012" s="8" t="n">
        <v>7.5</v>
      </c>
      <c r="L4012" s="8" t="n">
        <v>0</v>
      </c>
      <c r="M4012" s="29" t="inlineStr">
        <is>
          <t>HALİL DİĞRENCİ</t>
        </is>
      </c>
    </row>
    <row r="4013">
      <c r="A4013" s="4" t="n">
        <v>4012</v>
      </c>
      <c r="B4013" s="4" t="inlineStr">
        <is>
          <t>01364</t>
        </is>
      </c>
      <c r="C4013" s="4" t="inlineStr">
        <is>
          <t>01364</t>
        </is>
      </c>
      <c r="D4013" s="29" t="inlineStr">
        <is>
          <t>YUSUF ÇETİN</t>
        </is>
      </c>
      <c r="E4013" s="4" t="inlineStr">
        <is>
          <t>Çarşamba</t>
        </is>
      </c>
      <c r="F4013" s="4" t="inlineStr">
        <is>
          <t>21.10.2026</t>
        </is>
      </c>
      <c r="G4013" s="4" t="inlineStr">
        <is>
          <t>07:41</t>
        </is>
      </c>
      <c r="H4013" s="4" t="inlineStr">
        <is>
          <t>21.10.2026</t>
        </is>
      </c>
      <c r="I4013" s="4" t="inlineStr">
        <is>
          <t>16:58</t>
        </is>
      </c>
      <c r="J4013" s="8" t="n">
        <v>7.5</v>
      </c>
      <c r="K4013" s="8" t="n">
        <v>7.5</v>
      </c>
      <c r="L4013" s="8" t="n">
        <v>0</v>
      </c>
      <c r="M4013" s="29" t="inlineStr">
        <is>
          <t>HALİL DİĞRENCİ</t>
        </is>
      </c>
    </row>
    <row r="4014">
      <c r="A4014" s="4" t="n">
        <v>4013</v>
      </c>
      <c r="B4014" s="4" t="inlineStr">
        <is>
          <t>01469</t>
        </is>
      </c>
      <c r="C4014" s="4" t="inlineStr">
        <is>
          <t>01469</t>
        </is>
      </c>
      <c r="D4014" s="29" t="inlineStr">
        <is>
          <t>YUSUF BÇAKIR</t>
        </is>
      </c>
      <c r="E4014" s="4" t="inlineStr">
        <is>
          <t>Cuma</t>
        </is>
      </c>
      <c r="F4014" s="4" t="inlineStr">
        <is>
          <t>2.10.2026</t>
        </is>
      </c>
      <c r="G4014" s="4" t="inlineStr">
        <is>
          <t>20:10</t>
        </is>
      </c>
      <c r="H4014" s="4" t="inlineStr">
        <is>
          <t>2.10.2026</t>
        </is>
      </c>
      <c r="I4014" s="4" t="inlineStr">
        <is>
          <t>07:55</t>
        </is>
      </c>
      <c r="J4014" s="8" t="n">
        <v>10.5</v>
      </c>
      <c r="K4014" s="8" t="n">
        <v>7.5</v>
      </c>
      <c r="L4014" s="8" t="n">
        <v>3</v>
      </c>
      <c r="M4014" s="29" t="inlineStr">
        <is>
          <t>HALİL DİĞRENCİ</t>
        </is>
      </c>
    </row>
    <row r="4015">
      <c r="A4015" s="4" t="n">
        <v>4014</v>
      </c>
      <c r="B4015" s="4" t="inlineStr">
        <is>
          <t>01469</t>
        </is>
      </c>
      <c r="C4015" s="4" t="inlineStr">
        <is>
          <t>01469</t>
        </is>
      </c>
      <c r="D4015" s="29" t="inlineStr">
        <is>
          <t>YUSUF BÇAKIR</t>
        </is>
      </c>
      <c r="E4015" s="4" t="inlineStr">
        <is>
          <t>Pazar</t>
        </is>
      </c>
      <c r="F4015" s="4" t="inlineStr">
        <is>
          <t>4.10.2026</t>
        </is>
      </c>
      <c r="G4015" s="4" t="inlineStr">
        <is>
          <t>19:59</t>
        </is>
      </c>
      <c r="H4015" s="4" t="inlineStr">
        <is>
          <t>4.10.2026</t>
        </is>
      </c>
      <c r="I4015" s="4" t="inlineStr">
        <is>
          <t>08:01</t>
        </is>
      </c>
      <c r="J4015" s="8" t="n">
        <v>10.5</v>
      </c>
      <c r="K4015" s="8" t="n">
        <v>7.5</v>
      </c>
      <c r="L4015" s="8" t="n">
        <v>3</v>
      </c>
      <c r="M4015" s="29" t="inlineStr">
        <is>
          <t>HALİL DİĞRENCİ</t>
        </is>
      </c>
    </row>
    <row r="4016">
      <c r="A4016" s="4" t="n">
        <v>4015</v>
      </c>
      <c r="B4016" s="4" t="inlineStr">
        <is>
          <t>01469</t>
        </is>
      </c>
      <c r="C4016" s="4" t="inlineStr">
        <is>
          <t>01469</t>
        </is>
      </c>
      <c r="D4016" s="29" t="inlineStr">
        <is>
          <t>YUSUF BÇAKIR</t>
        </is>
      </c>
      <c r="E4016" s="4" t="inlineStr">
        <is>
          <t>Pazartesi</t>
        </is>
      </c>
      <c r="F4016" s="4" t="inlineStr">
        <is>
          <t>5.10.2026</t>
        </is>
      </c>
      <c r="G4016" s="4" t="inlineStr">
        <is>
          <t>19:58</t>
        </is>
      </c>
      <c r="H4016" s="4" t="inlineStr">
        <is>
          <t>5.10.2026</t>
        </is>
      </c>
      <c r="I4016" s="4" t="inlineStr">
        <is>
          <t>07:54</t>
        </is>
      </c>
      <c r="J4016" s="8" t="n">
        <v>10.5</v>
      </c>
      <c r="K4016" s="8" t="n">
        <v>7.5</v>
      </c>
      <c r="L4016" s="8" t="n">
        <v>3</v>
      </c>
      <c r="M4016" s="29" t="inlineStr">
        <is>
          <t>HALİL DİĞRENCİ</t>
        </is>
      </c>
    </row>
    <row r="4017">
      <c r="A4017" s="4" t="n">
        <v>4016</v>
      </c>
      <c r="B4017" s="4" t="inlineStr">
        <is>
          <t>01469</t>
        </is>
      </c>
      <c r="C4017" s="4" t="inlineStr">
        <is>
          <t>01469</t>
        </is>
      </c>
      <c r="D4017" s="29" t="inlineStr">
        <is>
          <t>YUSUF BÇAKIR</t>
        </is>
      </c>
      <c r="E4017" s="4" t="inlineStr">
        <is>
          <t>Salı</t>
        </is>
      </c>
      <c r="F4017" s="4" t="inlineStr">
        <is>
          <t>6.10.2026</t>
        </is>
      </c>
      <c r="G4017" s="4" t="inlineStr">
        <is>
          <t>19:48</t>
        </is>
      </c>
      <c r="H4017" s="4" t="inlineStr">
        <is>
          <t>6.10.2026</t>
        </is>
      </c>
      <c r="I4017" s="4" t="inlineStr">
        <is>
          <t>08:02</t>
        </is>
      </c>
      <c r="J4017" s="8" t="n">
        <v>10.5</v>
      </c>
      <c r="K4017" s="8" t="n">
        <v>7.5</v>
      </c>
      <c r="L4017" s="8" t="n">
        <v>3</v>
      </c>
      <c r="M4017" s="29" t="inlineStr">
        <is>
          <t>HALİL DİĞRENCİ</t>
        </is>
      </c>
    </row>
    <row r="4018">
      <c r="A4018" s="4" t="n">
        <v>4017</v>
      </c>
      <c r="B4018" s="4" t="inlineStr">
        <is>
          <t>01469</t>
        </is>
      </c>
      <c r="C4018" s="4" t="inlineStr">
        <is>
          <t>01469</t>
        </is>
      </c>
      <c r="D4018" s="29" t="inlineStr">
        <is>
          <t>YUSUF BÇAKIR</t>
        </is>
      </c>
      <c r="E4018" s="4" t="inlineStr">
        <is>
          <t>Perşembe</t>
        </is>
      </c>
      <c r="F4018" s="4" t="inlineStr">
        <is>
          <t>8.10.2026</t>
        </is>
      </c>
      <c r="G4018" s="4" t="inlineStr">
        <is>
          <t>19:59</t>
        </is>
      </c>
      <c r="H4018" s="4" t="inlineStr">
        <is>
          <t>8.10.2026</t>
        </is>
      </c>
      <c r="I4018" s="4" t="inlineStr">
        <is>
          <t>07:58</t>
        </is>
      </c>
      <c r="J4018" s="8" t="n">
        <v>10.5</v>
      </c>
      <c r="K4018" s="8" t="n">
        <v>7.5</v>
      </c>
      <c r="L4018" s="8" t="n">
        <v>3</v>
      </c>
      <c r="M4018" s="29" t="inlineStr">
        <is>
          <t>HALİL DİĞRENCİ</t>
        </is>
      </c>
    </row>
    <row r="4019">
      <c r="A4019" s="4" t="n">
        <v>4018</v>
      </c>
      <c r="B4019" s="4" t="inlineStr">
        <is>
          <t>01469</t>
        </is>
      </c>
      <c r="C4019" s="4" t="inlineStr">
        <is>
          <t>01469</t>
        </is>
      </c>
      <c r="D4019" s="29" t="inlineStr">
        <is>
          <t>YUSUF BÇAKIR</t>
        </is>
      </c>
      <c r="E4019" s="4" t="inlineStr">
        <is>
          <t>Cuma</t>
        </is>
      </c>
      <c r="F4019" s="4" t="inlineStr">
        <is>
          <t>9.10.2026</t>
        </is>
      </c>
      <c r="G4019" s="4" t="inlineStr">
        <is>
          <t>20:05</t>
        </is>
      </c>
      <c r="H4019" s="4" t="inlineStr">
        <is>
          <t>9.10.2026</t>
        </is>
      </c>
      <c r="I4019" s="4" t="inlineStr">
        <is>
          <t>08:00</t>
        </is>
      </c>
      <c r="J4019" s="8" t="n">
        <v>10.5</v>
      </c>
      <c r="K4019" s="8" t="n">
        <v>7.5</v>
      </c>
      <c r="L4019" s="8" t="n">
        <v>3</v>
      </c>
      <c r="M4019" s="29" t="inlineStr">
        <is>
          <t>HALİL DİĞRENCİ</t>
        </is>
      </c>
    </row>
    <row r="4020">
      <c r="A4020" s="4" t="n">
        <v>4019</v>
      </c>
      <c r="B4020" s="4" t="inlineStr">
        <is>
          <t>01469</t>
        </is>
      </c>
      <c r="C4020" s="4" t="inlineStr">
        <is>
          <t>01469</t>
        </is>
      </c>
      <c r="D4020" s="29" t="inlineStr">
        <is>
          <t>YUSUF BÇAKIR</t>
        </is>
      </c>
      <c r="E4020" s="4" t="inlineStr">
        <is>
          <t>Cumartesi</t>
        </is>
      </c>
      <c r="F4020" s="4" t="inlineStr">
        <is>
          <t>10.10.2026</t>
        </is>
      </c>
      <c r="G4020" s="4" t="inlineStr">
        <is>
          <t>20:13</t>
        </is>
      </c>
      <c r="H4020" s="4" t="inlineStr">
        <is>
          <t>10.10.2026</t>
        </is>
      </c>
      <c r="I4020" s="4" t="inlineStr">
        <is>
          <t>08:05</t>
        </is>
      </c>
      <c r="J4020" s="8" t="n">
        <v>10.5</v>
      </c>
      <c r="K4020" s="8" t="n">
        <v>7.5</v>
      </c>
      <c r="L4020" s="8" t="n">
        <v>3</v>
      </c>
      <c r="M4020" s="29" t="inlineStr">
        <is>
          <t>HALİL DİĞRENCİ</t>
        </is>
      </c>
    </row>
    <row r="4021">
      <c r="A4021" s="4" t="n">
        <v>4020</v>
      </c>
      <c r="B4021" s="4" t="inlineStr">
        <is>
          <t>01469</t>
        </is>
      </c>
      <c r="C4021" s="4" t="inlineStr">
        <is>
          <t>01469</t>
        </is>
      </c>
      <c r="D4021" s="29" t="inlineStr">
        <is>
          <t>YUSUF BÇAKIR</t>
        </is>
      </c>
      <c r="E4021" s="4" t="inlineStr">
        <is>
          <t>Pazartesi</t>
        </is>
      </c>
      <c r="F4021" s="4" t="inlineStr">
        <is>
          <t>12.10.2026</t>
        </is>
      </c>
      <c r="G4021" s="4" t="inlineStr">
        <is>
          <t>20:02</t>
        </is>
      </c>
      <c r="H4021" s="4" t="inlineStr">
        <is>
          <t>12.10.2026</t>
        </is>
      </c>
      <c r="I4021" s="4" t="inlineStr">
        <is>
          <t>07:55</t>
        </is>
      </c>
      <c r="J4021" s="8" t="n">
        <v>10.5</v>
      </c>
      <c r="K4021" s="8" t="n">
        <v>7.5</v>
      </c>
      <c r="L4021" s="8" t="n">
        <v>3</v>
      </c>
      <c r="M4021" s="29" t="inlineStr">
        <is>
          <t>HALİL DİĞRENCİ</t>
        </is>
      </c>
    </row>
    <row r="4022">
      <c r="A4022" s="4" t="n">
        <v>4021</v>
      </c>
      <c r="B4022" s="4" t="inlineStr">
        <is>
          <t>01469</t>
        </is>
      </c>
      <c r="C4022" s="4" t="inlineStr">
        <is>
          <t>01469</t>
        </is>
      </c>
      <c r="D4022" s="29" t="inlineStr">
        <is>
          <t>YUSUF BÇAKIR</t>
        </is>
      </c>
      <c r="E4022" s="4" t="inlineStr">
        <is>
          <t>Salı</t>
        </is>
      </c>
      <c r="F4022" s="4" t="inlineStr">
        <is>
          <t>13.10.2026</t>
        </is>
      </c>
      <c r="G4022" s="4" t="inlineStr">
        <is>
          <t>19:59</t>
        </is>
      </c>
      <c r="H4022" s="4" t="inlineStr">
        <is>
          <t>13.10.2026</t>
        </is>
      </c>
      <c r="I4022" s="4" t="inlineStr">
        <is>
          <t>07:57</t>
        </is>
      </c>
      <c r="J4022" s="8" t="n">
        <v>10.5</v>
      </c>
      <c r="K4022" s="8" t="n">
        <v>7.5</v>
      </c>
      <c r="L4022" s="8" t="n">
        <v>3</v>
      </c>
      <c r="M4022" s="29" t="inlineStr">
        <is>
          <t>HALİL DİĞRENCİ</t>
        </is>
      </c>
    </row>
    <row r="4023">
      <c r="A4023" s="4" t="n">
        <v>4022</v>
      </c>
      <c r="B4023" s="4" t="inlineStr">
        <is>
          <t>01469</t>
        </is>
      </c>
      <c r="C4023" s="4" t="inlineStr">
        <is>
          <t>01469</t>
        </is>
      </c>
      <c r="D4023" s="29" t="inlineStr">
        <is>
          <t>YUSUF BÇAKIR</t>
        </is>
      </c>
      <c r="E4023" s="4" t="inlineStr">
        <is>
          <t>Çarşamba</t>
        </is>
      </c>
      <c r="F4023" s="4" t="inlineStr">
        <is>
          <t>14.10.2026</t>
        </is>
      </c>
      <c r="G4023" s="4" t="inlineStr">
        <is>
          <t>20:17</t>
        </is>
      </c>
      <c r="H4023" s="4" t="inlineStr">
        <is>
          <t>14.10.2026</t>
        </is>
      </c>
      <c r="I4023" s="4" t="inlineStr">
        <is>
          <t>08:03</t>
        </is>
      </c>
      <c r="J4023" s="8" t="n">
        <v>10.5</v>
      </c>
      <c r="K4023" s="8" t="n">
        <v>7.5</v>
      </c>
      <c r="L4023" s="8" t="n">
        <v>3</v>
      </c>
      <c r="M4023" s="29" t="inlineStr">
        <is>
          <t>HALİL DİĞRENCİ</t>
        </is>
      </c>
    </row>
    <row r="4024">
      <c r="A4024" s="4" t="n">
        <v>4023</v>
      </c>
      <c r="B4024" s="4" t="inlineStr">
        <is>
          <t>01469</t>
        </is>
      </c>
      <c r="C4024" s="4" t="inlineStr">
        <is>
          <t>01469</t>
        </is>
      </c>
      <c r="D4024" s="29" t="inlineStr">
        <is>
          <t>YUSUF BÇAKIR</t>
        </is>
      </c>
      <c r="E4024" s="4" t="inlineStr">
        <is>
          <t>Cuma</t>
        </is>
      </c>
      <c r="F4024" s="4" t="inlineStr">
        <is>
          <t>16.10.2026</t>
        </is>
      </c>
      <c r="G4024" s="4" t="inlineStr">
        <is>
          <t>-</t>
        </is>
      </c>
      <c r="H4024" s="4" t="inlineStr">
        <is>
          <t>16.10.2026</t>
        </is>
      </c>
      <c r="I4024" s="4" t="inlineStr">
        <is>
          <t>07:59</t>
        </is>
      </c>
      <c r="J4024" s="8" t="n">
        <v>7.5</v>
      </c>
      <c r="K4024" s="8" t="n">
        <v>7.5</v>
      </c>
      <c r="L4024" s="8" t="n">
        <v>0</v>
      </c>
      <c r="M4024" s="29" t="inlineStr">
        <is>
          <t>HALİL DİĞRENCİ</t>
        </is>
      </c>
    </row>
    <row r="4025">
      <c r="A4025" s="4" t="n">
        <v>4024</v>
      </c>
      <c r="B4025" s="4" t="inlineStr">
        <is>
          <t>01469</t>
        </is>
      </c>
      <c r="C4025" s="4" t="inlineStr">
        <is>
          <t>01469</t>
        </is>
      </c>
      <c r="D4025" s="29" t="inlineStr">
        <is>
          <t>YUSUF BÇAKIR</t>
        </is>
      </c>
      <c r="E4025" s="4" t="inlineStr">
        <is>
          <t>Pazar</t>
        </is>
      </c>
      <c r="F4025" s="4" t="inlineStr">
        <is>
          <t>18.10.2026</t>
        </is>
      </c>
      <c r="G4025" s="4" t="inlineStr">
        <is>
          <t>08:16</t>
        </is>
      </c>
      <c r="H4025" s="4" t="inlineStr">
        <is>
          <t>18.10.2026</t>
        </is>
      </c>
      <c r="I4025" s="4" t="inlineStr">
        <is>
          <t>20:00</t>
        </is>
      </c>
      <c r="J4025" s="8" t="n">
        <v>10.5</v>
      </c>
      <c r="K4025" s="8" t="n">
        <v>7.5</v>
      </c>
      <c r="L4025" s="8" t="n">
        <v>3</v>
      </c>
      <c r="M4025" s="29" t="inlineStr">
        <is>
          <t>HALİL DİĞRENCİ</t>
        </is>
      </c>
    </row>
    <row r="4026">
      <c r="A4026" s="4" t="n">
        <v>4025</v>
      </c>
      <c r="B4026" s="4" t="inlineStr">
        <is>
          <t>01469</t>
        </is>
      </c>
      <c r="C4026" s="4" t="inlineStr">
        <is>
          <t>01469</t>
        </is>
      </c>
      <c r="D4026" s="29" t="inlineStr">
        <is>
          <t>YUSUF BÇAKIR</t>
        </is>
      </c>
      <c r="E4026" s="4" t="inlineStr">
        <is>
          <t>Pazartesi</t>
        </is>
      </c>
      <c r="F4026" s="4" t="inlineStr">
        <is>
          <t>19.10.2026</t>
        </is>
      </c>
      <c r="G4026" s="4" t="inlineStr">
        <is>
          <t>19:46</t>
        </is>
      </c>
      <c r="H4026" s="4" t="inlineStr">
        <is>
          <t>19.10.2026</t>
        </is>
      </c>
      <c r="I4026" s="4" t="inlineStr">
        <is>
          <t>07:57</t>
        </is>
      </c>
      <c r="J4026" s="8" t="n">
        <v>10.5</v>
      </c>
      <c r="K4026" s="8" t="n">
        <v>7.5</v>
      </c>
      <c r="L4026" s="8" t="n">
        <v>3</v>
      </c>
      <c r="M4026" s="29" t="inlineStr">
        <is>
          <t>HALİL DİĞRENCİ</t>
        </is>
      </c>
    </row>
    <row r="4027">
      <c r="A4027" s="4" t="n">
        <v>4026</v>
      </c>
      <c r="B4027" s="4" t="inlineStr">
        <is>
          <t>01470</t>
        </is>
      </c>
      <c r="C4027" s="4" t="inlineStr">
        <is>
          <t>01470</t>
        </is>
      </c>
      <c r="D4027" s="29" t="inlineStr">
        <is>
          <t>YÜKSEL KARATUN</t>
        </is>
      </c>
      <c r="E4027" s="4" t="inlineStr">
        <is>
          <t>Cuma</t>
        </is>
      </c>
      <c r="F4027" s="4" t="inlineStr">
        <is>
          <t>2.10.2026</t>
        </is>
      </c>
      <c r="G4027" s="4" t="inlineStr">
        <is>
          <t>20:19</t>
        </is>
      </c>
      <c r="H4027" s="4" t="inlineStr">
        <is>
          <t>2.10.2026</t>
        </is>
      </c>
      <c r="I4027" s="4" t="inlineStr">
        <is>
          <t>07:53</t>
        </is>
      </c>
      <c r="J4027" s="8" t="n">
        <v>10.5</v>
      </c>
      <c r="K4027" s="8" t="n">
        <v>7.5</v>
      </c>
      <c r="L4027" s="8" t="n">
        <v>3</v>
      </c>
      <c r="M4027" s="29" t="inlineStr">
        <is>
          <t>HALİL DİĞRENCİ</t>
        </is>
      </c>
    </row>
    <row r="4028">
      <c r="A4028" s="4" t="n">
        <v>4027</v>
      </c>
      <c r="B4028" s="4" t="inlineStr">
        <is>
          <t>01470</t>
        </is>
      </c>
      <c r="C4028" s="4" t="inlineStr">
        <is>
          <t>01470</t>
        </is>
      </c>
      <c r="D4028" s="29" t="inlineStr">
        <is>
          <t>YÜKSEL KARATUN</t>
        </is>
      </c>
      <c r="E4028" s="4" t="inlineStr">
        <is>
          <t>Cumartesi</t>
        </is>
      </c>
      <c r="F4028" s="4" t="inlineStr">
        <is>
          <t>3.10.2026</t>
        </is>
      </c>
      <c r="G4028" s="4" t="inlineStr">
        <is>
          <t>19:54</t>
        </is>
      </c>
      <c r="H4028" s="4" t="inlineStr">
        <is>
          <t>3.10.2026</t>
        </is>
      </c>
      <c r="I4028" s="4" t="inlineStr">
        <is>
          <t>07:55</t>
        </is>
      </c>
      <c r="J4028" s="8" t="n">
        <v>10.5</v>
      </c>
      <c r="K4028" s="8" t="n">
        <v>7.5</v>
      </c>
      <c r="L4028" s="8" t="n">
        <v>3</v>
      </c>
      <c r="M4028" s="29" t="inlineStr">
        <is>
          <t>HALİL DİĞRENCİ</t>
        </is>
      </c>
    </row>
    <row r="4029">
      <c r="A4029" s="4" t="n">
        <v>4028</v>
      </c>
      <c r="B4029" s="4" t="inlineStr">
        <is>
          <t>01470</t>
        </is>
      </c>
      <c r="C4029" s="4" t="inlineStr">
        <is>
          <t>01470</t>
        </is>
      </c>
      <c r="D4029" s="29" t="inlineStr">
        <is>
          <t>YÜKSEL KARATUN</t>
        </is>
      </c>
      <c r="E4029" s="4" t="inlineStr">
        <is>
          <t>Pazartesi</t>
        </is>
      </c>
      <c r="F4029" s="4" t="inlineStr">
        <is>
          <t>5.10.2026</t>
        </is>
      </c>
      <c r="G4029" s="4" t="inlineStr">
        <is>
          <t>19:58</t>
        </is>
      </c>
      <c r="H4029" s="4" t="inlineStr">
        <is>
          <t>5.10.2026</t>
        </is>
      </c>
      <c r="I4029" s="4" t="inlineStr">
        <is>
          <t>07:51</t>
        </is>
      </c>
      <c r="J4029" s="8" t="n">
        <v>10.5</v>
      </c>
      <c r="K4029" s="8" t="n">
        <v>7.5</v>
      </c>
      <c r="L4029" s="8" t="n">
        <v>3</v>
      </c>
      <c r="M4029" s="29" t="inlineStr">
        <is>
          <t>HALİL DİĞRENCİ</t>
        </is>
      </c>
    </row>
    <row r="4030">
      <c r="A4030" s="4" t="n">
        <v>4029</v>
      </c>
      <c r="B4030" s="4" t="inlineStr">
        <is>
          <t>01470</t>
        </is>
      </c>
      <c r="C4030" s="4" t="inlineStr">
        <is>
          <t>01470</t>
        </is>
      </c>
      <c r="D4030" s="29" t="inlineStr">
        <is>
          <t>YÜKSEL KARATUN</t>
        </is>
      </c>
      <c r="E4030" s="4" t="inlineStr">
        <is>
          <t>Salı</t>
        </is>
      </c>
      <c r="F4030" s="4" t="inlineStr">
        <is>
          <t>6.10.2026</t>
        </is>
      </c>
      <c r="G4030" s="4" t="inlineStr">
        <is>
          <t>19:48</t>
        </is>
      </c>
      <c r="H4030" s="4" t="inlineStr">
        <is>
          <t>6.10.2026</t>
        </is>
      </c>
      <c r="I4030" s="4" t="inlineStr">
        <is>
          <t>08:02</t>
        </is>
      </c>
      <c r="J4030" s="8" t="n">
        <v>10.5</v>
      </c>
      <c r="K4030" s="8" t="n">
        <v>7.5</v>
      </c>
      <c r="L4030" s="8" t="n">
        <v>3</v>
      </c>
      <c r="M4030" s="29" t="inlineStr">
        <is>
          <t>HALİL DİĞRENCİ</t>
        </is>
      </c>
    </row>
    <row r="4031">
      <c r="A4031" s="4" t="n">
        <v>4030</v>
      </c>
      <c r="B4031" s="4" t="inlineStr">
        <is>
          <t>01470</t>
        </is>
      </c>
      <c r="C4031" s="4" t="inlineStr">
        <is>
          <t>01470</t>
        </is>
      </c>
      <c r="D4031" s="29" t="inlineStr">
        <is>
          <t>YÜKSEL KARATUN</t>
        </is>
      </c>
      <c r="E4031" s="4" t="inlineStr">
        <is>
          <t>Çarşamba</t>
        </is>
      </c>
      <c r="F4031" s="4" t="inlineStr">
        <is>
          <t>7.10.2026</t>
        </is>
      </c>
      <c r="G4031" s="4" t="inlineStr">
        <is>
          <t>19:58</t>
        </is>
      </c>
      <c r="H4031" s="4" t="inlineStr">
        <is>
          <t>7.10.2026</t>
        </is>
      </c>
      <c r="I4031" s="4" t="inlineStr">
        <is>
          <t>07:56</t>
        </is>
      </c>
      <c r="J4031" s="8" t="n">
        <v>10.5</v>
      </c>
      <c r="K4031" s="8" t="n">
        <v>7.5</v>
      </c>
      <c r="L4031" s="8" t="n">
        <v>3</v>
      </c>
      <c r="M4031" s="29" t="inlineStr">
        <is>
          <t>HALİL DİĞRENCİ</t>
        </is>
      </c>
    </row>
    <row r="4032">
      <c r="A4032" s="4" t="n">
        <v>4031</v>
      </c>
      <c r="B4032" s="4" t="inlineStr">
        <is>
          <t>01470</t>
        </is>
      </c>
      <c r="C4032" s="4" t="inlineStr">
        <is>
          <t>01470</t>
        </is>
      </c>
      <c r="D4032" s="29" t="inlineStr">
        <is>
          <t>YÜKSEL KARATUN</t>
        </is>
      </c>
      <c r="E4032" s="4" t="inlineStr">
        <is>
          <t>Perşembe</t>
        </is>
      </c>
      <c r="F4032" s="4" t="inlineStr">
        <is>
          <t>8.10.2026</t>
        </is>
      </c>
      <c r="G4032" s="4" t="inlineStr">
        <is>
          <t>19:58</t>
        </is>
      </c>
      <c r="H4032" s="4" t="inlineStr">
        <is>
          <t>8.10.2026</t>
        </is>
      </c>
      <c r="I4032" s="4" t="inlineStr">
        <is>
          <t>07:58</t>
        </is>
      </c>
      <c r="J4032" s="8" t="n">
        <v>10.5</v>
      </c>
      <c r="K4032" s="8" t="n">
        <v>7.5</v>
      </c>
      <c r="L4032" s="8" t="n">
        <v>3</v>
      </c>
      <c r="M4032" s="29" t="inlineStr">
        <is>
          <t>HALİL DİĞRENCİ</t>
        </is>
      </c>
    </row>
    <row r="4033">
      <c r="A4033" s="4" t="n">
        <v>4032</v>
      </c>
      <c r="B4033" s="4" t="inlineStr">
        <is>
          <t>01470</t>
        </is>
      </c>
      <c r="C4033" s="4" t="inlineStr">
        <is>
          <t>01470</t>
        </is>
      </c>
      <c r="D4033" s="29" t="inlineStr">
        <is>
          <t>YÜKSEL KARATUN</t>
        </is>
      </c>
      <c r="E4033" s="4" t="inlineStr">
        <is>
          <t>Cuma</t>
        </is>
      </c>
      <c r="F4033" s="4" t="inlineStr">
        <is>
          <t>9.10.2026</t>
        </is>
      </c>
      <c r="G4033" s="4" t="inlineStr">
        <is>
          <t>20:02</t>
        </is>
      </c>
      <c r="H4033" s="4" t="inlineStr">
        <is>
          <t>9.10.2026</t>
        </is>
      </c>
      <c r="I4033" s="4" t="inlineStr">
        <is>
          <t>07:58</t>
        </is>
      </c>
      <c r="J4033" s="8" t="n">
        <v>10.5</v>
      </c>
      <c r="K4033" s="8" t="n">
        <v>7.5</v>
      </c>
      <c r="L4033" s="8" t="n">
        <v>3</v>
      </c>
      <c r="M4033" s="29" t="inlineStr">
        <is>
          <t>HALİL DİĞRENCİ</t>
        </is>
      </c>
    </row>
    <row r="4034">
      <c r="A4034" s="4" t="n">
        <v>4033</v>
      </c>
      <c r="B4034" s="4" t="inlineStr">
        <is>
          <t>01470</t>
        </is>
      </c>
      <c r="C4034" s="4" t="inlineStr">
        <is>
          <t>01470</t>
        </is>
      </c>
      <c r="D4034" s="29" t="inlineStr">
        <is>
          <t>YÜKSEL KARATUN</t>
        </is>
      </c>
      <c r="E4034" s="4" t="inlineStr">
        <is>
          <t>Cumartesi</t>
        </is>
      </c>
      <c r="F4034" s="4" t="inlineStr">
        <is>
          <t>10.10.2026</t>
        </is>
      </c>
      <c r="G4034" s="4" t="inlineStr">
        <is>
          <t>20:12</t>
        </is>
      </c>
      <c r="H4034" s="4" t="inlineStr">
        <is>
          <t>10.10.2026</t>
        </is>
      </c>
      <c r="I4034" s="4" t="inlineStr">
        <is>
          <t>08:03</t>
        </is>
      </c>
      <c r="J4034" s="8" t="n">
        <v>10.5</v>
      </c>
      <c r="K4034" s="8" t="n">
        <v>7.5</v>
      </c>
      <c r="L4034" s="8" t="n">
        <v>3</v>
      </c>
      <c r="M4034" s="29" t="inlineStr">
        <is>
          <t>HALİL DİĞRENCİ</t>
        </is>
      </c>
    </row>
    <row r="4035">
      <c r="A4035" s="4" t="n">
        <v>4034</v>
      </c>
      <c r="B4035" s="4" t="inlineStr">
        <is>
          <t>01470</t>
        </is>
      </c>
      <c r="C4035" s="4" t="inlineStr">
        <is>
          <t>01470</t>
        </is>
      </c>
      <c r="D4035" s="29" t="inlineStr">
        <is>
          <t>YÜKSEL KARATUN</t>
        </is>
      </c>
      <c r="E4035" s="4" t="inlineStr">
        <is>
          <t>Pazar</t>
        </is>
      </c>
      <c r="F4035" s="4" t="inlineStr">
        <is>
          <t>11.10.2026</t>
        </is>
      </c>
      <c r="G4035" s="4" t="inlineStr">
        <is>
          <t>20:17</t>
        </is>
      </c>
      <c r="H4035" s="4" t="inlineStr">
        <is>
          <t>11.10.2026</t>
        </is>
      </c>
      <c r="I4035" s="4" t="inlineStr">
        <is>
          <t>08:00</t>
        </is>
      </c>
      <c r="J4035" s="8" t="n">
        <v>10.5</v>
      </c>
      <c r="K4035" s="8" t="n">
        <v>7.5</v>
      </c>
      <c r="L4035" s="8" t="n">
        <v>3</v>
      </c>
      <c r="M4035" s="29" t="inlineStr">
        <is>
          <t>HALİL DİĞRENCİ</t>
        </is>
      </c>
    </row>
    <row r="4036">
      <c r="A4036" s="4" t="n">
        <v>4035</v>
      </c>
      <c r="B4036" s="4" t="inlineStr">
        <is>
          <t>01470</t>
        </is>
      </c>
      <c r="C4036" s="4" t="inlineStr">
        <is>
          <t>01470</t>
        </is>
      </c>
      <c r="D4036" s="29" t="inlineStr">
        <is>
          <t>YÜKSEL KARATUN</t>
        </is>
      </c>
      <c r="E4036" s="4" t="inlineStr">
        <is>
          <t>Salı</t>
        </is>
      </c>
      <c r="F4036" s="4" t="inlineStr">
        <is>
          <t>13.10.2026</t>
        </is>
      </c>
      <c r="G4036" s="4" t="inlineStr">
        <is>
          <t>20:01</t>
        </is>
      </c>
      <c r="H4036" s="4" t="inlineStr">
        <is>
          <t>13.10.2026</t>
        </is>
      </c>
      <c r="I4036" s="4" t="inlineStr">
        <is>
          <t>07:57</t>
        </is>
      </c>
      <c r="J4036" s="8" t="n">
        <v>10.5</v>
      </c>
      <c r="K4036" s="8" t="n">
        <v>7.5</v>
      </c>
      <c r="L4036" s="8" t="n">
        <v>3</v>
      </c>
      <c r="M4036" s="29" t="inlineStr">
        <is>
          <t>HALİL DİĞRENCİ</t>
        </is>
      </c>
    </row>
    <row r="4037">
      <c r="A4037" s="4" t="n">
        <v>4036</v>
      </c>
      <c r="B4037" s="4" t="inlineStr">
        <is>
          <t>01470</t>
        </is>
      </c>
      <c r="C4037" s="4" t="inlineStr">
        <is>
          <t>01470</t>
        </is>
      </c>
      <c r="D4037" s="29" t="inlineStr">
        <is>
          <t>YÜKSEL KARATUN</t>
        </is>
      </c>
      <c r="E4037" s="4" t="inlineStr">
        <is>
          <t>Çarşamba</t>
        </is>
      </c>
      <c r="F4037" s="4" t="inlineStr">
        <is>
          <t>14.10.2026</t>
        </is>
      </c>
      <c r="G4037" s="4" t="inlineStr">
        <is>
          <t>20:16</t>
        </is>
      </c>
      <c r="H4037" s="4" t="inlineStr">
        <is>
          <t>14.10.2026</t>
        </is>
      </c>
      <c r="I4037" s="4" t="inlineStr">
        <is>
          <t>07:59</t>
        </is>
      </c>
      <c r="J4037" s="8" t="n">
        <v>10.5</v>
      </c>
      <c r="K4037" s="8" t="n">
        <v>7.5</v>
      </c>
      <c r="L4037" s="8" t="n">
        <v>3</v>
      </c>
      <c r="M4037" s="29" t="inlineStr">
        <is>
          <t>HALİL DİĞRENCİ</t>
        </is>
      </c>
    </row>
    <row r="4038">
      <c r="A4038" s="4" t="n">
        <v>4037</v>
      </c>
      <c r="B4038" s="4" t="inlineStr">
        <is>
          <t>01470</t>
        </is>
      </c>
      <c r="C4038" s="4" t="inlineStr">
        <is>
          <t>01470</t>
        </is>
      </c>
      <c r="D4038" s="29" t="inlineStr">
        <is>
          <t>YÜKSEL KARATUN</t>
        </is>
      </c>
      <c r="E4038" s="4" t="inlineStr">
        <is>
          <t>Perşembe</t>
        </is>
      </c>
      <c r="F4038" s="4" t="inlineStr">
        <is>
          <t>15.10.2026</t>
        </is>
      </c>
      <c r="G4038" s="4" t="inlineStr">
        <is>
          <t>20:12</t>
        </is>
      </c>
      <c r="H4038" s="4" t="inlineStr">
        <is>
          <t>15.10.2026</t>
        </is>
      </c>
      <c r="I4038" s="4" t="inlineStr">
        <is>
          <t>07:58</t>
        </is>
      </c>
      <c r="J4038" s="8" t="n">
        <v>10.5</v>
      </c>
      <c r="K4038" s="8" t="n">
        <v>7.5</v>
      </c>
      <c r="L4038" s="8" t="n">
        <v>3</v>
      </c>
      <c r="M4038" s="29" t="inlineStr">
        <is>
          <t>HALİL DİĞRENCİ</t>
        </is>
      </c>
    </row>
    <row r="4039">
      <c r="A4039" s="4" t="n">
        <v>4038</v>
      </c>
      <c r="B4039" s="4" t="inlineStr">
        <is>
          <t>01470</t>
        </is>
      </c>
      <c r="C4039" s="4" t="inlineStr">
        <is>
          <t>01470</t>
        </is>
      </c>
      <c r="D4039" s="29" t="inlineStr">
        <is>
          <t>YÜKSEL KARATUN</t>
        </is>
      </c>
      <c r="E4039" s="4" t="inlineStr">
        <is>
          <t>Pazar</t>
        </is>
      </c>
      <c r="F4039" s="4" t="inlineStr">
        <is>
          <t>18.10.2026</t>
        </is>
      </c>
      <c r="G4039" s="4" t="inlineStr">
        <is>
          <t>08:17</t>
        </is>
      </c>
      <c r="H4039" s="4" t="inlineStr">
        <is>
          <t>18.10.2026</t>
        </is>
      </c>
      <c r="I4039" s="4" t="inlineStr">
        <is>
          <t>19:58</t>
        </is>
      </c>
      <c r="J4039" s="8" t="n">
        <v>10.5</v>
      </c>
      <c r="K4039" s="8" t="n">
        <v>7.5</v>
      </c>
      <c r="L4039" s="8" t="n">
        <v>3</v>
      </c>
      <c r="M4039" s="29" t="inlineStr">
        <is>
          <t>HALİL DİĞRENCİ</t>
        </is>
      </c>
    </row>
    <row r="4040">
      <c r="A4040" s="4" t="n">
        <v>4039</v>
      </c>
      <c r="B4040" s="4" t="inlineStr">
        <is>
          <t>01470</t>
        </is>
      </c>
      <c r="C4040" s="4" t="inlineStr">
        <is>
          <t>01470</t>
        </is>
      </c>
      <c r="D4040" s="29" t="inlineStr">
        <is>
          <t>YÜKSEL KARATUN</t>
        </is>
      </c>
      <c r="E4040" s="4" t="inlineStr">
        <is>
          <t>Pazartesi</t>
        </is>
      </c>
      <c r="F4040" s="4" t="inlineStr">
        <is>
          <t>19.10.2026</t>
        </is>
      </c>
      <c r="G4040" s="4" t="inlineStr">
        <is>
          <t>19:42</t>
        </is>
      </c>
      <c r="H4040" s="4" t="inlineStr">
        <is>
          <t>19.10.2026</t>
        </is>
      </c>
      <c r="I4040" s="4" t="inlineStr">
        <is>
          <t>07:52</t>
        </is>
      </c>
      <c r="J4040" s="8" t="n">
        <v>10.5</v>
      </c>
      <c r="K4040" s="8" t="n">
        <v>7.5</v>
      </c>
      <c r="L4040" s="8" t="n">
        <v>3</v>
      </c>
      <c r="M4040" s="29" t="inlineStr">
        <is>
          <t>HALİL DİĞRENCİ</t>
        </is>
      </c>
    </row>
    <row r="4041">
      <c r="A4041" s="4" t="n">
        <v>4040</v>
      </c>
      <c r="B4041" s="4" t="inlineStr">
        <is>
          <t>00191</t>
        </is>
      </c>
      <c r="C4041" s="4" t="inlineStr">
        <is>
          <t>00191</t>
        </is>
      </c>
      <c r="D4041" s="29" t="inlineStr">
        <is>
          <t>ZAHİDE GÜRBÜZ</t>
        </is>
      </c>
      <c r="E4041" s="4" t="inlineStr">
        <is>
          <t>Perşembe</t>
        </is>
      </c>
      <c r="F4041" s="4" t="inlineStr">
        <is>
          <t>1.10.2026</t>
        </is>
      </c>
      <c r="G4041" s="4" t="inlineStr">
        <is>
          <t>07:51</t>
        </is>
      </c>
      <c r="H4041" s="4" t="inlineStr">
        <is>
          <t>1.10.2026</t>
        </is>
      </c>
      <c r="I4041" s="4" t="inlineStr">
        <is>
          <t>17:26</t>
        </is>
      </c>
      <c r="J4041" s="8" t="n">
        <v>8</v>
      </c>
      <c r="K4041" s="8" t="n">
        <v>7.5</v>
      </c>
      <c r="L4041" s="8" t="n">
        <v>0.5</v>
      </c>
      <c r="M4041" s="29" t="inlineStr">
        <is>
          <t>BALIKESİR</t>
        </is>
      </c>
    </row>
    <row r="4042">
      <c r="A4042" s="4" t="n">
        <v>4041</v>
      </c>
      <c r="B4042" s="4" t="inlineStr">
        <is>
          <t>00191</t>
        </is>
      </c>
      <c r="C4042" s="4" t="inlineStr">
        <is>
          <t>00191</t>
        </is>
      </c>
      <c r="D4042" s="29" t="inlineStr">
        <is>
          <t>ZAHİDE GÜRBÜZ</t>
        </is>
      </c>
      <c r="E4042" s="4" t="inlineStr">
        <is>
          <t>Cuma</t>
        </is>
      </c>
      <c r="F4042" s="4" t="inlineStr">
        <is>
          <t>2.10.2026</t>
        </is>
      </c>
      <c r="G4042" s="4" t="inlineStr">
        <is>
          <t>07:56</t>
        </is>
      </c>
      <c r="H4042" s="4" t="inlineStr">
        <is>
          <t>2.10.2026</t>
        </is>
      </c>
      <c r="I4042" s="4" t="inlineStr">
        <is>
          <t>17:45</t>
        </is>
      </c>
      <c r="J4042" s="8" t="n">
        <v>8.5</v>
      </c>
      <c r="K4042" s="8" t="n">
        <v>7.5</v>
      </c>
      <c r="L4042" s="8" t="n">
        <v>1</v>
      </c>
      <c r="M4042" s="29" t="inlineStr">
        <is>
          <t>BALIKESİR</t>
        </is>
      </c>
    </row>
    <row r="4043">
      <c r="A4043" s="4" t="n">
        <v>4042</v>
      </c>
      <c r="B4043" s="4" t="inlineStr">
        <is>
          <t>00191</t>
        </is>
      </c>
      <c r="C4043" s="4" t="inlineStr">
        <is>
          <t>00191</t>
        </is>
      </c>
      <c r="D4043" s="29" t="inlineStr">
        <is>
          <t>ZAHİDE GÜRBÜZ</t>
        </is>
      </c>
      <c r="E4043" s="4" t="inlineStr">
        <is>
          <t>Cumartesi</t>
        </is>
      </c>
      <c r="F4043" s="4" t="inlineStr">
        <is>
          <t>3.10.2026</t>
        </is>
      </c>
      <c r="G4043" s="4" t="inlineStr">
        <is>
          <t>07:56</t>
        </is>
      </c>
      <c r="H4043" s="4" t="inlineStr">
        <is>
          <t>3.10.2026</t>
        </is>
      </c>
      <c r="I4043" s="4" t="inlineStr">
        <is>
          <t>17:36</t>
        </is>
      </c>
      <c r="J4043" s="8" t="n">
        <v>8</v>
      </c>
      <c r="K4043" s="8" t="n">
        <v>7.5</v>
      </c>
      <c r="L4043" s="8" t="n">
        <v>0.5</v>
      </c>
      <c r="M4043" s="29" t="inlineStr">
        <is>
          <t>BALIKESİR</t>
        </is>
      </c>
    </row>
    <row r="4044">
      <c r="A4044" s="4" t="n">
        <v>4043</v>
      </c>
      <c r="B4044" s="4" t="inlineStr">
        <is>
          <t>00191</t>
        </is>
      </c>
      <c r="C4044" s="4" t="inlineStr">
        <is>
          <t>00191</t>
        </is>
      </c>
      <c r="D4044" s="29" t="inlineStr">
        <is>
          <t>ZAHİDE GÜRBÜZ</t>
        </is>
      </c>
      <c r="E4044" s="4" t="inlineStr">
        <is>
          <t>Pazartesi</t>
        </is>
      </c>
      <c r="F4044" s="4" t="inlineStr">
        <is>
          <t>5.10.2026</t>
        </is>
      </c>
      <c r="G4044" s="4" t="inlineStr">
        <is>
          <t>07:54</t>
        </is>
      </c>
      <c r="H4044" s="4" t="inlineStr">
        <is>
          <t>5.10.2026</t>
        </is>
      </c>
      <c r="I4044" s="4" t="inlineStr">
        <is>
          <t>17:03</t>
        </is>
      </c>
      <c r="J4044" s="8" t="n">
        <v>7.5</v>
      </c>
      <c r="K4044" s="8" t="n">
        <v>7.5</v>
      </c>
      <c r="L4044" s="8" t="n">
        <v>0</v>
      </c>
      <c r="M4044" s="29" t="inlineStr">
        <is>
          <t>BALIKESİR</t>
        </is>
      </c>
    </row>
    <row r="4045">
      <c r="A4045" s="4" t="n">
        <v>4044</v>
      </c>
      <c r="B4045" s="4" t="inlineStr">
        <is>
          <t>00191</t>
        </is>
      </c>
      <c r="C4045" s="4" t="inlineStr">
        <is>
          <t>00191</t>
        </is>
      </c>
      <c r="D4045" s="29" t="inlineStr">
        <is>
          <t>ZAHİDE GÜRBÜZ</t>
        </is>
      </c>
      <c r="E4045" s="4" t="inlineStr">
        <is>
          <t>Salı</t>
        </is>
      </c>
      <c r="F4045" s="4" t="inlineStr">
        <is>
          <t>6.10.2026</t>
        </is>
      </c>
      <c r="G4045" s="4" t="inlineStr">
        <is>
          <t>07:52</t>
        </is>
      </c>
      <c r="H4045" s="4" t="inlineStr">
        <is>
          <t>6.10.2026</t>
        </is>
      </c>
      <c r="I4045" s="4" t="inlineStr">
        <is>
          <t>17:39</t>
        </is>
      </c>
      <c r="J4045" s="8" t="n">
        <v>8</v>
      </c>
      <c r="K4045" s="8" t="n">
        <v>7.5</v>
      </c>
      <c r="L4045" s="8" t="n">
        <v>0.5</v>
      </c>
      <c r="M4045" s="29" t="inlineStr">
        <is>
          <t>BALIKESİR</t>
        </is>
      </c>
    </row>
    <row r="4046">
      <c r="A4046" s="4" t="n">
        <v>4045</v>
      </c>
      <c r="B4046" s="4" t="inlineStr">
        <is>
          <t>00191</t>
        </is>
      </c>
      <c r="C4046" s="4" t="inlineStr">
        <is>
          <t>00191</t>
        </is>
      </c>
      <c r="D4046" s="29" t="inlineStr">
        <is>
          <t>ZAHİDE GÜRBÜZ</t>
        </is>
      </c>
      <c r="E4046" s="4" t="inlineStr">
        <is>
          <t>Çarşamba</t>
        </is>
      </c>
      <c r="F4046" s="4" t="inlineStr">
        <is>
          <t>7.10.2026</t>
        </is>
      </c>
      <c r="G4046" s="4" t="inlineStr">
        <is>
          <t>07:50</t>
        </is>
      </c>
      <c r="H4046" s="4" t="inlineStr">
        <is>
          <t>7.10.2026</t>
        </is>
      </c>
      <c r="I4046" s="4" t="inlineStr">
        <is>
          <t>17:23</t>
        </is>
      </c>
      <c r="J4046" s="8" t="n">
        <v>8</v>
      </c>
      <c r="K4046" s="8" t="n">
        <v>7.5</v>
      </c>
      <c r="L4046" s="8" t="n">
        <v>0.5</v>
      </c>
      <c r="M4046" s="29" t="inlineStr">
        <is>
          <t>BALIKESİR</t>
        </is>
      </c>
    </row>
    <row r="4047">
      <c r="A4047" s="4" t="n">
        <v>4046</v>
      </c>
      <c r="B4047" s="4" t="inlineStr">
        <is>
          <t>00191</t>
        </is>
      </c>
      <c r="C4047" s="4" t="inlineStr">
        <is>
          <t>00191</t>
        </is>
      </c>
      <c r="D4047" s="29" t="inlineStr">
        <is>
          <t>ZAHİDE GÜRBÜZ</t>
        </is>
      </c>
      <c r="E4047" s="4" t="inlineStr">
        <is>
          <t>Perşembe</t>
        </is>
      </c>
      <c r="F4047" s="4" t="inlineStr">
        <is>
          <t>8.10.2026</t>
        </is>
      </c>
      <c r="G4047" s="4" t="inlineStr">
        <is>
          <t>07:52</t>
        </is>
      </c>
      <c r="H4047" s="4" t="inlineStr">
        <is>
          <t>8.10.2026</t>
        </is>
      </c>
      <c r="I4047" s="4" t="inlineStr">
        <is>
          <t>17:34</t>
        </is>
      </c>
      <c r="J4047" s="8" t="n">
        <v>8</v>
      </c>
      <c r="K4047" s="8" t="n">
        <v>7.5</v>
      </c>
      <c r="L4047" s="8" t="n">
        <v>0.5</v>
      </c>
      <c r="M4047" s="29" t="inlineStr">
        <is>
          <t>BALIKESİR</t>
        </is>
      </c>
    </row>
    <row r="4048">
      <c r="A4048" s="4" t="n">
        <v>4047</v>
      </c>
      <c r="B4048" s="4" t="inlineStr">
        <is>
          <t>00191</t>
        </is>
      </c>
      <c r="C4048" s="4" t="inlineStr">
        <is>
          <t>00191</t>
        </is>
      </c>
      <c r="D4048" s="29" t="inlineStr">
        <is>
          <t>ZAHİDE GÜRBÜZ</t>
        </is>
      </c>
      <c r="E4048" s="4" t="inlineStr">
        <is>
          <t>Cumartesi</t>
        </is>
      </c>
      <c r="F4048" s="4" t="inlineStr">
        <is>
          <t>10.10.2026</t>
        </is>
      </c>
      <c r="G4048" s="4" t="inlineStr">
        <is>
          <t>07:55</t>
        </is>
      </c>
      <c r="H4048" s="4" t="inlineStr">
        <is>
          <t>10.10.2026</t>
        </is>
      </c>
      <c r="I4048" s="4" t="inlineStr">
        <is>
          <t>18:08</t>
        </is>
      </c>
      <c r="J4048" s="8" t="n">
        <v>8.5</v>
      </c>
      <c r="K4048" s="8" t="n">
        <v>7.5</v>
      </c>
      <c r="L4048" s="8" t="n">
        <v>1</v>
      </c>
      <c r="M4048" s="29" t="inlineStr">
        <is>
          <t>BALIKESİR</t>
        </is>
      </c>
    </row>
    <row r="4049">
      <c r="A4049" s="4" t="n">
        <v>4048</v>
      </c>
      <c r="B4049" s="4" t="inlineStr">
        <is>
          <t>00191</t>
        </is>
      </c>
      <c r="C4049" s="4" t="inlineStr">
        <is>
          <t>00191</t>
        </is>
      </c>
      <c r="D4049" s="29" t="inlineStr">
        <is>
          <t>ZAHİDE GÜRBÜZ</t>
        </is>
      </c>
      <c r="E4049" s="4" t="inlineStr">
        <is>
          <t>Pazartesi</t>
        </is>
      </c>
      <c r="F4049" s="4" t="inlineStr">
        <is>
          <t>12.10.2026</t>
        </is>
      </c>
      <c r="G4049" s="4" t="inlineStr">
        <is>
          <t>07:52</t>
        </is>
      </c>
      <c r="H4049" s="4" t="inlineStr">
        <is>
          <t>12.10.2026</t>
        </is>
      </c>
      <c r="I4049" s="4" t="inlineStr">
        <is>
          <t>17:01</t>
        </is>
      </c>
      <c r="J4049" s="8" t="n">
        <v>7.5</v>
      </c>
      <c r="K4049" s="8" t="n">
        <v>7.5</v>
      </c>
      <c r="L4049" s="8" t="n">
        <v>0</v>
      </c>
      <c r="M4049" s="29" t="inlineStr">
        <is>
          <t>BALIKESİR</t>
        </is>
      </c>
    </row>
    <row r="4050">
      <c r="A4050" s="4" t="n">
        <v>4049</v>
      </c>
      <c r="B4050" s="4" t="inlineStr">
        <is>
          <t>00191</t>
        </is>
      </c>
      <c r="C4050" s="4" t="inlineStr">
        <is>
          <t>00191</t>
        </is>
      </c>
      <c r="D4050" s="29" t="inlineStr">
        <is>
          <t>ZAHİDE GÜRBÜZ</t>
        </is>
      </c>
      <c r="E4050" s="4" t="inlineStr">
        <is>
          <t>Salı</t>
        </is>
      </c>
      <c r="F4050" s="4" t="inlineStr">
        <is>
          <t>13.10.2026</t>
        </is>
      </c>
      <c r="G4050" s="4" t="inlineStr">
        <is>
          <t>07:50</t>
        </is>
      </c>
      <c r="H4050" s="4" t="inlineStr">
        <is>
          <t>13.10.2026</t>
        </is>
      </c>
      <c r="I4050" s="4" t="inlineStr">
        <is>
          <t>17:02</t>
        </is>
      </c>
      <c r="J4050" s="8" t="n">
        <v>7.5</v>
      </c>
      <c r="K4050" s="8" t="n">
        <v>7.5</v>
      </c>
      <c r="L4050" s="8" t="n">
        <v>0</v>
      </c>
      <c r="M4050" s="29" t="inlineStr">
        <is>
          <t>BALIKESİR</t>
        </is>
      </c>
    </row>
    <row r="4051">
      <c r="A4051" s="4" t="n">
        <v>4050</v>
      </c>
      <c r="B4051" s="4" t="inlineStr">
        <is>
          <t>00191</t>
        </is>
      </c>
      <c r="C4051" s="4" t="inlineStr">
        <is>
          <t>00191</t>
        </is>
      </c>
      <c r="D4051" s="29" t="inlineStr">
        <is>
          <t>ZAHİDE GÜRBÜZ</t>
        </is>
      </c>
      <c r="E4051" s="4" t="inlineStr">
        <is>
          <t>Çarşamba</t>
        </is>
      </c>
      <c r="F4051" s="4" t="inlineStr">
        <is>
          <t>14.10.2026</t>
        </is>
      </c>
      <c r="G4051" s="4" t="inlineStr">
        <is>
          <t>07:51</t>
        </is>
      </c>
      <c r="H4051" s="4" t="inlineStr">
        <is>
          <t>14.10.2026</t>
        </is>
      </c>
      <c r="I4051" s="4" t="inlineStr">
        <is>
          <t>18:05</t>
        </is>
      </c>
      <c r="J4051" s="8" t="n">
        <v>8.5</v>
      </c>
      <c r="K4051" s="8" t="n">
        <v>7.5</v>
      </c>
      <c r="L4051" s="8" t="n">
        <v>1</v>
      </c>
      <c r="M4051" s="29" t="inlineStr">
        <is>
          <t>BALIKESİR</t>
        </is>
      </c>
    </row>
    <row r="4052">
      <c r="A4052" s="4" t="n">
        <v>4051</v>
      </c>
      <c r="B4052" s="4" t="inlineStr">
        <is>
          <t>00191</t>
        </is>
      </c>
      <c r="C4052" s="4" t="inlineStr">
        <is>
          <t>00191</t>
        </is>
      </c>
      <c r="D4052" s="29" t="inlineStr">
        <is>
          <t>ZAHİDE GÜRBÜZ</t>
        </is>
      </c>
      <c r="E4052" s="4" t="inlineStr">
        <is>
          <t>Perşembe</t>
        </is>
      </c>
      <c r="F4052" s="4" t="inlineStr">
        <is>
          <t>15.10.2026</t>
        </is>
      </c>
      <c r="G4052" s="4" t="inlineStr">
        <is>
          <t>07:54</t>
        </is>
      </c>
      <c r="H4052" s="4" t="inlineStr">
        <is>
          <t>15.10.2026</t>
        </is>
      </c>
      <c r="I4052" s="4" t="inlineStr">
        <is>
          <t>17:03</t>
        </is>
      </c>
      <c r="J4052" s="8" t="n">
        <v>7.5</v>
      </c>
      <c r="K4052" s="8" t="n">
        <v>7.5</v>
      </c>
      <c r="L4052" s="8" t="n">
        <v>0</v>
      </c>
      <c r="M4052" s="29" t="inlineStr">
        <is>
          <t>BALIKESİR</t>
        </is>
      </c>
    </row>
    <row r="4053">
      <c r="A4053" s="4" t="n">
        <v>4052</v>
      </c>
      <c r="B4053" s="4" t="inlineStr">
        <is>
          <t>00191</t>
        </is>
      </c>
      <c r="C4053" s="4" t="inlineStr">
        <is>
          <t>00191</t>
        </is>
      </c>
      <c r="D4053" s="29" t="inlineStr">
        <is>
          <t>ZAHİDE GÜRBÜZ</t>
        </is>
      </c>
      <c r="E4053" s="4" t="inlineStr">
        <is>
          <t>Cuma</t>
        </is>
      </c>
      <c r="F4053" s="4" t="inlineStr">
        <is>
          <t>16.10.2026</t>
        </is>
      </c>
      <c r="G4053" s="4" t="inlineStr">
        <is>
          <t>07:50</t>
        </is>
      </c>
      <c r="H4053" s="4" t="inlineStr">
        <is>
          <t>16.10.2026</t>
        </is>
      </c>
      <c r="I4053" s="4" t="inlineStr">
        <is>
          <t>17:16</t>
        </is>
      </c>
      <c r="J4053" s="8" t="n">
        <v>7.5</v>
      </c>
      <c r="K4053" s="8" t="n">
        <v>7.5</v>
      </c>
      <c r="L4053" s="8" t="n">
        <v>0</v>
      </c>
      <c r="M4053" s="29" t="inlineStr">
        <is>
          <t>BALIKESİR</t>
        </is>
      </c>
    </row>
    <row r="4054">
      <c r="A4054" s="4" t="n">
        <v>4053</v>
      </c>
      <c r="B4054" s="4" t="inlineStr">
        <is>
          <t>00191</t>
        </is>
      </c>
      <c r="C4054" s="4" t="inlineStr">
        <is>
          <t>00191</t>
        </is>
      </c>
      <c r="D4054" s="29" t="inlineStr">
        <is>
          <t>ZAHİDE GÜRBÜZ</t>
        </is>
      </c>
      <c r="E4054" s="4" t="inlineStr">
        <is>
          <t>Cumartesi</t>
        </is>
      </c>
      <c r="F4054" s="4" t="inlineStr">
        <is>
          <t>17.10.2026</t>
        </is>
      </c>
      <c r="G4054" s="4" t="inlineStr">
        <is>
          <t>07:58</t>
        </is>
      </c>
      <c r="H4054" s="4" t="inlineStr">
        <is>
          <t>17.10.2026</t>
        </is>
      </c>
      <c r="I4054" s="4" t="inlineStr">
        <is>
          <t>17:49</t>
        </is>
      </c>
      <c r="J4054" s="8" t="n">
        <v>8.5</v>
      </c>
      <c r="K4054" s="8" t="n">
        <v>7.5</v>
      </c>
      <c r="L4054" s="8" t="n">
        <v>1</v>
      </c>
      <c r="M4054" s="29" t="inlineStr">
        <is>
          <t>BALIKESİR</t>
        </is>
      </c>
    </row>
    <row r="4055">
      <c r="A4055" s="4" t="n">
        <v>4054</v>
      </c>
      <c r="B4055" s="4" t="inlineStr">
        <is>
          <t>00191</t>
        </is>
      </c>
      <c r="C4055" s="4" t="inlineStr">
        <is>
          <t>00191</t>
        </is>
      </c>
      <c r="D4055" s="29" t="inlineStr">
        <is>
          <t>ZAHİDE GÜRBÜZ</t>
        </is>
      </c>
      <c r="E4055" s="4" t="inlineStr">
        <is>
          <t>Pazartesi</t>
        </is>
      </c>
      <c r="F4055" s="4" t="inlineStr">
        <is>
          <t>19.10.2026</t>
        </is>
      </c>
      <c r="G4055" s="4" t="inlineStr">
        <is>
          <t>07:51</t>
        </is>
      </c>
      <c r="H4055" s="4" t="inlineStr">
        <is>
          <t>19.10.2026</t>
        </is>
      </c>
      <c r="I4055" s="4" t="inlineStr">
        <is>
          <t>17:43</t>
        </is>
      </c>
      <c r="J4055" s="8" t="n">
        <v>8</v>
      </c>
      <c r="K4055" s="8" t="n">
        <v>7.5</v>
      </c>
      <c r="L4055" s="8" t="n">
        <v>0.5</v>
      </c>
      <c r="M4055" s="29" t="inlineStr">
        <is>
          <t>BALIKESİR</t>
        </is>
      </c>
    </row>
    <row r="4056">
      <c r="A4056" s="4" t="n">
        <v>4055</v>
      </c>
      <c r="B4056" s="4" t="inlineStr">
        <is>
          <t>00191</t>
        </is>
      </c>
      <c r="C4056" s="4" t="inlineStr">
        <is>
          <t>00191</t>
        </is>
      </c>
      <c r="D4056" s="29" t="inlineStr">
        <is>
          <t>ZAHİDE GÜRBÜZ</t>
        </is>
      </c>
      <c r="E4056" s="4" t="inlineStr">
        <is>
          <t>Salı</t>
        </is>
      </c>
      <c r="F4056" s="4" t="inlineStr">
        <is>
          <t>20.10.2026</t>
        </is>
      </c>
      <c r="G4056" s="4" t="inlineStr">
        <is>
          <t>07:49</t>
        </is>
      </c>
      <c r="H4056" s="4" t="inlineStr">
        <is>
          <t>20.10.2026</t>
        </is>
      </c>
      <c r="I4056" s="4" t="inlineStr">
        <is>
          <t>17:01</t>
        </is>
      </c>
      <c r="J4056" s="8" t="n">
        <v>7.5</v>
      </c>
      <c r="K4056" s="8" t="n">
        <v>7.5</v>
      </c>
      <c r="L4056" s="8" t="n">
        <v>0</v>
      </c>
      <c r="M4056" s="29" t="inlineStr">
        <is>
          <t>BALIKESİR</t>
        </is>
      </c>
    </row>
    <row r="4057">
      <c r="A4057" s="4" t="n">
        <v>4056</v>
      </c>
      <c r="B4057" s="4" t="inlineStr">
        <is>
          <t>00191</t>
        </is>
      </c>
      <c r="C4057" s="4" t="inlineStr">
        <is>
          <t>00191</t>
        </is>
      </c>
      <c r="D4057" s="29" t="inlineStr">
        <is>
          <t>ZAHİDE GÜRBÜZ</t>
        </is>
      </c>
      <c r="E4057" s="4" t="inlineStr">
        <is>
          <t>Çarşamba</t>
        </is>
      </c>
      <c r="F4057" s="4" t="inlineStr">
        <is>
          <t>21.10.2026</t>
        </is>
      </c>
      <c r="G4057" s="4" t="inlineStr">
        <is>
          <t>07:51</t>
        </is>
      </c>
      <c r="H4057" s="4" t="inlineStr">
        <is>
          <t>21.10.2026</t>
        </is>
      </c>
      <c r="I4057" s="4" t="inlineStr">
        <is>
          <t>17:01</t>
        </is>
      </c>
      <c r="J4057" s="8" t="n">
        <v>7.5</v>
      </c>
      <c r="K4057" s="8" t="n">
        <v>7.5</v>
      </c>
      <c r="L4057" s="8" t="n">
        <v>0</v>
      </c>
      <c r="M4057" s="29" t="inlineStr">
        <is>
          <t>BALIKESİR</t>
        </is>
      </c>
    </row>
    <row r="4058">
      <c r="A4058" s="4" t="n">
        <v>4057</v>
      </c>
      <c r="B4058" s="4" t="inlineStr">
        <is>
          <t>00192</t>
        </is>
      </c>
      <c r="C4058" s="4" t="inlineStr">
        <is>
          <t>00192</t>
        </is>
      </c>
      <c r="D4058" s="29" t="inlineStr">
        <is>
          <t>ZAHİDE NEDİRLİ</t>
        </is>
      </c>
      <c r="E4058" s="4" t="inlineStr">
        <is>
          <t>Perşembe</t>
        </is>
      </c>
      <c r="F4058" s="4" t="inlineStr">
        <is>
          <t>1.10.2026</t>
        </is>
      </c>
      <c r="G4058" s="4" t="inlineStr">
        <is>
          <t>07:43</t>
        </is>
      </c>
      <c r="H4058" s="4" t="inlineStr">
        <is>
          <t>1.10.2026</t>
        </is>
      </c>
      <c r="I4058" s="4" t="inlineStr">
        <is>
          <t>17:31</t>
        </is>
      </c>
      <c r="J4058" s="8" t="n">
        <v>8</v>
      </c>
      <c r="K4058" s="8" t="n">
        <v>7.5</v>
      </c>
      <c r="L4058" s="8" t="n">
        <v>0.5</v>
      </c>
      <c r="M4058" s="29" t="inlineStr">
        <is>
          <t>KARACABEY</t>
        </is>
      </c>
    </row>
    <row r="4059">
      <c r="A4059" s="4" t="n">
        <v>4058</v>
      </c>
      <c r="B4059" s="4" t="inlineStr">
        <is>
          <t>00192</t>
        </is>
      </c>
      <c r="C4059" s="4" t="inlineStr">
        <is>
          <t>00192</t>
        </is>
      </c>
      <c r="D4059" s="29" t="inlineStr">
        <is>
          <t>ZAHİDE NEDİRLİ</t>
        </is>
      </c>
      <c r="E4059" s="4" t="inlineStr">
        <is>
          <t>Cuma</t>
        </is>
      </c>
      <c r="F4059" s="4" t="inlineStr">
        <is>
          <t>2.10.2026</t>
        </is>
      </c>
      <c r="G4059" s="4" t="inlineStr">
        <is>
          <t>07:40</t>
        </is>
      </c>
      <c r="H4059" s="4" t="inlineStr">
        <is>
          <t>2.10.2026</t>
        </is>
      </c>
      <c r="I4059" s="4" t="inlineStr">
        <is>
          <t>17:48</t>
        </is>
      </c>
      <c r="J4059" s="8" t="n">
        <v>8.5</v>
      </c>
      <c r="K4059" s="8" t="n">
        <v>7.5</v>
      </c>
      <c r="L4059" s="8" t="n">
        <v>1</v>
      </c>
      <c r="M4059" s="29" t="inlineStr">
        <is>
          <t>KARACABEY</t>
        </is>
      </c>
    </row>
    <row r="4060">
      <c r="A4060" s="4" t="n">
        <v>4059</v>
      </c>
      <c r="B4060" s="4" t="inlineStr">
        <is>
          <t>00192</t>
        </is>
      </c>
      <c r="C4060" s="4" t="inlineStr">
        <is>
          <t>00192</t>
        </is>
      </c>
      <c r="D4060" s="29" t="inlineStr">
        <is>
          <t>ZAHİDE NEDİRLİ</t>
        </is>
      </c>
      <c r="E4060" s="4" t="inlineStr">
        <is>
          <t>Cumartesi</t>
        </is>
      </c>
      <c r="F4060" s="4" t="inlineStr">
        <is>
          <t>3.10.2026</t>
        </is>
      </c>
      <c r="G4060" s="4" t="inlineStr">
        <is>
          <t>07:42</t>
        </is>
      </c>
      <c r="H4060" s="4" t="inlineStr">
        <is>
          <t>3.10.2026</t>
        </is>
      </c>
      <c r="I4060" s="4" t="inlineStr">
        <is>
          <t>17:13</t>
        </is>
      </c>
      <c r="J4060" s="8" t="n">
        <v>7.5</v>
      </c>
      <c r="K4060" s="8" t="n">
        <v>7.5</v>
      </c>
      <c r="L4060" s="8" t="n">
        <v>0</v>
      </c>
      <c r="M4060" s="29" t="inlineStr">
        <is>
          <t>KARACABEY</t>
        </is>
      </c>
    </row>
    <row r="4061">
      <c r="A4061" s="4" t="n">
        <v>4060</v>
      </c>
      <c r="B4061" s="4" t="inlineStr">
        <is>
          <t>00192</t>
        </is>
      </c>
      <c r="C4061" s="4" t="inlineStr">
        <is>
          <t>00192</t>
        </is>
      </c>
      <c r="D4061" s="29" t="inlineStr">
        <is>
          <t>ZAHİDE NEDİRLİ</t>
        </is>
      </c>
      <c r="E4061" s="4" t="inlineStr">
        <is>
          <t>Pazartesi</t>
        </is>
      </c>
      <c r="F4061" s="4" t="inlineStr">
        <is>
          <t>5.10.2026</t>
        </is>
      </c>
      <c r="G4061" s="4" t="inlineStr">
        <is>
          <t>07:45</t>
        </is>
      </c>
      <c r="H4061" s="4" t="inlineStr">
        <is>
          <t>5.10.2026</t>
        </is>
      </c>
      <c r="I4061" s="4" t="inlineStr">
        <is>
          <t>17:05</t>
        </is>
      </c>
      <c r="J4061" s="8" t="n">
        <v>7.5</v>
      </c>
      <c r="K4061" s="8" t="n">
        <v>7.5</v>
      </c>
      <c r="L4061" s="8" t="n">
        <v>0</v>
      </c>
      <c r="M4061" s="29" t="inlineStr">
        <is>
          <t>KARACABEY</t>
        </is>
      </c>
    </row>
    <row r="4062">
      <c r="A4062" s="4" t="n">
        <v>4061</v>
      </c>
      <c r="B4062" s="4" t="inlineStr">
        <is>
          <t>00192</t>
        </is>
      </c>
      <c r="C4062" s="4" t="inlineStr">
        <is>
          <t>00192</t>
        </is>
      </c>
      <c r="D4062" s="29" t="inlineStr">
        <is>
          <t>ZAHİDE NEDİRLİ</t>
        </is>
      </c>
      <c r="E4062" s="4" t="inlineStr">
        <is>
          <t>Salı</t>
        </is>
      </c>
      <c r="F4062" s="4" t="inlineStr">
        <is>
          <t>6.10.2026</t>
        </is>
      </c>
      <c r="G4062" s="4" t="inlineStr">
        <is>
          <t>07:45</t>
        </is>
      </c>
      <c r="H4062" s="4" t="inlineStr">
        <is>
          <t>6.10.2026</t>
        </is>
      </c>
      <c r="I4062" s="4" t="inlineStr">
        <is>
          <t>17:44</t>
        </is>
      </c>
      <c r="J4062" s="8" t="n">
        <v>8</v>
      </c>
      <c r="K4062" s="8" t="n">
        <v>7.5</v>
      </c>
      <c r="L4062" s="8" t="n">
        <v>0.5</v>
      </c>
      <c r="M4062" s="29" t="inlineStr">
        <is>
          <t>KARACABEY</t>
        </is>
      </c>
    </row>
    <row r="4063">
      <c r="A4063" s="4" t="n">
        <v>4062</v>
      </c>
      <c r="B4063" s="4" t="inlineStr">
        <is>
          <t>00192</t>
        </is>
      </c>
      <c r="C4063" s="4" t="inlineStr">
        <is>
          <t>00192</t>
        </is>
      </c>
      <c r="D4063" s="29" t="inlineStr">
        <is>
          <t>ZAHİDE NEDİRLİ</t>
        </is>
      </c>
      <c r="E4063" s="4" t="inlineStr">
        <is>
          <t>Çarşamba</t>
        </is>
      </c>
      <c r="F4063" s="4" t="inlineStr">
        <is>
          <t>7.10.2026</t>
        </is>
      </c>
      <c r="G4063" s="4" t="inlineStr">
        <is>
          <t>07:39</t>
        </is>
      </c>
      <c r="H4063" s="4" t="inlineStr">
        <is>
          <t>7.10.2026</t>
        </is>
      </c>
      <c r="I4063" s="4" t="inlineStr">
        <is>
          <t>17:29</t>
        </is>
      </c>
      <c r="J4063" s="8" t="n">
        <v>8</v>
      </c>
      <c r="K4063" s="8" t="n">
        <v>7.5</v>
      </c>
      <c r="L4063" s="8" t="n">
        <v>0.5</v>
      </c>
      <c r="M4063" s="29" t="inlineStr">
        <is>
          <t>KARACABEY</t>
        </is>
      </c>
    </row>
    <row r="4064">
      <c r="A4064" s="4" t="n">
        <v>4063</v>
      </c>
      <c r="B4064" s="4" t="inlineStr">
        <is>
          <t>00192</t>
        </is>
      </c>
      <c r="C4064" s="4" t="inlineStr">
        <is>
          <t>00192</t>
        </is>
      </c>
      <c r="D4064" s="29" t="inlineStr">
        <is>
          <t>ZAHİDE NEDİRLİ</t>
        </is>
      </c>
      <c r="E4064" s="4" t="inlineStr">
        <is>
          <t>Perşembe</t>
        </is>
      </c>
      <c r="F4064" s="4" t="inlineStr">
        <is>
          <t>8.10.2026</t>
        </is>
      </c>
      <c r="G4064" s="4" t="inlineStr">
        <is>
          <t>07:43</t>
        </is>
      </c>
      <c r="H4064" s="4" t="inlineStr">
        <is>
          <t>8.10.2026</t>
        </is>
      </c>
      <c r="I4064" s="4" t="inlineStr">
        <is>
          <t>17:38</t>
        </is>
      </c>
      <c r="J4064" s="8" t="n">
        <v>8</v>
      </c>
      <c r="K4064" s="8" t="n">
        <v>7.5</v>
      </c>
      <c r="L4064" s="8" t="n">
        <v>0.5</v>
      </c>
      <c r="M4064" s="29" t="inlineStr">
        <is>
          <t>KARACABEY</t>
        </is>
      </c>
    </row>
    <row r="4065">
      <c r="A4065" s="4" t="n">
        <v>4064</v>
      </c>
      <c r="B4065" s="4" t="inlineStr">
        <is>
          <t>00192</t>
        </is>
      </c>
      <c r="C4065" s="4" t="inlineStr">
        <is>
          <t>00192</t>
        </is>
      </c>
      <c r="D4065" s="29" t="inlineStr">
        <is>
          <t>ZAHİDE NEDİRLİ</t>
        </is>
      </c>
      <c r="E4065" s="4" t="inlineStr">
        <is>
          <t>Cuma</t>
        </is>
      </c>
      <c r="F4065" s="4" t="inlineStr">
        <is>
          <t>9.10.2026</t>
        </is>
      </c>
      <c r="G4065" s="4" t="inlineStr">
        <is>
          <t>07:39</t>
        </is>
      </c>
      <c r="H4065" s="4" t="inlineStr">
        <is>
          <t>9.10.2026</t>
        </is>
      </c>
      <c r="I4065" s="4" t="inlineStr">
        <is>
          <t>17:39</t>
        </is>
      </c>
      <c r="J4065" s="8" t="n">
        <v>8</v>
      </c>
      <c r="K4065" s="8" t="n">
        <v>7.5</v>
      </c>
      <c r="L4065" s="8" t="n">
        <v>0.5</v>
      </c>
      <c r="M4065" s="29" t="inlineStr">
        <is>
          <t>KARACABEY</t>
        </is>
      </c>
    </row>
    <row r="4066">
      <c r="A4066" s="4" t="n">
        <v>4065</v>
      </c>
      <c r="B4066" s="4" t="inlineStr">
        <is>
          <t>00192</t>
        </is>
      </c>
      <c r="C4066" s="4" t="inlineStr">
        <is>
          <t>00192</t>
        </is>
      </c>
      <c r="D4066" s="29" t="inlineStr">
        <is>
          <t>ZAHİDE NEDİRLİ</t>
        </is>
      </c>
      <c r="E4066" s="4" t="inlineStr">
        <is>
          <t>Cumartesi</t>
        </is>
      </c>
      <c r="F4066" s="4" t="inlineStr">
        <is>
          <t>10.10.2026</t>
        </is>
      </c>
      <c r="G4066" s="4" t="inlineStr">
        <is>
          <t>07:42</t>
        </is>
      </c>
      <c r="H4066" s="4" t="inlineStr">
        <is>
          <t>10.10.2026</t>
        </is>
      </c>
      <c r="I4066" s="4" t="inlineStr">
        <is>
          <t>18:11</t>
        </is>
      </c>
      <c r="J4066" s="8" t="n">
        <v>8.5</v>
      </c>
      <c r="K4066" s="8" t="n">
        <v>7.5</v>
      </c>
      <c r="L4066" s="8" t="n">
        <v>1</v>
      </c>
      <c r="M4066" s="29" t="inlineStr">
        <is>
          <t>KARACABEY</t>
        </is>
      </c>
    </row>
    <row r="4067">
      <c r="A4067" s="4" t="n">
        <v>4066</v>
      </c>
      <c r="B4067" s="4" t="inlineStr">
        <is>
          <t>00192</t>
        </is>
      </c>
      <c r="C4067" s="4" t="inlineStr">
        <is>
          <t>00192</t>
        </is>
      </c>
      <c r="D4067" s="29" t="inlineStr">
        <is>
          <t>ZAHİDE NEDİRLİ</t>
        </is>
      </c>
      <c r="E4067" s="4" t="inlineStr">
        <is>
          <t>Pazar</t>
        </is>
      </c>
      <c r="F4067" s="4" t="inlineStr">
        <is>
          <t>11.10.2026</t>
        </is>
      </c>
      <c r="G4067" s="4" t="inlineStr">
        <is>
          <t>07:56</t>
        </is>
      </c>
      <c r="H4067" s="4" t="inlineStr">
        <is>
          <t>11.10.2026</t>
        </is>
      </c>
      <c r="I4067" s="4" t="inlineStr">
        <is>
          <t>13:56</t>
        </is>
      </c>
      <c r="J4067" s="8" t="n">
        <v>4.5</v>
      </c>
      <c r="K4067" s="8" t="n">
        <v>4.5</v>
      </c>
      <c r="L4067" s="8" t="n">
        <v>0</v>
      </c>
      <c r="M4067" s="29" t="inlineStr">
        <is>
          <t>KARACABEY</t>
        </is>
      </c>
    </row>
    <row r="4068">
      <c r="A4068" s="4" t="n">
        <v>4067</v>
      </c>
      <c r="B4068" s="4" t="inlineStr">
        <is>
          <t>00192</t>
        </is>
      </c>
      <c r="C4068" s="4" t="inlineStr">
        <is>
          <t>00192</t>
        </is>
      </c>
      <c r="D4068" s="29" t="inlineStr">
        <is>
          <t>ZAHİDE NEDİRLİ</t>
        </is>
      </c>
      <c r="E4068" s="4" t="inlineStr">
        <is>
          <t>Pazartesi</t>
        </is>
      </c>
      <c r="F4068" s="4" t="inlineStr">
        <is>
          <t>12.10.2026</t>
        </is>
      </c>
      <c r="G4068" s="4" t="inlineStr">
        <is>
          <t>07:41</t>
        </is>
      </c>
      <c r="H4068" s="4" t="inlineStr">
        <is>
          <t>12.10.2026</t>
        </is>
      </c>
      <c r="I4068" s="4" t="inlineStr">
        <is>
          <t>17:07</t>
        </is>
      </c>
      <c r="J4068" s="8" t="n">
        <v>7.5</v>
      </c>
      <c r="K4068" s="8" t="n">
        <v>7.5</v>
      </c>
      <c r="L4068" s="8" t="n">
        <v>0</v>
      </c>
      <c r="M4068" s="29" t="inlineStr">
        <is>
          <t>KARACABEY</t>
        </is>
      </c>
    </row>
    <row r="4069">
      <c r="A4069" s="4" t="n">
        <v>4068</v>
      </c>
      <c r="B4069" s="4" t="inlineStr">
        <is>
          <t>00192</t>
        </is>
      </c>
      <c r="C4069" s="4" t="inlineStr">
        <is>
          <t>00192</t>
        </is>
      </c>
      <c r="D4069" s="29" t="inlineStr">
        <is>
          <t>ZAHİDE NEDİRLİ</t>
        </is>
      </c>
      <c r="E4069" s="4" t="inlineStr">
        <is>
          <t>Salı</t>
        </is>
      </c>
      <c r="F4069" s="4" t="inlineStr">
        <is>
          <t>13.10.2026</t>
        </is>
      </c>
      <c r="G4069" s="4" t="inlineStr">
        <is>
          <t>07:41</t>
        </is>
      </c>
      <c r="H4069" s="4" t="inlineStr">
        <is>
          <t>13.10.2026</t>
        </is>
      </c>
      <c r="I4069" s="4" t="inlineStr">
        <is>
          <t>17:07</t>
        </is>
      </c>
      <c r="J4069" s="8" t="n">
        <v>7.5</v>
      </c>
      <c r="K4069" s="8" t="n">
        <v>7.5</v>
      </c>
      <c r="L4069" s="8" t="n">
        <v>0</v>
      </c>
      <c r="M4069" s="29" t="inlineStr">
        <is>
          <t>KARACABEY</t>
        </is>
      </c>
    </row>
    <row r="4070">
      <c r="A4070" s="4" t="n">
        <v>4069</v>
      </c>
      <c r="B4070" s="4" t="inlineStr">
        <is>
          <t>00192</t>
        </is>
      </c>
      <c r="C4070" s="4" t="inlineStr">
        <is>
          <t>00192</t>
        </is>
      </c>
      <c r="D4070" s="29" t="inlineStr">
        <is>
          <t>ZAHİDE NEDİRLİ</t>
        </is>
      </c>
      <c r="E4070" s="4" t="inlineStr">
        <is>
          <t>Çarşamba</t>
        </is>
      </c>
      <c r="F4070" s="4" t="inlineStr">
        <is>
          <t>14.10.2026</t>
        </is>
      </c>
      <c r="G4070" s="4" t="inlineStr">
        <is>
          <t>07:44</t>
        </is>
      </c>
      <c r="H4070" s="4" t="inlineStr">
        <is>
          <t>14.10.2026</t>
        </is>
      </c>
      <c r="I4070" s="4" t="inlineStr">
        <is>
          <t>18:02</t>
        </is>
      </c>
      <c r="J4070" s="8" t="n">
        <v>8.5</v>
      </c>
      <c r="K4070" s="8" t="n">
        <v>7.5</v>
      </c>
      <c r="L4070" s="8" t="n">
        <v>1</v>
      </c>
      <c r="M4070" s="29" t="inlineStr">
        <is>
          <t>KARACABEY</t>
        </is>
      </c>
    </row>
    <row r="4071">
      <c r="A4071" s="4" t="n">
        <v>4070</v>
      </c>
      <c r="B4071" s="4" t="inlineStr">
        <is>
          <t>00192</t>
        </is>
      </c>
      <c r="C4071" s="4" t="inlineStr">
        <is>
          <t>00192</t>
        </is>
      </c>
      <c r="D4071" s="29" t="inlineStr">
        <is>
          <t>ZAHİDE NEDİRLİ</t>
        </is>
      </c>
      <c r="E4071" s="4" t="inlineStr">
        <is>
          <t>Perşembe</t>
        </is>
      </c>
      <c r="F4071" s="4" t="inlineStr">
        <is>
          <t>15.10.2026</t>
        </is>
      </c>
      <c r="G4071" s="4" t="inlineStr">
        <is>
          <t>07:45</t>
        </is>
      </c>
      <c r="H4071" s="4" t="inlineStr">
        <is>
          <t>15.10.2026</t>
        </is>
      </c>
      <c r="I4071" s="4" t="inlineStr">
        <is>
          <t>17:03</t>
        </is>
      </c>
      <c r="J4071" s="8" t="n">
        <v>7.5</v>
      </c>
      <c r="K4071" s="8" t="n">
        <v>7.5</v>
      </c>
      <c r="L4071" s="8" t="n">
        <v>0</v>
      </c>
      <c r="M4071" s="29" t="inlineStr">
        <is>
          <t>KARACABEY</t>
        </is>
      </c>
    </row>
    <row r="4072">
      <c r="A4072" s="4" t="n">
        <v>4071</v>
      </c>
      <c r="B4072" s="4" t="inlineStr">
        <is>
          <t>00192</t>
        </is>
      </c>
      <c r="C4072" s="4" t="inlineStr">
        <is>
          <t>00192</t>
        </is>
      </c>
      <c r="D4072" s="29" t="inlineStr">
        <is>
          <t>ZAHİDE NEDİRLİ</t>
        </is>
      </c>
      <c r="E4072" s="4" t="inlineStr">
        <is>
          <t>Cuma</t>
        </is>
      </c>
      <c r="F4072" s="4" t="inlineStr">
        <is>
          <t>16.10.2026</t>
        </is>
      </c>
      <c r="G4072" s="4" t="inlineStr">
        <is>
          <t>07:40</t>
        </is>
      </c>
      <c r="H4072" s="4" t="inlineStr">
        <is>
          <t>16.10.2026</t>
        </is>
      </c>
      <c r="I4072" s="4" t="inlineStr">
        <is>
          <t>17:37</t>
        </is>
      </c>
      <c r="J4072" s="8" t="n">
        <v>8</v>
      </c>
      <c r="K4072" s="8" t="n">
        <v>7.5</v>
      </c>
      <c r="L4072" s="8" t="n">
        <v>0.5</v>
      </c>
      <c r="M4072" s="29" t="inlineStr">
        <is>
          <t>KARACABEY</t>
        </is>
      </c>
    </row>
    <row r="4073">
      <c r="A4073" s="4" t="n">
        <v>4072</v>
      </c>
      <c r="B4073" s="4" t="inlineStr">
        <is>
          <t>00192</t>
        </is>
      </c>
      <c r="C4073" s="4" t="inlineStr">
        <is>
          <t>00192</t>
        </is>
      </c>
      <c r="D4073" s="29" t="inlineStr">
        <is>
          <t>ZAHİDE NEDİRLİ</t>
        </is>
      </c>
      <c r="E4073" s="4" t="inlineStr">
        <is>
          <t>Cumartesi</t>
        </is>
      </c>
      <c r="F4073" s="4" t="inlineStr">
        <is>
          <t>17.10.2026</t>
        </is>
      </c>
      <c r="G4073" s="4" t="inlineStr">
        <is>
          <t>07:38</t>
        </is>
      </c>
      <c r="H4073" s="4" t="inlineStr">
        <is>
          <t>17.10.2026</t>
        </is>
      </c>
      <c r="I4073" s="4" t="inlineStr">
        <is>
          <t>17:58</t>
        </is>
      </c>
      <c r="J4073" s="8" t="n">
        <v>8.5</v>
      </c>
      <c r="K4073" s="8" t="n">
        <v>7.5</v>
      </c>
      <c r="L4073" s="8" t="n">
        <v>1</v>
      </c>
      <c r="M4073" s="29" t="inlineStr">
        <is>
          <t>KARACABEY</t>
        </is>
      </c>
    </row>
    <row r="4074">
      <c r="A4074" s="4" t="n">
        <v>4073</v>
      </c>
      <c r="B4074" s="4" t="inlineStr">
        <is>
          <t>00192</t>
        </is>
      </c>
      <c r="C4074" s="4" t="inlineStr">
        <is>
          <t>00192</t>
        </is>
      </c>
      <c r="D4074" s="29" t="inlineStr">
        <is>
          <t>ZAHİDE NEDİRLİ</t>
        </is>
      </c>
      <c r="E4074" s="4" t="inlineStr">
        <is>
          <t>Pazartesi</t>
        </is>
      </c>
      <c r="F4074" s="4" t="inlineStr">
        <is>
          <t>19.10.2026</t>
        </is>
      </c>
      <c r="G4074" s="4" t="inlineStr">
        <is>
          <t>07:47</t>
        </is>
      </c>
      <c r="H4074" s="4" t="inlineStr">
        <is>
          <t>19.10.2026</t>
        </is>
      </c>
      <c r="I4074" s="4" t="inlineStr">
        <is>
          <t>17:43</t>
        </is>
      </c>
      <c r="J4074" s="8" t="n">
        <v>8</v>
      </c>
      <c r="K4074" s="8" t="n">
        <v>7.5</v>
      </c>
      <c r="L4074" s="8" t="n">
        <v>0.5</v>
      </c>
      <c r="M4074" s="29" t="inlineStr">
        <is>
          <t>KARACABEY</t>
        </is>
      </c>
    </row>
    <row r="4075">
      <c r="A4075" s="4" t="n">
        <v>4074</v>
      </c>
      <c r="B4075" s="4" t="inlineStr">
        <is>
          <t>00192</t>
        </is>
      </c>
      <c r="C4075" s="4" t="inlineStr">
        <is>
          <t>00192</t>
        </is>
      </c>
      <c r="D4075" s="29" t="inlineStr">
        <is>
          <t>ZAHİDE NEDİRLİ</t>
        </is>
      </c>
      <c r="E4075" s="4" t="inlineStr">
        <is>
          <t>Salı</t>
        </is>
      </c>
      <c r="F4075" s="4" t="inlineStr">
        <is>
          <t>20.10.2026</t>
        </is>
      </c>
      <c r="G4075" s="4" t="inlineStr">
        <is>
          <t>07:50</t>
        </is>
      </c>
      <c r="H4075" s="4" t="inlineStr">
        <is>
          <t>20.10.2026</t>
        </is>
      </c>
      <c r="I4075" s="4" t="inlineStr">
        <is>
          <t>17:09</t>
        </is>
      </c>
      <c r="J4075" s="8" t="n">
        <v>7.5</v>
      </c>
      <c r="K4075" s="8" t="n">
        <v>7.5</v>
      </c>
      <c r="L4075" s="8" t="n">
        <v>0</v>
      </c>
      <c r="M4075" s="29" t="inlineStr">
        <is>
          <t>KARACABEY</t>
        </is>
      </c>
    </row>
    <row r="4076">
      <c r="A4076" s="4" t="n">
        <v>4075</v>
      </c>
      <c r="B4076" s="4" t="inlineStr">
        <is>
          <t>00192</t>
        </is>
      </c>
      <c r="C4076" s="4" t="inlineStr">
        <is>
          <t>00192</t>
        </is>
      </c>
      <c r="D4076" s="29" t="inlineStr">
        <is>
          <t>ZAHİDE NEDİRLİ</t>
        </is>
      </c>
      <c r="E4076" s="4" t="inlineStr">
        <is>
          <t>Çarşamba</t>
        </is>
      </c>
      <c r="F4076" s="4" t="inlineStr">
        <is>
          <t>21.10.2026</t>
        </is>
      </c>
      <c r="G4076" s="4" t="inlineStr">
        <is>
          <t>07:44</t>
        </is>
      </c>
      <c r="H4076" s="4" t="inlineStr">
        <is>
          <t>21.10.2026</t>
        </is>
      </c>
      <c r="I4076" s="4" t="inlineStr">
        <is>
          <t>17:04</t>
        </is>
      </c>
      <c r="J4076" s="8" t="n">
        <v>7.5</v>
      </c>
      <c r="K4076" s="8" t="n">
        <v>7.5</v>
      </c>
      <c r="L4076" s="8" t="n">
        <v>0</v>
      </c>
      <c r="M4076" s="29" t="inlineStr">
        <is>
          <t>KARACABEY</t>
        </is>
      </c>
    </row>
    <row r="4077">
      <c r="A4077" s="4" t="n">
        <v>4076</v>
      </c>
      <c r="B4077" s="4" t="inlineStr">
        <is>
          <t>00935</t>
        </is>
      </c>
      <c r="C4077" s="4" t="inlineStr">
        <is>
          <t>00935</t>
        </is>
      </c>
      <c r="D4077" s="29" t="inlineStr">
        <is>
          <t>ZAHİDE KALDEMİR</t>
        </is>
      </c>
      <c r="E4077" s="4" t="inlineStr">
        <is>
          <t>Perşembe</t>
        </is>
      </c>
      <c r="F4077" s="4" t="inlineStr">
        <is>
          <t>1.10.2026</t>
        </is>
      </c>
      <c r="G4077" s="4" t="inlineStr">
        <is>
          <t>08:04</t>
        </is>
      </c>
      <c r="H4077" s="4" t="inlineStr">
        <is>
          <t>1.10.2026</t>
        </is>
      </c>
      <c r="I4077" s="4" t="inlineStr">
        <is>
          <t>17:33</t>
        </is>
      </c>
      <c r="J4077" s="8" t="n">
        <v>8</v>
      </c>
      <c r="K4077" s="8" t="n">
        <v>7.5</v>
      </c>
      <c r="L4077" s="8" t="n">
        <v>0.5</v>
      </c>
      <c r="M4077" s="29" t="inlineStr">
        <is>
          <t>GÜVEN MUSTAFAKEMALPAŞA</t>
        </is>
      </c>
    </row>
    <row r="4078">
      <c r="A4078" s="4" t="n">
        <v>4077</v>
      </c>
      <c r="B4078" s="4" t="inlineStr">
        <is>
          <t>00935</t>
        </is>
      </c>
      <c r="C4078" s="4" t="inlineStr">
        <is>
          <t>00935</t>
        </is>
      </c>
      <c r="D4078" s="29" t="inlineStr">
        <is>
          <t>ZAHİDE KALDEMİR</t>
        </is>
      </c>
      <c r="E4078" s="4" t="inlineStr">
        <is>
          <t>Cuma</t>
        </is>
      </c>
      <c r="F4078" s="4" t="inlineStr">
        <is>
          <t>2.10.2026</t>
        </is>
      </c>
      <c r="G4078" s="4" t="inlineStr">
        <is>
          <t>07:57</t>
        </is>
      </c>
      <c r="H4078" s="4" t="inlineStr">
        <is>
          <t>2.10.2026</t>
        </is>
      </c>
      <c r="I4078" s="4" t="inlineStr">
        <is>
          <t>17:50</t>
        </is>
      </c>
      <c r="J4078" s="8" t="n">
        <v>8.5</v>
      </c>
      <c r="K4078" s="8" t="n">
        <v>7.5</v>
      </c>
      <c r="L4078" s="8" t="n">
        <v>1</v>
      </c>
      <c r="M4078" s="29" t="inlineStr">
        <is>
          <t>GÜVEN MUSTAFAKEMALPAŞA</t>
        </is>
      </c>
    </row>
    <row r="4079">
      <c r="A4079" s="4" t="n">
        <v>4078</v>
      </c>
      <c r="B4079" s="4" t="inlineStr">
        <is>
          <t>00935</t>
        </is>
      </c>
      <c r="C4079" s="4" t="inlineStr">
        <is>
          <t>00935</t>
        </is>
      </c>
      <c r="D4079" s="29" t="inlineStr">
        <is>
          <t>ZAHİDE KALDEMİR</t>
        </is>
      </c>
      <c r="E4079" s="4" t="inlineStr">
        <is>
          <t>Cumartesi</t>
        </is>
      </c>
      <c r="F4079" s="4" t="inlineStr">
        <is>
          <t>3.10.2026</t>
        </is>
      </c>
      <c r="G4079" s="4" t="inlineStr">
        <is>
          <t>07:50</t>
        </is>
      </c>
      <c r="H4079" s="4" t="inlineStr">
        <is>
          <t>3.10.2026</t>
        </is>
      </c>
      <c r="I4079" s="4" t="inlineStr">
        <is>
          <t>17:39</t>
        </is>
      </c>
      <c r="J4079" s="8" t="n">
        <v>8</v>
      </c>
      <c r="K4079" s="8" t="n">
        <v>7.5</v>
      </c>
      <c r="L4079" s="8" t="n">
        <v>0.5</v>
      </c>
      <c r="M4079" s="29" t="inlineStr">
        <is>
          <t>GÜVEN MUSTAFAKEMALPAŞA</t>
        </is>
      </c>
    </row>
    <row r="4080">
      <c r="A4080" s="4" t="n">
        <v>4079</v>
      </c>
      <c r="B4080" s="4" t="inlineStr">
        <is>
          <t>00935</t>
        </is>
      </c>
      <c r="C4080" s="4" t="inlineStr">
        <is>
          <t>00935</t>
        </is>
      </c>
      <c r="D4080" s="29" t="inlineStr">
        <is>
          <t>ZAHİDE KALDEMİR</t>
        </is>
      </c>
      <c r="E4080" s="4" t="inlineStr">
        <is>
          <t>Pazartesi</t>
        </is>
      </c>
      <c r="F4080" s="4" t="inlineStr">
        <is>
          <t>5.10.2026</t>
        </is>
      </c>
      <c r="G4080" s="4" t="inlineStr">
        <is>
          <t>07:50</t>
        </is>
      </c>
      <c r="H4080" s="4" t="inlineStr">
        <is>
          <t>5.10.2026</t>
        </is>
      </c>
      <c r="I4080" s="4" t="inlineStr">
        <is>
          <t>17:06</t>
        </is>
      </c>
      <c r="J4080" s="8" t="n">
        <v>7.5</v>
      </c>
      <c r="K4080" s="8" t="n">
        <v>7.5</v>
      </c>
      <c r="L4080" s="8" t="n">
        <v>0</v>
      </c>
      <c r="M4080" s="29" t="inlineStr">
        <is>
          <t>GÜVEN MUSTAFAKEMALPAŞA</t>
        </is>
      </c>
    </row>
    <row r="4081">
      <c r="A4081" s="4" t="n">
        <v>4080</v>
      </c>
      <c r="B4081" s="4" t="inlineStr">
        <is>
          <t>00935</t>
        </is>
      </c>
      <c r="C4081" s="4" t="inlineStr">
        <is>
          <t>00935</t>
        </is>
      </c>
      <c r="D4081" s="29" t="inlineStr">
        <is>
          <t>ZAHİDE KALDEMİR</t>
        </is>
      </c>
      <c r="E4081" s="4" t="inlineStr">
        <is>
          <t>Salı</t>
        </is>
      </c>
      <c r="F4081" s="4" t="inlineStr">
        <is>
          <t>6.10.2026</t>
        </is>
      </c>
      <c r="G4081" s="4" t="inlineStr">
        <is>
          <t>08:01</t>
        </is>
      </c>
      <c r="H4081" s="4" t="inlineStr">
        <is>
          <t>6.10.2026</t>
        </is>
      </c>
      <c r="I4081" s="4" t="inlineStr">
        <is>
          <t>17:46</t>
        </is>
      </c>
      <c r="J4081" s="8" t="n">
        <v>8.5</v>
      </c>
      <c r="K4081" s="8" t="n">
        <v>7.5</v>
      </c>
      <c r="L4081" s="8" t="n">
        <v>1</v>
      </c>
      <c r="M4081" s="29" t="inlineStr">
        <is>
          <t>GÜVEN MUSTAFAKEMALPAŞA</t>
        </is>
      </c>
    </row>
    <row r="4082">
      <c r="A4082" s="4" t="n">
        <v>4081</v>
      </c>
      <c r="B4082" s="4" t="inlineStr">
        <is>
          <t>00935</t>
        </is>
      </c>
      <c r="C4082" s="4" t="inlineStr">
        <is>
          <t>00935</t>
        </is>
      </c>
      <c r="D4082" s="29" t="inlineStr">
        <is>
          <t>ZAHİDE KALDEMİR</t>
        </is>
      </c>
      <c r="E4082" s="4" t="inlineStr">
        <is>
          <t>Çarşamba</t>
        </is>
      </c>
      <c r="F4082" s="4" t="inlineStr">
        <is>
          <t>7.10.2026</t>
        </is>
      </c>
      <c r="G4082" s="4" t="inlineStr">
        <is>
          <t>07:54</t>
        </is>
      </c>
      <c r="H4082" s="4" t="inlineStr">
        <is>
          <t>7.10.2026</t>
        </is>
      </c>
      <c r="I4082" s="4" t="inlineStr">
        <is>
          <t>17:27</t>
        </is>
      </c>
      <c r="J4082" s="8" t="n">
        <v>8</v>
      </c>
      <c r="K4082" s="8" t="n">
        <v>7.5</v>
      </c>
      <c r="L4082" s="8" t="n">
        <v>0.5</v>
      </c>
      <c r="M4082" s="29" t="inlineStr">
        <is>
          <t>GÜVEN MUSTAFAKEMALPAŞA</t>
        </is>
      </c>
    </row>
    <row r="4083">
      <c r="A4083" s="4" t="n">
        <v>4082</v>
      </c>
      <c r="B4083" s="4" t="inlineStr">
        <is>
          <t>00935</t>
        </is>
      </c>
      <c r="C4083" s="4" t="inlineStr">
        <is>
          <t>00935</t>
        </is>
      </c>
      <c r="D4083" s="29" t="inlineStr">
        <is>
          <t>ZAHİDE KALDEMİR</t>
        </is>
      </c>
      <c r="E4083" s="4" t="inlineStr">
        <is>
          <t>Perşembe</t>
        </is>
      </c>
      <c r="F4083" s="4" t="inlineStr">
        <is>
          <t>8.10.2026</t>
        </is>
      </c>
      <c r="G4083" s="4" t="inlineStr">
        <is>
          <t>07:55</t>
        </is>
      </c>
      <c r="H4083" s="4" t="inlineStr">
        <is>
          <t>8.10.2026</t>
        </is>
      </c>
      <c r="I4083" s="4" t="inlineStr">
        <is>
          <t>17:37</t>
        </is>
      </c>
      <c r="J4083" s="8" t="n">
        <v>8</v>
      </c>
      <c r="K4083" s="8" t="n">
        <v>7.5</v>
      </c>
      <c r="L4083" s="8" t="n">
        <v>0.5</v>
      </c>
      <c r="M4083" s="29" t="inlineStr">
        <is>
          <t>GÜVEN MUSTAFAKEMALPAŞA</t>
        </is>
      </c>
    </row>
    <row r="4084">
      <c r="A4084" s="4" t="n">
        <v>4083</v>
      </c>
      <c r="B4084" s="4" t="inlineStr">
        <is>
          <t>00935</t>
        </is>
      </c>
      <c r="C4084" s="4" t="inlineStr">
        <is>
          <t>00935</t>
        </is>
      </c>
      <c r="D4084" s="29" t="inlineStr">
        <is>
          <t>ZAHİDE KALDEMİR</t>
        </is>
      </c>
      <c r="E4084" s="4" t="inlineStr">
        <is>
          <t>Cuma</t>
        </is>
      </c>
      <c r="F4084" s="4" t="inlineStr">
        <is>
          <t>9.10.2026</t>
        </is>
      </c>
      <c r="G4084" s="4" t="inlineStr">
        <is>
          <t>07:51</t>
        </is>
      </c>
      <c r="H4084" s="4" t="inlineStr">
        <is>
          <t>9.10.2026</t>
        </is>
      </c>
      <c r="I4084" s="4" t="inlineStr">
        <is>
          <t>17:47</t>
        </is>
      </c>
      <c r="J4084" s="8" t="n">
        <v>8.5</v>
      </c>
      <c r="K4084" s="8" t="n">
        <v>7.5</v>
      </c>
      <c r="L4084" s="8" t="n">
        <v>1</v>
      </c>
      <c r="M4084" s="29" t="inlineStr">
        <is>
          <t>GÜVEN MUSTAFAKEMALPAŞA</t>
        </is>
      </c>
    </row>
    <row r="4085">
      <c r="A4085" s="4" t="n">
        <v>4084</v>
      </c>
      <c r="B4085" s="4" t="inlineStr">
        <is>
          <t>00935</t>
        </is>
      </c>
      <c r="C4085" s="4" t="inlineStr">
        <is>
          <t>00935</t>
        </is>
      </c>
      <c r="D4085" s="29" t="inlineStr">
        <is>
          <t>ZAHİDE KALDEMİR</t>
        </is>
      </c>
      <c r="E4085" s="4" t="inlineStr">
        <is>
          <t>Cumartesi</t>
        </is>
      </c>
      <c r="F4085" s="4" t="inlineStr">
        <is>
          <t>10.10.2026</t>
        </is>
      </c>
      <c r="G4085" s="4" t="inlineStr">
        <is>
          <t>07:49</t>
        </is>
      </c>
      <c r="H4085" s="4" t="inlineStr">
        <is>
          <t>10.10.2026</t>
        </is>
      </c>
      <c r="I4085" s="4" t="inlineStr">
        <is>
          <t>18:14</t>
        </is>
      </c>
      <c r="J4085" s="8" t="n">
        <v>8.5</v>
      </c>
      <c r="K4085" s="8" t="n">
        <v>7.5</v>
      </c>
      <c r="L4085" s="8" t="n">
        <v>1</v>
      </c>
      <c r="M4085" s="29" t="inlineStr">
        <is>
          <t>GÜVEN MUSTAFAKEMALPAŞA</t>
        </is>
      </c>
    </row>
    <row r="4086">
      <c r="A4086" s="4" t="n">
        <v>4085</v>
      </c>
      <c r="B4086" s="4" t="inlineStr">
        <is>
          <t>00935</t>
        </is>
      </c>
      <c r="C4086" s="4" t="inlineStr">
        <is>
          <t>00935</t>
        </is>
      </c>
      <c r="D4086" s="29" t="inlineStr">
        <is>
          <t>ZAHİDE KALDEMİR</t>
        </is>
      </c>
      <c r="E4086" s="4" t="inlineStr">
        <is>
          <t>Pazartesi</t>
        </is>
      </c>
      <c r="F4086" s="4" t="inlineStr">
        <is>
          <t>12.10.2026</t>
        </is>
      </c>
      <c r="G4086" s="4" t="inlineStr">
        <is>
          <t>07:54</t>
        </is>
      </c>
      <c r="H4086" s="4" t="inlineStr">
        <is>
          <t>12.10.2026</t>
        </is>
      </c>
      <c r="I4086" s="4" t="inlineStr">
        <is>
          <t>17:04</t>
        </is>
      </c>
      <c r="J4086" s="8" t="n">
        <v>7.5</v>
      </c>
      <c r="K4086" s="8" t="n">
        <v>7.5</v>
      </c>
      <c r="L4086" s="8" t="n">
        <v>0</v>
      </c>
      <c r="M4086" s="29" t="inlineStr">
        <is>
          <t>GÜVEN MUSTAFAKEMALPAŞA</t>
        </is>
      </c>
    </row>
    <row r="4087">
      <c r="A4087" s="4" t="n">
        <v>4086</v>
      </c>
      <c r="B4087" s="4" t="inlineStr">
        <is>
          <t>00935</t>
        </is>
      </c>
      <c r="C4087" s="4" t="inlineStr">
        <is>
          <t>00935</t>
        </is>
      </c>
      <c r="D4087" s="29" t="inlineStr">
        <is>
          <t>ZAHİDE KALDEMİR</t>
        </is>
      </c>
      <c r="E4087" s="4" t="inlineStr">
        <is>
          <t>Salı</t>
        </is>
      </c>
      <c r="F4087" s="4" t="inlineStr">
        <is>
          <t>13.10.2026</t>
        </is>
      </c>
      <c r="G4087" s="4" t="inlineStr">
        <is>
          <t>07:51</t>
        </is>
      </c>
      <c r="H4087" s="4" t="inlineStr">
        <is>
          <t>13.10.2026</t>
        </is>
      </c>
      <c r="I4087" s="4" t="inlineStr">
        <is>
          <t>17:02</t>
        </is>
      </c>
      <c r="J4087" s="8" t="n">
        <v>7.5</v>
      </c>
      <c r="K4087" s="8" t="n">
        <v>7.5</v>
      </c>
      <c r="L4087" s="8" t="n">
        <v>0</v>
      </c>
      <c r="M4087" s="29" t="inlineStr">
        <is>
          <t>GÜVEN MUSTAFAKEMALPAŞA</t>
        </is>
      </c>
    </row>
    <row r="4088">
      <c r="A4088" s="4" t="n">
        <v>4087</v>
      </c>
      <c r="B4088" s="4" t="inlineStr">
        <is>
          <t>00935</t>
        </is>
      </c>
      <c r="C4088" s="4" t="inlineStr">
        <is>
          <t>00935</t>
        </is>
      </c>
      <c r="D4088" s="29" t="inlineStr">
        <is>
          <t>ZAHİDE KALDEMİR</t>
        </is>
      </c>
      <c r="E4088" s="4" t="inlineStr">
        <is>
          <t>Çarşamba</t>
        </is>
      </c>
      <c r="F4088" s="4" t="inlineStr">
        <is>
          <t>14.10.2026</t>
        </is>
      </c>
      <c r="G4088" s="4" t="inlineStr">
        <is>
          <t>07:52</t>
        </is>
      </c>
      <c r="H4088" s="4" t="inlineStr">
        <is>
          <t>14.10.2026</t>
        </is>
      </c>
      <c r="I4088" s="4" t="inlineStr">
        <is>
          <t>18:09</t>
        </is>
      </c>
      <c r="J4088" s="8" t="n">
        <v>8.5</v>
      </c>
      <c r="K4088" s="8" t="n">
        <v>7.5</v>
      </c>
      <c r="L4088" s="8" t="n">
        <v>1</v>
      </c>
      <c r="M4088" s="29" t="inlineStr">
        <is>
          <t>GÜVEN MUSTAFAKEMALPAŞA</t>
        </is>
      </c>
    </row>
    <row r="4089">
      <c r="A4089" s="4" t="n">
        <v>4088</v>
      </c>
      <c r="B4089" s="4" t="inlineStr">
        <is>
          <t>00935</t>
        </is>
      </c>
      <c r="C4089" s="4" t="inlineStr">
        <is>
          <t>00935</t>
        </is>
      </c>
      <c r="D4089" s="29" t="inlineStr">
        <is>
          <t>ZAHİDE KALDEMİR</t>
        </is>
      </c>
      <c r="E4089" s="4" t="inlineStr">
        <is>
          <t>Perşembe</t>
        </is>
      </c>
      <c r="F4089" s="4" t="inlineStr">
        <is>
          <t>15.10.2026</t>
        </is>
      </c>
      <c r="G4089" s="4" t="inlineStr">
        <is>
          <t>07:55</t>
        </is>
      </c>
      <c r="H4089" s="4" t="inlineStr">
        <is>
          <t>15.10.2026</t>
        </is>
      </c>
      <c r="I4089" s="4" t="inlineStr">
        <is>
          <t>17:04</t>
        </is>
      </c>
      <c r="J4089" s="8" t="n">
        <v>7.5</v>
      </c>
      <c r="K4089" s="8" t="n">
        <v>7.5</v>
      </c>
      <c r="L4089" s="8" t="n">
        <v>0</v>
      </c>
      <c r="M4089" s="29" t="inlineStr">
        <is>
          <t>GÜVEN MUSTAFAKEMALPAŞA</t>
        </is>
      </c>
    </row>
    <row r="4090">
      <c r="A4090" s="4" t="n">
        <v>4089</v>
      </c>
      <c r="B4090" s="4" t="inlineStr">
        <is>
          <t>00935</t>
        </is>
      </c>
      <c r="C4090" s="4" t="inlineStr">
        <is>
          <t>00935</t>
        </is>
      </c>
      <c r="D4090" s="29" t="inlineStr">
        <is>
          <t>ZAHİDE KALDEMİR</t>
        </is>
      </c>
      <c r="E4090" s="4" t="inlineStr">
        <is>
          <t>Cuma</t>
        </is>
      </c>
      <c r="F4090" s="4" t="inlineStr">
        <is>
          <t>16.10.2026</t>
        </is>
      </c>
      <c r="G4090" s="4" t="inlineStr">
        <is>
          <t>07:52</t>
        </is>
      </c>
      <c r="H4090" s="4" t="inlineStr">
        <is>
          <t>16.10.2026</t>
        </is>
      </c>
      <c r="I4090" s="4" t="inlineStr">
        <is>
          <t>17:21</t>
        </is>
      </c>
      <c r="J4090" s="8" t="n">
        <v>8</v>
      </c>
      <c r="K4090" s="8" t="n">
        <v>7.5</v>
      </c>
      <c r="L4090" s="8" t="n">
        <v>0.5</v>
      </c>
      <c r="M4090" s="29" t="inlineStr">
        <is>
          <t>GÜVEN MUSTAFAKEMALPAŞA</t>
        </is>
      </c>
    </row>
    <row r="4091">
      <c r="A4091" s="4" t="n">
        <v>4090</v>
      </c>
      <c r="B4091" s="4" t="inlineStr">
        <is>
          <t>00935</t>
        </is>
      </c>
      <c r="C4091" s="4" t="inlineStr">
        <is>
          <t>00935</t>
        </is>
      </c>
      <c r="D4091" s="29" t="inlineStr">
        <is>
          <t>ZAHİDE KALDEMİR</t>
        </is>
      </c>
      <c r="E4091" s="4" t="inlineStr">
        <is>
          <t>Cumartesi</t>
        </is>
      </c>
      <c r="F4091" s="4" t="inlineStr">
        <is>
          <t>17.10.2026</t>
        </is>
      </c>
      <c r="G4091" s="4" t="inlineStr">
        <is>
          <t>07:54</t>
        </is>
      </c>
      <c r="H4091" s="4" t="inlineStr">
        <is>
          <t>17.10.2026</t>
        </is>
      </c>
      <c r="I4091" s="4" t="inlineStr">
        <is>
          <t>17:50</t>
        </is>
      </c>
      <c r="J4091" s="8" t="n">
        <v>8.5</v>
      </c>
      <c r="K4091" s="8" t="n">
        <v>7.5</v>
      </c>
      <c r="L4091" s="8" t="n">
        <v>1</v>
      </c>
      <c r="M4091" s="29" t="inlineStr">
        <is>
          <t>GÜVEN MUSTAFAKEMALPAŞA</t>
        </is>
      </c>
    </row>
    <row r="4092">
      <c r="A4092" s="4" t="n">
        <v>4091</v>
      </c>
      <c r="B4092" s="4" t="inlineStr">
        <is>
          <t>00935</t>
        </is>
      </c>
      <c r="C4092" s="4" t="inlineStr">
        <is>
          <t>00935</t>
        </is>
      </c>
      <c r="D4092" s="29" t="inlineStr">
        <is>
          <t>ZAHİDE KALDEMİR</t>
        </is>
      </c>
      <c r="E4092" s="4" t="inlineStr">
        <is>
          <t>Pazartesi</t>
        </is>
      </c>
      <c r="F4092" s="4" t="inlineStr">
        <is>
          <t>19.10.2026</t>
        </is>
      </c>
      <c r="G4092" s="4" t="inlineStr">
        <is>
          <t>07:51</t>
        </is>
      </c>
      <c r="H4092" s="4" t="inlineStr">
        <is>
          <t>19.10.2026</t>
        </is>
      </c>
      <c r="I4092" s="4" t="inlineStr">
        <is>
          <t>17:47</t>
        </is>
      </c>
      <c r="J4092" s="8" t="n">
        <v>8.5</v>
      </c>
      <c r="K4092" s="8" t="n">
        <v>7.5</v>
      </c>
      <c r="L4092" s="8" t="n">
        <v>1</v>
      </c>
      <c r="M4092" s="29" t="inlineStr">
        <is>
          <t>GÜVEN MUSTAFAKEMALPAŞA</t>
        </is>
      </c>
    </row>
    <row r="4093">
      <c r="A4093" s="4" t="n">
        <v>4092</v>
      </c>
      <c r="B4093" s="4" t="inlineStr">
        <is>
          <t>00935</t>
        </is>
      </c>
      <c r="C4093" s="4" t="inlineStr">
        <is>
          <t>00935</t>
        </is>
      </c>
      <c r="D4093" s="29" t="inlineStr">
        <is>
          <t>ZAHİDE KALDEMİR</t>
        </is>
      </c>
      <c r="E4093" s="4" t="inlineStr">
        <is>
          <t>Salı</t>
        </is>
      </c>
      <c r="F4093" s="4" t="inlineStr">
        <is>
          <t>20.10.2026</t>
        </is>
      </c>
      <c r="G4093" s="4" t="inlineStr">
        <is>
          <t>07:52</t>
        </is>
      </c>
      <c r="H4093" s="4" t="inlineStr">
        <is>
          <t>20.10.2026</t>
        </is>
      </c>
      <c r="I4093" s="4" t="inlineStr">
        <is>
          <t>17:02</t>
        </is>
      </c>
      <c r="J4093" s="8" t="n">
        <v>7.5</v>
      </c>
      <c r="K4093" s="8" t="n">
        <v>7.5</v>
      </c>
      <c r="L4093" s="8" t="n">
        <v>0</v>
      </c>
      <c r="M4093" s="29" t="inlineStr">
        <is>
          <t>GÜVEN MUSTAFAKEMALPAŞA</t>
        </is>
      </c>
    </row>
    <row r="4094">
      <c r="A4094" s="4" t="n">
        <v>4093</v>
      </c>
      <c r="B4094" s="4" t="inlineStr">
        <is>
          <t>00935</t>
        </is>
      </c>
      <c r="C4094" s="4" t="inlineStr">
        <is>
          <t>00935</t>
        </is>
      </c>
      <c r="D4094" s="29" t="inlineStr">
        <is>
          <t>ZAHİDE KALDEMİR</t>
        </is>
      </c>
      <c r="E4094" s="4" t="inlineStr">
        <is>
          <t>Çarşamba</t>
        </is>
      </c>
      <c r="F4094" s="4" t="inlineStr">
        <is>
          <t>21.10.2026</t>
        </is>
      </c>
      <c r="G4094" s="4" t="inlineStr">
        <is>
          <t>07:50</t>
        </is>
      </c>
      <c r="H4094" s="4" t="inlineStr">
        <is>
          <t>21.10.2026</t>
        </is>
      </c>
      <c r="I4094" s="4" t="inlineStr">
        <is>
          <t>17:04</t>
        </is>
      </c>
      <c r="J4094" s="8" t="n">
        <v>7.5</v>
      </c>
      <c r="K4094" s="8" t="n">
        <v>7.5</v>
      </c>
      <c r="L4094" s="8" t="n">
        <v>0</v>
      </c>
      <c r="M4094" s="29" t="inlineStr">
        <is>
          <t>GÜVEN MUSTAFAKEMALPAŞA</t>
        </is>
      </c>
    </row>
    <row r="4095">
      <c r="A4095" s="4" t="n">
        <v>4094</v>
      </c>
      <c r="B4095" s="4" t="inlineStr">
        <is>
          <t>01048</t>
        </is>
      </c>
      <c r="C4095" s="4" t="inlineStr">
        <is>
          <t>01048</t>
        </is>
      </c>
      <c r="D4095" s="29" t="inlineStr">
        <is>
          <t>ZAHİDE HAĞİ</t>
        </is>
      </c>
      <c r="E4095" s="4" t="inlineStr">
        <is>
          <t>Perşembe</t>
        </is>
      </c>
      <c r="F4095" s="4" t="inlineStr">
        <is>
          <t>1.10.2026</t>
        </is>
      </c>
      <c r="G4095" s="4" t="inlineStr">
        <is>
          <t>07:55</t>
        </is>
      </c>
      <c r="H4095" s="4" t="inlineStr">
        <is>
          <t>1.10.2026</t>
        </is>
      </c>
      <c r="I4095" s="4" t="inlineStr">
        <is>
          <t>17:32</t>
        </is>
      </c>
      <c r="J4095" s="8" t="n">
        <v>8</v>
      </c>
      <c r="K4095" s="8" t="n">
        <v>7.5</v>
      </c>
      <c r="L4095" s="8" t="n">
        <v>0.5</v>
      </c>
      <c r="M4095" s="29" t="inlineStr">
        <is>
          <t>HALİL DİĞRENCİ</t>
        </is>
      </c>
    </row>
    <row r="4096">
      <c r="A4096" s="4" t="n">
        <v>4095</v>
      </c>
      <c r="B4096" s="4" t="inlineStr">
        <is>
          <t>01048</t>
        </is>
      </c>
      <c r="C4096" s="4" t="inlineStr">
        <is>
          <t>01048</t>
        </is>
      </c>
      <c r="D4096" s="29" t="inlineStr">
        <is>
          <t>ZAHİDE HAĞİ</t>
        </is>
      </c>
      <c r="E4096" s="4" t="inlineStr">
        <is>
          <t>Cuma</t>
        </is>
      </c>
      <c r="F4096" s="4" t="inlineStr">
        <is>
          <t>2.10.2026</t>
        </is>
      </c>
      <c r="G4096" s="4" t="inlineStr">
        <is>
          <t>07:59</t>
        </is>
      </c>
      <c r="H4096" s="4" t="inlineStr">
        <is>
          <t>2.10.2026</t>
        </is>
      </c>
      <c r="I4096" s="4" t="inlineStr">
        <is>
          <t>17:52</t>
        </is>
      </c>
      <c r="J4096" s="8" t="n">
        <v>8.5</v>
      </c>
      <c r="K4096" s="8" t="n">
        <v>7.5</v>
      </c>
      <c r="L4096" s="8" t="n">
        <v>1</v>
      </c>
      <c r="M4096" s="29" t="inlineStr">
        <is>
          <t>HALİL DİĞRENCİ</t>
        </is>
      </c>
    </row>
    <row r="4097">
      <c r="A4097" s="4" t="n">
        <v>4096</v>
      </c>
      <c r="B4097" s="4" t="inlineStr">
        <is>
          <t>01048</t>
        </is>
      </c>
      <c r="C4097" s="4" t="inlineStr">
        <is>
          <t>01048</t>
        </is>
      </c>
      <c r="D4097" s="29" t="inlineStr">
        <is>
          <t>ZAHİDE HAĞİ</t>
        </is>
      </c>
      <c r="E4097" s="4" t="inlineStr">
        <is>
          <t>Cumartesi</t>
        </is>
      </c>
      <c r="F4097" s="4" t="inlineStr">
        <is>
          <t>3.10.2026</t>
        </is>
      </c>
      <c r="G4097" s="4" t="inlineStr">
        <is>
          <t>08:01</t>
        </is>
      </c>
      <c r="H4097" s="4" t="inlineStr">
        <is>
          <t>3.10.2026</t>
        </is>
      </c>
      <c r="I4097" s="4" t="inlineStr">
        <is>
          <t>17:40</t>
        </is>
      </c>
      <c r="J4097" s="8" t="n">
        <v>8</v>
      </c>
      <c r="K4097" s="8" t="n">
        <v>7.5</v>
      </c>
      <c r="L4097" s="8" t="n">
        <v>0.5</v>
      </c>
      <c r="M4097" s="29" t="inlineStr">
        <is>
          <t>HALİL DİĞRENCİ</t>
        </is>
      </c>
    </row>
    <row r="4098">
      <c r="A4098" s="4" t="n">
        <v>4097</v>
      </c>
      <c r="B4098" s="4" t="inlineStr">
        <is>
          <t>01048</t>
        </is>
      </c>
      <c r="C4098" s="4" t="inlineStr">
        <is>
          <t>01048</t>
        </is>
      </c>
      <c r="D4098" s="29" t="inlineStr">
        <is>
          <t>ZAHİDE HAĞİ</t>
        </is>
      </c>
      <c r="E4098" s="4" t="inlineStr">
        <is>
          <t>Pazartesi</t>
        </is>
      </c>
      <c r="F4098" s="4" t="inlineStr">
        <is>
          <t>5.10.2026</t>
        </is>
      </c>
      <c r="G4098" s="4" t="inlineStr">
        <is>
          <t>08:00</t>
        </is>
      </c>
      <c r="H4098" s="4" t="inlineStr">
        <is>
          <t>5.10.2026</t>
        </is>
      </c>
      <c r="I4098" s="4" t="inlineStr">
        <is>
          <t>17:07</t>
        </is>
      </c>
      <c r="J4098" s="8" t="n">
        <v>7.5</v>
      </c>
      <c r="K4098" s="8" t="n">
        <v>7.5</v>
      </c>
      <c r="L4098" s="8" t="n">
        <v>0</v>
      </c>
      <c r="M4098" s="29" t="inlineStr">
        <is>
          <t>HALİL DİĞRENCİ</t>
        </is>
      </c>
    </row>
    <row r="4099">
      <c r="A4099" s="4" t="n">
        <v>4098</v>
      </c>
      <c r="B4099" s="4" t="inlineStr">
        <is>
          <t>01048</t>
        </is>
      </c>
      <c r="C4099" s="4" t="inlineStr">
        <is>
          <t>01048</t>
        </is>
      </c>
      <c r="D4099" s="29" t="inlineStr">
        <is>
          <t>ZAHİDE HAĞİ</t>
        </is>
      </c>
      <c r="E4099" s="4" t="inlineStr">
        <is>
          <t>Salı</t>
        </is>
      </c>
      <c r="F4099" s="4" t="inlineStr">
        <is>
          <t>6.10.2026</t>
        </is>
      </c>
      <c r="G4099" s="4" t="inlineStr">
        <is>
          <t>07:58</t>
        </is>
      </c>
      <c r="H4099" s="4" t="inlineStr">
        <is>
          <t>6.10.2026</t>
        </is>
      </c>
      <c r="I4099" s="4" t="inlineStr">
        <is>
          <t>17:44</t>
        </is>
      </c>
      <c r="J4099" s="8" t="n">
        <v>8</v>
      </c>
      <c r="K4099" s="8" t="n">
        <v>7.5</v>
      </c>
      <c r="L4099" s="8" t="n">
        <v>0.5</v>
      </c>
      <c r="M4099" s="29" t="inlineStr">
        <is>
          <t>HALİL DİĞRENCİ</t>
        </is>
      </c>
    </row>
    <row r="4100">
      <c r="A4100" s="4" t="n">
        <v>4099</v>
      </c>
      <c r="B4100" s="4" t="inlineStr">
        <is>
          <t>01048</t>
        </is>
      </c>
      <c r="C4100" s="4" t="inlineStr">
        <is>
          <t>01048</t>
        </is>
      </c>
      <c r="D4100" s="29" t="inlineStr">
        <is>
          <t>ZAHİDE HAĞİ</t>
        </is>
      </c>
      <c r="E4100" s="4" t="inlineStr">
        <is>
          <t>Çarşamba</t>
        </is>
      </c>
      <c r="F4100" s="4" t="inlineStr">
        <is>
          <t>7.10.2026</t>
        </is>
      </c>
      <c r="G4100" s="4" t="inlineStr">
        <is>
          <t>07:50</t>
        </is>
      </c>
      <c r="H4100" s="4" t="inlineStr">
        <is>
          <t>7.10.2026</t>
        </is>
      </c>
      <c r="I4100" s="4" t="inlineStr">
        <is>
          <t>17:29</t>
        </is>
      </c>
      <c r="J4100" s="8" t="n">
        <v>8</v>
      </c>
      <c r="K4100" s="8" t="n">
        <v>7.5</v>
      </c>
      <c r="L4100" s="8" t="n">
        <v>0.5</v>
      </c>
      <c r="M4100" s="29" t="inlineStr">
        <is>
          <t>HALİL DİĞRENCİ</t>
        </is>
      </c>
    </row>
    <row r="4101">
      <c r="A4101" s="4" t="n">
        <v>4100</v>
      </c>
      <c r="B4101" s="4" t="inlineStr">
        <is>
          <t>01048</t>
        </is>
      </c>
      <c r="C4101" s="4" t="inlineStr">
        <is>
          <t>01048</t>
        </is>
      </c>
      <c r="D4101" s="29" t="inlineStr">
        <is>
          <t>ZAHİDE HAĞİ</t>
        </is>
      </c>
      <c r="E4101" s="4" t="inlineStr">
        <is>
          <t>Perşembe</t>
        </is>
      </c>
      <c r="F4101" s="4" t="inlineStr">
        <is>
          <t>8.10.2026</t>
        </is>
      </c>
      <c r="G4101" s="4" t="inlineStr">
        <is>
          <t>07:32</t>
        </is>
      </c>
      <c r="H4101" s="4" t="inlineStr">
        <is>
          <t>8.10.2026</t>
        </is>
      </c>
      <c r="I4101" s="4" t="inlineStr">
        <is>
          <t>17:39</t>
        </is>
      </c>
      <c r="J4101" s="8" t="n">
        <v>8</v>
      </c>
      <c r="K4101" s="8" t="n">
        <v>7.5</v>
      </c>
      <c r="L4101" s="8" t="n">
        <v>0.5</v>
      </c>
      <c r="M4101" s="29" t="inlineStr">
        <is>
          <t>HALİL DİĞRENCİ</t>
        </is>
      </c>
    </row>
    <row r="4102">
      <c r="A4102" s="4" t="n">
        <v>4101</v>
      </c>
      <c r="B4102" s="4" t="inlineStr">
        <is>
          <t>01048</t>
        </is>
      </c>
      <c r="C4102" s="4" t="inlineStr">
        <is>
          <t>01048</t>
        </is>
      </c>
      <c r="D4102" s="29" t="inlineStr">
        <is>
          <t>ZAHİDE HAĞİ</t>
        </is>
      </c>
      <c r="E4102" s="4" t="inlineStr">
        <is>
          <t>Cuma</t>
        </is>
      </c>
      <c r="F4102" s="4" t="inlineStr">
        <is>
          <t>9.10.2026</t>
        </is>
      </c>
      <c r="G4102" s="4" t="inlineStr">
        <is>
          <t>08:00</t>
        </is>
      </c>
      <c r="H4102" s="4" t="inlineStr">
        <is>
          <t>9.10.2026</t>
        </is>
      </c>
      <c r="I4102" s="4" t="inlineStr">
        <is>
          <t>17:47</t>
        </is>
      </c>
      <c r="J4102" s="8" t="n">
        <v>8.5</v>
      </c>
      <c r="K4102" s="8" t="n">
        <v>7.5</v>
      </c>
      <c r="L4102" s="8" t="n">
        <v>1</v>
      </c>
      <c r="M4102" s="29" t="inlineStr">
        <is>
          <t>HALİL DİĞRENCİ</t>
        </is>
      </c>
    </row>
    <row r="4103">
      <c r="A4103" s="4" t="n">
        <v>4102</v>
      </c>
      <c r="B4103" s="4" t="inlineStr">
        <is>
          <t>01048</t>
        </is>
      </c>
      <c r="C4103" s="4" t="inlineStr">
        <is>
          <t>01048</t>
        </is>
      </c>
      <c r="D4103" s="29" t="inlineStr">
        <is>
          <t>ZAHİDE HAĞİ</t>
        </is>
      </c>
      <c r="E4103" s="4" t="inlineStr">
        <is>
          <t>Cumartesi</t>
        </is>
      </c>
      <c r="F4103" s="4" t="inlineStr">
        <is>
          <t>10.10.2026</t>
        </is>
      </c>
      <c r="G4103" s="4" t="inlineStr">
        <is>
          <t>07:36</t>
        </is>
      </c>
      <c r="H4103" s="4" t="inlineStr">
        <is>
          <t>10.10.2026</t>
        </is>
      </c>
      <c r="I4103" s="4" t="inlineStr">
        <is>
          <t>18:14</t>
        </is>
      </c>
      <c r="J4103" s="8" t="n">
        <v>8.5</v>
      </c>
      <c r="K4103" s="8" t="n">
        <v>7.5</v>
      </c>
      <c r="L4103" s="8" t="n">
        <v>1</v>
      </c>
      <c r="M4103" s="29" t="inlineStr">
        <is>
          <t>HALİL DİĞRENCİ</t>
        </is>
      </c>
    </row>
    <row r="4104">
      <c r="A4104" s="4" t="n">
        <v>4103</v>
      </c>
      <c r="B4104" s="4" t="inlineStr">
        <is>
          <t>01048</t>
        </is>
      </c>
      <c r="C4104" s="4" t="inlineStr">
        <is>
          <t>01048</t>
        </is>
      </c>
      <c r="D4104" s="29" t="inlineStr">
        <is>
          <t>ZAHİDE HAĞİ</t>
        </is>
      </c>
      <c r="E4104" s="4" t="inlineStr">
        <is>
          <t>Pazartesi</t>
        </is>
      </c>
      <c r="F4104" s="4" t="inlineStr">
        <is>
          <t>12.10.2026</t>
        </is>
      </c>
      <c r="G4104" s="4" t="inlineStr">
        <is>
          <t>07:36</t>
        </is>
      </c>
      <c r="H4104" s="4" t="inlineStr">
        <is>
          <t>12.10.2026</t>
        </is>
      </c>
      <c r="I4104" s="4" t="inlineStr">
        <is>
          <t>17:02</t>
        </is>
      </c>
      <c r="J4104" s="8" t="n">
        <v>7.5</v>
      </c>
      <c r="K4104" s="8" t="n">
        <v>7.5</v>
      </c>
      <c r="L4104" s="8" t="n">
        <v>0</v>
      </c>
      <c r="M4104" s="29" t="inlineStr">
        <is>
          <t>HALİL DİĞRENCİ</t>
        </is>
      </c>
    </row>
    <row r="4105">
      <c r="A4105" s="4" t="n">
        <v>4104</v>
      </c>
      <c r="B4105" s="4" t="inlineStr">
        <is>
          <t>01048</t>
        </is>
      </c>
      <c r="C4105" s="4" t="inlineStr">
        <is>
          <t>01048</t>
        </is>
      </c>
      <c r="D4105" s="29" t="inlineStr">
        <is>
          <t>ZAHİDE HAĞİ</t>
        </is>
      </c>
      <c r="E4105" s="4" t="inlineStr">
        <is>
          <t>Salı</t>
        </is>
      </c>
      <c r="F4105" s="4" t="inlineStr">
        <is>
          <t>13.10.2026</t>
        </is>
      </c>
      <c r="G4105" s="4" t="inlineStr">
        <is>
          <t>07:33</t>
        </is>
      </c>
      <c r="H4105" s="4" t="inlineStr">
        <is>
          <t>13.10.2026</t>
        </is>
      </c>
      <c r="I4105" s="4" t="inlineStr">
        <is>
          <t>17:01</t>
        </is>
      </c>
      <c r="J4105" s="8" t="n">
        <v>7.5</v>
      </c>
      <c r="K4105" s="8" t="n">
        <v>7.5</v>
      </c>
      <c r="L4105" s="8" t="n">
        <v>0</v>
      </c>
      <c r="M4105" s="29" t="inlineStr">
        <is>
          <t>HALİL DİĞRENCİ</t>
        </is>
      </c>
    </row>
    <row r="4106">
      <c r="A4106" s="4" t="n">
        <v>4105</v>
      </c>
      <c r="B4106" s="4" t="inlineStr">
        <is>
          <t>01048</t>
        </is>
      </c>
      <c r="C4106" s="4" t="inlineStr">
        <is>
          <t>01048</t>
        </is>
      </c>
      <c r="D4106" s="29" t="inlineStr">
        <is>
          <t>ZAHİDE HAĞİ</t>
        </is>
      </c>
      <c r="E4106" s="4" t="inlineStr">
        <is>
          <t>Çarşamba</t>
        </is>
      </c>
      <c r="F4106" s="4" t="inlineStr">
        <is>
          <t>14.10.2026</t>
        </is>
      </c>
      <c r="G4106" s="4" t="inlineStr">
        <is>
          <t>07:34</t>
        </is>
      </c>
      <c r="H4106" s="4" t="inlineStr">
        <is>
          <t>14.10.2026</t>
        </is>
      </c>
      <c r="I4106" s="4" t="inlineStr">
        <is>
          <t>18:08</t>
        </is>
      </c>
      <c r="J4106" s="8" t="n">
        <v>8.5</v>
      </c>
      <c r="K4106" s="8" t="n">
        <v>7.5</v>
      </c>
      <c r="L4106" s="8" t="n">
        <v>1</v>
      </c>
      <c r="M4106" s="29" t="inlineStr">
        <is>
          <t>HALİL DİĞRENCİ</t>
        </is>
      </c>
    </row>
    <row r="4107">
      <c r="A4107" s="4" t="n">
        <v>4106</v>
      </c>
      <c r="B4107" s="4" t="inlineStr">
        <is>
          <t>01048</t>
        </is>
      </c>
      <c r="C4107" s="4" t="inlineStr">
        <is>
          <t>01048</t>
        </is>
      </c>
      <c r="D4107" s="29" t="inlineStr">
        <is>
          <t>ZAHİDE HAĞİ</t>
        </is>
      </c>
      <c r="E4107" s="4" t="inlineStr">
        <is>
          <t>Pazartesi</t>
        </is>
      </c>
      <c r="F4107" s="4" t="inlineStr">
        <is>
          <t>19.10.2026</t>
        </is>
      </c>
      <c r="G4107" s="4" t="inlineStr">
        <is>
          <t>07:35</t>
        </is>
      </c>
      <c r="H4107" s="4" t="inlineStr">
        <is>
          <t>19.10.2026</t>
        </is>
      </c>
      <c r="I4107" s="4" t="inlineStr">
        <is>
          <t>17:48</t>
        </is>
      </c>
      <c r="J4107" s="8" t="n">
        <v>8.5</v>
      </c>
      <c r="K4107" s="8" t="n">
        <v>7.5</v>
      </c>
      <c r="L4107" s="8" t="n">
        <v>1</v>
      </c>
      <c r="M4107" s="29" t="inlineStr">
        <is>
          <t>HALİL DİĞRENCİ</t>
        </is>
      </c>
    </row>
    <row r="4108">
      <c r="A4108" s="4" t="n">
        <v>4107</v>
      </c>
      <c r="B4108" s="4" t="inlineStr">
        <is>
          <t>01048</t>
        </is>
      </c>
      <c r="C4108" s="4" t="inlineStr">
        <is>
          <t>01048</t>
        </is>
      </c>
      <c r="D4108" s="29" t="inlineStr">
        <is>
          <t>ZAHİDE HAĞİ</t>
        </is>
      </c>
      <c r="E4108" s="4" t="inlineStr">
        <is>
          <t>Salı</t>
        </is>
      </c>
      <c r="F4108" s="4" t="inlineStr">
        <is>
          <t>20.10.2026</t>
        </is>
      </c>
      <c r="G4108" s="4" t="inlineStr">
        <is>
          <t>07:31</t>
        </is>
      </c>
      <c r="H4108" s="4" t="inlineStr">
        <is>
          <t>20.10.2026</t>
        </is>
      </c>
      <c r="I4108" s="4" t="inlineStr">
        <is>
          <t>17:04</t>
        </is>
      </c>
      <c r="J4108" s="8" t="n">
        <v>7.5</v>
      </c>
      <c r="K4108" s="8" t="n">
        <v>7.5</v>
      </c>
      <c r="L4108" s="8" t="n">
        <v>0</v>
      </c>
      <c r="M4108" s="29" t="inlineStr">
        <is>
          <t>HALİL DİĞRENCİ</t>
        </is>
      </c>
    </row>
    <row r="4109">
      <c r="A4109" s="4" t="n">
        <v>4108</v>
      </c>
      <c r="B4109" s="4" t="inlineStr">
        <is>
          <t>01048</t>
        </is>
      </c>
      <c r="C4109" s="4" t="inlineStr">
        <is>
          <t>01048</t>
        </is>
      </c>
      <c r="D4109" s="29" t="inlineStr">
        <is>
          <t>ZAHİDE HAĞİ</t>
        </is>
      </c>
      <c r="E4109" s="4" t="inlineStr">
        <is>
          <t>Çarşamba</t>
        </is>
      </c>
      <c r="F4109" s="4" t="inlineStr">
        <is>
          <t>21.10.2026</t>
        </is>
      </c>
      <c r="G4109" s="4" t="inlineStr">
        <is>
          <t>07:43</t>
        </is>
      </c>
      <c r="H4109" s="4" t="inlineStr">
        <is>
          <t>21.10.2026</t>
        </is>
      </c>
      <c r="I4109" s="4" t="inlineStr">
        <is>
          <t>17:05</t>
        </is>
      </c>
      <c r="J4109" s="8" t="n">
        <v>7.5</v>
      </c>
      <c r="K4109" s="8" t="n">
        <v>7.5</v>
      </c>
      <c r="L4109" s="8" t="n">
        <v>0</v>
      </c>
      <c r="M4109" s="29" t="inlineStr">
        <is>
          <t>HALİL DİĞRENCİ</t>
        </is>
      </c>
    </row>
    <row r="4110">
      <c r="A4110" s="4" t="n">
        <v>4109</v>
      </c>
      <c r="B4110" s="4" t="inlineStr">
        <is>
          <t>01097</t>
        </is>
      </c>
      <c r="C4110" s="4" t="inlineStr">
        <is>
          <t>01097</t>
        </is>
      </c>
      <c r="D4110" s="29" t="inlineStr">
        <is>
          <t>ZEHRA ONUK</t>
        </is>
      </c>
      <c r="E4110" s="4" t="inlineStr">
        <is>
          <t>Perşembe</t>
        </is>
      </c>
      <c r="F4110" s="4" t="inlineStr">
        <is>
          <t>1.10.2026</t>
        </is>
      </c>
      <c r="G4110" s="4" t="inlineStr">
        <is>
          <t>07:50</t>
        </is>
      </c>
      <c r="H4110" s="4" t="inlineStr">
        <is>
          <t>1.10.2026</t>
        </is>
      </c>
      <c r="I4110" s="4" t="inlineStr">
        <is>
          <t>17:31</t>
        </is>
      </c>
      <c r="J4110" s="8" t="n">
        <v>8</v>
      </c>
      <c r="K4110" s="8" t="n">
        <v>7.5</v>
      </c>
      <c r="L4110" s="8" t="n">
        <v>0.5</v>
      </c>
      <c r="M4110" s="29" t="inlineStr">
        <is>
          <t>HALİL DİĞRENCİ</t>
        </is>
      </c>
    </row>
    <row r="4111">
      <c r="A4111" s="4" t="n">
        <v>4110</v>
      </c>
      <c r="B4111" s="4" t="inlineStr">
        <is>
          <t>01097</t>
        </is>
      </c>
      <c r="C4111" s="4" t="inlineStr">
        <is>
          <t>01097</t>
        </is>
      </c>
      <c r="D4111" s="29" t="inlineStr">
        <is>
          <t>ZEHRA ONUK</t>
        </is>
      </c>
      <c r="E4111" s="4" t="inlineStr">
        <is>
          <t>Cuma</t>
        </is>
      </c>
      <c r="F4111" s="4" t="inlineStr">
        <is>
          <t>2.10.2026</t>
        </is>
      </c>
      <c r="G4111" s="4" t="inlineStr">
        <is>
          <t>07:46</t>
        </is>
      </c>
      <c r="H4111" s="4" t="inlineStr">
        <is>
          <t>2.10.2026</t>
        </is>
      </c>
      <c r="I4111" s="4" t="inlineStr">
        <is>
          <t>17:54</t>
        </is>
      </c>
      <c r="J4111" s="8" t="n">
        <v>8.5</v>
      </c>
      <c r="K4111" s="8" t="n">
        <v>7.5</v>
      </c>
      <c r="L4111" s="8" t="n">
        <v>1</v>
      </c>
      <c r="M4111" s="29" t="inlineStr">
        <is>
          <t>HALİL DİĞRENCİ</t>
        </is>
      </c>
    </row>
    <row r="4112">
      <c r="A4112" s="4" t="n">
        <v>4111</v>
      </c>
      <c r="B4112" s="4" t="inlineStr">
        <is>
          <t>01097</t>
        </is>
      </c>
      <c r="C4112" s="4" t="inlineStr">
        <is>
          <t>01097</t>
        </is>
      </c>
      <c r="D4112" s="29" t="inlineStr">
        <is>
          <t>ZEHRA ONUK</t>
        </is>
      </c>
      <c r="E4112" s="4" t="inlineStr">
        <is>
          <t>Cumartesi</t>
        </is>
      </c>
      <c r="F4112" s="4" t="inlineStr">
        <is>
          <t>3.10.2026</t>
        </is>
      </c>
      <c r="G4112" s="4" t="inlineStr">
        <is>
          <t>07:48</t>
        </is>
      </c>
      <c r="H4112" s="4" t="inlineStr">
        <is>
          <t>3.10.2026</t>
        </is>
      </c>
      <c r="I4112" s="4" t="inlineStr">
        <is>
          <t>17:36</t>
        </is>
      </c>
      <c r="J4112" s="8" t="n">
        <v>8</v>
      </c>
      <c r="K4112" s="8" t="n">
        <v>7.5</v>
      </c>
      <c r="L4112" s="8" t="n">
        <v>0.5</v>
      </c>
      <c r="M4112" s="29" t="inlineStr">
        <is>
          <t>HALİL DİĞRENCİ</t>
        </is>
      </c>
    </row>
    <row r="4113">
      <c r="A4113" s="4" t="n">
        <v>4112</v>
      </c>
      <c r="B4113" s="4" t="inlineStr">
        <is>
          <t>01097</t>
        </is>
      </c>
      <c r="C4113" s="4" t="inlineStr">
        <is>
          <t>01097</t>
        </is>
      </c>
      <c r="D4113" s="29" t="inlineStr">
        <is>
          <t>ZEHRA ONUK</t>
        </is>
      </c>
      <c r="E4113" s="4" t="inlineStr">
        <is>
          <t>Pazartesi</t>
        </is>
      </c>
      <c r="F4113" s="4" t="inlineStr">
        <is>
          <t>5.10.2026</t>
        </is>
      </c>
      <c r="G4113" s="4" t="inlineStr">
        <is>
          <t>-</t>
        </is>
      </c>
      <c r="H4113" s="4" t="inlineStr">
        <is>
          <t>5.10.2026</t>
        </is>
      </c>
      <c r="I4113" s="4" t="inlineStr">
        <is>
          <t>17:10</t>
        </is>
      </c>
      <c r="J4113" s="8" t="n">
        <v>7.5</v>
      </c>
      <c r="K4113" s="8" t="n">
        <v>7.5</v>
      </c>
      <c r="L4113" s="8" t="n">
        <v>0</v>
      </c>
      <c r="M4113" s="29" t="inlineStr">
        <is>
          <t>HALİL DİĞRENCİ</t>
        </is>
      </c>
    </row>
    <row r="4114">
      <c r="A4114" s="4" t="n">
        <v>4113</v>
      </c>
      <c r="B4114" s="4" t="inlineStr">
        <is>
          <t>01097</t>
        </is>
      </c>
      <c r="C4114" s="4" t="inlineStr">
        <is>
          <t>01097</t>
        </is>
      </c>
      <c r="D4114" s="29" t="inlineStr">
        <is>
          <t>ZEHRA ONUK</t>
        </is>
      </c>
      <c r="E4114" s="4" t="inlineStr">
        <is>
          <t>Salı</t>
        </is>
      </c>
      <c r="F4114" s="4" t="inlineStr">
        <is>
          <t>6.10.2026</t>
        </is>
      </c>
      <c r="G4114" s="4" t="inlineStr">
        <is>
          <t>07:34</t>
        </is>
      </c>
      <c r="H4114" s="4" t="inlineStr">
        <is>
          <t>6.10.2026</t>
        </is>
      </c>
      <c r="I4114" s="4" t="inlineStr">
        <is>
          <t>17:46</t>
        </is>
      </c>
      <c r="J4114" s="8" t="n">
        <v>8.5</v>
      </c>
      <c r="K4114" s="8" t="n">
        <v>7.5</v>
      </c>
      <c r="L4114" s="8" t="n">
        <v>1</v>
      </c>
      <c r="M4114" s="29" t="inlineStr">
        <is>
          <t>HALİL DİĞRENCİ</t>
        </is>
      </c>
    </row>
    <row r="4115">
      <c r="A4115" s="4" t="n">
        <v>4114</v>
      </c>
      <c r="B4115" s="4" t="inlineStr">
        <is>
          <t>01097</t>
        </is>
      </c>
      <c r="C4115" s="4" t="inlineStr">
        <is>
          <t>01097</t>
        </is>
      </c>
      <c r="D4115" s="29" t="inlineStr">
        <is>
          <t>ZEHRA ONUK</t>
        </is>
      </c>
      <c r="E4115" s="4" t="inlineStr">
        <is>
          <t>Çarşamba</t>
        </is>
      </c>
      <c r="F4115" s="4" t="inlineStr">
        <is>
          <t>7.10.2026</t>
        </is>
      </c>
      <c r="G4115" s="4" t="inlineStr">
        <is>
          <t>07:32</t>
        </is>
      </c>
      <c r="H4115" s="4" t="inlineStr">
        <is>
          <t>7.10.2026</t>
        </is>
      </c>
      <c r="I4115" s="4" t="inlineStr">
        <is>
          <t>17:29</t>
        </is>
      </c>
      <c r="J4115" s="8" t="n">
        <v>8</v>
      </c>
      <c r="K4115" s="8" t="n">
        <v>7.5</v>
      </c>
      <c r="L4115" s="8" t="n">
        <v>0.5</v>
      </c>
      <c r="M4115" s="29" t="inlineStr">
        <is>
          <t>HALİL DİĞRENCİ</t>
        </is>
      </c>
    </row>
    <row r="4116">
      <c r="A4116" s="4" t="n">
        <v>4115</v>
      </c>
      <c r="B4116" s="4" t="inlineStr">
        <is>
          <t>01097</t>
        </is>
      </c>
      <c r="C4116" s="4" t="inlineStr">
        <is>
          <t>01097</t>
        </is>
      </c>
      <c r="D4116" s="29" t="inlineStr">
        <is>
          <t>ZEHRA ONUK</t>
        </is>
      </c>
      <c r="E4116" s="4" t="inlineStr">
        <is>
          <t>Perşembe</t>
        </is>
      </c>
      <c r="F4116" s="4" t="inlineStr">
        <is>
          <t>8.10.2026</t>
        </is>
      </c>
      <c r="G4116" s="4" t="inlineStr">
        <is>
          <t>07:32</t>
        </is>
      </c>
      <c r="H4116" s="4" t="inlineStr">
        <is>
          <t>8.10.2026</t>
        </is>
      </c>
      <c r="I4116" s="4" t="inlineStr">
        <is>
          <t>17:21</t>
        </is>
      </c>
      <c r="J4116" s="8" t="n">
        <v>8</v>
      </c>
      <c r="K4116" s="8" t="n">
        <v>7.5</v>
      </c>
      <c r="L4116" s="8" t="n">
        <v>0.5</v>
      </c>
      <c r="M4116" s="29" t="inlineStr">
        <is>
          <t>HALİL DİĞRENCİ</t>
        </is>
      </c>
    </row>
    <row r="4117">
      <c r="A4117" s="4" t="n">
        <v>4116</v>
      </c>
      <c r="B4117" s="4" t="inlineStr">
        <is>
          <t>01097</t>
        </is>
      </c>
      <c r="C4117" s="4" t="inlineStr">
        <is>
          <t>01097</t>
        </is>
      </c>
      <c r="D4117" s="29" t="inlineStr">
        <is>
          <t>ZEHRA ONUK</t>
        </is>
      </c>
      <c r="E4117" s="4" t="inlineStr">
        <is>
          <t>Cuma</t>
        </is>
      </c>
      <c r="F4117" s="4" t="inlineStr">
        <is>
          <t>9.10.2026</t>
        </is>
      </c>
      <c r="G4117" s="4" t="inlineStr">
        <is>
          <t>07:29</t>
        </is>
      </c>
      <c r="H4117" s="4" t="inlineStr">
        <is>
          <t>9.10.2026</t>
        </is>
      </c>
      <c r="I4117" s="4" t="inlineStr">
        <is>
          <t>17:07</t>
        </is>
      </c>
      <c r="J4117" s="8" t="n">
        <v>7.5</v>
      </c>
      <c r="K4117" s="8" t="n">
        <v>7.5</v>
      </c>
      <c r="L4117" s="8" t="n">
        <v>0</v>
      </c>
      <c r="M4117" s="29" t="inlineStr">
        <is>
          <t>HALİL DİĞRENCİ</t>
        </is>
      </c>
    </row>
    <row r="4118">
      <c r="A4118" s="4" t="n">
        <v>4117</v>
      </c>
      <c r="B4118" s="4" t="inlineStr">
        <is>
          <t>01097</t>
        </is>
      </c>
      <c r="C4118" s="4" t="inlineStr">
        <is>
          <t>01097</t>
        </is>
      </c>
      <c r="D4118" s="29" t="inlineStr">
        <is>
          <t>ZEHRA ONUK</t>
        </is>
      </c>
      <c r="E4118" s="4" t="inlineStr">
        <is>
          <t>Cumartesi</t>
        </is>
      </c>
      <c r="F4118" s="4" t="inlineStr">
        <is>
          <t>10.10.2026</t>
        </is>
      </c>
      <c r="G4118" s="4" t="inlineStr">
        <is>
          <t>07:36</t>
        </is>
      </c>
      <c r="H4118" s="4" t="inlineStr">
        <is>
          <t>10.10.2026</t>
        </is>
      </c>
      <c r="I4118" s="4" t="inlineStr">
        <is>
          <t>18:13</t>
        </is>
      </c>
      <c r="J4118" s="8" t="n">
        <v>8.5</v>
      </c>
      <c r="K4118" s="8" t="n">
        <v>7.5</v>
      </c>
      <c r="L4118" s="8" t="n">
        <v>1</v>
      </c>
      <c r="M4118" s="29" t="inlineStr">
        <is>
          <t>HALİL DİĞRENCİ</t>
        </is>
      </c>
    </row>
    <row r="4119">
      <c r="A4119" s="4" t="n">
        <v>4118</v>
      </c>
      <c r="B4119" s="4" t="inlineStr">
        <is>
          <t>01097</t>
        </is>
      </c>
      <c r="C4119" s="4" t="inlineStr">
        <is>
          <t>01097</t>
        </is>
      </c>
      <c r="D4119" s="29" t="inlineStr">
        <is>
          <t>ZEHRA ONUK</t>
        </is>
      </c>
      <c r="E4119" s="4" t="inlineStr">
        <is>
          <t>Pazar</t>
        </is>
      </c>
      <c r="F4119" s="4" t="inlineStr">
        <is>
          <t>11.10.2026</t>
        </is>
      </c>
      <c r="G4119" s="4" t="inlineStr">
        <is>
          <t>07:55</t>
        </is>
      </c>
      <c r="H4119" s="4" t="inlineStr">
        <is>
          <t>11.10.2026</t>
        </is>
      </c>
      <c r="I4119" s="4" t="inlineStr">
        <is>
          <t>16:36</t>
        </is>
      </c>
      <c r="J4119" s="8" t="n">
        <v>7</v>
      </c>
      <c r="K4119" s="8" t="n">
        <v>7</v>
      </c>
      <c r="L4119" s="8" t="n">
        <v>0</v>
      </c>
      <c r="M4119" s="29" t="inlineStr">
        <is>
          <t>HALİL DİĞRENCİ</t>
        </is>
      </c>
    </row>
    <row r="4120">
      <c r="A4120" s="4" t="n">
        <v>4119</v>
      </c>
      <c r="B4120" s="4" t="inlineStr">
        <is>
          <t>01097</t>
        </is>
      </c>
      <c r="C4120" s="4" t="inlineStr">
        <is>
          <t>01097</t>
        </is>
      </c>
      <c r="D4120" s="29" t="inlineStr">
        <is>
          <t>ZEHRA ONUK</t>
        </is>
      </c>
      <c r="E4120" s="4" t="inlineStr">
        <is>
          <t>Salı</t>
        </is>
      </c>
      <c r="F4120" s="4" t="inlineStr">
        <is>
          <t>13.10.2026</t>
        </is>
      </c>
      <c r="G4120" s="4" t="inlineStr">
        <is>
          <t>07:33</t>
        </is>
      </c>
      <c r="H4120" s="4" t="inlineStr">
        <is>
          <t>13.10.2026</t>
        </is>
      </c>
      <c r="I4120" s="4" t="inlineStr">
        <is>
          <t>17:08</t>
        </is>
      </c>
      <c r="J4120" s="8" t="n">
        <v>7.5</v>
      </c>
      <c r="K4120" s="8" t="n">
        <v>7.5</v>
      </c>
      <c r="L4120" s="8" t="n">
        <v>0</v>
      </c>
      <c r="M4120" s="29" t="inlineStr">
        <is>
          <t>HALİL DİĞRENCİ</t>
        </is>
      </c>
    </row>
    <row r="4121">
      <c r="A4121" s="4" t="n">
        <v>4120</v>
      </c>
      <c r="B4121" s="4" t="inlineStr">
        <is>
          <t>01097</t>
        </is>
      </c>
      <c r="C4121" s="4" t="inlineStr">
        <is>
          <t>01097</t>
        </is>
      </c>
      <c r="D4121" s="29" t="inlineStr">
        <is>
          <t>ZEHRA ONUK</t>
        </is>
      </c>
      <c r="E4121" s="4" t="inlineStr">
        <is>
          <t>Çarşamba</t>
        </is>
      </c>
      <c r="F4121" s="4" t="inlineStr">
        <is>
          <t>14.10.2026</t>
        </is>
      </c>
      <c r="G4121" s="4" t="inlineStr">
        <is>
          <t>07:37</t>
        </is>
      </c>
      <c r="H4121" s="4" t="inlineStr">
        <is>
          <t>14.10.2026</t>
        </is>
      </c>
      <c r="I4121" s="4" t="inlineStr">
        <is>
          <t>18:04</t>
        </is>
      </c>
      <c r="J4121" s="8" t="n">
        <v>8.5</v>
      </c>
      <c r="K4121" s="8" t="n">
        <v>7.5</v>
      </c>
      <c r="L4121" s="8" t="n">
        <v>1</v>
      </c>
      <c r="M4121" s="29" t="inlineStr">
        <is>
          <t>HALİL DİĞRENCİ</t>
        </is>
      </c>
    </row>
    <row r="4122">
      <c r="A4122" s="4" t="n">
        <v>4121</v>
      </c>
      <c r="B4122" s="4" t="inlineStr">
        <is>
          <t>01097</t>
        </is>
      </c>
      <c r="C4122" s="4" t="inlineStr">
        <is>
          <t>01097</t>
        </is>
      </c>
      <c r="D4122" s="29" t="inlineStr">
        <is>
          <t>ZEHRA ONUK</t>
        </is>
      </c>
      <c r="E4122" s="4" t="inlineStr">
        <is>
          <t>Perşembe</t>
        </is>
      </c>
      <c r="F4122" s="4" t="inlineStr">
        <is>
          <t>15.10.2026</t>
        </is>
      </c>
      <c r="G4122" s="4" t="inlineStr">
        <is>
          <t>07:37</t>
        </is>
      </c>
      <c r="H4122" s="4" t="inlineStr">
        <is>
          <t>15.10.2026</t>
        </is>
      </c>
      <c r="I4122" s="4" t="inlineStr">
        <is>
          <t>17:09</t>
        </is>
      </c>
      <c r="J4122" s="8" t="n">
        <v>7.5</v>
      </c>
      <c r="K4122" s="8" t="n">
        <v>7.5</v>
      </c>
      <c r="L4122" s="8" t="n">
        <v>0</v>
      </c>
      <c r="M4122" s="29" t="inlineStr">
        <is>
          <t>HALİL DİĞRENCİ</t>
        </is>
      </c>
    </row>
    <row r="4123">
      <c r="A4123" s="4" t="n">
        <v>4122</v>
      </c>
      <c r="B4123" s="4" t="inlineStr">
        <is>
          <t>01097</t>
        </is>
      </c>
      <c r="C4123" s="4" t="inlineStr">
        <is>
          <t>01097</t>
        </is>
      </c>
      <c r="D4123" s="29" t="inlineStr">
        <is>
          <t>ZEHRA ONUK</t>
        </is>
      </c>
      <c r="E4123" s="4" t="inlineStr">
        <is>
          <t>Cuma</t>
        </is>
      </c>
      <c r="F4123" s="4" t="inlineStr">
        <is>
          <t>16.10.2026</t>
        </is>
      </c>
      <c r="G4123" s="4" t="inlineStr">
        <is>
          <t>07:52</t>
        </is>
      </c>
      <c r="H4123" s="4" t="inlineStr">
        <is>
          <t>16.10.2026</t>
        </is>
      </c>
      <c r="I4123" s="4" t="inlineStr">
        <is>
          <t>17:20</t>
        </is>
      </c>
      <c r="J4123" s="8" t="n">
        <v>7.5</v>
      </c>
      <c r="K4123" s="8" t="n">
        <v>7.5</v>
      </c>
      <c r="L4123" s="8" t="n">
        <v>0</v>
      </c>
      <c r="M4123" s="29" t="inlineStr">
        <is>
          <t>HALİL DİĞRENCİ</t>
        </is>
      </c>
    </row>
    <row r="4124">
      <c r="A4124" s="4" t="n">
        <v>4123</v>
      </c>
      <c r="B4124" s="4" t="inlineStr">
        <is>
          <t>01097</t>
        </is>
      </c>
      <c r="C4124" s="4" t="inlineStr">
        <is>
          <t>01097</t>
        </is>
      </c>
      <c r="D4124" s="29" t="inlineStr">
        <is>
          <t>ZEHRA ONUK</t>
        </is>
      </c>
      <c r="E4124" s="4" t="inlineStr">
        <is>
          <t>Cumartesi</t>
        </is>
      </c>
      <c r="F4124" s="4" t="inlineStr">
        <is>
          <t>17.10.2026</t>
        </is>
      </c>
      <c r="G4124" s="4" t="inlineStr">
        <is>
          <t>07:58</t>
        </is>
      </c>
      <c r="H4124" s="4" t="inlineStr">
        <is>
          <t>17.10.2026</t>
        </is>
      </c>
      <c r="I4124" s="4" t="inlineStr">
        <is>
          <t>17:56</t>
        </is>
      </c>
      <c r="J4124" s="8" t="n">
        <v>8.5</v>
      </c>
      <c r="K4124" s="8" t="n">
        <v>7.5</v>
      </c>
      <c r="L4124" s="8" t="n">
        <v>1</v>
      </c>
      <c r="M4124" s="29" t="inlineStr">
        <is>
          <t>HALİL DİĞRENCİ</t>
        </is>
      </c>
    </row>
    <row r="4125">
      <c r="A4125" s="4" t="n">
        <v>4124</v>
      </c>
      <c r="B4125" s="4" t="inlineStr">
        <is>
          <t>01097</t>
        </is>
      </c>
      <c r="C4125" s="4" t="inlineStr">
        <is>
          <t>01097</t>
        </is>
      </c>
      <c r="D4125" s="29" t="inlineStr">
        <is>
          <t>ZEHRA ONUK</t>
        </is>
      </c>
      <c r="E4125" s="4" t="inlineStr">
        <is>
          <t>Pazartesi</t>
        </is>
      </c>
      <c r="F4125" s="4" t="inlineStr">
        <is>
          <t>19.10.2026</t>
        </is>
      </c>
      <c r="G4125" s="4" t="inlineStr">
        <is>
          <t>07:37</t>
        </is>
      </c>
      <c r="H4125" s="4" t="inlineStr">
        <is>
          <t>19.10.2026</t>
        </is>
      </c>
      <c r="I4125" s="4" t="inlineStr">
        <is>
          <t>17:45</t>
        </is>
      </c>
      <c r="J4125" s="8" t="n">
        <v>8.5</v>
      </c>
      <c r="K4125" s="8" t="n">
        <v>7.5</v>
      </c>
      <c r="L4125" s="8" t="n">
        <v>1</v>
      </c>
      <c r="M4125" s="29" t="inlineStr">
        <is>
          <t>HALİL DİĞRENCİ</t>
        </is>
      </c>
    </row>
    <row r="4126">
      <c r="A4126" s="4" t="n">
        <v>4125</v>
      </c>
      <c r="B4126" s="4" t="inlineStr">
        <is>
          <t>01097</t>
        </is>
      </c>
      <c r="C4126" s="4" t="inlineStr">
        <is>
          <t>01097</t>
        </is>
      </c>
      <c r="D4126" s="29" t="inlineStr">
        <is>
          <t>ZEHRA ONUK</t>
        </is>
      </c>
      <c r="E4126" s="4" t="inlineStr">
        <is>
          <t>Salı</t>
        </is>
      </c>
      <c r="F4126" s="4" t="inlineStr">
        <is>
          <t>20.10.2026</t>
        </is>
      </c>
      <c r="G4126" s="4" t="inlineStr">
        <is>
          <t>07:32</t>
        </is>
      </c>
      <c r="H4126" s="4" t="inlineStr">
        <is>
          <t>20.10.2026</t>
        </is>
      </c>
      <c r="I4126" s="4" t="inlineStr">
        <is>
          <t>17:08</t>
        </is>
      </c>
      <c r="J4126" s="8" t="n">
        <v>7.5</v>
      </c>
      <c r="K4126" s="8" t="n">
        <v>7.5</v>
      </c>
      <c r="L4126" s="8" t="n">
        <v>0</v>
      </c>
      <c r="M4126" s="29" t="inlineStr">
        <is>
          <t>HALİL DİĞRENCİ</t>
        </is>
      </c>
    </row>
    <row r="4127">
      <c r="A4127" s="4" t="n">
        <v>4126</v>
      </c>
      <c r="B4127" s="4" t="inlineStr">
        <is>
          <t>01097</t>
        </is>
      </c>
      <c r="C4127" s="4" t="inlineStr">
        <is>
          <t>01097</t>
        </is>
      </c>
      <c r="D4127" s="29" t="inlineStr">
        <is>
          <t>ZEHRA ONUK</t>
        </is>
      </c>
      <c r="E4127" s="4" t="inlineStr">
        <is>
          <t>Çarşamba</t>
        </is>
      </c>
      <c r="F4127" s="4" t="inlineStr">
        <is>
          <t>21.10.2026</t>
        </is>
      </c>
      <c r="G4127" s="4" t="inlineStr">
        <is>
          <t>07:37</t>
        </is>
      </c>
      <c r="H4127" s="4" t="inlineStr">
        <is>
          <t>21.10.2026</t>
        </is>
      </c>
      <c r="I4127" s="4" t="inlineStr">
        <is>
          <t>17:05</t>
        </is>
      </c>
      <c r="J4127" s="8" t="n">
        <v>7.5</v>
      </c>
      <c r="K4127" s="8" t="n">
        <v>7.5</v>
      </c>
      <c r="L4127" s="8" t="n">
        <v>0</v>
      </c>
      <c r="M4127" s="29" t="inlineStr">
        <is>
          <t>HALİL DİĞRENCİ</t>
        </is>
      </c>
    </row>
    <row r="4128">
      <c r="A4128" s="4" t="n">
        <v>4127</v>
      </c>
      <c r="B4128" s="4" t="inlineStr">
        <is>
          <t>01049</t>
        </is>
      </c>
      <c r="C4128" s="4" t="inlineStr">
        <is>
          <t>01049</t>
        </is>
      </c>
      <c r="D4128" s="29" t="inlineStr">
        <is>
          <t>ZEKİYE ŞEKER</t>
        </is>
      </c>
      <c r="E4128" s="4" t="inlineStr">
        <is>
          <t>Perşembe</t>
        </is>
      </c>
      <c r="F4128" s="4" t="inlineStr">
        <is>
          <t>1.10.2026</t>
        </is>
      </c>
      <c r="G4128" s="4" t="inlineStr">
        <is>
          <t>07:49</t>
        </is>
      </c>
      <c r="H4128" s="4" t="inlineStr">
        <is>
          <t>1.10.2026</t>
        </is>
      </c>
      <c r="I4128" s="4" t="inlineStr">
        <is>
          <t>17:28</t>
        </is>
      </c>
      <c r="J4128" s="8" t="n">
        <v>8</v>
      </c>
      <c r="K4128" s="8" t="n">
        <v>7.5</v>
      </c>
      <c r="L4128" s="8" t="n">
        <v>0.5</v>
      </c>
      <c r="M4128" s="29" t="inlineStr">
        <is>
          <t>HALİL DİĞRENCİ</t>
        </is>
      </c>
    </row>
    <row r="4129">
      <c r="A4129" s="4" t="n">
        <v>4128</v>
      </c>
      <c r="B4129" s="4" t="inlineStr">
        <is>
          <t>01049</t>
        </is>
      </c>
      <c r="C4129" s="4" t="inlineStr">
        <is>
          <t>01049</t>
        </is>
      </c>
      <c r="D4129" s="29" t="inlineStr">
        <is>
          <t>ZEKİYE ŞEKER</t>
        </is>
      </c>
      <c r="E4129" s="4" t="inlineStr">
        <is>
          <t>Cuma</t>
        </is>
      </c>
      <c r="F4129" s="4" t="inlineStr">
        <is>
          <t>2.10.2026</t>
        </is>
      </c>
      <c r="G4129" s="4" t="inlineStr">
        <is>
          <t>07:45</t>
        </is>
      </c>
      <c r="H4129" s="4" t="inlineStr">
        <is>
          <t>2.10.2026</t>
        </is>
      </c>
      <c r="I4129" s="4" t="inlineStr">
        <is>
          <t>17:46</t>
        </is>
      </c>
      <c r="J4129" s="8" t="n">
        <v>8.5</v>
      </c>
      <c r="K4129" s="8" t="n">
        <v>7.5</v>
      </c>
      <c r="L4129" s="8" t="n">
        <v>1</v>
      </c>
      <c r="M4129" s="29" t="inlineStr">
        <is>
          <t>HALİL DİĞRENCİ</t>
        </is>
      </c>
    </row>
    <row r="4130">
      <c r="A4130" s="4" t="n">
        <v>4129</v>
      </c>
      <c r="B4130" s="4" t="inlineStr">
        <is>
          <t>01049</t>
        </is>
      </c>
      <c r="C4130" s="4" t="inlineStr">
        <is>
          <t>01049</t>
        </is>
      </c>
      <c r="D4130" s="29" t="inlineStr">
        <is>
          <t>ZEKİYE ŞEKER</t>
        </is>
      </c>
      <c r="E4130" s="4" t="inlineStr">
        <is>
          <t>Pazartesi</t>
        </is>
      </c>
      <c r="F4130" s="4" t="inlineStr">
        <is>
          <t>5.10.2026</t>
        </is>
      </c>
      <c r="G4130" s="4" t="inlineStr">
        <is>
          <t>07:37</t>
        </is>
      </c>
      <c r="H4130" s="4" t="inlineStr">
        <is>
          <t>5.10.2026</t>
        </is>
      </c>
      <c r="I4130" s="4" t="inlineStr">
        <is>
          <t>17:04</t>
        </is>
      </c>
      <c r="J4130" s="8" t="n">
        <v>7.5</v>
      </c>
      <c r="K4130" s="8" t="n">
        <v>7.5</v>
      </c>
      <c r="L4130" s="8" t="n">
        <v>0</v>
      </c>
      <c r="M4130" s="29" t="inlineStr">
        <is>
          <t>HALİL DİĞRENCİ</t>
        </is>
      </c>
    </row>
    <row r="4131">
      <c r="A4131" s="4" t="n">
        <v>4130</v>
      </c>
      <c r="B4131" s="4" t="inlineStr">
        <is>
          <t>01049</t>
        </is>
      </c>
      <c r="C4131" s="4" t="inlineStr">
        <is>
          <t>01049</t>
        </is>
      </c>
      <c r="D4131" s="29" t="inlineStr">
        <is>
          <t>ZEKİYE ŞEKER</t>
        </is>
      </c>
      <c r="E4131" s="4" t="inlineStr">
        <is>
          <t>Salı</t>
        </is>
      </c>
      <c r="F4131" s="4" t="inlineStr">
        <is>
          <t>6.10.2026</t>
        </is>
      </c>
      <c r="G4131" s="4" t="inlineStr">
        <is>
          <t>07:59</t>
        </is>
      </c>
      <c r="H4131" s="4" t="inlineStr">
        <is>
          <t>6.10.2026</t>
        </is>
      </c>
      <c r="I4131" s="4" t="inlineStr">
        <is>
          <t>17:42</t>
        </is>
      </c>
      <c r="J4131" s="8" t="n">
        <v>8</v>
      </c>
      <c r="K4131" s="8" t="n">
        <v>7.5</v>
      </c>
      <c r="L4131" s="8" t="n">
        <v>0.5</v>
      </c>
      <c r="M4131" s="29" t="inlineStr">
        <is>
          <t>HALİL DİĞRENCİ</t>
        </is>
      </c>
    </row>
    <row r="4132">
      <c r="A4132" s="4" t="n">
        <v>4131</v>
      </c>
      <c r="B4132" s="4" t="inlineStr">
        <is>
          <t>01049</t>
        </is>
      </c>
      <c r="C4132" s="4" t="inlineStr">
        <is>
          <t>01049</t>
        </is>
      </c>
      <c r="D4132" s="29" t="inlineStr">
        <is>
          <t>ZEKİYE ŞEKER</t>
        </is>
      </c>
      <c r="E4132" s="4" t="inlineStr">
        <is>
          <t>Çarşamba</t>
        </is>
      </c>
      <c r="F4132" s="4" t="inlineStr">
        <is>
          <t>7.10.2026</t>
        </is>
      </c>
      <c r="G4132" s="4" t="inlineStr">
        <is>
          <t>07:50</t>
        </is>
      </c>
      <c r="H4132" s="4" t="inlineStr">
        <is>
          <t>7.10.2026</t>
        </is>
      </c>
      <c r="I4132" s="4" t="inlineStr">
        <is>
          <t>17:24</t>
        </is>
      </c>
      <c r="J4132" s="8" t="n">
        <v>8</v>
      </c>
      <c r="K4132" s="8" t="n">
        <v>7.5</v>
      </c>
      <c r="L4132" s="8" t="n">
        <v>0.5</v>
      </c>
      <c r="M4132" s="29" t="inlineStr">
        <is>
          <t>HALİL DİĞRENCİ</t>
        </is>
      </c>
    </row>
    <row r="4133">
      <c r="A4133" s="4" t="n">
        <v>4132</v>
      </c>
      <c r="B4133" s="4" t="inlineStr">
        <is>
          <t>01049</t>
        </is>
      </c>
      <c r="C4133" s="4" t="inlineStr">
        <is>
          <t>01049</t>
        </is>
      </c>
      <c r="D4133" s="29" t="inlineStr">
        <is>
          <t>ZEKİYE ŞEKER</t>
        </is>
      </c>
      <c r="E4133" s="4" t="inlineStr">
        <is>
          <t>Perşembe</t>
        </is>
      </c>
      <c r="F4133" s="4" t="inlineStr">
        <is>
          <t>8.10.2026</t>
        </is>
      </c>
      <c r="G4133" s="4" t="inlineStr">
        <is>
          <t>07:51</t>
        </is>
      </c>
      <c r="H4133" s="4" t="inlineStr">
        <is>
          <t>8.10.2026</t>
        </is>
      </c>
      <c r="I4133" s="4" t="inlineStr">
        <is>
          <t>17:34</t>
        </is>
      </c>
      <c r="J4133" s="8" t="n">
        <v>8</v>
      </c>
      <c r="K4133" s="8" t="n">
        <v>7.5</v>
      </c>
      <c r="L4133" s="8" t="n">
        <v>0.5</v>
      </c>
      <c r="M4133" s="29" t="inlineStr">
        <is>
          <t>HALİL DİĞRENCİ</t>
        </is>
      </c>
    </row>
    <row r="4134">
      <c r="A4134" s="4" t="n">
        <v>4133</v>
      </c>
      <c r="B4134" s="4" t="inlineStr">
        <is>
          <t>01049</t>
        </is>
      </c>
      <c r="C4134" s="4" t="inlineStr">
        <is>
          <t>01049</t>
        </is>
      </c>
      <c r="D4134" s="29" t="inlineStr">
        <is>
          <t>ZEKİYE ŞEKER</t>
        </is>
      </c>
      <c r="E4134" s="4" t="inlineStr">
        <is>
          <t>Cuma</t>
        </is>
      </c>
      <c r="F4134" s="4" t="inlineStr">
        <is>
          <t>9.10.2026</t>
        </is>
      </c>
      <c r="G4134" s="4" t="inlineStr">
        <is>
          <t>07:55</t>
        </is>
      </c>
      <c r="H4134" s="4" t="inlineStr">
        <is>
          <t>9.10.2026</t>
        </is>
      </c>
      <c r="I4134" s="4" t="inlineStr">
        <is>
          <t>17:43</t>
        </is>
      </c>
      <c r="J4134" s="8" t="n">
        <v>8</v>
      </c>
      <c r="K4134" s="8" t="n">
        <v>7.5</v>
      </c>
      <c r="L4134" s="8" t="n">
        <v>0.5</v>
      </c>
      <c r="M4134" s="29" t="inlineStr">
        <is>
          <t>HALİL DİĞRENCİ</t>
        </is>
      </c>
    </row>
    <row r="4135">
      <c r="A4135" s="4" t="n">
        <v>4134</v>
      </c>
      <c r="B4135" s="4" t="inlineStr">
        <is>
          <t>01049</t>
        </is>
      </c>
      <c r="C4135" s="4" t="inlineStr">
        <is>
          <t>01049</t>
        </is>
      </c>
      <c r="D4135" s="29" t="inlineStr">
        <is>
          <t>ZEKİYE ŞEKER</t>
        </is>
      </c>
      <c r="E4135" s="4" t="inlineStr">
        <is>
          <t>Cumartesi</t>
        </is>
      </c>
      <c r="F4135" s="4" t="inlineStr">
        <is>
          <t>10.10.2026</t>
        </is>
      </c>
      <c r="G4135" s="4" t="inlineStr">
        <is>
          <t>07:59</t>
        </is>
      </c>
      <c r="H4135" s="4" t="inlineStr">
        <is>
          <t>10.10.2026</t>
        </is>
      </c>
      <c r="I4135" s="4" t="inlineStr">
        <is>
          <t>18:11</t>
        </is>
      </c>
      <c r="J4135" s="8" t="n">
        <v>8.5</v>
      </c>
      <c r="K4135" s="8" t="n">
        <v>7.5</v>
      </c>
      <c r="L4135" s="8" t="n">
        <v>1</v>
      </c>
      <c r="M4135" s="29" t="inlineStr">
        <is>
          <t>HALİL DİĞRENCİ</t>
        </is>
      </c>
    </row>
    <row r="4136">
      <c r="A4136" s="4" t="n">
        <v>4135</v>
      </c>
      <c r="B4136" s="4" t="inlineStr">
        <is>
          <t>01049</t>
        </is>
      </c>
      <c r="C4136" s="4" t="inlineStr">
        <is>
          <t>01049</t>
        </is>
      </c>
      <c r="D4136" s="29" t="inlineStr">
        <is>
          <t>ZEKİYE ŞEKER</t>
        </is>
      </c>
      <c r="E4136" s="4" t="inlineStr">
        <is>
          <t>Pazartesi</t>
        </is>
      </c>
      <c r="F4136" s="4" t="inlineStr">
        <is>
          <t>12.10.2026</t>
        </is>
      </c>
      <c r="G4136" s="4" t="inlineStr">
        <is>
          <t>08:01</t>
        </is>
      </c>
      <c r="H4136" s="4" t="inlineStr">
        <is>
          <t>12.10.2026</t>
        </is>
      </c>
      <c r="I4136" s="4" t="inlineStr">
        <is>
          <t>17:03</t>
        </is>
      </c>
      <c r="J4136" s="8" t="n">
        <v>7.5</v>
      </c>
      <c r="K4136" s="8" t="n">
        <v>7.5</v>
      </c>
      <c r="L4136" s="8" t="n">
        <v>0</v>
      </c>
      <c r="M4136" s="29" t="inlineStr">
        <is>
          <t>HALİL DİĞRENCİ</t>
        </is>
      </c>
    </row>
    <row r="4137">
      <c r="A4137" s="4" t="n">
        <v>4136</v>
      </c>
      <c r="B4137" s="4" t="inlineStr">
        <is>
          <t>01049</t>
        </is>
      </c>
      <c r="C4137" s="4" t="inlineStr">
        <is>
          <t>01049</t>
        </is>
      </c>
      <c r="D4137" s="29" t="inlineStr">
        <is>
          <t>ZEKİYE ŞEKER</t>
        </is>
      </c>
      <c r="E4137" s="4" t="inlineStr">
        <is>
          <t>Salı</t>
        </is>
      </c>
      <c r="F4137" s="4" t="inlineStr">
        <is>
          <t>13.10.2026</t>
        </is>
      </c>
      <c r="G4137" s="4" t="inlineStr">
        <is>
          <t>08:02</t>
        </is>
      </c>
      <c r="H4137" s="4" t="inlineStr">
        <is>
          <t>13.10.2026</t>
        </is>
      </c>
      <c r="I4137" s="4" t="inlineStr">
        <is>
          <t>17:01</t>
        </is>
      </c>
      <c r="J4137" s="8" t="n">
        <v>7.5</v>
      </c>
      <c r="K4137" s="8" t="n">
        <v>7.5</v>
      </c>
      <c r="L4137" s="8" t="n">
        <v>0</v>
      </c>
      <c r="M4137" s="29" t="inlineStr">
        <is>
          <t>HALİL DİĞRENCİ</t>
        </is>
      </c>
    </row>
    <row r="4138">
      <c r="A4138" s="4" t="n">
        <v>4137</v>
      </c>
      <c r="B4138" s="4" t="inlineStr">
        <is>
          <t>01049</t>
        </is>
      </c>
      <c r="C4138" s="4" t="inlineStr">
        <is>
          <t>01049</t>
        </is>
      </c>
      <c r="D4138" s="29" t="inlineStr">
        <is>
          <t>ZEKİYE ŞEKER</t>
        </is>
      </c>
      <c r="E4138" s="4" t="inlineStr">
        <is>
          <t>Çarşamba</t>
        </is>
      </c>
      <c r="F4138" s="4" t="inlineStr">
        <is>
          <t>14.10.2026</t>
        </is>
      </c>
      <c r="G4138" s="4" t="inlineStr">
        <is>
          <t>07:55</t>
        </is>
      </c>
      <c r="H4138" s="4" t="inlineStr">
        <is>
          <t>14.10.2026</t>
        </is>
      </c>
      <c r="I4138" s="4" t="inlineStr">
        <is>
          <t>18:07</t>
        </is>
      </c>
      <c r="J4138" s="8" t="n">
        <v>8.5</v>
      </c>
      <c r="K4138" s="8" t="n">
        <v>7.5</v>
      </c>
      <c r="L4138" s="8" t="n">
        <v>1</v>
      </c>
      <c r="M4138" s="29" t="inlineStr">
        <is>
          <t>HALİL DİĞRENCİ</t>
        </is>
      </c>
    </row>
    <row r="4139">
      <c r="A4139" s="4" t="n">
        <v>4138</v>
      </c>
      <c r="B4139" s="4" t="inlineStr">
        <is>
          <t>01049</t>
        </is>
      </c>
      <c r="C4139" s="4" t="inlineStr">
        <is>
          <t>01049</t>
        </is>
      </c>
      <c r="D4139" s="29" t="inlineStr">
        <is>
          <t>ZEKİYE ŞEKER</t>
        </is>
      </c>
      <c r="E4139" s="4" t="inlineStr">
        <is>
          <t>Perşembe</t>
        </is>
      </c>
      <c r="F4139" s="4" t="inlineStr">
        <is>
          <t>15.10.2026</t>
        </is>
      </c>
      <c r="G4139" s="4" t="inlineStr">
        <is>
          <t>08:04</t>
        </is>
      </c>
      <c r="H4139" s="4" t="inlineStr">
        <is>
          <t>15.10.2026</t>
        </is>
      </c>
      <c r="I4139" s="4" t="inlineStr">
        <is>
          <t>17:07</t>
        </is>
      </c>
      <c r="J4139" s="8" t="n">
        <v>7.5</v>
      </c>
      <c r="K4139" s="8" t="n">
        <v>7.5</v>
      </c>
      <c r="L4139" s="8" t="n">
        <v>0</v>
      </c>
      <c r="M4139" s="29" t="inlineStr">
        <is>
          <t>HALİL DİĞRENCİ</t>
        </is>
      </c>
    </row>
    <row r="4140">
      <c r="A4140" s="4" t="n">
        <v>4139</v>
      </c>
      <c r="B4140" s="4" t="inlineStr">
        <is>
          <t>01049</t>
        </is>
      </c>
      <c r="C4140" s="4" t="inlineStr">
        <is>
          <t>01049</t>
        </is>
      </c>
      <c r="D4140" s="29" t="inlineStr">
        <is>
          <t>ZEKİYE ŞEKER</t>
        </is>
      </c>
      <c r="E4140" s="4" t="inlineStr">
        <is>
          <t>Cuma</t>
        </is>
      </c>
      <c r="F4140" s="4" t="inlineStr">
        <is>
          <t>16.10.2026</t>
        </is>
      </c>
      <c r="G4140" s="4" t="inlineStr">
        <is>
          <t>07:51</t>
        </is>
      </c>
      <c r="H4140" s="4" t="inlineStr">
        <is>
          <t>16.10.2026</t>
        </is>
      </c>
      <c r="I4140" s="4" t="inlineStr">
        <is>
          <t>17:16</t>
        </is>
      </c>
      <c r="J4140" s="8" t="n">
        <v>7.5</v>
      </c>
      <c r="K4140" s="8" t="n">
        <v>7.5</v>
      </c>
      <c r="L4140" s="8" t="n">
        <v>0</v>
      </c>
      <c r="M4140" s="29" t="inlineStr">
        <is>
          <t>HALİL DİĞRENCİ</t>
        </is>
      </c>
    </row>
    <row r="4141">
      <c r="A4141" s="4" t="n">
        <v>4140</v>
      </c>
      <c r="B4141" s="4" t="inlineStr">
        <is>
          <t>01049</t>
        </is>
      </c>
      <c r="C4141" s="4" t="inlineStr">
        <is>
          <t>01049</t>
        </is>
      </c>
      <c r="D4141" s="29" t="inlineStr">
        <is>
          <t>ZEKİYE ŞEKER</t>
        </is>
      </c>
      <c r="E4141" s="4" t="inlineStr">
        <is>
          <t>Cumartesi</t>
        </is>
      </c>
      <c r="F4141" s="4" t="inlineStr">
        <is>
          <t>17.10.2026</t>
        </is>
      </c>
      <c r="G4141" s="4" t="inlineStr">
        <is>
          <t>07:55</t>
        </is>
      </c>
      <c r="H4141" s="4" t="inlineStr">
        <is>
          <t>17.10.2026</t>
        </is>
      </c>
      <c r="I4141" s="4" t="inlineStr">
        <is>
          <t>17:51</t>
        </is>
      </c>
      <c r="J4141" s="8" t="n">
        <v>8.5</v>
      </c>
      <c r="K4141" s="8" t="n">
        <v>7.5</v>
      </c>
      <c r="L4141" s="8" t="n">
        <v>1</v>
      </c>
      <c r="M4141" s="29" t="inlineStr">
        <is>
          <t>HALİL DİĞRENCİ</t>
        </is>
      </c>
    </row>
    <row r="4142">
      <c r="A4142" s="4" t="n">
        <v>4141</v>
      </c>
      <c r="B4142" s="4" t="inlineStr">
        <is>
          <t>01049</t>
        </is>
      </c>
      <c r="C4142" s="4" t="inlineStr">
        <is>
          <t>01049</t>
        </is>
      </c>
      <c r="D4142" s="29" t="inlineStr">
        <is>
          <t>ZEKİYE ŞEKER</t>
        </is>
      </c>
      <c r="E4142" s="4" t="inlineStr">
        <is>
          <t>Pazartesi</t>
        </is>
      </c>
      <c r="F4142" s="4" t="inlineStr">
        <is>
          <t>19.10.2026</t>
        </is>
      </c>
      <c r="G4142" s="4" t="inlineStr">
        <is>
          <t>08:01</t>
        </is>
      </c>
      <c r="H4142" s="4" t="inlineStr">
        <is>
          <t>19.10.2026</t>
        </is>
      </c>
      <c r="I4142" s="4" t="inlineStr">
        <is>
          <t>17:44</t>
        </is>
      </c>
      <c r="J4142" s="8" t="n">
        <v>8</v>
      </c>
      <c r="K4142" s="8" t="n">
        <v>7.5</v>
      </c>
      <c r="L4142" s="8" t="n">
        <v>0.5</v>
      </c>
      <c r="M4142" s="29" t="inlineStr">
        <is>
          <t>HALİL DİĞRENCİ</t>
        </is>
      </c>
    </row>
    <row r="4143">
      <c r="A4143" s="4" t="n">
        <v>4142</v>
      </c>
      <c r="B4143" s="4" t="inlineStr">
        <is>
          <t>01049</t>
        </is>
      </c>
      <c r="C4143" s="4" t="inlineStr">
        <is>
          <t>01049</t>
        </is>
      </c>
      <c r="D4143" s="29" t="inlineStr">
        <is>
          <t>ZEKİYE ŞEKER</t>
        </is>
      </c>
      <c r="E4143" s="4" t="inlineStr">
        <is>
          <t>Salı</t>
        </is>
      </c>
      <c r="F4143" s="4" t="inlineStr">
        <is>
          <t>20.10.2026</t>
        </is>
      </c>
      <c r="G4143" s="4" t="inlineStr">
        <is>
          <t>07:56</t>
        </is>
      </c>
      <c r="H4143" s="4" t="inlineStr">
        <is>
          <t>20.10.2026</t>
        </is>
      </c>
      <c r="I4143" s="4" t="inlineStr">
        <is>
          <t>17:01</t>
        </is>
      </c>
      <c r="J4143" s="8" t="n">
        <v>7.5</v>
      </c>
      <c r="K4143" s="8" t="n">
        <v>7.5</v>
      </c>
      <c r="L4143" s="8" t="n">
        <v>0</v>
      </c>
      <c r="M4143" s="29" t="inlineStr">
        <is>
          <t>HALİL DİĞRENCİ</t>
        </is>
      </c>
    </row>
    <row r="4144">
      <c r="A4144" s="4" t="n">
        <v>4143</v>
      </c>
      <c r="B4144" s="4" t="inlineStr">
        <is>
          <t>01471</t>
        </is>
      </c>
      <c r="C4144" s="4" t="inlineStr">
        <is>
          <t>01471</t>
        </is>
      </c>
      <c r="D4144" s="29" t="inlineStr">
        <is>
          <t>ZEKİYE AYICI</t>
        </is>
      </c>
      <c r="E4144" s="4" t="inlineStr">
        <is>
          <t>Cuma</t>
        </is>
      </c>
      <c r="F4144" s="4" t="inlineStr">
        <is>
          <t>2.10.2026</t>
        </is>
      </c>
      <c r="G4144" s="4" t="inlineStr">
        <is>
          <t>19:46</t>
        </is>
      </c>
      <c r="H4144" s="4" t="inlineStr">
        <is>
          <t>2.10.2026</t>
        </is>
      </c>
      <c r="I4144" s="4" t="inlineStr">
        <is>
          <t>07:53</t>
        </is>
      </c>
      <c r="J4144" s="8" t="n">
        <v>10.5</v>
      </c>
      <c r="K4144" s="8" t="n">
        <v>7.5</v>
      </c>
      <c r="L4144" s="8" t="n">
        <v>3</v>
      </c>
      <c r="M4144" s="29" t="inlineStr">
        <is>
          <t>HALİL DİĞRENCİ</t>
        </is>
      </c>
    </row>
    <row r="4145">
      <c r="A4145" s="4" t="n">
        <v>4144</v>
      </c>
      <c r="B4145" s="4" t="inlineStr">
        <is>
          <t>00936</t>
        </is>
      </c>
      <c r="C4145" s="4" t="inlineStr">
        <is>
          <t>00936</t>
        </is>
      </c>
      <c r="D4145" s="29" t="inlineStr">
        <is>
          <t>ZELİHA KEİREMETÇİ</t>
        </is>
      </c>
      <c r="E4145" s="4" t="inlineStr">
        <is>
          <t>Perşembe</t>
        </is>
      </c>
      <c r="F4145" s="4" t="inlineStr">
        <is>
          <t>1.10.2026</t>
        </is>
      </c>
      <c r="G4145" s="4" t="inlineStr">
        <is>
          <t>07:57</t>
        </is>
      </c>
      <c r="H4145" s="4" t="inlineStr">
        <is>
          <t>1.10.2026</t>
        </is>
      </c>
      <c r="I4145" s="4" t="inlineStr">
        <is>
          <t>17:32</t>
        </is>
      </c>
      <c r="J4145" s="8" t="n">
        <v>8</v>
      </c>
      <c r="K4145" s="8" t="n">
        <v>7.5</v>
      </c>
      <c r="L4145" s="8" t="n">
        <v>0.5</v>
      </c>
      <c r="M4145" s="29" t="inlineStr">
        <is>
          <t>GÜVEN MUSTAFAKEMALPAŞA</t>
        </is>
      </c>
    </row>
    <row r="4146">
      <c r="A4146" s="4" t="n">
        <v>4145</v>
      </c>
      <c r="B4146" s="4" t="inlineStr">
        <is>
          <t>00936</t>
        </is>
      </c>
      <c r="C4146" s="4" t="inlineStr">
        <is>
          <t>00936</t>
        </is>
      </c>
      <c r="D4146" s="29" t="inlineStr">
        <is>
          <t>ZELİHA KEİREMETÇİ</t>
        </is>
      </c>
      <c r="E4146" s="4" t="inlineStr">
        <is>
          <t>Cuma</t>
        </is>
      </c>
      <c r="F4146" s="4" t="inlineStr">
        <is>
          <t>2.10.2026</t>
        </is>
      </c>
      <c r="G4146" s="4" t="inlineStr">
        <is>
          <t>07:52</t>
        </is>
      </c>
      <c r="H4146" s="4" t="inlineStr">
        <is>
          <t>2.10.2026</t>
        </is>
      </c>
      <c r="I4146" s="4" t="inlineStr">
        <is>
          <t>17:50</t>
        </is>
      </c>
      <c r="J4146" s="8" t="n">
        <v>8.5</v>
      </c>
      <c r="K4146" s="8" t="n">
        <v>7.5</v>
      </c>
      <c r="L4146" s="8" t="n">
        <v>1</v>
      </c>
      <c r="M4146" s="29" t="inlineStr">
        <is>
          <t>GÜVEN MUSTAFAKEMALPAŞA</t>
        </is>
      </c>
    </row>
    <row r="4147">
      <c r="A4147" s="4" t="n">
        <v>4146</v>
      </c>
      <c r="B4147" s="4" t="inlineStr">
        <is>
          <t>00936</t>
        </is>
      </c>
      <c r="C4147" s="4" t="inlineStr">
        <is>
          <t>00936</t>
        </is>
      </c>
      <c r="D4147" s="29" t="inlineStr">
        <is>
          <t>ZELİHA KEİREMETÇİ</t>
        </is>
      </c>
      <c r="E4147" s="4" t="inlineStr">
        <is>
          <t>Pazartesi</t>
        </is>
      </c>
      <c r="F4147" s="4" t="inlineStr">
        <is>
          <t>5.10.2026</t>
        </is>
      </c>
      <c r="G4147" s="4" t="inlineStr">
        <is>
          <t>07:49</t>
        </is>
      </c>
      <c r="H4147" s="4" t="inlineStr">
        <is>
          <t>5.10.2026</t>
        </is>
      </c>
      <c r="I4147" s="4" t="inlineStr">
        <is>
          <t>17:09</t>
        </is>
      </c>
      <c r="J4147" s="8" t="n">
        <v>7.5</v>
      </c>
      <c r="K4147" s="8" t="n">
        <v>7.5</v>
      </c>
      <c r="L4147" s="8" t="n">
        <v>0</v>
      </c>
      <c r="M4147" s="29" t="inlineStr">
        <is>
          <t>GÜVEN MUSTAFAKEMALPAŞA</t>
        </is>
      </c>
    </row>
    <row r="4148">
      <c r="A4148" s="4" t="n">
        <v>4147</v>
      </c>
      <c r="B4148" s="4" t="inlineStr">
        <is>
          <t>00936</t>
        </is>
      </c>
      <c r="C4148" s="4" t="inlineStr">
        <is>
          <t>00936</t>
        </is>
      </c>
      <c r="D4148" s="29" t="inlineStr">
        <is>
          <t>ZELİHA KEİREMETÇİ</t>
        </is>
      </c>
      <c r="E4148" s="4" t="inlineStr">
        <is>
          <t>Salı</t>
        </is>
      </c>
      <c r="F4148" s="4" t="inlineStr">
        <is>
          <t>6.10.2026</t>
        </is>
      </c>
      <c r="G4148" s="4" t="inlineStr">
        <is>
          <t>07:59</t>
        </is>
      </c>
      <c r="H4148" s="4" t="inlineStr">
        <is>
          <t>6.10.2026</t>
        </is>
      </c>
      <c r="I4148" s="4" t="inlineStr">
        <is>
          <t>17:45</t>
        </is>
      </c>
      <c r="J4148" s="8" t="n">
        <v>8.5</v>
      </c>
      <c r="K4148" s="8" t="n">
        <v>7.5</v>
      </c>
      <c r="L4148" s="8" t="n">
        <v>1</v>
      </c>
      <c r="M4148" s="29" t="inlineStr">
        <is>
          <t>GÜVEN MUSTAFAKEMALPAŞA</t>
        </is>
      </c>
    </row>
    <row r="4149">
      <c r="A4149" s="4" t="n">
        <v>4148</v>
      </c>
      <c r="B4149" s="4" t="inlineStr">
        <is>
          <t>00936</t>
        </is>
      </c>
      <c r="C4149" s="4" t="inlineStr">
        <is>
          <t>00936</t>
        </is>
      </c>
      <c r="D4149" s="29" t="inlineStr">
        <is>
          <t>ZELİHA KEİREMETÇİ</t>
        </is>
      </c>
      <c r="E4149" s="4" t="inlineStr">
        <is>
          <t>Çarşamba</t>
        </is>
      </c>
      <c r="F4149" s="4" t="inlineStr">
        <is>
          <t>7.10.2026</t>
        </is>
      </c>
      <c r="G4149" s="4" t="inlineStr">
        <is>
          <t>07:53</t>
        </is>
      </c>
      <c r="H4149" s="4" t="inlineStr">
        <is>
          <t>7.10.2026</t>
        </is>
      </c>
      <c r="I4149" s="4" t="inlineStr">
        <is>
          <t>17:29</t>
        </is>
      </c>
      <c r="J4149" s="8" t="n">
        <v>8</v>
      </c>
      <c r="K4149" s="8" t="n">
        <v>7.5</v>
      </c>
      <c r="L4149" s="8" t="n">
        <v>0.5</v>
      </c>
      <c r="M4149" s="29" t="inlineStr">
        <is>
          <t>GÜVEN MUSTAFAKEMALPAŞA</t>
        </is>
      </c>
    </row>
    <row r="4150">
      <c r="A4150" s="4" t="n">
        <v>4149</v>
      </c>
      <c r="B4150" s="4" t="inlineStr">
        <is>
          <t>00936</t>
        </is>
      </c>
      <c r="C4150" s="4" t="inlineStr">
        <is>
          <t>00936</t>
        </is>
      </c>
      <c r="D4150" s="29" t="inlineStr">
        <is>
          <t>ZELİHA KEİREMETÇİ</t>
        </is>
      </c>
      <c r="E4150" s="4" t="inlineStr">
        <is>
          <t>Perşembe</t>
        </is>
      </c>
      <c r="F4150" s="4" t="inlineStr">
        <is>
          <t>8.10.2026</t>
        </is>
      </c>
      <c r="G4150" s="4" t="inlineStr">
        <is>
          <t>07:51</t>
        </is>
      </c>
      <c r="H4150" s="4" t="inlineStr">
        <is>
          <t>8.10.2026</t>
        </is>
      </c>
      <c r="I4150" s="4" t="inlineStr">
        <is>
          <t>17:39</t>
        </is>
      </c>
      <c r="J4150" s="8" t="n">
        <v>8</v>
      </c>
      <c r="K4150" s="8" t="n">
        <v>7.5</v>
      </c>
      <c r="L4150" s="8" t="n">
        <v>0.5</v>
      </c>
      <c r="M4150" s="29" t="inlineStr">
        <is>
          <t>GÜVEN MUSTAFAKEMALPAŞA</t>
        </is>
      </c>
    </row>
    <row r="4151">
      <c r="A4151" s="4" t="n">
        <v>4150</v>
      </c>
      <c r="B4151" s="4" t="inlineStr">
        <is>
          <t>00936</t>
        </is>
      </c>
      <c r="C4151" s="4" t="inlineStr">
        <is>
          <t>00936</t>
        </is>
      </c>
      <c r="D4151" s="29" t="inlineStr">
        <is>
          <t>ZELİHA KEİREMETÇİ</t>
        </is>
      </c>
      <c r="E4151" s="4" t="inlineStr">
        <is>
          <t>Cuma</t>
        </is>
      </c>
      <c r="F4151" s="4" t="inlineStr">
        <is>
          <t>9.10.2026</t>
        </is>
      </c>
      <c r="G4151" s="4" t="inlineStr">
        <is>
          <t>07:50</t>
        </is>
      </c>
      <c r="H4151" s="4" t="inlineStr">
        <is>
          <t>9.10.2026</t>
        </is>
      </c>
      <c r="I4151" s="4" t="inlineStr">
        <is>
          <t>17:48</t>
        </is>
      </c>
      <c r="J4151" s="8" t="n">
        <v>8.5</v>
      </c>
      <c r="K4151" s="8" t="n">
        <v>7.5</v>
      </c>
      <c r="L4151" s="8" t="n">
        <v>1</v>
      </c>
      <c r="M4151" s="29" t="inlineStr">
        <is>
          <t>GÜVEN MUSTAFAKEMALPAŞA</t>
        </is>
      </c>
    </row>
    <row r="4152">
      <c r="A4152" s="4" t="n">
        <v>4151</v>
      </c>
      <c r="B4152" s="4" t="inlineStr">
        <is>
          <t>00936</t>
        </is>
      </c>
      <c r="C4152" s="4" t="inlineStr">
        <is>
          <t>00936</t>
        </is>
      </c>
      <c r="D4152" s="29" t="inlineStr">
        <is>
          <t>ZELİHA KEİREMETÇİ</t>
        </is>
      </c>
      <c r="E4152" s="4" t="inlineStr">
        <is>
          <t>Cumartesi</t>
        </is>
      </c>
      <c r="F4152" s="4" t="inlineStr">
        <is>
          <t>10.10.2026</t>
        </is>
      </c>
      <c r="G4152" s="4" t="inlineStr">
        <is>
          <t>07:49</t>
        </is>
      </c>
      <c r="H4152" s="4" t="inlineStr">
        <is>
          <t>10.10.2026</t>
        </is>
      </c>
      <c r="I4152" s="4" t="inlineStr">
        <is>
          <t>18:14</t>
        </is>
      </c>
      <c r="J4152" s="8" t="n">
        <v>8.5</v>
      </c>
      <c r="K4152" s="8" t="n">
        <v>7.5</v>
      </c>
      <c r="L4152" s="8" t="n">
        <v>1</v>
      </c>
      <c r="M4152" s="29" t="inlineStr">
        <is>
          <t>GÜVEN MUSTAFAKEMALPAŞA</t>
        </is>
      </c>
    </row>
    <row r="4153">
      <c r="A4153" s="4" t="n">
        <v>4152</v>
      </c>
      <c r="B4153" s="4" t="inlineStr">
        <is>
          <t>00936</t>
        </is>
      </c>
      <c r="C4153" s="4" t="inlineStr">
        <is>
          <t>00936</t>
        </is>
      </c>
      <c r="D4153" s="29" t="inlineStr">
        <is>
          <t>ZELİHA KEİREMETÇİ</t>
        </is>
      </c>
      <c r="E4153" s="4" t="inlineStr">
        <is>
          <t>Salı</t>
        </is>
      </c>
      <c r="F4153" s="4" t="inlineStr">
        <is>
          <t>13.10.2026</t>
        </is>
      </c>
      <c r="G4153" s="4" t="inlineStr">
        <is>
          <t>07:51</t>
        </is>
      </c>
      <c r="H4153" s="4" t="inlineStr">
        <is>
          <t>13.10.2026</t>
        </is>
      </c>
      <c r="I4153" s="4" t="inlineStr">
        <is>
          <t>17:05</t>
        </is>
      </c>
      <c r="J4153" s="8" t="n">
        <v>7.5</v>
      </c>
      <c r="K4153" s="8" t="n">
        <v>7.5</v>
      </c>
      <c r="L4153" s="8" t="n">
        <v>0</v>
      </c>
      <c r="M4153" s="29" t="inlineStr">
        <is>
          <t>GÜVEN MUSTAFAKEMALPAŞA</t>
        </is>
      </c>
    </row>
    <row r="4154">
      <c r="A4154" s="4" t="n">
        <v>4153</v>
      </c>
      <c r="B4154" s="4" t="inlineStr">
        <is>
          <t>00936</t>
        </is>
      </c>
      <c r="C4154" s="4" t="inlineStr">
        <is>
          <t>00936</t>
        </is>
      </c>
      <c r="D4154" s="29" t="inlineStr">
        <is>
          <t>ZELİHA KEİREMETÇİ</t>
        </is>
      </c>
      <c r="E4154" s="4" t="inlineStr">
        <is>
          <t>Çarşamba</t>
        </is>
      </c>
      <c r="F4154" s="4" t="inlineStr">
        <is>
          <t>14.10.2026</t>
        </is>
      </c>
      <c r="G4154" s="4" t="inlineStr">
        <is>
          <t>07:52</t>
        </is>
      </c>
      <c r="H4154" s="4" t="inlineStr">
        <is>
          <t>14.10.2026</t>
        </is>
      </c>
      <c r="I4154" s="4" t="inlineStr">
        <is>
          <t>18:08</t>
        </is>
      </c>
      <c r="J4154" s="8" t="n">
        <v>8.5</v>
      </c>
      <c r="K4154" s="8" t="n">
        <v>7.5</v>
      </c>
      <c r="L4154" s="8" t="n">
        <v>1</v>
      </c>
      <c r="M4154" s="29" t="inlineStr">
        <is>
          <t>GÜVEN MUSTAFAKEMALPAŞA</t>
        </is>
      </c>
    </row>
    <row r="4155">
      <c r="A4155" s="4" t="n">
        <v>4154</v>
      </c>
      <c r="B4155" s="4" t="inlineStr">
        <is>
          <t>00936</t>
        </is>
      </c>
      <c r="C4155" s="4" t="inlineStr">
        <is>
          <t>00936</t>
        </is>
      </c>
      <c r="D4155" s="29" t="inlineStr">
        <is>
          <t>ZELİHA KEİREMETÇİ</t>
        </is>
      </c>
      <c r="E4155" s="4" t="inlineStr">
        <is>
          <t>Perşembe</t>
        </is>
      </c>
      <c r="F4155" s="4" t="inlineStr">
        <is>
          <t>15.10.2026</t>
        </is>
      </c>
      <c r="G4155" s="4" t="inlineStr">
        <is>
          <t>07:55</t>
        </is>
      </c>
      <c r="H4155" s="4" t="inlineStr">
        <is>
          <t>15.10.2026</t>
        </is>
      </c>
      <c r="I4155" s="4" t="inlineStr">
        <is>
          <t>17:05</t>
        </is>
      </c>
      <c r="J4155" s="8" t="n">
        <v>7.5</v>
      </c>
      <c r="K4155" s="8" t="n">
        <v>7.5</v>
      </c>
      <c r="L4155" s="8" t="n">
        <v>0</v>
      </c>
      <c r="M4155" s="29" t="inlineStr">
        <is>
          <t>GÜVEN MUSTAFAKEMALPAŞA</t>
        </is>
      </c>
    </row>
    <row r="4156">
      <c r="A4156" s="4" t="n">
        <v>4155</v>
      </c>
      <c r="B4156" s="4" t="inlineStr">
        <is>
          <t>00936</t>
        </is>
      </c>
      <c r="C4156" s="4" t="inlineStr">
        <is>
          <t>00936</t>
        </is>
      </c>
      <c r="D4156" s="29" t="inlineStr">
        <is>
          <t>ZELİHA KEİREMETÇİ</t>
        </is>
      </c>
      <c r="E4156" s="4" t="inlineStr">
        <is>
          <t>Cuma</t>
        </is>
      </c>
      <c r="F4156" s="4" t="inlineStr">
        <is>
          <t>16.10.2026</t>
        </is>
      </c>
      <c r="G4156" s="4" t="inlineStr">
        <is>
          <t>07:51</t>
        </is>
      </c>
      <c r="H4156" s="4" t="inlineStr">
        <is>
          <t>16.10.2026</t>
        </is>
      </c>
      <c r="I4156" s="4" t="inlineStr">
        <is>
          <t>17:20</t>
        </is>
      </c>
      <c r="J4156" s="8" t="n">
        <v>7.5</v>
      </c>
      <c r="K4156" s="8" t="n">
        <v>7.5</v>
      </c>
      <c r="L4156" s="8" t="n">
        <v>0</v>
      </c>
      <c r="M4156" s="29" t="inlineStr">
        <is>
          <t>GÜVEN MUSTAFAKEMALPAŞA</t>
        </is>
      </c>
    </row>
    <row r="4157">
      <c r="A4157" s="4" t="n">
        <v>4156</v>
      </c>
      <c r="B4157" s="4" t="inlineStr">
        <is>
          <t>00936</t>
        </is>
      </c>
      <c r="C4157" s="4" t="inlineStr">
        <is>
          <t>00936</t>
        </is>
      </c>
      <c r="D4157" s="29" t="inlineStr">
        <is>
          <t>ZELİHA KEİREMETÇİ</t>
        </is>
      </c>
      <c r="E4157" s="4" t="inlineStr">
        <is>
          <t>Cumartesi</t>
        </is>
      </c>
      <c r="F4157" s="4" t="inlineStr">
        <is>
          <t>17.10.2026</t>
        </is>
      </c>
      <c r="G4157" s="4" t="inlineStr">
        <is>
          <t>07:53</t>
        </is>
      </c>
      <c r="H4157" s="4" t="inlineStr">
        <is>
          <t>17.10.2026</t>
        </is>
      </c>
      <c r="I4157" s="4" t="inlineStr">
        <is>
          <t>17:56</t>
        </is>
      </c>
      <c r="J4157" s="8" t="n">
        <v>8.5</v>
      </c>
      <c r="K4157" s="8" t="n">
        <v>7.5</v>
      </c>
      <c r="L4157" s="8" t="n">
        <v>1</v>
      </c>
      <c r="M4157" s="29" t="inlineStr">
        <is>
          <t>GÜVEN MUSTAFAKEMALPAŞA</t>
        </is>
      </c>
    </row>
    <row r="4158">
      <c r="A4158" s="4" t="n">
        <v>4157</v>
      </c>
      <c r="B4158" s="4" t="inlineStr">
        <is>
          <t>00936</t>
        </is>
      </c>
      <c r="C4158" s="4" t="inlineStr">
        <is>
          <t>00936</t>
        </is>
      </c>
      <c r="D4158" s="29" t="inlineStr">
        <is>
          <t>ZELİHA KEİREMETÇİ</t>
        </is>
      </c>
      <c r="E4158" s="4" t="inlineStr">
        <is>
          <t>Pazartesi</t>
        </is>
      </c>
      <c r="F4158" s="4" t="inlineStr">
        <is>
          <t>19.10.2026</t>
        </is>
      </c>
      <c r="G4158" s="4" t="inlineStr">
        <is>
          <t>07:51</t>
        </is>
      </c>
      <c r="H4158" s="4" t="inlineStr">
        <is>
          <t>19.10.2026</t>
        </is>
      </c>
      <c r="I4158" s="4" t="inlineStr">
        <is>
          <t>17:49</t>
        </is>
      </c>
      <c r="J4158" s="8" t="n">
        <v>8.5</v>
      </c>
      <c r="K4158" s="8" t="n">
        <v>7.5</v>
      </c>
      <c r="L4158" s="8" t="n">
        <v>1</v>
      </c>
      <c r="M4158" s="29" t="inlineStr">
        <is>
          <t>GÜVEN MUSTAFAKEMALPAŞA</t>
        </is>
      </c>
    </row>
    <row r="4159">
      <c r="A4159" s="4" t="n">
        <v>4158</v>
      </c>
      <c r="B4159" s="4" t="inlineStr">
        <is>
          <t>00936</t>
        </is>
      </c>
      <c r="C4159" s="4" t="inlineStr">
        <is>
          <t>00936</t>
        </is>
      </c>
      <c r="D4159" s="29" t="inlineStr">
        <is>
          <t>ZELİHA KEİREMETÇİ</t>
        </is>
      </c>
      <c r="E4159" s="4" t="inlineStr">
        <is>
          <t>Salı</t>
        </is>
      </c>
      <c r="F4159" s="4" t="inlineStr">
        <is>
          <t>20.10.2026</t>
        </is>
      </c>
      <c r="G4159" s="4" t="inlineStr">
        <is>
          <t>07:52</t>
        </is>
      </c>
      <c r="H4159" s="4" t="inlineStr">
        <is>
          <t>20.10.2026</t>
        </is>
      </c>
      <c r="I4159" s="4" t="inlineStr">
        <is>
          <t>17:05</t>
        </is>
      </c>
      <c r="J4159" s="8" t="n">
        <v>7.5</v>
      </c>
      <c r="K4159" s="8" t="n">
        <v>7.5</v>
      </c>
      <c r="L4159" s="8" t="n">
        <v>0</v>
      </c>
      <c r="M4159" s="29" t="inlineStr">
        <is>
          <t>GÜVEN MUSTAFAKEMALPAŞA</t>
        </is>
      </c>
    </row>
    <row r="4160">
      <c r="A4160" s="4" t="n">
        <v>4159</v>
      </c>
      <c r="B4160" s="4" t="inlineStr">
        <is>
          <t>00936</t>
        </is>
      </c>
      <c r="C4160" s="4" t="inlineStr">
        <is>
          <t>00936</t>
        </is>
      </c>
      <c r="D4160" s="29" t="inlineStr">
        <is>
          <t>ZELİHA KEİREMETÇİ</t>
        </is>
      </c>
      <c r="E4160" s="4" t="inlineStr">
        <is>
          <t>Çarşamba</t>
        </is>
      </c>
      <c r="F4160" s="4" t="inlineStr">
        <is>
          <t>21.10.2026</t>
        </is>
      </c>
      <c r="G4160" s="4" t="inlineStr">
        <is>
          <t>07:48</t>
        </is>
      </c>
      <c r="H4160" s="4" t="inlineStr">
        <is>
          <t>21.10.2026</t>
        </is>
      </c>
      <c r="I4160" s="4" t="inlineStr">
        <is>
          <t>17:05</t>
        </is>
      </c>
      <c r="J4160" s="8" t="n">
        <v>7.5</v>
      </c>
      <c r="K4160" s="8" t="n">
        <v>7.5</v>
      </c>
      <c r="L4160" s="8" t="n">
        <v>0</v>
      </c>
      <c r="M4160" s="29" t="inlineStr">
        <is>
          <t>GÜVEN MUSTAFAKEMALPAŞA</t>
        </is>
      </c>
    </row>
    <row r="4161">
      <c r="A4161" s="4" t="n">
        <v>4160</v>
      </c>
      <c r="B4161" s="4" t="inlineStr">
        <is>
          <t>00937</t>
        </is>
      </c>
      <c r="C4161" s="4" t="inlineStr">
        <is>
          <t>00937</t>
        </is>
      </c>
      <c r="D4161" s="29" t="inlineStr">
        <is>
          <t>ZELİHA ORUÇ</t>
        </is>
      </c>
      <c r="E4161" s="4" t="inlineStr">
        <is>
          <t>Perşembe</t>
        </is>
      </c>
      <c r="F4161" s="4" t="inlineStr">
        <is>
          <t>1.10.2026</t>
        </is>
      </c>
      <c r="G4161" s="4" t="inlineStr">
        <is>
          <t>07:56</t>
        </is>
      </c>
      <c r="H4161" s="4" t="inlineStr">
        <is>
          <t>1.10.2026</t>
        </is>
      </c>
      <c r="I4161" s="4" t="inlineStr">
        <is>
          <t>17:31</t>
        </is>
      </c>
      <c r="J4161" s="8" t="n">
        <v>8</v>
      </c>
      <c r="K4161" s="8" t="n">
        <v>7.5</v>
      </c>
      <c r="L4161" s="8" t="n">
        <v>0.5</v>
      </c>
      <c r="M4161" s="29" t="inlineStr">
        <is>
          <t>GÜVEN MUSTAFAKEMALPAŞA</t>
        </is>
      </c>
    </row>
    <row r="4162">
      <c r="A4162" s="4" t="n">
        <v>4161</v>
      </c>
      <c r="B4162" s="4" t="inlineStr">
        <is>
          <t>00937</t>
        </is>
      </c>
      <c r="C4162" s="4" t="inlineStr">
        <is>
          <t>00937</t>
        </is>
      </c>
      <c r="D4162" s="29" t="inlineStr">
        <is>
          <t>ZELİHA ORUÇ</t>
        </is>
      </c>
      <c r="E4162" s="4" t="inlineStr">
        <is>
          <t>Cuma</t>
        </is>
      </c>
      <c r="F4162" s="4" t="inlineStr">
        <is>
          <t>2.10.2026</t>
        </is>
      </c>
      <c r="G4162" s="4" t="inlineStr">
        <is>
          <t>07:52</t>
        </is>
      </c>
      <c r="H4162" s="4" t="inlineStr">
        <is>
          <t>2.10.2026</t>
        </is>
      </c>
      <c r="I4162" s="4" t="inlineStr">
        <is>
          <t>17:48</t>
        </is>
      </c>
      <c r="J4162" s="8" t="n">
        <v>8.5</v>
      </c>
      <c r="K4162" s="8" t="n">
        <v>7.5</v>
      </c>
      <c r="L4162" s="8" t="n">
        <v>1</v>
      </c>
      <c r="M4162" s="29" t="inlineStr">
        <is>
          <t>GÜVEN MUSTAFAKEMALPAŞA</t>
        </is>
      </c>
    </row>
    <row r="4163">
      <c r="A4163" s="4" t="n">
        <v>4162</v>
      </c>
      <c r="B4163" s="4" t="inlineStr">
        <is>
          <t>00937</t>
        </is>
      </c>
      <c r="C4163" s="4" t="inlineStr">
        <is>
          <t>00937</t>
        </is>
      </c>
      <c r="D4163" s="29" t="inlineStr">
        <is>
          <t>ZELİHA ORUÇ</t>
        </is>
      </c>
      <c r="E4163" s="4" t="inlineStr">
        <is>
          <t>Cumartesi</t>
        </is>
      </c>
      <c r="F4163" s="4" t="inlineStr">
        <is>
          <t>3.10.2026</t>
        </is>
      </c>
      <c r="G4163" s="4" t="inlineStr">
        <is>
          <t>07:48</t>
        </is>
      </c>
      <c r="H4163" s="4" t="inlineStr">
        <is>
          <t>3.10.2026</t>
        </is>
      </c>
      <c r="I4163" s="4" t="inlineStr">
        <is>
          <t>17:35</t>
        </is>
      </c>
      <c r="J4163" s="8" t="n">
        <v>8</v>
      </c>
      <c r="K4163" s="8" t="n">
        <v>7.5</v>
      </c>
      <c r="L4163" s="8" t="n">
        <v>0.5</v>
      </c>
      <c r="M4163" s="29" t="inlineStr">
        <is>
          <t>GÜVEN MUSTAFAKEMALPAŞA</t>
        </is>
      </c>
    </row>
    <row r="4164">
      <c r="A4164" s="4" t="n">
        <v>4163</v>
      </c>
      <c r="B4164" s="4" t="inlineStr">
        <is>
          <t>00937</t>
        </is>
      </c>
      <c r="C4164" s="4" t="inlineStr">
        <is>
          <t>00937</t>
        </is>
      </c>
      <c r="D4164" s="29" t="inlineStr">
        <is>
          <t>ZELİHA ORUÇ</t>
        </is>
      </c>
      <c r="E4164" s="4" t="inlineStr">
        <is>
          <t>Pazartesi</t>
        </is>
      </c>
      <c r="F4164" s="4" t="inlineStr">
        <is>
          <t>5.10.2026</t>
        </is>
      </c>
      <c r="G4164" s="4" t="inlineStr">
        <is>
          <t>07:49</t>
        </is>
      </c>
      <c r="H4164" s="4" t="inlineStr">
        <is>
          <t>5.10.2026</t>
        </is>
      </c>
      <c r="I4164" s="4" t="inlineStr">
        <is>
          <t>17:05</t>
        </is>
      </c>
      <c r="J4164" s="8" t="n">
        <v>7.5</v>
      </c>
      <c r="K4164" s="8" t="n">
        <v>7.5</v>
      </c>
      <c r="L4164" s="8" t="n">
        <v>0</v>
      </c>
      <c r="M4164" s="29" t="inlineStr">
        <is>
          <t>GÜVEN MUSTAFAKEMALPAŞA</t>
        </is>
      </c>
    </row>
    <row r="4165">
      <c r="A4165" s="4" t="n">
        <v>4164</v>
      </c>
      <c r="B4165" s="4" t="inlineStr">
        <is>
          <t>00937</t>
        </is>
      </c>
      <c r="C4165" s="4" t="inlineStr">
        <is>
          <t>00937</t>
        </is>
      </c>
      <c r="D4165" s="29" t="inlineStr">
        <is>
          <t>ZELİHA ORUÇ</t>
        </is>
      </c>
      <c r="E4165" s="4" t="inlineStr">
        <is>
          <t>Salı</t>
        </is>
      </c>
      <c r="F4165" s="4" t="inlineStr">
        <is>
          <t>6.10.2026</t>
        </is>
      </c>
      <c r="G4165" s="4" t="inlineStr">
        <is>
          <t>07:59</t>
        </is>
      </c>
      <c r="H4165" s="4" t="inlineStr">
        <is>
          <t>6.10.2026</t>
        </is>
      </c>
      <c r="I4165" s="4" t="inlineStr">
        <is>
          <t>17:43</t>
        </is>
      </c>
      <c r="J4165" s="8" t="n">
        <v>8</v>
      </c>
      <c r="K4165" s="8" t="n">
        <v>7.5</v>
      </c>
      <c r="L4165" s="8" t="n">
        <v>0.5</v>
      </c>
      <c r="M4165" s="29" t="inlineStr">
        <is>
          <t>GÜVEN MUSTAFAKEMALPAŞA</t>
        </is>
      </c>
    </row>
    <row r="4166">
      <c r="A4166" s="4" t="n">
        <v>4165</v>
      </c>
      <c r="B4166" s="4" t="inlineStr">
        <is>
          <t>00937</t>
        </is>
      </c>
      <c r="C4166" s="4" t="inlineStr">
        <is>
          <t>00937</t>
        </is>
      </c>
      <c r="D4166" s="29" t="inlineStr">
        <is>
          <t>ZELİHA ORUÇ</t>
        </is>
      </c>
      <c r="E4166" s="4" t="inlineStr">
        <is>
          <t>Çarşamba</t>
        </is>
      </c>
      <c r="F4166" s="4" t="inlineStr">
        <is>
          <t>7.10.2026</t>
        </is>
      </c>
      <c r="G4166" s="4" t="inlineStr">
        <is>
          <t>07:52</t>
        </is>
      </c>
      <c r="H4166" s="4" t="inlineStr">
        <is>
          <t>7.10.2026</t>
        </is>
      </c>
      <c r="I4166" s="4" t="inlineStr">
        <is>
          <t>17:25</t>
        </is>
      </c>
      <c r="J4166" s="8" t="n">
        <v>8</v>
      </c>
      <c r="K4166" s="8" t="n">
        <v>7.5</v>
      </c>
      <c r="L4166" s="8" t="n">
        <v>0.5</v>
      </c>
      <c r="M4166" s="29" t="inlineStr">
        <is>
          <t>GÜVEN MUSTAFAKEMALPAŞA</t>
        </is>
      </c>
    </row>
    <row r="4167">
      <c r="A4167" s="4" t="n">
        <v>4166</v>
      </c>
      <c r="B4167" s="4" t="inlineStr">
        <is>
          <t>00937</t>
        </is>
      </c>
      <c r="C4167" s="4" t="inlineStr">
        <is>
          <t>00937</t>
        </is>
      </c>
      <c r="D4167" s="29" t="inlineStr">
        <is>
          <t>ZELİHA ORUÇ</t>
        </is>
      </c>
      <c r="E4167" s="4" t="inlineStr">
        <is>
          <t>Perşembe</t>
        </is>
      </c>
      <c r="F4167" s="4" t="inlineStr">
        <is>
          <t>8.10.2026</t>
        </is>
      </c>
      <c r="G4167" s="4" t="inlineStr">
        <is>
          <t>07:50</t>
        </is>
      </c>
      <c r="H4167" s="4" t="inlineStr">
        <is>
          <t>8.10.2026</t>
        </is>
      </c>
      <c r="I4167" s="4" t="inlineStr">
        <is>
          <t>17:36</t>
        </is>
      </c>
      <c r="J4167" s="8" t="n">
        <v>8</v>
      </c>
      <c r="K4167" s="8" t="n">
        <v>7.5</v>
      </c>
      <c r="L4167" s="8" t="n">
        <v>0.5</v>
      </c>
      <c r="M4167" s="29" t="inlineStr">
        <is>
          <t>GÜVEN MUSTAFAKEMALPAŞA</t>
        </is>
      </c>
    </row>
    <row r="4168">
      <c r="A4168" s="4" t="n">
        <v>4167</v>
      </c>
      <c r="B4168" s="4" t="inlineStr">
        <is>
          <t>00937</t>
        </is>
      </c>
      <c r="C4168" s="4" t="inlineStr">
        <is>
          <t>00937</t>
        </is>
      </c>
      <c r="D4168" s="29" t="inlineStr">
        <is>
          <t>ZELİHA ORUÇ</t>
        </is>
      </c>
      <c r="E4168" s="4" t="inlineStr">
        <is>
          <t>Cuma</t>
        </is>
      </c>
      <c r="F4168" s="4" t="inlineStr">
        <is>
          <t>9.10.2026</t>
        </is>
      </c>
      <c r="G4168" s="4" t="inlineStr">
        <is>
          <t>07:49</t>
        </is>
      </c>
      <c r="H4168" s="4" t="inlineStr">
        <is>
          <t>9.10.2026</t>
        </is>
      </c>
      <c r="I4168" s="4" t="inlineStr">
        <is>
          <t>17:43</t>
        </is>
      </c>
      <c r="J4168" s="8" t="n">
        <v>8</v>
      </c>
      <c r="K4168" s="8" t="n">
        <v>7.5</v>
      </c>
      <c r="L4168" s="8" t="n">
        <v>0.5</v>
      </c>
      <c r="M4168" s="29" t="inlineStr">
        <is>
          <t>GÜVEN MUSTAFAKEMALPAŞA</t>
        </is>
      </c>
    </row>
    <row r="4169">
      <c r="A4169" s="4" t="n">
        <v>4168</v>
      </c>
      <c r="B4169" s="4" t="inlineStr">
        <is>
          <t>00937</t>
        </is>
      </c>
      <c r="C4169" s="4" t="inlineStr">
        <is>
          <t>00937</t>
        </is>
      </c>
      <c r="D4169" s="29" t="inlineStr">
        <is>
          <t>ZELİHA ORUÇ</t>
        </is>
      </c>
      <c r="E4169" s="4" t="inlineStr">
        <is>
          <t>Cumartesi</t>
        </is>
      </c>
      <c r="F4169" s="4" t="inlineStr">
        <is>
          <t>10.10.2026</t>
        </is>
      </c>
      <c r="G4169" s="4" t="inlineStr">
        <is>
          <t>07:49</t>
        </is>
      </c>
      <c r="H4169" s="4" t="inlineStr">
        <is>
          <t>10.10.2026</t>
        </is>
      </c>
      <c r="I4169" s="4" t="inlineStr">
        <is>
          <t>18:08</t>
        </is>
      </c>
      <c r="J4169" s="8" t="n">
        <v>8.5</v>
      </c>
      <c r="K4169" s="8" t="n">
        <v>7.5</v>
      </c>
      <c r="L4169" s="8" t="n">
        <v>1</v>
      </c>
      <c r="M4169" s="29" t="inlineStr">
        <is>
          <t>GÜVEN MUSTAFAKEMALPAŞA</t>
        </is>
      </c>
    </row>
    <row r="4170">
      <c r="A4170" s="4" t="n">
        <v>4169</v>
      </c>
      <c r="B4170" s="4" t="inlineStr">
        <is>
          <t>00937</t>
        </is>
      </c>
      <c r="C4170" s="4" t="inlineStr">
        <is>
          <t>00937</t>
        </is>
      </c>
      <c r="D4170" s="29" t="inlineStr">
        <is>
          <t>ZELİHA ORUÇ</t>
        </is>
      </c>
      <c r="E4170" s="4" t="inlineStr">
        <is>
          <t>Pazartesi</t>
        </is>
      </c>
      <c r="F4170" s="4" t="inlineStr">
        <is>
          <t>12.10.2026</t>
        </is>
      </c>
      <c r="G4170" s="4" t="inlineStr">
        <is>
          <t>07:52</t>
        </is>
      </c>
      <c r="H4170" s="4" t="inlineStr">
        <is>
          <t>12.10.2026</t>
        </is>
      </c>
      <c r="I4170" s="4" t="inlineStr">
        <is>
          <t>17:03</t>
        </is>
      </c>
      <c r="J4170" s="8" t="n">
        <v>7.5</v>
      </c>
      <c r="K4170" s="8" t="n">
        <v>7.5</v>
      </c>
      <c r="L4170" s="8" t="n">
        <v>0</v>
      </c>
      <c r="M4170" s="29" t="inlineStr">
        <is>
          <t>GÜVEN MUSTAFAKEMALPAŞA</t>
        </is>
      </c>
    </row>
    <row r="4171">
      <c r="A4171" s="4" t="n">
        <v>4170</v>
      </c>
      <c r="B4171" s="4" t="inlineStr">
        <is>
          <t>00937</t>
        </is>
      </c>
      <c r="C4171" s="4" t="inlineStr">
        <is>
          <t>00937</t>
        </is>
      </c>
      <c r="D4171" s="29" t="inlineStr">
        <is>
          <t>ZELİHA ORUÇ</t>
        </is>
      </c>
      <c r="E4171" s="4" t="inlineStr">
        <is>
          <t>Salı</t>
        </is>
      </c>
      <c r="F4171" s="4" t="inlineStr">
        <is>
          <t>13.10.2026</t>
        </is>
      </c>
      <c r="G4171" s="4" t="inlineStr">
        <is>
          <t>07:50</t>
        </is>
      </c>
      <c r="H4171" s="4" t="inlineStr">
        <is>
          <t>13.10.2026</t>
        </is>
      </c>
      <c r="I4171" s="4" t="inlineStr">
        <is>
          <t>17:00</t>
        </is>
      </c>
      <c r="J4171" s="8" t="n">
        <v>7.5</v>
      </c>
      <c r="K4171" s="8" t="n">
        <v>7.5</v>
      </c>
      <c r="L4171" s="8" t="n">
        <v>0</v>
      </c>
      <c r="M4171" s="29" t="inlineStr">
        <is>
          <t>GÜVEN MUSTAFAKEMALPAŞA</t>
        </is>
      </c>
    </row>
    <row r="4172">
      <c r="A4172" s="4" t="n">
        <v>4171</v>
      </c>
      <c r="B4172" s="4" t="inlineStr">
        <is>
          <t>00937</t>
        </is>
      </c>
      <c r="C4172" s="4" t="inlineStr">
        <is>
          <t>00937</t>
        </is>
      </c>
      <c r="D4172" s="29" t="inlineStr">
        <is>
          <t>ZELİHA ORUÇ</t>
        </is>
      </c>
      <c r="E4172" s="4" t="inlineStr">
        <is>
          <t>Çarşamba</t>
        </is>
      </c>
      <c r="F4172" s="4" t="inlineStr">
        <is>
          <t>14.10.2026</t>
        </is>
      </c>
      <c r="G4172" s="4" t="inlineStr">
        <is>
          <t>07:52</t>
        </is>
      </c>
      <c r="H4172" s="4" t="inlineStr">
        <is>
          <t>14.10.2026</t>
        </is>
      </c>
      <c r="I4172" s="4" t="inlineStr">
        <is>
          <t>18:06</t>
        </is>
      </c>
      <c r="J4172" s="8" t="n">
        <v>8.5</v>
      </c>
      <c r="K4172" s="8" t="n">
        <v>7.5</v>
      </c>
      <c r="L4172" s="8" t="n">
        <v>1</v>
      </c>
      <c r="M4172" s="29" t="inlineStr">
        <is>
          <t>GÜVEN MUSTAFAKEMALPAŞA</t>
        </is>
      </c>
    </row>
    <row r="4173">
      <c r="A4173" s="4" t="n">
        <v>4172</v>
      </c>
      <c r="B4173" s="4" t="inlineStr">
        <is>
          <t>00937</t>
        </is>
      </c>
      <c r="C4173" s="4" t="inlineStr">
        <is>
          <t>00937</t>
        </is>
      </c>
      <c r="D4173" s="29" t="inlineStr">
        <is>
          <t>ZELİHA ORUÇ</t>
        </is>
      </c>
      <c r="E4173" s="4" t="inlineStr">
        <is>
          <t>Perşembe</t>
        </is>
      </c>
      <c r="F4173" s="4" t="inlineStr">
        <is>
          <t>15.10.2026</t>
        </is>
      </c>
      <c r="G4173" s="4" t="inlineStr">
        <is>
          <t>07:55</t>
        </is>
      </c>
      <c r="H4173" s="4" t="inlineStr">
        <is>
          <t>15.10.2026</t>
        </is>
      </c>
      <c r="I4173" s="4" t="inlineStr">
        <is>
          <t>17:02</t>
        </is>
      </c>
      <c r="J4173" s="8" t="n">
        <v>7.5</v>
      </c>
      <c r="K4173" s="8" t="n">
        <v>7.5</v>
      </c>
      <c r="L4173" s="8" t="n">
        <v>0</v>
      </c>
      <c r="M4173" s="29" t="inlineStr">
        <is>
          <t>GÜVEN MUSTAFAKEMALPAŞA</t>
        </is>
      </c>
    </row>
    <row r="4174">
      <c r="A4174" s="4" t="n">
        <v>4173</v>
      </c>
      <c r="B4174" s="4" t="inlineStr">
        <is>
          <t>00937</t>
        </is>
      </c>
      <c r="C4174" s="4" t="inlineStr">
        <is>
          <t>00937</t>
        </is>
      </c>
      <c r="D4174" s="29" t="inlineStr">
        <is>
          <t>ZELİHA ORUÇ</t>
        </is>
      </c>
      <c r="E4174" s="4" t="inlineStr">
        <is>
          <t>Cuma</t>
        </is>
      </c>
      <c r="F4174" s="4" t="inlineStr">
        <is>
          <t>16.10.2026</t>
        </is>
      </c>
      <c r="G4174" s="4" t="inlineStr">
        <is>
          <t>07:50</t>
        </is>
      </c>
      <c r="H4174" s="4" t="inlineStr">
        <is>
          <t>16.10.2026</t>
        </is>
      </c>
      <c r="I4174" s="4" t="inlineStr">
        <is>
          <t>17:24</t>
        </is>
      </c>
      <c r="J4174" s="8" t="n">
        <v>8</v>
      </c>
      <c r="K4174" s="8" t="n">
        <v>7.5</v>
      </c>
      <c r="L4174" s="8" t="n">
        <v>0.5</v>
      </c>
      <c r="M4174" s="29" t="inlineStr">
        <is>
          <t>GÜVEN MUSTAFAKEMALPAŞA</t>
        </is>
      </c>
    </row>
    <row r="4175">
      <c r="A4175" s="4" t="n">
        <v>4174</v>
      </c>
      <c r="B4175" s="4" t="inlineStr">
        <is>
          <t>00937</t>
        </is>
      </c>
      <c r="C4175" s="4" t="inlineStr">
        <is>
          <t>00937</t>
        </is>
      </c>
      <c r="D4175" s="29" t="inlineStr">
        <is>
          <t>ZELİHA ORUÇ</t>
        </is>
      </c>
      <c r="E4175" s="4" t="inlineStr">
        <is>
          <t>Cumartesi</t>
        </is>
      </c>
      <c r="F4175" s="4" t="inlineStr">
        <is>
          <t>17.10.2026</t>
        </is>
      </c>
      <c r="G4175" s="4" t="inlineStr">
        <is>
          <t>07:52</t>
        </is>
      </c>
      <c r="H4175" s="4" t="inlineStr">
        <is>
          <t>17.10.2026</t>
        </is>
      </c>
      <c r="I4175" s="4" t="inlineStr">
        <is>
          <t>17:51</t>
        </is>
      </c>
      <c r="J4175" s="8" t="n">
        <v>8.5</v>
      </c>
      <c r="K4175" s="8" t="n">
        <v>7.5</v>
      </c>
      <c r="L4175" s="8" t="n">
        <v>1</v>
      </c>
      <c r="M4175" s="29" t="inlineStr">
        <is>
          <t>GÜVEN MUSTAFAKEMALPAŞA</t>
        </is>
      </c>
    </row>
    <row r="4176">
      <c r="A4176" s="4" t="n">
        <v>4175</v>
      </c>
      <c r="B4176" s="4" t="inlineStr">
        <is>
          <t>00937</t>
        </is>
      </c>
      <c r="C4176" s="4" t="inlineStr">
        <is>
          <t>00937</t>
        </is>
      </c>
      <c r="D4176" s="29" t="inlineStr">
        <is>
          <t>ZELİHA ORUÇ</t>
        </is>
      </c>
      <c r="E4176" s="4" t="inlineStr">
        <is>
          <t>Pazartesi</t>
        </is>
      </c>
      <c r="F4176" s="4" t="inlineStr">
        <is>
          <t>19.10.2026</t>
        </is>
      </c>
      <c r="G4176" s="4" t="inlineStr">
        <is>
          <t>07:49</t>
        </is>
      </c>
      <c r="H4176" s="4" t="inlineStr">
        <is>
          <t>19.10.2026</t>
        </is>
      </c>
      <c r="I4176" s="4" t="inlineStr">
        <is>
          <t>17:45</t>
        </is>
      </c>
      <c r="J4176" s="8" t="n">
        <v>8.5</v>
      </c>
      <c r="K4176" s="8" t="n">
        <v>7.5</v>
      </c>
      <c r="L4176" s="8" t="n">
        <v>1</v>
      </c>
      <c r="M4176" s="29" t="inlineStr">
        <is>
          <t>GÜVEN MUSTAFAKEMALPAŞA</t>
        </is>
      </c>
    </row>
    <row r="4177">
      <c r="A4177" s="4" t="n">
        <v>4176</v>
      </c>
      <c r="B4177" s="4" t="inlineStr">
        <is>
          <t>00937</t>
        </is>
      </c>
      <c r="C4177" s="4" t="inlineStr">
        <is>
          <t>00937</t>
        </is>
      </c>
      <c r="D4177" s="29" t="inlineStr">
        <is>
          <t>ZELİHA ORUÇ</t>
        </is>
      </c>
      <c r="E4177" s="4" t="inlineStr">
        <is>
          <t>Salı</t>
        </is>
      </c>
      <c r="F4177" s="4" t="inlineStr">
        <is>
          <t>20.10.2026</t>
        </is>
      </c>
      <c r="G4177" s="4" t="inlineStr">
        <is>
          <t>07:52</t>
        </is>
      </c>
      <c r="H4177" s="4" t="inlineStr">
        <is>
          <t>20.10.2026</t>
        </is>
      </c>
      <c r="I4177" s="4" t="inlineStr">
        <is>
          <t>17:01</t>
        </is>
      </c>
      <c r="J4177" s="8" t="n">
        <v>7.5</v>
      </c>
      <c r="K4177" s="8" t="n">
        <v>7.5</v>
      </c>
      <c r="L4177" s="8" t="n">
        <v>0</v>
      </c>
      <c r="M4177" s="29" t="inlineStr">
        <is>
          <t>GÜVEN MUSTAFAKEMALPAŞA</t>
        </is>
      </c>
    </row>
    <row r="4178">
      <c r="A4178" s="4" t="n">
        <v>4177</v>
      </c>
      <c r="B4178" s="4" t="inlineStr">
        <is>
          <t>00937</t>
        </is>
      </c>
      <c r="C4178" s="4" t="inlineStr">
        <is>
          <t>00937</t>
        </is>
      </c>
      <c r="D4178" s="29" t="inlineStr">
        <is>
          <t>ZELİHA ORUÇ</t>
        </is>
      </c>
      <c r="E4178" s="4" t="inlineStr">
        <is>
          <t>Çarşamba</t>
        </is>
      </c>
      <c r="F4178" s="4" t="inlineStr">
        <is>
          <t>21.10.2026</t>
        </is>
      </c>
      <c r="G4178" s="4" t="inlineStr">
        <is>
          <t>07:48</t>
        </is>
      </c>
      <c r="H4178" s="4" t="inlineStr">
        <is>
          <t>21.10.2026</t>
        </is>
      </c>
      <c r="I4178" s="4" t="inlineStr">
        <is>
          <t>17:02</t>
        </is>
      </c>
      <c r="J4178" s="8" t="n">
        <v>7.5</v>
      </c>
      <c r="K4178" s="8" t="n">
        <v>7.5</v>
      </c>
      <c r="L4178" s="8" t="n">
        <v>0</v>
      </c>
      <c r="M4178" s="29" t="inlineStr">
        <is>
          <t>GÜVEN MUSTAFAKEMALPAŞA</t>
        </is>
      </c>
    </row>
    <row r="4179">
      <c r="A4179" s="4" t="n">
        <v>4178</v>
      </c>
      <c r="B4179" s="4" t="inlineStr">
        <is>
          <t>01472</t>
        </is>
      </c>
      <c r="C4179" s="4" t="inlineStr">
        <is>
          <t>01472</t>
        </is>
      </c>
      <c r="D4179" s="29" t="inlineStr">
        <is>
          <t>ZELİHA YAMAN</t>
        </is>
      </c>
      <c r="E4179" s="4" t="inlineStr">
        <is>
          <t>Perşembe</t>
        </is>
      </c>
      <c r="F4179" s="4" t="inlineStr">
        <is>
          <t>8.10.2026</t>
        </is>
      </c>
      <c r="G4179" s="4" t="inlineStr">
        <is>
          <t>07:49</t>
        </is>
      </c>
      <c r="H4179" s="4" t="inlineStr">
        <is>
          <t>8.10.2026</t>
        </is>
      </c>
      <c r="I4179" s="4" t="inlineStr">
        <is>
          <t>-</t>
        </is>
      </c>
      <c r="J4179" s="8" t="n">
        <v>7.5</v>
      </c>
      <c r="K4179" s="8" t="n">
        <v>7.5</v>
      </c>
      <c r="L4179" s="8" t="n">
        <v>0</v>
      </c>
      <c r="M4179" s="29" t="inlineStr">
        <is>
          <t>HALİL DİĞRENCİ</t>
        </is>
      </c>
    </row>
    <row r="4180">
      <c r="A4180" s="4" t="n">
        <v>4179</v>
      </c>
      <c r="B4180" s="4" t="inlineStr">
        <is>
          <t>01472</t>
        </is>
      </c>
      <c r="C4180" s="4" t="inlineStr">
        <is>
          <t>01472</t>
        </is>
      </c>
      <c r="D4180" s="29" t="inlineStr">
        <is>
          <t>ZELİHA YAMAN</t>
        </is>
      </c>
      <c r="E4180" s="4" t="inlineStr">
        <is>
          <t>Cuma</t>
        </is>
      </c>
      <c r="F4180" s="4" t="inlineStr">
        <is>
          <t>9.10.2026</t>
        </is>
      </c>
      <c r="G4180" s="4" t="inlineStr">
        <is>
          <t>07:53</t>
        </is>
      </c>
      <c r="H4180" s="4" t="inlineStr">
        <is>
          <t>9.10.2026</t>
        </is>
      </c>
      <c r="I4180" s="4" t="inlineStr">
        <is>
          <t>-</t>
        </is>
      </c>
      <c r="J4180" s="8" t="n">
        <v>7.5</v>
      </c>
      <c r="K4180" s="8" t="n">
        <v>7.5</v>
      </c>
      <c r="L4180" s="8" t="n">
        <v>0</v>
      </c>
      <c r="M4180" s="29" t="inlineStr">
        <is>
          <t>HALİL DİĞRENCİ</t>
        </is>
      </c>
    </row>
    <row r="4181">
      <c r="A4181" s="4" t="n">
        <v>4180</v>
      </c>
      <c r="B4181" s="4" t="inlineStr">
        <is>
          <t>01472</t>
        </is>
      </c>
      <c r="C4181" s="4" t="inlineStr">
        <is>
          <t>01472</t>
        </is>
      </c>
      <c r="D4181" s="29" t="inlineStr">
        <is>
          <t>ZELİHA YAMAN</t>
        </is>
      </c>
      <c r="E4181" s="4" t="inlineStr">
        <is>
          <t>Pazartesi</t>
        </is>
      </c>
      <c r="F4181" s="4" t="inlineStr">
        <is>
          <t>12.10.2026</t>
        </is>
      </c>
      <c r="G4181" s="4" t="inlineStr">
        <is>
          <t>07:59</t>
        </is>
      </c>
      <c r="H4181" s="4" t="inlineStr">
        <is>
          <t>12.10.2026</t>
        </is>
      </c>
      <c r="I4181" s="4" t="inlineStr">
        <is>
          <t>-</t>
        </is>
      </c>
      <c r="J4181" s="8" t="n">
        <v>7.5</v>
      </c>
      <c r="K4181" s="8" t="n">
        <v>7.5</v>
      </c>
      <c r="L4181" s="8" t="n">
        <v>0</v>
      </c>
      <c r="M4181" s="29" t="inlineStr">
        <is>
          <t>HALİL DİĞRENCİ</t>
        </is>
      </c>
    </row>
    <row r="4182">
      <c r="A4182" s="4" t="n">
        <v>4181</v>
      </c>
      <c r="B4182" s="4" t="inlineStr">
        <is>
          <t>01472</t>
        </is>
      </c>
      <c r="C4182" s="4" t="inlineStr">
        <is>
          <t>01472</t>
        </is>
      </c>
      <c r="D4182" s="29" t="inlineStr">
        <is>
          <t>ZELİHA YAMAN</t>
        </is>
      </c>
      <c r="E4182" s="4" t="inlineStr">
        <is>
          <t>Salı</t>
        </is>
      </c>
      <c r="F4182" s="4" t="inlineStr">
        <is>
          <t>13.10.2026</t>
        </is>
      </c>
      <c r="G4182" s="4" t="inlineStr">
        <is>
          <t>07:58</t>
        </is>
      </c>
      <c r="H4182" s="4" t="inlineStr">
        <is>
          <t>13.10.2026</t>
        </is>
      </c>
      <c r="I4182" s="4" t="inlineStr">
        <is>
          <t>-</t>
        </is>
      </c>
      <c r="J4182" s="8" t="n">
        <v>7.5</v>
      </c>
      <c r="K4182" s="8" t="n">
        <v>7.5</v>
      </c>
      <c r="L4182" s="8" t="n">
        <v>0</v>
      </c>
      <c r="M4182" s="29" t="inlineStr">
        <is>
          <t>HALİL DİĞRENCİ</t>
        </is>
      </c>
    </row>
    <row r="4183">
      <c r="A4183" s="4" t="n">
        <v>4182</v>
      </c>
      <c r="B4183" s="4" t="inlineStr">
        <is>
          <t>01472</t>
        </is>
      </c>
      <c r="C4183" s="4" t="inlineStr">
        <is>
          <t>01472</t>
        </is>
      </c>
      <c r="D4183" s="29" t="inlineStr">
        <is>
          <t>ZELİHA YAMAN</t>
        </is>
      </c>
      <c r="E4183" s="4" t="inlineStr">
        <is>
          <t>Perşembe</t>
        </is>
      </c>
      <c r="F4183" s="4" t="inlineStr">
        <is>
          <t>15.10.2026</t>
        </is>
      </c>
      <c r="G4183" s="4" t="inlineStr">
        <is>
          <t>08:10</t>
        </is>
      </c>
      <c r="H4183" s="4" t="inlineStr">
        <is>
          <t>15.10.2026</t>
        </is>
      </c>
      <c r="I4183" s="4" t="inlineStr">
        <is>
          <t>-</t>
        </is>
      </c>
      <c r="J4183" s="8" t="n">
        <v>7.5</v>
      </c>
      <c r="K4183" s="8" t="n">
        <v>7.5</v>
      </c>
      <c r="L4183" s="8" t="n">
        <v>0</v>
      </c>
      <c r="M4183" s="29" t="inlineStr">
        <is>
          <t>HALİL DİĞRENCİ</t>
        </is>
      </c>
    </row>
    <row r="4184">
      <c r="A4184" s="4" t="n">
        <v>4183</v>
      </c>
      <c r="B4184" s="4" t="inlineStr">
        <is>
          <t>01472</t>
        </is>
      </c>
      <c r="C4184" s="4" t="inlineStr">
        <is>
          <t>01472</t>
        </is>
      </c>
      <c r="D4184" s="29" t="inlineStr">
        <is>
          <t>ZELİHA YAMAN</t>
        </is>
      </c>
      <c r="E4184" s="4" t="inlineStr">
        <is>
          <t>Pazartesi</t>
        </is>
      </c>
      <c r="F4184" s="4" t="inlineStr">
        <is>
          <t>19.10.2026</t>
        </is>
      </c>
      <c r="G4184" s="4" t="inlineStr">
        <is>
          <t>08:05</t>
        </is>
      </c>
      <c r="H4184" s="4" t="inlineStr">
        <is>
          <t>19.10.2026</t>
        </is>
      </c>
      <c r="I4184" s="4" t="inlineStr">
        <is>
          <t>-</t>
        </is>
      </c>
      <c r="J4184" s="8" t="n">
        <v>7.5</v>
      </c>
      <c r="K4184" s="8" t="n">
        <v>7.5</v>
      </c>
      <c r="L4184" s="8" t="n">
        <v>0</v>
      </c>
      <c r="M4184" s="29" t="inlineStr">
        <is>
          <t>HALİL DİĞRENCİ</t>
        </is>
      </c>
    </row>
    <row r="4185">
      <c r="A4185" s="4" t="n">
        <v>4184</v>
      </c>
      <c r="B4185" s="4" t="inlineStr">
        <is>
          <t>01472</t>
        </is>
      </c>
      <c r="C4185" s="4" t="inlineStr">
        <is>
          <t>01472</t>
        </is>
      </c>
      <c r="D4185" s="29" t="inlineStr">
        <is>
          <t>ZELİHA YAMAN</t>
        </is>
      </c>
      <c r="E4185" s="4" t="inlineStr">
        <is>
          <t>Çarşamba</t>
        </is>
      </c>
      <c r="F4185" s="4" t="inlineStr">
        <is>
          <t>21.10.2026</t>
        </is>
      </c>
      <c r="G4185" s="4" t="inlineStr">
        <is>
          <t>07:57</t>
        </is>
      </c>
      <c r="H4185" s="4" t="inlineStr">
        <is>
          <t>21.10.2026</t>
        </is>
      </c>
      <c r="I4185" s="4" t="inlineStr">
        <is>
          <t>-</t>
        </is>
      </c>
      <c r="J4185" s="8" t="n">
        <v>7.5</v>
      </c>
      <c r="K4185" s="8" t="n">
        <v>7.5</v>
      </c>
      <c r="L4185" s="8" t="n">
        <v>0</v>
      </c>
      <c r="M4185" s="29" t="inlineStr">
        <is>
          <t>HALİL DİĞRENCİ</t>
        </is>
      </c>
    </row>
    <row r="4186">
      <c r="A4186" s="4" t="n">
        <v>4185</v>
      </c>
      <c r="B4186" s="4" t="inlineStr">
        <is>
          <t>00244</t>
        </is>
      </c>
      <c r="C4186" s="4" t="inlineStr">
        <is>
          <t>00244</t>
        </is>
      </c>
      <c r="D4186" s="29" t="inlineStr">
        <is>
          <t>ZEYNEP KARAMAN</t>
        </is>
      </c>
      <c r="E4186" s="4" t="inlineStr">
        <is>
          <t>Perşembe</t>
        </is>
      </c>
      <c r="F4186" s="4" t="inlineStr">
        <is>
          <t>1.10.2026</t>
        </is>
      </c>
      <c r="G4186" s="4" t="inlineStr">
        <is>
          <t>07:50</t>
        </is>
      </c>
      <c r="H4186" s="4" t="inlineStr">
        <is>
          <t>1.10.2026</t>
        </is>
      </c>
      <c r="I4186" s="4" t="inlineStr">
        <is>
          <t>17:24</t>
        </is>
      </c>
      <c r="J4186" s="8" t="n">
        <v>8</v>
      </c>
      <c r="K4186" s="8" t="n">
        <v>7.5</v>
      </c>
      <c r="L4186" s="8" t="n">
        <v>0.5</v>
      </c>
      <c r="M4186" s="29" t="inlineStr">
        <is>
          <t>BALIKESİR</t>
        </is>
      </c>
    </row>
    <row r="4187">
      <c r="A4187" s="4" t="n">
        <v>4186</v>
      </c>
      <c r="B4187" s="4" t="inlineStr">
        <is>
          <t>00244</t>
        </is>
      </c>
      <c r="C4187" s="4" t="inlineStr">
        <is>
          <t>00244</t>
        </is>
      </c>
      <c r="D4187" s="29" t="inlineStr">
        <is>
          <t>ZEYNEP KARAMAN</t>
        </is>
      </c>
      <c r="E4187" s="4" t="inlineStr">
        <is>
          <t>Cuma</t>
        </is>
      </c>
      <c r="F4187" s="4" t="inlineStr">
        <is>
          <t>2.10.2026</t>
        </is>
      </c>
      <c r="G4187" s="4" t="inlineStr">
        <is>
          <t>07:55</t>
        </is>
      </c>
      <c r="H4187" s="4" t="inlineStr">
        <is>
          <t>2.10.2026</t>
        </is>
      </c>
      <c r="I4187" s="4" t="inlineStr">
        <is>
          <t>17:42</t>
        </is>
      </c>
      <c r="J4187" s="8" t="n">
        <v>8</v>
      </c>
      <c r="K4187" s="8" t="n">
        <v>7.5</v>
      </c>
      <c r="L4187" s="8" t="n">
        <v>0.5</v>
      </c>
      <c r="M4187" s="29" t="inlineStr">
        <is>
          <t>BALIKESİR</t>
        </is>
      </c>
    </row>
    <row r="4188">
      <c r="A4188" s="4" t="n">
        <v>4187</v>
      </c>
      <c r="B4188" s="4" t="inlineStr">
        <is>
          <t>00244</t>
        </is>
      </c>
      <c r="C4188" s="4" t="inlineStr">
        <is>
          <t>00244</t>
        </is>
      </c>
      <c r="D4188" s="29" t="inlineStr">
        <is>
          <t>ZEYNEP KARAMAN</t>
        </is>
      </c>
      <c r="E4188" s="4" t="inlineStr">
        <is>
          <t>Cumartesi</t>
        </is>
      </c>
      <c r="F4188" s="4" t="inlineStr">
        <is>
          <t>3.10.2026</t>
        </is>
      </c>
      <c r="G4188" s="4" t="inlineStr">
        <is>
          <t>07:55</t>
        </is>
      </c>
      <c r="H4188" s="4" t="inlineStr">
        <is>
          <t>3.10.2026</t>
        </is>
      </c>
      <c r="I4188" s="4" t="inlineStr">
        <is>
          <t>17:33</t>
        </is>
      </c>
      <c r="J4188" s="8" t="n">
        <v>8</v>
      </c>
      <c r="K4188" s="8" t="n">
        <v>7.5</v>
      </c>
      <c r="L4188" s="8" t="n">
        <v>0.5</v>
      </c>
      <c r="M4188" s="29" t="inlineStr">
        <is>
          <t>BALIKESİR</t>
        </is>
      </c>
    </row>
    <row r="4189">
      <c r="A4189" s="4" t="n">
        <v>4188</v>
      </c>
      <c r="B4189" s="4" t="inlineStr">
        <is>
          <t>00244</t>
        </is>
      </c>
      <c r="C4189" s="4" t="inlineStr">
        <is>
          <t>00244</t>
        </is>
      </c>
      <c r="D4189" s="29" t="inlineStr">
        <is>
          <t>ZEYNEP KARAMAN</t>
        </is>
      </c>
      <c r="E4189" s="4" t="inlineStr">
        <is>
          <t>Pazartesi</t>
        </is>
      </c>
      <c r="F4189" s="4" t="inlineStr">
        <is>
          <t>5.10.2026</t>
        </is>
      </c>
      <c r="G4189" s="4" t="inlineStr">
        <is>
          <t>07:53</t>
        </is>
      </c>
      <c r="H4189" s="4" t="inlineStr">
        <is>
          <t>5.10.2026</t>
        </is>
      </c>
      <c r="I4189" s="4" t="inlineStr">
        <is>
          <t>17:01</t>
        </is>
      </c>
      <c r="J4189" s="8" t="n">
        <v>7.5</v>
      </c>
      <c r="K4189" s="8" t="n">
        <v>7.5</v>
      </c>
      <c r="L4189" s="8" t="n">
        <v>0</v>
      </c>
      <c r="M4189" s="29" t="inlineStr">
        <is>
          <t>BALIKESİR</t>
        </is>
      </c>
    </row>
    <row r="4190">
      <c r="A4190" s="4" t="n">
        <v>4189</v>
      </c>
      <c r="B4190" s="4" t="inlineStr">
        <is>
          <t>00244</t>
        </is>
      </c>
      <c r="C4190" s="4" t="inlineStr">
        <is>
          <t>00244</t>
        </is>
      </c>
      <c r="D4190" s="29" t="inlineStr">
        <is>
          <t>ZEYNEP KARAMAN</t>
        </is>
      </c>
      <c r="E4190" s="4" t="inlineStr">
        <is>
          <t>Salı</t>
        </is>
      </c>
      <c r="F4190" s="4" t="inlineStr">
        <is>
          <t>6.10.2026</t>
        </is>
      </c>
      <c r="G4190" s="4" t="inlineStr">
        <is>
          <t>07:51</t>
        </is>
      </c>
      <c r="H4190" s="4" t="inlineStr">
        <is>
          <t>6.10.2026</t>
        </is>
      </c>
      <c r="I4190" s="4" t="inlineStr">
        <is>
          <t>17:37</t>
        </is>
      </c>
      <c r="J4190" s="8" t="n">
        <v>8</v>
      </c>
      <c r="K4190" s="8" t="n">
        <v>7.5</v>
      </c>
      <c r="L4190" s="8" t="n">
        <v>0.5</v>
      </c>
      <c r="M4190" s="29" t="inlineStr">
        <is>
          <t>BALIKESİR</t>
        </is>
      </c>
    </row>
    <row r="4191">
      <c r="A4191" s="4" t="n">
        <v>4190</v>
      </c>
      <c r="B4191" s="4" t="inlineStr">
        <is>
          <t>00244</t>
        </is>
      </c>
      <c r="C4191" s="4" t="inlineStr">
        <is>
          <t>00244</t>
        </is>
      </c>
      <c r="D4191" s="29" t="inlineStr">
        <is>
          <t>ZEYNEP KARAMAN</t>
        </is>
      </c>
      <c r="E4191" s="4" t="inlineStr">
        <is>
          <t>Çarşamba</t>
        </is>
      </c>
      <c r="F4191" s="4" t="inlineStr">
        <is>
          <t>7.10.2026</t>
        </is>
      </c>
      <c r="G4191" s="4" t="inlineStr">
        <is>
          <t>07:48</t>
        </is>
      </c>
      <c r="H4191" s="4" t="inlineStr">
        <is>
          <t>7.10.2026</t>
        </is>
      </c>
      <c r="I4191" s="4" t="inlineStr">
        <is>
          <t>17:20</t>
        </is>
      </c>
      <c r="J4191" s="8" t="n">
        <v>7.5</v>
      </c>
      <c r="K4191" s="8" t="n">
        <v>7.5</v>
      </c>
      <c r="L4191" s="8" t="n">
        <v>0</v>
      </c>
      <c r="M4191" s="29" t="inlineStr">
        <is>
          <t>BALIKESİR</t>
        </is>
      </c>
    </row>
    <row r="4192">
      <c r="A4192" s="4" t="n">
        <v>4191</v>
      </c>
      <c r="B4192" s="4" t="inlineStr">
        <is>
          <t>00244</t>
        </is>
      </c>
      <c r="C4192" s="4" t="inlineStr">
        <is>
          <t>00244</t>
        </is>
      </c>
      <c r="D4192" s="29" t="inlineStr">
        <is>
          <t>ZEYNEP KARAMAN</t>
        </is>
      </c>
      <c r="E4192" s="4" t="inlineStr">
        <is>
          <t>Perşembe</t>
        </is>
      </c>
      <c r="F4192" s="4" t="inlineStr">
        <is>
          <t>8.10.2026</t>
        </is>
      </c>
      <c r="G4192" s="4" t="inlineStr">
        <is>
          <t>07:50</t>
        </is>
      </c>
      <c r="H4192" s="4" t="inlineStr">
        <is>
          <t>8.10.2026</t>
        </is>
      </c>
      <c r="I4192" s="4" t="inlineStr">
        <is>
          <t>17:31</t>
        </is>
      </c>
      <c r="J4192" s="8" t="n">
        <v>8</v>
      </c>
      <c r="K4192" s="8" t="n">
        <v>7.5</v>
      </c>
      <c r="L4192" s="8" t="n">
        <v>0.5</v>
      </c>
      <c r="M4192" s="29" t="inlineStr">
        <is>
          <t>BALIKESİR</t>
        </is>
      </c>
    </row>
    <row r="4193">
      <c r="A4193" s="4" t="n">
        <v>4192</v>
      </c>
      <c r="B4193" s="4" t="inlineStr">
        <is>
          <t>00244</t>
        </is>
      </c>
      <c r="C4193" s="4" t="inlineStr">
        <is>
          <t>00244</t>
        </is>
      </c>
      <c r="D4193" s="29" t="inlineStr">
        <is>
          <t>ZEYNEP KARAMAN</t>
        </is>
      </c>
      <c r="E4193" s="4" t="inlineStr">
        <is>
          <t>Cuma</t>
        </is>
      </c>
      <c r="F4193" s="4" t="inlineStr">
        <is>
          <t>9.10.2026</t>
        </is>
      </c>
      <c r="G4193" s="4" t="inlineStr">
        <is>
          <t>07:50</t>
        </is>
      </c>
      <c r="H4193" s="4" t="inlineStr">
        <is>
          <t>9.10.2026</t>
        </is>
      </c>
      <c r="I4193" s="4" t="inlineStr">
        <is>
          <t>17:39</t>
        </is>
      </c>
      <c r="J4193" s="8" t="n">
        <v>8</v>
      </c>
      <c r="K4193" s="8" t="n">
        <v>7.5</v>
      </c>
      <c r="L4193" s="8" t="n">
        <v>0.5</v>
      </c>
      <c r="M4193" s="29" t="inlineStr">
        <is>
          <t>BALIKESİR</t>
        </is>
      </c>
    </row>
    <row r="4194">
      <c r="A4194" s="4" t="n">
        <v>4193</v>
      </c>
      <c r="B4194" s="4" t="inlineStr">
        <is>
          <t>00244</t>
        </is>
      </c>
      <c r="C4194" s="4" t="inlineStr">
        <is>
          <t>00244</t>
        </is>
      </c>
      <c r="D4194" s="29" t="inlineStr">
        <is>
          <t>ZEYNEP KARAMAN</t>
        </is>
      </c>
      <c r="E4194" s="4" t="inlineStr">
        <is>
          <t>Cumartesi</t>
        </is>
      </c>
      <c r="F4194" s="4" t="inlineStr">
        <is>
          <t>10.10.2026</t>
        </is>
      </c>
      <c r="G4194" s="4" t="inlineStr">
        <is>
          <t>07:53</t>
        </is>
      </c>
      <c r="H4194" s="4" t="inlineStr">
        <is>
          <t>10.10.2026</t>
        </is>
      </c>
      <c r="I4194" s="4" t="inlineStr">
        <is>
          <t>18:07</t>
        </is>
      </c>
      <c r="J4194" s="8" t="n">
        <v>8.5</v>
      </c>
      <c r="K4194" s="8" t="n">
        <v>7.5</v>
      </c>
      <c r="L4194" s="8" t="n">
        <v>1</v>
      </c>
      <c r="M4194" s="29" t="inlineStr">
        <is>
          <t>BALIKESİR</t>
        </is>
      </c>
    </row>
    <row r="4195">
      <c r="A4195" s="4" t="n">
        <v>4194</v>
      </c>
      <c r="B4195" s="4" t="inlineStr">
        <is>
          <t>00244</t>
        </is>
      </c>
      <c r="C4195" s="4" t="inlineStr">
        <is>
          <t>00244</t>
        </is>
      </c>
      <c r="D4195" s="29" t="inlineStr">
        <is>
          <t>ZEYNEP KARAMAN</t>
        </is>
      </c>
      <c r="E4195" s="4" t="inlineStr">
        <is>
          <t>Pazartesi</t>
        </is>
      </c>
      <c r="F4195" s="4" t="inlineStr">
        <is>
          <t>12.10.2026</t>
        </is>
      </c>
      <c r="G4195" s="4" t="inlineStr">
        <is>
          <t>07:50</t>
        </is>
      </c>
      <c r="H4195" s="4" t="inlineStr">
        <is>
          <t>12.10.2026</t>
        </is>
      </c>
      <c r="I4195" s="4" t="inlineStr">
        <is>
          <t>17:00</t>
        </is>
      </c>
      <c r="J4195" s="8" t="n">
        <v>7.5</v>
      </c>
      <c r="K4195" s="8" t="n">
        <v>7.5</v>
      </c>
      <c r="L4195" s="8" t="n">
        <v>0</v>
      </c>
      <c r="M4195" s="29" t="inlineStr">
        <is>
          <t>BALIKESİR</t>
        </is>
      </c>
    </row>
    <row r="4196">
      <c r="A4196" s="4" t="n">
        <v>4195</v>
      </c>
      <c r="B4196" s="4" t="inlineStr">
        <is>
          <t>00244</t>
        </is>
      </c>
      <c r="C4196" s="4" t="inlineStr">
        <is>
          <t>00244</t>
        </is>
      </c>
      <c r="D4196" s="29" t="inlineStr">
        <is>
          <t>ZEYNEP KARAMAN</t>
        </is>
      </c>
      <c r="E4196" s="4" t="inlineStr">
        <is>
          <t>Salı</t>
        </is>
      </c>
      <c r="F4196" s="4" t="inlineStr">
        <is>
          <t>13.10.2026</t>
        </is>
      </c>
      <c r="G4196" s="4" t="inlineStr">
        <is>
          <t>07:49</t>
        </is>
      </c>
      <c r="H4196" s="4" t="inlineStr">
        <is>
          <t>13.10.2026</t>
        </is>
      </c>
      <c r="I4196" s="4" t="inlineStr">
        <is>
          <t>16:59</t>
        </is>
      </c>
      <c r="J4196" s="8" t="n">
        <v>7.5</v>
      </c>
      <c r="K4196" s="8" t="n">
        <v>7.5</v>
      </c>
      <c r="L4196" s="8" t="n">
        <v>0</v>
      </c>
      <c r="M4196" s="29" t="inlineStr">
        <is>
          <t>BALIKESİR</t>
        </is>
      </c>
    </row>
    <row r="4197">
      <c r="A4197" s="4" t="n">
        <v>4196</v>
      </c>
      <c r="B4197" s="4" t="inlineStr">
        <is>
          <t>00244</t>
        </is>
      </c>
      <c r="C4197" s="4" t="inlineStr">
        <is>
          <t>00244</t>
        </is>
      </c>
      <c r="D4197" s="29" t="inlineStr">
        <is>
          <t>ZEYNEP KARAMAN</t>
        </is>
      </c>
      <c r="E4197" s="4" t="inlineStr">
        <is>
          <t>Çarşamba</t>
        </is>
      </c>
      <c r="F4197" s="4" t="inlineStr">
        <is>
          <t>14.10.2026</t>
        </is>
      </c>
      <c r="G4197" s="4" t="inlineStr">
        <is>
          <t>07:49</t>
        </is>
      </c>
      <c r="H4197" s="4" t="inlineStr">
        <is>
          <t>14.10.2026</t>
        </is>
      </c>
      <c r="I4197" s="4" t="inlineStr">
        <is>
          <t>18:02</t>
        </is>
      </c>
      <c r="J4197" s="8" t="n">
        <v>8.5</v>
      </c>
      <c r="K4197" s="8" t="n">
        <v>7.5</v>
      </c>
      <c r="L4197" s="8" t="n">
        <v>1</v>
      </c>
      <c r="M4197" s="29" t="inlineStr">
        <is>
          <t>BALIKESİR</t>
        </is>
      </c>
    </row>
    <row r="4198">
      <c r="A4198" s="4" t="n">
        <v>4197</v>
      </c>
      <c r="B4198" s="4" t="inlineStr">
        <is>
          <t>00244</t>
        </is>
      </c>
      <c r="C4198" s="4" t="inlineStr">
        <is>
          <t>00244</t>
        </is>
      </c>
      <c r="D4198" s="29" t="inlineStr">
        <is>
          <t>ZEYNEP KARAMAN</t>
        </is>
      </c>
      <c r="E4198" s="4" t="inlineStr">
        <is>
          <t>Perşembe</t>
        </is>
      </c>
      <c r="F4198" s="4" t="inlineStr">
        <is>
          <t>15.10.2026</t>
        </is>
      </c>
      <c r="G4198" s="4" t="inlineStr">
        <is>
          <t>07:52</t>
        </is>
      </c>
      <c r="H4198" s="4" t="inlineStr">
        <is>
          <t>15.10.2026</t>
        </is>
      </c>
      <c r="I4198" s="4" t="inlineStr">
        <is>
          <t>17:01</t>
        </is>
      </c>
      <c r="J4198" s="8" t="n">
        <v>7.5</v>
      </c>
      <c r="K4198" s="8" t="n">
        <v>7.5</v>
      </c>
      <c r="L4198" s="8" t="n">
        <v>0</v>
      </c>
      <c r="M4198" s="29" t="inlineStr">
        <is>
          <t>BALIKESİR</t>
        </is>
      </c>
    </row>
    <row r="4199">
      <c r="A4199" s="4" t="n">
        <v>4198</v>
      </c>
      <c r="B4199" s="4" t="inlineStr">
        <is>
          <t>00244</t>
        </is>
      </c>
      <c r="C4199" s="4" t="inlineStr">
        <is>
          <t>00244</t>
        </is>
      </c>
      <c r="D4199" s="29" t="inlineStr">
        <is>
          <t>ZEYNEP KARAMAN</t>
        </is>
      </c>
      <c r="E4199" s="4" t="inlineStr">
        <is>
          <t>Cuma</t>
        </is>
      </c>
      <c r="F4199" s="4" t="inlineStr">
        <is>
          <t>16.10.2026</t>
        </is>
      </c>
      <c r="G4199" s="4" t="inlineStr">
        <is>
          <t>07:48</t>
        </is>
      </c>
      <c r="H4199" s="4" t="inlineStr">
        <is>
          <t>16.10.2026</t>
        </is>
      </c>
      <c r="I4199" s="4" t="inlineStr">
        <is>
          <t>17:13</t>
        </is>
      </c>
      <c r="J4199" s="8" t="n">
        <v>7.5</v>
      </c>
      <c r="K4199" s="8" t="n">
        <v>7.5</v>
      </c>
      <c r="L4199" s="8" t="n">
        <v>0</v>
      </c>
      <c r="M4199" s="29" t="inlineStr">
        <is>
          <t>BALIKESİR</t>
        </is>
      </c>
    </row>
    <row r="4200">
      <c r="A4200" s="4" t="n">
        <v>4199</v>
      </c>
      <c r="B4200" s="4" t="inlineStr">
        <is>
          <t>00244</t>
        </is>
      </c>
      <c r="C4200" s="4" t="inlineStr">
        <is>
          <t>00244</t>
        </is>
      </c>
      <c r="D4200" s="29" t="inlineStr">
        <is>
          <t>ZEYNEP KARAMAN</t>
        </is>
      </c>
      <c r="E4200" s="4" t="inlineStr">
        <is>
          <t>Cumartesi</t>
        </is>
      </c>
      <c r="F4200" s="4" t="inlineStr">
        <is>
          <t>17.10.2026</t>
        </is>
      </c>
      <c r="G4200" s="4" t="inlineStr">
        <is>
          <t>07:57</t>
        </is>
      </c>
      <c r="H4200" s="4" t="inlineStr">
        <is>
          <t>17.10.2026</t>
        </is>
      </c>
      <c r="I4200" s="4" t="inlineStr">
        <is>
          <t>17:47</t>
        </is>
      </c>
      <c r="J4200" s="8" t="n">
        <v>8.5</v>
      </c>
      <c r="K4200" s="8" t="n">
        <v>7.5</v>
      </c>
      <c r="L4200" s="8" t="n">
        <v>1</v>
      </c>
      <c r="M4200" s="29" t="inlineStr">
        <is>
          <t>BALIKESİR</t>
        </is>
      </c>
    </row>
    <row r="4201">
      <c r="A4201" s="4" t="n">
        <v>4200</v>
      </c>
      <c r="B4201" s="4" t="inlineStr">
        <is>
          <t>00244</t>
        </is>
      </c>
      <c r="C4201" s="4" t="inlineStr">
        <is>
          <t>00244</t>
        </is>
      </c>
      <c r="D4201" s="29" t="inlineStr">
        <is>
          <t>ZEYNEP KARAMAN</t>
        </is>
      </c>
      <c r="E4201" s="4" t="inlineStr">
        <is>
          <t>Pazartesi</t>
        </is>
      </c>
      <c r="F4201" s="4" t="inlineStr">
        <is>
          <t>19.10.2026</t>
        </is>
      </c>
      <c r="G4201" s="4" t="inlineStr">
        <is>
          <t>07:50</t>
        </is>
      </c>
      <c r="H4201" s="4" t="inlineStr">
        <is>
          <t>19.10.2026</t>
        </is>
      </c>
      <c r="I4201" s="4" t="inlineStr">
        <is>
          <t>17:41</t>
        </is>
      </c>
      <c r="J4201" s="8" t="n">
        <v>8</v>
      </c>
      <c r="K4201" s="8" t="n">
        <v>7.5</v>
      </c>
      <c r="L4201" s="8" t="n">
        <v>0.5</v>
      </c>
      <c r="M4201" s="29" t="inlineStr">
        <is>
          <t>BALIKESİR</t>
        </is>
      </c>
    </row>
    <row r="4202">
      <c r="A4202" s="4" t="n">
        <v>4201</v>
      </c>
      <c r="B4202" s="4" t="inlineStr">
        <is>
          <t>00244</t>
        </is>
      </c>
      <c r="C4202" s="4" t="inlineStr">
        <is>
          <t>00244</t>
        </is>
      </c>
      <c r="D4202" s="29" t="inlineStr">
        <is>
          <t>ZEYNEP KARAMAN</t>
        </is>
      </c>
      <c r="E4202" s="4" t="inlineStr">
        <is>
          <t>Salı</t>
        </is>
      </c>
      <c r="F4202" s="4" t="inlineStr">
        <is>
          <t>20.10.2026</t>
        </is>
      </c>
      <c r="G4202" s="4" t="inlineStr">
        <is>
          <t>07:49</t>
        </is>
      </c>
      <c r="H4202" s="4" t="inlineStr">
        <is>
          <t>20.10.2026</t>
        </is>
      </c>
      <c r="I4202" s="4" t="inlineStr">
        <is>
          <t>17:00</t>
        </is>
      </c>
      <c r="J4202" s="8" t="n">
        <v>7.5</v>
      </c>
      <c r="K4202" s="8" t="n">
        <v>7.5</v>
      </c>
      <c r="L4202" s="8" t="n">
        <v>0</v>
      </c>
      <c r="M4202" s="29" t="inlineStr">
        <is>
          <t>BALIKESİR</t>
        </is>
      </c>
    </row>
    <row r="4203">
      <c r="A4203" s="4" t="n">
        <v>4202</v>
      </c>
      <c r="B4203" s="4" t="inlineStr">
        <is>
          <t>00244</t>
        </is>
      </c>
      <c r="C4203" s="4" t="inlineStr">
        <is>
          <t>00244</t>
        </is>
      </c>
      <c r="D4203" s="29" t="inlineStr">
        <is>
          <t>ZEYNEP KARAMAN</t>
        </is>
      </c>
      <c r="E4203" s="4" t="inlineStr">
        <is>
          <t>Çarşamba</t>
        </is>
      </c>
      <c r="F4203" s="4" t="inlineStr">
        <is>
          <t>21.10.2026</t>
        </is>
      </c>
      <c r="G4203" s="4" t="inlineStr">
        <is>
          <t>07:49</t>
        </is>
      </c>
      <c r="H4203" s="4" t="inlineStr">
        <is>
          <t>21.10.2026</t>
        </is>
      </c>
      <c r="I4203" s="4" t="inlineStr">
        <is>
          <t>17:00</t>
        </is>
      </c>
      <c r="J4203" s="8" t="n">
        <v>7.5</v>
      </c>
      <c r="K4203" s="8" t="n">
        <v>7.5</v>
      </c>
      <c r="L4203" s="8" t="n">
        <v>0</v>
      </c>
      <c r="M4203" s="29" t="inlineStr">
        <is>
          <t>BALIKESİR</t>
        </is>
      </c>
    </row>
    <row r="4204">
      <c r="A4204" s="4" t="n">
        <v>4203</v>
      </c>
      <c r="B4204" s="4" t="inlineStr">
        <is>
          <t>00246</t>
        </is>
      </c>
      <c r="C4204" s="4" t="inlineStr">
        <is>
          <t>00246</t>
        </is>
      </c>
      <c r="D4204" s="29" t="inlineStr">
        <is>
          <t>ZEYNEP KURT</t>
        </is>
      </c>
      <c r="E4204" s="4" t="inlineStr">
        <is>
          <t>Perşembe</t>
        </is>
      </c>
      <c r="F4204" s="4" t="inlineStr">
        <is>
          <t>1.10.2026</t>
        </is>
      </c>
      <c r="G4204" s="4" t="inlineStr">
        <is>
          <t>09:49</t>
        </is>
      </c>
      <c r="H4204" s="4" t="inlineStr">
        <is>
          <t>1.10.2026</t>
        </is>
      </c>
      <c r="I4204" s="4" t="inlineStr">
        <is>
          <t>19:26</t>
        </is>
      </c>
      <c r="J4204" s="8" t="n">
        <v>8.5</v>
      </c>
      <c r="K4204" s="8" t="n">
        <v>6</v>
      </c>
      <c r="L4204" s="8" t="n">
        <v>2.5</v>
      </c>
      <c r="M4204" s="29" t="inlineStr">
        <is>
          <t>MKP</t>
        </is>
      </c>
    </row>
    <row r="4205">
      <c r="A4205" s="4" t="n">
        <v>4204</v>
      </c>
      <c r="B4205" s="4" t="inlineStr">
        <is>
          <t>00246</t>
        </is>
      </c>
      <c r="C4205" s="4" t="inlineStr">
        <is>
          <t>00246</t>
        </is>
      </c>
      <c r="D4205" s="29" t="inlineStr">
        <is>
          <t>ZEYNEP KURT</t>
        </is>
      </c>
      <c r="E4205" s="4" t="inlineStr">
        <is>
          <t>Cuma</t>
        </is>
      </c>
      <c r="F4205" s="4" t="inlineStr">
        <is>
          <t>2.10.2026</t>
        </is>
      </c>
      <c r="G4205" s="4" t="inlineStr">
        <is>
          <t>09:45</t>
        </is>
      </c>
      <c r="H4205" s="4" t="inlineStr">
        <is>
          <t>2.10.2026</t>
        </is>
      </c>
      <c r="I4205" s="4" t="inlineStr">
        <is>
          <t>19:58</t>
        </is>
      </c>
      <c r="J4205" s="8" t="n">
        <v>9</v>
      </c>
      <c r="K4205" s="8" t="n">
        <v>6</v>
      </c>
      <c r="L4205" s="8" t="n">
        <v>3</v>
      </c>
      <c r="M4205" s="29" t="inlineStr">
        <is>
          <t>MKP</t>
        </is>
      </c>
    </row>
    <row r="4206">
      <c r="A4206" s="4" t="n">
        <v>4205</v>
      </c>
      <c r="B4206" s="4" t="inlineStr">
        <is>
          <t>00246</t>
        </is>
      </c>
      <c r="C4206" s="4" t="inlineStr">
        <is>
          <t>00246</t>
        </is>
      </c>
      <c r="D4206" s="29" t="inlineStr">
        <is>
          <t>ZEYNEP KURT</t>
        </is>
      </c>
      <c r="E4206" s="4" t="inlineStr">
        <is>
          <t>Cumartesi</t>
        </is>
      </c>
      <c r="F4206" s="4" t="inlineStr">
        <is>
          <t>3.10.2026</t>
        </is>
      </c>
      <c r="G4206" s="4" t="inlineStr">
        <is>
          <t>09:51</t>
        </is>
      </c>
      <c r="H4206" s="4" t="inlineStr">
        <is>
          <t>3.10.2026</t>
        </is>
      </c>
      <c r="I4206" s="4" t="inlineStr">
        <is>
          <t>19:53</t>
        </is>
      </c>
      <c r="J4206" s="8" t="n">
        <v>8.5</v>
      </c>
      <c r="K4206" s="8" t="n">
        <v>5.5</v>
      </c>
      <c r="L4206" s="8" t="n">
        <v>3</v>
      </c>
      <c r="M4206" s="29" t="inlineStr">
        <is>
          <t>MKP</t>
        </is>
      </c>
    </row>
    <row r="4207">
      <c r="A4207" s="4" t="n">
        <v>4206</v>
      </c>
      <c r="B4207" s="4" t="inlineStr">
        <is>
          <t>00246</t>
        </is>
      </c>
      <c r="C4207" s="4" t="inlineStr">
        <is>
          <t>00246</t>
        </is>
      </c>
      <c r="D4207" s="29" t="inlineStr">
        <is>
          <t>ZEYNEP KURT</t>
        </is>
      </c>
      <c r="E4207" s="4" t="inlineStr">
        <is>
          <t>Pazartesi</t>
        </is>
      </c>
      <c r="F4207" s="4" t="inlineStr">
        <is>
          <t>5.10.2026</t>
        </is>
      </c>
      <c r="G4207" s="4" t="inlineStr">
        <is>
          <t>09:45</t>
        </is>
      </c>
      <c r="H4207" s="4" t="inlineStr">
        <is>
          <t>5.10.2026</t>
        </is>
      </c>
      <c r="I4207" s="4" t="inlineStr">
        <is>
          <t>19:01</t>
        </is>
      </c>
      <c r="J4207" s="8" t="n">
        <v>8</v>
      </c>
      <c r="K4207" s="8" t="n">
        <v>6</v>
      </c>
      <c r="L4207" s="8" t="n">
        <v>2</v>
      </c>
      <c r="M4207" s="29" t="inlineStr">
        <is>
          <t>MKP</t>
        </is>
      </c>
    </row>
    <row r="4208">
      <c r="A4208" s="4" t="n">
        <v>4207</v>
      </c>
      <c r="B4208" s="4" t="inlineStr">
        <is>
          <t>00246</t>
        </is>
      </c>
      <c r="C4208" s="4" t="inlineStr">
        <is>
          <t>00246</t>
        </is>
      </c>
      <c r="D4208" s="29" t="inlineStr">
        <is>
          <t>ZEYNEP KURT</t>
        </is>
      </c>
      <c r="E4208" s="4" t="inlineStr">
        <is>
          <t>Salı</t>
        </is>
      </c>
      <c r="F4208" s="4" t="inlineStr">
        <is>
          <t>6.10.2026</t>
        </is>
      </c>
      <c r="G4208" s="4" t="inlineStr">
        <is>
          <t>09:42</t>
        </is>
      </c>
      <c r="H4208" s="4" t="inlineStr">
        <is>
          <t>6.10.2026</t>
        </is>
      </c>
      <c r="I4208" s="4" t="inlineStr">
        <is>
          <t>19:24</t>
        </is>
      </c>
      <c r="J4208" s="8" t="n">
        <v>8.5</v>
      </c>
      <c r="K4208" s="8" t="n">
        <v>6</v>
      </c>
      <c r="L4208" s="8" t="n">
        <v>2.5</v>
      </c>
      <c r="M4208" s="29" t="inlineStr">
        <is>
          <t>MKP</t>
        </is>
      </c>
    </row>
    <row r="4209">
      <c r="A4209" s="4" t="n">
        <v>4208</v>
      </c>
      <c r="B4209" s="4" t="inlineStr">
        <is>
          <t>00246</t>
        </is>
      </c>
      <c r="C4209" s="4" t="inlineStr">
        <is>
          <t>00246</t>
        </is>
      </c>
      <c r="D4209" s="29" t="inlineStr">
        <is>
          <t>ZEYNEP KURT</t>
        </is>
      </c>
      <c r="E4209" s="4" t="inlineStr">
        <is>
          <t>Çarşamba</t>
        </is>
      </c>
      <c r="F4209" s="4" t="inlineStr">
        <is>
          <t>7.10.2026</t>
        </is>
      </c>
      <c r="G4209" s="4" t="inlineStr">
        <is>
          <t>09:51</t>
        </is>
      </c>
      <c r="H4209" s="4" t="inlineStr">
        <is>
          <t>7.10.2026</t>
        </is>
      </c>
      <c r="I4209" s="4" t="inlineStr">
        <is>
          <t>17:31</t>
        </is>
      </c>
      <c r="J4209" s="8" t="n">
        <v>6</v>
      </c>
      <c r="K4209" s="8" t="n">
        <v>5.5</v>
      </c>
      <c r="L4209" s="8" t="n">
        <v>0.5</v>
      </c>
      <c r="M4209" s="29" t="inlineStr">
        <is>
          <t>MKP</t>
        </is>
      </c>
    </row>
    <row r="4210">
      <c r="A4210" s="4" t="n">
        <v>4209</v>
      </c>
      <c r="B4210" s="4" t="inlineStr">
        <is>
          <t>00246</t>
        </is>
      </c>
      <c r="C4210" s="4" t="inlineStr">
        <is>
          <t>00246</t>
        </is>
      </c>
      <c r="D4210" s="29" t="inlineStr">
        <is>
          <t>ZEYNEP KURT</t>
        </is>
      </c>
      <c r="E4210" s="4" t="inlineStr">
        <is>
          <t>Perşembe</t>
        </is>
      </c>
      <c r="F4210" s="4" t="inlineStr">
        <is>
          <t>8.10.2026</t>
        </is>
      </c>
      <c r="G4210" s="4" t="inlineStr">
        <is>
          <t>07:58</t>
        </is>
      </c>
      <c r="H4210" s="4" t="inlineStr">
        <is>
          <t>8.10.2026</t>
        </is>
      </c>
      <c r="I4210" s="4" t="inlineStr">
        <is>
          <t>19:26</t>
        </is>
      </c>
      <c r="J4210" s="8" t="n">
        <v>10</v>
      </c>
      <c r="K4210" s="8" t="n">
        <v>7.5</v>
      </c>
      <c r="L4210" s="8" t="n">
        <v>2.5</v>
      </c>
      <c r="M4210" s="29" t="inlineStr">
        <is>
          <t>MKP</t>
        </is>
      </c>
    </row>
    <row r="4211">
      <c r="A4211" s="4" t="n">
        <v>4210</v>
      </c>
      <c r="B4211" s="4" t="inlineStr">
        <is>
          <t>00246</t>
        </is>
      </c>
      <c r="C4211" s="4" t="inlineStr">
        <is>
          <t>00246</t>
        </is>
      </c>
      <c r="D4211" s="29" t="inlineStr">
        <is>
          <t>ZEYNEP KURT</t>
        </is>
      </c>
      <c r="E4211" s="4" t="inlineStr">
        <is>
          <t>Cuma</t>
        </is>
      </c>
      <c r="F4211" s="4" t="inlineStr">
        <is>
          <t>9.10.2026</t>
        </is>
      </c>
      <c r="G4211" s="4" t="inlineStr">
        <is>
          <t>07:55</t>
        </is>
      </c>
      <c r="H4211" s="4" t="inlineStr">
        <is>
          <t>9.10.2026</t>
        </is>
      </c>
      <c r="I4211" s="4" t="inlineStr">
        <is>
          <t>17:48</t>
        </is>
      </c>
      <c r="J4211" s="8" t="n">
        <v>8.5</v>
      </c>
      <c r="K4211" s="8" t="n">
        <v>7.5</v>
      </c>
      <c r="L4211" s="8" t="n">
        <v>1</v>
      </c>
      <c r="M4211" s="29" t="inlineStr">
        <is>
          <t>MKP</t>
        </is>
      </c>
    </row>
    <row r="4212">
      <c r="A4212" s="4" t="n">
        <v>4211</v>
      </c>
      <c r="B4212" s="4" t="inlineStr">
        <is>
          <t>00246</t>
        </is>
      </c>
      <c r="C4212" s="4" t="inlineStr">
        <is>
          <t>00246</t>
        </is>
      </c>
      <c r="D4212" s="29" t="inlineStr">
        <is>
          <t>ZEYNEP KURT</t>
        </is>
      </c>
      <c r="E4212" s="4" t="inlineStr">
        <is>
          <t>Pazartesi</t>
        </is>
      </c>
      <c r="F4212" s="4" t="inlineStr">
        <is>
          <t>12.10.2026</t>
        </is>
      </c>
      <c r="G4212" s="4" t="inlineStr">
        <is>
          <t>09:52</t>
        </is>
      </c>
      <c r="H4212" s="4" t="inlineStr">
        <is>
          <t>12.10.2026</t>
        </is>
      </c>
      <c r="I4212" s="4" t="inlineStr">
        <is>
          <t>19:03</t>
        </is>
      </c>
      <c r="J4212" s="8" t="n">
        <v>7.5</v>
      </c>
      <c r="K4212" s="8" t="n">
        <v>5.5</v>
      </c>
      <c r="L4212" s="8" t="n">
        <v>2</v>
      </c>
      <c r="M4212" s="29" t="inlineStr">
        <is>
          <t>MKP</t>
        </is>
      </c>
    </row>
    <row r="4213">
      <c r="A4213" s="4" t="n">
        <v>4212</v>
      </c>
      <c r="B4213" s="4" t="inlineStr">
        <is>
          <t>00246</t>
        </is>
      </c>
      <c r="C4213" s="4" t="inlineStr">
        <is>
          <t>00246</t>
        </is>
      </c>
      <c r="D4213" s="29" t="inlineStr">
        <is>
          <t>ZEYNEP KURT</t>
        </is>
      </c>
      <c r="E4213" s="4" t="inlineStr">
        <is>
          <t>Salı</t>
        </is>
      </c>
      <c r="F4213" s="4" t="inlineStr">
        <is>
          <t>13.10.2026</t>
        </is>
      </c>
      <c r="G4213" s="4" t="inlineStr">
        <is>
          <t>09:54</t>
        </is>
      </c>
      <c r="H4213" s="4" t="inlineStr">
        <is>
          <t>13.10.2026</t>
        </is>
      </c>
      <c r="I4213" s="4" t="inlineStr">
        <is>
          <t>19:06</t>
        </is>
      </c>
      <c r="J4213" s="8" t="n">
        <v>7.5</v>
      </c>
      <c r="K4213" s="8" t="n">
        <v>5.5</v>
      </c>
      <c r="L4213" s="8" t="n">
        <v>2</v>
      </c>
      <c r="M4213" s="29" t="inlineStr">
        <is>
          <t>MKP</t>
        </is>
      </c>
    </row>
    <row r="4214">
      <c r="A4214" s="4" t="n">
        <v>4213</v>
      </c>
      <c r="B4214" s="4" t="inlineStr">
        <is>
          <t>00246</t>
        </is>
      </c>
      <c r="C4214" s="4" t="inlineStr">
        <is>
          <t>00246</t>
        </is>
      </c>
      <c r="D4214" s="29" t="inlineStr">
        <is>
          <t>ZEYNEP KURT</t>
        </is>
      </c>
      <c r="E4214" s="4" t="inlineStr">
        <is>
          <t>Çarşamba</t>
        </is>
      </c>
      <c r="F4214" s="4" t="inlineStr">
        <is>
          <t>14.10.2026</t>
        </is>
      </c>
      <c r="G4214" s="4" t="inlineStr">
        <is>
          <t>07:59</t>
        </is>
      </c>
      <c r="H4214" s="4" t="inlineStr">
        <is>
          <t>14.10.2026</t>
        </is>
      </c>
      <c r="I4214" s="4" t="inlineStr">
        <is>
          <t>18:21</t>
        </is>
      </c>
      <c r="J4214" s="8" t="n">
        <v>9</v>
      </c>
      <c r="K4214" s="8" t="n">
        <v>7.5</v>
      </c>
      <c r="L4214" s="8" t="n">
        <v>1.5</v>
      </c>
      <c r="M4214" s="29" t="inlineStr">
        <is>
          <t>MKP</t>
        </is>
      </c>
    </row>
    <row r="4215">
      <c r="A4215" s="4" t="n">
        <v>4214</v>
      </c>
      <c r="B4215" s="4" t="inlineStr">
        <is>
          <t>00246</t>
        </is>
      </c>
      <c r="C4215" s="4" t="inlineStr">
        <is>
          <t>00246</t>
        </is>
      </c>
      <c r="D4215" s="29" t="inlineStr">
        <is>
          <t>ZEYNEP KURT</t>
        </is>
      </c>
      <c r="E4215" s="4" t="inlineStr">
        <is>
          <t>Perşembe</t>
        </is>
      </c>
      <c r="F4215" s="4" t="inlineStr">
        <is>
          <t>15.10.2026</t>
        </is>
      </c>
      <c r="G4215" s="4" t="inlineStr">
        <is>
          <t>08:03</t>
        </is>
      </c>
      <c r="H4215" s="4" t="inlineStr">
        <is>
          <t>15.10.2026</t>
        </is>
      </c>
      <c r="I4215" s="4" t="inlineStr">
        <is>
          <t>17:07</t>
        </is>
      </c>
      <c r="J4215" s="8" t="n">
        <v>7.5</v>
      </c>
      <c r="K4215" s="8" t="n">
        <v>7.5</v>
      </c>
      <c r="L4215" s="8" t="n">
        <v>0</v>
      </c>
      <c r="M4215" s="29" t="inlineStr">
        <is>
          <t>MKP</t>
        </is>
      </c>
    </row>
    <row r="4216">
      <c r="A4216" s="4" t="n">
        <v>4215</v>
      </c>
      <c r="B4216" s="4" t="inlineStr">
        <is>
          <t>00246</t>
        </is>
      </c>
      <c r="C4216" s="4" t="inlineStr">
        <is>
          <t>00246</t>
        </is>
      </c>
      <c r="D4216" s="29" t="inlineStr">
        <is>
          <t>ZEYNEP KURT</t>
        </is>
      </c>
      <c r="E4216" s="4" t="inlineStr">
        <is>
          <t>Cuma</t>
        </is>
      </c>
      <c r="F4216" s="4" t="inlineStr">
        <is>
          <t>16.10.2026</t>
        </is>
      </c>
      <c r="G4216" s="4" t="inlineStr">
        <is>
          <t>09:46</t>
        </is>
      </c>
      <c r="H4216" s="4" t="inlineStr">
        <is>
          <t>16.10.2026</t>
        </is>
      </c>
      <c r="I4216" s="4" t="inlineStr">
        <is>
          <t>19:54</t>
        </is>
      </c>
      <c r="J4216" s="8" t="n">
        <v>9</v>
      </c>
      <c r="K4216" s="8" t="n">
        <v>6</v>
      </c>
      <c r="L4216" s="8" t="n">
        <v>3</v>
      </c>
      <c r="M4216" s="29" t="inlineStr">
        <is>
          <t>MKP</t>
        </is>
      </c>
    </row>
    <row r="4217">
      <c r="A4217" s="4" t="n">
        <v>4216</v>
      </c>
      <c r="B4217" s="4" t="inlineStr">
        <is>
          <t>00246</t>
        </is>
      </c>
      <c r="C4217" s="4" t="inlineStr">
        <is>
          <t>00246</t>
        </is>
      </c>
      <c r="D4217" s="29" t="inlineStr">
        <is>
          <t>ZEYNEP KURT</t>
        </is>
      </c>
      <c r="E4217" s="4" t="inlineStr">
        <is>
          <t>Cumartesi</t>
        </is>
      </c>
      <c r="F4217" s="4" t="inlineStr">
        <is>
          <t>17.10.2026</t>
        </is>
      </c>
      <c r="G4217" s="4" t="inlineStr">
        <is>
          <t>09:47</t>
        </is>
      </c>
      <c r="H4217" s="4" t="inlineStr">
        <is>
          <t>17.10.2026</t>
        </is>
      </c>
      <c r="I4217" s="4" t="inlineStr">
        <is>
          <t>19:53</t>
        </is>
      </c>
      <c r="J4217" s="8" t="n">
        <v>9</v>
      </c>
      <c r="K4217" s="8" t="n">
        <v>6</v>
      </c>
      <c r="L4217" s="8" t="n">
        <v>3</v>
      </c>
      <c r="M4217" s="29" t="inlineStr">
        <is>
          <t>MKP</t>
        </is>
      </c>
    </row>
    <row r="4218">
      <c r="A4218" s="4" t="n">
        <v>4217</v>
      </c>
      <c r="B4218" s="4" t="inlineStr">
        <is>
          <t>00246</t>
        </is>
      </c>
      <c r="C4218" s="4" t="inlineStr">
        <is>
          <t>00246</t>
        </is>
      </c>
      <c r="D4218" s="29" t="inlineStr">
        <is>
          <t>ZEYNEP KURT</t>
        </is>
      </c>
      <c r="E4218" s="4" t="inlineStr">
        <is>
          <t>Pazartesi</t>
        </is>
      </c>
      <c r="F4218" s="4" t="inlineStr">
        <is>
          <t>19.10.2026</t>
        </is>
      </c>
      <c r="G4218" s="4" t="inlineStr">
        <is>
          <t>09:44</t>
        </is>
      </c>
      <c r="H4218" s="4" t="inlineStr">
        <is>
          <t>19.10.2026</t>
        </is>
      </c>
      <c r="I4218" s="4" t="inlineStr">
        <is>
          <t>18:18</t>
        </is>
      </c>
      <c r="J4218" s="8" t="n">
        <v>7</v>
      </c>
      <c r="K4218" s="8" t="n">
        <v>6</v>
      </c>
      <c r="L4218" s="8" t="n">
        <v>1</v>
      </c>
      <c r="M4218" s="29" t="inlineStr">
        <is>
          <t>MKP</t>
        </is>
      </c>
    </row>
    <row r="4219">
      <c r="A4219" s="4" t="n">
        <v>4218</v>
      </c>
      <c r="B4219" s="4" t="inlineStr">
        <is>
          <t>00246</t>
        </is>
      </c>
      <c r="C4219" s="4" t="inlineStr">
        <is>
          <t>00246</t>
        </is>
      </c>
      <c r="D4219" s="29" t="inlineStr">
        <is>
          <t>ZEYNEP KURT</t>
        </is>
      </c>
      <c r="E4219" s="4" t="inlineStr">
        <is>
          <t>Salı</t>
        </is>
      </c>
      <c r="F4219" s="4" t="inlineStr">
        <is>
          <t>20.10.2026</t>
        </is>
      </c>
      <c r="G4219" s="4" t="inlineStr">
        <is>
          <t>09:49</t>
        </is>
      </c>
      <c r="H4219" s="4" t="inlineStr">
        <is>
          <t>20.10.2026</t>
        </is>
      </c>
      <c r="I4219" s="4" t="inlineStr">
        <is>
          <t>18:59</t>
        </is>
      </c>
      <c r="J4219" s="8" t="n">
        <v>8</v>
      </c>
      <c r="K4219" s="8" t="n">
        <v>6</v>
      </c>
      <c r="L4219" s="8" t="n">
        <v>2</v>
      </c>
      <c r="M4219" s="29" t="inlineStr">
        <is>
          <t>MKP</t>
        </is>
      </c>
    </row>
    <row r="4220">
      <c r="A4220" s="4" t="n">
        <v>4219</v>
      </c>
      <c r="B4220" s="4" t="inlineStr">
        <is>
          <t>00246</t>
        </is>
      </c>
      <c r="C4220" s="4" t="inlineStr">
        <is>
          <t>00246</t>
        </is>
      </c>
      <c r="D4220" s="29" t="inlineStr">
        <is>
          <t>ZEYNEP KURT</t>
        </is>
      </c>
      <c r="E4220" s="4" t="inlineStr">
        <is>
          <t>Çarşamba</t>
        </is>
      </c>
      <c r="F4220" s="4" t="inlineStr">
        <is>
          <t>21.10.2026</t>
        </is>
      </c>
      <c r="G4220" s="4" t="inlineStr">
        <is>
          <t>09:46</t>
        </is>
      </c>
      <c r="H4220" s="4" t="inlineStr">
        <is>
          <t>21.10.2026</t>
        </is>
      </c>
      <c r="I4220" s="4" t="inlineStr">
        <is>
          <t>19:02</t>
        </is>
      </c>
      <c r="J4220" s="8" t="n">
        <v>8</v>
      </c>
      <c r="K4220" s="8" t="n">
        <v>6</v>
      </c>
      <c r="L4220" s="8" t="n">
        <v>2</v>
      </c>
      <c r="M4220" s="29" t="inlineStr">
        <is>
          <t>MKP</t>
        </is>
      </c>
    </row>
    <row r="4221">
      <c r="A4221" s="4" t="n">
        <v>4220</v>
      </c>
      <c r="B4221" s="4" t="inlineStr">
        <is>
          <t>00765</t>
        </is>
      </c>
      <c r="C4221" s="4" t="inlineStr">
        <is>
          <t>00765</t>
        </is>
      </c>
      <c r="D4221" s="29" t="inlineStr">
        <is>
          <t>ZEYNEP ONBAŞI</t>
        </is>
      </c>
      <c r="E4221" s="4" t="inlineStr">
        <is>
          <t>Perşembe</t>
        </is>
      </c>
      <c r="F4221" s="4" t="inlineStr">
        <is>
          <t>1.10.2026</t>
        </is>
      </c>
      <c r="G4221" s="4" t="inlineStr">
        <is>
          <t>07:50</t>
        </is>
      </c>
      <c r="H4221" s="4" t="inlineStr">
        <is>
          <t>1.10.2026</t>
        </is>
      </c>
      <c r="I4221" s="4" t="inlineStr">
        <is>
          <t>17:23</t>
        </is>
      </c>
      <c r="J4221" s="8" t="n">
        <v>8</v>
      </c>
      <c r="K4221" s="8" t="n">
        <v>7.5</v>
      </c>
      <c r="L4221" s="8" t="n">
        <v>0.5</v>
      </c>
      <c r="M4221" s="29" t="inlineStr">
        <is>
          <t>BALIKESİR</t>
        </is>
      </c>
    </row>
    <row r="4222">
      <c r="A4222" s="4" t="n">
        <v>4221</v>
      </c>
      <c r="B4222" s="4" t="inlineStr">
        <is>
          <t>00765</t>
        </is>
      </c>
      <c r="C4222" s="4" t="inlineStr">
        <is>
          <t>00765</t>
        </is>
      </c>
      <c r="D4222" s="29" t="inlineStr">
        <is>
          <t>ZEYNEP ONBAŞI</t>
        </is>
      </c>
      <c r="E4222" s="4" t="inlineStr">
        <is>
          <t>Cuma</t>
        </is>
      </c>
      <c r="F4222" s="4" t="inlineStr">
        <is>
          <t>2.10.2026</t>
        </is>
      </c>
      <c r="G4222" s="4" t="inlineStr">
        <is>
          <t>07:56</t>
        </is>
      </c>
      <c r="H4222" s="4" t="inlineStr">
        <is>
          <t>2.10.2026</t>
        </is>
      </c>
      <c r="I4222" s="4" t="inlineStr">
        <is>
          <t>17:41</t>
        </is>
      </c>
      <c r="J4222" s="8" t="n">
        <v>8</v>
      </c>
      <c r="K4222" s="8" t="n">
        <v>7.5</v>
      </c>
      <c r="L4222" s="8" t="n">
        <v>0.5</v>
      </c>
      <c r="M4222" s="29" t="inlineStr">
        <is>
          <t>BALIKESİR</t>
        </is>
      </c>
    </row>
    <row r="4223">
      <c r="A4223" s="4" t="n">
        <v>4222</v>
      </c>
      <c r="B4223" s="4" t="inlineStr">
        <is>
          <t>00765</t>
        </is>
      </c>
      <c r="C4223" s="4" t="inlineStr">
        <is>
          <t>00765</t>
        </is>
      </c>
      <c r="D4223" s="29" t="inlineStr">
        <is>
          <t>ZEYNEP ONBAŞI</t>
        </is>
      </c>
      <c r="E4223" s="4" t="inlineStr">
        <is>
          <t>Cumartesi</t>
        </is>
      </c>
      <c r="F4223" s="4" t="inlineStr">
        <is>
          <t>3.10.2026</t>
        </is>
      </c>
      <c r="G4223" s="4" t="inlineStr">
        <is>
          <t>07:57</t>
        </is>
      </c>
      <c r="H4223" s="4" t="inlineStr">
        <is>
          <t>3.10.2026</t>
        </is>
      </c>
      <c r="I4223" s="4" t="inlineStr">
        <is>
          <t>17:31</t>
        </is>
      </c>
      <c r="J4223" s="8" t="n">
        <v>8</v>
      </c>
      <c r="K4223" s="8" t="n">
        <v>7.5</v>
      </c>
      <c r="L4223" s="8" t="n">
        <v>0.5</v>
      </c>
      <c r="M4223" s="29" t="inlineStr">
        <is>
          <t>BALIKESİR</t>
        </is>
      </c>
    </row>
    <row r="4224">
      <c r="A4224" s="4" t="n">
        <v>4223</v>
      </c>
      <c r="B4224" s="4" t="inlineStr">
        <is>
          <t>00765</t>
        </is>
      </c>
      <c r="C4224" s="4" t="inlineStr">
        <is>
          <t>00765</t>
        </is>
      </c>
      <c r="D4224" s="29" t="inlineStr">
        <is>
          <t>ZEYNEP ONBAŞI</t>
        </is>
      </c>
      <c r="E4224" s="4" t="inlineStr">
        <is>
          <t>Pazartesi</t>
        </is>
      </c>
      <c r="F4224" s="4" t="inlineStr">
        <is>
          <t>5.10.2026</t>
        </is>
      </c>
      <c r="G4224" s="4" t="inlineStr">
        <is>
          <t>07:53</t>
        </is>
      </c>
      <c r="H4224" s="4" t="inlineStr">
        <is>
          <t>5.10.2026</t>
        </is>
      </c>
      <c r="I4224" s="4" t="inlineStr">
        <is>
          <t>17:00</t>
        </is>
      </c>
      <c r="J4224" s="8" t="n">
        <v>7.5</v>
      </c>
      <c r="K4224" s="8" t="n">
        <v>7.5</v>
      </c>
      <c r="L4224" s="8" t="n">
        <v>0</v>
      </c>
      <c r="M4224" s="29" t="inlineStr">
        <is>
          <t>BALIKESİR</t>
        </is>
      </c>
    </row>
    <row r="4225">
      <c r="A4225" s="4" t="n">
        <v>4224</v>
      </c>
      <c r="B4225" s="4" t="inlineStr">
        <is>
          <t>00765</t>
        </is>
      </c>
      <c r="C4225" s="4" t="inlineStr">
        <is>
          <t>00765</t>
        </is>
      </c>
      <c r="D4225" s="29" t="inlineStr">
        <is>
          <t>ZEYNEP ONBAŞI</t>
        </is>
      </c>
      <c r="E4225" s="4" t="inlineStr">
        <is>
          <t>Salı</t>
        </is>
      </c>
      <c r="F4225" s="4" t="inlineStr">
        <is>
          <t>6.10.2026</t>
        </is>
      </c>
      <c r="G4225" s="4" t="inlineStr">
        <is>
          <t>07:52</t>
        </is>
      </c>
      <c r="H4225" s="4" t="inlineStr">
        <is>
          <t>6.10.2026</t>
        </is>
      </c>
      <c r="I4225" s="4" t="inlineStr">
        <is>
          <t>17:35</t>
        </is>
      </c>
      <c r="J4225" s="8" t="n">
        <v>8</v>
      </c>
      <c r="K4225" s="8" t="n">
        <v>7.5</v>
      </c>
      <c r="L4225" s="8" t="n">
        <v>0.5</v>
      </c>
      <c r="M4225" s="29" t="inlineStr">
        <is>
          <t>BALIKESİR</t>
        </is>
      </c>
    </row>
    <row r="4226">
      <c r="A4226" s="4" t="n">
        <v>4225</v>
      </c>
      <c r="B4226" s="4" t="inlineStr">
        <is>
          <t>00765</t>
        </is>
      </c>
      <c r="C4226" s="4" t="inlineStr">
        <is>
          <t>00765</t>
        </is>
      </c>
      <c r="D4226" s="29" t="inlineStr">
        <is>
          <t>ZEYNEP ONBAŞI</t>
        </is>
      </c>
      <c r="E4226" s="4" t="inlineStr">
        <is>
          <t>Çarşamba</t>
        </is>
      </c>
      <c r="F4226" s="4" t="inlineStr">
        <is>
          <t>7.10.2026</t>
        </is>
      </c>
      <c r="G4226" s="4" t="inlineStr">
        <is>
          <t>07:47</t>
        </is>
      </c>
      <c r="H4226" s="4" t="inlineStr">
        <is>
          <t>7.10.2026</t>
        </is>
      </c>
      <c r="I4226" s="4" t="inlineStr">
        <is>
          <t>17:19</t>
        </is>
      </c>
      <c r="J4226" s="8" t="n">
        <v>7.5</v>
      </c>
      <c r="K4226" s="8" t="n">
        <v>7.5</v>
      </c>
      <c r="L4226" s="8" t="n">
        <v>0</v>
      </c>
      <c r="M4226" s="29" t="inlineStr">
        <is>
          <t>BALIKESİR</t>
        </is>
      </c>
    </row>
    <row r="4227">
      <c r="A4227" s="4" t="n">
        <v>4226</v>
      </c>
      <c r="B4227" s="4" t="inlineStr">
        <is>
          <t>00765</t>
        </is>
      </c>
      <c r="C4227" s="4" t="inlineStr">
        <is>
          <t>00765</t>
        </is>
      </c>
      <c r="D4227" s="29" t="inlineStr">
        <is>
          <t>ZEYNEP ONBAŞI</t>
        </is>
      </c>
      <c r="E4227" s="4" t="inlineStr">
        <is>
          <t>Perşembe</t>
        </is>
      </c>
      <c r="F4227" s="4" t="inlineStr">
        <is>
          <t>8.10.2026</t>
        </is>
      </c>
      <c r="G4227" s="4" t="inlineStr">
        <is>
          <t>07:50</t>
        </is>
      </c>
      <c r="H4227" s="4" t="inlineStr">
        <is>
          <t>8.10.2026</t>
        </is>
      </c>
      <c r="I4227" s="4" t="inlineStr">
        <is>
          <t>-</t>
        </is>
      </c>
      <c r="J4227" s="8" t="n">
        <v>7.5</v>
      </c>
      <c r="K4227" s="8" t="n">
        <v>7.5</v>
      </c>
      <c r="L4227" s="8" t="n">
        <v>0</v>
      </c>
      <c r="M4227" s="29" t="inlineStr">
        <is>
          <t>BALIKESİR</t>
        </is>
      </c>
    </row>
    <row r="4228">
      <c r="A4228" s="4" t="n">
        <v>4227</v>
      </c>
      <c r="B4228" s="4" t="inlineStr">
        <is>
          <t>00765</t>
        </is>
      </c>
      <c r="C4228" s="4" t="inlineStr">
        <is>
          <t>00765</t>
        </is>
      </c>
      <c r="D4228" s="29" t="inlineStr">
        <is>
          <t>ZEYNEP ONBAŞI</t>
        </is>
      </c>
      <c r="E4228" s="4" t="inlineStr">
        <is>
          <t>Cuma</t>
        </is>
      </c>
      <c r="F4228" s="4" t="inlineStr">
        <is>
          <t>9.10.2026</t>
        </is>
      </c>
      <c r="G4228" s="4" t="inlineStr">
        <is>
          <t>08:57</t>
        </is>
      </c>
      <c r="H4228" s="4" t="inlineStr">
        <is>
          <t>9.10.2026</t>
        </is>
      </c>
      <c r="I4228" s="4" t="inlineStr">
        <is>
          <t>17:38</t>
        </is>
      </c>
      <c r="J4228" s="8" t="n">
        <v>7</v>
      </c>
      <c r="K4228" s="8" t="n">
        <v>6.5</v>
      </c>
      <c r="L4228" s="8" t="n">
        <v>0.5</v>
      </c>
      <c r="M4228" s="29" t="inlineStr">
        <is>
          <t>BALIKESİR</t>
        </is>
      </c>
    </row>
    <row r="4229">
      <c r="A4229" s="4" t="n">
        <v>4228</v>
      </c>
      <c r="B4229" s="4" t="inlineStr">
        <is>
          <t>00765</t>
        </is>
      </c>
      <c r="C4229" s="4" t="inlineStr">
        <is>
          <t>00765</t>
        </is>
      </c>
      <c r="D4229" s="29" t="inlineStr">
        <is>
          <t>ZEYNEP ONBAŞI</t>
        </is>
      </c>
      <c r="E4229" s="4" t="inlineStr">
        <is>
          <t>Cumartesi</t>
        </is>
      </c>
      <c r="F4229" s="4" t="inlineStr">
        <is>
          <t>10.10.2026</t>
        </is>
      </c>
      <c r="G4229" s="4" t="inlineStr">
        <is>
          <t>07:53</t>
        </is>
      </c>
      <c r="H4229" s="4" t="inlineStr">
        <is>
          <t>10.10.2026</t>
        </is>
      </c>
      <c r="I4229" s="4" t="inlineStr">
        <is>
          <t>18:05</t>
        </is>
      </c>
      <c r="J4229" s="8" t="n">
        <v>8.5</v>
      </c>
      <c r="K4229" s="8" t="n">
        <v>7.5</v>
      </c>
      <c r="L4229" s="8" t="n">
        <v>1</v>
      </c>
      <c r="M4229" s="29" t="inlineStr">
        <is>
          <t>BALIKESİR</t>
        </is>
      </c>
    </row>
    <row r="4230">
      <c r="A4230" s="4" t="n">
        <v>4229</v>
      </c>
      <c r="B4230" s="4" t="inlineStr">
        <is>
          <t>00765</t>
        </is>
      </c>
      <c r="C4230" s="4" t="inlineStr">
        <is>
          <t>00765</t>
        </is>
      </c>
      <c r="D4230" s="29" t="inlineStr">
        <is>
          <t>ZEYNEP ONBAŞI</t>
        </is>
      </c>
      <c r="E4230" s="4" t="inlineStr">
        <is>
          <t>Pazar</t>
        </is>
      </c>
      <c r="F4230" s="4" t="inlineStr">
        <is>
          <t>11.10.2026</t>
        </is>
      </c>
      <c r="G4230" s="4" t="inlineStr">
        <is>
          <t>07:48</t>
        </is>
      </c>
      <c r="H4230" s="4" t="inlineStr">
        <is>
          <t>11.10.2026</t>
        </is>
      </c>
      <c r="I4230" s="4" t="inlineStr">
        <is>
          <t>16:04</t>
        </is>
      </c>
      <c r="J4230" s="8" t="n">
        <v>7.5</v>
      </c>
      <c r="K4230" s="8" t="n">
        <v>7.5</v>
      </c>
      <c r="L4230" s="8" t="n">
        <v>0</v>
      </c>
      <c r="M4230" s="29" t="inlineStr">
        <is>
          <t>BALIKESİR</t>
        </is>
      </c>
    </row>
    <row r="4231">
      <c r="A4231" s="4" t="n">
        <v>4230</v>
      </c>
      <c r="B4231" s="4" t="inlineStr">
        <is>
          <t>00765</t>
        </is>
      </c>
      <c r="C4231" s="4" t="inlineStr">
        <is>
          <t>00765</t>
        </is>
      </c>
      <c r="D4231" s="29" t="inlineStr">
        <is>
          <t>ZEYNEP ONBAŞI</t>
        </is>
      </c>
      <c r="E4231" s="4" t="inlineStr">
        <is>
          <t>Pazartesi</t>
        </is>
      </c>
      <c r="F4231" s="4" t="inlineStr">
        <is>
          <t>12.10.2026</t>
        </is>
      </c>
      <c r="G4231" s="4" t="inlineStr">
        <is>
          <t>07:51</t>
        </is>
      </c>
      <c r="H4231" s="4" t="inlineStr">
        <is>
          <t>12.10.2026</t>
        </is>
      </c>
      <c r="I4231" s="4" t="inlineStr">
        <is>
          <t>16:57</t>
        </is>
      </c>
      <c r="J4231" s="8" t="n">
        <v>7.5</v>
      </c>
      <c r="K4231" s="8" t="n">
        <v>7.5</v>
      </c>
      <c r="L4231" s="8" t="n">
        <v>0</v>
      </c>
      <c r="M4231" s="29" t="inlineStr">
        <is>
          <t>BALIKESİR</t>
        </is>
      </c>
    </row>
    <row r="4232">
      <c r="A4232" s="4" t="n">
        <v>4231</v>
      </c>
      <c r="B4232" s="4" t="inlineStr">
        <is>
          <t>00765</t>
        </is>
      </c>
      <c r="C4232" s="4" t="inlineStr">
        <is>
          <t>00765</t>
        </is>
      </c>
      <c r="D4232" s="29" t="inlineStr">
        <is>
          <t>ZEYNEP ONBAŞI</t>
        </is>
      </c>
      <c r="E4232" s="4" t="inlineStr">
        <is>
          <t>Salı</t>
        </is>
      </c>
      <c r="F4232" s="4" t="inlineStr">
        <is>
          <t>13.10.2026</t>
        </is>
      </c>
      <c r="G4232" s="4" t="inlineStr">
        <is>
          <t>07:49</t>
        </is>
      </c>
      <c r="H4232" s="4" t="inlineStr">
        <is>
          <t>13.10.2026</t>
        </is>
      </c>
      <c r="I4232" s="4" t="inlineStr">
        <is>
          <t>16:59</t>
        </is>
      </c>
      <c r="J4232" s="8" t="n">
        <v>7.5</v>
      </c>
      <c r="K4232" s="8" t="n">
        <v>7.5</v>
      </c>
      <c r="L4232" s="8" t="n">
        <v>0</v>
      </c>
      <c r="M4232" s="29" t="inlineStr">
        <is>
          <t>BALIKESİR</t>
        </is>
      </c>
    </row>
    <row r="4233">
      <c r="A4233" s="4" t="n">
        <v>4232</v>
      </c>
      <c r="B4233" s="4" t="inlineStr">
        <is>
          <t>00765</t>
        </is>
      </c>
      <c r="C4233" s="4" t="inlineStr">
        <is>
          <t>00765</t>
        </is>
      </c>
      <c r="D4233" s="29" t="inlineStr">
        <is>
          <t>ZEYNEP ONBAŞI</t>
        </is>
      </c>
      <c r="E4233" s="4" t="inlineStr">
        <is>
          <t>Çarşamba</t>
        </is>
      </c>
      <c r="F4233" s="4" t="inlineStr">
        <is>
          <t>14.10.2026</t>
        </is>
      </c>
      <c r="G4233" s="4" t="inlineStr">
        <is>
          <t>07:49</t>
        </is>
      </c>
      <c r="H4233" s="4" t="inlineStr">
        <is>
          <t>14.10.2026</t>
        </is>
      </c>
      <c r="I4233" s="4" t="inlineStr">
        <is>
          <t>18:00</t>
        </is>
      </c>
      <c r="J4233" s="8" t="n">
        <v>8.5</v>
      </c>
      <c r="K4233" s="8" t="n">
        <v>7.5</v>
      </c>
      <c r="L4233" s="8" t="n">
        <v>1</v>
      </c>
      <c r="M4233" s="29" t="inlineStr">
        <is>
          <t>BALIKESİR</t>
        </is>
      </c>
    </row>
    <row r="4234">
      <c r="A4234" s="4" t="n">
        <v>4233</v>
      </c>
      <c r="B4234" s="4" t="inlineStr">
        <is>
          <t>00765</t>
        </is>
      </c>
      <c r="C4234" s="4" t="inlineStr">
        <is>
          <t>00765</t>
        </is>
      </c>
      <c r="D4234" s="29" t="inlineStr">
        <is>
          <t>ZEYNEP ONBAŞI</t>
        </is>
      </c>
      <c r="E4234" s="4" t="inlineStr">
        <is>
          <t>Perşembe</t>
        </is>
      </c>
      <c r="F4234" s="4" t="inlineStr">
        <is>
          <t>15.10.2026</t>
        </is>
      </c>
      <c r="G4234" s="4" t="inlineStr">
        <is>
          <t>07:53</t>
        </is>
      </c>
      <c r="H4234" s="4" t="inlineStr">
        <is>
          <t>15.10.2026</t>
        </is>
      </c>
      <c r="I4234" s="4" t="inlineStr">
        <is>
          <t>17:01</t>
        </is>
      </c>
      <c r="J4234" s="8" t="n">
        <v>7.5</v>
      </c>
      <c r="K4234" s="8" t="n">
        <v>7.5</v>
      </c>
      <c r="L4234" s="8" t="n">
        <v>0</v>
      </c>
      <c r="M4234" s="29" t="inlineStr">
        <is>
          <t>BALIKESİR</t>
        </is>
      </c>
    </row>
    <row r="4235">
      <c r="A4235" s="4" t="n">
        <v>4234</v>
      </c>
      <c r="B4235" s="4" t="inlineStr">
        <is>
          <t>00765</t>
        </is>
      </c>
      <c r="C4235" s="4" t="inlineStr">
        <is>
          <t>00765</t>
        </is>
      </c>
      <c r="D4235" s="29" t="inlineStr">
        <is>
          <t>ZEYNEP ONBAŞI</t>
        </is>
      </c>
      <c r="E4235" s="4" t="inlineStr">
        <is>
          <t>Cuma</t>
        </is>
      </c>
      <c r="F4235" s="4" t="inlineStr">
        <is>
          <t>16.10.2026</t>
        </is>
      </c>
      <c r="G4235" s="4" t="inlineStr">
        <is>
          <t>07:48</t>
        </is>
      </c>
      <c r="H4235" s="4" t="inlineStr">
        <is>
          <t>16.10.2026</t>
        </is>
      </c>
      <c r="I4235" s="4" t="inlineStr">
        <is>
          <t>17:12</t>
        </is>
      </c>
      <c r="J4235" s="8" t="n">
        <v>7.5</v>
      </c>
      <c r="K4235" s="8" t="n">
        <v>7.5</v>
      </c>
      <c r="L4235" s="8" t="n">
        <v>0</v>
      </c>
      <c r="M4235" s="29" t="inlineStr">
        <is>
          <t>BALIKESİR</t>
        </is>
      </c>
    </row>
    <row r="4236">
      <c r="A4236" s="4" t="n">
        <v>4235</v>
      </c>
      <c r="B4236" s="4" t="inlineStr">
        <is>
          <t>00765</t>
        </is>
      </c>
      <c r="C4236" s="4" t="inlineStr">
        <is>
          <t>00765</t>
        </is>
      </c>
      <c r="D4236" s="29" t="inlineStr">
        <is>
          <t>ZEYNEP ONBAŞI</t>
        </is>
      </c>
      <c r="E4236" s="4" t="inlineStr">
        <is>
          <t>Cumartesi</t>
        </is>
      </c>
      <c r="F4236" s="4" t="inlineStr">
        <is>
          <t>17.10.2026</t>
        </is>
      </c>
      <c r="G4236" s="4" t="inlineStr">
        <is>
          <t>07:56</t>
        </is>
      </c>
      <c r="H4236" s="4" t="inlineStr">
        <is>
          <t>17.10.2026</t>
        </is>
      </c>
      <c r="I4236" s="4" t="inlineStr">
        <is>
          <t>17:46</t>
        </is>
      </c>
      <c r="J4236" s="8" t="n">
        <v>8.5</v>
      </c>
      <c r="K4236" s="8" t="n">
        <v>7.5</v>
      </c>
      <c r="L4236" s="8" t="n">
        <v>1</v>
      </c>
      <c r="M4236" s="29" t="inlineStr">
        <is>
          <t>BALIKESİR</t>
        </is>
      </c>
    </row>
    <row r="4237">
      <c r="A4237" s="4" t="n">
        <v>4236</v>
      </c>
      <c r="B4237" s="4" t="inlineStr">
        <is>
          <t>00765</t>
        </is>
      </c>
      <c r="C4237" s="4" t="inlineStr">
        <is>
          <t>00765</t>
        </is>
      </c>
      <c r="D4237" s="29" t="inlineStr">
        <is>
          <t>ZEYNEP ONBAŞI</t>
        </is>
      </c>
      <c r="E4237" s="4" t="inlineStr">
        <is>
          <t>Pazartesi</t>
        </is>
      </c>
      <c r="F4237" s="4" t="inlineStr">
        <is>
          <t>19.10.2026</t>
        </is>
      </c>
      <c r="G4237" s="4" t="inlineStr">
        <is>
          <t>07:50</t>
        </is>
      </c>
      <c r="H4237" s="4" t="inlineStr">
        <is>
          <t>19.10.2026</t>
        </is>
      </c>
      <c r="I4237" s="4" t="inlineStr">
        <is>
          <t>17:42</t>
        </is>
      </c>
      <c r="J4237" s="8" t="n">
        <v>8</v>
      </c>
      <c r="K4237" s="8" t="n">
        <v>7.5</v>
      </c>
      <c r="L4237" s="8" t="n">
        <v>0.5</v>
      </c>
      <c r="M4237" s="29" t="inlineStr">
        <is>
          <t>BALIKESİR</t>
        </is>
      </c>
    </row>
    <row r="4238">
      <c r="A4238" s="4" t="n">
        <v>4237</v>
      </c>
      <c r="B4238" s="4" t="inlineStr">
        <is>
          <t>00765</t>
        </is>
      </c>
      <c r="C4238" s="4" t="inlineStr">
        <is>
          <t>00765</t>
        </is>
      </c>
      <c r="D4238" s="29" t="inlineStr">
        <is>
          <t>ZEYNEP ONBAŞI</t>
        </is>
      </c>
      <c r="E4238" s="4" t="inlineStr">
        <is>
          <t>Salı</t>
        </is>
      </c>
      <c r="F4238" s="4" t="inlineStr">
        <is>
          <t>20.10.2026</t>
        </is>
      </c>
      <c r="G4238" s="4" t="inlineStr">
        <is>
          <t>07:48</t>
        </is>
      </c>
      <c r="H4238" s="4" t="inlineStr">
        <is>
          <t>20.10.2026</t>
        </is>
      </c>
      <c r="I4238" s="4" t="inlineStr">
        <is>
          <t>16:59</t>
        </is>
      </c>
      <c r="J4238" s="8" t="n">
        <v>7.5</v>
      </c>
      <c r="K4238" s="8" t="n">
        <v>7.5</v>
      </c>
      <c r="L4238" s="8" t="n">
        <v>0</v>
      </c>
      <c r="M4238" s="29" t="inlineStr">
        <is>
          <t>BALIKESİR</t>
        </is>
      </c>
    </row>
    <row r="4239">
      <c r="A4239" s="4" t="n">
        <v>4238</v>
      </c>
      <c r="B4239" s="4" t="inlineStr">
        <is>
          <t>00765</t>
        </is>
      </c>
      <c r="C4239" s="4" t="inlineStr">
        <is>
          <t>00765</t>
        </is>
      </c>
      <c r="D4239" s="29" t="inlineStr">
        <is>
          <t>ZEYNEP ONBAŞI</t>
        </is>
      </c>
      <c r="E4239" s="4" t="inlineStr">
        <is>
          <t>Çarşamba</t>
        </is>
      </c>
      <c r="F4239" s="4" t="inlineStr">
        <is>
          <t>21.10.2026</t>
        </is>
      </c>
      <c r="G4239" s="4" t="inlineStr">
        <is>
          <t>07:49</t>
        </is>
      </c>
      <c r="H4239" s="4" t="inlineStr">
        <is>
          <t>21.10.2026</t>
        </is>
      </c>
      <c r="I4239" s="4" t="inlineStr">
        <is>
          <t>16:59</t>
        </is>
      </c>
      <c r="J4239" s="8" t="n">
        <v>7.5</v>
      </c>
      <c r="K4239" s="8" t="n">
        <v>7.5</v>
      </c>
      <c r="L4239" s="8" t="n">
        <v>0</v>
      </c>
      <c r="M4239" s="29" t="inlineStr">
        <is>
          <t>BALIKESİR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0" customWidth="1" min="13" max="13"/>
    <col width="16" customWidth="1" min="14" max="14"/>
    <col width="12" customWidth="1" min="15" max="15"/>
    <col width="14" customWidth="1" min="16" max="16"/>
  </cols>
  <sheetData>
    <row r="1" ht="25" customHeight="1">
      <c r="A1" s="2" t="inlineStr">
        <is>
          <t>Sıra No</t>
        </is>
      </c>
      <c r="B1" s="2" t="inlineStr">
        <is>
          <t>TC Kimlik No</t>
        </is>
      </c>
      <c r="C1" s="2" t="inlineStr">
        <is>
          <t>Adı Soyadı</t>
        </is>
      </c>
      <c r="D1" s="2" t="inlineStr">
        <is>
          <t>Ücret (TL)</t>
        </is>
      </c>
      <c r="E1" s="2" t="inlineStr">
        <is>
          <t>Giriş Tarihi</t>
        </is>
      </c>
      <c r="F1" s="2" t="inlineStr">
        <is>
          <t>Çıkış Tarihi</t>
        </is>
      </c>
      <c r="G1" s="2" t="inlineStr">
        <is>
          <t>Normal Kazanç</t>
        </is>
      </c>
      <c r="H1" s="2" t="inlineStr">
        <is>
          <t>Ek Kazanç</t>
        </is>
      </c>
      <c r="I1" s="2" t="inlineStr">
        <is>
          <t>Yasal Kesinti</t>
        </is>
      </c>
      <c r="J1" s="2" t="inlineStr">
        <is>
          <t>Toplam Kazanç</t>
        </is>
      </c>
      <c r="K1" s="2" t="inlineStr">
        <is>
          <t>Toplam Kesinti</t>
        </is>
      </c>
      <c r="L1" s="2" t="inlineStr">
        <is>
          <t>Ödenecek Net</t>
        </is>
      </c>
      <c r="M1" s="2" t="inlineStr">
        <is>
          <t>SGK Gün</t>
        </is>
      </c>
      <c r="N1" s="2" t="inlineStr">
        <is>
          <t>SGK Matrah (Brüt)</t>
        </is>
      </c>
      <c r="O1" s="2" t="inlineStr">
        <is>
          <t>Kanun No</t>
        </is>
      </c>
      <c r="P1" s="2" t="inlineStr">
        <is>
          <t>Meslek Kodu</t>
        </is>
      </c>
    </row>
    <row r="2">
      <c r="A2" s="4" t="inlineStr">
        <is>
          <t>1</t>
        </is>
      </c>
      <c r="B2" s="5" t="inlineStr">
        <is>
          <t>10001559124</t>
        </is>
      </c>
      <c r="C2" s="29" t="inlineStr">
        <is>
          <t>EMİRHAN İSMAİL KÖSE</t>
        </is>
      </c>
      <c r="D2" s="7" t="n">
        <v>33030</v>
      </c>
      <c r="E2" s="4" t="inlineStr">
        <is>
          <t>06.07.2024</t>
        </is>
      </c>
      <c r="F2" s="4" t="inlineStr"/>
      <c r="G2" s="7" t="n">
        <v>33030</v>
      </c>
      <c r="H2" s="7" t="n">
        <v>0</v>
      </c>
      <c r="I2" s="7" t="n">
        <v>4954.5</v>
      </c>
      <c r="J2" s="7" t="n">
        <v>33030</v>
      </c>
      <c r="K2" s="7" t="n">
        <v>4954.5</v>
      </c>
      <c r="L2" s="7" t="n">
        <v>28075.5</v>
      </c>
      <c r="M2" s="4" t="n">
        <v>30</v>
      </c>
      <c r="N2" s="7" t="n">
        <v>33030</v>
      </c>
      <c r="O2" s="4" t="inlineStr">
        <is>
          <t>05510</t>
        </is>
      </c>
      <c r="P2" s="4" t="inlineStr">
        <is>
          <t>4419.08</t>
        </is>
      </c>
    </row>
    <row r="3">
      <c r="A3" s="4" t="inlineStr">
        <is>
          <t>2</t>
        </is>
      </c>
      <c r="B3" s="5" t="inlineStr">
        <is>
          <t>10027960836</t>
        </is>
      </c>
      <c r="C3" s="29" t="inlineStr">
        <is>
          <t>HÜSEYİN BEYGİRCİ</t>
        </is>
      </c>
      <c r="D3" s="7" t="n">
        <v>146.6</v>
      </c>
      <c r="E3" s="4" t="inlineStr">
        <is>
          <t>27.07.2026</t>
        </is>
      </c>
      <c r="F3" s="4" t="inlineStr"/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4" t="n">
        <v>0</v>
      </c>
      <c r="N3" s="7" t="n">
        <v>0</v>
      </c>
      <c r="O3" s="4" t="inlineStr">
        <is>
          <t>05510</t>
        </is>
      </c>
      <c r="P3" s="4" t="inlineStr">
        <is>
          <t>7514.01</t>
        </is>
      </c>
    </row>
    <row r="4">
      <c r="A4" s="4" t="inlineStr">
        <is>
          <t>3</t>
        </is>
      </c>
      <c r="B4" s="5" t="inlineStr">
        <is>
          <t>10036852948</t>
        </is>
      </c>
      <c r="C4" s="29" t="inlineStr">
        <is>
          <t>EMİRHAN MUTLU</t>
        </is>
      </c>
      <c r="D4" s="7" t="n">
        <v>160</v>
      </c>
      <c r="E4" s="4" t="inlineStr">
        <is>
          <t>28.10.2024</t>
        </is>
      </c>
      <c r="F4" s="4" t="inlineStr"/>
      <c r="G4" s="7" t="n">
        <v>44815.22</v>
      </c>
      <c r="H4" s="7" t="n">
        <v>10945.7</v>
      </c>
      <c r="I4" s="7" t="n">
        <v>12400.92</v>
      </c>
      <c r="J4" s="7" t="n">
        <v>55760.92</v>
      </c>
      <c r="K4" s="7" t="n">
        <v>12400.92</v>
      </c>
      <c r="L4" s="7" t="n">
        <v>43360</v>
      </c>
      <c r="M4" s="4" t="n">
        <v>30</v>
      </c>
      <c r="N4" s="7" t="n">
        <v>55760.92</v>
      </c>
      <c r="O4" s="4" t="inlineStr">
        <is>
          <t>16322</t>
        </is>
      </c>
      <c r="P4" s="4" t="inlineStr">
        <is>
          <t>7514.01</t>
        </is>
      </c>
    </row>
    <row r="5">
      <c r="A5" s="4" t="inlineStr">
        <is>
          <t>4</t>
        </is>
      </c>
      <c r="B5" s="5" t="inlineStr">
        <is>
          <t>10060801714</t>
        </is>
      </c>
      <c r="C5" s="29" t="inlineStr">
        <is>
          <t>NACİ YAŞAR</t>
        </is>
      </c>
      <c r="D5" s="7" t="n">
        <v>124.78</v>
      </c>
      <c r="E5" s="4" t="inlineStr">
        <is>
          <t>29.06.2026</t>
        </is>
      </c>
      <c r="F5" s="4" t="inlineStr">
        <is>
          <t>31.08.2026</t>
        </is>
      </c>
      <c r="G5" s="7" t="n">
        <v>3303</v>
      </c>
      <c r="H5" s="7" t="n">
        <v>0</v>
      </c>
      <c r="I5" s="7" t="n">
        <v>594.45</v>
      </c>
      <c r="J5" s="7" t="n">
        <v>3303</v>
      </c>
      <c r="K5" s="7" t="n">
        <v>594.45</v>
      </c>
      <c r="L5" s="7" t="n">
        <v>2708.55</v>
      </c>
      <c r="M5" s="4" t="n">
        <v>3</v>
      </c>
      <c r="N5" s="7" t="n">
        <v>3303</v>
      </c>
      <c r="O5" s="4" t="inlineStr">
        <is>
          <t>05510</t>
        </is>
      </c>
      <c r="P5" s="4" t="inlineStr">
        <is>
          <t>7514.01</t>
        </is>
      </c>
    </row>
    <row r="6">
      <c r="A6" s="4" t="inlineStr">
        <is>
          <t>5</t>
        </is>
      </c>
      <c r="B6" s="5" t="inlineStr">
        <is>
          <t>10066843626</t>
        </is>
      </c>
      <c r="C6" s="29" t="inlineStr">
        <is>
          <t>EFE EVİM</t>
        </is>
      </c>
      <c r="D6" s="7" t="n">
        <v>124.78</v>
      </c>
      <c r="E6" s="4" t="inlineStr">
        <is>
          <t>23.06.2025</t>
        </is>
      </c>
      <c r="F6" s="4" t="inlineStr"/>
      <c r="G6" s="7" t="n">
        <v>28625.43</v>
      </c>
      <c r="H6" s="7" t="n">
        <v>807.38</v>
      </c>
      <c r="I6" s="7" t="n">
        <v>5296.92</v>
      </c>
      <c r="J6" s="7" t="n">
        <v>29432.81</v>
      </c>
      <c r="K6" s="7" t="n">
        <v>5296.92</v>
      </c>
      <c r="L6" s="7" t="n">
        <v>24135.89</v>
      </c>
      <c r="M6" s="4" t="n">
        <v>26</v>
      </c>
      <c r="N6" s="7" t="n">
        <v>29432.81</v>
      </c>
      <c r="O6" s="4" t="inlineStr">
        <is>
          <t>05510</t>
        </is>
      </c>
      <c r="P6" s="4" t="inlineStr">
        <is>
          <t>7514.01</t>
        </is>
      </c>
    </row>
    <row r="7">
      <c r="A7" s="4" t="inlineStr">
        <is>
          <t>6</t>
        </is>
      </c>
      <c r="B7" s="5" t="inlineStr">
        <is>
          <t>10069953452</t>
        </is>
      </c>
      <c r="C7" s="29" t="inlineStr">
        <is>
          <t>MUHAMMET BEYİRKEN</t>
        </is>
      </c>
      <c r="D7" s="7" t="n">
        <v>124.78</v>
      </c>
      <c r="E7" s="4" t="inlineStr">
        <is>
          <t>26.07.2026</t>
        </is>
      </c>
      <c r="F7" s="4" t="inlineStr"/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4" t="n">
        <v>0</v>
      </c>
      <c r="N7" s="7" t="n">
        <v>0</v>
      </c>
      <c r="O7" s="4" t="inlineStr">
        <is>
          <t>05510</t>
        </is>
      </c>
      <c r="P7" s="4" t="inlineStr">
        <is>
          <t>7514.01</t>
        </is>
      </c>
    </row>
    <row r="8">
      <c r="A8" s="4" t="inlineStr">
        <is>
          <t>7</t>
        </is>
      </c>
      <c r="B8" s="5" t="inlineStr">
        <is>
          <t>10075851872</t>
        </is>
      </c>
      <c r="C8" s="29" t="inlineStr">
        <is>
          <t>BERAT DAĞCI</t>
        </is>
      </c>
      <c r="D8" s="7" t="n">
        <v>146.6</v>
      </c>
      <c r="E8" s="4" t="inlineStr">
        <is>
          <t>20.07.2026</t>
        </is>
      </c>
      <c r="F8" s="4" t="inlineStr">
        <is>
          <t>24.08.2026</t>
        </is>
      </c>
      <c r="G8" s="7" t="n">
        <v>16815.88</v>
      </c>
      <c r="H8" s="7" t="n">
        <v>1466</v>
      </c>
      <c r="I8" s="7" t="n">
        <v>3290.28</v>
      </c>
      <c r="J8" s="7" t="n">
        <v>18281.88</v>
      </c>
      <c r="K8" s="7" t="n">
        <v>3290.28</v>
      </c>
      <c r="L8" s="7" t="n">
        <v>14991.6</v>
      </c>
      <c r="M8" s="4" t="n">
        <v>13</v>
      </c>
      <c r="N8" s="7" t="n">
        <v>18281.88</v>
      </c>
      <c r="O8" s="4" t="inlineStr">
        <is>
          <t>05510</t>
        </is>
      </c>
      <c r="P8" s="4" t="inlineStr">
        <is>
          <t>7514.01</t>
        </is>
      </c>
    </row>
    <row r="9">
      <c r="A9" s="4" t="inlineStr">
        <is>
          <t>8</t>
        </is>
      </c>
      <c r="B9" s="5" t="inlineStr">
        <is>
          <t>10117958316</t>
        </is>
      </c>
      <c r="C9" s="29" t="inlineStr">
        <is>
          <t>ZERDA AYHAN</t>
        </is>
      </c>
      <c r="D9" s="7" t="n">
        <v>146.6</v>
      </c>
      <c r="E9" s="4" t="inlineStr">
        <is>
          <t>08.07.2026</t>
        </is>
      </c>
      <c r="F9" s="4" t="inlineStr">
        <is>
          <t>01.08.2026</t>
        </is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4" t="n">
        <v>0</v>
      </c>
      <c r="N9" s="7" t="n">
        <v>0</v>
      </c>
      <c r="O9" s="4" t="inlineStr">
        <is>
          <t>05510</t>
        </is>
      </c>
      <c r="P9" s="4" t="inlineStr">
        <is>
          <t>7514.01</t>
        </is>
      </c>
    </row>
    <row r="10">
      <c r="A10" s="4" t="inlineStr">
        <is>
          <t>9</t>
        </is>
      </c>
      <c r="B10" s="5" t="inlineStr">
        <is>
          <t>10156949566</t>
        </is>
      </c>
      <c r="C10" s="29" t="inlineStr">
        <is>
          <t>HAYRİYE BEYİRKEN</t>
        </is>
      </c>
      <c r="D10" s="7" t="n">
        <v>124.78</v>
      </c>
      <c r="E10" s="4" t="inlineStr">
        <is>
          <t>19.07.2026</t>
        </is>
      </c>
      <c r="F10" s="4" t="inlineStr"/>
      <c r="G10" s="7" t="n">
        <v>22020</v>
      </c>
      <c r="H10" s="7" t="n">
        <v>12755.39</v>
      </c>
      <c r="I10" s="7" t="n">
        <v>6495.09</v>
      </c>
      <c r="J10" s="7" t="n">
        <v>34775.39</v>
      </c>
      <c r="K10" s="7" t="n">
        <v>11195.09</v>
      </c>
      <c r="L10" s="7" t="n">
        <v>23580.3</v>
      </c>
      <c r="M10" s="4" t="n">
        <v>20</v>
      </c>
      <c r="N10" s="7" t="n">
        <v>34775.39</v>
      </c>
      <c r="O10" s="4" t="inlineStr">
        <is>
          <t>05510</t>
        </is>
      </c>
      <c r="P10" s="4" t="inlineStr">
        <is>
          <t>7514.01</t>
        </is>
      </c>
    </row>
    <row r="11">
      <c r="A11" s="4" t="inlineStr">
        <is>
          <t>10</t>
        </is>
      </c>
      <c r="B11" s="5" t="inlineStr">
        <is>
          <t>10177848602</t>
        </is>
      </c>
      <c r="C11" s="29" t="inlineStr">
        <is>
          <t>EYÜP EKİNCİ</t>
        </is>
      </c>
      <c r="D11" s="7" t="n">
        <v>124.78</v>
      </c>
      <c r="E11" s="4" t="inlineStr">
        <is>
          <t>08.06.2026</t>
        </is>
      </c>
      <c r="F11" s="4" t="inlineStr"/>
      <c r="G11" s="7" t="n">
        <v>19818</v>
      </c>
      <c r="H11" s="7" t="n">
        <v>3229.6</v>
      </c>
      <c r="I11" s="7" t="n">
        <v>4148.14</v>
      </c>
      <c r="J11" s="7" t="n">
        <v>23047.6</v>
      </c>
      <c r="K11" s="7" t="n">
        <v>4148.14</v>
      </c>
      <c r="L11" s="7" t="n">
        <v>18899.46</v>
      </c>
      <c r="M11" s="4" t="n">
        <v>18</v>
      </c>
      <c r="N11" s="7" t="n">
        <v>23047.6</v>
      </c>
      <c r="O11" s="4" t="inlineStr">
        <is>
          <t>05510</t>
        </is>
      </c>
      <c r="P11" s="4" t="inlineStr">
        <is>
          <t>7514.01</t>
        </is>
      </c>
    </row>
    <row r="12">
      <c r="A12" s="4" t="inlineStr">
        <is>
          <t>11</t>
        </is>
      </c>
      <c r="B12" s="5" t="inlineStr">
        <is>
          <t>10183826212</t>
        </is>
      </c>
      <c r="C12" s="29" t="inlineStr">
        <is>
          <t>DİLAN KARAOĞLAN</t>
        </is>
      </c>
      <c r="D12" s="7" t="n">
        <v>124.78</v>
      </c>
      <c r="E12" s="4" t="inlineStr">
        <is>
          <t>26.07.2026</t>
        </is>
      </c>
      <c r="F12" s="4" t="inlineStr"/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4" t="n">
        <v>0</v>
      </c>
      <c r="N12" s="7" t="n">
        <v>0</v>
      </c>
      <c r="O12" s="4" t="inlineStr">
        <is>
          <t>05510</t>
        </is>
      </c>
      <c r="P12" s="4" t="inlineStr">
        <is>
          <t>7514.01</t>
        </is>
      </c>
    </row>
    <row r="13">
      <c r="A13" s="4" t="inlineStr">
        <is>
          <t>12</t>
        </is>
      </c>
      <c r="B13" s="5" t="inlineStr">
        <is>
          <t>10183850040</t>
        </is>
      </c>
      <c r="C13" s="29" t="inlineStr">
        <is>
          <t>ÖMER DURMUŞ</t>
        </is>
      </c>
      <c r="D13" s="7" t="n">
        <v>124.78</v>
      </c>
      <c r="E13" s="4" t="inlineStr">
        <is>
          <t>29.06.2026</t>
        </is>
      </c>
      <c r="F13" s="4" t="inlineStr">
        <is>
          <t>31.08.2026</t>
        </is>
      </c>
      <c r="G13" s="7" t="n">
        <v>17616</v>
      </c>
      <c r="H13" s="7" t="n">
        <v>2202</v>
      </c>
      <c r="I13" s="7" t="n">
        <v>3566.7</v>
      </c>
      <c r="J13" s="7" t="n">
        <v>19818</v>
      </c>
      <c r="K13" s="7" t="n">
        <v>3566.7</v>
      </c>
      <c r="L13" s="7" t="n">
        <v>16251.3</v>
      </c>
      <c r="M13" s="4" t="n">
        <v>16</v>
      </c>
      <c r="N13" s="7" t="n">
        <v>19818</v>
      </c>
      <c r="O13" s="4" t="inlineStr">
        <is>
          <t>05510</t>
        </is>
      </c>
      <c r="P13" s="4" t="inlineStr">
        <is>
          <t>7514.01</t>
        </is>
      </c>
    </row>
    <row r="14">
      <c r="A14" s="4" t="inlineStr">
        <is>
          <t>13</t>
        </is>
      </c>
      <c r="B14" s="5" t="inlineStr">
        <is>
          <t>10189849550</t>
        </is>
      </c>
      <c r="C14" s="29" t="inlineStr">
        <is>
          <t>MURAT GÜNDOĞAN</t>
        </is>
      </c>
      <c r="D14" s="7" t="n">
        <v>124.78</v>
      </c>
      <c r="E14" s="4" t="inlineStr">
        <is>
          <t>19.06.2026</t>
        </is>
      </c>
      <c r="F14" s="4" t="inlineStr">
        <is>
          <t>01.08.2026</t>
        </is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4" t="n">
        <v>0</v>
      </c>
      <c r="N14" s="7" t="n">
        <v>0</v>
      </c>
      <c r="O14" s="4" t="inlineStr">
        <is>
          <t>05510</t>
        </is>
      </c>
      <c r="P14" s="4" t="inlineStr">
        <is>
          <t>7514.01</t>
        </is>
      </c>
    </row>
    <row r="15">
      <c r="A15" s="4" t="inlineStr">
        <is>
          <t>14</t>
        </is>
      </c>
      <c r="B15" s="5" t="inlineStr">
        <is>
          <t>10198947728</t>
        </is>
      </c>
      <c r="C15" s="29" t="inlineStr">
        <is>
          <t>ÜMİT BATIN TÜRKAN</t>
        </is>
      </c>
      <c r="D15" s="7" t="n">
        <v>124.78</v>
      </c>
      <c r="E15" s="4" t="inlineStr">
        <is>
          <t>30.07.2026</t>
        </is>
      </c>
      <c r="F15" s="4" t="inlineStr"/>
      <c r="G15" s="7" t="n">
        <v>23121</v>
      </c>
      <c r="H15" s="7" t="n">
        <v>5284.8</v>
      </c>
      <c r="I15" s="7" t="n">
        <v>5112.87</v>
      </c>
      <c r="J15" s="7" t="n">
        <v>28405.8</v>
      </c>
      <c r="K15" s="7" t="n">
        <v>5112.87</v>
      </c>
      <c r="L15" s="7" t="n">
        <v>23292.93</v>
      </c>
      <c r="M15" s="4" t="n">
        <v>21</v>
      </c>
      <c r="N15" s="7" t="n">
        <v>28405.8</v>
      </c>
      <c r="O15" s="4" t="inlineStr">
        <is>
          <t>05510</t>
        </is>
      </c>
      <c r="P15" s="4" t="inlineStr">
        <is>
          <t>7514.01</t>
        </is>
      </c>
    </row>
    <row r="16">
      <c r="A16" s="4" t="inlineStr">
        <is>
          <t>15</t>
        </is>
      </c>
      <c r="B16" s="5" t="inlineStr">
        <is>
          <t>10201948476</t>
        </is>
      </c>
      <c r="C16" s="29" t="inlineStr">
        <is>
          <t>BUKET DÖNMEZ</t>
        </is>
      </c>
      <c r="D16" s="7" t="n">
        <v>124.78</v>
      </c>
      <c r="E16" s="4" t="inlineStr">
        <is>
          <t>06.07.2026</t>
        </is>
      </c>
      <c r="F16" s="4" t="inlineStr"/>
      <c r="G16" s="7" t="n">
        <v>33030</v>
      </c>
      <c r="H16" s="7" t="n">
        <v>2443.55</v>
      </c>
      <c r="I16" s="7" t="n">
        <v>6715.13</v>
      </c>
      <c r="J16" s="7" t="n">
        <v>35473.55</v>
      </c>
      <c r="K16" s="7" t="n">
        <v>6715.13</v>
      </c>
      <c r="L16" s="7" t="n">
        <v>28758.42</v>
      </c>
      <c r="M16" s="4" t="n">
        <v>30</v>
      </c>
      <c r="N16" s="7" t="n">
        <v>35473.55</v>
      </c>
      <c r="O16" s="4" t="inlineStr">
        <is>
          <t>05510</t>
        </is>
      </c>
      <c r="P16" s="4" t="inlineStr">
        <is>
          <t>7543.05</t>
        </is>
      </c>
    </row>
    <row r="17">
      <c r="A17" s="4" t="inlineStr">
        <is>
          <t>16</t>
        </is>
      </c>
      <c r="B17" s="5" t="inlineStr">
        <is>
          <t>10201948926</t>
        </is>
      </c>
      <c r="C17" s="29" t="inlineStr">
        <is>
          <t>ÇAĞLA DURUCAN</t>
        </is>
      </c>
      <c r="D17" s="7" t="n">
        <v>124.78</v>
      </c>
      <c r="E17" s="4" t="inlineStr">
        <is>
          <t>06.08.2026</t>
        </is>
      </c>
      <c r="F17" s="4" t="inlineStr"/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4" t="n">
        <v>0</v>
      </c>
      <c r="N17" s="7" t="n">
        <v>0</v>
      </c>
      <c r="O17" s="4" t="inlineStr">
        <is>
          <t>05510</t>
        </is>
      </c>
      <c r="P17" s="4" t="inlineStr">
        <is>
          <t>7514.01</t>
        </is>
      </c>
    </row>
    <row r="18">
      <c r="A18" s="4" t="inlineStr">
        <is>
          <t>17</t>
        </is>
      </c>
      <c r="B18" s="5" t="inlineStr">
        <is>
          <t>10240797066</t>
        </is>
      </c>
      <c r="C18" s="29" t="inlineStr">
        <is>
          <t>BUĞRA KURT</t>
        </is>
      </c>
      <c r="D18" s="7" t="n">
        <v>124.78</v>
      </c>
      <c r="E18" s="4" t="inlineStr">
        <is>
          <t>29.06.2026</t>
        </is>
      </c>
      <c r="F18" s="4" t="inlineStr">
        <is>
          <t>31.08.2026</t>
        </is>
      </c>
      <c r="G18" s="7" t="n">
        <v>22020</v>
      </c>
      <c r="H18" s="7" t="n">
        <v>1247.8</v>
      </c>
      <c r="I18" s="7" t="n">
        <v>4188.17</v>
      </c>
      <c r="J18" s="7" t="n">
        <v>23267.8</v>
      </c>
      <c r="K18" s="7" t="n">
        <v>4188.17</v>
      </c>
      <c r="L18" s="7" t="n">
        <v>19079.63</v>
      </c>
      <c r="M18" s="4" t="n">
        <v>20</v>
      </c>
      <c r="N18" s="7" t="n">
        <v>23267.8</v>
      </c>
      <c r="O18" s="4" t="inlineStr">
        <is>
          <t>05510</t>
        </is>
      </c>
      <c r="P18" s="4" t="inlineStr">
        <is>
          <t>7514.01</t>
        </is>
      </c>
    </row>
    <row r="19">
      <c r="A19" s="4" t="inlineStr">
        <is>
          <t>18</t>
        </is>
      </c>
      <c r="B19" s="5" t="inlineStr">
        <is>
          <t>10240797202</t>
        </is>
      </c>
      <c r="C19" s="29" t="inlineStr">
        <is>
          <t>TALHA KURT</t>
        </is>
      </c>
      <c r="D19" s="7" t="n">
        <v>124.78</v>
      </c>
      <c r="E19" s="4" t="inlineStr">
        <is>
          <t>29.06.2026</t>
        </is>
      </c>
      <c r="F19" s="4" t="inlineStr">
        <is>
          <t>31.08.2026</t>
        </is>
      </c>
      <c r="G19" s="7" t="n">
        <v>14313</v>
      </c>
      <c r="H19" s="7" t="n">
        <v>146.8</v>
      </c>
      <c r="I19" s="7" t="n">
        <v>2601.97</v>
      </c>
      <c r="J19" s="7" t="n">
        <v>14459.8</v>
      </c>
      <c r="K19" s="7" t="n">
        <v>2601.97</v>
      </c>
      <c r="L19" s="7" t="n">
        <v>11857.83</v>
      </c>
      <c r="M19" s="4" t="n">
        <v>13</v>
      </c>
      <c r="N19" s="7" t="n">
        <v>14459.8</v>
      </c>
      <c r="O19" s="4" t="inlineStr">
        <is>
          <t>05510</t>
        </is>
      </c>
      <c r="P19" s="4" t="inlineStr">
        <is>
          <t>7514.01</t>
        </is>
      </c>
    </row>
    <row r="20">
      <c r="A20" s="4" t="inlineStr">
        <is>
          <t>19</t>
        </is>
      </c>
      <c r="B20" s="5" t="inlineStr">
        <is>
          <t>10240956142</t>
        </is>
      </c>
      <c r="C20" s="29" t="inlineStr">
        <is>
          <t>ÇETİN BEYGİRCİLER</t>
        </is>
      </c>
      <c r="D20" s="7" t="n">
        <v>124.78</v>
      </c>
      <c r="E20" s="4" t="inlineStr">
        <is>
          <t>02.07.2026</t>
        </is>
      </c>
      <c r="F20" s="4" t="inlineStr"/>
      <c r="G20" s="7" t="n">
        <v>8808</v>
      </c>
      <c r="H20" s="7" t="n">
        <v>3303</v>
      </c>
      <c r="I20" s="7" t="n">
        <v>2179.65</v>
      </c>
      <c r="J20" s="7" t="n">
        <v>12111</v>
      </c>
      <c r="K20" s="7" t="n">
        <v>4079.65</v>
      </c>
      <c r="L20" s="7" t="n">
        <v>8031.35</v>
      </c>
      <c r="M20" s="4" t="n">
        <v>8</v>
      </c>
      <c r="N20" s="7" t="n">
        <v>12111</v>
      </c>
      <c r="O20" s="4" t="inlineStr">
        <is>
          <t>05510</t>
        </is>
      </c>
      <c r="P20" s="4" t="inlineStr">
        <is>
          <t>7514.01</t>
        </is>
      </c>
    </row>
    <row r="21">
      <c r="A21" s="4" t="inlineStr">
        <is>
          <t>20</t>
        </is>
      </c>
      <c r="B21" s="5" t="inlineStr">
        <is>
          <t>10255820520</t>
        </is>
      </c>
      <c r="C21" s="29" t="inlineStr">
        <is>
          <t>ŞERBANE SARAN</t>
        </is>
      </c>
      <c r="D21" s="7" t="n">
        <v>146.6</v>
      </c>
      <c r="E21" s="4" t="inlineStr">
        <is>
          <t>10.02.2026</t>
        </is>
      </c>
      <c r="F21" s="4" t="inlineStr"/>
      <c r="G21" s="7" t="n">
        <v>42725.43</v>
      </c>
      <c r="H21" s="7" t="n">
        <v>763.08</v>
      </c>
      <c r="I21" s="7" t="n">
        <v>8890.9</v>
      </c>
      <c r="J21" s="7" t="n">
        <v>43488.5</v>
      </c>
      <c r="K21" s="7" t="n">
        <v>8890.9</v>
      </c>
      <c r="L21" s="7" t="n">
        <v>34597.6</v>
      </c>
      <c r="M21" s="4" t="n">
        <v>30</v>
      </c>
      <c r="N21" s="7" t="n">
        <v>43488.5</v>
      </c>
      <c r="O21" s="4" t="inlineStr">
        <is>
          <t>05510</t>
        </is>
      </c>
      <c r="P21" s="4" t="inlineStr">
        <is>
          <t>7514.01</t>
        </is>
      </c>
    </row>
    <row r="22">
      <c r="A22" s="4" t="inlineStr">
        <is>
          <t>21</t>
        </is>
      </c>
      <c r="B22" s="5" t="inlineStr">
        <is>
          <t>10267844934</t>
        </is>
      </c>
      <c r="C22" s="29" t="inlineStr">
        <is>
          <t>ERGÜN SİDAR</t>
        </is>
      </c>
      <c r="D22" s="7" t="n">
        <v>30185</v>
      </c>
      <c r="E22" s="4" t="inlineStr">
        <is>
          <t>01.12.2025</t>
        </is>
      </c>
      <c r="F22" s="4" t="inlineStr"/>
      <c r="G22" s="7" t="n">
        <v>4350.99</v>
      </c>
      <c r="H22" s="7" t="n">
        <v>0</v>
      </c>
      <c r="I22" s="7" t="n">
        <v>326.32</v>
      </c>
      <c r="J22" s="7" t="n">
        <v>4350.99</v>
      </c>
      <c r="K22" s="7" t="n">
        <v>326.32</v>
      </c>
      <c r="L22" s="7" t="n">
        <v>4024.67</v>
      </c>
      <c r="M22" s="4" t="n">
        <v>4</v>
      </c>
      <c r="N22" s="7" t="n">
        <v>4404</v>
      </c>
      <c r="O22" s="4" t="inlineStr">
        <is>
          <t>00000</t>
        </is>
      </c>
      <c r="P22" s="4" t="inlineStr">
        <is>
          <t>1323.01</t>
        </is>
      </c>
    </row>
    <row r="23">
      <c r="A23" s="4" t="inlineStr">
        <is>
          <t>22</t>
        </is>
      </c>
      <c r="B23" s="5" t="inlineStr">
        <is>
          <t>10273796364</t>
        </is>
      </c>
      <c r="C23" s="29" t="inlineStr">
        <is>
          <t>ERDEM YAŞAR</t>
        </is>
      </c>
      <c r="D23" s="7" t="n">
        <v>124.78</v>
      </c>
      <c r="E23" s="4" t="inlineStr">
        <is>
          <t>29.06.2026</t>
        </is>
      </c>
      <c r="F23" s="4" t="inlineStr">
        <is>
          <t>31.08.2026</t>
        </is>
      </c>
      <c r="G23" s="7" t="n">
        <v>5505</v>
      </c>
      <c r="H23" s="7" t="n">
        <v>0</v>
      </c>
      <c r="I23" s="7" t="n">
        <v>990.75</v>
      </c>
      <c r="J23" s="7" t="n">
        <v>5505</v>
      </c>
      <c r="K23" s="7" t="n">
        <v>990.75</v>
      </c>
      <c r="L23" s="7" t="n">
        <v>4514.25</v>
      </c>
      <c r="M23" s="4" t="n">
        <v>5</v>
      </c>
      <c r="N23" s="7" t="n">
        <v>5505</v>
      </c>
      <c r="O23" s="4" t="inlineStr">
        <is>
          <t>05510</t>
        </is>
      </c>
      <c r="P23" s="4" t="inlineStr">
        <is>
          <t>7514.01</t>
        </is>
      </c>
    </row>
    <row r="24">
      <c r="A24" s="4" t="inlineStr">
        <is>
          <t>23</t>
        </is>
      </c>
      <c r="B24" s="5" t="inlineStr">
        <is>
          <t>10273945236</t>
        </is>
      </c>
      <c r="C24" s="29" t="inlineStr">
        <is>
          <t>ESMANUR AĞYAR</t>
        </is>
      </c>
      <c r="D24" s="7" t="n">
        <v>124.78</v>
      </c>
      <c r="E24" s="4" t="inlineStr">
        <is>
          <t>01.07.2026</t>
        </is>
      </c>
      <c r="F24" s="4" t="inlineStr"/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4" t="n">
        <v>0</v>
      </c>
      <c r="N24" s="7" t="n">
        <v>0</v>
      </c>
      <c r="O24" s="4" t="inlineStr">
        <is>
          <t>05510</t>
        </is>
      </c>
      <c r="P24" s="4" t="inlineStr">
        <is>
          <t>7514.01</t>
        </is>
      </c>
    </row>
    <row r="25">
      <c r="A25" s="4" t="inlineStr">
        <is>
          <t>24</t>
        </is>
      </c>
      <c r="B25" s="5" t="inlineStr">
        <is>
          <t>10303951732</t>
        </is>
      </c>
      <c r="C25" s="29" t="inlineStr">
        <is>
          <t>ŞERİFE EKTİREN</t>
        </is>
      </c>
      <c r="D25" s="7" t="n">
        <v>146.6</v>
      </c>
      <c r="E25" s="4" t="inlineStr">
        <is>
          <t>23.03.2026</t>
        </is>
      </c>
      <c r="F25" s="4" t="inlineStr"/>
      <c r="G25" s="7" t="n">
        <v>2587.06</v>
      </c>
      <c r="H25" s="7" t="n">
        <v>86.23999999999999</v>
      </c>
      <c r="I25" s="7" t="n">
        <v>480.99</v>
      </c>
      <c r="J25" s="7" t="n">
        <v>2673.29</v>
      </c>
      <c r="K25" s="7" t="n">
        <v>480.99</v>
      </c>
      <c r="L25" s="7" t="n">
        <v>2192.3</v>
      </c>
      <c r="M25" s="4" t="n">
        <v>2</v>
      </c>
      <c r="N25" s="7" t="n">
        <v>2673.29</v>
      </c>
      <c r="O25" s="4" t="inlineStr">
        <is>
          <t>05510</t>
        </is>
      </c>
      <c r="P25" s="4" t="inlineStr">
        <is>
          <t>7514.01</t>
        </is>
      </c>
    </row>
    <row r="26">
      <c r="A26" s="4" t="inlineStr">
        <is>
          <t>25</t>
        </is>
      </c>
      <c r="B26" s="5" t="inlineStr">
        <is>
          <t>10315974842</t>
        </is>
      </c>
      <c r="C26" s="29" t="inlineStr">
        <is>
          <t>MUHAMMED ALİ SOLAK</t>
        </is>
      </c>
      <c r="D26" s="7" t="n">
        <v>124.78</v>
      </c>
      <c r="E26" s="4" t="inlineStr">
        <is>
          <t>08.07.2026</t>
        </is>
      </c>
      <c r="F26" s="4" t="inlineStr"/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4" t="n">
        <v>0</v>
      </c>
      <c r="N26" s="7" t="n">
        <v>0</v>
      </c>
      <c r="O26" s="4" t="inlineStr">
        <is>
          <t>05510</t>
        </is>
      </c>
      <c r="P26" s="4" t="inlineStr">
        <is>
          <t>7514.01</t>
        </is>
      </c>
    </row>
    <row r="27">
      <c r="A27" s="4" t="inlineStr">
        <is>
          <t>26</t>
        </is>
      </c>
      <c r="B27" s="5" t="inlineStr">
        <is>
          <t>10322764702</t>
        </is>
      </c>
      <c r="C27" s="29" t="inlineStr">
        <is>
          <t>AYŞE EBÜŞRAR AKKUŞ</t>
        </is>
      </c>
      <c r="D27" s="7" t="n">
        <v>146.6</v>
      </c>
      <c r="E27" s="4" t="inlineStr">
        <is>
          <t>21.07.2026</t>
        </is>
      </c>
      <c r="F27" s="4" t="inlineStr"/>
      <c r="G27" s="7" t="n">
        <v>19402.94</v>
      </c>
      <c r="H27" s="7" t="n">
        <v>517.41</v>
      </c>
      <c r="I27" s="7" t="n">
        <v>3585.05</v>
      </c>
      <c r="J27" s="7" t="n">
        <v>19920.35</v>
      </c>
      <c r="K27" s="7" t="n">
        <v>3585.05</v>
      </c>
      <c r="L27" s="7" t="n">
        <v>16335.3</v>
      </c>
      <c r="M27" s="4" t="n">
        <v>15</v>
      </c>
      <c r="N27" s="7" t="n">
        <v>19920.35</v>
      </c>
      <c r="O27" s="4" t="inlineStr">
        <is>
          <t>05510</t>
        </is>
      </c>
      <c r="P27" s="4" t="inlineStr">
        <is>
          <t>7514.01</t>
        </is>
      </c>
    </row>
    <row r="28">
      <c r="A28" s="4" t="inlineStr">
        <is>
          <t>27</t>
        </is>
      </c>
      <c r="B28" s="5" t="inlineStr">
        <is>
          <t>10324953142</t>
        </is>
      </c>
      <c r="C28" s="29" t="inlineStr">
        <is>
          <t>MUSTAFA KASACI</t>
        </is>
      </c>
      <c r="D28" s="7" t="n">
        <v>146.6</v>
      </c>
      <c r="E28" s="4" t="inlineStr">
        <is>
          <t>08.08.2026</t>
        </is>
      </c>
      <c r="F28" s="4" t="inlineStr"/>
      <c r="G28" s="7" t="n">
        <v>23283.53</v>
      </c>
      <c r="H28" s="7" t="n">
        <v>1466</v>
      </c>
      <c r="I28" s="7" t="n">
        <v>4454.43</v>
      </c>
      <c r="J28" s="7" t="n">
        <v>24749.53</v>
      </c>
      <c r="K28" s="7" t="n">
        <v>4454.43</v>
      </c>
      <c r="L28" s="7" t="n">
        <v>20295.1</v>
      </c>
      <c r="M28" s="4" t="n">
        <v>18</v>
      </c>
      <c r="N28" s="7" t="n">
        <v>24749.53</v>
      </c>
      <c r="O28" s="4" t="inlineStr">
        <is>
          <t>05510</t>
        </is>
      </c>
      <c r="P28" s="4" t="inlineStr">
        <is>
          <t>7514.01</t>
        </is>
      </c>
    </row>
    <row r="29">
      <c r="A29" s="4" t="inlineStr">
        <is>
          <t>28</t>
        </is>
      </c>
      <c r="B29" s="5" t="inlineStr">
        <is>
          <t>10328232854</t>
        </is>
      </c>
      <c r="C29" s="29" t="inlineStr">
        <is>
          <t>ZEYNEP DENİZ</t>
        </is>
      </c>
      <c r="D29" s="7" t="n">
        <v>146.6</v>
      </c>
      <c r="E29" s="4" t="inlineStr">
        <is>
          <t>28.07.2026</t>
        </is>
      </c>
      <c r="F29" s="4" t="inlineStr"/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4" t="n">
        <v>0</v>
      </c>
      <c r="N29" s="7" t="n">
        <v>0</v>
      </c>
      <c r="O29" s="4" t="inlineStr">
        <is>
          <t>05510</t>
        </is>
      </c>
      <c r="P29" s="4" t="inlineStr">
        <is>
          <t>7514.01</t>
        </is>
      </c>
    </row>
    <row r="30">
      <c r="A30" s="4" t="inlineStr">
        <is>
          <t>29</t>
        </is>
      </c>
      <c r="B30" s="5" t="inlineStr">
        <is>
          <t>10348959144</t>
        </is>
      </c>
      <c r="C30" s="29" t="inlineStr">
        <is>
          <t>SILA SEVİNÇ</t>
        </is>
      </c>
      <c r="D30" s="7" t="n">
        <v>146.6</v>
      </c>
      <c r="E30" s="4" t="inlineStr">
        <is>
          <t>24.07.2026</t>
        </is>
      </c>
      <c r="F30" s="4" t="inlineStr"/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4" t="n">
        <v>0</v>
      </c>
      <c r="N30" s="7" t="n">
        <v>0</v>
      </c>
      <c r="O30" s="4" t="inlineStr">
        <is>
          <t>05510</t>
        </is>
      </c>
      <c r="P30" s="4" t="inlineStr">
        <is>
          <t>7514.01</t>
        </is>
      </c>
    </row>
    <row r="31">
      <c r="A31" s="4" t="inlineStr">
        <is>
          <t>30</t>
        </is>
      </c>
      <c r="B31" s="5" t="inlineStr">
        <is>
          <t>10357942922</t>
        </is>
      </c>
      <c r="C31" s="29" t="inlineStr">
        <is>
          <t>ELİF SADİ</t>
        </is>
      </c>
      <c r="D31" s="7" t="n">
        <v>124.78</v>
      </c>
      <c r="E31" s="4" t="inlineStr">
        <is>
          <t>08.07.2026</t>
        </is>
      </c>
      <c r="F31" s="4" t="inlineStr"/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4" t="n">
        <v>0</v>
      </c>
      <c r="N31" s="7" t="n">
        <v>0</v>
      </c>
      <c r="O31" s="4" t="inlineStr">
        <is>
          <t>05510</t>
        </is>
      </c>
      <c r="P31" s="4" t="inlineStr">
        <is>
          <t>7514.01</t>
        </is>
      </c>
    </row>
    <row r="32">
      <c r="A32" s="4" t="inlineStr">
        <is>
          <t>31</t>
        </is>
      </c>
      <c r="B32" s="5" t="inlineStr">
        <is>
          <t>10367219830</t>
        </is>
      </c>
      <c r="C32" s="29" t="inlineStr">
        <is>
          <t>İİLYAS DORMAN</t>
        </is>
      </c>
      <c r="D32" s="7" t="n">
        <v>124.78</v>
      </c>
      <c r="E32" s="4" t="inlineStr">
        <is>
          <t>15.08.2026</t>
        </is>
      </c>
      <c r="F32" s="4" t="inlineStr"/>
      <c r="G32" s="7" t="n">
        <v>9909</v>
      </c>
      <c r="H32" s="7" t="n">
        <v>11230.2</v>
      </c>
      <c r="I32" s="7" t="n">
        <v>3804.88</v>
      </c>
      <c r="J32" s="7" t="n">
        <v>21139.2</v>
      </c>
      <c r="K32" s="7" t="n">
        <v>3804.88</v>
      </c>
      <c r="L32" s="7" t="n">
        <v>17334.32</v>
      </c>
      <c r="M32" s="4" t="n">
        <v>9</v>
      </c>
      <c r="N32" s="7" t="n">
        <v>21139.2</v>
      </c>
      <c r="O32" s="4" t="inlineStr">
        <is>
          <t>05510</t>
        </is>
      </c>
      <c r="P32" s="4" t="inlineStr">
        <is>
          <t>7514.01</t>
        </is>
      </c>
    </row>
    <row r="33">
      <c r="A33" s="4" t="inlineStr">
        <is>
          <t>32</t>
        </is>
      </c>
      <c r="B33" s="5" t="inlineStr">
        <is>
          <t>10378792490</t>
        </is>
      </c>
      <c r="C33" s="29" t="inlineStr">
        <is>
          <t>ERVA DEDE</t>
        </is>
      </c>
      <c r="D33" s="7" t="n">
        <v>124.78</v>
      </c>
      <c r="E33" s="4" t="inlineStr">
        <is>
          <t>28.07.2026</t>
        </is>
      </c>
      <c r="F33" s="4" t="inlineStr"/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4" t="n">
        <v>0</v>
      </c>
      <c r="N33" s="7" t="n">
        <v>0</v>
      </c>
      <c r="O33" s="4" t="inlineStr">
        <is>
          <t>05510</t>
        </is>
      </c>
      <c r="P33" s="4" t="inlineStr">
        <is>
          <t>7514.01</t>
        </is>
      </c>
    </row>
    <row r="34">
      <c r="A34" s="4" t="inlineStr">
        <is>
          <t>33</t>
        </is>
      </c>
      <c r="B34" s="5" t="inlineStr">
        <is>
          <t>10423940036</t>
        </is>
      </c>
      <c r="C34" s="29" t="inlineStr">
        <is>
          <t>AYŞE NUR BURAN</t>
        </is>
      </c>
      <c r="D34" s="7" t="n">
        <v>124.78</v>
      </c>
      <c r="E34" s="4" t="inlineStr">
        <is>
          <t>29.06.2026</t>
        </is>
      </c>
      <c r="F34" s="4" t="inlineStr"/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4" t="n">
        <v>0</v>
      </c>
      <c r="N34" s="7" t="n">
        <v>0</v>
      </c>
      <c r="O34" s="4" t="inlineStr">
        <is>
          <t>05510</t>
        </is>
      </c>
      <c r="P34" s="4" t="inlineStr">
        <is>
          <t>7514.01</t>
        </is>
      </c>
    </row>
    <row r="35">
      <c r="A35" s="4" t="inlineStr">
        <is>
          <t>34</t>
        </is>
      </c>
      <c r="B35" s="5" t="inlineStr">
        <is>
          <t>10429939782</t>
        </is>
      </c>
      <c r="C35" s="29" t="inlineStr">
        <is>
          <t>BAHAR ÇERİ</t>
        </is>
      </c>
      <c r="D35" s="7" t="n">
        <v>124.78</v>
      </c>
      <c r="E35" s="4" t="inlineStr">
        <is>
          <t>26.06.2026</t>
        </is>
      </c>
      <c r="F35" s="4" t="inlineStr"/>
      <c r="G35" s="7" t="n">
        <v>4404</v>
      </c>
      <c r="H35" s="7" t="n">
        <v>4991.2</v>
      </c>
      <c r="I35" s="7" t="n">
        <v>1690.28</v>
      </c>
      <c r="J35" s="7" t="n">
        <v>9395.200000000001</v>
      </c>
      <c r="K35" s="7" t="n">
        <v>1690.28</v>
      </c>
      <c r="L35" s="7" t="n">
        <v>7704.92</v>
      </c>
      <c r="M35" s="4" t="n">
        <v>4</v>
      </c>
      <c r="N35" s="7" t="n">
        <v>9395.200000000001</v>
      </c>
      <c r="O35" s="4" t="inlineStr">
        <is>
          <t>05510</t>
        </is>
      </c>
      <c r="P35" s="4" t="inlineStr">
        <is>
          <t>7514.01</t>
        </is>
      </c>
    </row>
    <row r="36">
      <c r="A36" s="4" t="inlineStr">
        <is>
          <t>35</t>
        </is>
      </c>
      <c r="B36" s="5" t="inlineStr">
        <is>
          <t>10438940458</t>
        </is>
      </c>
      <c r="C36" s="29" t="inlineStr">
        <is>
          <t>KIYMET ÜZER</t>
        </is>
      </c>
      <c r="D36" s="7" t="n">
        <v>124.78</v>
      </c>
      <c r="E36" s="4" t="inlineStr">
        <is>
          <t>26.07.2026</t>
        </is>
      </c>
      <c r="F36" s="4" t="inlineStr"/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4" t="n">
        <v>0</v>
      </c>
      <c r="N36" s="7" t="n">
        <v>0</v>
      </c>
      <c r="O36" s="4" t="inlineStr">
        <is>
          <t>05510</t>
        </is>
      </c>
      <c r="P36" s="4" t="inlineStr">
        <is>
          <t>7514.01</t>
        </is>
      </c>
    </row>
    <row r="37">
      <c r="A37" s="4" t="inlineStr">
        <is>
          <t>36</t>
        </is>
      </c>
      <c r="B37" s="5" t="inlineStr">
        <is>
          <t>10456937386</t>
        </is>
      </c>
      <c r="C37" s="29" t="inlineStr">
        <is>
          <t>DİLEK ÇETİN</t>
        </is>
      </c>
      <c r="D37" s="7" t="n">
        <v>124.78</v>
      </c>
      <c r="E37" s="4" t="inlineStr">
        <is>
          <t>22.08.2026</t>
        </is>
      </c>
      <c r="F37" s="4" t="inlineStr"/>
      <c r="G37" s="7" t="n">
        <v>8808</v>
      </c>
      <c r="H37" s="7" t="n">
        <v>0</v>
      </c>
      <c r="I37" s="7" t="n">
        <v>1585.2</v>
      </c>
      <c r="J37" s="7" t="n">
        <v>8808</v>
      </c>
      <c r="K37" s="7" t="n">
        <v>1585.2</v>
      </c>
      <c r="L37" s="7" t="n">
        <v>7222.8</v>
      </c>
      <c r="M37" s="4" t="n">
        <v>8</v>
      </c>
      <c r="N37" s="7" t="n">
        <v>8808</v>
      </c>
      <c r="O37" s="4" t="inlineStr">
        <is>
          <t>05510</t>
        </is>
      </c>
      <c r="P37" s="4" t="inlineStr">
        <is>
          <t>7514.01</t>
        </is>
      </c>
    </row>
    <row r="38">
      <c r="A38" s="4" t="inlineStr">
        <is>
          <t>37</t>
        </is>
      </c>
      <c r="B38" s="5" t="inlineStr">
        <is>
          <t>10459938144</t>
        </is>
      </c>
      <c r="C38" s="29" t="inlineStr">
        <is>
          <t>BARIŞ AŞIRT</t>
        </is>
      </c>
      <c r="D38" s="7" t="n">
        <v>124.78</v>
      </c>
      <c r="E38" s="4" t="inlineStr">
        <is>
          <t>26.08.2026</t>
        </is>
      </c>
      <c r="F38" s="4" t="inlineStr"/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4" t="n">
        <v>0</v>
      </c>
      <c r="N38" s="7" t="n">
        <v>0</v>
      </c>
      <c r="O38" s="4" t="inlineStr">
        <is>
          <t>05510</t>
        </is>
      </c>
      <c r="P38" s="4" t="inlineStr">
        <is>
          <t>7514.01</t>
        </is>
      </c>
    </row>
    <row r="39">
      <c r="A39" s="4" t="inlineStr">
        <is>
          <t>38</t>
        </is>
      </c>
      <c r="B39" s="5" t="inlineStr">
        <is>
          <t>10474939782</t>
        </is>
      </c>
      <c r="C39" s="29" t="inlineStr">
        <is>
          <t>ARDA EKİCİ</t>
        </is>
      </c>
      <c r="D39" s="7" t="n">
        <v>124.78</v>
      </c>
      <c r="E39" s="4" t="inlineStr">
        <is>
          <t>15.07.2026</t>
        </is>
      </c>
      <c r="F39" s="4" t="inlineStr"/>
      <c r="G39" s="7" t="n">
        <v>6606</v>
      </c>
      <c r="H39" s="7" t="n">
        <v>7486.8</v>
      </c>
      <c r="I39" s="7" t="n">
        <v>2535.92</v>
      </c>
      <c r="J39" s="7" t="n">
        <v>14092.8</v>
      </c>
      <c r="K39" s="7" t="n">
        <v>2535.92</v>
      </c>
      <c r="L39" s="7" t="n">
        <v>11556.88</v>
      </c>
      <c r="M39" s="4" t="n">
        <v>6</v>
      </c>
      <c r="N39" s="7" t="n">
        <v>14092.8</v>
      </c>
      <c r="O39" s="4" t="inlineStr">
        <is>
          <t>05510</t>
        </is>
      </c>
      <c r="P39" s="4" t="inlineStr">
        <is>
          <t>7514.01</t>
        </is>
      </c>
    </row>
    <row r="40">
      <c r="A40" s="4" t="inlineStr">
        <is>
          <t>39</t>
        </is>
      </c>
      <c r="B40" s="5" t="inlineStr">
        <is>
          <t>10492937678</t>
        </is>
      </c>
      <c r="C40" s="29" t="inlineStr">
        <is>
          <t>ELİF NUR BAYRAM</t>
        </is>
      </c>
      <c r="D40" s="7" t="n">
        <v>124.78</v>
      </c>
      <c r="E40" s="4" t="inlineStr">
        <is>
          <t>01.07.2026</t>
        </is>
      </c>
      <c r="F40" s="4" t="inlineStr"/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4" t="n">
        <v>0</v>
      </c>
      <c r="N40" s="7" t="n">
        <v>0</v>
      </c>
      <c r="O40" s="4" t="inlineStr">
        <is>
          <t>05510</t>
        </is>
      </c>
      <c r="P40" s="4" t="inlineStr">
        <is>
          <t>7514.01</t>
        </is>
      </c>
    </row>
    <row r="41">
      <c r="A41" s="4" t="inlineStr">
        <is>
          <t>40</t>
        </is>
      </c>
      <c r="B41" s="5" t="inlineStr">
        <is>
          <t>10508456896</t>
        </is>
      </c>
      <c r="C41" s="29" t="inlineStr">
        <is>
          <t>BÜŞRA POLAT</t>
        </is>
      </c>
      <c r="D41" s="7" t="n">
        <v>146.6</v>
      </c>
      <c r="E41" s="4" t="inlineStr">
        <is>
          <t>20.07.2026</t>
        </is>
      </c>
      <c r="F41" s="4" t="inlineStr"/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4" t="n">
        <v>0</v>
      </c>
      <c r="N41" s="7" t="n">
        <v>0</v>
      </c>
      <c r="O41" s="4" t="inlineStr">
        <is>
          <t>05510</t>
        </is>
      </c>
      <c r="P41" s="4" t="inlineStr">
        <is>
          <t>7514.01</t>
        </is>
      </c>
    </row>
    <row r="42">
      <c r="A42" s="4" t="inlineStr">
        <is>
          <t>41</t>
        </is>
      </c>
      <c r="B42" s="5" t="inlineStr">
        <is>
          <t>10513936154</t>
        </is>
      </c>
      <c r="C42" s="29" t="inlineStr">
        <is>
          <t>NEBAHAT ARTAN</t>
        </is>
      </c>
      <c r="D42" s="7" t="n">
        <v>124.78</v>
      </c>
      <c r="E42" s="4" t="inlineStr">
        <is>
          <t>27.07.2026</t>
        </is>
      </c>
      <c r="F42" s="4" t="inlineStr"/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4" t="n">
        <v>0</v>
      </c>
      <c r="N42" s="7" t="n">
        <v>0</v>
      </c>
      <c r="O42" s="4" t="inlineStr">
        <is>
          <t>05510</t>
        </is>
      </c>
      <c r="P42" s="4" t="inlineStr">
        <is>
          <t>7514.01</t>
        </is>
      </c>
    </row>
    <row r="43">
      <c r="A43" s="4" t="inlineStr">
        <is>
          <t>42</t>
        </is>
      </c>
      <c r="B43" s="5" t="inlineStr">
        <is>
          <t>10528936408</t>
        </is>
      </c>
      <c r="C43" s="29" t="inlineStr">
        <is>
          <t>YUSUF ÇETİN</t>
        </is>
      </c>
      <c r="D43" s="7" t="n">
        <v>124.78</v>
      </c>
      <c r="E43" s="4" t="inlineStr">
        <is>
          <t>24.08.2026</t>
        </is>
      </c>
      <c r="F43" s="4" t="inlineStr"/>
      <c r="G43" s="7" t="n">
        <v>6606</v>
      </c>
      <c r="H43" s="7" t="n">
        <v>0</v>
      </c>
      <c r="I43" s="7" t="n">
        <v>1188.9</v>
      </c>
      <c r="J43" s="7" t="n">
        <v>6606</v>
      </c>
      <c r="K43" s="7" t="n">
        <v>1188.9</v>
      </c>
      <c r="L43" s="7" t="n">
        <v>5417.1</v>
      </c>
      <c r="M43" s="4" t="n">
        <v>6</v>
      </c>
      <c r="N43" s="7" t="n">
        <v>6606</v>
      </c>
      <c r="O43" s="4" t="inlineStr">
        <is>
          <t>05510</t>
        </is>
      </c>
      <c r="P43" s="4" t="inlineStr"/>
    </row>
    <row r="44">
      <c r="A44" s="4" t="inlineStr">
        <is>
          <t>43</t>
        </is>
      </c>
      <c r="B44" s="5" t="inlineStr">
        <is>
          <t>10582783284</t>
        </is>
      </c>
      <c r="C44" s="29" t="inlineStr">
        <is>
          <t>SİBEL ÇÇAKIR</t>
        </is>
      </c>
      <c r="D44" s="7" t="n">
        <v>124.78</v>
      </c>
      <c r="E44" s="4" t="inlineStr">
        <is>
          <t>11.02.2023</t>
        </is>
      </c>
      <c r="F44" s="4" t="inlineStr"/>
      <c r="G44" s="7" t="n">
        <v>31928.36</v>
      </c>
      <c r="H44" s="7" t="n">
        <v>1027.58</v>
      </c>
      <c r="I44" s="7" t="n">
        <v>4943.39</v>
      </c>
      <c r="J44" s="7" t="n">
        <v>32955.94</v>
      </c>
      <c r="K44" s="7" t="n">
        <v>4943.39</v>
      </c>
      <c r="L44" s="7" t="n">
        <v>28012.55</v>
      </c>
      <c r="M44" s="4" t="n">
        <v>29</v>
      </c>
      <c r="N44" s="7" t="n">
        <v>32955.94</v>
      </c>
      <c r="O44" s="4" t="inlineStr">
        <is>
          <t>16322</t>
        </is>
      </c>
      <c r="P44" s="4" t="inlineStr">
        <is>
          <t>7514.01</t>
        </is>
      </c>
    </row>
    <row r="45">
      <c r="A45" s="4" t="inlineStr">
        <is>
          <t>44</t>
        </is>
      </c>
      <c r="B45" s="5" t="inlineStr">
        <is>
          <t>10632149770</t>
        </is>
      </c>
      <c r="C45" s="29" t="inlineStr">
        <is>
          <t>İİPEK ALEMİN</t>
        </is>
      </c>
      <c r="D45" s="7" t="n">
        <v>124.78</v>
      </c>
      <c r="E45" s="4" t="inlineStr">
        <is>
          <t>27.07.2026</t>
        </is>
      </c>
      <c r="F45" s="4" t="inlineStr"/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4" t="n">
        <v>0</v>
      </c>
      <c r="N45" s="7" t="n">
        <v>0</v>
      </c>
      <c r="O45" s="4" t="inlineStr">
        <is>
          <t>05510</t>
        </is>
      </c>
      <c r="P45" s="4" t="inlineStr">
        <is>
          <t>7514.01</t>
        </is>
      </c>
    </row>
    <row r="46">
      <c r="A46" s="4" t="inlineStr">
        <is>
          <t>45</t>
        </is>
      </c>
      <c r="B46" s="5" t="inlineStr">
        <is>
          <t>10672605502</t>
        </is>
      </c>
      <c r="C46" s="29" t="inlineStr">
        <is>
          <t>ALİ ARSLAN</t>
        </is>
      </c>
      <c r="D46" s="7" t="n">
        <v>124.78</v>
      </c>
      <c r="E46" s="4" t="inlineStr">
        <is>
          <t>20.06.2026</t>
        </is>
      </c>
      <c r="F46" s="4" t="inlineStr"/>
      <c r="G46" s="7" t="n">
        <v>5505</v>
      </c>
      <c r="H46" s="7" t="n">
        <v>3670</v>
      </c>
      <c r="I46" s="7" t="n">
        <v>1651.25</v>
      </c>
      <c r="J46" s="7" t="n">
        <v>9175</v>
      </c>
      <c r="K46" s="7" t="n">
        <v>1651.25</v>
      </c>
      <c r="L46" s="7" t="n">
        <v>7523.75</v>
      </c>
      <c r="M46" s="4" t="n">
        <v>5</v>
      </c>
      <c r="N46" s="7" t="n">
        <v>9175</v>
      </c>
      <c r="O46" s="4" t="inlineStr">
        <is>
          <t>05510</t>
        </is>
      </c>
      <c r="P46" s="4" t="inlineStr">
        <is>
          <t>7514.01</t>
        </is>
      </c>
    </row>
    <row r="47">
      <c r="A47" s="4" t="inlineStr">
        <is>
          <t>46</t>
        </is>
      </c>
      <c r="B47" s="5" t="inlineStr">
        <is>
          <t>10705928394</t>
        </is>
      </c>
      <c r="C47" s="29" t="inlineStr">
        <is>
          <t>TAYFUN GÜNCÜ</t>
        </is>
      </c>
      <c r="D47" s="7" t="n">
        <v>146.6</v>
      </c>
      <c r="E47" s="4" t="inlineStr">
        <is>
          <t>18.05.2026</t>
        </is>
      </c>
      <c r="F47" s="4" t="inlineStr"/>
      <c r="G47" s="7" t="n">
        <v>25870.59</v>
      </c>
      <c r="H47" s="7" t="n">
        <v>258.71</v>
      </c>
      <c r="I47" s="7" t="n">
        <v>4702.39</v>
      </c>
      <c r="J47" s="7" t="n">
        <v>26129.29</v>
      </c>
      <c r="K47" s="7" t="n">
        <v>11602.39</v>
      </c>
      <c r="L47" s="7" t="n">
        <v>14526.9</v>
      </c>
      <c r="M47" s="4" t="n">
        <v>20</v>
      </c>
      <c r="N47" s="7" t="n">
        <v>26129.29</v>
      </c>
      <c r="O47" s="4" t="inlineStr">
        <is>
          <t>05510</t>
        </is>
      </c>
      <c r="P47" s="4" t="inlineStr">
        <is>
          <t>7514.01</t>
        </is>
      </c>
    </row>
    <row r="48">
      <c r="A48" s="4" t="inlineStr">
        <is>
          <t>47</t>
        </is>
      </c>
      <c r="B48" s="5" t="inlineStr">
        <is>
          <t>10760506780</t>
        </is>
      </c>
      <c r="C48" s="29" t="inlineStr">
        <is>
          <t>AHMET DEMİR KONAKÇI</t>
        </is>
      </c>
      <c r="D48" s="7" t="n">
        <v>33030</v>
      </c>
      <c r="E48" s="4" t="inlineStr">
        <is>
          <t>04.08.2026</t>
        </is>
      </c>
      <c r="F48" s="4" t="inlineStr"/>
      <c r="G48" s="7" t="n">
        <v>30828</v>
      </c>
      <c r="H48" s="7" t="n">
        <v>0</v>
      </c>
      <c r="I48" s="7" t="n">
        <v>5548.2</v>
      </c>
      <c r="J48" s="7" t="n">
        <v>30828</v>
      </c>
      <c r="K48" s="7" t="n">
        <v>5548.2</v>
      </c>
      <c r="L48" s="7" t="n">
        <v>25279.8</v>
      </c>
      <c r="M48" s="4" t="n">
        <v>28</v>
      </c>
      <c r="N48" s="7" t="n">
        <v>30828</v>
      </c>
      <c r="O48" s="4" t="inlineStr">
        <is>
          <t>05510</t>
        </is>
      </c>
      <c r="P48" s="4" t="inlineStr">
        <is>
          <t>5242.07</t>
        </is>
      </c>
    </row>
    <row r="49">
      <c r="A49" s="4" t="inlineStr">
        <is>
          <t>48</t>
        </is>
      </c>
      <c r="B49" s="5" t="inlineStr">
        <is>
          <t>10762592620</t>
        </is>
      </c>
      <c r="C49" s="29" t="inlineStr">
        <is>
          <t>ÜNALAN BATIBEY</t>
        </is>
      </c>
      <c r="D49" s="7" t="n">
        <v>124.78</v>
      </c>
      <c r="E49" s="4" t="inlineStr">
        <is>
          <t>29.06.2026</t>
        </is>
      </c>
      <c r="F49" s="4" t="inlineStr"/>
      <c r="G49" s="7" t="n">
        <v>17616</v>
      </c>
      <c r="H49" s="7" t="n">
        <v>16373.97</v>
      </c>
      <c r="I49" s="7" t="n">
        <v>6247.18</v>
      </c>
      <c r="J49" s="7" t="n">
        <v>33989.97</v>
      </c>
      <c r="K49" s="7" t="n">
        <v>6247.18</v>
      </c>
      <c r="L49" s="7" t="n">
        <v>27742.79</v>
      </c>
      <c r="M49" s="4" t="n">
        <v>16</v>
      </c>
      <c r="N49" s="7" t="n">
        <v>33989.97</v>
      </c>
      <c r="O49" s="4" t="inlineStr">
        <is>
          <t>05510</t>
        </is>
      </c>
      <c r="P49" s="4" t="inlineStr">
        <is>
          <t>7514.01</t>
        </is>
      </c>
    </row>
    <row r="50">
      <c r="A50" s="4" t="inlineStr">
        <is>
          <t>49</t>
        </is>
      </c>
      <c r="B50" s="5" t="inlineStr">
        <is>
          <t>10771844574</t>
        </is>
      </c>
      <c r="C50" s="29" t="inlineStr">
        <is>
          <t>GÜNEŞ KELEŞ</t>
        </is>
      </c>
      <c r="D50" s="7" t="n">
        <v>33050</v>
      </c>
      <c r="E50" s="4" t="inlineStr">
        <is>
          <t>02.03.2026</t>
        </is>
      </c>
      <c r="F50" s="4" t="inlineStr"/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4" t="n">
        <v>0</v>
      </c>
      <c r="N50" s="7" t="n">
        <v>0</v>
      </c>
      <c r="O50" s="4" t="inlineStr">
        <is>
          <t>05510</t>
        </is>
      </c>
      <c r="P50" s="4" t="inlineStr">
        <is>
          <t>5242.07</t>
        </is>
      </c>
    </row>
    <row r="51">
      <c r="A51" s="4" t="inlineStr">
        <is>
          <t>50</t>
        </is>
      </c>
      <c r="B51" s="5" t="inlineStr">
        <is>
          <t>10780950730</t>
        </is>
      </c>
      <c r="C51" s="29" t="inlineStr">
        <is>
          <t>SİBEL ÇİFTÇİ</t>
        </is>
      </c>
      <c r="D51" s="7" t="n">
        <v>146.6</v>
      </c>
      <c r="E51" s="4" t="inlineStr">
        <is>
          <t>15.06.2026</t>
        </is>
      </c>
      <c r="F51" s="4" t="inlineStr"/>
      <c r="G51" s="7" t="n">
        <v>29751.18</v>
      </c>
      <c r="H51" s="7" t="n">
        <v>1207.29</v>
      </c>
      <c r="I51" s="7" t="n">
        <v>4643.77</v>
      </c>
      <c r="J51" s="7" t="n">
        <v>30958.47</v>
      </c>
      <c r="K51" s="7" t="n">
        <v>4643.77</v>
      </c>
      <c r="L51" s="7" t="n">
        <v>26314.7</v>
      </c>
      <c r="M51" s="4" t="n">
        <v>23</v>
      </c>
      <c r="N51" s="7" t="n">
        <v>30958.47</v>
      </c>
      <c r="O51" s="4" t="inlineStr">
        <is>
          <t>05510</t>
        </is>
      </c>
      <c r="P51" s="4" t="inlineStr">
        <is>
          <t>7514.01</t>
        </is>
      </c>
    </row>
    <row r="52">
      <c r="A52" s="4" t="inlineStr">
        <is>
          <t>51</t>
        </is>
      </c>
      <c r="B52" s="5" t="inlineStr">
        <is>
          <t>10783586424</t>
        </is>
      </c>
      <c r="C52" s="29" t="inlineStr">
        <is>
          <t>ERKAN AKIN</t>
        </is>
      </c>
      <c r="D52" s="7" t="n">
        <v>124.78</v>
      </c>
      <c r="E52" s="4" t="inlineStr">
        <is>
          <t>18.08.2026</t>
        </is>
      </c>
      <c r="F52" s="4" t="inlineStr"/>
      <c r="G52" s="7" t="n">
        <v>1101</v>
      </c>
      <c r="H52" s="7" t="n">
        <v>0</v>
      </c>
      <c r="I52" s="7" t="n">
        <v>198.15</v>
      </c>
      <c r="J52" s="7" t="n">
        <v>1101</v>
      </c>
      <c r="K52" s="7" t="n">
        <v>198.15</v>
      </c>
      <c r="L52" s="7" t="n">
        <v>902.85</v>
      </c>
      <c r="M52" s="4" t="n">
        <v>1</v>
      </c>
      <c r="N52" s="7" t="n">
        <v>1101</v>
      </c>
      <c r="O52" s="4" t="inlineStr">
        <is>
          <t>05510</t>
        </is>
      </c>
      <c r="P52" s="4" t="inlineStr"/>
    </row>
    <row r="53">
      <c r="A53" s="4" t="inlineStr">
        <is>
          <t>52</t>
        </is>
      </c>
      <c r="B53" s="5" t="inlineStr">
        <is>
          <t>10817807990</t>
        </is>
      </c>
      <c r="C53" s="29" t="inlineStr">
        <is>
          <t>HATİCE ONUK</t>
        </is>
      </c>
      <c r="D53" s="7" t="n">
        <v>124.78</v>
      </c>
      <c r="E53" s="4" t="inlineStr">
        <is>
          <t>27.06.2026</t>
        </is>
      </c>
      <c r="F53" s="4" t="inlineStr"/>
      <c r="G53" s="7" t="n">
        <v>30828</v>
      </c>
      <c r="H53" s="7" t="n">
        <v>21488.61</v>
      </c>
      <c r="I53" s="7" t="n">
        <v>12021.92</v>
      </c>
      <c r="J53" s="7" t="n">
        <v>52316.61</v>
      </c>
      <c r="K53" s="7" t="n">
        <v>16286.92</v>
      </c>
      <c r="L53" s="7" t="n">
        <v>36029.69</v>
      </c>
      <c r="M53" s="4" t="n">
        <v>28</v>
      </c>
      <c r="N53" s="7" t="n">
        <v>52316.61</v>
      </c>
      <c r="O53" s="4" t="inlineStr">
        <is>
          <t>05510</t>
        </is>
      </c>
      <c r="P53" s="4" t="inlineStr">
        <is>
          <t>7514.01</t>
        </is>
      </c>
    </row>
    <row r="54">
      <c r="A54" s="4" t="inlineStr">
        <is>
          <t>53</t>
        </is>
      </c>
      <c r="B54" s="5" t="inlineStr">
        <is>
          <t>10820807680</t>
        </is>
      </c>
      <c r="C54" s="29" t="inlineStr">
        <is>
          <t>ZEHRA ONUK</t>
        </is>
      </c>
      <c r="D54" s="7" t="n">
        <v>124.78</v>
      </c>
      <c r="E54" s="4" t="inlineStr">
        <is>
          <t>27.06.2026</t>
        </is>
      </c>
      <c r="F54" s="4" t="inlineStr"/>
      <c r="G54" s="7" t="n">
        <v>30828</v>
      </c>
      <c r="H54" s="7" t="n">
        <v>22972.19</v>
      </c>
      <c r="I54" s="7" t="n">
        <v>12489.87</v>
      </c>
      <c r="J54" s="7" t="n">
        <v>53800.19</v>
      </c>
      <c r="K54" s="7" t="n">
        <v>12489.87</v>
      </c>
      <c r="L54" s="7" t="n">
        <v>41310.32</v>
      </c>
      <c r="M54" s="4" t="n">
        <v>28</v>
      </c>
      <c r="N54" s="7" t="n">
        <v>53800.19</v>
      </c>
      <c r="O54" s="4" t="inlineStr">
        <is>
          <t>05510</t>
        </is>
      </c>
      <c r="P54" s="4" t="inlineStr">
        <is>
          <t>7514.01</t>
        </is>
      </c>
    </row>
    <row r="55">
      <c r="A55" s="4" t="inlineStr">
        <is>
          <t>54</t>
        </is>
      </c>
      <c r="B55" s="5" t="inlineStr">
        <is>
          <t>10891931710</t>
        </is>
      </c>
      <c r="C55" s="29" t="inlineStr">
        <is>
          <t>NUR BAŞAR</t>
        </is>
      </c>
      <c r="D55" s="7" t="n">
        <v>124.78</v>
      </c>
      <c r="E55" s="4" t="inlineStr">
        <is>
          <t>10.06.2026</t>
        </is>
      </c>
      <c r="F55" s="4" t="inlineStr"/>
      <c r="G55" s="7" t="n">
        <v>3303</v>
      </c>
      <c r="H55" s="7" t="n">
        <v>1247.8</v>
      </c>
      <c r="I55" s="7" t="n">
        <v>818.62</v>
      </c>
      <c r="J55" s="7" t="n">
        <v>4550.8</v>
      </c>
      <c r="K55" s="7" t="n">
        <v>1518.62</v>
      </c>
      <c r="L55" s="7" t="n">
        <v>3032.18</v>
      </c>
      <c r="M55" s="4" t="n">
        <v>3</v>
      </c>
      <c r="N55" s="7" t="n">
        <v>4550.8</v>
      </c>
      <c r="O55" s="4" t="inlineStr">
        <is>
          <t>05510</t>
        </is>
      </c>
      <c r="P55" s="4" t="inlineStr">
        <is>
          <t>7514.01</t>
        </is>
      </c>
    </row>
    <row r="56">
      <c r="A56" s="4" t="inlineStr">
        <is>
          <t>55</t>
        </is>
      </c>
      <c r="B56" s="5" t="inlineStr">
        <is>
          <t>10929070558</t>
        </is>
      </c>
      <c r="C56" s="29" t="inlineStr">
        <is>
          <t>YASEMİN AKKUŞ</t>
        </is>
      </c>
      <c r="D56" s="7" t="n">
        <v>124.78</v>
      </c>
      <c r="E56" s="4" t="inlineStr">
        <is>
          <t>08.07.2026</t>
        </is>
      </c>
      <c r="F56" s="4" t="inlineStr"/>
      <c r="G56" s="7" t="n">
        <v>15414</v>
      </c>
      <c r="H56" s="7" t="n">
        <v>14533.2</v>
      </c>
      <c r="I56" s="7" t="n">
        <v>5390.08</v>
      </c>
      <c r="J56" s="7" t="n">
        <v>29947.2</v>
      </c>
      <c r="K56" s="7" t="n">
        <v>5390.08</v>
      </c>
      <c r="L56" s="7" t="n">
        <v>24557.12</v>
      </c>
      <c r="M56" s="4" t="n">
        <v>14</v>
      </c>
      <c r="N56" s="7" t="n">
        <v>29947.2</v>
      </c>
      <c r="O56" s="4" t="inlineStr">
        <is>
          <t>05510</t>
        </is>
      </c>
      <c r="P56" s="4" t="inlineStr">
        <is>
          <t>7514.01</t>
        </is>
      </c>
    </row>
    <row r="57">
      <c r="A57" s="4" t="inlineStr">
        <is>
          <t>56</t>
        </is>
      </c>
      <c r="B57" s="5" t="inlineStr">
        <is>
          <t>10933965062</t>
        </is>
      </c>
      <c r="C57" s="29" t="inlineStr">
        <is>
          <t>ALPEREN YAĞMUR</t>
        </is>
      </c>
      <c r="D57" s="7" t="n">
        <v>124.78</v>
      </c>
      <c r="E57" s="4" t="inlineStr">
        <is>
          <t>12.08.2026</t>
        </is>
      </c>
      <c r="F57" s="4" t="inlineStr"/>
      <c r="G57" s="7" t="n">
        <v>7707</v>
      </c>
      <c r="H57" s="7" t="n">
        <v>7486.8</v>
      </c>
      <c r="I57" s="7" t="n">
        <v>2734.07</v>
      </c>
      <c r="J57" s="7" t="n">
        <v>15193.8</v>
      </c>
      <c r="K57" s="7" t="n">
        <v>2734.07</v>
      </c>
      <c r="L57" s="7" t="n">
        <v>12459.73</v>
      </c>
      <c r="M57" s="4" t="n">
        <v>7</v>
      </c>
      <c r="N57" s="7" t="n">
        <v>15193.8</v>
      </c>
      <c r="O57" s="4" t="inlineStr">
        <is>
          <t>05510</t>
        </is>
      </c>
      <c r="P57" s="4" t="inlineStr"/>
    </row>
    <row r="58">
      <c r="A58" s="4" t="inlineStr">
        <is>
          <t>57</t>
        </is>
      </c>
      <c r="B58" s="5" t="inlineStr">
        <is>
          <t>10945588358</t>
        </is>
      </c>
      <c r="C58" s="29" t="inlineStr">
        <is>
          <t>KEVSER BATIBEY</t>
        </is>
      </c>
      <c r="D58" s="7" t="n">
        <v>124.78</v>
      </c>
      <c r="E58" s="4" t="inlineStr">
        <is>
          <t>29.06.2026</t>
        </is>
      </c>
      <c r="F58" s="4" t="inlineStr"/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4" t="n">
        <v>0</v>
      </c>
      <c r="N58" s="7" t="n">
        <v>0</v>
      </c>
      <c r="O58" s="4" t="inlineStr">
        <is>
          <t>05510</t>
        </is>
      </c>
      <c r="P58" s="4" t="inlineStr">
        <is>
          <t>7514.01</t>
        </is>
      </c>
    </row>
    <row r="59">
      <c r="A59" s="4" t="inlineStr">
        <is>
          <t>58</t>
        </is>
      </c>
      <c r="B59" s="5" t="inlineStr">
        <is>
          <t>10996768938</t>
        </is>
      </c>
      <c r="C59" s="29" t="inlineStr">
        <is>
          <t>GÜLTEN GİDER</t>
        </is>
      </c>
      <c r="D59" s="7" t="n">
        <v>124.78</v>
      </c>
      <c r="E59" s="4" t="inlineStr">
        <is>
          <t>10.02.2024</t>
        </is>
      </c>
      <c r="F59" s="4" t="inlineStr"/>
      <c r="G59" s="7" t="n">
        <v>28625.43</v>
      </c>
      <c r="H59" s="7" t="n">
        <v>807.38</v>
      </c>
      <c r="I59" s="7" t="n">
        <v>4414.92</v>
      </c>
      <c r="J59" s="7" t="n">
        <v>29432.81</v>
      </c>
      <c r="K59" s="7" t="n">
        <v>4414.92</v>
      </c>
      <c r="L59" s="7" t="n">
        <v>25017.89</v>
      </c>
      <c r="M59" s="4" t="n">
        <v>26</v>
      </c>
      <c r="N59" s="7" t="n">
        <v>29432.81</v>
      </c>
      <c r="O59" s="4" t="inlineStr">
        <is>
          <t>16322</t>
        </is>
      </c>
      <c r="P59" s="4" t="inlineStr">
        <is>
          <t>7514.01</t>
        </is>
      </c>
    </row>
    <row r="60">
      <c r="A60" s="4" t="inlineStr">
        <is>
          <t>59</t>
        </is>
      </c>
      <c r="B60" s="5" t="inlineStr">
        <is>
          <t>11084234700</t>
        </is>
      </c>
      <c r="C60" s="29" t="inlineStr">
        <is>
          <t>ENGİN ULU</t>
        </is>
      </c>
      <c r="D60" s="7" t="n">
        <v>33030</v>
      </c>
      <c r="E60" s="4" t="inlineStr">
        <is>
          <t>24.08.2026</t>
        </is>
      </c>
      <c r="F60" s="4" t="inlineStr"/>
      <c r="G60" s="7" t="n">
        <v>2202</v>
      </c>
      <c r="H60" s="7" t="n">
        <v>0</v>
      </c>
      <c r="I60" s="7" t="n">
        <v>165.15</v>
      </c>
      <c r="J60" s="7" t="n">
        <v>2202</v>
      </c>
      <c r="K60" s="7" t="n">
        <v>165.15</v>
      </c>
      <c r="L60" s="7" t="n">
        <v>2036.85</v>
      </c>
      <c r="M60" s="4" t="n">
        <v>2</v>
      </c>
      <c r="N60" s="7" t="n">
        <v>2202</v>
      </c>
      <c r="O60" s="4" t="inlineStr">
        <is>
          <t>00000</t>
        </is>
      </c>
      <c r="P60" s="4" t="inlineStr">
        <is>
          <t>1420.09</t>
        </is>
      </c>
    </row>
    <row r="61">
      <c r="A61" s="4" t="inlineStr">
        <is>
          <t>60</t>
        </is>
      </c>
      <c r="B61" s="5" t="inlineStr">
        <is>
          <t>11116950790</t>
        </is>
      </c>
      <c r="C61" s="29" t="inlineStr">
        <is>
          <t>ŞEVVAL BALKAN</t>
        </is>
      </c>
      <c r="D61" s="7" t="n">
        <v>124.78</v>
      </c>
      <c r="E61" s="4" t="inlineStr">
        <is>
          <t>29.06.2026</t>
        </is>
      </c>
      <c r="F61" s="4" t="inlineStr"/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4" t="n">
        <v>0</v>
      </c>
      <c r="N61" s="7" t="n">
        <v>0</v>
      </c>
      <c r="O61" s="4" t="inlineStr">
        <is>
          <t>05510</t>
        </is>
      </c>
      <c r="P61" s="4" t="inlineStr">
        <is>
          <t>7514.01</t>
        </is>
      </c>
    </row>
    <row r="62">
      <c r="A62" s="4" t="inlineStr">
        <is>
          <t>61</t>
        </is>
      </c>
      <c r="B62" s="5" t="inlineStr">
        <is>
          <t>11206757414</t>
        </is>
      </c>
      <c r="C62" s="29" t="inlineStr">
        <is>
          <t>BERK BERBER</t>
        </is>
      </c>
      <c r="D62" s="7" t="n">
        <v>222.2</v>
      </c>
      <c r="E62" s="4" t="inlineStr">
        <is>
          <t>06.05.2026</t>
        </is>
      </c>
      <c r="F62" s="4" t="inlineStr"/>
      <c r="G62" s="7" t="n">
        <v>66346.03999999999</v>
      </c>
      <c r="H62" s="7" t="n">
        <v>2808.85</v>
      </c>
      <c r="I62" s="7" t="n">
        <v>15604.69</v>
      </c>
      <c r="J62" s="7" t="n">
        <v>69154.89</v>
      </c>
      <c r="K62" s="7" t="n">
        <v>15604.69</v>
      </c>
      <c r="L62" s="7" t="n">
        <v>53550.2</v>
      </c>
      <c r="M62" s="4" t="n">
        <v>30</v>
      </c>
      <c r="N62" s="7" t="n">
        <v>69154.89</v>
      </c>
      <c r="O62" s="4" t="inlineStr">
        <is>
          <t>05510</t>
        </is>
      </c>
      <c r="P62" s="4" t="inlineStr">
        <is>
          <t>2143.01</t>
        </is>
      </c>
    </row>
    <row r="63">
      <c r="A63" s="4" t="inlineStr">
        <is>
          <t>62</t>
        </is>
      </c>
      <c r="B63" s="5" t="inlineStr">
        <is>
          <t>11239919780</t>
        </is>
      </c>
      <c r="C63" s="29" t="inlineStr">
        <is>
          <t>EMEL KURT</t>
        </is>
      </c>
      <c r="D63" s="7" t="n">
        <v>146.6</v>
      </c>
      <c r="E63" s="4" t="inlineStr">
        <is>
          <t>08.07.2026</t>
        </is>
      </c>
      <c r="F63" s="4" t="inlineStr">
        <is>
          <t>01.08.2026</t>
        </is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4" t="n">
        <v>0</v>
      </c>
      <c r="N63" s="7" t="n">
        <v>0</v>
      </c>
      <c r="O63" s="4" t="inlineStr">
        <is>
          <t>05510</t>
        </is>
      </c>
      <c r="P63" s="4" t="inlineStr">
        <is>
          <t>7514.01</t>
        </is>
      </c>
    </row>
    <row r="64">
      <c r="A64" s="4" t="inlineStr">
        <is>
          <t>63</t>
        </is>
      </c>
      <c r="B64" s="5" t="inlineStr">
        <is>
          <t>11248811624</t>
        </is>
      </c>
      <c r="C64" s="29" t="inlineStr">
        <is>
          <t>SELAHATTİN SÜGÜT</t>
        </is>
      </c>
      <c r="D64" s="7" t="n">
        <v>30185</v>
      </c>
      <c r="E64" s="4" t="inlineStr">
        <is>
          <t>17.05.2023</t>
        </is>
      </c>
      <c r="F64" s="4" t="inlineStr"/>
      <c r="G64" s="7" t="n">
        <v>4350.99</v>
      </c>
      <c r="H64" s="7" t="n">
        <v>0</v>
      </c>
      <c r="I64" s="7" t="n">
        <v>326.32</v>
      </c>
      <c r="J64" s="7" t="n">
        <v>4350.99</v>
      </c>
      <c r="K64" s="7" t="n">
        <v>326.32</v>
      </c>
      <c r="L64" s="7" t="n">
        <v>4024.67</v>
      </c>
      <c r="M64" s="4" t="n">
        <v>4</v>
      </c>
      <c r="N64" s="7" t="n">
        <v>4404</v>
      </c>
      <c r="O64" s="4" t="inlineStr">
        <is>
          <t>00000</t>
        </is>
      </c>
      <c r="P64" s="4" t="inlineStr">
        <is>
          <t>8331.02</t>
        </is>
      </c>
    </row>
    <row r="65">
      <c r="A65" s="4" t="inlineStr">
        <is>
          <t>64</t>
        </is>
      </c>
      <c r="B65" s="5" t="inlineStr">
        <is>
          <t>11257940650</t>
        </is>
      </c>
      <c r="C65" s="29" t="inlineStr">
        <is>
          <t>GÜLŞEN YAĞMUR YÜKSEL</t>
        </is>
      </c>
      <c r="D65" s="7" t="n">
        <v>146.6</v>
      </c>
      <c r="E65" s="4" t="inlineStr">
        <is>
          <t>09.07.2026</t>
        </is>
      </c>
      <c r="F65" s="4" t="inlineStr"/>
      <c r="G65" s="7" t="n">
        <v>25870.59</v>
      </c>
      <c r="H65" s="7" t="n">
        <v>19563.35</v>
      </c>
      <c r="I65" s="7" t="n">
        <v>9853.74</v>
      </c>
      <c r="J65" s="7" t="n">
        <v>45433.94</v>
      </c>
      <c r="K65" s="7" t="n">
        <v>9853.74</v>
      </c>
      <c r="L65" s="7" t="n">
        <v>35580.2</v>
      </c>
      <c r="M65" s="4" t="n">
        <v>20</v>
      </c>
      <c r="N65" s="7" t="n">
        <v>45433.94</v>
      </c>
      <c r="O65" s="4" t="inlineStr">
        <is>
          <t>05510</t>
        </is>
      </c>
      <c r="P65" s="4" t="inlineStr">
        <is>
          <t>7514.01</t>
        </is>
      </c>
    </row>
    <row r="66">
      <c r="A66" s="4" t="inlineStr">
        <is>
          <t>65</t>
        </is>
      </c>
      <c r="B66" s="5" t="inlineStr">
        <is>
          <t>11284759850</t>
        </is>
      </c>
      <c r="C66" s="29" t="inlineStr">
        <is>
          <t>AYŞE ÇENECİOĞLU</t>
        </is>
      </c>
      <c r="D66" s="7" t="n">
        <v>124.78</v>
      </c>
      <c r="E66" s="4" t="inlineStr">
        <is>
          <t>30.08.2023</t>
        </is>
      </c>
      <c r="F66" s="4" t="inlineStr"/>
      <c r="G66" s="7" t="n">
        <v>28625.43</v>
      </c>
      <c r="H66" s="7" t="n">
        <v>807.38</v>
      </c>
      <c r="I66" s="7" t="n">
        <v>4414.92</v>
      </c>
      <c r="J66" s="7" t="n">
        <v>29432.81</v>
      </c>
      <c r="K66" s="7" t="n">
        <v>4414.92</v>
      </c>
      <c r="L66" s="7" t="n">
        <v>25017.89</v>
      </c>
      <c r="M66" s="4" t="n">
        <v>26</v>
      </c>
      <c r="N66" s="7" t="n">
        <v>29432.81</v>
      </c>
      <c r="O66" s="4" t="inlineStr">
        <is>
          <t>16322</t>
        </is>
      </c>
      <c r="P66" s="4" t="inlineStr">
        <is>
          <t>7514.01</t>
        </is>
      </c>
    </row>
    <row r="67">
      <c r="A67" s="4" t="inlineStr">
        <is>
          <t>66</t>
        </is>
      </c>
      <c r="B67" s="5" t="inlineStr">
        <is>
          <t>11284916406</t>
        </is>
      </c>
      <c r="C67" s="29" t="inlineStr">
        <is>
          <t>HÜLYA TANIŞ</t>
        </is>
      </c>
      <c r="D67" s="7" t="n">
        <v>146.6</v>
      </c>
      <c r="E67" s="4" t="inlineStr">
        <is>
          <t>01.07.2026</t>
        </is>
      </c>
      <c r="F67" s="4" t="inlineStr"/>
      <c r="G67" s="7" t="n">
        <v>28457.65</v>
      </c>
      <c r="H67" s="7" t="n">
        <v>344.94</v>
      </c>
      <c r="I67" s="7" t="n">
        <v>4320.39</v>
      </c>
      <c r="J67" s="7" t="n">
        <v>28802.59</v>
      </c>
      <c r="K67" s="7" t="n">
        <v>4320.39</v>
      </c>
      <c r="L67" s="7" t="n">
        <v>24482.2</v>
      </c>
      <c r="M67" s="4" t="n">
        <v>22</v>
      </c>
      <c r="N67" s="7" t="n">
        <v>28802.59</v>
      </c>
      <c r="O67" s="4" t="inlineStr">
        <is>
          <t>05510</t>
        </is>
      </c>
      <c r="P67" s="4" t="inlineStr">
        <is>
          <t>7514.01</t>
        </is>
      </c>
    </row>
    <row r="68">
      <c r="A68" s="4" t="inlineStr">
        <is>
          <t>67</t>
        </is>
      </c>
      <c r="B68" s="5" t="inlineStr">
        <is>
          <t>11380915020</t>
        </is>
      </c>
      <c r="C68" s="29" t="inlineStr">
        <is>
          <t>UĞUR YAMAN</t>
        </is>
      </c>
      <c r="D68" s="7" t="n">
        <v>146.6</v>
      </c>
      <c r="E68" s="4" t="inlineStr">
        <is>
          <t>08.07.2026</t>
        </is>
      </c>
      <c r="F68" s="4" t="inlineStr">
        <is>
          <t>01.08.2026</t>
        </is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4" t="n">
        <v>0</v>
      </c>
      <c r="N68" s="7" t="n">
        <v>0</v>
      </c>
      <c r="O68" s="4" t="inlineStr">
        <is>
          <t>05510</t>
        </is>
      </c>
      <c r="P68" s="4" t="inlineStr">
        <is>
          <t>7514.01</t>
        </is>
      </c>
    </row>
    <row r="69">
      <c r="A69" s="4" t="inlineStr">
        <is>
          <t>68</t>
        </is>
      </c>
      <c r="B69" s="5" t="inlineStr">
        <is>
          <t>11386906688</t>
        </is>
      </c>
      <c r="C69" s="29" t="inlineStr">
        <is>
          <t>OKTAY MUT</t>
        </is>
      </c>
      <c r="D69" s="7" t="n">
        <v>124.78</v>
      </c>
      <c r="E69" s="4" t="inlineStr">
        <is>
          <t>17.02.2026</t>
        </is>
      </c>
      <c r="F69" s="4" t="inlineStr"/>
      <c r="G69" s="7" t="n">
        <v>6606</v>
      </c>
      <c r="H69" s="7" t="n">
        <v>1101</v>
      </c>
      <c r="I69" s="7" t="n">
        <v>1156.05</v>
      </c>
      <c r="J69" s="7" t="n">
        <v>7707</v>
      </c>
      <c r="K69" s="7" t="n">
        <v>1156.05</v>
      </c>
      <c r="L69" s="7" t="n">
        <v>6550.95</v>
      </c>
      <c r="M69" s="4" t="n">
        <v>6</v>
      </c>
      <c r="N69" s="7" t="n">
        <v>7707</v>
      </c>
      <c r="O69" s="4" t="inlineStr">
        <is>
          <t>05510</t>
        </is>
      </c>
      <c r="P69" s="4" t="inlineStr">
        <is>
          <t>7514.01</t>
        </is>
      </c>
    </row>
    <row r="70">
      <c r="A70" s="4" t="inlineStr">
        <is>
          <t>69</t>
        </is>
      </c>
      <c r="B70" s="5" t="inlineStr">
        <is>
          <t>11494663138</t>
        </is>
      </c>
      <c r="C70" s="29" t="inlineStr">
        <is>
          <t>GÖKTUĞ NAMAL</t>
        </is>
      </c>
      <c r="D70" s="7" t="n">
        <v>146.6</v>
      </c>
      <c r="E70" s="4" t="inlineStr">
        <is>
          <t>27.07.2026</t>
        </is>
      </c>
      <c r="F70" s="4" t="inlineStr">
        <is>
          <t>29.08.2026</t>
        </is>
      </c>
      <c r="G70" s="7" t="n">
        <v>21990</v>
      </c>
      <c r="H70" s="7" t="n">
        <v>948.59</v>
      </c>
      <c r="I70" s="7" t="n">
        <v>4128.79</v>
      </c>
      <c r="J70" s="7" t="n">
        <v>22938.59</v>
      </c>
      <c r="K70" s="7" t="n">
        <v>4128.79</v>
      </c>
      <c r="L70" s="7" t="n">
        <v>18809.8</v>
      </c>
      <c r="M70" s="4" t="n">
        <v>17</v>
      </c>
      <c r="N70" s="7" t="n">
        <v>22938.59</v>
      </c>
      <c r="O70" s="4" t="inlineStr">
        <is>
          <t>05510</t>
        </is>
      </c>
      <c r="P70" s="4" t="inlineStr">
        <is>
          <t>7514.01</t>
        </is>
      </c>
    </row>
    <row r="71">
      <c r="A71" s="4" t="inlineStr">
        <is>
          <t>70</t>
        </is>
      </c>
      <c r="B71" s="5" t="inlineStr">
        <is>
          <t>11593899780</t>
        </is>
      </c>
      <c r="C71" s="29" t="inlineStr">
        <is>
          <t>GÜRAY PALA</t>
        </is>
      </c>
      <c r="D71" s="7" t="n">
        <v>146.6</v>
      </c>
      <c r="E71" s="4" t="inlineStr">
        <is>
          <t>24.03.2026</t>
        </is>
      </c>
      <c r="F71" s="4" t="inlineStr"/>
      <c r="G71" s="7" t="n">
        <v>25870.59</v>
      </c>
      <c r="H71" s="7" t="n">
        <v>18631.06</v>
      </c>
      <c r="I71" s="7" t="n">
        <v>9259.950000000001</v>
      </c>
      <c r="J71" s="7" t="n">
        <v>44501.65</v>
      </c>
      <c r="K71" s="7" t="n">
        <v>9259.950000000001</v>
      </c>
      <c r="L71" s="7" t="n">
        <v>35241.7</v>
      </c>
      <c r="M71" s="4" t="n">
        <v>20</v>
      </c>
      <c r="N71" s="7" t="n">
        <v>44501.65</v>
      </c>
      <c r="O71" s="4" t="inlineStr">
        <is>
          <t>05510</t>
        </is>
      </c>
      <c r="P71" s="4" t="inlineStr">
        <is>
          <t>7514.01</t>
        </is>
      </c>
    </row>
    <row r="72">
      <c r="A72" s="4" t="inlineStr">
        <is>
          <t>71</t>
        </is>
      </c>
      <c r="B72" s="5" t="inlineStr">
        <is>
          <t>11633067636</t>
        </is>
      </c>
      <c r="C72" s="29" t="inlineStr">
        <is>
          <t>EİREMŞAH KIZILKAYA</t>
        </is>
      </c>
      <c r="D72" s="7" t="n">
        <v>146.6</v>
      </c>
      <c r="E72" s="4" t="inlineStr">
        <is>
          <t>10.02.2026</t>
        </is>
      </c>
      <c r="F72" s="4" t="inlineStr"/>
      <c r="G72" s="7" t="n">
        <v>27164.12</v>
      </c>
      <c r="H72" s="7" t="n">
        <v>18211.46</v>
      </c>
      <c r="I72" s="7" t="n">
        <v>9898.379999999999</v>
      </c>
      <c r="J72" s="7" t="n">
        <v>45375.58</v>
      </c>
      <c r="K72" s="7" t="n">
        <v>9898.379999999999</v>
      </c>
      <c r="L72" s="7" t="n">
        <v>35477.2</v>
      </c>
      <c r="M72" s="4" t="n">
        <v>21</v>
      </c>
      <c r="N72" s="7" t="n">
        <v>45375.58</v>
      </c>
      <c r="O72" s="4" t="inlineStr">
        <is>
          <t>05510</t>
        </is>
      </c>
      <c r="P72" s="4" t="inlineStr">
        <is>
          <t>7514.01</t>
        </is>
      </c>
    </row>
    <row r="73">
      <c r="A73" s="4" t="inlineStr">
        <is>
          <t>72</t>
        </is>
      </c>
      <c r="B73" s="5" t="inlineStr">
        <is>
          <t>11840814962</t>
        </is>
      </c>
      <c r="C73" s="29" t="inlineStr">
        <is>
          <t>LEYLA KOYUN</t>
        </is>
      </c>
      <c r="D73" s="7" t="n">
        <v>124.78</v>
      </c>
      <c r="E73" s="4" t="inlineStr">
        <is>
          <t>24.06.2026</t>
        </is>
      </c>
      <c r="F73" s="4" t="inlineStr"/>
      <c r="G73" s="7" t="n">
        <v>27525</v>
      </c>
      <c r="H73" s="7" t="n">
        <v>19817.23</v>
      </c>
      <c r="I73" s="7" t="n">
        <v>10454.77</v>
      </c>
      <c r="J73" s="7" t="n">
        <v>47342.23</v>
      </c>
      <c r="K73" s="7" t="n">
        <v>10454.77</v>
      </c>
      <c r="L73" s="7" t="n">
        <v>36887.46</v>
      </c>
      <c r="M73" s="4" t="n">
        <v>25</v>
      </c>
      <c r="N73" s="7" t="n">
        <v>47342.23</v>
      </c>
      <c r="O73" s="4" t="inlineStr">
        <is>
          <t>05510</t>
        </is>
      </c>
      <c r="P73" s="4" t="inlineStr">
        <is>
          <t>7514.01</t>
        </is>
      </c>
    </row>
    <row r="74">
      <c r="A74" s="4" t="inlineStr">
        <is>
          <t>73</t>
        </is>
      </c>
      <c r="B74" s="5" t="inlineStr">
        <is>
          <t>11890896888</t>
        </is>
      </c>
      <c r="C74" s="29" t="inlineStr">
        <is>
          <t>FATMAGÜL ÇEKİ</t>
        </is>
      </c>
      <c r="D74" s="7" t="n">
        <v>146.6</v>
      </c>
      <c r="E74" s="4" t="inlineStr">
        <is>
          <t>27.02.2026</t>
        </is>
      </c>
      <c r="F74" s="4" t="inlineStr"/>
      <c r="G74" s="7" t="n">
        <v>27164.12</v>
      </c>
      <c r="H74" s="7" t="n">
        <v>18298.83</v>
      </c>
      <c r="I74" s="7" t="n">
        <v>8593.049999999999</v>
      </c>
      <c r="J74" s="7" t="n">
        <v>45462.95</v>
      </c>
      <c r="K74" s="7" t="n">
        <v>8593.049999999999</v>
      </c>
      <c r="L74" s="7" t="n">
        <v>36869.9</v>
      </c>
      <c r="M74" s="4" t="n">
        <v>21</v>
      </c>
      <c r="N74" s="7" t="n">
        <v>45462.95</v>
      </c>
      <c r="O74" s="4" t="inlineStr">
        <is>
          <t>05510</t>
        </is>
      </c>
      <c r="P74" s="4" t="inlineStr">
        <is>
          <t>7514.01</t>
        </is>
      </c>
    </row>
    <row r="75">
      <c r="A75" s="4" t="inlineStr">
        <is>
          <t>74</t>
        </is>
      </c>
      <c r="B75" s="5" t="inlineStr">
        <is>
          <t>11896898268</t>
        </is>
      </c>
      <c r="C75" s="29" t="inlineStr">
        <is>
          <t>MÜNÜR TÜRKÇÜ</t>
        </is>
      </c>
      <c r="D75" s="7" t="n">
        <v>146.6</v>
      </c>
      <c r="E75" s="4" t="inlineStr">
        <is>
          <t>27.07.2026</t>
        </is>
      </c>
      <c r="F75" s="4" t="inlineStr"/>
      <c r="G75" s="7" t="n">
        <v>20696.47</v>
      </c>
      <c r="H75" s="7" t="n">
        <v>1638.47</v>
      </c>
      <c r="I75" s="7" t="n">
        <v>4020.24</v>
      </c>
      <c r="J75" s="7" t="n">
        <v>22334.94</v>
      </c>
      <c r="K75" s="7" t="n">
        <v>4020.24</v>
      </c>
      <c r="L75" s="7" t="n">
        <v>18314.7</v>
      </c>
      <c r="M75" s="4" t="n">
        <v>16</v>
      </c>
      <c r="N75" s="7" t="n">
        <v>22334.94</v>
      </c>
      <c r="O75" s="4" t="inlineStr">
        <is>
          <t>05510</t>
        </is>
      </c>
      <c r="P75" s="4" t="inlineStr">
        <is>
          <t>7514.01</t>
        </is>
      </c>
    </row>
    <row r="76">
      <c r="A76" s="4" t="inlineStr">
        <is>
          <t>75</t>
        </is>
      </c>
      <c r="B76" s="5" t="inlineStr">
        <is>
          <t>11950763822</t>
        </is>
      </c>
      <c r="C76" s="29" t="inlineStr">
        <is>
          <t>BİLGİYE TOPAL</t>
        </is>
      </c>
      <c r="D76" s="7" t="n">
        <v>146.6</v>
      </c>
      <c r="E76" s="4" t="inlineStr">
        <is>
          <t>17.08.2026</t>
        </is>
      </c>
      <c r="F76" s="4" t="inlineStr"/>
      <c r="G76" s="7" t="n">
        <v>16815.88</v>
      </c>
      <c r="H76" s="7" t="n">
        <v>258.71</v>
      </c>
      <c r="I76" s="7" t="n">
        <v>3073.19</v>
      </c>
      <c r="J76" s="7" t="n">
        <v>17074.59</v>
      </c>
      <c r="K76" s="7" t="n">
        <v>3073.19</v>
      </c>
      <c r="L76" s="7" t="n">
        <v>14001.4</v>
      </c>
      <c r="M76" s="4" t="n">
        <v>13</v>
      </c>
      <c r="N76" s="7" t="n">
        <v>17074.59</v>
      </c>
      <c r="O76" s="4" t="inlineStr">
        <is>
          <t>05510</t>
        </is>
      </c>
      <c r="P76" s="4" t="inlineStr">
        <is>
          <t>7514.01</t>
        </is>
      </c>
    </row>
    <row r="77">
      <c r="A77" s="4" t="inlineStr">
        <is>
          <t>76</t>
        </is>
      </c>
      <c r="B77" s="5" t="inlineStr">
        <is>
          <t>11989894740</t>
        </is>
      </c>
      <c r="C77" s="29" t="inlineStr">
        <is>
          <t>SENEM DORU</t>
        </is>
      </c>
      <c r="D77" s="7" t="n">
        <v>146.6</v>
      </c>
      <c r="E77" s="4" t="inlineStr">
        <is>
          <t>08.07.2026</t>
        </is>
      </c>
      <c r="F77" s="4" t="inlineStr">
        <is>
          <t>01.08.2026</t>
        </is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4" t="n">
        <v>0</v>
      </c>
      <c r="N77" s="7" t="n">
        <v>0</v>
      </c>
      <c r="O77" s="4" t="inlineStr">
        <is>
          <t>05510</t>
        </is>
      </c>
      <c r="P77" s="4" t="inlineStr">
        <is>
          <t>7514.01</t>
        </is>
      </c>
    </row>
    <row r="78">
      <c r="A78" s="4" t="inlineStr">
        <is>
          <t>77</t>
        </is>
      </c>
      <c r="B78" s="5" t="inlineStr">
        <is>
          <t>12112732380</t>
        </is>
      </c>
      <c r="C78" s="29" t="inlineStr">
        <is>
          <t>ŞAHİNDE YILDIZ</t>
        </is>
      </c>
      <c r="D78" s="7" t="n">
        <v>124.78</v>
      </c>
      <c r="E78" s="4" t="inlineStr">
        <is>
          <t>22.05.2025</t>
        </is>
      </c>
      <c r="F78" s="4" t="inlineStr"/>
      <c r="G78" s="7" t="n">
        <v>9908.799999999999</v>
      </c>
      <c r="H78" s="7" t="n">
        <v>1100.98</v>
      </c>
      <c r="I78" s="7" t="n">
        <v>1651.47</v>
      </c>
      <c r="J78" s="7" t="n">
        <v>11009.78</v>
      </c>
      <c r="K78" s="7" t="n">
        <v>1651.47</v>
      </c>
      <c r="L78" s="7" t="n">
        <v>9358.309999999999</v>
      </c>
      <c r="M78" s="4" t="n">
        <v>9</v>
      </c>
      <c r="N78" s="7" t="n">
        <v>11009.78</v>
      </c>
      <c r="O78" s="4" t="inlineStr">
        <is>
          <t>05510</t>
        </is>
      </c>
      <c r="P78" s="4" t="inlineStr">
        <is>
          <t>7514.01</t>
        </is>
      </c>
    </row>
    <row r="79">
      <c r="A79" s="4" t="inlineStr">
        <is>
          <t>78</t>
        </is>
      </c>
      <c r="B79" s="5" t="inlineStr">
        <is>
          <t>12203562360</t>
        </is>
      </c>
      <c r="C79" s="29" t="inlineStr">
        <is>
          <t>SEVGÜL YİLDİRİM</t>
        </is>
      </c>
      <c r="D79" s="7" t="n">
        <v>124.78</v>
      </c>
      <c r="E79" s="4" t="inlineStr">
        <is>
          <t>02.06.2026</t>
        </is>
      </c>
      <c r="F79" s="4" t="inlineStr"/>
      <c r="G79" s="7" t="n">
        <v>7707</v>
      </c>
      <c r="H79" s="7" t="n">
        <v>7486.8</v>
      </c>
      <c r="I79" s="7" t="n">
        <v>2279.07</v>
      </c>
      <c r="J79" s="7" t="n">
        <v>15193.8</v>
      </c>
      <c r="K79" s="7" t="n">
        <v>2279.07</v>
      </c>
      <c r="L79" s="7" t="n">
        <v>12914.73</v>
      </c>
      <c r="M79" s="4" t="n">
        <v>7</v>
      </c>
      <c r="N79" s="7" t="n">
        <v>15193.8</v>
      </c>
      <c r="O79" s="4" t="inlineStr">
        <is>
          <t>05510</t>
        </is>
      </c>
      <c r="P79" s="4" t="inlineStr">
        <is>
          <t>7514.01</t>
        </is>
      </c>
    </row>
    <row r="80">
      <c r="A80" s="4" t="inlineStr">
        <is>
          <t>79</t>
        </is>
      </c>
      <c r="B80" s="5" t="inlineStr">
        <is>
          <t>12268777280</t>
        </is>
      </c>
      <c r="C80" s="29" t="inlineStr">
        <is>
          <t>ÜMMÜ AYDOĞAN</t>
        </is>
      </c>
      <c r="D80" s="7" t="n">
        <v>124.78</v>
      </c>
      <c r="E80" s="4" t="inlineStr">
        <is>
          <t>08.05.2023</t>
        </is>
      </c>
      <c r="F80" s="4" t="inlineStr"/>
      <c r="G80" s="7" t="n">
        <v>30827.38</v>
      </c>
      <c r="H80" s="7" t="n">
        <v>2276.01</v>
      </c>
      <c r="I80" s="7" t="n">
        <v>4966.07</v>
      </c>
      <c r="J80" s="7" t="n">
        <v>33103.39</v>
      </c>
      <c r="K80" s="7" t="n">
        <v>4966.07</v>
      </c>
      <c r="L80" s="7" t="n">
        <v>28137.33</v>
      </c>
      <c r="M80" s="4" t="n">
        <v>28</v>
      </c>
      <c r="N80" s="7" t="n">
        <v>33103.39</v>
      </c>
      <c r="O80" s="4" t="inlineStr">
        <is>
          <t>05510</t>
        </is>
      </c>
      <c r="P80" s="4" t="inlineStr">
        <is>
          <t>7514.01</t>
        </is>
      </c>
    </row>
    <row r="81">
      <c r="A81" s="4" t="inlineStr">
        <is>
          <t>80</t>
        </is>
      </c>
      <c r="B81" s="5" t="inlineStr">
        <is>
          <t>12379749978</t>
        </is>
      </c>
      <c r="C81" s="29" t="inlineStr">
        <is>
          <t>EMİNE SARI</t>
        </is>
      </c>
      <c r="D81" s="7" t="n">
        <v>146.6</v>
      </c>
      <c r="E81" s="4" t="inlineStr">
        <is>
          <t>01.05.2026</t>
        </is>
      </c>
      <c r="F81" s="4" t="inlineStr"/>
      <c r="G81" s="7" t="n">
        <v>37552.74</v>
      </c>
      <c r="H81" s="7" t="n">
        <v>3306.46</v>
      </c>
      <c r="I81" s="7" t="n">
        <v>6188.3</v>
      </c>
      <c r="J81" s="7" t="n">
        <v>40859.2</v>
      </c>
      <c r="K81" s="7" t="n">
        <v>6188.3</v>
      </c>
      <c r="L81" s="7" t="n">
        <v>34670.9</v>
      </c>
      <c r="M81" s="4" t="n">
        <v>29</v>
      </c>
      <c r="N81" s="7" t="n">
        <v>40859.2</v>
      </c>
      <c r="O81" s="4" t="inlineStr">
        <is>
          <t>05510</t>
        </is>
      </c>
      <c r="P81" s="4" t="inlineStr">
        <is>
          <t>7514.01</t>
        </is>
      </c>
    </row>
    <row r="82">
      <c r="A82" s="4" t="inlineStr">
        <is>
          <t>81</t>
        </is>
      </c>
      <c r="B82" s="5" t="inlineStr">
        <is>
          <t>12496719380</t>
        </is>
      </c>
      <c r="C82" s="29" t="inlineStr">
        <is>
          <t>BEDİA KAYMAZ</t>
        </is>
      </c>
      <c r="D82" s="7" t="n">
        <v>124.78</v>
      </c>
      <c r="E82" s="4" t="inlineStr">
        <is>
          <t>01.07.2026</t>
        </is>
      </c>
      <c r="F82" s="4" t="inlineStr"/>
      <c r="G82" s="7" t="n">
        <v>31929</v>
      </c>
      <c r="H82" s="7" t="n">
        <v>1799.16</v>
      </c>
      <c r="I82" s="7" t="n">
        <v>5153.54</v>
      </c>
      <c r="J82" s="7" t="n">
        <v>33728.16</v>
      </c>
      <c r="K82" s="7" t="n">
        <v>5153.54</v>
      </c>
      <c r="L82" s="7" t="n">
        <v>28574.62</v>
      </c>
      <c r="M82" s="4" t="n">
        <v>29</v>
      </c>
      <c r="N82" s="7" t="n">
        <v>33728.16</v>
      </c>
      <c r="O82" s="4" t="inlineStr">
        <is>
          <t>05510</t>
        </is>
      </c>
      <c r="P82" s="4" t="inlineStr">
        <is>
          <t>7514.01</t>
        </is>
      </c>
    </row>
    <row r="83">
      <c r="A83" s="4" t="inlineStr">
        <is>
          <t>82</t>
        </is>
      </c>
      <c r="B83" s="5" t="inlineStr">
        <is>
          <t>12523718256</t>
        </is>
      </c>
      <c r="C83" s="29" t="inlineStr">
        <is>
          <t>EMİNE BAYER</t>
        </is>
      </c>
      <c r="D83" s="7" t="n">
        <v>124.78</v>
      </c>
      <c r="E83" s="4" t="inlineStr">
        <is>
          <t>12.05.2023</t>
        </is>
      </c>
      <c r="F83" s="4" t="inlineStr"/>
      <c r="G83" s="7" t="n">
        <v>28625.43</v>
      </c>
      <c r="H83" s="7" t="n">
        <v>807.38</v>
      </c>
      <c r="I83" s="7" t="n">
        <v>5296.92</v>
      </c>
      <c r="J83" s="7" t="n">
        <v>29432.81</v>
      </c>
      <c r="K83" s="7" t="n">
        <v>5296.92</v>
      </c>
      <c r="L83" s="7" t="n">
        <v>24135.89</v>
      </c>
      <c r="M83" s="4" t="n">
        <v>26</v>
      </c>
      <c r="N83" s="7" t="n">
        <v>29432.81</v>
      </c>
      <c r="O83" s="4" t="inlineStr">
        <is>
          <t>16322</t>
        </is>
      </c>
      <c r="P83" s="4" t="inlineStr">
        <is>
          <t>7514.01</t>
        </is>
      </c>
    </row>
    <row r="84">
      <c r="A84" s="4" t="inlineStr">
        <is>
          <t>83</t>
        </is>
      </c>
      <c r="B84" s="5" t="inlineStr">
        <is>
          <t>12556753194</t>
        </is>
      </c>
      <c r="C84" s="29" t="inlineStr">
        <is>
          <t>NACİYE KARABULUT</t>
        </is>
      </c>
      <c r="D84" s="7" t="n">
        <v>146.6</v>
      </c>
      <c r="E84" s="4" t="inlineStr">
        <is>
          <t>10.02.2026</t>
        </is>
      </c>
      <c r="F84" s="4" t="inlineStr"/>
      <c r="G84" s="7" t="n">
        <v>36366.8</v>
      </c>
      <c r="H84" s="7" t="n">
        <v>654.0700000000001</v>
      </c>
      <c r="I84" s="7" t="n">
        <v>6894.57</v>
      </c>
      <c r="J84" s="7" t="n">
        <v>37020.87</v>
      </c>
      <c r="K84" s="7" t="n">
        <v>6894.57</v>
      </c>
      <c r="L84" s="7" t="n">
        <v>30126.3</v>
      </c>
      <c r="M84" s="4" t="n">
        <v>27</v>
      </c>
      <c r="N84" s="7" t="n">
        <v>37020.87</v>
      </c>
      <c r="O84" s="4" t="inlineStr">
        <is>
          <t>05510</t>
        </is>
      </c>
      <c r="P84" s="4" t="inlineStr">
        <is>
          <t>7514.01</t>
        </is>
      </c>
    </row>
    <row r="85">
      <c r="A85" s="4" t="inlineStr">
        <is>
          <t>84</t>
        </is>
      </c>
      <c r="B85" s="5" t="inlineStr">
        <is>
          <t>12562741222</t>
        </is>
      </c>
      <c r="C85" s="29" t="inlineStr">
        <is>
          <t>EBRU ÖÖZALP</t>
        </is>
      </c>
      <c r="D85" s="7" t="n">
        <v>146.6</v>
      </c>
      <c r="E85" s="4" t="inlineStr">
        <is>
          <t>21.04.2026</t>
        </is>
      </c>
      <c r="F85" s="4" t="inlineStr"/>
      <c r="G85" s="7" t="n">
        <v>27164.12</v>
      </c>
      <c r="H85" s="7" t="n">
        <v>517.41</v>
      </c>
      <c r="I85" s="7" t="n">
        <v>4982.23</v>
      </c>
      <c r="J85" s="7" t="n">
        <v>27681.53</v>
      </c>
      <c r="K85" s="7" t="n">
        <v>4982.23</v>
      </c>
      <c r="L85" s="7" t="n">
        <v>22699.3</v>
      </c>
      <c r="M85" s="4" t="n">
        <v>21</v>
      </c>
      <c r="N85" s="7" t="n">
        <v>27681.53</v>
      </c>
      <c r="O85" s="4" t="inlineStr">
        <is>
          <t>05510</t>
        </is>
      </c>
      <c r="P85" s="4" t="inlineStr">
        <is>
          <t>7514.01</t>
        </is>
      </c>
    </row>
    <row r="86">
      <c r="A86" s="4" t="inlineStr">
        <is>
          <t>85</t>
        </is>
      </c>
      <c r="B86" s="5" t="inlineStr">
        <is>
          <t>12572550074</t>
        </is>
      </c>
      <c r="C86" s="29" t="inlineStr">
        <is>
          <t>ASYA TİLKİ</t>
        </is>
      </c>
      <c r="D86" s="7" t="n">
        <v>146.6</v>
      </c>
      <c r="E86" s="4" t="inlineStr">
        <is>
          <t>10.02.2026</t>
        </is>
      </c>
      <c r="F86" s="4" t="inlineStr"/>
      <c r="G86" s="7" t="n">
        <v>15522.35</v>
      </c>
      <c r="H86" s="7" t="n">
        <v>258.71</v>
      </c>
      <c r="I86" s="7" t="n">
        <v>2367.16</v>
      </c>
      <c r="J86" s="7" t="n">
        <v>15781.06</v>
      </c>
      <c r="K86" s="7" t="n">
        <v>2367.16</v>
      </c>
      <c r="L86" s="7" t="n">
        <v>13413.9</v>
      </c>
      <c r="M86" s="4" t="n">
        <v>12</v>
      </c>
      <c r="N86" s="7" t="n">
        <v>15781.06</v>
      </c>
      <c r="O86" s="4" t="inlineStr">
        <is>
          <t>05510</t>
        </is>
      </c>
      <c r="P86" s="4" t="inlineStr">
        <is>
          <t>7514.01</t>
        </is>
      </c>
    </row>
    <row r="87">
      <c r="A87" s="4" t="inlineStr">
        <is>
          <t>86</t>
        </is>
      </c>
      <c r="B87" s="5" t="inlineStr">
        <is>
          <t>12970852824</t>
        </is>
      </c>
      <c r="C87" s="29" t="inlineStr">
        <is>
          <t>SELİN ÖYKÜ ATA</t>
        </is>
      </c>
      <c r="D87" s="7" t="n">
        <v>146.6</v>
      </c>
      <c r="E87" s="4" t="inlineStr">
        <is>
          <t>25.08.2026</t>
        </is>
      </c>
      <c r="F87" s="4" t="inlineStr">
        <is>
          <t>31.08.2026</t>
        </is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0</v>
      </c>
      <c r="M87" s="4" t="n">
        <v>0</v>
      </c>
      <c r="N87" s="7" t="n">
        <v>0</v>
      </c>
      <c r="O87" s="4" t="inlineStr">
        <is>
          <t>05510</t>
        </is>
      </c>
      <c r="P87" s="4" t="inlineStr">
        <is>
          <t>7514.01</t>
        </is>
      </c>
    </row>
    <row r="88">
      <c r="A88" s="4" t="inlineStr">
        <is>
          <t>87</t>
        </is>
      </c>
      <c r="B88" s="5" t="inlineStr">
        <is>
          <t>13055316880</t>
        </is>
      </c>
      <c r="C88" s="29" t="inlineStr">
        <is>
          <t>KADER AĞYAR</t>
        </is>
      </c>
      <c r="D88" s="7" t="n">
        <v>124.78</v>
      </c>
      <c r="E88" s="4" t="inlineStr">
        <is>
          <t>08.07.2026</t>
        </is>
      </c>
      <c r="F88" s="4" t="inlineStr"/>
      <c r="G88" s="7" t="n">
        <v>0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0</v>
      </c>
      <c r="M88" s="4" t="n">
        <v>0</v>
      </c>
      <c r="N88" s="7" t="n">
        <v>0</v>
      </c>
      <c r="O88" s="4" t="inlineStr">
        <is>
          <t>05510</t>
        </is>
      </c>
      <c r="P88" s="4" t="inlineStr">
        <is>
          <t>7514.01</t>
        </is>
      </c>
    </row>
    <row r="89">
      <c r="A89" s="4" t="inlineStr">
        <is>
          <t>88</t>
        </is>
      </c>
      <c r="B89" s="5" t="inlineStr">
        <is>
          <t>13183506030</t>
        </is>
      </c>
      <c r="C89" s="29" t="inlineStr">
        <is>
          <t>ALİ EŞREF AKIN</t>
        </is>
      </c>
      <c r="D89" s="7" t="n">
        <v>124.78</v>
      </c>
      <c r="E89" s="4" t="inlineStr">
        <is>
          <t>29.06.2026</t>
        </is>
      </c>
      <c r="F89" s="4" t="inlineStr"/>
      <c r="G89" s="7" t="n">
        <v>26424</v>
      </c>
      <c r="H89" s="7" t="n">
        <v>23623.6</v>
      </c>
      <c r="I89" s="7" t="n">
        <v>11307.05</v>
      </c>
      <c r="J89" s="7" t="n">
        <v>50047.6</v>
      </c>
      <c r="K89" s="7" t="n">
        <v>11307.05</v>
      </c>
      <c r="L89" s="7" t="n">
        <v>38740.55</v>
      </c>
      <c r="M89" s="4" t="n">
        <v>24</v>
      </c>
      <c r="N89" s="7" t="n">
        <v>50047.6</v>
      </c>
      <c r="O89" s="4" t="inlineStr">
        <is>
          <t>05510</t>
        </is>
      </c>
      <c r="P89" s="4" t="inlineStr">
        <is>
          <t>7514.01</t>
        </is>
      </c>
    </row>
    <row r="90">
      <c r="A90" s="4" t="inlineStr">
        <is>
          <t>89</t>
        </is>
      </c>
      <c r="B90" s="5" t="inlineStr">
        <is>
          <t>13189854302</t>
        </is>
      </c>
      <c r="C90" s="29" t="inlineStr">
        <is>
          <t>OZAN BUĞA</t>
        </is>
      </c>
      <c r="D90" s="7" t="n">
        <v>186.7</v>
      </c>
      <c r="E90" s="4" t="inlineStr">
        <is>
          <t>06.06.2024</t>
        </is>
      </c>
      <c r="F90" s="4" t="inlineStr"/>
      <c r="G90" s="7" t="n">
        <v>49584.63</v>
      </c>
      <c r="H90" s="7" t="n">
        <v>2082.43</v>
      </c>
      <c r="I90" s="7" t="n">
        <v>11059.82</v>
      </c>
      <c r="J90" s="7" t="n">
        <v>51667.07</v>
      </c>
      <c r="K90" s="7" t="n">
        <v>11059.82</v>
      </c>
      <c r="L90" s="7" t="n">
        <v>40607.25</v>
      </c>
      <c r="M90" s="4" t="n">
        <v>28</v>
      </c>
      <c r="N90" s="7" t="n">
        <v>51667.07</v>
      </c>
      <c r="O90" s="4" t="inlineStr">
        <is>
          <t>16322</t>
        </is>
      </c>
      <c r="P90" s="4" t="inlineStr">
        <is>
          <t>7514.01</t>
        </is>
      </c>
    </row>
    <row r="91">
      <c r="A91" s="4" t="inlineStr">
        <is>
          <t>90</t>
        </is>
      </c>
      <c r="B91" s="5" t="inlineStr">
        <is>
          <t>13216853414</t>
        </is>
      </c>
      <c r="C91" s="29" t="inlineStr">
        <is>
          <t>MÜMİN BUĞA</t>
        </is>
      </c>
      <c r="D91" s="7" t="n">
        <v>30185</v>
      </c>
      <c r="E91" s="4" t="inlineStr">
        <is>
          <t>02.04.2023</t>
        </is>
      </c>
      <c r="F91" s="4" t="inlineStr"/>
      <c r="G91" s="7" t="n">
        <v>4350.99</v>
      </c>
      <c r="H91" s="7" t="n">
        <v>0</v>
      </c>
      <c r="I91" s="7" t="n">
        <v>326.32</v>
      </c>
      <c r="J91" s="7" t="n">
        <v>4350.99</v>
      </c>
      <c r="K91" s="7" t="n">
        <v>326.32</v>
      </c>
      <c r="L91" s="7" t="n">
        <v>4024.67</v>
      </c>
      <c r="M91" s="4" t="n">
        <v>4</v>
      </c>
      <c r="N91" s="7" t="n">
        <v>4404</v>
      </c>
      <c r="O91" s="4" t="inlineStr">
        <is>
          <t>00000</t>
        </is>
      </c>
      <c r="P91" s="4" t="inlineStr">
        <is>
          <t>7514.01</t>
        </is>
      </c>
    </row>
    <row r="92">
      <c r="A92" s="4" t="inlineStr">
        <is>
          <t>91</t>
        </is>
      </c>
      <c r="B92" s="5" t="inlineStr">
        <is>
          <t>13252843738</t>
        </is>
      </c>
      <c r="C92" s="29" t="inlineStr">
        <is>
          <t>TAYFUN TIĞRAK</t>
        </is>
      </c>
      <c r="D92" s="7" t="n">
        <v>30185</v>
      </c>
      <c r="E92" s="4" t="inlineStr">
        <is>
          <t>15.08.2025</t>
        </is>
      </c>
      <c r="F92" s="4" t="inlineStr"/>
      <c r="G92" s="7" t="n">
        <v>4350.99</v>
      </c>
      <c r="H92" s="7" t="n">
        <v>0</v>
      </c>
      <c r="I92" s="7" t="n">
        <v>326.32</v>
      </c>
      <c r="J92" s="7" t="n">
        <v>4350.99</v>
      </c>
      <c r="K92" s="7" t="n">
        <v>326.32</v>
      </c>
      <c r="L92" s="7" t="n">
        <v>4024.67</v>
      </c>
      <c r="M92" s="4" t="n">
        <v>4</v>
      </c>
      <c r="N92" s="7" t="n">
        <v>4404</v>
      </c>
      <c r="O92" s="4" t="inlineStr">
        <is>
          <t>00000</t>
        </is>
      </c>
      <c r="P92" s="4" t="inlineStr">
        <is>
          <t>3122.04</t>
        </is>
      </c>
    </row>
    <row r="93">
      <c r="A93" s="4" t="inlineStr">
        <is>
          <t>92</t>
        </is>
      </c>
      <c r="B93" s="5" t="inlineStr">
        <is>
          <t>13318692676</t>
        </is>
      </c>
      <c r="C93" s="29" t="inlineStr">
        <is>
          <t>NURGÜL PARLAS</t>
        </is>
      </c>
      <c r="D93" s="7" t="n">
        <v>124.78</v>
      </c>
      <c r="E93" s="4" t="inlineStr">
        <is>
          <t>23.06.2026</t>
        </is>
      </c>
      <c r="F93" s="4" t="inlineStr"/>
      <c r="G93" s="7" t="n">
        <v>26424</v>
      </c>
      <c r="H93" s="7" t="n">
        <v>146.8</v>
      </c>
      <c r="I93" s="7" t="n">
        <v>3985.62</v>
      </c>
      <c r="J93" s="7" t="n">
        <v>26570.8</v>
      </c>
      <c r="K93" s="7" t="n">
        <v>11485.62</v>
      </c>
      <c r="L93" s="7" t="n">
        <v>15085.18</v>
      </c>
      <c r="M93" s="4" t="n">
        <v>24</v>
      </c>
      <c r="N93" s="7" t="n">
        <v>26570.8</v>
      </c>
      <c r="O93" s="4" t="inlineStr">
        <is>
          <t>05510</t>
        </is>
      </c>
      <c r="P93" s="4" t="inlineStr">
        <is>
          <t>7514.01</t>
        </is>
      </c>
    </row>
    <row r="94">
      <c r="A94" s="4" t="inlineStr">
        <is>
          <t>93</t>
        </is>
      </c>
      <c r="B94" s="5" t="inlineStr">
        <is>
          <t>13420739290</t>
        </is>
      </c>
      <c r="C94" s="29" t="inlineStr">
        <is>
          <t>NURİ GÜLSER</t>
        </is>
      </c>
      <c r="D94" s="7" t="n">
        <v>30185</v>
      </c>
      <c r="E94" s="4" t="inlineStr">
        <is>
          <t>24.12.2019</t>
        </is>
      </c>
      <c r="F94" s="4" t="inlineStr"/>
      <c r="G94" s="7" t="n">
        <v>4350.99</v>
      </c>
      <c r="H94" s="7" t="n">
        <v>0</v>
      </c>
      <c r="I94" s="7" t="n">
        <v>326.32</v>
      </c>
      <c r="J94" s="7" t="n">
        <v>4350.99</v>
      </c>
      <c r="K94" s="7" t="n">
        <v>326.32</v>
      </c>
      <c r="L94" s="7" t="n">
        <v>4024.67</v>
      </c>
      <c r="M94" s="4" t="n">
        <v>4</v>
      </c>
      <c r="N94" s="7" t="n">
        <v>4404</v>
      </c>
      <c r="O94" s="4" t="inlineStr">
        <is>
          <t>00000</t>
        </is>
      </c>
      <c r="P94" s="4" t="inlineStr">
        <is>
          <t>4321.29</t>
        </is>
      </c>
    </row>
    <row r="95">
      <c r="A95" s="4" t="inlineStr">
        <is>
          <t>94</t>
        </is>
      </c>
      <c r="B95" s="5" t="inlineStr">
        <is>
          <t>13498698468</t>
        </is>
      </c>
      <c r="C95" s="29" t="inlineStr">
        <is>
          <t>SEVGİ AYCAN</t>
        </is>
      </c>
      <c r="D95" s="7" t="n">
        <v>146.6</v>
      </c>
      <c r="E95" s="4" t="inlineStr">
        <is>
          <t>23.05.2025</t>
        </is>
      </c>
      <c r="F95" s="4" t="inlineStr"/>
      <c r="G95" s="7" t="n">
        <v>11641.76</v>
      </c>
      <c r="H95" s="7" t="n">
        <v>172.47</v>
      </c>
      <c r="I95" s="7" t="n">
        <v>1772.14</v>
      </c>
      <c r="J95" s="7" t="n">
        <v>11814.24</v>
      </c>
      <c r="K95" s="7" t="n">
        <v>1772.14</v>
      </c>
      <c r="L95" s="7" t="n">
        <v>10042.1</v>
      </c>
      <c r="M95" s="4" t="n">
        <v>9</v>
      </c>
      <c r="N95" s="7" t="n">
        <v>11814.24</v>
      </c>
      <c r="O95" s="4" t="inlineStr">
        <is>
          <t>05510</t>
        </is>
      </c>
      <c r="P95" s="4" t="inlineStr">
        <is>
          <t>7514.01</t>
        </is>
      </c>
    </row>
    <row r="96">
      <c r="A96" s="4" t="inlineStr">
        <is>
          <t>95</t>
        </is>
      </c>
      <c r="B96" s="5" t="inlineStr">
        <is>
          <t>13543834438</t>
        </is>
      </c>
      <c r="C96" s="29" t="inlineStr">
        <is>
          <t>AYSEL ÇETİNTAŞ</t>
        </is>
      </c>
      <c r="D96" s="7" t="n">
        <v>124.78</v>
      </c>
      <c r="E96" s="4" t="inlineStr">
        <is>
          <t>01.07.2026</t>
        </is>
      </c>
      <c r="F96" s="4" t="inlineStr"/>
      <c r="G96" s="7" t="n">
        <v>28626</v>
      </c>
      <c r="H96" s="7" t="n">
        <v>19938.01</v>
      </c>
      <c r="I96" s="7" t="n">
        <v>10839.09</v>
      </c>
      <c r="J96" s="7" t="n">
        <v>48564.01</v>
      </c>
      <c r="K96" s="7" t="n">
        <v>16939.09</v>
      </c>
      <c r="L96" s="7" t="n">
        <v>31624.92</v>
      </c>
      <c r="M96" s="4" t="n">
        <v>26</v>
      </c>
      <c r="N96" s="7" t="n">
        <v>48564.01</v>
      </c>
      <c r="O96" s="4" t="inlineStr">
        <is>
          <t>05510</t>
        </is>
      </c>
      <c r="P96" s="4" t="inlineStr">
        <is>
          <t>7514.01</t>
        </is>
      </c>
    </row>
    <row r="97">
      <c r="A97" s="4" t="inlineStr">
        <is>
          <t>96</t>
        </is>
      </c>
      <c r="B97" s="5" t="inlineStr">
        <is>
          <t>13633830906</t>
        </is>
      </c>
      <c r="C97" s="29" t="inlineStr">
        <is>
          <t>TANJU GÜN</t>
        </is>
      </c>
      <c r="D97" s="7" t="n">
        <v>124.78</v>
      </c>
      <c r="E97" s="4" t="inlineStr">
        <is>
          <t>27.07.2026</t>
        </is>
      </c>
      <c r="F97" s="4" t="inlineStr"/>
      <c r="G97" s="7" t="n">
        <v>0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0</v>
      </c>
      <c r="M97" s="4" t="n">
        <v>0</v>
      </c>
      <c r="N97" s="7" t="n">
        <v>0</v>
      </c>
      <c r="O97" s="4" t="inlineStr">
        <is>
          <t>05510</t>
        </is>
      </c>
      <c r="P97" s="4" t="inlineStr">
        <is>
          <t>7514.01</t>
        </is>
      </c>
    </row>
    <row r="98">
      <c r="A98" s="4" t="inlineStr">
        <is>
          <t>97</t>
        </is>
      </c>
      <c r="B98" s="5" t="inlineStr">
        <is>
          <t>13690830932</t>
        </is>
      </c>
      <c r="C98" s="29" t="inlineStr">
        <is>
          <t>DOĞUKAN GÜN</t>
        </is>
      </c>
      <c r="D98" s="7" t="n">
        <v>124.78</v>
      </c>
      <c r="E98" s="4" t="inlineStr">
        <is>
          <t>26.07.2026</t>
        </is>
      </c>
      <c r="F98" s="4" t="inlineStr"/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4" t="n">
        <v>0</v>
      </c>
      <c r="N98" s="7" t="n">
        <v>0</v>
      </c>
      <c r="O98" s="4" t="inlineStr">
        <is>
          <t>05510</t>
        </is>
      </c>
      <c r="P98" s="4" t="inlineStr">
        <is>
          <t>7514.01</t>
        </is>
      </c>
    </row>
    <row r="99">
      <c r="A99" s="4" t="inlineStr">
        <is>
          <t>98</t>
        </is>
      </c>
      <c r="B99" s="5" t="inlineStr">
        <is>
          <t>13696829374</t>
        </is>
      </c>
      <c r="C99" s="29" t="inlineStr">
        <is>
          <t>SERPİL İİPEK</t>
        </is>
      </c>
      <c r="D99" s="7" t="n">
        <v>124.78</v>
      </c>
      <c r="E99" s="4" t="inlineStr">
        <is>
          <t>21.08.2026</t>
        </is>
      </c>
      <c r="F99" s="4" t="inlineStr"/>
      <c r="G99" s="7" t="n">
        <v>8808</v>
      </c>
      <c r="H99" s="7" t="n">
        <v>0</v>
      </c>
      <c r="I99" s="7" t="n">
        <v>1585.2</v>
      </c>
      <c r="J99" s="7" t="n">
        <v>8808</v>
      </c>
      <c r="K99" s="7" t="n">
        <v>1585.2</v>
      </c>
      <c r="L99" s="7" t="n">
        <v>7222.8</v>
      </c>
      <c r="M99" s="4" t="n">
        <v>8</v>
      </c>
      <c r="N99" s="7" t="n">
        <v>8808</v>
      </c>
      <c r="O99" s="4" t="inlineStr">
        <is>
          <t>05510</t>
        </is>
      </c>
      <c r="P99" s="4" t="inlineStr">
        <is>
          <t>7514.01</t>
        </is>
      </c>
    </row>
    <row r="100">
      <c r="A100" s="4" t="inlineStr">
        <is>
          <t>99</t>
        </is>
      </c>
      <c r="B100" s="5" t="inlineStr">
        <is>
          <t>13708835836</t>
        </is>
      </c>
      <c r="C100" s="29" t="inlineStr">
        <is>
          <t>HAMİT GİRGİN</t>
        </is>
      </c>
      <c r="D100" s="7" t="n">
        <v>146.6</v>
      </c>
      <c r="E100" s="4" t="inlineStr">
        <is>
          <t>01.07.2026</t>
        </is>
      </c>
      <c r="F100" s="4" t="inlineStr"/>
      <c r="G100" s="7" t="n">
        <v>10348.24</v>
      </c>
      <c r="H100" s="7" t="n">
        <v>2155.88</v>
      </c>
      <c r="I100" s="7" t="n">
        <v>2250.62</v>
      </c>
      <c r="J100" s="7" t="n">
        <v>12504.12</v>
      </c>
      <c r="K100" s="7" t="n">
        <v>4450.62</v>
      </c>
      <c r="L100" s="7" t="n">
        <v>8053.5</v>
      </c>
      <c r="M100" s="4" t="n">
        <v>8</v>
      </c>
      <c r="N100" s="7" t="n">
        <v>12504.12</v>
      </c>
      <c r="O100" s="4" t="inlineStr">
        <is>
          <t>05510</t>
        </is>
      </c>
      <c r="P100" s="4" t="inlineStr">
        <is>
          <t>7514.01</t>
        </is>
      </c>
    </row>
    <row r="101">
      <c r="A101" s="4" t="inlineStr">
        <is>
          <t>100</t>
        </is>
      </c>
      <c r="B101" s="5" t="inlineStr">
        <is>
          <t>13711835762</t>
        </is>
      </c>
      <c r="C101" s="29" t="inlineStr">
        <is>
          <t>KADER GİRGİN</t>
        </is>
      </c>
      <c r="D101" s="7" t="n">
        <v>146.6</v>
      </c>
      <c r="E101" s="4" t="inlineStr">
        <is>
          <t>08.05.2026</t>
        </is>
      </c>
      <c r="F101" s="4" t="inlineStr"/>
      <c r="G101" s="7" t="n">
        <v>1293.53</v>
      </c>
      <c r="H101" s="7" t="n">
        <v>0</v>
      </c>
      <c r="I101" s="7" t="n">
        <v>194.03</v>
      </c>
      <c r="J101" s="7" t="n">
        <v>1293.53</v>
      </c>
      <c r="K101" s="7" t="n">
        <v>544.03</v>
      </c>
      <c r="L101" s="7" t="n">
        <v>749.5</v>
      </c>
      <c r="M101" s="4" t="n">
        <v>1</v>
      </c>
      <c r="N101" s="7" t="n">
        <v>1293.53</v>
      </c>
      <c r="O101" s="4" t="inlineStr">
        <is>
          <t>05510</t>
        </is>
      </c>
      <c r="P101" s="4" t="inlineStr">
        <is>
          <t>7514.01</t>
        </is>
      </c>
    </row>
    <row r="102">
      <c r="A102" s="4" t="inlineStr">
        <is>
          <t>101</t>
        </is>
      </c>
      <c r="B102" s="5" t="inlineStr">
        <is>
          <t>13720827796</t>
        </is>
      </c>
      <c r="C102" s="29" t="inlineStr">
        <is>
          <t>ŞADİ BAŞARICI</t>
        </is>
      </c>
      <c r="D102" s="7" t="n">
        <v>186.7</v>
      </c>
      <c r="E102" s="4" t="inlineStr">
        <is>
          <t>14.06.2023</t>
        </is>
      </c>
      <c r="F102" s="4" t="inlineStr"/>
      <c r="G102" s="7" t="n">
        <v>51667.07</v>
      </c>
      <c r="H102" s="7" t="n">
        <v>8052.08</v>
      </c>
      <c r="I102" s="7" t="n">
        <v>13697.6</v>
      </c>
      <c r="J102" s="7" t="n">
        <v>59719.15</v>
      </c>
      <c r="K102" s="7" t="n">
        <v>13697.6</v>
      </c>
      <c r="L102" s="7" t="n">
        <v>46021.55</v>
      </c>
      <c r="M102" s="4" t="n">
        <v>29</v>
      </c>
      <c r="N102" s="7" t="n">
        <v>59719.15</v>
      </c>
      <c r="O102" s="4" t="inlineStr">
        <is>
          <t>16322</t>
        </is>
      </c>
      <c r="P102" s="4" t="inlineStr">
        <is>
          <t>7514.01</t>
        </is>
      </c>
    </row>
    <row r="103">
      <c r="A103" s="4" t="inlineStr">
        <is>
          <t>102</t>
        </is>
      </c>
      <c r="B103" s="5" t="inlineStr">
        <is>
          <t>13741828666</t>
        </is>
      </c>
      <c r="C103" s="29" t="inlineStr">
        <is>
          <t>BEYZA YAĞMUR HAN</t>
        </is>
      </c>
      <c r="D103" s="7" t="n">
        <v>124.78</v>
      </c>
      <c r="E103" s="4" t="inlineStr">
        <is>
          <t>15.07.2026</t>
        </is>
      </c>
      <c r="F103" s="4" t="inlineStr"/>
      <c r="G103" s="7" t="n">
        <v>15414</v>
      </c>
      <c r="H103" s="7" t="n">
        <v>12257.8</v>
      </c>
      <c r="I103" s="7" t="n">
        <v>4980.77</v>
      </c>
      <c r="J103" s="7" t="n">
        <v>27671.8</v>
      </c>
      <c r="K103" s="7" t="n">
        <v>4980.77</v>
      </c>
      <c r="L103" s="7" t="n">
        <v>22691.03</v>
      </c>
      <c r="M103" s="4" t="n">
        <v>14</v>
      </c>
      <c r="N103" s="7" t="n">
        <v>27671.8</v>
      </c>
      <c r="O103" s="4" t="inlineStr">
        <is>
          <t>05510</t>
        </is>
      </c>
      <c r="P103" s="4" t="inlineStr">
        <is>
          <t>7514.01</t>
        </is>
      </c>
    </row>
    <row r="104">
      <c r="A104" s="4" t="inlineStr">
        <is>
          <t>103</t>
        </is>
      </c>
      <c r="B104" s="5" t="inlineStr">
        <is>
          <t>13784962808</t>
        </is>
      </c>
      <c r="C104" s="29" t="inlineStr">
        <is>
          <t>FATMA KEÇECİOĞLU</t>
        </is>
      </c>
      <c r="D104" s="7" t="n">
        <v>124.78</v>
      </c>
      <c r="E104" s="4" t="inlineStr">
        <is>
          <t>08.07.2026</t>
        </is>
      </c>
      <c r="F104" s="4" t="inlineStr"/>
      <c r="G104" s="7" t="n">
        <v>12111</v>
      </c>
      <c r="H104" s="7" t="n">
        <v>12478</v>
      </c>
      <c r="I104" s="7" t="n">
        <v>4425.35</v>
      </c>
      <c r="J104" s="7" t="n">
        <v>24589</v>
      </c>
      <c r="K104" s="7" t="n">
        <v>4425.35</v>
      </c>
      <c r="L104" s="7" t="n">
        <v>20163.65</v>
      </c>
      <c r="M104" s="4" t="n">
        <v>11</v>
      </c>
      <c r="N104" s="7" t="n">
        <v>24589</v>
      </c>
      <c r="O104" s="4" t="inlineStr">
        <is>
          <t>05510</t>
        </is>
      </c>
      <c r="P104" s="4" t="inlineStr">
        <is>
          <t>7514.01</t>
        </is>
      </c>
    </row>
    <row r="105">
      <c r="A105" s="4" t="inlineStr">
        <is>
          <t>104</t>
        </is>
      </c>
      <c r="B105" s="5" t="inlineStr">
        <is>
          <t>13813826170</t>
        </is>
      </c>
      <c r="C105" s="29" t="inlineStr">
        <is>
          <t>GÜNEŞ POLAT</t>
        </is>
      </c>
      <c r="D105" s="7" t="n">
        <v>0</v>
      </c>
      <c r="E105" s="4" t="inlineStr">
        <is>
          <t>26.07.2026</t>
        </is>
      </c>
      <c r="F105" s="4" t="inlineStr"/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4" t="n">
        <v>0</v>
      </c>
      <c r="N105" s="7" t="n">
        <v>0</v>
      </c>
      <c r="O105" s="4" t="inlineStr">
        <is>
          <t>05510</t>
        </is>
      </c>
      <c r="P105" s="4" t="inlineStr">
        <is>
          <t>7514.01</t>
        </is>
      </c>
    </row>
    <row r="106">
      <c r="A106" s="4" t="inlineStr">
        <is>
          <t>105</t>
        </is>
      </c>
      <c r="B106" s="5" t="inlineStr">
        <is>
          <t>13876724772</t>
        </is>
      </c>
      <c r="C106" s="29" t="inlineStr">
        <is>
          <t>MEHMET KARTAL</t>
        </is>
      </c>
      <c r="D106" s="7" t="n">
        <v>30185</v>
      </c>
      <c r="E106" s="4" t="inlineStr">
        <is>
          <t>08.10.2025</t>
        </is>
      </c>
      <c r="F106" s="4" t="inlineStr"/>
      <c r="G106" s="7" t="n">
        <v>4350.99</v>
      </c>
      <c r="H106" s="7" t="n">
        <v>0</v>
      </c>
      <c r="I106" s="7" t="n">
        <v>326.32</v>
      </c>
      <c r="J106" s="7" t="n">
        <v>4350.99</v>
      </c>
      <c r="K106" s="7" t="n">
        <v>326.32</v>
      </c>
      <c r="L106" s="7" t="n">
        <v>4024.67</v>
      </c>
      <c r="M106" s="4" t="n">
        <v>4</v>
      </c>
      <c r="N106" s="7" t="n">
        <v>4404</v>
      </c>
      <c r="O106" s="4" t="inlineStr">
        <is>
          <t>00000</t>
        </is>
      </c>
      <c r="P106" s="4" t="inlineStr">
        <is>
          <t>7514.01</t>
        </is>
      </c>
    </row>
    <row r="107">
      <c r="A107" s="4" t="inlineStr">
        <is>
          <t>106</t>
        </is>
      </c>
      <c r="B107" s="5" t="inlineStr">
        <is>
          <t>14047825472</t>
        </is>
      </c>
      <c r="C107" s="29" t="inlineStr">
        <is>
          <t>ZELİHA ORUÇ</t>
        </is>
      </c>
      <c r="D107" s="7" t="n">
        <v>146.6</v>
      </c>
      <c r="E107" s="4" t="inlineStr">
        <is>
          <t>08.05.2026</t>
        </is>
      </c>
      <c r="F107" s="4" t="inlineStr"/>
      <c r="G107" s="7" t="n">
        <v>38359.34</v>
      </c>
      <c r="H107" s="7" t="n">
        <v>307.59</v>
      </c>
      <c r="I107" s="7" t="n">
        <v>6561.53</v>
      </c>
      <c r="J107" s="7" t="n">
        <v>38666.93</v>
      </c>
      <c r="K107" s="7" t="n">
        <v>6561.53</v>
      </c>
      <c r="L107" s="7" t="n">
        <v>32105.4</v>
      </c>
      <c r="M107" s="4" t="n">
        <v>29</v>
      </c>
      <c r="N107" s="7" t="n">
        <v>38666.93</v>
      </c>
      <c r="O107" s="4" t="inlineStr">
        <is>
          <t>05510</t>
        </is>
      </c>
      <c r="P107" s="4" t="inlineStr">
        <is>
          <t>7514.01</t>
        </is>
      </c>
    </row>
    <row r="108">
      <c r="A108" s="4" t="inlineStr">
        <is>
          <t>107</t>
        </is>
      </c>
      <c r="B108" s="5" t="inlineStr">
        <is>
          <t>14066951282</t>
        </is>
      </c>
      <c r="C108" s="29" t="inlineStr">
        <is>
          <t>SALİH DAĞ</t>
        </is>
      </c>
      <c r="D108" s="7" t="n">
        <v>124.78</v>
      </c>
      <c r="E108" s="4" t="inlineStr">
        <is>
          <t>17.07.2026</t>
        </is>
      </c>
      <c r="F108" s="4" t="inlineStr"/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0</v>
      </c>
      <c r="M108" s="4" t="n">
        <v>0</v>
      </c>
      <c r="N108" s="7" t="n">
        <v>0</v>
      </c>
      <c r="O108" s="4" t="inlineStr">
        <is>
          <t>05510</t>
        </is>
      </c>
      <c r="P108" s="4" t="inlineStr">
        <is>
          <t>7514.01</t>
        </is>
      </c>
    </row>
    <row r="109">
      <c r="A109" s="4" t="inlineStr">
        <is>
          <t>108</t>
        </is>
      </c>
      <c r="B109" s="5" t="inlineStr">
        <is>
          <t>14164714154</t>
        </is>
      </c>
      <c r="C109" s="29" t="inlineStr">
        <is>
          <t>SARA EROĞLU</t>
        </is>
      </c>
      <c r="D109" s="7" t="n">
        <v>124.78</v>
      </c>
      <c r="E109" s="4" t="inlineStr">
        <is>
          <t>20.08.2022</t>
        </is>
      </c>
      <c r="F109" s="4" t="inlineStr"/>
      <c r="G109" s="7" t="n">
        <v>29727</v>
      </c>
      <c r="H109" s="7" t="n">
        <v>880.8</v>
      </c>
      <c r="I109" s="7" t="n">
        <v>4591.17</v>
      </c>
      <c r="J109" s="7" t="n">
        <v>30607.8</v>
      </c>
      <c r="K109" s="7" t="n">
        <v>4591.17</v>
      </c>
      <c r="L109" s="7" t="n">
        <v>26016.63</v>
      </c>
      <c r="M109" s="4" t="n">
        <v>27</v>
      </c>
      <c r="N109" s="7" t="n">
        <v>30607.8</v>
      </c>
      <c r="O109" s="4" t="inlineStr">
        <is>
          <t>16322</t>
        </is>
      </c>
      <c r="P109" s="4" t="inlineStr">
        <is>
          <t>7514.01</t>
        </is>
      </c>
    </row>
    <row r="110">
      <c r="A110" s="4" t="inlineStr">
        <is>
          <t>109</t>
        </is>
      </c>
      <c r="B110" s="5" t="inlineStr">
        <is>
          <t>14170472208</t>
        </is>
      </c>
      <c r="C110" s="29" t="inlineStr">
        <is>
          <t>RESİME AKYILDIRIM</t>
        </is>
      </c>
      <c r="D110" s="7" t="n">
        <v>124.78</v>
      </c>
      <c r="E110" s="4" t="inlineStr">
        <is>
          <t>06.07.2026</t>
        </is>
      </c>
      <c r="F110" s="4" t="inlineStr"/>
      <c r="G110" s="7" t="n">
        <v>1101</v>
      </c>
      <c r="H110" s="7" t="n">
        <v>1247.8</v>
      </c>
      <c r="I110" s="7" t="n">
        <v>422.32</v>
      </c>
      <c r="J110" s="7" t="n">
        <v>2348.8</v>
      </c>
      <c r="K110" s="7" t="n">
        <v>422.32</v>
      </c>
      <c r="L110" s="7" t="n">
        <v>1926.48</v>
      </c>
      <c r="M110" s="4" t="n">
        <v>1</v>
      </c>
      <c r="N110" s="7" t="n">
        <v>2348.8</v>
      </c>
      <c r="O110" s="4" t="inlineStr">
        <is>
          <t>05510</t>
        </is>
      </c>
      <c r="P110" s="4" t="inlineStr">
        <is>
          <t>7514.01</t>
        </is>
      </c>
    </row>
    <row r="111">
      <c r="A111" s="4" t="inlineStr">
        <is>
          <t>110</t>
        </is>
      </c>
      <c r="B111" s="5" t="inlineStr">
        <is>
          <t>14191471570</t>
        </is>
      </c>
      <c r="C111" s="29" t="inlineStr">
        <is>
          <t>RUKİYE GÜNER</t>
        </is>
      </c>
      <c r="D111" s="7" t="n">
        <v>124.78</v>
      </c>
      <c r="E111" s="4" t="inlineStr">
        <is>
          <t>06.07.2026</t>
        </is>
      </c>
      <c r="F111" s="4" t="inlineStr"/>
      <c r="G111" s="7" t="n">
        <v>4404</v>
      </c>
      <c r="H111" s="7" t="n">
        <v>3743.4</v>
      </c>
      <c r="I111" s="7" t="n">
        <v>1466.11</v>
      </c>
      <c r="J111" s="7" t="n">
        <v>8147.4</v>
      </c>
      <c r="K111" s="7" t="n">
        <v>1466.11</v>
      </c>
      <c r="L111" s="7" t="n">
        <v>6681.29</v>
      </c>
      <c r="M111" s="4" t="n">
        <v>4</v>
      </c>
      <c r="N111" s="7" t="n">
        <v>8147.4</v>
      </c>
      <c r="O111" s="4" t="inlineStr">
        <is>
          <t>05510</t>
        </is>
      </c>
      <c r="P111" s="4" t="inlineStr">
        <is>
          <t>7514.01</t>
        </is>
      </c>
    </row>
    <row r="112">
      <c r="A112" s="4" t="inlineStr">
        <is>
          <t>111</t>
        </is>
      </c>
      <c r="B112" s="5" t="inlineStr">
        <is>
          <t>14239810682</t>
        </is>
      </c>
      <c r="C112" s="29" t="inlineStr">
        <is>
          <t>YELİZ ÇALIBAŞI</t>
        </is>
      </c>
      <c r="D112" s="7" t="n">
        <v>124.78</v>
      </c>
      <c r="E112" s="4" t="inlineStr">
        <is>
          <t>02.07.2026</t>
        </is>
      </c>
      <c r="F112" s="4" t="inlineStr"/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0</v>
      </c>
      <c r="M112" s="4" t="n">
        <v>0</v>
      </c>
      <c r="N112" s="7" t="n">
        <v>0</v>
      </c>
      <c r="O112" s="4" t="inlineStr">
        <is>
          <t>05510</t>
        </is>
      </c>
      <c r="P112" s="4" t="inlineStr">
        <is>
          <t>7514.01</t>
        </is>
      </c>
    </row>
    <row r="113">
      <c r="A113" s="4" t="inlineStr">
        <is>
          <t>112</t>
        </is>
      </c>
      <c r="B113" s="5" t="inlineStr">
        <is>
          <t>14266711334</t>
        </is>
      </c>
      <c r="C113" s="29" t="inlineStr">
        <is>
          <t>EFRAİM DUMAN</t>
        </is>
      </c>
      <c r="D113" s="7" t="n">
        <v>30185</v>
      </c>
      <c r="E113" s="4" t="inlineStr">
        <is>
          <t>06.05.2023</t>
        </is>
      </c>
      <c r="F113" s="4" t="inlineStr"/>
      <c r="G113" s="7" t="n">
        <v>4350.99</v>
      </c>
      <c r="H113" s="7" t="n">
        <v>0</v>
      </c>
      <c r="I113" s="7" t="n">
        <v>326.32</v>
      </c>
      <c r="J113" s="7" t="n">
        <v>4350.99</v>
      </c>
      <c r="K113" s="7" t="n">
        <v>326.32</v>
      </c>
      <c r="L113" s="7" t="n">
        <v>4024.67</v>
      </c>
      <c r="M113" s="4" t="n">
        <v>4</v>
      </c>
      <c r="N113" s="7" t="n">
        <v>4404</v>
      </c>
      <c r="O113" s="4" t="inlineStr">
        <is>
          <t>00000</t>
        </is>
      </c>
      <c r="P113" s="4" t="inlineStr">
        <is>
          <t>8344.02</t>
        </is>
      </c>
    </row>
    <row r="114">
      <c r="A114" s="4" t="inlineStr">
        <is>
          <t>113</t>
        </is>
      </c>
      <c r="B114" s="5" t="inlineStr">
        <is>
          <t>14296809650</t>
        </is>
      </c>
      <c r="C114" s="29" t="inlineStr">
        <is>
          <t>NESRİN KAR</t>
        </is>
      </c>
      <c r="D114" s="7" t="n">
        <v>30185</v>
      </c>
      <c r="E114" s="4" t="inlineStr">
        <is>
          <t>16.07.2026</t>
        </is>
      </c>
      <c r="F114" s="4" t="inlineStr">
        <is>
          <t>14.08.2026</t>
        </is>
      </c>
      <c r="G114" s="7" t="n">
        <v>4350.99</v>
      </c>
      <c r="H114" s="7" t="n">
        <v>0</v>
      </c>
      <c r="I114" s="7" t="n">
        <v>326.32</v>
      </c>
      <c r="J114" s="7" t="n">
        <v>4350.99</v>
      </c>
      <c r="K114" s="7" t="n">
        <v>326.32</v>
      </c>
      <c r="L114" s="7" t="n">
        <v>4024.67</v>
      </c>
      <c r="M114" s="4" t="n">
        <v>4</v>
      </c>
      <c r="N114" s="7" t="n">
        <v>4404</v>
      </c>
      <c r="O114" s="4" t="inlineStr">
        <is>
          <t>00000</t>
        </is>
      </c>
      <c r="P114" s="4" t="inlineStr">
        <is>
          <t>7514.01</t>
        </is>
      </c>
    </row>
    <row r="115">
      <c r="A115" s="4" t="inlineStr">
        <is>
          <t>114</t>
        </is>
      </c>
      <c r="B115" s="5" t="inlineStr">
        <is>
          <t>14452686422</t>
        </is>
      </c>
      <c r="C115" s="29" t="inlineStr">
        <is>
          <t>NESRİN GÜZEL</t>
        </is>
      </c>
      <c r="D115" s="7" t="n">
        <v>146.6</v>
      </c>
      <c r="E115" s="4" t="inlineStr">
        <is>
          <t>27.06.2025</t>
        </is>
      </c>
      <c r="F115" s="4" t="inlineStr"/>
      <c r="G115" s="7" t="n">
        <v>41848.15</v>
      </c>
      <c r="H115" s="7" t="n">
        <v>763.08</v>
      </c>
      <c r="I115" s="7" t="n">
        <v>8013.63</v>
      </c>
      <c r="J115" s="7" t="n">
        <v>42611.23</v>
      </c>
      <c r="K115" s="7" t="n">
        <v>8013.63</v>
      </c>
      <c r="L115" s="7" t="n">
        <v>34597.6</v>
      </c>
      <c r="M115" s="4" t="n">
        <v>30</v>
      </c>
      <c r="N115" s="7" t="n">
        <v>42611.23</v>
      </c>
      <c r="O115" s="4" t="inlineStr">
        <is>
          <t>05510</t>
        </is>
      </c>
      <c r="P115" s="4" t="inlineStr">
        <is>
          <t>7514.01</t>
        </is>
      </c>
    </row>
    <row r="116">
      <c r="A116" s="4" t="inlineStr">
        <is>
          <t>115</t>
        </is>
      </c>
      <c r="B116" s="5" t="inlineStr">
        <is>
          <t>14453001996</t>
        </is>
      </c>
      <c r="C116" s="29" t="inlineStr">
        <is>
          <t>ERSİN YAVUZ</t>
        </is>
      </c>
      <c r="D116" s="7" t="n">
        <v>146.6</v>
      </c>
      <c r="E116" s="4" t="inlineStr">
        <is>
          <t>03.07.2026</t>
        </is>
      </c>
      <c r="F116" s="4" t="inlineStr"/>
      <c r="G116" s="7" t="n">
        <v>11641.76</v>
      </c>
      <c r="H116" s="7" t="n">
        <v>8968.469999999999</v>
      </c>
      <c r="I116" s="7" t="n">
        <v>3709.54</v>
      </c>
      <c r="J116" s="7" t="n">
        <v>20610.23</v>
      </c>
      <c r="K116" s="7" t="n">
        <v>6209.54</v>
      </c>
      <c r="L116" s="7" t="n">
        <v>14400.7</v>
      </c>
      <c r="M116" s="4" t="n">
        <v>9</v>
      </c>
      <c r="N116" s="7" t="n">
        <v>20610.23</v>
      </c>
      <c r="O116" s="4" t="inlineStr">
        <is>
          <t>05510</t>
        </is>
      </c>
      <c r="P116" s="4" t="inlineStr">
        <is>
          <t>7514.01</t>
        </is>
      </c>
    </row>
    <row r="117">
      <c r="A117" s="4" t="inlineStr">
        <is>
          <t>116</t>
        </is>
      </c>
      <c r="B117" s="5" t="inlineStr">
        <is>
          <t>14578799594</t>
        </is>
      </c>
      <c r="C117" s="29" t="inlineStr">
        <is>
          <t>SEZER YAĞMUR</t>
        </is>
      </c>
      <c r="D117" s="7" t="n">
        <v>124.78</v>
      </c>
      <c r="E117" s="4" t="inlineStr">
        <is>
          <t>21.08.2026</t>
        </is>
      </c>
      <c r="F117" s="4" t="inlineStr"/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4" t="n">
        <v>0</v>
      </c>
      <c r="N117" s="7" t="n">
        <v>0</v>
      </c>
      <c r="O117" s="4" t="inlineStr">
        <is>
          <t>05510</t>
        </is>
      </c>
      <c r="P117" s="4" t="inlineStr">
        <is>
          <t>7514.01</t>
        </is>
      </c>
    </row>
    <row r="118">
      <c r="A118" s="4" t="inlineStr">
        <is>
          <t>117</t>
        </is>
      </c>
      <c r="B118" s="5" t="inlineStr">
        <is>
          <t>14608798856</t>
        </is>
      </c>
      <c r="C118" s="29" t="inlineStr">
        <is>
          <t>HANDE BAYHAN</t>
        </is>
      </c>
      <c r="D118" s="7" t="n">
        <v>124.78</v>
      </c>
      <c r="E118" s="4" t="inlineStr">
        <is>
          <t>06.08.2026</t>
        </is>
      </c>
      <c r="F118" s="4" t="inlineStr"/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4" t="n">
        <v>0</v>
      </c>
      <c r="N118" s="7" t="n">
        <v>0</v>
      </c>
      <c r="O118" s="4" t="inlineStr">
        <is>
          <t>05510</t>
        </is>
      </c>
      <c r="P118" s="4" t="inlineStr">
        <is>
          <t>7514.01</t>
        </is>
      </c>
    </row>
    <row r="119">
      <c r="A119" s="4" t="inlineStr">
        <is>
          <t>118</t>
        </is>
      </c>
      <c r="B119" s="5" t="inlineStr">
        <is>
          <t>14644681464</t>
        </is>
      </c>
      <c r="C119" s="29" t="inlineStr">
        <is>
          <t>HANİFE SAYGI</t>
        </is>
      </c>
      <c r="D119" s="7" t="n">
        <v>124.78</v>
      </c>
      <c r="E119" s="4" t="inlineStr">
        <is>
          <t>09.10.2025</t>
        </is>
      </c>
      <c r="F119" s="4" t="inlineStr"/>
      <c r="G119" s="7" t="n">
        <v>5505</v>
      </c>
      <c r="H119" s="7" t="n">
        <v>0</v>
      </c>
      <c r="I119" s="7" t="n">
        <v>990.75</v>
      </c>
      <c r="J119" s="7" t="n">
        <v>5505</v>
      </c>
      <c r="K119" s="7" t="n">
        <v>990.75</v>
      </c>
      <c r="L119" s="7" t="n">
        <v>4514.25</v>
      </c>
      <c r="M119" s="4" t="n">
        <v>5</v>
      </c>
      <c r="N119" s="7" t="n">
        <v>5505</v>
      </c>
      <c r="O119" s="4" t="inlineStr">
        <is>
          <t>05510</t>
        </is>
      </c>
      <c r="P119" s="4" t="inlineStr">
        <is>
          <t>7514.01</t>
        </is>
      </c>
    </row>
    <row r="120">
      <c r="A120" s="4" t="inlineStr">
        <is>
          <t>119</t>
        </is>
      </c>
      <c r="B120" s="5" t="inlineStr">
        <is>
          <t>14668797738</t>
        </is>
      </c>
      <c r="C120" s="29" t="inlineStr">
        <is>
          <t>MİNE ÜRGÜN</t>
        </is>
      </c>
      <c r="D120" s="7" t="n">
        <v>124.78</v>
      </c>
      <c r="E120" s="4" t="inlineStr">
        <is>
          <t>08.07.2026</t>
        </is>
      </c>
      <c r="F120" s="4" t="inlineStr"/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0</v>
      </c>
      <c r="M120" s="4" t="n">
        <v>0</v>
      </c>
      <c r="N120" s="7" t="n">
        <v>0</v>
      </c>
      <c r="O120" s="4" t="inlineStr">
        <is>
          <t>05510</t>
        </is>
      </c>
      <c r="P120" s="4" t="inlineStr">
        <is>
          <t>7514.01</t>
        </is>
      </c>
    </row>
    <row r="121">
      <c r="A121" s="4" t="inlineStr">
        <is>
          <t>120</t>
        </is>
      </c>
      <c r="B121" s="5" t="inlineStr">
        <is>
          <t>14701796544</t>
        </is>
      </c>
      <c r="C121" s="29" t="inlineStr">
        <is>
          <t>YUSUF SAMAR</t>
        </is>
      </c>
      <c r="D121" s="7" t="n">
        <v>177.8</v>
      </c>
      <c r="E121" s="4" t="inlineStr">
        <is>
          <t>15.12.2025</t>
        </is>
      </c>
      <c r="F121" s="4" t="inlineStr"/>
      <c r="G121" s="7" t="n">
        <v>46805.08</v>
      </c>
      <c r="H121" s="7" t="n">
        <v>132.21</v>
      </c>
      <c r="I121" s="7" t="n">
        <v>9510.389999999999</v>
      </c>
      <c r="J121" s="7" t="n">
        <v>46937.29</v>
      </c>
      <c r="K121" s="7" t="n">
        <v>9510.389999999999</v>
      </c>
      <c r="L121" s="7" t="n">
        <v>37426.9</v>
      </c>
      <c r="M121" s="4" t="n">
        <v>28</v>
      </c>
      <c r="N121" s="7" t="n">
        <v>46937.29</v>
      </c>
      <c r="O121" s="4" t="inlineStr">
        <is>
          <t>05510</t>
        </is>
      </c>
      <c r="P121" s="4" t="inlineStr">
        <is>
          <t>3313.01</t>
        </is>
      </c>
    </row>
    <row r="122">
      <c r="A122" s="4" t="inlineStr">
        <is>
          <t>121</t>
        </is>
      </c>
      <c r="B122" s="5" t="inlineStr">
        <is>
          <t>14725695762</t>
        </is>
      </c>
      <c r="C122" s="29" t="inlineStr">
        <is>
          <t>BEHİCE YALMAN</t>
        </is>
      </c>
      <c r="D122" s="7" t="n">
        <v>146.6</v>
      </c>
      <c r="E122" s="4" t="inlineStr">
        <is>
          <t>06.01.2025</t>
        </is>
      </c>
      <c r="F122" s="4" t="inlineStr"/>
      <c r="G122" s="7" t="n">
        <v>24577.06</v>
      </c>
      <c r="H122" s="7" t="n">
        <v>14337.15</v>
      </c>
      <c r="I122" s="7" t="n">
        <v>6882.11</v>
      </c>
      <c r="J122" s="7" t="n">
        <v>38914.21</v>
      </c>
      <c r="K122" s="7" t="n">
        <v>6882.11</v>
      </c>
      <c r="L122" s="7" t="n">
        <v>32032.1</v>
      </c>
      <c r="M122" s="4" t="n">
        <v>19</v>
      </c>
      <c r="N122" s="7" t="n">
        <v>38914.21</v>
      </c>
      <c r="O122" s="4" t="inlineStr">
        <is>
          <t>16322</t>
        </is>
      </c>
      <c r="P122" s="4" t="inlineStr">
        <is>
          <t>7514.01</t>
        </is>
      </c>
    </row>
    <row r="123">
      <c r="A123" s="4" t="inlineStr">
        <is>
          <t>122</t>
        </is>
      </c>
      <c r="B123" s="5" t="inlineStr">
        <is>
          <t>14779989510</t>
        </is>
      </c>
      <c r="C123" s="29" t="inlineStr">
        <is>
          <t>HARUN YAHYA DURSUN</t>
        </is>
      </c>
      <c r="D123" s="7" t="n">
        <v>146.6</v>
      </c>
      <c r="E123" s="4" t="inlineStr">
        <is>
          <t>06.01.2025</t>
        </is>
      </c>
      <c r="F123" s="4" t="inlineStr"/>
      <c r="G123" s="7" t="n">
        <v>37061.02</v>
      </c>
      <c r="H123" s="7" t="n">
        <v>28887.88</v>
      </c>
      <c r="I123" s="7" t="n">
        <v>17716.4</v>
      </c>
      <c r="J123" s="7" t="n">
        <v>65948.89999999999</v>
      </c>
      <c r="K123" s="7" t="n">
        <v>17716.4</v>
      </c>
      <c r="L123" s="7" t="n">
        <v>48232.5</v>
      </c>
      <c r="M123" s="4" t="n">
        <v>28</v>
      </c>
      <c r="N123" s="7" t="n">
        <v>65948.89999999999</v>
      </c>
      <c r="O123" s="4" t="inlineStr">
        <is>
          <t>05510</t>
        </is>
      </c>
      <c r="P123" s="4" t="inlineStr">
        <is>
          <t>7514.01</t>
        </is>
      </c>
    </row>
    <row r="124">
      <c r="A124" s="4" t="inlineStr">
        <is>
          <t>123</t>
        </is>
      </c>
      <c r="B124" s="5" t="inlineStr">
        <is>
          <t>14865003748</t>
        </is>
      </c>
      <c r="C124" s="29" t="inlineStr">
        <is>
          <t>NURTEN ARİZ</t>
        </is>
      </c>
      <c r="D124" s="7" t="n">
        <v>124.78</v>
      </c>
      <c r="E124" s="4" t="inlineStr">
        <is>
          <t>29.06.2026</t>
        </is>
      </c>
      <c r="F124" s="4" t="inlineStr"/>
      <c r="G124" s="7" t="n">
        <v>24222</v>
      </c>
      <c r="H124" s="7" t="n">
        <v>734</v>
      </c>
      <c r="I124" s="7" t="n">
        <v>4491.4</v>
      </c>
      <c r="J124" s="7" t="n">
        <v>24956</v>
      </c>
      <c r="K124" s="7" t="n">
        <v>4491.4</v>
      </c>
      <c r="L124" s="7" t="n">
        <v>20464.6</v>
      </c>
      <c r="M124" s="4" t="n">
        <v>22</v>
      </c>
      <c r="N124" s="7" t="n">
        <v>24956</v>
      </c>
      <c r="O124" s="4" t="inlineStr">
        <is>
          <t>05510</t>
        </is>
      </c>
      <c r="P124" s="4" t="inlineStr">
        <is>
          <t>7514.01</t>
        </is>
      </c>
    </row>
    <row r="125">
      <c r="A125" s="4" t="inlineStr">
        <is>
          <t>124</t>
        </is>
      </c>
      <c r="B125" s="5" t="inlineStr">
        <is>
          <t>15011491440</t>
        </is>
      </c>
      <c r="C125" s="29" t="inlineStr">
        <is>
          <t>SEMANUR ÖZTÜRK</t>
        </is>
      </c>
      <c r="D125" s="7" t="n">
        <v>33030</v>
      </c>
      <c r="E125" s="4" t="inlineStr">
        <is>
          <t>01.11.2024</t>
        </is>
      </c>
      <c r="F125" s="4" t="inlineStr"/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4" t="n">
        <v>0</v>
      </c>
      <c r="N125" s="7" t="n">
        <v>0</v>
      </c>
      <c r="O125" s="4" t="inlineStr">
        <is>
          <t>05510</t>
        </is>
      </c>
      <c r="P125" s="4" t="inlineStr">
        <is>
          <t>5242.07</t>
        </is>
      </c>
    </row>
    <row r="126">
      <c r="A126" s="4" t="inlineStr">
        <is>
          <t>125</t>
        </is>
      </c>
      <c r="B126" s="5" t="inlineStr">
        <is>
          <t>15041774032</t>
        </is>
      </c>
      <c r="C126" s="29" t="inlineStr">
        <is>
          <t>GÜLPERİ KALENDER</t>
        </is>
      </c>
      <c r="D126" s="7" t="n">
        <v>146.6</v>
      </c>
      <c r="E126" s="4" t="inlineStr">
        <is>
          <t>28.04.2026</t>
        </is>
      </c>
      <c r="F126" s="4" t="inlineStr"/>
      <c r="G126" s="7" t="n">
        <v>23283.53</v>
      </c>
      <c r="H126" s="7" t="n">
        <v>258.71</v>
      </c>
      <c r="I126" s="7" t="n">
        <v>3531.34</v>
      </c>
      <c r="J126" s="7" t="n">
        <v>23542.24</v>
      </c>
      <c r="K126" s="7" t="n">
        <v>3531.34</v>
      </c>
      <c r="L126" s="7" t="n">
        <v>20010.9</v>
      </c>
      <c r="M126" s="4" t="n">
        <v>18</v>
      </c>
      <c r="N126" s="7" t="n">
        <v>23542.24</v>
      </c>
      <c r="O126" s="4" t="inlineStr">
        <is>
          <t>05510</t>
        </is>
      </c>
      <c r="P126" s="4" t="inlineStr">
        <is>
          <t>7514.01</t>
        </is>
      </c>
    </row>
    <row r="127">
      <c r="A127" s="4" t="inlineStr">
        <is>
          <t>126</t>
        </is>
      </c>
      <c r="B127" s="5" t="inlineStr">
        <is>
          <t>15205679746</t>
        </is>
      </c>
      <c r="C127" s="29" t="inlineStr">
        <is>
          <t>MURAT YONSUL</t>
        </is>
      </c>
      <c r="D127" s="7" t="n">
        <v>30185</v>
      </c>
      <c r="E127" s="4" t="inlineStr">
        <is>
          <t>28.11.2025</t>
        </is>
      </c>
      <c r="F127" s="4" t="inlineStr"/>
      <c r="G127" s="7" t="n">
        <v>4350.99</v>
      </c>
      <c r="H127" s="7" t="n">
        <v>0</v>
      </c>
      <c r="I127" s="7" t="n">
        <v>326.32</v>
      </c>
      <c r="J127" s="7" t="n">
        <v>4350.99</v>
      </c>
      <c r="K127" s="7" t="n">
        <v>1326.32</v>
      </c>
      <c r="L127" s="7" t="n">
        <v>3024.67</v>
      </c>
      <c r="M127" s="4" t="n">
        <v>4</v>
      </c>
      <c r="N127" s="7" t="n">
        <v>4404</v>
      </c>
      <c r="O127" s="4" t="inlineStr">
        <is>
          <t>00000</t>
        </is>
      </c>
      <c r="P127" s="4" t="inlineStr">
        <is>
          <t>7514.01</t>
        </is>
      </c>
    </row>
    <row r="128">
      <c r="A128" s="4" t="inlineStr">
        <is>
          <t>127</t>
        </is>
      </c>
      <c r="B128" s="5" t="inlineStr">
        <is>
          <t>15250777510</t>
        </is>
      </c>
      <c r="C128" s="29" t="inlineStr">
        <is>
          <t>SEZAİ ÇELİK</t>
        </is>
      </c>
      <c r="D128" s="7" t="n">
        <v>146.6</v>
      </c>
      <c r="E128" s="4" t="inlineStr">
        <is>
          <t>24.06.2026</t>
        </is>
      </c>
      <c r="F128" s="4" t="inlineStr"/>
      <c r="G128" s="7" t="n">
        <v>21990</v>
      </c>
      <c r="H128" s="7" t="n">
        <v>0</v>
      </c>
      <c r="I128" s="7" t="n">
        <v>3298.5</v>
      </c>
      <c r="J128" s="7" t="n">
        <v>21990</v>
      </c>
      <c r="K128" s="7" t="n">
        <v>7970.5</v>
      </c>
      <c r="L128" s="7" t="n">
        <v>14019.5</v>
      </c>
      <c r="M128" s="4" t="n">
        <v>17</v>
      </c>
      <c r="N128" s="7" t="n">
        <v>21990</v>
      </c>
      <c r="O128" s="4" t="inlineStr">
        <is>
          <t>05510</t>
        </is>
      </c>
      <c r="P128" s="4" t="inlineStr">
        <is>
          <t>7514.01</t>
        </is>
      </c>
    </row>
    <row r="129">
      <c r="A129" s="4" t="inlineStr">
        <is>
          <t>128</t>
        </is>
      </c>
      <c r="B129" s="5" t="inlineStr">
        <is>
          <t>15449909326</t>
        </is>
      </c>
      <c r="C129" s="29" t="inlineStr">
        <is>
          <t>ASLI SOLAK</t>
        </is>
      </c>
      <c r="D129" s="7" t="n">
        <v>124.78</v>
      </c>
      <c r="E129" s="4" t="inlineStr">
        <is>
          <t>06.08.2026</t>
        </is>
      </c>
      <c r="F129" s="4" t="inlineStr"/>
      <c r="G129" s="7" t="n">
        <v>4404</v>
      </c>
      <c r="H129" s="7" t="n">
        <v>4991.2</v>
      </c>
      <c r="I129" s="7" t="n">
        <v>1409.28</v>
      </c>
      <c r="J129" s="7" t="n">
        <v>9395.200000000001</v>
      </c>
      <c r="K129" s="7" t="n">
        <v>1409.28</v>
      </c>
      <c r="L129" s="7" t="n">
        <v>7985.92</v>
      </c>
      <c r="M129" s="4" t="n">
        <v>4</v>
      </c>
      <c r="N129" s="7" t="n">
        <v>9395.200000000001</v>
      </c>
      <c r="O129" s="4" t="inlineStr">
        <is>
          <t>05510</t>
        </is>
      </c>
      <c r="P129" s="4" t="inlineStr">
        <is>
          <t>7514.01</t>
        </is>
      </c>
    </row>
    <row r="130">
      <c r="A130" s="4" t="inlineStr">
        <is>
          <t>129</t>
        </is>
      </c>
      <c r="B130" s="5" t="inlineStr">
        <is>
          <t>15736612786</t>
        </is>
      </c>
      <c r="C130" s="29" t="inlineStr">
        <is>
          <t>NURGÜL ADIGÜL</t>
        </is>
      </c>
      <c r="D130" s="7" t="n">
        <v>124.78</v>
      </c>
      <c r="E130" s="4" t="inlineStr">
        <is>
          <t>17.08.2026</t>
        </is>
      </c>
      <c r="F130" s="4" t="inlineStr"/>
      <c r="G130" s="7" t="n">
        <v>14313</v>
      </c>
      <c r="H130" s="7" t="n">
        <v>0</v>
      </c>
      <c r="I130" s="7" t="n">
        <v>2575.95</v>
      </c>
      <c r="J130" s="7" t="n">
        <v>14313</v>
      </c>
      <c r="K130" s="7" t="n">
        <v>2575.95</v>
      </c>
      <c r="L130" s="7" t="n">
        <v>11737.05</v>
      </c>
      <c r="M130" s="4" t="n">
        <v>13</v>
      </c>
      <c r="N130" s="7" t="n">
        <v>14313</v>
      </c>
      <c r="O130" s="4" t="inlineStr">
        <is>
          <t>05510</t>
        </is>
      </c>
      <c r="P130" s="4" t="inlineStr">
        <is>
          <t>7514.01</t>
        </is>
      </c>
    </row>
    <row r="131">
      <c r="A131" s="4" t="inlineStr">
        <is>
          <t>130</t>
        </is>
      </c>
      <c r="B131" s="5" t="inlineStr">
        <is>
          <t>15773831454</t>
        </is>
      </c>
      <c r="C131" s="29" t="inlineStr">
        <is>
          <t>TÜRKAN TURAN</t>
        </is>
      </c>
      <c r="D131" s="7" t="n">
        <v>146.6</v>
      </c>
      <c r="E131" s="4" t="inlineStr">
        <is>
          <t>20.05.2026</t>
        </is>
      </c>
      <c r="F131" s="4" t="inlineStr"/>
      <c r="G131" s="7" t="n">
        <v>3880.59</v>
      </c>
      <c r="H131" s="7" t="n">
        <v>0</v>
      </c>
      <c r="I131" s="7" t="n">
        <v>582.09</v>
      </c>
      <c r="J131" s="7" t="n">
        <v>3880.59</v>
      </c>
      <c r="K131" s="7" t="n">
        <v>582.09</v>
      </c>
      <c r="L131" s="7" t="n">
        <v>3298.5</v>
      </c>
      <c r="M131" s="4" t="n">
        <v>3</v>
      </c>
      <c r="N131" s="7" t="n">
        <v>3880.59</v>
      </c>
      <c r="O131" s="4" t="inlineStr">
        <is>
          <t>05510</t>
        </is>
      </c>
      <c r="P131" s="4" t="inlineStr">
        <is>
          <t>7514.01</t>
        </is>
      </c>
    </row>
    <row r="132">
      <c r="A132" s="4" t="inlineStr">
        <is>
          <t>131</t>
        </is>
      </c>
      <c r="B132" s="5" t="inlineStr">
        <is>
          <t>15842906410</t>
        </is>
      </c>
      <c r="C132" s="29" t="inlineStr">
        <is>
          <t>NERMİN BİÇER</t>
        </is>
      </c>
      <c r="D132" s="7" t="n">
        <v>124.78</v>
      </c>
      <c r="E132" s="4" t="inlineStr">
        <is>
          <t>24.06.2026</t>
        </is>
      </c>
      <c r="F132" s="4" t="inlineStr"/>
      <c r="G132" s="7" t="n">
        <v>24222</v>
      </c>
      <c r="H132" s="7" t="n">
        <v>20153.06</v>
      </c>
      <c r="I132" s="7" t="n">
        <v>9519.860000000001</v>
      </c>
      <c r="J132" s="7" t="n">
        <v>44375.06</v>
      </c>
      <c r="K132" s="7" t="n">
        <v>9519.860000000001</v>
      </c>
      <c r="L132" s="7" t="n">
        <v>34855.2</v>
      </c>
      <c r="M132" s="4" t="n">
        <v>22</v>
      </c>
      <c r="N132" s="7" t="n">
        <v>44375.06</v>
      </c>
      <c r="O132" s="4" t="inlineStr">
        <is>
          <t>05510</t>
        </is>
      </c>
      <c r="P132" s="4" t="inlineStr">
        <is>
          <t>7514.01</t>
        </is>
      </c>
    </row>
    <row r="133">
      <c r="A133" s="4" t="inlineStr">
        <is>
          <t>132</t>
        </is>
      </c>
      <c r="B133" s="5" t="inlineStr">
        <is>
          <t>16111749134</t>
        </is>
      </c>
      <c r="C133" s="29" t="inlineStr">
        <is>
          <t>EMİNE KARAMAN</t>
        </is>
      </c>
      <c r="D133" s="7" t="n">
        <v>146.6</v>
      </c>
      <c r="E133" s="4" t="inlineStr">
        <is>
          <t>25.07.2026</t>
        </is>
      </c>
      <c r="F133" s="4" t="inlineStr"/>
      <c r="G133" s="7" t="n">
        <v>23283.53</v>
      </c>
      <c r="H133" s="7" t="n">
        <v>431.18</v>
      </c>
      <c r="I133" s="7" t="n">
        <v>3557.21</v>
      </c>
      <c r="J133" s="7" t="n">
        <v>23714.71</v>
      </c>
      <c r="K133" s="7" t="n">
        <v>3557.21</v>
      </c>
      <c r="L133" s="7" t="n">
        <v>20157.5</v>
      </c>
      <c r="M133" s="4" t="n">
        <v>18</v>
      </c>
      <c r="N133" s="7" t="n">
        <v>23714.71</v>
      </c>
      <c r="O133" s="4" t="inlineStr">
        <is>
          <t>05510</t>
        </is>
      </c>
      <c r="P133" s="4" t="inlineStr">
        <is>
          <t>7514.01</t>
        </is>
      </c>
    </row>
    <row r="134">
      <c r="A134" s="4" t="inlineStr">
        <is>
          <t>133</t>
        </is>
      </c>
      <c r="B134" s="5" t="inlineStr">
        <is>
          <t>16217577174</t>
        </is>
      </c>
      <c r="C134" s="29" t="inlineStr">
        <is>
          <t>HANIM İİLHAN</t>
        </is>
      </c>
      <c r="D134" s="7" t="n">
        <v>146.6</v>
      </c>
      <c r="E134" s="4" t="inlineStr">
        <is>
          <t>05.05.2026</t>
        </is>
      </c>
      <c r="F134" s="4" t="inlineStr"/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0</v>
      </c>
      <c r="L134" s="7" t="n">
        <v>0</v>
      </c>
      <c r="M134" s="4" t="n">
        <v>0</v>
      </c>
      <c r="N134" s="7" t="n">
        <v>0</v>
      </c>
      <c r="O134" s="4" t="inlineStr">
        <is>
          <t>05510</t>
        </is>
      </c>
      <c r="P134" s="4" t="inlineStr">
        <is>
          <t>7514.01</t>
        </is>
      </c>
    </row>
    <row r="135">
      <c r="A135" s="4" t="inlineStr">
        <is>
          <t>134</t>
        </is>
      </c>
      <c r="B135" s="5" t="inlineStr">
        <is>
          <t>16231745504</t>
        </is>
      </c>
      <c r="C135" s="29" t="inlineStr">
        <is>
          <t>SERKAN YUMİTKAN</t>
        </is>
      </c>
      <c r="D135" s="7" t="n">
        <v>124.78</v>
      </c>
      <c r="E135" s="4" t="inlineStr">
        <is>
          <t>01.07.2026</t>
        </is>
      </c>
      <c r="F135" s="4" t="inlineStr"/>
      <c r="G135" s="7" t="n">
        <v>23121</v>
      </c>
      <c r="H135" s="7" t="n">
        <v>18374.16</v>
      </c>
      <c r="I135" s="7" t="n">
        <v>8611.83</v>
      </c>
      <c r="J135" s="7" t="n">
        <v>41495.16</v>
      </c>
      <c r="K135" s="7" t="n">
        <v>8611.83</v>
      </c>
      <c r="L135" s="7" t="n">
        <v>32883.33</v>
      </c>
      <c r="M135" s="4" t="n">
        <v>21</v>
      </c>
      <c r="N135" s="7" t="n">
        <v>41495.16</v>
      </c>
      <c r="O135" s="4" t="inlineStr">
        <is>
          <t>05510</t>
        </is>
      </c>
      <c r="P135" s="4" t="inlineStr">
        <is>
          <t>7514.01</t>
        </is>
      </c>
    </row>
    <row r="136">
      <c r="A136" s="4" t="inlineStr">
        <is>
          <t>135</t>
        </is>
      </c>
      <c r="B136" s="5" t="inlineStr">
        <is>
          <t>16310668618</t>
        </is>
      </c>
      <c r="C136" s="29" t="inlineStr">
        <is>
          <t>GÜLİZAR ABAK</t>
        </is>
      </c>
      <c r="D136" s="7" t="n">
        <v>124.78</v>
      </c>
      <c r="E136" s="4" t="inlineStr">
        <is>
          <t>13.07.2026</t>
        </is>
      </c>
      <c r="F136" s="4" t="inlineStr"/>
      <c r="G136" s="7" t="n">
        <v>8808</v>
      </c>
      <c r="H136" s="7" t="n">
        <v>9982.4</v>
      </c>
      <c r="I136" s="7" t="n">
        <v>3381.56</v>
      </c>
      <c r="J136" s="7" t="n">
        <v>18790.4</v>
      </c>
      <c r="K136" s="7" t="n">
        <v>3381.56</v>
      </c>
      <c r="L136" s="7" t="n">
        <v>15408.84</v>
      </c>
      <c r="M136" s="4" t="n">
        <v>8</v>
      </c>
      <c r="N136" s="7" t="n">
        <v>18790.4</v>
      </c>
      <c r="O136" s="4" t="inlineStr">
        <is>
          <t>05510</t>
        </is>
      </c>
      <c r="P136" s="4" t="inlineStr">
        <is>
          <t>7514.01</t>
        </is>
      </c>
    </row>
    <row r="137">
      <c r="A137" s="4" t="inlineStr">
        <is>
          <t>136</t>
        </is>
      </c>
      <c r="B137" s="5" t="inlineStr">
        <is>
          <t>16324748870</t>
        </is>
      </c>
      <c r="C137" s="29" t="inlineStr">
        <is>
          <t>NAZMİYE ÇELİK</t>
        </is>
      </c>
      <c r="D137" s="7" t="n">
        <v>146.6</v>
      </c>
      <c r="E137" s="4" t="inlineStr">
        <is>
          <t>07.07.2026</t>
        </is>
      </c>
      <c r="F137" s="4" t="inlineStr"/>
      <c r="G137" s="7" t="n">
        <v>35283.43</v>
      </c>
      <c r="H137" s="7" t="n">
        <v>615.1799999999999</v>
      </c>
      <c r="I137" s="7" t="n">
        <v>6848.31</v>
      </c>
      <c r="J137" s="7" t="n">
        <v>35898.61</v>
      </c>
      <c r="K137" s="7" t="n">
        <v>6848.31</v>
      </c>
      <c r="L137" s="7" t="n">
        <v>29050.3</v>
      </c>
      <c r="M137" s="4" t="n">
        <v>27</v>
      </c>
      <c r="N137" s="7" t="n">
        <v>35898.61</v>
      </c>
      <c r="O137" s="4" t="inlineStr">
        <is>
          <t>05510</t>
        </is>
      </c>
      <c r="P137" s="4" t="inlineStr">
        <is>
          <t>7514.01</t>
        </is>
      </c>
    </row>
    <row r="138">
      <c r="A138" s="4" t="inlineStr">
        <is>
          <t>137</t>
        </is>
      </c>
      <c r="B138" s="5" t="inlineStr">
        <is>
          <t>16510742668</t>
        </is>
      </c>
      <c r="C138" s="29" t="inlineStr">
        <is>
          <t>AKİF TÜRKÇÜ</t>
        </is>
      </c>
      <c r="D138" s="7" t="n">
        <v>146.6</v>
      </c>
      <c r="E138" s="4" t="inlineStr">
        <is>
          <t>01.07.2026</t>
        </is>
      </c>
      <c r="F138" s="4" t="inlineStr"/>
      <c r="G138" s="7" t="n">
        <v>29751.18</v>
      </c>
      <c r="H138" s="7" t="n">
        <v>2242.12</v>
      </c>
      <c r="I138" s="7" t="n">
        <v>5757.99</v>
      </c>
      <c r="J138" s="7" t="n">
        <v>31993.29</v>
      </c>
      <c r="K138" s="7" t="n">
        <v>12057.99</v>
      </c>
      <c r="L138" s="7" t="n">
        <v>19935.3</v>
      </c>
      <c r="M138" s="4" t="n">
        <v>23</v>
      </c>
      <c r="N138" s="7" t="n">
        <v>31993.29</v>
      </c>
      <c r="O138" s="4" t="inlineStr">
        <is>
          <t>05510</t>
        </is>
      </c>
      <c r="P138" s="4" t="inlineStr">
        <is>
          <t>7514.01</t>
        </is>
      </c>
    </row>
    <row r="139">
      <c r="A139" s="4" t="inlineStr">
        <is>
          <t>138</t>
        </is>
      </c>
      <c r="B139" s="5" t="inlineStr">
        <is>
          <t>16561742068</t>
        </is>
      </c>
      <c r="C139" s="29" t="inlineStr">
        <is>
          <t>RUKİYE UZUN</t>
        </is>
      </c>
      <c r="D139" s="7" t="n">
        <v>146.6</v>
      </c>
      <c r="E139" s="4" t="inlineStr">
        <is>
          <t>13.04.2026</t>
        </is>
      </c>
      <c r="F139" s="4" t="inlineStr"/>
      <c r="G139" s="7" t="n">
        <v>29751.18</v>
      </c>
      <c r="H139" s="7" t="n">
        <v>603.65</v>
      </c>
      <c r="I139" s="7" t="n">
        <v>5463.22</v>
      </c>
      <c r="J139" s="7" t="n">
        <v>30354.82</v>
      </c>
      <c r="K139" s="7" t="n">
        <v>5463.22</v>
      </c>
      <c r="L139" s="7" t="n">
        <v>24891.6</v>
      </c>
      <c r="M139" s="4" t="n">
        <v>23</v>
      </c>
      <c r="N139" s="7" t="n">
        <v>30354.82</v>
      </c>
      <c r="O139" s="4" t="inlineStr">
        <is>
          <t>05510</t>
        </is>
      </c>
      <c r="P139" s="4" t="inlineStr">
        <is>
          <t>7514.01</t>
        </is>
      </c>
    </row>
    <row r="140">
      <c r="A140" s="4" t="inlineStr">
        <is>
          <t>139</t>
        </is>
      </c>
      <c r="B140" s="5" t="inlineStr">
        <is>
          <t>16579732808</t>
        </is>
      </c>
      <c r="C140" s="29" t="inlineStr">
        <is>
          <t>SANİYE AKBAY</t>
        </is>
      </c>
      <c r="D140" s="7" t="n">
        <v>124.78</v>
      </c>
      <c r="E140" s="4" t="inlineStr">
        <is>
          <t>12.08.2026</t>
        </is>
      </c>
      <c r="F140" s="4" t="inlineStr"/>
      <c r="G140" s="7" t="n">
        <v>8808</v>
      </c>
      <c r="H140" s="7" t="n">
        <v>9982.4</v>
      </c>
      <c r="I140" s="7" t="n">
        <v>2818.56</v>
      </c>
      <c r="J140" s="7" t="n">
        <v>18790.4</v>
      </c>
      <c r="K140" s="7" t="n">
        <v>2818.56</v>
      </c>
      <c r="L140" s="7" t="n">
        <v>15971.84</v>
      </c>
      <c r="M140" s="4" t="n">
        <v>8</v>
      </c>
      <c r="N140" s="7" t="n">
        <v>18790.4</v>
      </c>
      <c r="O140" s="4" t="inlineStr">
        <is>
          <t>05510</t>
        </is>
      </c>
      <c r="P140" s="4" t="inlineStr">
        <is>
          <t>7514.01</t>
        </is>
      </c>
    </row>
    <row r="141">
      <c r="A141" s="4" t="inlineStr">
        <is>
          <t>140</t>
        </is>
      </c>
      <c r="B141" s="5" t="inlineStr">
        <is>
          <t>16591633060</t>
        </is>
      </c>
      <c r="C141" s="29" t="inlineStr">
        <is>
          <t>ELİF TUNÇ</t>
        </is>
      </c>
      <c r="D141" s="7" t="n">
        <v>87500</v>
      </c>
      <c r="E141" s="4" t="inlineStr">
        <is>
          <t>03.07.2023</t>
        </is>
      </c>
      <c r="F141" s="4" t="inlineStr"/>
      <c r="G141" s="7" t="n">
        <v>133191.17</v>
      </c>
      <c r="H141" s="7" t="n">
        <v>0</v>
      </c>
      <c r="I141" s="7" t="n">
        <v>45691.17</v>
      </c>
      <c r="J141" s="7" t="n">
        <v>133191.17</v>
      </c>
      <c r="K141" s="7" t="n">
        <v>45691.17</v>
      </c>
      <c r="L141" s="7" t="n">
        <v>87500</v>
      </c>
      <c r="M141" s="4" t="n">
        <v>30</v>
      </c>
      <c r="N141" s="7" t="n">
        <v>133191.17</v>
      </c>
      <c r="O141" s="4" t="inlineStr">
        <is>
          <t>16322</t>
        </is>
      </c>
      <c r="P141" s="4" t="inlineStr">
        <is>
          <t>2141.13</t>
        </is>
      </c>
    </row>
    <row r="142">
      <c r="A142" s="4" t="inlineStr">
        <is>
          <t>141</t>
        </is>
      </c>
      <c r="B142" s="5" t="inlineStr">
        <is>
          <t>16699736366</t>
        </is>
      </c>
      <c r="C142" s="29" t="inlineStr">
        <is>
          <t>CEYLAN BATAN</t>
        </is>
      </c>
      <c r="D142" s="7" t="n">
        <v>146.6</v>
      </c>
      <c r="E142" s="4" t="inlineStr">
        <is>
          <t>10.08.2026</t>
        </is>
      </c>
      <c r="F142" s="4" t="inlineStr"/>
      <c r="G142" s="7" t="n">
        <v>25870.59</v>
      </c>
      <c r="H142" s="7" t="n">
        <v>431.18</v>
      </c>
      <c r="I142" s="7" t="n">
        <v>4734.26</v>
      </c>
      <c r="J142" s="7" t="n">
        <v>26301.76</v>
      </c>
      <c r="K142" s="7" t="n">
        <v>4734.26</v>
      </c>
      <c r="L142" s="7" t="n">
        <v>21567.5</v>
      </c>
      <c r="M142" s="4" t="n">
        <v>20</v>
      </c>
      <c r="N142" s="7" t="n">
        <v>26301.76</v>
      </c>
      <c r="O142" s="4" t="inlineStr">
        <is>
          <t>05510</t>
        </is>
      </c>
      <c r="P142" s="4" t="inlineStr">
        <is>
          <t>7514.01</t>
        </is>
      </c>
    </row>
    <row r="143">
      <c r="A143" s="4" t="inlineStr">
        <is>
          <t>142</t>
        </is>
      </c>
      <c r="B143" s="5" t="inlineStr">
        <is>
          <t>16826938946</t>
        </is>
      </c>
      <c r="C143" s="29" t="inlineStr">
        <is>
          <t>ÖZNUR KÜLTER</t>
        </is>
      </c>
      <c r="D143" s="7" t="n">
        <v>146.6</v>
      </c>
      <c r="E143" s="4" t="inlineStr">
        <is>
          <t>18.08.2026</t>
        </is>
      </c>
      <c r="F143" s="4" t="inlineStr"/>
      <c r="G143" s="7" t="n">
        <v>2587.06</v>
      </c>
      <c r="H143" s="7" t="n">
        <v>258.71</v>
      </c>
      <c r="I143" s="7" t="n">
        <v>511.86</v>
      </c>
      <c r="J143" s="7" t="n">
        <v>2845.76</v>
      </c>
      <c r="K143" s="7" t="n">
        <v>511.86</v>
      </c>
      <c r="L143" s="7" t="n">
        <v>2333.9</v>
      </c>
      <c r="M143" s="4" t="n">
        <v>2</v>
      </c>
      <c r="N143" s="7" t="n">
        <v>2845.76</v>
      </c>
      <c r="O143" s="4" t="inlineStr">
        <is>
          <t>05510</t>
        </is>
      </c>
      <c r="P143" s="4" t="inlineStr">
        <is>
          <t>7514.01</t>
        </is>
      </c>
    </row>
    <row r="144">
      <c r="A144" s="4" t="inlineStr">
        <is>
          <t>143</t>
        </is>
      </c>
      <c r="B144" s="5" t="inlineStr">
        <is>
          <t>16933572286</t>
        </is>
      </c>
      <c r="C144" s="29" t="inlineStr">
        <is>
          <t>CANSEVER ÇÇAKMAK</t>
        </is>
      </c>
      <c r="D144" s="7" t="n">
        <v>124.78</v>
      </c>
      <c r="E144" s="4" t="inlineStr">
        <is>
          <t>15.01.2023</t>
        </is>
      </c>
      <c r="F144" s="4" t="inlineStr"/>
      <c r="G144" s="7" t="n">
        <v>30827.38</v>
      </c>
      <c r="H144" s="7" t="n">
        <v>807.38</v>
      </c>
      <c r="I144" s="7" t="n">
        <v>4745.21</v>
      </c>
      <c r="J144" s="7" t="n">
        <v>31634.77</v>
      </c>
      <c r="K144" s="7" t="n">
        <v>4745.21</v>
      </c>
      <c r="L144" s="7" t="n">
        <v>26889.55</v>
      </c>
      <c r="M144" s="4" t="n">
        <v>28</v>
      </c>
      <c r="N144" s="7" t="n">
        <v>31634.77</v>
      </c>
      <c r="O144" s="4" t="inlineStr">
        <is>
          <t>16322</t>
        </is>
      </c>
      <c r="P144" s="4" t="inlineStr">
        <is>
          <t>7514.01</t>
        </is>
      </c>
    </row>
    <row r="145">
      <c r="A145" s="4" t="inlineStr">
        <is>
          <t>144</t>
        </is>
      </c>
      <c r="B145" s="5" t="inlineStr">
        <is>
          <t>17096459292</t>
        </is>
      </c>
      <c r="C145" s="29" t="inlineStr">
        <is>
          <t>YURDANUR ÇELİK</t>
        </is>
      </c>
      <c r="D145" s="7" t="n">
        <v>146.6</v>
      </c>
      <c r="E145" s="4" t="inlineStr">
        <is>
          <t>08.07.2026</t>
        </is>
      </c>
      <c r="F145" s="4" t="inlineStr"/>
      <c r="G145" s="7" t="n">
        <v>12935.29</v>
      </c>
      <c r="H145" s="7" t="n">
        <v>0</v>
      </c>
      <c r="I145" s="7" t="n">
        <v>2328.29</v>
      </c>
      <c r="J145" s="7" t="n">
        <v>12935.29</v>
      </c>
      <c r="K145" s="7" t="n">
        <v>2328.29</v>
      </c>
      <c r="L145" s="7" t="n">
        <v>10607</v>
      </c>
      <c r="M145" s="4" t="n">
        <v>10</v>
      </c>
      <c r="N145" s="7" t="n">
        <v>12935.29</v>
      </c>
      <c r="O145" s="4" t="inlineStr">
        <is>
          <t>05510</t>
        </is>
      </c>
      <c r="P145" s="4" t="inlineStr">
        <is>
          <t>7514.01</t>
        </is>
      </c>
    </row>
    <row r="146">
      <c r="A146" s="4" t="inlineStr">
        <is>
          <t>145</t>
        </is>
      </c>
      <c r="B146" s="5" t="inlineStr">
        <is>
          <t>17177700404</t>
        </is>
      </c>
      <c r="C146" s="29" t="inlineStr">
        <is>
          <t>ÖZGÜR GÜRKAN</t>
        </is>
      </c>
      <c r="D146" s="7" t="n">
        <v>33030</v>
      </c>
      <c r="E146" s="4" t="inlineStr">
        <is>
          <t>05.03.2024</t>
        </is>
      </c>
      <c r="F146" s="4" t="inlineStr"/>
      <c r="G146" s="7" t="n">
        <v>33030</v>
      </c>
      <c r="H146" s="7" t="n">
        <v>0</v>
      </c>
      <c r="I146" s="7" t="n">
        <v>4954.5</v>
      </c>
      <c r="J146" s="7" t="n">
        <v>33030</v>
      </c>
      <c r="K146" s="7" t="n">
        <v>7162.26</v>
      </c>
      <c r="L146" s="7" t="n">
        <v>25867.74</v>
      </c>
      <c r="M146" s="4" t="n">
        <v>30</v>
      </c>
      <c r="N146" s="7" t="n">
        <v>33030</v>
      </c>
      <c r="O146" s="4" t="inlineStr">
        <is>
          <t>05510</t>
        </is>
      </c>
      <c r="P146" s="4" t="inlineStr">
        <is>
          <t>4311.05</t>
        </is>
      </c>
    </row>
    <row r="147">
      <c r="A147" s="4" t="inlineStr">
        <is>
          <t>146</t>
        </is>
      </c>
      <c r="B147" s="5" t="inlineStr">
        <is>
          <t>17282847728</t>
        </is>
      </c>
      <c r="C147" s="29" t="inlineStr">
        <is>
          <t>MEHMET ALİ KÜÇÜK</t>
        </is>
      </c>
      <c r="D147" s="7" t="n">
        <v>124.78</v>
      </c>
      <c r="E147" s="4" t="inlineStr">
        <is>
          <t>19.07.2026</t>
        </is>
      </c>
      <c r="F147" s="4" t="inlineStr"/>
      <c r="G147" s="7" t="n">
        <v>11010</v>
      </c>
      <c r="H147" s="7" t="n">
        <v>13579</v>
      </c>
      <c r="I147" s="7" t="n">
        <v>4425.35</v>
      </c>
      <c r="J147" s="7" t="n">
        <v>24589</v>
      </c>
      <c r="K147" s="7" t="n">
        <v>4425.35</v>
      </c>
      <c r="L147" s="7" t="n">
        <v>20163.65</v>
      </c>
      <c r="M147" s="4" t="n">
        <v>10</v>
      </c>
      <c r="N147" s="7" t="n">
        <v>24589</v>
      </c>
      <c r="O147" s="4" t="inlineStr">
        <is>
          <t>05510</t>
        </is>
      </c>
      <c r="P147" s="4" t="inlineStr">
        <is>
          <t>7514.01</t>
        </is>
      </c>
    </row>
    <row r="148">
      <c r="A148" s="4" t="inlineStr">
        <is>
          <t>147</t>
        </is>
      </c>
      <c r="B148" s="5" t="inlineStr">
        <is>
          <t>17309221128</t>
        </is>
      </c>
      <c r="C148" s="29" t="inlineStr">
        <is>
          <t>DERYA ARSLAN</t>
        </is>
      </c>
      <c r="D148" s="7" t="n">
        <v>146.6</v>
      </c>
      <c r="E148" s="4" t="inlineStr">
        <is>
          <t>13.05.2026</t>
        </is>
      </c>
      <c r="F148" s="4" t="inlineStr"/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  <c r="L148" s="7" t="n">
        <v>0</v>
      </c>
      <c r="M148" s="4" t="n">
        <v>0</v>
      </c>
      <c r="N148" s="7" t="n">
        <v>0</v>
      </c>
      <c r="O148" s="4" t="inlineStr">
        <is>
          <t>05510</t>
        </is>
      </c>
      <c r="P148" s="4" t="inlineStr">
        <is>
          <t>7514.01</t>
        </is>
      </c>
    </row>
    <row r="149">
      <c r="A149" s="4" t="inlineStr">
        <is>
          <t>148</t>
        </is>
      </c>
      <c r="B149" s="5" t="inlineStr">
        <is>
          <t>17329708456</t>
        </is>
      </c>
      <c r="C149" s="29" t="inlineStr">
        <is>
          <t>DİLEK ÇEKİN</t>
        </is>
      </c>
      <c r="D149" s="7" t="n">
        <v>146.6</v>
      </c>
      <c r="E149" s="4" t="inlineStr">
        <is>
          <t>21.07.2026</t>
        </is>
      </c>
      <c r="F149" s="4" t="inlineStr"/>
      <c r="G149" s="7" t="n">
        <v>31044.71</v>
      </c>
      <c r="H149" s="7" t="n">
        <v>603.65</v>
      </c>
      <c r="I149" s="7" t="n">
        <v>5696.25</v>
      </c>
      <c r="J149" s="7" t="n">
        <v>31648.35</v>
      </c>
      <c r="K149" s="7" t="n">
        <v>5696.25</v>
      </c>
      <c r="L149" s="7" t="n">
        <v>25952.1</v>
      </c>
      <c r="M149" s="4" t="n">
        <v>24</v>
      </c>
      <c r="N149" s="7" t="n">
        <v>31648.35</v>
      </c>
      <c r="O149" s="4" t="inlineStr">
        <is>
          <t>05510</t>
        </is>
      </c>
      <c r="P149" s="4" t="inlineStr">
        <is>
          <t>7514.01</t>
        </is>
      </c>
    </row>
    <row r="150">
      <c r="A150" s="4" t="inlineStr">
        <is>
          <t>149</t>
        </is>
      </c>
      <c r="B150" s="5" t="inlineStr">
        <is>
          <t>17335367982</t>
        </is>
      </c>
      <c r="C150" s="29" t="inlineStr">
        <is>
          <t>SABİHA AKIN</t>
        </is>
      </c>
      <c r="D150" s="7" t="n">
        <v>124.78</v>
      </c>
      <c r="E150" s="4" t="inlineStr">
        <is>
          <t>12.06.2026</t>
        </is>
      </c>
      <c r="F150" s="4" t="inlineStr"/>
      <c r="G150" s="7" t="n">
        <v>25323</v>
      </c>
      <c r="H150" s="7" t="n">
        <v>17830.29</v>
      </c>
      <c r="I150" s="7" t="n">
        <v>9134.549999999999</v>
      </c>
      <c r="J150" s="7" t="n">
        <v>43153.29</v>
      </c>
      <c r="K150" s="7" t="n">
        <v>9134.549999999999</v>
      </c>
      <c r="L150" s="7" t="n">
        <v>34018.74</v>
      </c>
      <c r="M150" s="4" t="n">
        <v>23</v>
      </c>
      <c r="N150" s="7" t="n">
        <v>43153.29</v>
      </c>
      <c r="O150" s="4" t="inlineStr">
        <is>
          <t>05510</t>
        </is>
      </c>
      <c r="P150" s="4" t="inlineStr">
        <is>
          <t>7514.01</t>
        </is>
      </c>
    </row>
    <row r="151">
      <c r="A151" s="4" t="inlineStr">
        <is>
          <t>150</t>
        </is>
      </c>
      <c r="B151" s="5" t="inlineStr">
        <is>
          <t>17431713232</t>
        </is>
      </c>
      <c r="C151" s="29" t="inlineStr">
        <is>
          <t>FİSUN ETİLER</t>
        </is>
      </c>
      <c r="D151" s="7" t="n">
        <v>146.6</v>
      </c>
      <c r="E151" s="4" t="inlineStr">
        <is>
          <t>08.05.2026</t>
        </is>
      </c>
      <c r="F151" s="4" t="inlineStr"/>
      <c r="G151" s="7" t="n">
        <v>32338.24</v>
      </c>
      <c r="H151" s="7" t="n">
        <v>1202.18</v>
      </c>
      <c r="I151" s="7" t="n">
        <v>5100.01</v>
      </c>
      <c r="J151" s="7" t="n">
        <v>33540.41</v>
      </c>
      <c r="K151" s="7" t="n">
        <v>5100.01</v>
      </c>
      <c r="L151" s="7" t="n">
        <v>28440.4</v>
      </c>
      <c r="M151" s="4" t="n">
        <v>25</v>
      </c>
      <c r="N151" s="7" t="n">
        <v>33540.41</v>
      </c>
      <c r="O151" s="4" t="inlineStr">
        <is>
          <t>05510</t>
        </is>
      </c>
      <c r="P151" s="4" t="inlineStr">
        <is>
          <t>7514.01</t>
        </is>
      </c>
    </row>
    <row r="152">
      <c r="A152" s="4" t="inlineStr">
        <is>
          <t>151</t>
        </is>
      </c>
      <c r="B152" s="5" t="inlineStr">
        <is>
          <t>17473728638</t>
        </is>
      </c>
      <c r="C152" s="29" t="inlineStr">
        <is>
          <t>SONGÜL DUMAN</t>
        </is>
      </c>
      <c r="D152" s="7" t="n">
        <v>124.78</v>
      </c>
      <c r="E152" s="4" t="inlineStr">
        <is>
          <t>26.07.2026</t>
        </is>
      </c>
      <c r="F152" s="4" t="inlineStr"/>
      <c r="G152" s="7" t="n">
        <v>1101</v>
      </c>
      <c r="H152" s="7" t="n">
        <v>1247.8</v>
      </c>
      <c r="I152" s="7" t="n">
        <v>422.32</v>
      </c>
      <c r="J152" s="7" t="n">
        <v>2348.8</v>
      </c>
      <c r="K152" s="7" t="n">
        <v>422.32</v>
      </c>
      <c r="L152" s="7" t="n">
        <v>1926.48</v>
      </c>
      <c r="M152" s="4" t="n">
        <v>1</v>
      </c>
      <c r="N152" s="7" t="n">
        <v>2348.8</v>
      </c>
      <c r="O152" s="4" t="inlineStr">
        <is>
          <t>05510</t>
        </is>
      </c>
      <c r="P152" s="4" t="inlineStr">
        <is>
          <t>7514.01</t>
        </is>
      </c>
    </row>
    <row r="153">
      <c r="A153" s="4" t="inlineStr">
        <is>
          <t>152</t>
        </is>
      </c>
      <c r="B153" s="5" t="inlineStr">
        <is>
          <t>17488585028</t>
        </is>
      </c>
      <c r="C153" s="29" t="inlineStr">
        <is>
          <t>CEMİLE KARAN</t>
        </is>
      </c>
      <c r="D153" s="7" t="n">
        <v>146.6</v>
      </c>
      <c r="E153" s="4" t="inlineStr">
        <is>
          <t>10.02.2026</t>
        </is>
      </c>
      <c r="F153" s="4" t="inlineStr"/>
      <c r="G153" s="7" t="n">
        <v>36364.79</v>
      </c>
      <c r="H153" s="7" t="n">
        <v>717.71</v>
      </c>
      <c r="I153" s="7" t="n">
        <v>5783.4</v>
      </c>
      <c r="J153" s="7" t="n">
        <v>37082.5</v>
      </c>
      <c r="K153" s="7" t="n">
        <v>5783.4</v>
      </c>
      <c r="L153" s="7" t="n">
        <v>31299.1</v>
      </c>
      <c r="M153" s="4" t="n">
        <v>28</v>
      </c>
      <c r="N153" s="7" t="n">
        <v>37082.5</v>
      </c>
      <c r="O153" s="4" t="inlineStr">
        <is>
          <t>05510</t>
        </is>
      </c>
      <c r="P153" s="4" t="inlineStr">
        <is>
          <t>7514.01</t>
        </is>
      </c>
    </row>
    <row r="154">
      <c r="A154" s="4" t="inlineStr">
        <is>
          <t>153</t>
        </is>
      </c>
      <c r="B154" s="5" t="inlineStr">
        <is>
          <t>17611699134</t>
        </is>
      </c>
      <c r="C154" s="29" t="inlineStr">
        <is>
          <t>SEVİLAY DÖNMEZ</t>
        </is>
      </c>
      <c r="D154" s="7" t="n">
        <v>146.6</v>
      </c>
      <c r="E154" s="4" t="inlineStr">
        <is>
          <t>29.04.2026</t>
        </is>
      </c>
      <c r="F154" s="4" t="inlineStr"/>
      <c r="G154" s="7" t="n">
        <v>27164.12</v>
      </c>
      <c r="H154" s="7" t="n">
        <v>0</v>
      </c>
      <c r="I154" s="7" t="n">
        <v>4074.62</v>
      </c>
      <c r="J154" s="7" t="n">
        <v>27164.12</v>
      </c>
      <c r="K154" s="7" t="n">
        <v>11574.62</v>
      </c>
      <c r="L154" s="7" t="n">
        <v>15589.5</v>
      </c>
      <c r="M154" s="4" t="n">
        <v>21</v>
      </c>
      <c r="N154" s="7" t="n">
        <v>27164.12</v>
      </c>
      <c r="O154" s="4" t="inlineStr">
        <is>
          <t>05510</t>
        </is>
      </c>
      <c r="P154" s="4" t="inlineStr">
        <is>
          <t>7514.01</t>
        </is>
      </c>
    </row>
    <row r="155">
      <c r="A155" s="4" t="inlineStr">
        <is>
          <t>154</t>
        </is>
      </c>
      <c r="B155" s="5" t="inlineStr">
        <is>
          <t>17659696560</t>
        </is>
      </c>
      <c r="C155" s="29" t="inlineStr">
        <is>
          <t>CELAL ÖZER</t>
        </is>
      </c>
      <c r="D155" s="7" t="n">
        <v>124.78</v>
      </c>
      <c r="E155" s="4" t="inlineStr">
        <is>
          <t>14.08.2026</t>
        </is>
      </c>
      <c r="F155" s="4" t="inlineStr"/>
      <c r="G155" s="7" t="n">
        <v>14313</v>
      </c>
      <c r="H155" s="7" t="n">
        <v>14973.6</v>
      </c>
      <c r="I155" s="7" t="n">
        <v>4392.99</v>
      </c>
      <c r="J155" s="7" t="n">
        <v>29286.6</v>
      </c>
      <c r="K155" s="7" t="n">
        <v>4392.99</v>
      </c>
      <c r="L155" s="7" t="n">
        <v>24893.61</v>
      </c>
      <c r="M155" s="4" t="n">
        <v>13</v>
      </c>
      <c r="N155" s="7" t="n">
        <v>29286.6</v>
      </c>
      <c r="O155" s="4" t="inlineStr">
        <is>
          <t>05510</t>
        </is>
      </c>
      <c r="P155" s="4" t="inlineStr">
        <is>
          <t>7514.01</t>
        </is>
      </c>
    </row>
    <row r="156">
      <c r="A156" s="4" t="inlineStr">
        <is>
          <t>155</t>
        </is>
      </c>
      <c r="B156" s="5" t="inlineStr">
        <is>
          <t>17749594400</t>
        </is>
      </c>
      <c r="C156" s="29" t="inlineStr">
        <is>
          <t>ÇİSEM BÇAKIR</t>
        </is>
      </c>
      <c r="D156" s="7" t="n">
        <v>155.6</v>
      </c>
      <c r="E156" s="4" t="inlineStr">
        <is>
          <t>19.10.2023</t>
        </is>
      </c>
      <c r="F156" s="4" t="inlineStr"/>
      <c r="G156" s="7" t="n">
        <v>39871.81</v>
      </c>
      <c r="H156" s="7" t="n">
        <v>5206.64</v>
      </c>
      <c r="I156" s="7" t="n">
        <v>8901.450000000001</v>
      </c>
      <c r="J156" s="7" t="n">
        <v>45078.45</v>
      </c>
      <c r="K156" s="7" t="n">
        <v>8901.450000000001</v>
      </c>
      <c r="L156" s="7" t="n">
        <v>36177</v>
      </c>
      <c r="M156" s="4" t="n">
        <v>28</v>
      </c>
      <c r="N156" s="7" t="n">
        <v>45078.45</v>
      </c>
      <c r="O156" s="4" t="inlineStr">
        <is>
          <t>16322</t>
        </is>
      </c>
      <c r="P156" s="4" t="inlineStr">
        <is>
          <t>7514.01</t>
        </is>
      </c>
    </row>
    <row r="157">
      <c r="A157" s="4" t="inlineStr">
        <is>
          <t>156</t>
        </is>
      </c>
      <c r="B157" s="5" t="inlineStr">
        <is>
          <t>17902565544</t>
        </is>
      </c>
      <c r="C157" s="29" t="inlineStr">
        <is>
          <t>NURAY AVCI</t>
        </is>
      </c>
      <c r="D157" s="7" t="n">
        <v>124.78</v>
      </c>
      <c r="E157" s="4" t="inlineStr">
        <is>
          <t>29.05.2025</t>
        </is>
      </c>
      <c r="F157" s="4" t="inlineStr"/>
      <c r="G157" s="7" t="n">
        <v>26423.47</v>
      </c>
      <c r="H157" s="7" t="n">
        <v>1541.37</v>
      </c>
      <c r="I157" s="7" t="n">
        <v>4194.73</v>
      </c>
      <c r="J157" s="7" t="n">
        <v>27964.84</v>
      </c>
      <c r="K157" s="7" t="n">
        <v>4194.73</v>
      </c>
      <c r="L157" s="7" t="n">
        <v>23770.11</v>
      </c>
      <c r="M157" s="4" t="n">
        <v>24</v>
      </c>
      <c r="N157" s="7" t="n">
        <v>27964.84</v>
      </c>
      <c r="O157" s="4" t="inlineStr">
        <is>
          <t>05510</t>
        </is>
      </c>
      <c r="P157" s="4" t="inlineStr">
        <is>
          <t>7514.01</t>
        </is>
      </c>
    </row>
    <row r="158">
      <c r="A158" s="4" t="inlineStr">
        <is>
          <t>157</t>
        </is>
      </c>
      <c r="B158" s="5" t="inlineStr">
        <is>
          <t>18065162144</t>
        </is>
      </c>
      <c r="C158" s="29" t="inlineStr">
        <is>
          <t>MURAT RENDE</t>
        </is>
      </c>
      <c r="D158" s="7" t="n">
        <v>33030</v>
      </c>
      <c r="E158" s="4" t="inlineStr">
        <is>
          <t>16.05.2025</t>
        </is>
      </c>
      <c r="F158" s="4" t="inlineStr"/>
      <c r="G158" s="7" t="n">
        <v>0</v>
      </c>
      <c r="H158" s="7" t="n">
        <v>0</v>
      </c>
      <c r="I158" s="7" t="n">
        <v>0</v>
      </c>
      <c r="J158" s="7" t="n">
        <v>0</v>
      </c>
      <c r="K158" s="7" t="n">
        <v>0</v>
      </c>
      <c r="L158" s="7" t="n">
        <v>0</v>
      </c>
      <c r="M158" s="4" t="n">
        <v>0</v>
      </c>
      <c r="N158" s="7" t="n">
        <v>0</v>
      </c>
      <c r="O158" s="4" t="inlineStr">
        <is>
          <t>05510</t>
        </is>
      </c>
      <c r="P158" s="4" t="inlineStr">
        <is>
          <t>4311.07</t>
        </is>
      </c>
    </row>
    <row r="159">
      <c r="A159" s="4" t="inlineStr">
        <is>
          <t>158</t>
        </is>
      </c>
      <c r="B159" s="5" t="inlineStr">
        <is>
          <t>18364574570</t>
        </is>
      </c>
      <c r="C159" s="29" t="inlineStr">
        <is>
          <t>DERYA AVCI</t>
        </is>
      </c>
      <c r="D159" s="7" t="n">
        <v>133.33</v>
      </c>
      <c r="E159" s="4" t="inlineStr">
        <is>
          <t>01.07.2026</t>
        </is>
      </c>
      <c r="F159" s="4" t="inlineStr">
        <is>
          <t>26.08.2026</t>
        </is>
      </c>
      <c r="G159" s="7" t="n">
        <v>30587.47</v>
      </c>
      <c r="H159" s="7" t="n">
        <v>2522.44</v>
      </c>
      <c r="I159" s="7" t="n">
        <v>4977.28</v>
      </c>
      <c r="J159" s="7" t="n">
        <v>33109.91</v>
      </c>
      <c r="K159" s="7" t="n">
        <v>4977.28</v>
      </c>
      <c r="L159" s="7" t="n">
        <v>28132.63</v>
      </c>
      <c r="M159" s="4" t="n">
        <v>26</v>
      </c>
      <c r="N159" s="7" t="n">
        <v>33109.91</v>
      </c>
      <c r="O159" s="4" t="inlineStr">
        <is>
          <t>05510</t>
        </is>
      </c>
      <c r="P159" s="4" t="inlineStr">
        <is>
          <t>4416.02</t>
        </is>
      </c>
    </row>
    <row r="160">
      <c r="A160" s="4" t="inlineStr">
        <is>
          <t>159</t>
        </is>
      </c>
      <c r="B160" s="5" t="inlineStr">
        <is>
          <t>18364673952</t>
        </is>
      </c>
      <c r="C160" s="29" t="inlineStr">
        <is>
          <t>YEŞİM BEYİRKEN</t>
        </is>
      </c>
      <c r="D160" s="7" t="n">
        <v>124.78</v>
      </c>
      <c r="E160" s="4" t="inlineStr">
        <is>
          <t>19.07.2026</t>
        </is>
      </c>
      <c r="F160" s="4" t="inlineStr"/>
      <c r="G160" s="7" t="n">
        <v>19818</v>
      </c>
      <c r="H160" s="7" t="n">
        <v>11377</v>
      </c>
      <c r="I160" s="7" t="n">
        <v>5614.25</v>
      </c>
      <c r="J160" s="7" t="n">
        <v>31195</v>
      </c>
      <c r="K160" s="7" t="n">
        <v>9814.25</v>
      </c>
      <c r="L160" s="7" t="n">
        <v>21380.75</v>
      </c>
      <c r="M160" s="4" t="n">
        <v>18</v>
      </c>
      <c r="N160" s="7" t="n">
        <v>31195</v>
      </c>
      <c r="O160" s="4" t="inlineStr">
        <is>
          <t>05510</t>
        </is>
      </c>
      <c r="P160" s="4" t="inlineStr">
        <is>
          <t>7514.01</t>
        </is>
      </c>
    </row>
    <row r="161">
      <c r="A161" s="4" t="inlineStr">
        <is>
          <t>160</t>
        </is>
      </c>
      <c r="B161" s="5" t="inlineStr">
        <is>
          <t>18370524392</t>
        </is>
      </c>
      <c r="C161" s="29" t="inlineStr">
        <is>
          <t>EDA ELBİ</t>
        </is>
      </c>
      <c r="D161" s="7" t="n">
        <v>124.78</v>
      </c>
      <c r="E161" s="4" t="inlineStr">
        <is>
          <t>10.06.2023</t>
        </is>
      </c>
      <c r="F161" s="4" t="inlineStr">
        <is>
          <t>29.08.2026</t>
        </is>
      </c>
      <c r="G161" s="7" t="n">
        <v>30827.38</v>
      </c>
      <c r="H161" s="7" t="n">
        <v>1688.17</v>
      </c>
      <c r="I161" s="7" t="n">
        <v>5852.33</v>
      </c>
      <c r="J161" s="7" t="n">
        <v>32515.55</v>
      </c>
      <c r="K161" s="7" t="n">
        <v>5852.33</v>
      </c>
      <c r="L161" s="7" t="n">
        <v>26663.22</v>
      </c>
      <c r="M161" s="4" t="n">
        <v>28</v>
      </c>
      <c r="N161" s="7" t="n">
        <v>32515.55</v>
      </c>
      <c r="O161" s="4" t="inlineStr">
        <is>
          <t>16322</t>
        </is>
      </c>
      <c r="P161" s="4" t="inlineStr">
        <is>
          <t>7514.01</t>
        </is>
      </c>
    </row>
    <row r="162">
      <c r="A162" s="4" t="inlineStr">
        <is>
          <t>161</t>
        </is>
      </c>
      <c r="B162" s="5" t="inlineStr">
        <is>
          <t>18376672684</t>
        </is>
      </c>
      <c r="C162" s="29" t="inlineStr">
        <is>
          <t>EMİNE ÜZER</t>
        </is>
      </c>
      <c r="D162" s="7" t="n">
        <v>124.78</v>
      </c>
      <c r="E162" s="4" t="inlineStr">
        <is>
          <t>21.07.2026</t>
        </is>
      </c>
      <c r="F162" s="4" t="inlineStr"/>
      <c r="G162" s="7" t="n">
        <v>6606</v>
      </c>
      <c r="H162" s="7" t="n">
        <v>6239</v>
      </c>
      <c r="I162" s="7" t="n">
        <v>1926.75</v>
      </c>
      <c r="J162" s="7" t="n">
        <v>12845</v>
      </c>
      <c r="K162" s="7" t="n">
        <v>1926.75</v>
      </c>
      <c r="L162" s="7" t="n">
        <v>10918.25</v>
      </c>
      <c r="M162" s="4" t="n">
        <v>6</v>
      </c>
      <c r="N162" s="7" t="n">
        <v>12845</v>
      </c>
      <c r="O162" s="4" t="inlineStr">
        <is>
          <t>05510</t>
        </is>
      </c>
      <c r="P162" s="4" t="inlineStr">
        <is>
          <t>7514.01</t>
        </is>
      </c>
    </row>
    <row r="163">
      <c r="A163" s="4" t="inlineStr">
        <is>
          <t>162</t>
        </is>
      </c>
      <c r="B163" s="5" t="inlineStr">
        <is>
          <t>18388523738</t>
        </is>
      </c>
      <c r="C163" s="29" t="inlineStr">
        <is>
          <t>EMİNE ELBİ</t>
        </is>
      </c>
      <c r="D163" s="7" t="n">
        <v>124.78</v>
      </c>
      <c r="E163" s="4" t="inlineStr">
        <is>
          <t>23.06.2026</t>
        </is>
      </c>
      <c r="F163" s="4" t="inlineStr"/>
      <c r="G163" s="7" t="n">
        <v>9909</v>
      </c>
      <c r="H163" s="7" t="n">
        <v>73.40000000000001</v>
      </c>
      <c r="I163" s="7" t="n">
        <v>1497.36</v>
      </c>
      <c r="J163" s="7" t="n">
        <v>9982.4</v>
      </c>
      <c r="K163" s="7" t="n">
        <v>1497.36</v>
      </c>
      <c r="L163" s="7" t="n">
        <v>8485.040000000001</v>
      </c>
      <c r="M163" s="4" t="n">
        <v>9</v>
      </c>
      <c r="N163" s="7" t="n">
        <v>9982.4</v>
      </c>
      <c r="O163" s="4" t="inlineStr">
        <is>
          <t>05510</t>
        </is>
      </c>
      <c r="P163" s="4" t="inlineStr">
        <is>
          <t>7514.01</t>
        </is>
      </c>
    </row>
    <row r="164">
      <c r="A164" s="4" t="inlineStr">
        <is>
          <t>163</t>
        </is>
      </c>
      <c r="B164" s="5" t="inlineStr">
        <is>
          <t>18394573482</t>
        </is>
      </c>
      <c r="C164" s="29" t="inlineStr">
        <is>
          <t>ANIL DEMİRTAŞ</t>
        </is>
      </c>
      <c r="D164" s="7" t="n">
        <v>124.78</v>
      </c>
      <c r="E164" s="4" t="inlineStr">
        <is>
          <t>10.02.2026</t>
        </is>
      </c>
      <c r="F164" s="4" t="inlineStr"/>
      <c r="G164" s="7" t="n">
        <v>26424</v>
      </c>
      <c r="H164" s="7" t="n">
        <v>6092.2</v>
      </c>
      <c r="I164" s="7" t="n">
        <v>5852.43</v>
      </c>
      <c r="J164" s="7" t="n">
        <v>32516.2</v>
      </c>
      <c r="K164" s="7" t="n">
        <v>5852.43</v>
      </c>
      <c r="L164" s="7" t="n">
        <v>26663.77</v>
      </c>
      <c r="M164" s="4" t="n">
        <v>24</v>
      </c>
      <c r="N164" s="7" t="n">
        <v>32516.2</v>
      </c>
      <c r="O164" s="4" t="inlineStr">
        <is>
          <t>05510</t>
        </is>
      </c>
      <c r="P164" s="4" t="inlineStr">
        <is>
          <t>7514.01</t>
        </is>
      </c>
    </row>
    <row r="165">
      <c r="A165" s="4" t="inlineStr">
        <is>
          <t>164</t>
        </is>
      </c>
      <c r="B165" s="5" t="inlineStr">
        <is>
          <t>18442962398</t>
        </is>
      </c>
      <c r="C165" s="29" t="inlineStr">
        <is>
          <t>SILA GÜNEŞ</t>
        </is>
      </c>
      <c r="D165" s="7" t="n">
        <v>124.78</v>
      </c>
      <c r="E165" s="4" t="inlineStr">
        <is>
          <t>13.07.2026</t>
        </is>
      </c>
      <c r="F165" s="4" t="inlineStr"/>
      <c r="G165" s="7" t="n">
        <v>8808</v>
      </c>
      <c r="H165" s="7" t="n">
        <v>9982.4</v>
      </c>
      <c r="I165" s="7" t="n">
        <v>3381.56</v>
      </c>
      <c r="J165" s="7" t="n">
        <v>18790.4</v>
      </c>
      <c r="K165" s="7" t="n">
        <v>3381.56</v>
      </c>
      <c r="L165" s="7" t="n">
        <v>15408.84</v>
      </c>
      <c r="M165" s="4" t="n">
        <v>8</v>
      </c>
      <c r="N165" s="7" t="n">
        <v>18790.4</v>
      </c>
      <c r="O165" s="4" t="inlineStr">
        <is>
          <t>05510</t>
        </is>
      </c>
      <c r="P165" s="4" t="inlineStr">
        <is>
          <t>7514.01</t>
        </is>
      </c>
    </row>
    <row r="166">
      <c r="A166" s="4" t="inlineStr">
        <is>
          <t>165</t>
        </is>
      </c>
      <c r="B166" s="5" t="inlineStr">
        <is>
          <t>18655664102</t>
        </is>
      </c>
      <c r="C166" s="29" t="inlineStr">
        <is>
          <t>ADVİYE YARICI</t>
        </is>
      </c>
      <c r="D166" s="7" t="n">
        <v>146.6</v>
      </c>
      <c r="E166" s="4" t="inlineStr">
        <is>
          <t>06.01.2025</t>
        </is>
      </c>
      <c r="F166" s="4" t="inlineStr"/>
      <c r="G166" s="7" t="n">
        <v>38696.19</v>
      </c>
      <c r="H166" s="7" t="n">
        <v>436.04</v>
      </c>
      <c r="I166" s="7" t="n">
        <v>6953.53</v>
      </c>
      <c r="J166" s="7" t="n">
        <v>39132.23</v>
      </c>
      <c r="K166" s="7" t="n">
        <v>6953.53</v>
      </c>
      <c r="L166" s="7" t="n">
        <v>32178.7</v>
      </c>
      <c r="M166" s="4" t="n">
        <v>29</v>
      </c>
      <c r="N166" s="7" t="n">
        <v>39132.23</v>
      </c>
      <c r="O166" s="4" t="inlineStr">
        <is>
          <t>05510</t>
        </is>
      </c>
      <c r="P166" s="4" t="inlineStr">
        <is>
          <t>7514.01</t>
        </is>
      </c>
    </row>
    <row r="167">
      <c r="A167" s="4" t="inlineStr">
        <is>
          <t>166</t>
        </is>
      </c>
      <c r="B167" s="5" t="inlineStr">
        <is>
          <t>18670663692</t>
        </is>
      </c>
      <c r="C167" s="29" t="inlineStr">
        <is>
          <t>ÖMÜR MERCAN</t>
        </is>
      </c>
      <c r="D167" s="7" t="n">
        <v>124.78</v>
      </c>
      <c r="E167" s="4" t="inlineStr">
        <is>
          <t>29.06.2026</t>
        </is>
      </c>
      <c r="F167" s="4" t="inlineStr"/>
      <c r="G167" s="7" t="n">
        <v>0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0</v>
      </c>
      <c r="M167" s="4" t="n">
        <v>0</v>
      </c>
      <c r="N167" s="7" t="n">
        <v>0</v>
      </c>
      <c r="O167" s="4" t="inlineStr">
        <is>
          <t>05510</t>
        </is>
      </c>
      <c r="P167" s="4" t="inlineStr">
        <is>
          <t>7514.01</t>
        </is>
      </c>
    </row>
    <row r="168">
      <c r="A168" s="4" t="inlineStr">
        <is>
          <t>167</t>
        </is>
      </c>
      <c r="B168" s="5" t="inlineStr">
        <is>
          <t>18748661292</t>
        </is>
      </c>
      <c r="C168" s="29" t="inlineStr">
        <is>
          <t>ABDULLAH KAYA</t>
        </is>
      </c>
      <c r="D168" s="7" t="n">
        <v>146.6</v>
      </c>
      <c r="E168" s="4" t="inlineStr">
        <is>
          <t>26.07.2026</t>
        </is>
      </c>
      <c r="F168" s="4" t="inlineStr">
        <is>
          <t>29.08.2026</t>
        </is>
      </c>
      <c r="G168" s="7" t="n">
        <v>10348.24</v>
      </c>
      <c r="H168" s="7" t="n">
        <v>0</v>
      </c>
      <c r="I168" s="7" t="n">
        <v>1552.24</v>
      </c>
      <c r="J168" s="7" t="n">
        <v>10348.24</v>
      </c>
      <c r="K168" s="7" t="n">
        <v>1552.24</v>
      </c>
      <c r="L168" s="7" t="n">
        <v>8796</v>
      </c>
      <c r="M168" s="4" t="n">
        <v>8</v>
      </c>
      <c r="N168" s="7" t="n">
        <v>10348.24</v>
      </c>
      <c r="O168" s="4" t="inlineStr">
        <is>
          <t>05510</t>
        </is>
      </c>
      <c r="P168" s="4" t="inlineStr">
        <is>
          <t>7514.01</t>
        </is>
      </c>
    </row>
    <row r="169">
      <c r="A169" s="4" t="inlineStr">
        <is>
          <t>168</t>
        </is>
      </c>
      <c r="B169" s="5" t="inlineStr">
        <is>
          <t>18781659140</t>
        </is>
      </c>
      <c r="C169" s="29" t="inlineStr">
        <is>
          <t>BİRGÜL ELEKÇİEL</t>
        </is>
      </c>
      <c r="D169" s="7" t="n">
        <v>124.78</v>
      </c>
      <c r="E169" s="4" t="inlineStr">
        <is>
          <t>27.07.2026</t>
        </is>
      </c>
      <c r="F169" s="4" t="inlineStr"/>
      <c r="G169" s="7" t="n">
        <v>0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0</v>
      </c>
      <c r="M169" s="4" t="n">
        <v>0</v>
      </c>
      <c r="N169" s="7" t="n">
        <v>0</v>
      </c>
      <c r="O169" s="4" t="inlineStr">
        <is>
          <t>05510</t>
        </is>
      </c>
      <c r="P169" s="4" t="inlineStr">
        <is>
          <t>7514.01</t>
        </is>
      </c>
    </row>
    <row r="170">
      <c r="A170" s="4" t="inlineStr">
        <is>
          <t>169</t>
        </is>
      </c>
      <c r="B170" s="5" t="inlineStr">
        <is>
          <t>18844853416</t>
        </is>
      </c>
      <c r="C170" s="29" t="inlineStr">
        <is>
          <t>CANER BALABAN</t>
        </is>
      </c>
      <c r="D170" s="7" t="n">
        <v>124.78</v>
      </c>
      <c r="E170" s="4" t="inlineStr">
        <is>
          <t>21.08.2026</t>
        </is>
      </c>
      <c r="F170" s="4" t="inlineStr"/>
      <c r="G170" s="7" t="n">
        <v>5505</v>
      </c>
      <c r="H170" s="7" t="n">
        <v>6239</v>
      </c>
      <c r="I170" s="7" t="n">
        <v>1761.6</v>
      </c>
      <c r="J170" s="7" t="n">
        <v>11744</v>
      </c>
      <c r="K170" s="7" t="n">
        <v>1761.6</v>
      </c>
      <c r="L170" s="7" t="n">
        <v>9982.4</v>
      </c>
      <c r="M170" s="4" t="n">
        <v>5</v>
      </c>
      <c r="N170" s="7" t="n">
        <v>11744</v>
      </c>
      <c r="O170" s="4" t="inlineStr">
        <is>
          <t>05510</t>
        </is>
      </c>
      <c r="P170" s="4" t="inlineStr">
        <is>
          <t>7514.01</t>
        </is>
      </c>
    </row>
    <row r="171">
      <c r="A171" s="4" t="inlineStr">
        <is>
          <t>170</t>
        </is>
      </c>
      <c r="B171" s="5" t="inlineStr">
        <is>
          <t>18847656960</t>
        </is>
      </c>
      <c r="C171" s="29" t="inlineStr">
        <is>
          <t>SEÇİL ARIBOĞA</t>
        </is>
      </c>
      <c r="D171" s="7" t="n">
        <v>124.78</v>
      </c>
      <c r="E171" s="4" t="inlineStr">
        <is>
          <t>10.02.2026</t>
        </is>
      </c>
      <c r="F171" s="4" t="inlineStr"/>
      <c r="G171" s="7" t="n">
        <v>19818</v>
      </c>
      <c r="H171" s="7" t="n">
        <v>8734.6</v>
      </c>
      <c r="I171" s="7" t="n">
        <v>4282.89</v>
      </c>
      <c r="J171" s="7" t="n">
        <v>28552.6</v>
      </c>
      <c r="K171" s="7" t="n">
        <v>4282.89</v>
      </c>
      <c r="L171" s="7" t="n">
        <v>24269.71</v>
      </c>
      <c r="M171" s="4" t="n">
        <v>18</v>
      </c>
      <c r="N171" s="7" t="n">
        <v>28552.6</v>
      </c>
      <c r="O171" s="4" t="inlineStr">
        <is>
          <t>05510</t>
        </is>
      </c>
      <c r="P171" s="4" t="inlineStr">
        <is>
          <t>7514.01</t>
        </is>
      </c>
    </row>
    <row r="172">
      <c r="A172" s="4" t="inlineStr">
        <is>
          <t>171</t>
        </is>
      </c>
      <c r="B172" s="5" t="inlineStr">
        <is>
          <t>19072649468</t>
        </is>
      </c>
      <c r="C172" s="29" t="inlineStr">
        <is>
          <t>SELİME DUMAN</t>
        </is>
      </c>
      <c r="D172" s="7" t="n">
        <v>124.78</v>
      </c>
      <c r="E172" s="4" t="inlineStr">
        <is>
          <t>26.07.2026</t>
        </is>
      </c>
      <c r="F172" s="4" t="inlineStr"/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4" t="n">
        <v>0</v>
      </c>
      <c r="N172" s="7" t="n">
        <v>0</v>
      </c>
      <c r="O172" s="4" t="inlineStr">
        <is>
          <t>05510</t>
        </is>
      </c>
      <c r="P172" s="4" t="inlineStr">
        <is>
          <t>7514.01</t>
        </is>
      </c>
    </row>
    <row r="173">
      <c r="A173" s="4" t="inlineStr">
        <is>
          <t>172</t>
        </is>
      </c>
      <c r="B173" s="5" t="inlineStr">
        <is>
          <t>19111648124</t>
        </is>
      </c>
      <c r="C173" s="29" t="inlineStr">
        <is>
          <t>DİLEK ARTAN</t>
        </is>
      </c>
      <c r="D173" s="7" t="n">
        <v>124.78</v>
      </c>
      <c r="E173" s="4" t="inlineStr">
        <is>
          <t>27.07.2026</t>
        </is>
      </c>
      <c r="F173" s="4" t="inlineStr"/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4" t="n">
        <v>0</v>
      </c>
      <c r="N173" s="7" t="n">
        <v>0</v>
      </c>
      <c r="O173" s="4" t="inlineStr">
        <is>
          <t>05510</t>
        </is>
      </c>
      <c r="P173" s="4" t="inlineStr">
        <is>
          <t>7514.01</t>
        </is>
      </c>
    </row>
    <row r="174">
      <c r="A174" s="4" t="inlineStr">
        <is>
          <t>173</t>
        </is>
      </c>
      <c r="B174" s="5" t="inlineStr">
        <is>
          <t>19129307822</t>
        </is>
      </c>
      <c r="C174" s="29" t="inlineStr">
        <is>
          <t>MÜNEVVER AKYILDIRIM</t>
        </is>
      </c>
      <c r="D174" s="7" t="n">
        <v>124.78</v>
      </c>
      <c r="E174" s="4" t="inlineStr">
        <is>
          <t>06.07.2026</t>
        </is>
      </c>
      <c r="F174" s="4" t="inlineStr"/>
      <c r="G174" s="7" t="n">
        <v>9909</v>
      </c>
      <c r="H174" s="7" t="n">
        <v>12331.2</v>
      </c>
      <c r="I174" s="7" t="n">
        <v>4003.03</v>
      </c>
      <c r="J174" s="7" t="n">
        <v>22240.2</v>
      </c>
      <c r="K174" s="7" t="n">
        <v>4003.03</v>
      </c>
      <c r="L174" s="7" t="n">
        <v>18237.17</v>
      </c>
      <c r="M174" s="4" t="n">
        <v>9</v>
      </c>
      <c r="N174" s="7" t="n">
        <v>22240.2</v>
      </c>
      <c r="O174" s="4" t="inlineStr">
        <is>
          <t>05510</t>
        </is>
      </c>
      <c r="P174" s="4" t="inlineStr">
        <is>
          <t>7514.01</t>
        </is>
      </c>
    </row>
    <row r="175">
      <c r="A175" s="4" t="inlineStr">
        <is>
          <t>174</t>
        </is>
      </c>
      <c r="B175" s="5" t="inlineStr">
        <is>
          <t>19313787324</t>
        </is>
      </c>
      <c r="C175" s="29" t="inlineStr">
        <is>
          <t>CİHAN YILMAZ</t>
        </is>
      </c>
      <c r="D175" s="7" t="n">
        <v>124.78</v>
      </c>
      <c r="E175" s="4" t="inlineStr">
        <is>
          <t>11.05.2026</t>
        </is>
      </c>
      <c r="F175" s="4" t="inlineStr"/>
      <c r="G175" s="7" t="n">
        <v>29727</v>
      </c>
      <c r="H175" s="7" t="n">
        <v>2422.2</v>
      </c>
      <c r="I175" s="7" t="n">
        <v>5786.38</v>
      </c>
      <c r="J175" s="7" t="n">
        <v>32149.2</v>
      </c>
      <c r="K175" s="7" t="n">
        <v>5786.38</v>
      </c>
      <c r="L175" s="7" t="n">
        <v>26362.82</v>
      </c>
      <c r="M175" s="4" t="n">
        <v>27</v>
      </c>
      <c r="N175" s="7" t="n">
        <v>32149.2</v>
      </c>
      <c r="O175" s="4" t="inlineStr">
        <is>
          <t>05510</t>
        </is>
      </c>
      <c r="P175" s="4" t="inlineStr">
        <is>
          <t>7514.01</t>
        </is>
      </c>
    </row>
    <row r="176">
      <c r="A176" s="4" t="inlineStr">
        <is>
          <t>175</t>
        </is>
      </c>
      <c r="B176" s="5" t="inlineStr">
        <is>
          <t>19319020364</t>
        </is>
      </c>
      <c r="C176" s="29" t="inlineStr">
        <is>
          <t>NİHAL GÜLSU</t>
        </is>
      </c>
      <c r="D176" s="7" t="n">
        <v>33030</v>
      </c>
      <c r="E176" s="4" t="inlineStr">
        <is>
          <t>18.08.2025</t>
        </is>
      </c>
      <c r="F176" s="4" t="inlineStr"/>
      <c r="G176" s="7" t="n">
        <v>0</v>
      </c>
      <c r="H176" s="7" t="n">
        <v>0</v>
      </c>
      <c r="I176" s="7" t="n">
        <v>0</v>
      </c>
      <c r="J176" s="7" t="n">
        <v>0</v>
      </c>
      <c r="K176" s="7" t="n">
        <v>0</v>
      </c>
      <c r="L176" s="7" t="n">
        <v>0</v>
      </c>
      <c r="M176" s="4" t="n">
        <v>0</v>
      </c>
      <c r="N176" s="7" t="n">
        <v>0</v>
      </c>
      <c r="O176" s="4" t="inlineStr">
        <is>
          <t>00000</t>
        </is>
      </c>
      <c r="P176" s="4" t="inlineStr">
        <is>
          <t>4311.13</t>
        </is>
      </c>
    </row>
    <row r="177">
      <c r="A177" s="4" t="inlineStr">
        <is>
          <t>176</t>
        </is>
      </c>
      <c r="B177" s="5" t="inlineStr">
        <is>
          <t>19450488504</t>
        </is>
      </c>
      <c r="C177" s="29" t="inlineStr">
        <is>
          <t>RABİA SILA ALKAN</t>
        </is>
      </c>
      <c r="D177" s="7" t="n">
        <v>124.78</v>
      </c>
      <c r="E177" s="4" t="inlineStr">
        <is>
          <t>28.07.2026</t>
        </is>
      </c>
      <c r="F177" s="4" t="inlineStr"/>
      <c r="G177" s="7" t="n">
        <v>0</v>
      </c>
      <c r="H177" s="7" t="n">
        <v>0</v>
      </c>
      <c r="I177" s="7" t="n">
        <v>0</v>
      </c>
      <c r="J177" s="7" t="n">
        <v>0</v>
      </c>
      <c r="K177" s="7" t="n">
        <v>0</v>
      </c>
      <c r="L177" s="7" t="n">
        <v>0</v>
      </c>
      <c r="M177" s="4" t="n">
        <v>0</v>
      </c>
      <c r="N177" s="7" t="n">
        <v>0</v>
      </c>
      <c r="O177" s="4" t="inlineStr">
        <is>
          <t>05510</t>
        </is>
      </c>
      <c r="P177" s="4" t="inlineStr">
        <is>
          <t>7514.01</t>
        </is>
      </c>
    </row>
    <row r="178">
      <c r="A178" s="4" t="inlineStr">
        <is>
          <t>177</t>
        </is>
      </c>
      <c r="B178" s="5" t="inlineStr">
        <is>
          <t>19492644548</t>
        </is>
      </c>
      <c r="C178" s="29" t="inlineStr">
        <is>
          <t>GÜLTEN AKÇA</t>
        </is>
      </c>
      <c r="D178" s="7" t="n">
        <v>146.6</v>
      </c>
      <c r="E178" s="4" t="inlineStr">
        <is>
          <t>10.08.2026</t>
        </is>
      </c>
      <c r="F178" s="4" t="inlineStr"/>
      <c r="G178" s="7" t="n">
        <v>1293.53</v>
      </c>
      <c r="H178" s="7" t="n">
        <v>0</v>
      </c>
      <c r="I178" s="7" t="n">
        <v>194.03</v>
      </c>
      <c r="J178" s="7" t="n">
        <v>1293.53</v>
      </c>
      <c r="K178" s="7" t="n">
        <v>194.03</v>
      </c>
      <c r="L178" s="7" t="n">
        <v>1099.5</v>
      </c>
      <c r="M178" s="4" t="n">
        <v>1</v>
      </c>
      <c r="N178" s="7" t="n">
        <v>1293.53</v>
      </c>
      <c r="O178" s="4" t="inlineStr">
        <is>
          <t>05510</t>
        </is>
      </c>
      <c r="P178" s="4" t="inlineStr">
        <is>
          <t>7514.01</t>
        </is>
      </c>
    </row>
    <row r="179">
      <c r="A179" s="4" t="inlineStr">
        <is>
          <t>178</t>
        </is>
      </c>
      <c r="B179" s="5" t="inlineStr">
        <is>
          <t>19633628390</t>
        </is>
      </c>
      <c r="C179" s="29" t="inlineStr">
        <is>
          <t>SERAP KURUMLU</t>
        </is>
      </c>
      <c r="D179" s="7" t="n">
        <v>146.6</v>
      </c>
      <c r="E179" s="4" t="inlineStr">
        <is>
          <t>20.07.2026</t>
        </is>
      </c>
      <c r="F179" s="4" t="inlineStr"/>
      <c r="G179" s="7" t="n">
        <v>28457.65</v>
      </c>
      <c r="H179" s="7" t="n">
        <v>344.94</v>
      </c>
      <c r="I179" s="7" t="n">
        <v>5184.39</v>
      </c>
      <c r="J179" s="7" t="n">
        <v>28802.59</v>
      </c>
      <c r="K179" s="7" t="n">
        <v>5184.39</v>
      </c>
      <c r="L179" s="7" t="n">
        <v>23618.2</v>
      </c>
      <c r="M179" s="4" t="n">
        <v>22</v>
      </c>
      <c r="N179" s="7" t="n">
        <v>28802.59</v>
      </c>
      <c r="O179" s="4" t="inlineStr">
        <is>
          <t>05510</t>
        </is>
      </c>
      <c r="P179" s="4" t="inlineStr">
        <is>
          <t>7514.01</t>
        </is>
      </c>
    </row>
    <row r="180">
      <c r="A180" s="4" t="inlineStr">
        <is>
          <t>179</t>
        </is>
      </c>
      <c r="B180" s="5" t="inlineStr">
        <is>
          <t>19723478966</t>
        </is>
      </c>
      <c r="C180" s="29" t="inlineStr">
        <is>
          <t>SELMA AYHAN</t>
        </is>
      </c>
      <c r="D180" s="7" t="n">
        <v>124.78</v>
      </c>
      <c r="E180" s="4" t="inlineStr">
        <is>
          <t>25.06.2026</t>
        </is>
      </c>
      <c r="F180" s="4" t="inlineStr"/>
      <c r="G180" s="7" t="n">
        <v>29727</v>
      </c>
      <c r="H180" s="7" t="n">
        <v>1247.8</v>
      </c>
      <c r="I180" s="7" t="n">
        <v>4646.22</v>
      </c>
      <c r="J180" s="7" t="n">
        <v>30974.8</v>
      </c>
      <c r="K180" s="7" t="n">
        <v>4646.22</v>
      </c>
      <c r="L180" s="7" t="n">
        <v>26328.58</v>
      </c>
      <c r="M180" s="4" t="n">
        <v>27</v>
      </c>
      <c r="N180" s="7" t="n">
        <v>30974.8</v>
      </c>
      <c r="O180" s="4" t="inlineStr">
        <is>
          <t>05510</t>
        </is>
      </c>
      <c r="P180" s="4" t="inlineStr">
        <is>
          <t>7514.01</t>
        </is>
      </c>
    </row>
    <row r="181">
      <c r="A181" s="4" t="inlineStr">
        <is>
          <t>180</t>
        </is>
      </c>
      <c r="B181" s="5" t="inlineStr">
        <is>
          <t>19744627190</t>
        </is>
      </c>
      <c r="C181" s="29" t="inlineStr">
        <is>
          <t>ÜÜNAL ÖZER</t>
        </is>
      </c>
      <c r="D181" s="7" t="n">
        <v>124.78</v>
      </c>
      <c r="E181" s="4" t="inlineStr">
        <is>
          <t>08.07.2026</t>
        </is>
      </c>
      <c r="F181" s="4" t="inlineStr"/>
      <c r="G181" s="7" t="n">
        <v>0</v>
      </c>
      <c r="H181" s="7" t="n">
        <v>0</v>
      </c>
      <c r="I181" s="7" t="n">
        <v>0</v>
      </c>
      <c r="J181" s="7" t="n">
        <v>0</v>
      </c>
      <c r="K181" s="7" t="n">
        <v>0</v>
      </c>
      <c r="L181" s="7" t="n">
        <v>0</v>
      </c>
      <c r="M181" s="4" t="n">
        <v>0</v>
      </c>
      <c r="N181" s="7" t="n">
        <v>0</v>
      </c>
      <c r="O181" s="4" t="inlineStr">
        <is>
          <t>05510</t>
        </is>
      </c>
      <c r="P181" s="4" t="inlineStr">
        <is>
          <t>7514.01</t>
        </is>
      </c>
    </row>
    <row r="182">
      <c r="A182" s="4" t="inlineStr">
        <is>
          <t>181</t>
        </is>
      </c>
      <c r="B182" s="5" t="inlineStr">
        <is>
          <t>19754310662</t>
        </is>
      </c>
      <c r="C182" s="29" t="inlineStr">
        <is>
          <t>FATMA ASLAN</t>
        </is>
      </c>
      <c r="D182" s="7" t="n">
        <v>146.6</v>
      </c>
      <c r="E182" s="4" t="inlineStr">
        <is>
          <t>06.04.2026</t>
        </is>
      </c>
      <c r="F182" s="4" t="inlineStr"/>
      <c r="G182" s="7" t="n">
        <v>0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0</v>
      </c>
      <c r="M182" s="4" t="n">
        <v>0</v>
      </c>
      <c r="N182" s="7" t="n">
        <v>0</v>
      </c>
      <c r="O182" s="4" t="inlineStr">
        <is>
          <t>05510</t>
        </is>
      </c>
      <c r="P182" s="4" t="inlineStr">
        <is>
          <t>7514.01</t>
        </is>
      </c>
    </row>
    <row r="183">
      <c r="A183" s="4" t="inlineStr">
        <is>
          <t>182</t>
        </is>
      </c>
      <c r="B183" s="5" t="inlineStr">
        <is>
          <t>19783626574</t>
        </is>
      </c>
      <c r="C183" s="29" t="inlineStr">
        <is>
          <t>MACİDE PIRLAK</t>
        </is>
      </c>
      <c r="D183" s="7" t="n">
        <v>146.6</v>
      </c>
      <c r="E183" s="4" t="inlineStr">
        <is>
          <t>13.01.2025</t>
        </is>
      </c>
      <c r="F183" s="4" t="inlineStr"/>
      <c r="G183" s="7" t="n">
        <v>9054.709999999999</v>
      </c>
      <c r="H183" s="7" t="n">
        <v>86.23999999999999</v>
      </c>
      <c r="I183" s="7" t="n">
        <v>1371.14</v>
      </c>
      <c r="J183" s="7" t="n">
        <v>9140.940000000001</v>
      </c>
      <c r="K183" s="7" t="n">
        <v>5714.14</v>
      </c>
      <c r="L183" s="7" t="n">
        <v>3426.8</v>
      </c>
      <c r="M183" s="4" t="n">
        <v>7</v>
      </c>
      <c r="N183" s="7" t="n">
        <v>9140.940000000001</v>
      </c>
      <c r="O183" s="4" t="inlineStr">
        <is>
          <t>05510</t>
        </is>
      </c>
      <c r="P183" s="4" t="inlineStr">
        <is>
          <t>7514.01</t>
        </is>
      </c>
    </row>
    <row r="184">
      <c r="A184" s="4" t="inlineStr">
        <is>
          <t>183</t>
        </is>
      </c>
      <c r="B184" s="5" t="inlineStr">
        <is>
          <t>19966627466</t>
        </is>
      </c>
      <c r="C184" s="29" t="inlineStr">
        <is>
          <t>HAYRİYE KARGA</t>
        </is>
      </c>
      <c r="D184" s="7" t="n">
        <v>124.78</v>
      </c>
      <c r="E184" s="4" t="inlineStr">
        <is>
          <t>28.06.2026</t>
        </is>
      </c>
      <c r="F184" s="4" t="inlineStr"/>
      <c r="G184" s="7" t="n">
        <v>0</v>
      </c>
      <c r="H184" s="7" t="n">
        <v>0</v>
      </c>
      <c r="I184" s="7" t="n">
        <v>0</v>
      </c>
      <c r="J184" s="7" t="n">
        <v>0</v>
      </c>
      <c r="K184" s="7" t="n">
        <v>0</v>
      </c>
      <c r="L184" s="7" t="n">
        <v>0</v>
      </c>
      <c r="M184" s="4" t="n">
        <v>0</v>
      </c>
      <c r="N184" s="7" t="n">
        <v>0</v>
      </c>
      <c r="O184" s="4" t="inlineStr">
        <is>
          <t>05510</t>
        </is>
      </c>
      <c r="P184" s="4" t="inlineStr">
        <is>
          <t>7514.01</t>
        </is>
      </c>
    </row>
    <row r="185">
      <c r="A185" s="4" t="inlineStr">
        <is>
          <t>184</t>
        </is>
      </c>
      <c r="B185" s="5" t="inlineStr">
        <is>
          <t>20014469792</t>
        </is>
      </c>
      <c r="C185" s="29" t="inlineStr">
        <is>
          <t>ADEM ÇETİN</t>
        </is>
      </c>
      <c r="D185" s="7" t="n">
        <v>146.6</v>
      </c>
      <c r="E185" s="4" t="inlineStr">
        <is>
          <t>17.07.2026</t>
        </is>
      </c>
      <c r="F185" s="4" t="inlineStr">
        <is>
          <t>08.08.2026</t>
        </is>
      </c>
      <c r="G185" s="7" t="n">
        <v>1293.53</v>
      </c>
      <c r="H185" s="7" t="n">
        <v>0</v>
      </c>
      <c r="I185" s="7" t="n">
        <v>232.03</v>
      </c>
      <c r="J185" s="7" t="n">
        <v>1293.53</v>
      </c>
      <c r="K185" s="7" t="n">
        <v>232.03</v>
      </c>
      <c r="L185" s="7" t="n">
        <v>1061.5</v>
      </c>
      <c r="M185" s="4" t="n">
        <v>1</v>
      </c>
      <c r="N185" s="7" t="n">
        <v>1293.53</v>
      </c>
      <c r="O185" s="4" t="inlineStr">
        <is>
          <t>05510</t>
        </is>
      </c>
      <c r="P185" s="4" t="inlineStr">
        <is>
          <t>7514.01</t>
        </is>
      </c>
    </row>
    <row r="186">
      <c r="A186" s="4" t="inlineStr">
        <is>
          <t>185</t>
        </is>
      </c>
      <c r="B186" s="5" t="inlineStr">
        <is>
          <t>20036722080</t>
        </is>
      </c>
      <c r="C186" s="29" t="inlineStr">
        <is>
          <t>ELMAS OMAY</t>
        </is>
      </c>
      <c r="D186" s="7" t="n">
        <v>124.78</v>
      </c>
      <c r="E186" s="4" t="inlineStr">
        <is>
          <t>14.06.2021</t>
        </is>
      </c>
      <c r="F186" s="4" t="inlineStr"/>
      <c r="G186" s="7" t="n">
        <v>34420.92</v>
      </c>
      <c r="H186" s="7" t="n">
        <v>2226.81</v>
      </c>
      <c r="I186" s="7" t="n">
        <v>6139.63</v>
      </c>
      <c r="J186" s="7" t="n">
        <v>36647.73</v>
      </c>
      <c r="K186" s="7" t="n">
        <v>14639.63</v>
      </c>
      <c r="L186" s="7" t="n">
        <v>22008.1</v>
      </c>
      <c r="M186" s="4" t="n">
        <v>30</v>
      </c>
      <c r="N186" s="7" t="n">
        <v>36647.73</v>
      </c>
      <c r="O186" s="4" t="inlineStr">
        <is>
          <t>16322</t>
        </is>
      </c>
      <c r="P186" s="4" t="inlineStr">
        <is>
          <t>7514.01</t>
        </is>
      </c>
    </row>
    <row r="187">
      <c r="A187" s="4" t="inlineStr">
        <is>
          <t>186</t>
        </is>
      </c>
      <c r="B187" s="5" t="inlineStr">
        <is>
          <t>20266511430</t>
        </is>
      </c>
      <c r="C187" s="29" t="inlineStr">
        <is>
          <t>ELİF YAVAŞ</t>
        </is>
      </c>
      <c r="D187" s="7" t="n">
        <v>155.5</v>
      </c>
      <c r="E187" s="4" t="inlineStr">
        <is>
          <t>01.06.2025</t>
        </is>
      </c>
      <c r="F187" s="4" t="inlineStr"/>
      <c r="G187" s="7" t="n">
        <v>45043.88</v>
      </c>
      <c r="H187" s="7" t="n">
        <v>0</v>
      </c>
      <c r="I187" s="7" t="n">
        <v>8890.129999999999</v>
      </c>
      <c r="J187" s="7" t="n">
        <v>45043.88</v>
      </c>
      <c r="K187" s="7" t="n">
        <v>8890.129999999999</v>
      </c>
      <c r="L187" s="7" t="n">
        <v>36153.75</v>
      </c>
      <c r="M187" s="4" t="n">
        <v>30</v>
      </c>
      <c r="N187" s="7" t="n">
        <v>45043.88</v>
      </c>
      <c r="O187" s="4" t="inlineStr">
        <is>
          <t>16322</t>
        </is>
      </c>
      <c r="P187" s="4" t="inlineStr">
        <is>
          <t>3313.01</t>
        </is>
      </c>
    </row>
    <row r="188">
      <c r="A188" s="4" t="inlineStr">
        <is>
          <t>187</t>
        </is>
      </c>
      <c r="B188" s="5" t="inlineStr">
        <is>
          <t>20290485820</t>
        </is>
      </c>
      <c r="C188" s="29" t="inlineStr">
        <is>
          <t>HANIFE YILDIRIM</t>
        </is>
      </c>
      <c r="D188" s="7" t="n">
        <v>146.6</v>
      </c>
      <c r="E188" s="4" t="inlineStr">
        <is>
          <t>24.06.2026</t>
        </is>
      </c>
      <c r="F188" s="4" t="inlineStr"/>
      <c r="G188" s="7" t="n">
        <v>24577.06</v>
      </c>
      <c r="H188" s="7" t="n">
        <v>603.65</v>
      </c>
      <c r="I188" s="7" t="n">
        <v>3777.11</v>
      </c>
      <c r="J188" s="7" t="n">
        <v>25180.71</v>
      </c>
      <c r="K188" s="7" t="n">
        <v>3777.11</v>
      </c>
      <c r="L188" s="7" t="n">
        <v>21403.6</v>
      </c>
      <c r="M188" s="4" t="n">
        <v>19</v>
      </c>
      <c r="N188" s="7" t="n">
        <v>25180.71</v>
      </c>
      <c r="O188" s="4" t="inlineStr">
        <is>
          <t>05510</t>
        </is>
      </c>
      <c r="P188" s="4" t="inlineStr">
        <is>
          <t>7514.01</t>
        </is>
      </c>
    </row>
    <row r="189">
      <c r="A189" s="4" t="inlineStr">
        <is>
          <t>188</t>
        </is>
      </c>
      <c r="B189" s="5" t="inlineStr">
        <is>
          <t>20374606288</t>
        </is>
      </c>
      <c r="C189" s="29" t="inlineStr">
        <is>
          <t>TANER BEYİRKEN</t>
        </is>
      </c>
      <c r="D189" s="7" t="n">
        <v>124.78</v>
      </c>
      <c r="E189" s="4" t="inlineStr">
        <is>
          <t>18.06.2026</t>
        </is>
      </c>
      <c r="F189" s="4" t="inlineStr"/>
      <c r="G189" s="7" t="n">
        <v>20919</v>
      </c>
      <c r="H189" s="7" t="n">
        <v>6826.2</v>
      </c>
      <c r="I189" s="7" t="n">
        <v>4993.78</v>
      </c>
      <c r="J189" s="7" t="n">
        <v>27745.2</v>
      </c>
      <c r="K189" s="7" t="n">
        <v>4993.78</v>
      </c>
      <c r="L189" s="7" t="n">
        <v>22751.42</v>
      </c>
      <c r="M189" s="4" t="n">
        <v>19</v>
      </c>
      <c r="N189" s="7" t="n">
        <v>27745.2</v>
      </c>
      <c r="O189" s="4" t="inlineStr">
        <is>
          <t>05510</t>
        </is>
      </c>
      <c r="P189" s="4" t="inlineStr">
        <is>
          <t>7514.01</t>
        </is>
      </c>
    </row>
    <row r="190">
      <c r="A190" s="4" t="inlineStr">
        <is>
          <t>189</t>
        </is>
      </c>
      <c r="B190" s="5" t="inlineStr">
        <is>
          <t>20392457114</t>
        </is>
      </c>
      <c r="C190" s="29" t="inlineStr">
        <is>
          <t>EMİNE DEDE</t>
        </is>
      </c>
      <c r="D190" s="7" t="n">
        <v>124.78</v>
      </c>
      <c r="E190" s="4" t="inlineStr">
        <is>
          <t>28.07.2026</t>
        </is>
      </c>
      <c r="F190" s="4" t="inlineStr"/>
      <c r="G190" s="7" t="n">
        <v>0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0</v>
      </c>
      <c r="M190" s="4" t="n">
        <v>0</v>
      </c>
      <c r="N190" s="7" t="n">
        <v>0</v>
      </c>
      <c r="O190" s="4" t="inlineStr">
        <is>
          <t>05510</t>
        </is>
      </c>
      <c r="P190" s="4" t="inlineStr">
        <is>
          <t>7514.01</t>
        </is>
      </c>
    </row>
    <row r="191">
      <c r="A191" s="4" t="inlineStr">
        <is>
          <t>190</t>
        </is>
      </c>
      <c r="B191" s="5" t="inlineStr">
        <is>
          <t>20437654348</t>
        </is>
      </c>
      <c r="C191" s="29" t="inlineStr">
        <is>
          <t>ADALET KALAYCI</t>
        </is>
      </c>
      <c r="D191" s="7" t="n">
        <v>146.6</v>
      </c>
      <c r="E191" s="4" t="inlineStr">
        <is>
          <t>10.02.2026</t>
        </is>
      </c>
      <c r="F191" s="4" t="inlineStr"/>
      <c r="G191" s="7" t="n">
        <v>39440.7</v>
      </c>
      <c r="H191" s="7" t="n">
        <v>307.59</v>
      </c>
      <c r="I191" s="7" t="n">
        <v>6543.39</v>
      </c>
      <c r="J191" s="7" t="n">
        <v>39748.29</v>
      </c>
      <c r="K191" s="7" t="n">
        <v>6543.39</v>
      </c>
      <c r="L191" s="7" t="n">
        <v>33204.9</v>
      </c>
      <c r="M191" s="4" t="n">
        <v>30</v>
      </c>
      <c r="N191" s="7" t="n">
        <v>39748.29</v>
      </c>
      <c r="O191" s="4" t="inlineStr">
        <is>
          <t>05510</t>
        </is>
      </c>
      <c r="P191" s="4" t="inlineStr">
        <is>
          <t>7514.01</t>
        </is>
      </c>
    </row>
    <row r="192">
      <c r="A192" s="4" t="inlineStr">
        <is>
          <t>191</t>
        </is>
      </c>
      <c r="B192" s="5" t="inlineStr">
        <is>
          <t>20458603738</t>
        </is>
      </c>
      <c r="C192" s="29" t="inlineStr">
        <is>
          <t>MAHMURE ESEN</t>
        </is>
      </c>
      <c r="D192" s="7" t="n">
        <v>146.6</v>
      </c>
      <c r="E192" s="4" t="inlineStr">
        <is>
          <t>03.11.2025</t>
        </is>
      </c>
      <c r="F192" s="4" t="inlineStr"/>
      <c r="G192" s="7" t="n">
        <v>21990</v>
      </c>
      <c r="H192" s="7" t="n">
        <v>517.41</v>
      </c>
      <c r="I192" s="7" t="n">
        <v>3376.11</v>
      </c>
      <c r="J192" s="7" t="n">
        <v>22507.41</v>
      </c>
      <c r="K192" s="7" t="n">
        <v>3376.11</v>
      </c>
      <c r="L192" s="7" t="n">
        <v>19131.3</v>
      </c>
      <c r="M192" s="4" t="n">
        <v>17</v>
      </c>
      <c r="N192" s="7" t="n">
        <v>22507.41</v>
      </c>
      <c r="O192" s="4" t="inlineStr">
        <is>
          <t>05510</t>
        </is>
      </c>
      <c r="P192" s="4" t="inlineStr">
        <is>
          <t>7514.01</t>
        </is>
      </c>
    </row>
    <row r="193">
      <c r="A193" s="4" t="inlineStr">
        <is>
          <t>192</t>
        </is>
      </c>
      <c r="B193" s="5" t="inlineStr">
        <is>
          <t>20503503198</t>
        </is>
      </c>
      <c r="C193" s="29" t="inlineStr">
        <is>
          <t>EMİNE ÇAPAR</t>
        </is>
      </c>
      <c r="D193" s="7" t="n">
        <v>124.78</v>
      </c>
      <c r="E193" s="4" t="inlineStr">
        <is>
          <t>16.07.2019</t>
        </is>
      </c>
      <c r="F193" s="4" t="inlineStr"/>
      <c r="G193" s="7" t="n">
        <v>34420.92</v>
      </c>
      <c r="H193" s="7" t="n">
        <v>9278.379999999999</v>
      </c>
      <c r="I193" s="7" t="n">
        <v>9759.66</v>
      </c>
      <c r="J193" s="7" t="n">
        <v>43699.3</v>
      </c>
      <c r="K193" s="7" t="n">
        <v>9759.66</v>
      </c>
      <c r="L193" s="7" t="n">
        <v>33939.64</v>
      </c>
      <c r="M193" s="4" t="n">
        <v>30</v>
      </c>
      <c r="N193" s="7" t="n">
        <v>43699.3</v>
      </c>
      <c r="O193" s="4" t="inlineStr">
        <is>
          <t>16322</t>
        </is>
      </c>
      <c r="P193" s="4" t="inlineStr">
        <is>
          <t>7514.01</t>
        </is>
      </c>
    </row>
    <row r="194">
      <c r="A194" s="4" t="inlineStr">
        <is>
          <t>193</t>
        </is>
      </c>
      <c r="B194" s="5" t="inlineStr">
        <is>
          <t>20584476770</t>
        </is>
      </c>
      <c r="C194" s="29" t="inlineStr">
        <is>
          <t>EMİNE ATEŞ</t>
        </is>
      </c>
      <c r="D194" s="7" t="n">
        <v>146.6</v>
      </c>
      <c r="E194" s="4" t="inlineStr">
        <is>
          <t>10.02.2026</t>
        </is>
      </c>
      <c r="F194" s="4" t="inlineStr"/>
      <c r="G194" s="7" t="n">
        <v>35622.4</v>
      </c>
      <c r="H194" s="7" t="n">
        <v>763.08</v>
      </c>
      <c r="I194" s="7" t="n">
        <v>6185.87</v>
      </c>
      <c r="J194" s="7" t="n">
        <v>36385.47</v>
      </c>
      <c r="K194" s="7" t="n">
        <v>6185.87</v>
      </c>
      <c r="L194" s="7" t="n">
        <v>30199.6</v>
      </c>
      <c r="M194" s="4" t="n">
        <v>27</v>
      </c>
      <c r="N194" s="7" t="n">
        <v>36385.47</v>
      </c>
      <c r="O194" s="4" t="inlineStr">
        <is>
          <t>05510</t>
        </is>
      </c>
      <c r="P194" s="4" t="inlineStr">
        <is>
          <t>7514.01</t>
        </is>
      </c>
    </row>
    <row r="195">
      <c r="A195" s="4" t="inlineStr">
        <is>
          <t>194</t>
        </is>
      </c>
      <c r="B195" s="5" t="inlineStr">
        <is>
          <t>20950594688</t>
        </is>
      </c>
      <c r="C195" s="29" t="inlineStr">
        <is>
          <t>NEŞE BAŞAR</t>
        </is>
      </c>
      <c r="D195" s="7" t="n">
        <v>146.6</v>
      </c>
      <c r="E195" s="4" t="inlineStr">
        <is>
          <t>23.07.2026</t>
        </is>
      </c>
      <c r="F195" s="4" t="inlineStr">
        <is>
          <t>27.08.2026</t>
        </is>
      </c>
      <c r="G195" s="7" t="n">
        <v>19402.94</v>
      </c>
      <c r="H195" s="7" t="n">
        <v>344.94</v>
      </c>
      <c r="I195" s="7" t="n">
        <v>3554.18</v>
      </c>
      <c r="J195" s="7" t="n">
        <v>19747.88</v>
      </c>
      <c r="K195" s="7" t="n">
        <v>3554.18</v>
      </c>
      <c r="L195" s="7" t="n">
        <v>16193.7</v>
      </c>
      <c r="M195" s="4" t="n">
        <v>15</v>
      </c>
      <c r="N195" s="7" t="n">
        <v>19747.88</v>
      </c>
      <c r="O195" s="4" t="inlineStr">
        <is>
          <t>05510</t>
        </is>
      </c>
      <c r="P195" s="4" t="inlineStr">
        <is>
          <t>7514.01</t>
        </is>
      </c>
    </row>
    <row r="196">
      <c r="A196" s="4" t="inlineStr">
        <is>
          <t>195</t>
        </is>
      </c>
      <c r="B196" s="5" t="inlineStr">
        <is>
          <t>21010592606</t>
        </is>
      </c>
      <c r="C196" s="29" t="inlineStr">
        <is>
          <t>GÜLÜMSER KARABIYIK</t>
        </is>
      </c>
      <c r="D196" s="7" t="n">
        <v>124.78</v>
      </c>
      <c r="E196" s="4" t="inlineStr">
        <is>
          <t>21.07.2026</t>
        </is>
      </c>
      <c r="F196" s="4" t="inlineStr"/>
      <c r="G196" s="7" t="n">
        <v>19818</v>
      </c>
      <c r="H196" s="7" t="n">
        <v>293.6</v>
      </c>
      <c r="I196" s="7" t="n">
        <v>3619.74</v>
      </c>
      <c r="J196" s="7" t="n">
        <v>20111.6</v>
      </c>
      <c r="K196" s="7" t="n">
        <v>3619.74</v>
      </c>
      <c r="L196" s="7" t="n">
        <v>16491.86</v>
      </c>
      <c r="M196" s="4" t="n">
        <v>18</v>
      </c>
      <c r="N196" s="7" t="n">
        <v>20111.6</v>
      </c>
      <c r="O196" s="4" t="inlineStr">
        <is>
          <t>05510</t>
        </is>
      </c>
      <c r="P196" s="4" t="inlineStr">
        <is>
          <t>7514.01</t>
        </is>
      </c>
    </row>
    <row r="197">
      <c r="A197" s="4" t="inlineStr">
        <is>
          <t>196</t>
        </is>
      </c>
      <c r="B197" s="5" t="inlineStr">
        <is>
          <t>21089727848</t>
        </is>
      </c>
      <c r="C197" s="29" t="inlineStr">
        <is>
          <t>AYSEL YILMAZ</t>
        </is>
      </c>
      <c r="D197" s="7" t="n">
        <v>146.6</v>
      </c>
      <c r="E197" s="4" t="inlineStr">
        <is>
          <t>21.04.2026</t>
        </is>
      </c>
      <c r="F197" s="4" t="inlineStr"/>
      <c r="G197" s="7" t="n">
        <v>15522.35</v>
      </c>
      <c r="H197" s="7" t="n">
        <v>431.18</v>
      </c>
      <c r="I197" s="7" t="n">
        <v>2871.03</v>
      </c>
      <c r="J197" s="7" t="n">
        <v>15953.53</v>
      </c>
      <c r="K197" s="7" t="n">
        <v>2871.03</v>
      </c>
      <c r="L197" s="7" t="n">
        <v>13082.5</v>
      </c>
      <c r="M197" s="4" t="n">
        <v>12</v>
      </c>
      <c r="N197" s="7" t="n">
        <v>15953.53</v>
      </c>
      <c r="O197" s="4" t="inlineStr">
        <is>
          <t>05510</t>
        </is>
      </c>
      <c r="P197" s="4" t="inlineStr">
        <is>
          <t>7514.01</t>
        </is>
      </c>
    </row>
    <row r="198">
      <c r="A198" s="4" t="inlineStr">
        <is>
          <t>197</t>
        </is>
      </c>
      <c r="B198" s="5" t="inlineStr">
        <is>
          <t>21115582342</t>
        </is>
      </c>
      <c r="C198" s="29" t="inlineStr">
        <is>
          <t>AYŞE ERKURAL</t>
        </is>
      </c>
      <c r="D198" s="7" t="n">
        <v>124.78</v>
      </c>
      <c r="E198" s="4" t="inlineStr">
        <is>
          <t>05.07.2026</t>
        </is>
      </c>
      <c r="F198" s="4" t="inlineStr"/>
      <c r="G198" s="7" t="n">
        <v>0</v>
      </c>
      <c r="H198" s="7" t="n">
        <v>0</v>
      </c>
      <c r="I198" s="7" t="n">
        <v>0</v>
      </c>
      <c r="J198" s="7" t="n">
        <v>0</v>
      </c>
      <c r="K198" s="7" t="n">
        <v>0</v>
      </c>
      <c r="L198" s="7" t="n">
        <v>0</v>
      </c>
      <c r="M198" s="4" t="n">
        <v>0</v>
      </c>
      <c r="N198" s="7" t="n">
        <v>0</v>
      </c>
      <c r="O198" s="4" t="inlineStr">
        <is>
          <t>05510</t>
        </is>
      </c>
      <c r="P198" s="4" t="inlineStr">
        <is>
          <t>7514.01</t>
        </is>
      </c>
    </row>
    <row r="199">
      <c r="A199" s="4" t="inlineStr">
        <is>
          <t>198</t>
        </is>
      </c>
      <c r="B199" s="5" t="inlineStr">
        <is>
          <t>21478446602</t>
        </is>
      </c>
      <c r="C199" s="29" t="inlineStr">
        <is>
          <t>NURCAN EREN</t>
        </is>
      </c>
      <c r="D199" s="7" t="n">
        <v>146.6</v>
      </c>
      <c r="E199" s="4" t="inlineStr">
        <is>
          <t>10.02.2026</t>
        </is>
      </c>
      <c r="F199" s="4" t="inlineStr"/>
      <c r="G199" s="7" t="n">
        <v>31044.71</v>
      </c>
      <c r="H199" s="7" t="n">
        <v>344.94</v>
      </c>
      <c r="I199" s="7" t="n">
        <v>4708.45</v>
      </c>
      <c r="J199" s="7" t="n">
        <v>31389.65</v>
      </c>
      <c r="K199" s="7" t="n">
        <v>4708.45</v>
      </c>
      <c r="L199" s="7" t="n">
        <v>26681.2</v>
      </c>
      <c r="M199" s="4" t="n">
        <v>24</v>
      </c>
      <c r="N199" s="7" t="n">
        <v>31389.65</v>
      </c>
      <c r="O199" s="4" t="inlineStr">
        <is>
          <t>05510</t>
        </is>
      </c>
      <c r="P199" s="4" t="inlineStr">
        <is>
          <t>7514.01</t>
        </is>
      </c>
    </row>
    <row r="200">
      <c r="A200" s="4" t="inlineStr">
        <is>
          <t>199</t>
        </is>
      </c>
      <c r="B200" s="5" t="inlineStr">
        <is>
          <t>21550576494</t>
        </is>
      </c>
      <c r="C200" s="29" t="inlineStr">
        <is>
          <t>EMRE BAŞAR</t>
        </is>
      </c>
      <c r="D200" s="7" t="n">
        <v>124.78</v>
      </c>
      <c r="E200" s="4" t="inlineStr">
        <is>
          <t>26.06.2026</t>
        </is>
      </c>
      <c r="F200" s="4" t="inlineStr"/>
      <c r="G200" s="7" t="n">
        <v>14313</v>
      </c>
      <c r="H200" s="7" t="n">
        <v>5725.2</v>
      </c>
      <c r="I200" s="7" t="n">
        <v>3606.73</v>
      </c>
      <c r="J200" s="7" t="n">
        <v>20038.2</v>
      </c>
      <c r="K200" s="7" t="n">
        <v>6656.73</v>
      </c>
      <c r="L200" s="7" t="n">
        <v>13381.47</v>
      </c>
      <c r="M200" s="4" t="n">
        <v>13</v>
      </c>
      <c r="N200" s="7" t="n">
        <v>20038.2</v>
      </c>
      <c r="O200" s="4" t="inlineStr">
        <is>
          <t>05510</t>
        </is>
      </c>
      <c r="P200" s="4" t="inlineStr">
        <is>
          <t>7514.01</t>
        </is>
      </c>
    </row>
    <row r="201">
      <c r="A201" s="4" t="inlineStr">
        <is>
          <t>200</t>
        </is>
      </c>
      <c r="B201" s="5" t="inlineStr">
        <is>
          <t>21703561926</t>
        </is>
      </c>
      <c r="C201" s="29" t="inlineStr">
        <is>
          <t>BILGI GÜVENİLİR</t>
        </is>
      </c>
      <c r="D201" s="7" t="n">
        <v>146.6</v>
      </c>
      <c r="E201" s="4" t="inlineStr">
        <is>
          <t>18.06.2026</t>
        </is>
      </c>
      <c r="F201" s="4" t="inlineStr"/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4" t="n">
        <v>0</v>
      </c>
      <c r="N201" s="7" t="n">
        <v>0</v>
      </c>
      <c r="O201" s="4" t="inlineStr">
        <is>
          <t>05510</t>
        </is>
      </c>
      <c r="P201" s="4" t="inlineStr">
        <is>
          <t>7514.01</t>
        </is>
      </c>
    </row>
    <row r="202">
      <c r="A202" s="4" t="inlineStr">
        <is>
          <t>201</t>
        </is>
      </c>
      <c r="B202" s="5" t="inlineStr">
        <is>
          <t>21898406446</t>
        </is>
      </c>
      <c r="C202" s="29" t="inlineStr">
        <is>
          <t>FERUDUN BAKAN</t>
        </is>
      </c>
      <c r="D202" s="7" t="n">
        <v>124.78</v>
      </c>
      <c r="E202" s="4" t="inlineStr">
        <is>
          <t>23.06.2026</t>
        </is>
      </c>
      <c r="F202" s="4" t="inlineStr"/>
      <c r="G202" s="7" t="n">
        <v>27525</v>
      </c>
      <c r="H202" s="7" t="n">
        <v>146.8</v>
      </c>
      <c r="I202" s="7" t="n">
        <v>4150.77</v>
      </c>
      <c r="J202" s="7" t="n">
        <v>27671.8</v>
      </c>
      <c r="K202" s="7" t="n">
        <v>4150.77</v>
      </c>
      <c r="L202" s="7" t="n">
        <v>23521.03</v>
      </c>
      <c r="M202" s="4" t="n">
        <v>25</v>
      </c>
      <c r="N202" s="7" t="n">
        <v>27671.8</v>
      </c>
      <c r="O202" s="4" t="inlineStr">
        <is>
          <t>05510</t>
        </is>
      </c>
      <c r="P202" s="4" t="inlineStr">
        <is>
          <t>7514.01</t>
        </is>
      </c>
    </row>
    <row r="203">
      <c r="A203" s="4" t="inlineStr">
        <is>
          <t>202</t>
        </is>
      </c>
      <c r="B203" s="5" t="inlineStr">
        <is>
          <t>21911188786</t>
        </is>
      </c>
      <c r="C203" s="29" t="inlineStr">
        <is>
          <t>ALİ İİHSAN BOZDEMİR</t>
        </is>
      </c>
      <c r="D203" s="7" t="n">
        <v>33030</v>
      </c>
      <c r="E203" s="4" t="inlineStr">
        <is>
          <t>22.05.2025</t>
        </is>
      </c>
      <c r="F203" s="4" t="inlineStr"/>
      <c r="G203" s="7" t="n">
        <v>33030</v>
      </c>
      <c r="H203" s="7" t="n">
        <v>0</v>
      </c>
      <c r="I203" s="7" t="n">
        <v>4954.5</v>
      </c>
      <c r="J203" s="7" t="n">
        <v>33030</v>
      </c>
      <c r="K203" s="7" t="n">
        <v>4954.5</v>
      </c>
      <c r="L203" s="7" t="n">
        <v>28075.5</v>
      </c>
      <c r="M203" s="4" t="n">
        <v>30</v>
      </c>
      <c r="N203" s="7" t="n">
        <v>33030</v>
      </c>
      <c r="O203" s="4" t="inlineStr">
        <is>
          <t>05510</t>
        </is>
      </c>
      <c r="P203" s="4" t="inlineStr">
        <is>
          <t>5242.07</t>
        </is>
      </c>
    </row>
    <row r="204">
      <c r="A204" s="4" t="inlineStr">
        <is>
          <t>203</t>
        </is>
      </c>
      <c r="B204" s="5" t="inlineStr">
        <is>
          <t>21925456598</t>
        </is>
      </c>
      <c r="C204" s="29" t="inlineStr">
        <is>
          <t>AHMET ÇÇAYLAK</t>
        </is>
      </c>
      <c r="D204" s="7" t="n">
        <v>124.78</v>
      </c>
      <c r="E204" s="4" t="inlineStr">
        <is>
          <t>10.04.2026</t>
        </is>
      </c>
      <c r="F204" s="4" t="inlineStr"/>
      <c r="G204" s="7" t="n">
        <v>30828</v>
      </c>
      <c r="H204" s="7" t="n">
        <v>2725.62</v>
      </c>
      <c r="I204" s="7" t="n">
        <v>6109.78</v>
      </c>
      <c r="J204" s="7" t="n">
        <v>33553.62</v>
      </c>
      <c r="K204" s="7" t="n">
        <v>12709.78</v>
      </c>
      <c r="L204" s="7" t="n">
        <v>20843.84</v>
      </c>
      <c r="M204" s="4" t="n">
        <v>28</v>
      </c>
      <c r="N204" s="7" t="n">
        <v>33553.62</v>
      </c>
      <c r="O204" s="4" t="inlineStr">
        <is>
          <t>05510</t>
        </is>
      </c>
      <c r="P204" s="4" t="inlineStr">
        <is>
          <t>7514.01</t>
        </is>
      </c>
    </row>
    <row r="205">
      <c r="A205" s="4" t="inlineStr">
        <is>
          <t>204</t>
        </is>
      </c>
      <c r="B205" s="5" t="inlineStr">
        <is>
          <t>21976553468</t>
        </is>
      </c>
      <c r="C205" s="29" t="inlineStr">
        <is>
          <t>MÜCAHİT ÇOLAK</t>
        </is>
      </c>
      <c r="D205" s="7" t="n">
        <v>146.6</v>
      </c>
      <c r="E205" s="4" t="inlineStr">
        <is>
          <t>10.02.2026</t>
        </is>
      </c>
      <c r="F205" s="4" t="inlineStr"/>
      <c r="G205" s="7" t="n">
        <v>25870.59</v>
      </c>
      <c r="H205" s="7" t="n">
        <v>12544.81</v>
      </c>
      <c r="I205" s="7" t="n">
        <v>7315.4</v>
      </c>
      <c r="J205" s="7" t="n">
        <v>38415.4</v>
      </c>
      <c r="K205" s="7" t="n">
        <v>7315.4</v>
      </c>
      <c r="L205" s="7" t="n">
        <v>31100</v>
      </c>
      <c r="M205" s="4" t="n">
        <v>20</v>
      </c>
      <c r="N205" s="7" t="n">
        <v>38415.4</v>
      </c>
      <c r="O205" s="4" t="inlineStr">
        <is>
          <t>05510</t>
        </is>
      </c>
      <c r="P205" s="4" t="inlineStr">
        <is>
          <t>7514.01</t>
        </is>
      </c>
    </row>
    <row r="206">
      <c r="A206" s="4" t="inlineStr">
        <is>
          <t>205</t>
        </is>
      </c>
      <c r="B206" s="5" t="inlineStr">
        <is>
          <t>21991561554</t>
        </is>
      </c>
      <c r="C206" s="29" t="inlineStr">
        <is>
          <t>NECMİYE ÜÜLKER</t>
        </is>
      </c>
      <c r="D206" s="7" t="n">
        <v>146.6</v>
      </c>
      <c r="E206" s="4" t="inlineStr">
        <is>
          <t>08.05.2026</t>
        </is>
      </c>
      <c r="F206" s="4" t="inlineStr"/>
      <c r="G206" s="7" t="n">
        <v>38359.34</v>
      </c>
      <c r="H206" s="7" t="n">
        <v>615.1799999999999</v>
      </c>
      <c r="I206" s="7" t="n">
        <v>6649.22</v>
      </c>
      <c r="J206" s="7" t="n">
        <v>38974.52</v>
      </c>
      <c r="K206" s="7" t="n">
        <v>6649.22</v>
      </c>
      <c r="L206" s="7" t="n">
        <v>32325.3</v>
      </c>
      <c r="M206" s="4" t="n">
        <v>29</v>
      </c>
      <c r="N206" s="7" t="n">
        <v>38974.52</v>
      </c>
      <c r="O206" s="4" t="inlineStr">
        <is>
          <t>05510</t>
        </is>
      </c>
      <c r="P206" s="4" t="inlineStr">
        <is>
          <t>7514.01</t>
        </is>
      </c>
    </row>
    <row r="207">
      <c r="A207" s="4" t="inlineStr">
        <is>
          <t>206</t>
        </is>
      </c>
      <c r="B207" s="5" t="inlineStr">
        <is>
          <t>22159547106</t>
        </is>
      </c>
      <c r="C207" s="29" t="inlineStr">
        <is>
          <t>EREL KIRNAK</t>
        </is>
      </c>
      <c r="D207" s="7" t="n">
        <v>124.78</v>
      </c>
      <c r="E207" s="4" t="inlineStr">
        <is>
          <t>17.08.2026</t>
        </is>
      </c>
      <c r="F207" s="4" t="inlineStr"/>
      <c r="G207" s="7" t="n">
        <v>8808</v>
      </c>
      <c r="H207" s="7" t="n">
        <v>9175</v>
      </c>
      <c r="I207" s="7" t="n">
        <v>3236.45</v>
      </c>
      <c r="J207" s="7" t="n">
        <v>17983</v>
      </c>
      <c r="K207" s="7" t="n">
        <v>3236.45</v>
      </c>
      <c r="L207" s="7" t="n">
        <v>14746.55</v>
      </c>
      <c r="M207" s="4" t="n">
        <v>8</v>
      </c>
      <c r="N207" s="7" t="n">
        <v>17983</v>
      </c>
      <c r="O207" s="4" t="inlineStr">
        <is>
          <t>05510</t>
        </is>
      </c>
      <c r="P207" s="4" t="inlineStr">
        <is>
          <t>7514.01</t>
        </is>
      </c>
    </row>
    <row r="208">
      <c r="A208" s="4" t="inlineStr">
        <is>
          <t>207</t>
        </is>
      </c>
      <c r="B208" s="5" t="inlineStr">
        <is>
          <t>22186447318</t>
        </is>
      </c>
      <c r="C208" s="29" t="inlineStr">
        <is>
          <t>NURTEN CAN</t>
        </is>
      </c>
      <c r="D208" s="7" t="n">
        <v>124.78</v>
      </c>
      <c r="E208" s="4" t="inlineStr">
        <is>
          <t>08.04.2023</t>
        </is>
      </c>
      <c r="F208" s="4" t="inlineStr"/>
      <c r="G208" s="7" t="n">
        <v>25322.49</v>
      </c>
      <c r="H208" s="7" t="n">
        <v>1100.98</v>
      </c>
      <c r="I208" s="7" t="n">
        <v>3963.52</v>
      </c>
      <c r="J208" s="7" t="n">
        <v>26423.47</v>
      </c>
      <c r="K208" s="7" t="n">
        <v>3963.52</v>
      </c>
      <c r="L208" s="7" t="n">
        <v>22459.95</v>
      </c>
      <c r="M208" s="4" t="n">
        <v>23</v>
      </c>
      <c r="N208" s="7" t="n">
        <v>26423.47</v>
      </c>
      <c r="O208" s="4" t="inlineStr">
        <is>
          <t>05510</t>
        </is>
      </c>
      <c r="P208" s="4" t="inlineStr">
        <is>
          <t>7514.01</t>
        </is>
      </c>
    </row>
    <row r="209">
      <c r="A209" s="4" t="inlineStr">
        <is>
          <t>208</t>
        </is>
      </c>
      <c r="B209" s="5" t="inlineStr">
        <is>
          <t>22249543988</t>
        </is>
      </c>
      <c r="C209" s="29" t="inlineStr">
        <is>
          <t>ZAHİDE NEDİRLİ</t>
        </is>
      </c>
      <c r="D209" s="7" t="n">
        <v>30185</v>
      </c>
      <c r="E209" s="4" t="inlineStr">
        <is>
          <t>19.07.2023</t>
        </is>
      </c>
      <c r="F209" s="4" t="inlineStr"/>
      <c r="G209" s="7" t="n">
        <v>4350.99</v>
      </c>
      <c r="H209" s="7" t="n">
        <v>0</v>
      </c>
      <c r="I209" s="7" t="n">
        <v>326.32</v>
      </c>
      <c r="J209" s="7" t="n">
        <v>4350.99</v>
      </c>
      <c r="K209" s="7" t="n">
        <v>326.32</v>
      </c>
      <c r="L209" s="7" t="n">
        <v>4024.67</v>
      </c>
      <c r="M209" s="4" t="n">
        <v>4</v>
      </c>
      <c r="N209" s="7" t="n">
        <v>4404</v>
      </c>
      <c r="O209" s="4" t="inlineStr">
        <is>
          <t>00000</t>
        </is>
      </c>
      <c r="P209" s="4" t="inlineStr">
        <is>
          <t>7543.05</t>
        </is>
      </c>
    </row>
    <row r="210">
      <c r="A210" s="4" t="inlineStr">
        <is>
          <t>209</t>
        </is>
      </c>
      <c r="B210" s="5" t="inlineStr">
        <is>
          <t>22319750032</t>
        </is>
      </c>
      <c r="C210" s="29" t="inlineStr">
        <is>
          <t>ÇİDEM FİDAN</t>
        </is>
      </c>
      <c r="D210" s="7" t="n">
        <v>146.6</v>
      </c>
      <c r="E210" s="4" t="inlineStr">
        <is>
          <t>01.04.2026</t>
        </is>
      </c>
      <c r="F210" s="4" t="inlineStr"/>
      <c r="G210" s="7" t="n">
        <v>16815.88</v>
      </c>
      <c r="H210" s="7" t="n">
        <v>172.47</v>
      </c>
      <c r="I210" s="7" t="n">
        <v>2548.25</v>
      </c>
      <c r="J210" s="7" t="n">
        <v>16988.35</v>
      </c>
      <c r="K210" s="7" t="n">
        <v>2548.25</v>
      </c>
      <c r="L210" s="7" t="n">
        <v>14440.1</v>
      </c>
      <c r="M210" s="4" t="n">
        <v>13</v>
      </c>
      <c r="N210" s="7" t="n">
        <v>16988.35</v>
      </c>
      <c r="O210" s="4" t="inlineStr">
        <is>
          <t>05510</t>
        </is>
      </c>
      <c r="P210" s="4" t="inlineStr">
        <is>
          <t>7514.01</t>
        </is>
      </c>
    </row>
    <row r="211">
      <c r="A211" s="4" t="inlineStr">
        <is>
          <t>210</t>
        </is>
      </c>
      <c r="B211" s="5" t="inlineStr">
        <is>
          <t>22426711476</t>
        </is>
      </c>
      <c r="C211" s="29" t="inlineStr">
        <is>
          <t>AYNUR DEMİRCAN</t>
        </is>
      </c>
      <c r="D211" s="7" t="n">
        <v>146.6</v>
      </c>
      <c r="E211" s="4" t="inlineStr">
        <is>
          <t>16.02.2026</t>
        </is>
      </c>
      <c r="F211" s="4" t="inlineStr"/>
      <c r="G211" s="7" t="n">
        <v>18109.41</v>
      </c>
      <c r="H211" s="7" t="n">
        <v>344.94</v>
      </c>
      <c r="I211" s="7" t="n">
        <v>3321.15</v>
      </c>
      <c r="J211" s="7" t="n">
        <v>18454.35</v>
      </c>
      <c r="K211" s="7" t="n">
        <v>3321.15</v>
      </c>
      <c r="L211" s="7" t="n">
        <v>15133.2</v>
      </c>
      <c r="M211" s="4" t="n">
        <v>14</v>
      </c>
      <c r="N211" s="7" t="n">
        <v>18454.35</v>
      </c>
      <c r="O211" s="4" t="inlineStr">
        <is>
          <t>05510</t>
        </is>
      </c>
      <c r="P211" s="4" t="inlineStr">
        <is>
          <t>7514.01</t>
        </is>
      </c>
    </row>
    <row r="212">
      <c r="A212" s="4" t="inlineStr">
        <is>
          <t>211</t>
        </is>
      </c>
      <c r="B212" s="5" t="inlineStr">
        <is>
          <t>22498412394</t>
        </is>
      </c>
      <c r="C212" s="29" t="inlineStr">
        <is>
          <t>ZEYNEP ONBAŞI</t>
        </is>
      </c>
      <c r="D212" s="7" t="n">
        <v>124.78</v>
      </c>
      <c r="E212" s="4" t="inlineStr">
        <is>
          <t>23.02.2026</t>
        </is>
      </c>
      <c r="F212" s="4" t="inlineStr"/>
      <c r="G212" s="7" t="n">
        <v>31929</v>
      </c>
      <c r="H212" s="7" t="n">
        <v>1619.43</v>
      </c>
      <c r="I212" s="7" t="n">
        <v>5036.2</v>
      </c>
      <c r="J212" s="7" t="n">
        <v>33548.43</v>
      </c>
      <c r="K212" s="7" t="n">
        <v>5036.2</v>
      </c>
      <c r="L212" s="7" t="n">
        <v>28512.23</v>
      </c>
      <c r="M212" s="4" t="n">
        <v>29</v>
      </c>
      <c r="N212" s="7" t="n">
        <v>33548.43</v>
      </c>
      <c r="O212" s="4" t="inlineStr">
        <is>
          <t>05510</t>
        </is>
      </c>
      <c r="P212" s="4" t="inlineStr">
        <is>
          <t>7514.01</t>
        </is>
      </c>
    </row>
    <row r="213">
      <c r="A213" s="4" t="inlineStr">
        <is>
          <t>212</t>
        </is>
      </c>
      <c r="B213" s="5" t="inlineStr">
        <is>
          <t>22634353154</t>
        </is>
      </c>
      <c r="C213" s="29" t="inlineStr">
        <is>
          <t>DAİMİLA GÖKCE</t>
        </is>
      </c>
      <c r="D213" s="7" t="n">
        <v>124.78</v>
      </c>
      <c r="E213" s="4" t="inlineStr">
        <is>
          <t>25.06.2026</t>
        </is>
      </c>
      <c r="F213" s="4" t="inlineStr"/>
      <c r="G213" s="7" t="n">
        <v>30828</v>
      </c>
      <c r="H213" s="7" t="n">
        <v>20441.37</v>
      </c>
      <c r="I213" s="7" t="n">
        <v>11692.36</v>
      </c>
      <c r="J213" s="7" t="n">
        <v>51269.37</v>
      </c>
      <c r="K213" s="7" t="n">
        <v>11692.36</v>
      </c>
      <c r="L213" s="7" t="n">
        <v>39577.01</v>
      </c>
      <c r="M213" s="4" t="n">
        <v>28</v>
      </c>
      <c r="N213" s="7" t="n">
        <v>51269.37</v>
      </c>
      <c r="O213" s="4" t="inlineStr">
        <is>
          <t>05510</t>
        </is>
      </c>
      <c r="P213" s="4" t="inlineStr">
        <is>
          <t>7514.01</t>
        </is>
      </c>
    </row>
    <row r="214">
      <c r="A214" s="4" t="inlineStr">
        <is>
          <t>213</t>
        </is>
      </c>
      <c r="B214" s="5" t="inlineStr">
        <is>
          <t>22639531168</t>
        </is>
      </c>
      <c r="C214" s="29" t="inlineStr">
        <is>
          <t>HAFİZE AVCIOĞLU</t>
        </is>
      </c>
      <c r="D214" s="7" t="n">
        <v>146.6</v>
      </c>
      <c r="E214" s="4" t="inlineStr">
        <is>
          <t>24.06.2026</t>
        </is>
      </c>
      <c r="F214" s="4" t="inlineStr"/>
      <c r="G214" s="7" t="n">
        <v>29751.18</v>
      </c>
      <c r="H214" s="7" t="n">
        <v>258.71</v>
      </c>
      <c r="I214" s="7" t="n">
        <v>5401.48</v>
      </c>
      <c r="J214" s="7" t="n">
        <v>30009.88</v>
      </c>
      <c r="K214" s="7" t="n">
        <v>5401.48</v>
      </c>
      <c r="L214" s="7" t="n">
        <v>24608.4</v>
      </c>
      <c r="M214" s="4" t="n">
        <v>23</v>
      </c>
      <c r="N214" s="7" t="n">
        <v>30009.88</v>
      </c>
      <c r="O214" s="4" t="inlineStr">
        <is>
          <t>05510</t>
        </is>
      </c>
      <c r="P214" s="4" t="inlineStr">
        <is>
          <t>7514.01</t>
        </is>
      </c>
    </row>
    <row r="215">
      <c r="A215" s="4" t="inlineStr">
        <is>
          <t>214</t>
        </is>
      </c>
      <c r="B215" s="5" t="inlineStr">
        <is>
          <t>22744536362</t>
        </is>
      </c>
      <c r="C215" s="29" t="inlineStr">
        <is>
          <t>SEVİM MAKAK</t>
        </is>
      </c>
      <c r="D215" s="7" t="n">
        <v>30185</v>
      </c>
      <c r="E215" s="4" t="inlineStr">
        <is>
          <t>06.01.2025</t>
        </is>
      </c>
      <c r="F215" s="4" t="inlineStr"/>
      <c r="G215" s="7" t="n">
        <v>0</v>
      </c>
      <c r="H215" s="7" t="n">
        <v>0</v>
      </c>
      <c r="I215" s="7" t="n">
        <v>0</v>
      </c>
      <c r="J215" s="7" t="n">
        <v>0</v>
      </c>
      <c r="K215" s="7" t="n">
        <v>0</v>
      </c>
      <c r="L215" s="7" t="n">
        <v>0</v>
      </c>
      <c r="M215" s="4" t="n">
        <v>0</v>
      </c>
      <c r="N215" s="7" t="n">
        <v>0</v>
      </c>
      <c r="O215" s="4" t="inlineStr">
        <is>
          <t>00000</t>
        </is>
      </c>
      <c r="P215" s="4" t="inlineStr">
        <is>
          <t>7514.01</t>
        </is>
      </c>
    </row>
    <row r="216">
      <c r="A216" s="4" t="inlineStr">
        <is>
          <t>215</t>
        </is>
      </c>
      <c r="B216" s="5" t="inlineStr">
        <is>
          <t>22756404246</t>
        </is>
      </c>
      <c r="C216" s="29" t="inlineStr">
        <is>
          <t>SELAHATTİN IRMAK</t>
        </is>
      </c>
      <c r="D216" s="7" t="n">
        <v>124.78</v>
      </c>
      <c r="E216" s="4" t="inlineStr">
        <is>
          <t>06.03.2026</t>
        </is>
      </c>
      <c r="F216" s="4" t="inlineStr">
        <is>
          <t>22.08.2026</t>
        </is>
      </c>
      <c r="G216" s="7" t="n">
        <v>0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0</v>
      </c>
      <c r="M216" s="4" t="n">
        <v>0</v>
      </c>
      <c r="N216" s="7" t="n">
        <v>0</v>
      </c>
      <c r="O216" s="4" t="inlineStr">
        <is>
          <t>05510</t>
        </is>
      </c>
      <c r="P216" s="4" t="inlineStr">
        <is>
          <t>7514.01</t>
        </is>
      </c>
    </row>
    <row r="217">
      <c r="A217" s="4" t="inlineStr">
        <is>
          <t>216</t>
        </is>
      </c>
      <c r="B217" s="5" t="inlineStr">
        <is>
          <t>22993528088</t>
        </is>
      </c>
      <c r="C217" s="29" t="inlineStr">
        <is>
          <t>ÇİĞDEM KOCÇAKIRAY</t>
        </is>
      </c>
      <c r="D217" s="7" t="n">
        <v>146.6</v>
      </c>
      <c r="E217" s="4" t="inlineStr">
        <is>
          <t>10.08.2026</t>
        </is>
      </c>
      <c r="F217" s="4" t="inlineStr"/>
      <c r="G217" s="7" t="n">
        <v>1293.53</v>
      </c>
      <c r="H217" s="7" t="n">
        <v>0</v>
      </c>
      <c r="I217" s="7" t="n">
        <v>232.03</v>
      </c>
      <c r="J217" s="7" t="n">
        <v>1293.53</v>
      </c>
      <c r="K217" s="7" t="n">
        <v>232.03</v>
      </c>
      <c r="L217" s="7" t="n">
        <v>1061.5</v>
      </c>
      <c r="M217" s="4" t="n">
        <v>1</v>
      </c>
      <c r="N217" s="7" t="n">
        <v>1293.53</v>
      </c>
      <c r="O217" s="4" t="inlineStr">
        <is>
          <t>05510</t>
        </is>
      </c>
      <c r="P217" s="4" t="inlineStr">
        <is>
          <t>7514.01</t>
        </is>
      </c>
    </row>
    <row r="218">
      <c r="A218" s="4" t="inlineStr">
        <is>
          <t>217</t>
        </is>
      </c>
      <c r="B218" s="5" t="inlineStr">
        <is>
          <t>23024749922</t>
        </is>
      </c>
      <c r="C218" s="29" t="inlineStr">
        <is>
          <t>SEDEF DUMAN</t>
        </is>
      </c>
      <c r="D218" s="7" t="n">
        <v>124.78</v>
      </c>
      <c r="E218" s="4" t="inlineStr">
        <is>
          <t>26.07.2026</t>
        </is>
      </c>
      <c r="F218" s="4" t="inlineStr"/>
      <c r="G218" s="7" t="n">
        <v>8808</v>
      </c>
      <c r="H218" s="7" t="n">
        <v>9982.4</v>
      </c>
      <c r="I218" s="7" t="n">
        <v>3381.56</v>
      </c>
      <c r="J218" s="7" t="n">
        <v>18790.4</v>
      </c>
      <c r="K218" s="7" t="n">
        <v>5281.56</v>
      </c>
      <c r="L218" s="7" t="n">
        <v>13508.84</v>
      </c>
      <c r="M218" s="4" t="n">
        <v>8</v>
      </c>
      <c r="N218" s="7" t="n">
        <v>18790.4</v>
      </c>
      <c r="O218" s="4" t="inlineStr">
        <is>
          <t>05510</t>
        </is>
      </c>
      <c r="P218" s="4" t="inlineStr">
        <is>
          <t>7514.01</t>
        </is>
      </c>
    </row>
    <row r="219">
      <c r="A219" s="4" t="inlineStr">
        <is>
          <t>218</t>
        </is>
      </c>
      <c r="B219" s="5" t="inlineStr">
        <is>
          <t>23077372900</t>
        </is>
      </c>
      <c r="C219" s="29" t="inlineStr">
        <is>
          <t>VAHİDE YAŞAR</t>
        </is>
      </c>
      <c r="D219" s="7" t="n">
        <v>124.78</v>
      </c>
      <c r="E219" s="4" t="inlineStr">
        <is>
          <t>29.06.2026</t>
        </is>
      </c>
      <c r="F219" s="4" t="inlineStr"/>
      <c r="G219" s="7" t="n">
        <v>30828</v>
      </c>
      <c r="H219" s="7" t="n">
        <v>1247.8</v>
      </c>
      <c r="I219" s="7" t="n">
        <v>4811.37</v>
      </c>
      <c r="J219" s="7" t="n">
        <v>32075.8</v>
      </c>
      <c r="K219" s="7" t="n">
        <v>4811.37</v>
      </c>
      <c r="L219" s="7" t="n">
        <v>27264.43</v>
      </c>
      <c r="M219" s="4" t="n">
        <v>28</v>
      </c>
      <c r="N219" s="7" t="n">
        <v>32075.8</v>
      </c>
      <c r="O219" s="4" t="inlineStr">
        <is>
          <t>05510</t>
        </is>
      </c>
      <c r="P219" s="4" t="inlineStr">
        <is>
          <t>7514.01</t>
        </is>
      </c>
    </row>
    <row r="220">
      <c r="A220" s="4" t="inlineStr">
        <is>
          <t>219</t>
        </is>
      </c>
      <c r="B220" s="5" t="inlineStr">
        <is>
          <t>23083367440</t>
        </is>
      </c>
      <c r="C220" s="29" t="inlineStr">
        <is>
          <t>CEYDA ÖZ</t>
        </is>
      </c>
      <c r="D220" s="7" t="n">
        <v>124.78</v>
      </c>
      <c r="E220" s="4" t="inlineStr">
        <is>
          <t>23.06.2026</t>
        </is>
      </c>
      <c r="F220" s="4" t="inlineStr"/>
      <c r="G220" s="7" t="n">
        <v>28626</v>
      </c>
      <c r="H220" s="7" t="n">
        <v>1247.8</v>
      </c>
      <c r="I220" s="7" t="n">
        <v>5377.07</v>
      </c>
      <c r="J220" s="7" t="n">
        <v>29873.8</v>
      </c>
      <c r="K220" s="7" t="n">
        <v>5377.07</v>
      </c>
      <c r="L220" s="7" t="n">
        <v>24496.73</v>
      </c>
      <c r="M220" s="4" t="n">
        <v>26</v>
      </c>
      <c r="N220" s="7" t="n">
        <v>29873.8</v>
      </c>
      <c r="O220" s="4" t="inlineStr">
        <is>
          <t>05510</t>
        </is>
      </c>
      <c r="P220" s="4" t="inlineStr">
        <is>
          <t>7543.05</t>
        </is>
      </c>
    </row>
    <row r="221">
      <c r="A221" s="4" t="inlineStr">
        <is>
          <t>220</t>
        </is>
      </c>
      <c r="B221" s="5" t="inlineStr">
        <is>
          <t>23131415628</t>
        </is>
      </c>
      <c r="C221" s="29" t="inlineStr">
        <is>
          <t>ERDİN TETİK</t>
        </is>
      </c>
      <c r="D221" s="7" t="n">
        <v>30185</v>
      </c>
      <c r="E221" s="4" t="inlineStr">
        <is>
          <t>06.12.2021</t>
        </is>
      </c>
      <c r="F221" s="4" t="inlineStr"/>
      <c r="G221" s="7" t="n">
        <v>4350.99</v>
      </c>
      <c r="H221" s="7" t="n">
        <v>0</v>
      </c>
      <c r="I221" s="7" t="n">
        <v>326.32</v>
      </c>
      <c r="J221" s="7" t="n">
        <v>4350.99</v>
      </c>
      <c r="K221" s="7" t="n">
        <v>326.32</v>
      </c>
      <c r="L221" s="7" t="n">
        <v>4024.67</v>
      </c>
      <c r="M221" s="4" t="n">
        <v>4</v>
      </c>
      <c r="N221" s="7" t="n">
        <v>4404</v>
      </c>
      <c r="O221" s="4" t="inlineStr">
        <is>
          <t>00000</t>
        </is>
      </c>
      <c r="P221" s="4" t="inlineStr">
        <is>
          <t>7514.01</t>
        </is>
      </c>
    </row>
    <row r="222">
      <c r="A222" s="4" t="inlineStr">
        <is>
          <t>221</t>
        </is>
      </c>
      <c r="B222" s="5" t="inlineStr">
        <is>
          <t>23263184324</t>
        </is>
      </c>
      <c r="C222" s="29" t="inlineStr">
        <is>
          <t>BİRSEN ALPARSLAN</t>
        </is>
      </c>
      <c r="D222" s="7" t="n">
        <v>124.78</v>
      </c>
      <c r="E222" s="4" t="inlineStr">
        <is>
          <t>19.07.2026</t>
        </is>
      </c>
      <c r="F222" s="4" t="inlineStr"/>
      <c r="G222" s="7" t="n">
        <v>12111</v>
      </c>
      <c r="H222" s="7" t="n">
        <v>14826.8</v>
      </c>
      <c r="I222" s="7" t="n">
        <v>4848.67</v>
      </c>
      <c r="J222" s="7" t="n">
        <v>26937.8</v>
      </c>
      <c r="K222" s="7" t="n">
        <v>4848.67</v>
      </c>
      <c r="L222" s="7" t="n">
        <v>22089.13</v>
      </c>
      <c r="M222" s="4" t="n">
        <v>11</v>
      </c>
      <c r="N222" s="7" t="n">
        <v>26937.8</v>
      </c>
      <c r="O222" s="4" t="inlineStr">
        <is>
          <t>05510</t>
        </is>
      </c>
      <c r="P222" s="4" t="inlineStr">
        <is>
          <t>7514.01</t>
        </is>
      </c>
    </row>
    <row r="223">
      <c r="A223" s="4" t="inlineStr">
        <is>
          <t>222</t>
        </is>
      </c>
      <c r="B223" s="5" t="inlineStr">
        <is>
          <t>23329391024</t>
        </is>
      </c>
      <c r="C223" s="29" t="inlineStr">
        <is>
          <t>MUKATDES KARAMANOĞLU</t>
        </is>
      </c>
      <c r="D223" s="7" t="n">
        <v>30185</v>
      </c>
      <c r="E223" s="4" t="inlineStr">
        <is>
          <t>24.10.2025</t>
        </is>
      </c>
      <c r="F223" s="4" t="inlineStr"/>
      <c r="G223" s="7" t="n">
        <v>4350.99</v>
      </c>
      <c r="H223" s="7" t="n">
        <v>0</v>
      </c>
      <c r="I223" s="7" t="n">
        <v>326.32</v>
      </c>
      <c r="J223" s="7" t="n">
        <v>4350.99</v>
      </c>
      <c r="K223" s="7" t="n">
        <v>326.32</v>
      </c>
      <c r="L223" s="7" t="n">
        <v>4024.67</v>
      </c>
      <c r="M223" s="4" t="n">
        <v>4</v>
      </c>
      <c r="N223" s="7" t="n">
        <v>4404</v>
      </c>
      <c r="O223" s="4" t="inlineStr">
        <is>
          <t>00000</t>
        </is>
      </c>
      <c r="P223" s="4" t="inlineStr">
        <is>
          <t>7514.01</t>
        </is>
      </c>
    </row>
    <row r="224">
      <c r="A224" s="4" t="inlineStr">
        <is>
          <t>223</t>
        </is>
      </c>
      <c r="B224" s="5" t="inlineStr">
        <is>
          <t>23401812584</t>
        </is>
      </c>
      <c r="C224" s="29" t="inlineStr">
        <is>
          <t>MEHTAP BULUT</t>
        </is>
      </c>
      <c r="D224" s="7" t="n">
        <v>146.6</v>
      </c>
      <c r="E224" s="4" t="inlineStr">
        <is>
          <t>20.07.2026</t>
        </is>
      </c>
      <c r="F224" s="4" t="inlineStr">
        <is>
          <t>22.08.2026</t>
        </is>
      </c>
      <c r="G224" s="7" t="n">
        <v>0</v>
      </c>
      <c r="H224" s="7" t="n">
        <v>0</v>
      </c>
      <c r="I224" s="7" t="n">
        <v>0</v>
      </c>
      <c r="J224" s="7" t="n">
        <v>0</v>
      </c>
      <c r="K224" s="7" t="n">
        <v>0</v>
      </c>
      <c r="L224" s="7" t="n">
        <v>0</v>
      </c>
      <c r="M224" s="4" t="n">
        <v>0</v>
      </c>
      <c r="N224" s="7" t="n">
        <v>0</v>
      </c>
      <c r="O224" s="4" t="inlineStr">
        <is>
          <t>05510</t>
        </is>
      </c>
      <c r="P224" s="4" t="inlineStr">
        <is>
          <t>7514.01</t>
        </is>
      </c>
    </row>
    <row r="225">
      <c r="A225" s="4" t="inlineStr">
        <is>
          <t>224</t>
        </is>
      </c>
      <c r="B225" s="5" t="inlineStr">
        <is>
          <t>23476537894</t>
        </is>
      </c>
      <c r="C225" s="29" t="inlineStr">
        <is>
          <t>AYŞENUR SOLAK</t>
        </is>
      </c>
      <c r="D225" s="7" t="n">
        <v>124.78</v>
      </c>
      <c r="E225" s="4" t="inlineStr">
        <is>
          <t>13.07.2026</t>
        </is>
      </c>
      <c r="F225" s="4" t="inlineStr"/>
      <c r="G225" s="7" t="n">
        <v>0</v>
      </c>
      <c r="H225" s="7" t="n">
        <v>0</v>
      </c>
      <c r="I225" s="7" t="n">
        <v>0</v>
      </c>
      <c r="J225" s="7" t="n">
        <v>0</v>
      </c>
      <c r="K225" s="7" t="n">
        <v>0</v>
      </c>
      <c r="L225" s="7" t="n">
        <v>0</v>
      </c>
      <c r="M225" s="4" t="n">
        <v>0</v>
      </c>
      <c r="N225" s="7" t="n">
        <v>0</v>
      </c>
      <c r="O225" s="4" t="inlineStr">
        <is>
          <t>05510</t>
        </is>
      </c>
      <c r="P225" s="4" t="inlineStr">
        <is>
          <t>7514.01</t>
        </is>
      </c>
    </row>
    <row r="226">
      <c r="A226" s="4" t="inlineStr">
        <is>
          <t>225</t>
        </is>
      </c>
      <c r="B226" s="5" t="inlineStr">
        <is>
          <t>23509358892</t>
        </is>
      </c>
      <c r="C226" s="29" t="inlineStr">
        <is>
          <t>DÖNDÜ ŞAHİN</t>
        </is>
      </c>
      <c r="D226" s="7" t="n">
        <v>124.78</v>
      </c>
      <c r="E226" s="4" t="inlineStr">
        <is>
          <t>02.06.2026</t>
        </is>
      </c>
      <c r="F226" s="4" t="inlineStr"/>
      <c r="G226" s="7" t="n">
        <v>23121</v>
      </c>
      <c r="H226" s="7" t="n">
        <v>2569</v>
      </c>
      <c r="I226" s="7" t="n">
        <v>3853.5</v>
      </c>
      <c r="J226" s="7" t="n">
        <v>25690</v>
      </c>
      <c r="K226" s="7" t="n">
        <v>3853.5</v>
      </c>
      <c r="L226" s="7" t="n">
        <v>21836.5</v>
      </c>
      <c r="M226" s="4" t="n">
        <v>21</v>
      </c>
      <c r="N226" s="7" t="n">
        <v>25690</v>
      </c>
      <c r="O226" s="4" t="inlineStr">
        <is>
          <t>05510</t>
        </is>
      </c>
      <c r="P226" s="4" t="inlineStr">
        <is>
          <t>7543.05</t>
        </is>
      </c>
    </row>
    <row r="227">
      <c r="A227" s="4" t="inlineStr">
        <is>
          <t>226</t>
        </is>
      </c>
      <c r="B227" s="5" t="inlineStr">
        <is>
          <t>23524501518</t>
        </is>
      </c>
      <c r="C227" s="29" t="inlineStr">
        <is>
          <t>KADRİYE BEYHAN</t>
        </is>
      </c>
      <c r="D227" s="7" t="n">
        <v>146.6</v>
      </c>
      <c r="E227" s="4" t="inlineStr">
        <is>
          <t>10.02.2026</t>
        </is>
      </c>
      <c r="F227" s="4" t="inlineStr"/>
      <c r="G227" s="7" t="n">
        <v>20696.47</v>
      </c>
      <c r="H227" s="7" t="n">
        <v>517.41</v>
      </c>
      <c r="I227" s="7" t="n">
        <v>3182.08</v>
      </c>
      <c r="J227" s="7" t="n">
        <v>21213.88</v>
      </c>
      <c r="K227" s="7" t="n">
        <v>3182.08</v>
      </c>
      <c r="L227" s="7" t="n">
        <v>18031.8</v>
      </c>
      <c r="M227" s="4" t="n">
        <v>16</v>
      </c>
      <c r="N227" s="7" t="n">
        <v>21213.88</v>
      </c>
      <c r="O227" s="4" t="inlineStr">
        <is>
          <t>05510</t>
        </is>
      </c>
      <c r="P227" s="4" t="inlineStr">
        <is>
          <t>7514.01</t>
        </is>
      </c>
    </row>
    <row r="228">
      <c r="A228" s="4" t="inlineStr">
        <is>
          <t>227</t>
        </is>
      </c>
      <c r="B228" s="5" t="inlineStr">
        <is>
          <t>23527501454</t>
        </is>
      </c>
      <c r="C228" s="29" t="inlineStr">
        <is>
          <t>AHMET BEYHAN</t>
        </is>
      </c>
      <c r="D228" s="7" t="n">
        <v>142.25</v>
      </c>
      <c r="E228" s="4" t="inlineStr">
        <is>
          <t>16.12.2025</t>
        </is>
      </c>
      <c r="F228" s="4" t="inlineStr"/>
      <c r="G228" s="7" t="n">
        <v>38875.76</v>
      </c>
      <c r="H228" s="7" t="n">
        <v>16289.54</v>
      </c>
      <c r="I228" s="7" t="n">
        <v>13859.8</v>
      </c>
      <c r="J228" s="7" t="n">
        <v>55165.3</v>
      </c>
      <c r="K228" s="7" t="n">
        <v>21561.9</v>
      </c>
      <c r="L228" s="7" t="n">
        <v>33603.4</v>
      </c>
      <c r="M228" s="4" t="n">
        <v>30</v>
      </c>
      <c r="N228" s="7" t="n">
        <v>55165.3</v>
      </c>
      <c r="O228" s="4" t="inlineStr">
        <is>
          <t>05510</t>
        </is>
      </c>
      <c r="P228" s="4" t="inlineStr">
        <is>
          <t>7514.01</t>
        </is>
      </c>
    </row>
    <row r="229">
      <c r="A229" s="4" t="inlineStr">
        <is>
          <t>228</t>
        </is>
      </c>
      <c r="B229" s="5" t="inlineStr">
        <is>
          <t>23539402008</t>
        </is>
      </c>
      <c r="C229" s="29" t="inlineStr">
        <is>
          <t>MÜRVET ŞAFAK</t>
        </is>
      </c>
      <c r="D229" s="7" t="n">
        <v>124.78</v>
      </c>
      <c r="E229" s="4" t="inlineStr">
        <is>
          <t>29.01.2026</t>
        </is>
      </c>
      <c r="F229" s="4" t="inlineStr"/>
      <c r="G229" s="7" t="n">
        <v>23121</v>
      </c>
      <c r="H229" s="7" t="n">
        <v>1321.2</v>
      </c>
      <c r="I229" s="7" t="n">
        <v>3666.33</v>
      </c>
      <c r="J229" s="7" t="n">
        <v>24442.2</v>
      </c>
      <c r="K229" s="7" t="n">
        <v>3666.33</v>
      </c>
      <c r="L229" s="7" t="n">
        <v>20775.87</v>
      </c>
      <c r="M229" s="4" t="n">
        <v>21</v>
      </c>
      <c r="N229" s="7" t="n">
        <v>24442.2</v>
      </c>
      <c r="O229" s="4" t="inlineStr">
        <is>
          <t>05510</t>
        </is>
      </c>
      <c r="P229" s="4" t="inlineStr">
        <is>
          <t>7514.01</t>
        </is>
      </c>
    </row>
    <row r="230">
      <c r="A230" s="4" t="inlineStr">
        <is>
          <t>229</t>
        </is>
      </c>
      <c r="B230" s="5" t="inlineStr">
        <is>
          <t>23575500782</t>
        </is>
      </c>
      <c r="C230" s="29" t="inlineStr">
        <is>
          <t>HANİFE KATMIŞ</t>
        </is>
      </c>
      <c r="D230" s="7" t="n">
        <v>124.78</v>
      </c>
      <c r="E230" s="4" t="inlineStr">
        <is>
          <t>29.06.2026</t>
        </is>
      </c>
      <c r="F230" s="4" t="inlineStr"/>
      <c r="G230" s="7" t="n">
        <v>0</v>
      </c>
      <c r="H230" s="7" t="n">
        <v>0</v>
      </c>
      <c r="I230" s="7" t="n">
        <v>0</v>
      </c>
      <c r="J230" s="7" t="n">
        <v>0</v>
      </c>
      <c r="K230" s="7" t="n">
        <v>0</v>
      </c>
      <c r="L230" s="7" t="n">
        <v>0</v>
      </c>
      <c r="M230" s="4" t="n">
        <v>0</v>
      </c>
      <c r="N230" s="7" t="n">
        <v>0</v>
      </c>
      <c r="O230" s="4" t="inlineStr">
        <is>
          <t>05510</t>
        </is>
      </c>
      <c r="P230" s="4" t="inlineStr">
        <is>
          <t>7514.01</t>
        </is>
      </c>
    </row>
    <row r="231">
      <c r="A231" s="4" t="inlineStr">
        <is>
          <t>230</t>
        </is>
      </c>
      <c r="B231" s="5" t="inlineStr">
        <is>
          <t>23606018040</t>
        </is>
      </c>
      <c r="C231" s="29" t="inlineStr">
        <is>
          <t>ŞEYMANUR ÖZGÜLMEZ</t>
        </is>
      </c>
      <c r="D231" s="7" t="n">
        <v>146.6</v>
      </c>
      <c r="E231" s="4" t="inlineStr">
        <is>
          <t>30.06.2026</t>
        </is>
      </c>
      <c r="F231" s="4" t="inlineStr"/>
      <c r="G231" s="7" t="n">
        <v>0</v>
      </c>
      <c r="H231" s="7" t="n">
        <v>0</v>
      </c>
      <c r="I231" s="7" t="n">
        <v>0</v>
      </c>
      <c r="J231" s="7" t="n">
        <v>0</v>
      </c>
      <c r="K231" s="7" t="n">
        <v>0</v>
      </c>
      <c r="L231" s="7" t="n">
        <v>0</v>
      </c>
      <c r="M231" s="4" t="n">
        <v>0</v>
      </c>
      <c r="N231" s="7" t="n">
        <v>0</v>
      </c>
      <c r="O231" s="4" t="inlineStr">
        <is>
          <t>05510</t>
        </is>
      </c>
      <c r="P231" s="4" t="inlineStr">
        <is>
          <t>7514.01</t>
        </is>
      </c>
    </row>
    <row r="232">
      <c r="A232" s="4" t="inlineStr">
        <is>
          <t>231</t>
        </is>
      </c>
      <c r="B232" s="5" t="inlineStr">
        <is>
          <t>23620498330</t>
        </is>
      </c>
      <c r="C232" s="29" t="inlineStr">
        <is>
          <t>FATMA BEYHAN</t>
        </is>
      </c>
      <c r="D232" s="7" t="n">
        <v>146.6</v>
      </c>
      <c r="E232" s="4" t="inlineStr">
        <is>
          <t>06.01.2025</t>
        </is>
      </c>
      <c r="F232" s="4" t="inlineStr"/>
      <c r="G232" s="7" t="n">
        <v>0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0</v>
      </c>
      <c r="M232" s="4" t="n">
        <v>0</v>
      </c>
      <c r="N232" s="7" t="n">
        <v>0</v>
      </c>
      <c r="O232" s="4" t="inlineStr">
        <is>
          <t>05510</t>
        </is>
      </c>
      <c r="P232" s="4" t="inlineStr">
        <is>
          <t>7514.01</t>
        </is>
      </c>
    </row>
    <row r="233">
      <c r="A233" s="4" t="inlineStr">
        <is>
          <t>232</t>
        </is>
      </c>
      <c r="B233" s="5" t="inlineStr">
        <is>
          <t>23638497776</t>
        </is>
      </c>
      <c r="C233" s="29" t="inlineStr">
        <is>
          <t>HACER BEYHAN</t>
        </is>
      </c>
      <c r="D233" s="7" t="n">
        <v>146.6</v>
      </c>
      <c r="E233" s="4" t="inlineStr">
        <is>
          <t>06.01.2025</t>
        </is>
      </c>
      <c r="F233" s="4" t="inlineStr"/>
      <c r="G233" s="7" t="n">
        <v>12935.29</v>
      </c>
      <c r="H233" s="7" t="n">
        <v>172.47</v>
      </c>
      <c r="I233" s="7" t="n">
        <v>1966.16</v>
      </c>
      <c r="J233" s="7" t="n">
        <v>13107.76</v>
      </c>
      <c r="K233" s="7" t="n">
        <v>1966.16</v>
      </c>
      <c r="L233" s="7" t="n">
        <v>11141.6</v>
      </c>
      <c r="M233" s="4" t="n">
        <v>10</v>
      </c>
      <c r="N233" s="7" t="n">
        <v>13107.76</v>
      </c>
      <c r="O233" s="4" t="inlineStr">
        <is>
          <t>05510</t>
        </is>
      </c>
      <c r="P233" s="4" t="inlineStr">
        <is>
          <t>7514.01</t>
        </is>
      </c>
    </row>
    <row r="234">
      <c r="A234" s="4" t="inlineStr">
        <is>
          <t>233</t>
        </is>
      </c>
      <c r="B234" s="5" t="inlineStr">
        <is>
          <t>23782492962</t>
        </is>
      </c>
      <c r="C234" s="29" t="inlineStr">
        <is>
          <t>ZEKİYE ŞEKER</t>
        </is>
      </c>
      <c r="D234" s="7" t="n">
        <v>146.6</v>
      </c>
      <c r="E234" s="4" t="inlineStr">
        <is>
          <t>18.06.2026</t>
        </is>
      </c>
      <c r="F234" s="4" t="inlineStr"/>
      <c r="G234" s="7" t="n">
        <v>24577.06</v>
      </c>
      <c r="H234" s="7" t="n">
        <v>517.41</v>
      </c>
      <c r="I234" s="7" t="n">
        <v>3764.17</v>
      </c>
      <c r="J234" s="7" t="n">
        <v>25094.47</v>
      </c>
      <c r="K234" s="7" t="n">
        <v>3764.17</v>
      </c>
      <c r="L234" s="7" t="n">
        <v>21330.3</v>
      </c>
      <c r="M234" s="4" t="n">
        <v>19</v>
      </c>
      <c r="N234" s="7" t="n">
        <v>25094.47</v>
      </c>
      <c r="O234" s="4" t="inlineStr">
        <is>
          <t>05510</t>
        </is>
      </c>
      <c r="P234" s="4" t="inlineStr">
        <is>
          <t>7514.01</t>
        </is>
      </c>
    </row>
    <row r="235">
      <c r="A235" s="4" t="inlineStr">
        <is>
          <t>234</t>
        </is>
      </c>
      <c r="B235" s="5" t="inlineStr">
        <is>
          <t>23857340204</t>
        </is>
      </c>
      <c r="C235" s="29" t="inlineStr">
        <is>
          <t>HÜLYA ERİM</t>
        </is>
      </c>
      <c r="D235" s="7" t="n">
        <v>124.78</v>
      </c>
      <c r="E235" s="4" t="inlineStr">
        <is>
          <t>22.05.2025</t>
        </is>
      </c>
      <c r="F235" s="4" t="inlineStr"/>
      <c r="G235" s="7" t="n">
        <v>3302.93</v>
      </c>
      <c r="H235" s="7" t="n">
        <v>146.8</v>
      </c>
      <c r="I235" s="7" t="n">
        <v>517.46</v>
      </c>
      <c r="J235" s="7" t="n">
        <v>3449.73</v>
      </c>
      <c r="K235" s="7" t="n">
        <v>517.46</v>
      </c>
      <c r="L235" s="7" t="n">
        <v>2932.27</v>
      </c>
      <c r="M235" s="4" t="n">
        <v>3</v>
      </c>
      <c r="N235" s="7" t="n">
        <v>3449.73</v>
      </c>
      <c r="O235" s="4" t="inlineStr">
        <is>
          <t>05510</t>
        </is>
      </c>
      <c r="P235" s="4" t="inlineStr">
        <is>
          <t>7514.01</t>
        </is>
      </c>
    </row>
    <row r="236">
      <c r="A236" s="4" t="inlineStr">
        <is>
          <t>235</t>
        </is>
      </c>
      <c r="B236" s="5" t="inlineStr">
        <is>
          <t>24022385860</t>
        </is>
      </c>
      <c r="C236" s="29" t="inlineStr">
        <is>
          <t>RECEP İÇÖZ</t>
        </is>
      </c>
      <c r="D236" s="7" t="n">
        <v>146.6</v>
      </c>
      <c r="E236" s="4" t="inlineStr">
        <is>
          <t>27.07.2026</t>
        </is>
      </c>
      <c r="F236" s="4" t="inlineStr"/>
      <c r="G236" s="7" t="n">
        <v>36821.39</v>
      </c>
      <c r="H236" s="7" t="n">
        <v>7177.13</v>
      </c>
      <c r="I236" s="7" t="n">
        <v>8081.51</v>
      </c>
      <c r="J236" s="7" t="n">
        <v>43998.51</v>
      </c>
      <c r="K236" s="7" t="n">
        <v>15781.51</v>
      </c>
      <c r="L236" s="7" t="n">
        <v>28217</v>
      </c>
      <c r="M236" s="4" t="n">
        <v>28</v>
      </c>
      <c r="N236" s="7" t="n">
        <v>43998.51</v>
      </c>
      <c r="O236" s="4" t="inlineStr">
        <is>
          <t>05510</t>
        </is>
      </c>
      <c r="P236" s="4" t="inlineStr">
        <is>
          <t>7514.01</t>
        </is>
      </c>
    </row>
    <row r="237">
      <c r="A237" s="4" t="inlineStr">
        <is>
          <t>236</t>
        </is>
      </c>
      <c r="B237" s="5" t="inlineStr">
        <is>
          <t>24031385950</t>
        </is>
      </c>
      <c r="C237" s="29" t="inlineStr">
        <is>
          <t>NECMİ SEVER</t>
        </is>
      </c>
      <c r="D237" s="7" t="n">
        <v>124.78</v>
      </c>
      <c r="E237" s="4" t="inlineStr">
        <is>
          <t>01.07.2025</t>
        </is>
      </c>
      <c r="F237" s="4" t="inlineStr"/>
      <c r="G237" s="7" t="n">
        <v>29726.94</v>
      </c>
      <c r="H237" s="7" t="n">
        <v>1614.8</v>
      </c>
      <c r="I237" s="7" t="n">
        <v>4701.26</v>
      </c>
      <c r="J237" s="7" t="n">
        <v>31341.74</v>
      </c>
      <c r="K237" s="7" t="n">
        <v>4701.26</v>
      </c>
      <c r="L237" s="7" t="n">
        <v>26640.48</v>
      </c>
      <c r="M237" s="4" t="n">
        <v>27</v>
      </c>
      <c r="N237" s="7" t="n">
        <v>31341.74</v>
      </c>
      <c r="O237" s="4" t="inlineStr">
        <is>
          <t>16322</t>
        </is>
      </c>
      <c r="P237" s="4" t="inlineStr">
        <is>
          <t>7514.01</t>
        </is>
      </c>
    </row>
    <row r="238">
      <c r="A238" s="4" t="inlineStr">
        <is>
          <t>237</t>
        </is>
      </c>
      <c r="B238" s="5" t="inlineStr">
        <is>
          <t>24070483334</t>
        </is>
      </c>
      <c r="C238" s="29" t="inlineStr">
        <is>
          <t>MERYEM İNAN</t>
        </is>
      </c>
      <c r="D238" s="7" t="n">
        <v>146.6</v>
      </c>
      <c r="E238" s="4" t="inlineStr">
        <is>
          <t>13.10.2025</t>
        </is>
      </c>
      <c r="F238" s="4" t="inlineStr"/>
      <c r="G238" s="7" t="n">
        <v>0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0</v>
      </c>
      <c r="M238" s="4" t="n">
        <v>0</v>
      </c>
      <c r="N238" s="7" t="n">
        <v>0</v>
      </c>
      <c r="O238" s="4" t="inlineStr">
        <is>
          <t>05510</t>
        </is>
      </c>
      <c r="P238" s="4" t="inlineStr">
        <is>
          <t>7514.01</t>
        </is>
      </c>
    </row>
    <row r="239">
      <c r="A239" s="4" t="inlineStr">
        <is>
          <t>238</t>
        </is>
      </c>
      <c r="B239" s="5" t="inlineStr">
        <is>
          <t>24082483292</t>
        </is>
      </c>
      <c r="C239" s="29" t="inlineStr">
        <is>
          <t>AHMET ÇÇAKICI</t>
        </is>
      </c>
      <c r="D239" s="7" t="n">
        <v>30185</v>
      </c>
      <c r="E239" s="4" t="inlineStr">
        <is>
          <t>26.07.2026</t>
        </is>
      </c>
      <c r="F239" s="4" t="inlineStr"/>
      <c r="G239" s="7" t="n">
        <v>4679.84</v>
      </c>
      <c r="H239" s="7" t="n">
        <v>0</v>
      </c>
      <c r="I239" s="7" t="n">
        <v>655.1799999999999</v>
      </c>
      <c r="J239" s="7" t="n">
        <v>4679.84</v>
      </c>
      <c r="K239" s="7" t="n">
        <v>655.1799999999999</v>
      </c>
      <c r="L239" s="7" t="n">
        <v>4024.67</v>
      </c>
      <c r="M239" s="4" t="n">
        <v>4</v>
      </c>
      <c r="N239" s="7" t="n">
        <v>4679.84</v>
      </c>
      <c r="O239" s="4" t="inlineStr">
        <is>
          <t>00000</t>
        </is>
      </c>
      <c r="P239" s="4" t="inlineStr">
        <is>
          <t>7514.01</t>
        </is>
      </c>
    </row>
    <row r="240">
      <c r="A240" s="4" t="inlineStr">
        <is>
          <t>239</t>
        </is>
      </c>
      <c r="B240" s="5" t="inlineStr">
        <is>
          <t>24136488860</t>
        </is>
      </c>
      <c r="C240" s="29" t="inlineStr">
        <is>
          <t>SEREN BURHAN</t>
        </is>
      </c>
      <c r="D240" s="7" t="n">
        <v>146.6</v>
      </c>
      <c r="E240" s="4" t="inlineStr">
        <is>
          <t>05.06.2026</t>
        </is>
      </c>
      <c r="F240" s="4" t="inlineStr"/>
      <c r="G240" s="7" t="n">
        <v>35283.43</v>
      </c>
      <c r="H240" s="7" t="n">
        <v>512.65</v>
      </c>
      <c r="I240" s="7" t="n">
        <v>6816.08</v>
      </c>
      <c r="J240" s="7" t="n">
        <v>35796.08</v>
      </c>
      <c r="K240" s="7" t="n">
        <v>6816.08</v>
      </c>
      <c r="L240" s="7" t="n">
        <v>28980</v>
      </c>
      <c r="M240" s="4" t="n">
        <v>27</v>
      </c>
      <c r="N240" s="7" t="n">
        <v>35796.08</v>
      </c>
      <c r="O240" s="4" t="inlineStr">
        <is>
          <t>05510</t>
        </is>
      </c>
      <c r="P240" s="4" t="inlineStr">
        <is>
          <t>7514.01</t>
        </is>
      </c>
    </row>
    <row r="241">
      <c r="A241" s="4" t="inlineStr">
        <is>
          <t>240</t>
        </is>
      </c>
      <c r="B241" s="5" t="inlineStr">
        <is>
          <t>24178356332</t>
        </is>
      </c>
      <c r="C241" s="29" t="inlineStr">
        <is>
          <t>SEHER ÖZDEN</t>
        </is>
      </c>
      <c r="D241" s="7" t="n">
        <v>124.78</v>
      </c>
      <c r="E241" s="4" t="inlineStr">
        <is>
          <t>02.01.2023</t>
        </is>
      </c>
      <c r="F241" s="4" t="inlineStr"/>
      <c r="G241" s="7" t="n">
        <v>31928.36</v>
      </c>
      <c r="H241" s="7" t="n">
        <v>3619.01</v>
      </c>
      <c r="I241" s="7" t="n">
        <v>5351.21</v>
      </c>
      <c r="J241" s="7" t="n">
        <v>35547.37</v>
      </c>
      <c r="K241" s="7" t="n">
        <v>5351.21</v>
      </c>
      <c r="L241" s="7" t="n">
        <v>30196.15</v>
      </c>
      <c r="M241" s="4" t="n">
        <v>29</v>
      </c>
      <c r="N241" s="7" t="n">
        <v>35547.37</v>
      </c>
      <c r="O241" s="4" t="inlineStr">
        <is>
          <t>05510</t>
        </is>
      </c>
      <c r="P241" s="4" t="inlineStr">
        <is>
          <t>7514.01</t>
        </is>
      </c>
    </row>
    <row r="242">
      <c r="A242" s="4" t="inlineStr">
        <is>
          <t>241</t>
        </is>
      </c>
      <c r="B242" s="5" t="inlineStr">
        <is>
          <t>24280352994</t>
        </is>
      </c>
      <c r="C242" s="29" t="inlineStr">
        <is>
          <t>AYŞE KARAMAN</t>
        </is>
      </c>
      <c r="D242" s="7" t="n">
        <v>146.6</v>
      </c>
      <c r="E242" s="4" t="inlineStr">
        <is>
          <t>10.02.2026</t>
        </is>
      </c>
      <c r="F242" s="4" t="inlineStr"/>
      <c r="G242" s="7" t="n">
        <v>34942.37</v>
      </c>
      <c r="H242" s="7" t="n">
        <v>609.09</v>
      </c>
      <c r="I242" s="7" t="n">
        <v>5351.86</v>
      </c>
      <c r="J242" s="7" t="n">
        <v>35551.46</v>
      </c>
      <c r="K242" s="7" t="n">
        <v>5351.86</v>
      </c>
      <c r="L242" s="7" t="n">
        <v>30199.6</v>
      </c>
      <c r="M242" s="4" t="n">
        <v>27</v>
      </c>
      <c r="N242" s="7" t="n">
        <v>35551.46</v>
      </c>
      <c r="O242" s="4" t="inlineStr">
        <is>
          <t>05510</t>
        </is>
      </c>
      <c r="P242" s="4" t="inlineStr">
        <is>
          <t>7514.01</t>
        </is>
      </c>
    </row>
    <row r="243">
      <c r="A243" s="4" t="inlineStr">
        <is>
          <t>242</t>
        </is>
      </c>
      <c r="B243" s="5" t="inlineStr">
        <is>
          <t>24289352612</t>
        </is>
      </c>
      <c r="C243" s="29" t="inlineStr">
        <is>
          <t>ZEYNEP KARAMAN</t>
        </is>
      </c>
      <c r="D243" s="7" t="n">
        <v>146.6</v>
      </c>
      <c r="E243" s="4" t="inlineStr">
        <is>
          <t>10.02.2026</t>
        </is>
      </c>
      <c r="F243" s="4" t="inlineStr"/>
      <c r="G243" s="7" t="n">
        <v>31492.05</v>
      </c>
      <c r="H243" s="7" t="n">
        <v>15462.18</v>
      </c>
      <c r="I243" s="7" t="n">
        <v>10157.64</v>
      </c>
      <c r="J243" s="7" t="n">
        <v>46954.24</v>
      </c>
      <c r="K243" s="7" t="n">
        <v>10157.64</v>
      </c>
      <c r="L243" s="7" t="n">
        <v>36796.6</v>
      </c>
      <c r="M243" s="4" t="n">
        <v>24</v>
      </c>
      <c r="N243" s="7" t="n">
        <v>46954.24</v>
      </c>
      <c r="O243" s="4" t="inlineStr">
        <is>
          <t>05510</t>
        </is>
      </c>
      <c r="P243" s="4" t="inlineStr">
        <is>
          <t>7514.01</t>
        </is>
      </c>
    </row>
    <row r="244">
      <c r="A244" s="4" t="inlineStr">
        <is>
          <t>243</t>
        </is>
      </c>
      <c r="B244" s="5" t="inlineStr">
        <is>
          <t>24365052108</t>
        </is>
      </c>
      <c r="C244" s="29" t="inlineStr">
        <is>
          <t>YUSUF CEMAL KONAKÇI</t>
        </is>
      </c>
      <c r="D244" s="7" t="n">
        <v>33030</v>
      </c>
      <c r="E244" s="4" t="inlineStr">
        <is>
          <t>17.05.2021</t>
        </is>
      </c>
      <c r="F244" s="4" t="inlineStr"/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4" t="n">
        <v>0</v>
      </c>
      <c r="N244" s="7" t="n">
        <v>0</v>
      </c>
      <c r="O244" s="4" t="inlineStr">
        <is>
          <t>05510</t>
        </is>
      </c>
      <c r="P244" s="4" t="inlineStr">
        <is>
          <t>9112.11</t>
        </is>
      </c>
    </row>
    <row r="245">
      <c r="A245" s="4" t="inlineStr">
        <is>
          <t>244</t>
        </is>
      </c>
      <c r="B245" s="5" t="inlineStr">
        <is>
          <t>24541318660</t>
        </is>
      </c>
      <c r="C245" s="29" t="inlineStr">
        <is>
          <t>GÜLCAN BİLGİÇ</t>
        </is>
      </c>
      <c r="D245" s="7" t="n">
        <v>124.78</v>
      </c>
      <c r="E245" s="4" t="inlineStr">
        <is>
          <t>10.11.2022</t>
        </is>
      </c>
      <c r="F245" s="4" t="inlineStr"/>
      <c r="G245" s="7" t="n">
        <v>28625.43</v>
      </c>
      <c r="H245" s="7" t="n">
        <v>440.39</v>
      </c>
      <c r="I245" s="7" t="n">
        <v>4359.87</v>
      </c>
      <c r="J245" s="7" t="n">
        <v>29065.82</v>
      </c>
      <c r="K245" s="7" t="n">
        <v>4359.87</v>
      </c>
      <c r="L245" s="7" t="n">
        <v>24705.94</v>
      </c>
      <c r="M245" s="4" t="n">
        <v>26</v>
      </c>
      <c r="N245" s="7" t="n">
        <v>29065.82</v>
      </c>
      <c r="O245" s="4" t="inlineStr">
        <is>
          <t>16322</t>
        </is>
      </c>
      <c r="P245" s="4" t="inlineStr">
        <is>
          <t>7514.01</t>
        </is>
      </c>
    </row>
    <row r="246">
      <c r="A246" s="4" t="inlineStr">
        <is>
          <t>245</t>
        </is>
      </c>
      <c r="B246" s="5" t="inlineStr">
        <is>
          <t>24709461474</t>
        </is>
      </c>
      <c r="C246" s="29" t="inlineStr">
        <is>
          <t>ASLI BAYRAKTAR</t>
        </is>
      </c>
      <c r="D246" s="7" t="n">
        <v>146.6</v>
      </c>
      <c r="E246" s="4" t="inlineStr">
        <is>
          <t>05.05.2026</t>
        </is>
      </c>
      <c r="F246" s="4" t="inlineStr"/>
      <c r="G246" s="7" t="n">
        <v>15522.35</v>
      </c>
      <c r="H246" s="7" t="n">
        <v>8709.76</v>
      </c>
      <c r="I246" s="7" t="n">
        <v>4360.82</v>
      </c>
      <c r="J246" s="7" t="n">
        <v>24232.12</v>
      </c>
      <c r="K246" s="7" t="n">
        <v>7656.82</v>
      </c>
      <c r="L246" s="7" t="n">
        <v>16575.3</v>
      </c>
      <c r="M246" s="4" t="n">
        <v>12</v>
      </c>
      <c r="N246" s="7" t="n">
        <v>24232.12</v>
      </c>
      <c r="O246" s="4" t="inlineStr">
        <is>
          <t>05510</t>
        </is>
      </c>
      <c r="P246" s="4" t="inlineStr">
        <is>
          <t>7514.01</t>
        </is>
      </c>
    </row>
    <row r="247">
      <c r="A247" s="4" t="inlineStr">
        <is>
          <t>246</t>
        </is>
      </c>
      <c r="B247" s="5" t="inlineStr">
        <is>
          <t>24721461636</t>
        </is>
      </c>
      <c r="C247" s="29" t="inlineStr">
        <is>
          <t>ŞADİYE AKIN</t>
        </is>
      </c>
      <c r="D247" s="7" t="n">
        <v>146.6</v>
      </c>
      <c r="E247" s="4" t="inlineStr">
        <is>
          <t>10.02.2026</t>
        </is>
      </c>
      <c r="F247" s="4" t="inlineStr"/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4" t="n">
        <v>0</v>
      </c>
      <c r="N247" s="7" t="n">
        <v>0</v>
      </c>
      <c r="O247" s="4" t="inlineStr">
        <is>
          <t>05510</t>
        </is>
      </c>
      <c r="P247" s="4" t="inlineStr">
        <is>
          <t>7514.01</t>
        </is>
      </c>
    </row>
    <row r="248">
      <c r="A248" s="4" t="inlineStr">
        <is>
          <t>247</t>
        </is>
      </c>
      <c r="B248" s="5" t="inlineStr">
        <is>
          <t>24961035246</t>
        </is>
      </c>
      <c r="C248" s="29" t="inlineStr">
        <is>
          <t>DUDU ÖRENGÜL</t>
        </is>
      </c>
      <c r="D248" s="7" t="n">
        <v>124.78</v>
      </c>
      <c r="E248" s="4" t="inlineStr">
        <is>
          <t>27.06.2026</t>
        </is>
      </c>
      <c r="F248" s="4" t="inlineStr"/>
      <c r="G248" s="7" t="n">
        <v>24222</v>
      </c>
      <c r="H248" s="7" t="n">
        <v>440.4</v>
      </c>
      <c r="I248" s="7" t="n">
        <v>4438.36</v>
      </c>
      <c r="J248" s="7" t="n">
        <v>24662.4</v>
      </c>
      <c r="K248" s="7" t="n">
        <v>4438.36</v>
      </c>
      <c r="L248" s="7" t="n">
        <v>20224.04</v>
      </c>
      <c r="M248" s="4" t="n">
        <v>22</v>
      </c>
      <c r="N248" s="7" t="n">
        <v>24662.4</v>
      </c>
      <c r="O248" s="4" t="inlineStr">
        <is>
          <t>05510</t>
        </is>
      </c>
      <c r="P248" s="4" t="inlineStr">
        <is>
          <t>7514.01</t>
        </is>
      </c>
    </row>
    <row r="249">
      <c r="A249" s="4" t="inlineStr">
        <is>
          <t>248</t>
        </is>
      </c>
      <c r="B249" s="5" t="inlineStr">
        <is>
          <t>25060351046</t>
        </is>
      </c>
      <c r="C249" s="29" t="inlineStr">
        <is>
          <t>İSMAİL İMİR</t>
        </is>
      </c>
      <c r="D249" s="7" t="n">
        <v>30185</v>
      </c>
      <c r="E249" s="4" t="inlineStr">
        <is>
          <t>10.02.2026</t>
        </is>
      </c>
      <c r="F249" s="4" t="inlineStr"/>
      <c r="G249" s="7" t="n">
        <v>4350.99</v>
      </c>
      <c r="H249" s="7" t="n">
        <v>0</v>
      </c>
      <c r="I249" s="7" t="n">
        <v>326.32</v>
      </c>
      <c r="J249" s="7" t="n">
        <v>4350.99</v>
      </c>
      <c r="K249" s="7" t="n">
        <v>326.32</v>
      </c>
      <c r="L249" s="7" t="n">
        <v>4024.67</v>
      </c>
      <c r="M249" s="4" t="n">
        <v>4</v>
      </c>
      <c r="N249" s="7" t="n">
        <v>4404</v>
      </c>
      <c r="O249" s="4" t="inlineStr">
        <is>
          <t>00000</t>
        </is>
      </c>
      <c r="P249" s="4" t="inlineStr">
        <is>
          <t>8161.57</t>
        </is>
      </c>
    </row>
    <row r="250">
      <c r="A250" s="4" t="inlineStr">
        <is>
          <t>249</t>
        </is>
      </c>
      <c r="B250" s="5" t="inlineStr">
        <is>
          <t>25192322242</t>
        </is>
      </c>
      <c r="C250" s="29" t="inlineStr">
        <is>
          <t>ŞAYİKA KOPARAN</t>
        </is>
      </c>
      <c r="D250" s="7" t="n">
        <v>124.78</v>
      </c>
      <c r="E250" s="4" t="inlineStr">
        <is>
          <t>06.03.2023</t>
        </is>
      </c>
      <c r="F250" s="4" t="inlineStr"/>
      <c r="G250" s="7" t="n">
        <v>30827.38</v>
      </c>
      <c r="H250" s="7" t="n">
        <v>1614.77</v>
      </c>
      <c r="I250" s="7" t="n">
        <v>4866.32</v>
      </c>
      <c r="J250" s="7" t="n">
        <v>32442.15</v>
      </c>
      <c r="K250" s="7" t="n">
        <v>4866.32</v>
      </c>
      <c r="L250" s="7" t="n">
        <v>27575.83</v>
      </c>
      <c r="M250" s="4" t="n">
        <v>28</v>
      </c>
      <c r="N250" s="7" t="n">
        <v>32442.15</v>
      </c>
      <c r="O250" s="4" t="inlineStr">
        <is>
          <t>16322</t>
        </is>
      </c>
      <c r="P250" s="4" t="inlineStr">
        <is>
          <t>7514.01</t>
        </is>
      </c>
    </row>
    <row r="251">
      <c r="A251" s="4" t="inlineStr">
        <is>
          <t>250</t>
        </is>
      </c>
      <c r="B251" s="5" t="inlineStr">
        <is>
          <t>25297298992</t>
        </is>
      </c>
      <c r="C251" s="29" t="inlineStr">
        <is>
          <t>BETÜL TUNÇ</t>
        </is>
      </c>
      <c r="D251" s="7" t="n">
        <v>146.6</v>
      </c>
      <c r="E251" s="4" t="inlineStr">
        <is>
          <t>04.11.2025</t>
        </is>
      </c>
      <c r="F251" s="4" t="inlineStr"/>
      <c r="G251" s="7" t="n">
        <v>21990</v>
      </c>
      <c r="H251" s="7" t="n">
        <v>862.35</v>
      </c>
      <c r="I251" s="7" t="n">
        <v>4112.85</v>
      </c>
      <c r="J251" s="7" t="n">
        <v>22852.35</v>
      </c>
      <c r="K251" s="7" t="n">
        <v>4112.85</v>
      </c>
      <c r="L251" s="7" t="n">
        <v>18739.5</v>
      </c>
      <c r="M251" s="4" t="n">
        <v>17</v>
      </c>
      <c r="N251" s="7" t="n">
        <v>22852.35</v>
      </c>
      <c r="O251" s="4" t="inlineStr">
        <is>
          <t>16322</t>
        </is>
      </c>
      <c r="P251" s="4" t="inlineStr">
        <is>
          <t>7514.01</t>
        </is>
      </c>
    </row>
    <row r="252">
      <c r="A252" s="4" t="inlineStr">
        <is>
          <t>251</t>
        </is>
      </c>
      <c r="B252" s="5" t="inlineStr">
        <is>
          <t>25354441064</t>
        </is>
      </c>
      <c r="C252" s="29" t="inlineStr">
        <is>
          <t>METANET DİNÇER</t>
        </is>
      </c>
      <c r="D252" s="7" t="n">
        <v>124.78</v>
      </c>
      <c r="E252" s="4" t="inlineStr">
        <is>
          <t>19.07.2026</t>
        </is>
      </c>
      <c r="F252" s="4" t="inlineStr"/>
      <c r="G252" s="7" t="n">
        <v>3303</v>
      </c>
      <c r="H252" s="7" t="n">
        <v>3743.4</v>
      </c>
      <c r="I252" s="7" t="n">
        <v>1056.96</v>
      </c>
      <c r="J252" s="7" t="n">
        <v>7046.4</v>
      </c>
      <c r="K252" s="7" t="n">
        <v>1056.96</v>
      </c>
      <c r="L252" s="7" t="n">
        <v>5989.44</v>
      </c>
      <c r="M252" s="4" t="n">
        <v>3</v>
      </c>
      <c r="N252" s="7" t="n">
        <v>7046.4</v>
      </c>
      <c r="O252" s="4" t="inlineStr">
        <is>
          <t>05510</t>
        </is>
      </c>
      <c r="P252" s="4" t="inlineStr">
        <is>
          <t>7514.01</t>
        </is>
      </c>
    </row>
    <row r="253">
      <c r="A253" s="4" t="inlineStr">
        <is>
          <t>252</t>
        </is>
      </c>
      <c r="B253" s="5" t="inlineStr">
        <is>
          <t>25540093862</t>
        </is>
      </c>
      <c r="C253" s="29" t="inlineStr">
        <is>
          <t>SUDE ÜRGÜN</t>
        </is>
      </c>
      <c r="D253" s="7" t="n">
        <v>124.78</v>
      </c>
      <c r="E253" s="4" t="inlineStr">
        <is>
          <t>08.07.2026</t>
        </is>
      </c>
      <c r="F253" s="4" t="inlineStr"/>
      <c r="G253" s="7" t="n">
        <v>0</v>
      </c>
      <c r="H253" s="7" t="n">
        <v>0</v>
      </c>
      <c r="I253" s="7" t="n">
        <v>0</v>
      </c>
      <c r="J253" s="7" t="n">
        <v>0</v>
      </c>
      <c r="K253" s="7" t="n">
        <v>0</v>
      </c>
      <c r="L253" s="7" t="n">
        <v>0</v>
      </c>
      <c r="M253" s="4" t="n">
        <v>0</v>
      </c>
      <c r="N253" s="7" t="n">
        <v>0</v>
      </c>
      <c r="O253" s="4" t="inlineStr">
        <is>
          <t>05510</t>
        </is>
      </c>
      <c r="P253" s="4" t="inlineStr">
        <is>
          <t>7514.01</t>
        </is>
      </c>
    </row>
    <row r="254">
      <c r="A254" s="4" t="inlineStr">
        <is>
          <t>253</t>
        </is>
      </c>
      <c r="B254" s="5" t="inlineStr">
        <is>
          <t>25544060556</t>
        </is>
      </c>
      <c r="C254" s="29" t="inlineStr">
        <is>
          <t>KAAN ÇAĞRI VARDAR</t>
        </is>
      </c>
      <c r="D254" s="7" t="n">
        <v>11010</v>
      </c>
      <c r="E254" s="4" t="inlineStr">
        <is>
          <t>08.09.2025</t>
        </is>
      </c>
      <c r="F254" s="4" t="inlineStr"/>
      <c r="G254" s="7" t="n">
        <v>0</v>
      </c>
      <c r="H254" s="7" t="n">
        <v>0</v>
      </c>
      <c r="I254" s="7" t="n">
        <v>0</v>
      </c>
      <c r="J254" s="7" t="n">
        <v>0</v>
      </c>
      <c r="K254" s="7" t="n">
        <v>0</v>
      </c>
      <c r="L254" s="7" t="n">
        <v>0</v>
      </c>
      <c r="M254" s="4" t="n">
        <v>0</v>
      </c>
      <c r="N254" s="7" t="n">
        <v>0</v>
      </c>
      <c r="O254" s="4" t="inlineStr">
        <is>
          <t>00000</t>
        </is>
      </c>
      <c r="P254" s="4" t="inlineStr">
        <is>
          <t>7514.01</t>
        </is>
      </c>
    </row>
    <row r="255">
      <c r="A255" s="4" t="inlineStr">
        <is>
          <t>254</t>
        </is>
      </c>
      <c r="B255" s="5" t="inlineStr">
        <is>
          <t>25567503092</t>
        </is>
      </c>
      <c r="C255" s="29" t="inlineStr">
        <is>
          <t>AYÇA SEZER</t>
        </is>
      </c>
      <c r="D255" s="7" t="n">
        <v>146.6</v>
      </c>
      <c r="E255" s="4" t="inlineStr">
        <is>
          <t>10.02.2026</t>
        </is>
      </c>
      <c r="F255" s="4" t="inlineStr"/>
      <c r="G255" s="7" t="n">
        <v>35262.26</v>
      </c>
      <c r="H255" s="7" t="n">
        <v>8829.879999999999</v>
      </c>
      <c r="I255" s="7" t="n">
        <v>8468.34</v>
      </c>
      <c r="J255" s="7" t="n">
        <v>44092.14</v>
      </c>
      <c r="K255" s="7" t="n">
        <v>8468.34</v>
      </c>
      <c r="L255" s="7" t="n">
        <v>35623.8</v>
      </c>
      <c r="M255" s="4" t="n">
        <v>27</v>
      </c>
      <c r="N255" s="7" t="n">
        <v>44092.14</v>
      </c>
      <c r="O255" s="4" t="inlineStr">
        <is>
          <t>05510</t>
        </is>
      </c>
      <c r="P255" s="4" t="inlineStr">
        <is>
          <t>3139.09</t>
        </is>
      </c>
    </row>
    <row r="256">
      <c r="A256" s="4" t="inlineStr">
        <is>
          <t>255</t>
        </is>
      </c>
      <c r="B256" s="5" t="inlineStr">
        <is>
          <t>25610607388</t>
        </is>
      </c>
      <c r="C256" s="29" t="inlineStr">
        <is>
          <t>BAHAR FİDAN</t>
        </is>
      </c>
      <c r="D256" s="7" t="n">
        <v>124.78</v>
      </c>
      <c r="E256" s="4" t="inlineStr">
        <is>
          <t>17.08.2026</t>
        </is>
      </c>
      <c r="F256" s="4" t="inlineStr"/>
      <c r="G256" s="7" t="n">
        <v>9909</v>
      </c>
      <c r="H256" s="7" t="n">
        <v>8294.200000000001</v>
      </c>
      <c r="I256" s="7" t="n">
        <v>3276.48</v>
      </c>
      <c r="J256" s="7" t="n">
        <v>18203.2</v>
      </c>
      <c r="K256" s="7" t="n">
        <v>3276.48</v>
      </c>
      <c r="L256" s="7" t="n">
        <v>14926.72</v>
      </c>
      <c r="M256" s="4" t="n">
        <v>9</v>
      </c>
      <c r="N256" s="7" t="n">
        <v>18203.2</v>
      </c>
      <c r="O256" s="4" t="inlineStr">
        <is>
          <t>05510</t>
        </is>
      </c>
      <c r="P256" s="4" t="inlineStr">
        <is>
          <t>7514.01</t>
        </is>
      </c>
    </row>
    <row r="257">
      <c r="A257" s="4" t="inlineStr">
        <is>
          <t>256</t>
        </is>
      </c>
      <c r="B257" s="5" t="inlineStr">
        <is>
          <t>25621221832</t>
        </is>
      </c>
      <c r="C257" s="29" t="inlineStr">
        <is>
          <t>MUSTAFA KAYA</t>
        </is>
      </c>
      <c r="D257" s="7" t="n">
        <v>30185</v>
      </c>
      <c r="E257" s="4" t="inlineStr">
        <is>
          <t>02.06.2022</t>
        </is>
      </c>
      <c r="F257" s="4" t="inlineStr"/>
      <c r="G257" s="7" t="n">
        <v>4350.99</v>
      </c>
      <c r="H257" s="7" t="n">
        <v>0</v>
      </c>
      <c r="I257" s="7" t="n">
        <v>326.32</v>
      </c>
      <c r="J257" s="7" t="n">
        <v>4350.99</v>
      </c>
      <c r="K257" s="7" t="n">
        <v>326.32</v>
      </c>
      <c r="L257" s="7" t="n">
        <v>4024.67</v>
      </c>
      <c r="M257" s="4" t="n">
        <v>4</v>
      </c>
      <c r="N257" s="7" t="n">
        <v>4404</v>
      </c>
      <c r="O257" s="4" t="inlineStr">
        <is>
          <t>00000</t>
        </is>
      </c>
      <c r="P257" s="4" t="inlineStr">
        <is>
          <t>7514.01</t>
        </is>
      </c>
    </row>
    <row r="258">
      <c r="A258" s="4" t="inlineStr">
        <is>
          <t>257</t>
        </is>
      </c>
      <c r="B258" s="5" t="inlineStr">
        <is>
          <t>25636440280</t>
        </is>
      </c>
      <c r="C258" s="29" t="inlineStr">
        <is>
          <t>MERVE DOĞAN</t>
        </is>
      </c>
      <c r="D258" s="7" t="n">
        <v>146.7</v>
      </c>
      <c r="E258" s="4" t="inlineStr">
        <is>
          <t>10.02.2026</t>
        </is>
      </c>
      <c r="F258" s="4" t="inlineStr">
        <is>
          <t>27.08.2026</t>
        </is>
      </c>
      <c r="G258" s="7" t="n">
        <v>28477.06</v>
      </c>
      <c r="H258" s="7" t="n">
        <v>0</v>
      </c>
      <c r="I258" s="7" t="n">
        <v>4271.56</v>
      </c>
      <c r="J258" s="7" t="n">
        <v>28477.06</v>
      </c>
      <c r="K258" s="7" t="n">
        <v>4271.56</v>
      </c>
      <c r="L258" s="7" t="n">
        <v>24205.5</v>
      </c>
      <c r="M258" s="4" t="n">
        <v>22</v>
      </c>
      <c r="N258" s="7" t="n">
        <v>28477.06</v>
      </c>
      <c r="O258" s="4" t="inlineStr">
        <is>
          <t>05510</t>
        </is>
      </c>
      <c r="P258" s="4" t="inlineStr">
        <is>
          <t>7514.01</t>
        </is>
      </c>
    </row>
    <row r="259">
      <c r="A259" s="4" t="inlineStr">
        <is>
          <t>258</t>
        </is>
      </c>
      <c r="B259" s="5" t="inlineStr">
        <is>
          <t>25657430024</t>
        </is>
      </c>
      <c r="C259" s="29" t="inlineStr">
        <is>
          <t>KÜRŞAT TÜRKAN</t>
        </is>
      </c>
      <c r="D259" s="7" t="n">
        <v>124.78</v>
      </c>
      <c r="E259" s="4" t="inlineStr">
        <is>
          <t>16.08.2026</t>
        </is>
      </c>
      <c r="F259" s="4" t="inlineStr"/>
      <c r="G259" s="7" t="n">
        <v>17616</v>
      </c>
      <c r="H259" s="7" t="n">
        <v>12478</v>
      </c>
      <c r="I259" s="7" t="n">
        <v>4514.1</v>
      </c>
      <c r="J259" s="7" t="n">
        <v>30094</v>
      </c>
      <c r="K259" s="7" t="n">
        <v>4514.1</v>
      </c>
      <c r="L259" s="7" t="n">
        <v>25579.9</v>
      </c>
      <c r="M259" s="4" t="n">
        <v>16</v>
      </c>
      <c r="N259" s="7" t="n">
        <v>30094</v>
      </c>
      <c r="O259" s="4" t="inlineStr">
        <is>
          <t>05510</t>
        </is>
      </c>
      <c r="P259" s="4" t="inlineStr">
        <is>
          <t>7212.07</t>
        </is>
      </c>
    </row>
    <row r="260">
      <c r="A260" s="4" t="inlineStr">
        <is>
          <t>259</t>
        </is>
      </c>
      <c r="B260" s="5" t="inlineStr">
        <is>
          <t>25750383418</t>
        </is>
      </c>
      <c r="C260" s="29" t="inlineStr">
        <is>
          <t>OĞUZHAN ÜNVER</t>
        </is>
      </c>
      <c r="D260" s="7" t="n">
        <v>222.22</v>
      </c>
      <c r="E260" s="4" t="inlineStr">
        <is>
          <t>22.04.2026</t>
        </is>
      </c>
      <c r="F260" s="4" t="inlineStr"/>
      <c r="G260" s="7" t="n">
        <v>0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0</v>
      </c>
      <c r="M260" s="4" t="n">
        <v>0</v>
      </c>
      <c r="N260" s="7" t="n">
        <v>0</v>
      </c>
      <c r="O260" s="4" t="inlineStr">
        <is>
          <t>05510</t>
        </is>
      </c>
      <c r="P260" s="4" t="inlineStr">
        <is>
          <t>4321.15</t>
        </is>
      </c>
    </row>
    <row r="261">
      <c r="A261" s="4" t="inlineStr">
        <is>
          <t>260</t>
        </is>
      </c>
      <c r="B261" s="5" t="inlineStr">
        <is>
          <t>25970637896</t>
        </is>
      </c>
      <c r="C261" s="29" t="inlineStr">
        <is>
          <t>NURAY ELİSÇIKIŞ</t>
        </is>
      </c>
      <c r="D261" s="7" t="n">
        <v>124.78</v>
      </c>
      <c r="E261" s="4" t="inlineStr">
        <is>
          <t>02.10.2021</t>
        </is>
      </c>
      <c r="F261" s="4" t="inlineStr"/>
      <c r="G261" s="7" t="n">
        <v>25322.49</v>
      </c>
      <c r="H261" s="7" t="n">
        <v>440.39</v>
      </c>
      <c r="I261" s="7" t="n">
        <v>3864.43</v>
      </c>
      <c r="J261" s="7" t="n">
        <v>25762.88</v>
      </c>
      <c r="K261" s="7" t="n">
        <v>3864.43</v>
      </c>
      <c r="L261" s="7" t="n">
        <v>21898.45</v>
      </c>
      <c r="M261" s="4" t="n">
        <v>23</v>
      </c>
      <c r="N261" s="7" t="n">
        <v>25762.88</v>
      </c>
      <c r="O261" s="4" t="inlineStr">
        <is>
          <t>05510</t>
        </is>
      </c>
      <c r="P261" s="4" t="inlineStr">
        <is>
          <t>7514.01</t>
        </is>
      </c>
    </row>
    <row r="262">
      <c r="A262" s="4" t="inlineStr">
        <is>
          <t>261</t>
        </is>
      </c>
      <c r="B262" s="5" t="inlineStr">
        <is>
          <t>26002427744</t>
        </is>
      </c>
      <c r="C262" s="29" t="inlineStr">
        <is>
          <t>HAVVA ALPER</t>
        </is>
      </c>
      <c r="D262" s="7" t="n">
        <v>146.6</v>
      </c>
      <c r="E262" s="4" t="inlineStr">
        <is>
          <t>10.02.2026</t>
        </is>
      </c>
      <c r="F262" s="4" t="inlineStr"/>
      <c r="G262" s="7" t="n">
        <v>30242.19</v>
      </c>
      <c r="H262" s="7" t="n">
        <v>21116.64</v>
      </c>
      <c r="I262" s="7" t="n">
        <v>11850.13</v>
      </c>
      <c r="J262" s="7" t="n">
        <v>51358.83</v>
      </c>
      <c r="K262" s="7" t="n">
        <v>11850.13</v>
      </c>
      <c r="L262" s="7" t="n">
        <v>39508.7</v>
      </c>
      <c r="M262" s="4" t="n">
        <v>23</v>
      </c>
      <c r="N262" s="7" t="n">
        <v>51358.83</v>
      </c>
      <c r="O262" s="4" t="inlineStr">
        <is>
          <t>05510</t>
        </is>
      </c>
      <c r="P262" s="4" t="inlineStr">
        <is>
          <t>7514.01</t>
        </is>
      </c>
    </row>
    <row r="263">
      <c r="A263" s="4" t="inlineStr">
        <is>
          <t>262</t>
        </is>
      </c>
      <c r="B263" s="5" t="inlineStr">
        <is>
          <t>26155037548</t>
        </is>
      </c>
      <c r="C263" s="29" t="inlineStr">
        <is>
          <t>MELİH MARAL</t>
        </is>
      </c>
      <c r="D263" s="7" t="n">
        <v>33030</v>
      </c>
      <c r="E263" s="4" t="inlineStr">
        <is>
          <t>27.12.2023</t>
        </is>
      </c>
      <c r="F263" s="4" t="inlineStr"/>
      <c r="G263" s="7" t="n">
        <v>0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0</v>
      </c>
      <c r="M263" s="4" t="n">
        <v>0</v>
      </c>
      <c r="N263" s="7" t="n">
        <v>0</v>
      </c>
      <c r="O263" s="4" t="inlineStr">
        <is>
          <t>00000</t>
        </is>
      </c>
      <c r="P263" s="4" t="inlineStr">
        <is>
          <t>3322.03</t>
        </is>
      </c>
    </row>
    <row r="264">
      <c r="A264" s="4" t="inlineStr">
        <is>
          <t>263</t>
        </is>
      </c>
      <c r="B264" s="5" t="inlineStr">
        <is>
          <t>26338305280</t>
        </is>
      </c>
      <c r="C264" s="29" t="inlineStr">
        <is>
          <t>HATİCE ÇÇAKMAK</t>
        </is>
      </c>
      <c r="D264" s="7" t="n">
        <v>30185</v>
      </c>
      <c r="E264" s="4" t="inlineStr">
        <is>
          <t>04.07.2025</t>
        </is>
      </c>
      <c r="F264" s="4" t="inlineStr"/>
      <c r="G264" s="7" t="n">
        <v>0</v>
      </c>
      <c r="H264" s="7" t="n">
        <v>0</v>
      </c>
      <c r="I264" s="7" t="n">
        <v>0</v>
      </c>
      <c r="J264" s="7" t="n">
        <v>0</v>
      </c>
      <c r="K264" s="7" t="n">
        <v>0</v>
      </c>
      <c r="L264" s="7" t="n">
        <v>0</v>
      </c>
      <c r="M264" s="4" t="n">
        <v>0</v>
      </c>
      <c r="N264" s="7" t="n">
        <v>0</v>
      </c>
      <c r="O264" s="4" t="inlineStr">
        <is>
          <t>00000</t>
        </is>
      </c>
      <c r="P264" s="4" t="inlineStr">
        <is>
          <t>7514.01</t>
        </is>
      </c>
    </row>
    <row r="265">
      <c r="A265" s="4" t="inlineStr">
        <is>
          <t>264</t>
        </is>
      </c>
      <c r="B265" s="5" t="inlineStr">
        <is>
          <t>26653281238</t>
        </is>
      </c>
      <c r="C265" s="29" t="inlineStr">
        <is>
          <t>HAVVA BAYRAM</t>
        </is>
      </c>
      <c r="D265" s="7" t="n">
        <v>146.6</v>
      </c>
      <c r="E265" s="4" t="inlineStr">
        <is>
          <t>10.02.2026</t>
        </is>
      </c>
      <c r="F265" s="4" t="inlineStr"/>
      <c r="G265" s="7" t="n">
        <v>27164.12</v>
      </c>
      <c r="H265" s="7" t="n">
        <v>517.41</v>
      </c>
      <c r="I265" s="7" t="n">
        <v>4152.23</v>
      </c>
      <c r="J265" s="7" t="n">
        <v>27681.53</v>
      </c>
      <c r="K265" s="7" t="n">
        <v>4152.23</v>
      </c>
      <c r="L265" s="7" t="n">
        <v>23529.3</v>
      </c>
      <c r="M265" s="4" t="n">
        <v>21</v>
      </c>
      <c r="N265" s="7" t="n">
        <v>27681.53</v>
      </c>
      <c r="O265" s="4" t="inlineStr">
        <is>
          <t>05510</t>
        </is>
      </c>
      <c r="P265" s="4" t="inlineStr">
        <is>
          <t>7514.01</t>
        </is>
      </c>
    </row>
    <row r="266">
      <c r="A266" s="4" t="inlineStr">
        <is>
          <t>265</t>
        </is>
      </c>
      <c r="B266" s="5" t="inlineStr">
        <is>
          <t>26755743740</t>
        </is>
      </c>
      <c r="C266" s="29" t="inlineStr">
        <is>
          <t>SONGÜL ZEHİROĞLU</t>
        </is>
      </c>
      <c r="D266" s="7" t="n">
        <v>146.6</v>
      </c>
      <c r="E266" s="4" t="inlineStr">
        <is>
          <t>30.07.2026</t>
        </is>
      </c>
      <c r="F266" s="4" t="inlineStr"/>
      <c r="G266" s="7" t="n">
        <v>0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0</v>
      </c>
      <c r="M266" s="4" t="n">
        <v>0</v>
      </c>
      <c r="N266" s="7" t="n">
        <v>0</v>
      </c>
      <c r="O266" s="4" t="inlineStr">
        <is>
          <t>05510</t>
        </is>
      </c>
      <c r="P266" s="4" t="inlineStr">
        <is>
          <t>7514.01</t>
        </is>
      </c>
    </row>
    <row r="267">
      <c r="A267" s="4" t="inlineStr">
        <is>
          <t>266</t>
        </is>
      </c>
      <c r="B267" s="5" t="inlineStr">
        <is>
          <t>27013044708</t>
        </is>
      </c>
      <c r="C267" s="29" t="inlineStr">
        <is>
          <t>NURGÜL SARI</t>
        </is>
      </c>
      <c r="D267" s="7" t="n">
        <v>124.78</v>
      </c>
      <c r="E267" s="4" t="inlineStr">
        <is>
          <t>06.07.2026</t>
        </is>
      </c>
      <c r="F267" s="4" t="inlineStr"/>
      <c r="G267" s="7" t="n">
        <v>6606</v>
      </c>
      <c r="H267" s="7" t="n">
        <v>7486.8</v>
      </c>
      <c r="I267" s="7" t="n">
        <v>2535.92</v>
      </c>
      <c r="J267" s="7" t="n">
        <v>14092.8</v>
      </c>
      <c r="K267" s="7" t="n">
        <v>2535.92</v>
      </c>
      <c r="L267" s="7" t="n">
        <v>11556.88</v>
      </c>
      <c r="M267" s="4" t="n">
        <v>6</v>
      </c>
      <c r="N267" s="7" t="n">
        <v>14092.8</v>
      </c>
      <c r="O267" s="4" t="inlineStr">
        <is>
          <t>05510</t>
        </is>
      </c>
      <c r="P267" s="4" t="inlineStr">
        <is>
          <t>7514.01</t>
        </is>
      </c>
    </row>
    <row r="268">
      <c r="A268" s="4" t="inlineStr">
        <is>
          <t>267</t>
        </is>
      </c>
      <c r="B268" s="5" t="inlineStr">
        <is>
          <t>27158078682</t>
        </is>
      </c>
      <c r="C268" s="29" t="inlineStr">
        <is>
          <t>TURGUT URAL</t>
        </is>
      </c>
      <c r="D268" s="7" t="n">
        <v>33030</v>
      </c>
      <c r="E268" s="4" t="inlineStr">
        <is>
          <t>16.03.2026</t>
        </is>
      </c>
      <c r="F268" s="4" t="inlineStr"/>
      <c r="G268" s="7" t="n">
        <v>0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0</v>
      </c>
      <c r="M268" s="4" t="n">
        <v>0</v>
      </c>
      <c r="N268" s="7" t="n">
        <v>0</v>
      </c>
      <c r="O268" s="4" t="inlineStr">
        <is>
          <t>05510</t>
        </is>
      </c>
      <c r="P268" s="4" t="inlineStr">
        <is>
          <t>4311.05</t>
        </is>
      </c>
    </row>
    <row r="269">
      <c r="A269" s="4" t="inlineStr">
        <is>
          <t>268</t>
        </is>
      </c>
      <c r="B269" s="5" t="inlineStr">
        <is>
          <t>27235386938</t>
        </is>
      </c>
      <c r="C269" s="29" t="inlineStr">
        <is>
          <t>ÖMÜRLÜ FERİK</t>
        </is>
      </c>
      <c r="D269" s="7" t="n">
        <v>30185</v>
      </c>
      <c r="E269" s="4" t="inlineStr">
        <is>
          <t>25.09.2022</t>
        </is>
      </c>
      <c r="F269" s="4" t="inlineStr"/>
      <c r="G269" s="7" t="n">
        <v>4350.99</v>
      </c>
      <c r="H269" s="7" t="n">
        <v>0</v>
      </c>
      <c r="I269" s="7" t="n">
        <v>326.32</v>
      </c>
      <c r="J269" s="7" t="n">
        <v>4350.99</v>
      </c>
      <c r="K269" s="7" t="n">
        <v>326.32</v>
      </c>
      <c r="L269" s="7" t="n">
        <v>4024.67</v>
      </c>
      <c r="M269" s="4" t="n">
        <v>4</v>
      </c>
      <c r="N269" s="7" t="n">
        <v>4404</v>
      </c>
      <c r="O269" s="4" t="inlineStr">
        <is>
          <t>00000</t>
        </is>
      </c>
      <c r="P269" s="4" t="inlineStr">
        <is>
          <t>8182.06</t>
        </is>
      </c>
    </row>
    <row r="270">
      <c r="A270" s="4" t="inlineStr">
        <is>
          <t>269</t>
        </is>
      </c>
      <c r="B270" s="5" t="inlineStr">
        <is>
          <t>27283152752</t>
        </is>
      </c>
      <c r="C270" s="29" t="inlineStr">
        <is>
          <t>SEYFİ YILMAZ</t>
        </is>
      </c>
      <c r="D270" s="7" t="n">
        <v>33030</v>
      </c>
      <c r="E270" s="4" t="inlineStr">
        <is>
          <t>16.06.2026</t>
        </is>
      </c>
      <c r="F270" s="4" t="inlineStr"/>
      <c r="G270" s="7" t="n">
        <v>0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0</v>
      </c>
      <c r="M270" s="4" t="n">
        <v>0</v>
      </c>
      <c r="N270" s="7" t="n">
        <v>0</v>
      </c>
      <c r="O270" s="4" t="inlineStr">
        <is>
          <t>05510</t>
        </is>
      </c>
      <c r="P270" s="4" t="inlineStr">
        <is>
          <t>5223.85</t>
        </is>
      </c>
    </row>
    <row r="271">
      <c r="A271" s="4" t="inlineStr">
        <is>
          <t>270</t>
        </is>
      </c>
      <c r="B271" s="5" t="inlineStr">
        <is>
          <t>27289383990</t>
        </is>
      </c>
      <c r="C271" s="29" t="inlineStr">
        <is>
          <t>NURTEN ERDEM</t>
        </is>
      </c>
      <c r="D271" s="7" t="n">
        <v>146.6</v>
      </c>
      <c r="E271" s="4" t="inlineStr">
        <is>
          <t>08.05.2026</t>
        </is>
      </c>
      <c r="F271" s="4" t="inlineStr"/>
      <c r="G271" s="7" t="n">
        <v>38359.34</v>
      </c>
      <c r="H271" s="7" t="n">
        <v>307.59</v>
      </c>
      <c r="I271" s="7" t="n">
        <v>6561.53</v>
      </c>
      <c r="J271" s="7" t="n">
        <v>38666.93</v>
      </c>
      <c r="K271" s="7" t="n">
        <v>6561.53</v>
      </c>
      <c r="L271" s="7" t="n">
        <v>32105.4</v>
      </c>
      <c r="M271" s="4" t="n">
        <v>29</v>
      </c>
      <c r="N271" s="7" t="n">
        <v>38666.93</v>
      </c>
      <c r="O271" s="4" t="inlineStr">
        <is>
          <t>05510</t>
        </is>
      </c>
      <c r="P271" s="4" t="inlineStr">
        <is>
          <t>7514.01</t>
        </is>
      </c>
    </row>
    <row r="272">
      <c r="A272" s="4" t="inlineStr">
        <is>
          <t>271</t>
        </is>
      </c>
      <c r="B272" s="5" t="inlineStr">
        <is>
          <t>27334034006</t>
        </is>
      </c>
      <c r="C272" s="29" t="inlineStr">
        <is>
          <t>ESRA KAYA</t>
        </is>
      </c>
      <c r="D272" s="7" t="n">
        <v>124.78</v>
      </c>
      <c r="E272" s="4" t="inlineStr">
        <is>
          <t>19.07.2026</t>
        </is>
      </c>
      <c r="F272" s="4" t="inlineStr"/>
      <c r="G272" s="7" t="n">
        <v>0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0</v>
      </c>
      <c r="M272" s="4" t="n">
        <v>0</v>
      </c>
      <c r="N272" s="7" t="n">
        <v>0</v>
      </c>
      <c r="O272" s="4" t="inlineStr">
        <is>
          <t>05510</t>
        </is>
      </c>
      <c r="P272" s="4" t="inlineStr">
        <is>
          <t>7514.01</t>
        </is>
      </c>
    </row>
    <row r="273">
      <c r="A273" s="4" t="inlineStr">
        <is>
          <t>272</t>
        </is>
      </c>
      <c r="B273" s="5" t="inlineStr">
        <is>
          <t>27337033952</t>
        </is>
      </c>
      <c r="C273" s="29" t="inlineStr">
        <is>
          <t>SEVDA POLAT</t>
        </is>
      </c>
      <c r="D273" s="7" t="n">
        <v>124.78</v>
      </c>
      <c r="E273" s="4" t="inlineStr">
        <is>
          <t>19.07.2026</t>
        </is>
      </c>
      <c r="F273" s="4" t="inlineStr"/>
      <c r="G273" s="7" t="n">
        <v>0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0</v>
      </c>
      <c r="M273" s="4" t="n">
        <v>0</v>
      </c>
      <c r="N273" s="7" t="n">
        <v>0</v>
      </c>
      <c r="O273" s="4" t="inlineStr">
        <is>
          <t>05510</t>
        </is>
      </c>
      <c r="P273" s="4" t="inlineStr">
        <is>
          <t>7514.01</t>
        </is>
      </c>
    </row>
    <row r="274">
      <c r="A274" s="4" t="inlineStr">
        <is>
          <t>273</t>
        </is>
      </c>
      <c r="B274" s="5" t="inlineStr">
        <is>
          <t>27439371556</t>
        </is>
      </c>
      <c r="C274" s="29" t="inlineStr">
        <is>
          <t>ÖZNUR ŞİMŞEK</t>
        </is>
      </c>
      <c r="D274" s="7" t="n">
        <v>146.6</v>
      </c>
      <c r="E274" s="4" t="inlineStr">
        <is>
          <t>08.07.2026</t>
        </is>
      </c>
      <c r="F274" s="4" t="inlineStr"/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0</v>
      </c>
      <c r="M274" s="4" t="n">
        <v>0</v>
      </c>
      <c r="N274" s="7" t="n">
        <v>0</v>
      </c>
      <c r="O274" s="4" t="inlineStr">
        <is>
          <t>05510</t>
        </is>
      </c>
      <c r="P274" s="4" t="inlineStr">
        <is>
          <t>7514.01</t>
        </is>
      </c>
    </row>
    <row r="275">
      <c r="A275" s="4" t="inlineStr">
        <is>
          <t>274</t>
        </is>
      </c>
      <c r="B275" s="5" t="inlineStr">
        <is>
          <t>27448226656</t>
        </is>
      </c>
      <c r="C275" s="29" t="inlineStr">
        <is>
          <t>KAMİLE DAĞDÇELEN</t>
        </is>
      </c>
      <c r="D275" s="7" t="n">
        <v>124.78</v>
      </c>
      <c r="E275" s="4" t="inlineStr">
        <is>
          <t>11.04.2022</t>
        </is>
      </c>
      <c r="F275" s="4" t="inlineStr"/>
      <c r="G275" s="7" t="n">
        <v>26423.47</v>
      </c>
      <c r="H275" s="7" t="n">
        <v>1614.77</v>
      </c>
      <c r="I275" s="7" t="n">
        <v>4205.74</v>
      </c>
      <c r="J275" s="7" t="n">
        <v>28038.24</v>
      </c>
      <c r="K275" s="7" t="n">
        <v>4205.74</v>
      </c>
      <c r="L275" s="7" t="n">
        <v>23832.5</v>
      </c>
      <c r="M275" s="4" t="n">
        <v>24</v>
      </c>
      <c r="N275" s="7" t="n">
        <v>28038.24</v>
      </c>
      <c r="O275" s="4" t="inlineStr">
        <is>
          <t>16322</t>
        </is>
      </c>
      <c r="P275" s="4" t="inlineStr">
        <is>
          <t>7514.01</t>
        </is>
      </c>
    </row>
    <row r="276">
      <c r="A276" s="4" t="inlineStr">
        <is>
          <t>275</t>
        </is>
      </c>
      <c r="B276" s="5" t="inlineStr">
        <is>
          <t>27560597764</t>
        </is>
      </c>
      <c r="C276" s="29" t="inlineStr">
        <is>
          <t>ZAHİDE HAĞİ</t>
        </is>
      </c>
      <c r="D276" s="7" t="n">
        <v>146.6</v>
      </c>
      <c r="E276" s="4" t="inlineStr">
        <is>
          <t>18.06.2026</t>
        </is>
      </c>
      <c r="F276" s="4" t="inlineStr"/>
      <c r="G276" s="7" t="n">
        <v>25870.59</v>
      </c>
      <c r="H276" s="7" t="n">
        <v>431.18</v>
      </c>
      <c r="I276" s="7" t="n">
        <v>3945.26</v>
      </c>
      <c r="J276" s="7" t="n">
        <v>26301.76</v>
      </c>
      <c r="K276" s="7" t="n">
        <v>3945.26</v>
      </c>
      <c r="L276" s="7" t="n">
        <v>22356.5</v>
      </c>
      <c r="M276" s="4" t="n">
        <v>20</v>
      </c>
      <c r="N276" s="7" t="n">
        <v>26301.76</v>
      </c>
      <c r="O276" s="4" t="inlineStr">
        <is>
          <t>05510</t>
        </is>
      </c>
      <c r="P276" s="4" t="inlineStr">
        <is>
          <t>7514.01</t>
        </is>
      </c>
    </row>
    <row r="277">
      <c r="A277" s="4" t="inlineStr">
        <is>
          <t>276</t>
        </is>
      </c>
      <c r="B277" s="5" t="inlineStr">
        <is>
          <t>27604331972</t>
        </is>
      </c>
      <c r="C277" s="29" t="inlineStr">
        <is>
          <t>RAHMİ KARAMAN</t>
        </is>
      </c>
      <c r="D277" s="7" t="n">
        <v>33030</v>
      </c>
      <c r="E277" s="4" t="inlineStr">
        <is>
          <t>10.03.2026</t>
        </is>
      </c>
      <c r="F277" s="4" t="inlineStr"/>
      <c r="G277" s="7" t="n">
        <v>0</v>
      </c>
      <c r="H277" s="7" t="n">
        <v>0</v>
      </c>
      <c r="I277" s="7" t="n">
        <v>0</v>
      </c>
      <c r="J277" s="7" t="n">
        <v>0</v>
      </c>
      <c r="K277" s="7" t="n">
        <v>0</v>
      </c>
      <c r="L277" s="7" t="n">
        <v>0</v>
      </c>
      <c r="M277" s="4" t="n">
        <v>0</v>
      </c>
      <c r="N277" s="7" t="n">
        <v>0</v>
      </c>
      <c r="O277" s="4" t="inlineStr">
        <is>
          <t>05510</t>
        </is>
      </c>
      <c r="P277" s="4" t="inlineStr">
        <is>
          <t>5223.85</t>
        </is>
      </c>
    </row>
    <row r="278">
      <c r="A278" s="4" t="inlineStr">
        <is>
          <t>277</t>
        </is>
      </c>
      <c r="B278" s="5" t="inlineStr">
        <is>
          <t>27979354040</t>
        </is>
      </c>
      <c r="C278" s="29" t="inlineStr">
        <is>
          <t>ESRA POLAT</t>
        </is>
      </c>
      <c r="D278" s="7" t="n">
        <v>124.78</v>
      </c>
      <c r="E278" s="4" t="inlineStr">
        <is>
          <t>26.07.2026</t>
        </is>
      </c>
      <c r="F278" s="4" t="inlineStr"/>
      <c r="G278" s="7" t="n">
        <v>0</v>
      </c>
      <c r="H278" s="7" t="n">
        <v>0</v>
      </c>
      <c r="I278" s="7" t="n">
        <v>0</v>
      </c>
      <c r="J278" s="7" t="n">
        <v>0</v>
      </c>
      <c r="K278" s="7" t="n">
        <v>0</v>
      </c>
      <c r="L278" s="7" t="n">
        <v>0</v>
      </c>
      <c r="M278" s="4" t="n">
        <v>0</v>
      </c>
      <c r="N278" s="7" t="n">
        <v>0</v>
      </c>
      <c r="O278" s="4" t="inlineStr">
        <is>
          <t>05510</t>
        </is>
      </c>
      <c r="P278" s="4" t="inlineStr">
        <is>
          <t>7514.01</t>
        </is>
      </c>
    </row>
    <row r="279">
      <c r="A279" s="4" t="inlineStr">
        <is>
          <t>278</t>
        </is>
      </c>
      <c r="B279" s="5" t="inlineStr">
        <is>
          <t>28027546004</t>
        </is>
      </c>
      <c r="C279" s="29" t="inlineStr">
        <is>
          <t>MESUT ERDEL</t>
        </is>
      </c>
      <c r="D279" s="7" t="n">
        <v>30185</v>
      </c>
      <c r="E279" s="4" t="inlineStr">
        <is>
          <t>01.03.2025</t>
        </is>
      </c>
      <c r="F279" s="4" t="inlineStr"/>
      <c r="G279" s="7" t="n">
        <v>4350.99</v>
      </c>
      <c r="H279" s="7" t="n">
        <v>0</v>
      </c>
      <c r="I279" s="7" t="n">
        <v>326.32</v>
      </c>
      <c r="J279" s="7" t="n">
        <v>4350.99</v>
      </c>
      <c r="K279" s="7" t="n">
        <v>326.32</v>
      </c>
      <c r="L279" s="7" t="n">
        <v>4024.67</v>
      </c>
      <c r="M279" s="4" t="n">
        <v>4</v>
      </c>
      <c r="N279" s="7" t="n">
        <v>4404</v>
      </c>
      <c r="O279" s="4" t="inlineStr">
        <is>
          <t>00000</t>
        </is>
      </c>
      <c r="P279" s="4" t="inlineStr">
        <is>
          <t>3115.74</t>
        </is>
      </c>
    </row>
    <row r="280">
      <c r="A280" s="4" t="inlineStr">
        <is>
          <t>279</t>
        </is>
      </c>
      <c r="B280" s="5" t="inlineStr">
        <is>
          <t>28033351500</t>
        </is>
      </c>
      <c r="C280" s="29" t="inlineStr">
        <is>
          <t>ARZU ÖZTÜRK</t>
        </is>
      </c>
      <c r="D280" s="7" t="n">
        <v>146.6</v>
      </c>
      <c r="E280" s="4" t="inlineStr">
        <is>
          <t>18.08.2026</t>
        </is>
      </c>
      <c r="F280" s="4" t="inlineStr"/>
      <c r="G280" s="7" t="n">
        <v>16815.88</v>
      </c>
      <c r="H280" s="7" t="n">
        <v>258.71</v>
      </c>
      <c r="I280" s="7" t="n">
        <v>2561.19</v>
      </c>
      <c r="J280" s="7" t="n">
        <v>17074.59</v>
      </c>
      <c r="K280" s="7" t="n">
        <v>2561.19</v>
      </c>
      <c r="L280" s="7" t="n">
        <v>14513.4</v>
      </c>
      <c r="M280" s="4" t="n">
        <v>13</v>
      </c>
      <c r="N280" s="7" t="n">
        <v>17074.59</v>
      </c>
      <c r="O280" s="4" t="inlineStr">
        <is>
          <t>05510</t>
        </is>
      </c>
      <c r="P280" s="4" t="inlineStr">
        <is>
          <t>7514.01</t>
        </is>
      </c>
    </row>
    <row r="281">
      <c r="A281" s="4" t="inlineStr">
        <is>
          <t>280</t>
        </is>
      </c>
      <c r="B281" s="5" t="inlineStr">
        <is>
          <t>28069359518</t>
        </is>
      </c>
      <c r="C281" s="29" t="inlineStr">
        <is>
          <t>HÜSEYİN DEMİRCİ</t>
        </is>
      </c>
      <c r="D281" s="7" t="n">
        <v>146.6</v>
      </c>
      <c r="E281" s="4" t="inlineStr">
        <is>
          <t>10.08.2026</t>
        </is>
      </c>
      <c r="F281" s="4" t="inlineStr">
        <is>
          <t>29.08.2026</t>
        </is>
      </c>
      <c r="G281" s="7" t="n">
        <v>3880.59</v>
      </c>
      <c r="H281" s="7" t="n">
        <v>0</v>
      </c>
      <c r="I281" s="7" t="n">
        <v>698.09</v>
      </c>
      <c r="J281" s="7" t="n">
        <v>3880.59</v>
      </c>
      <c r="K281" s="7" t="n">
        <v>698.09</v>
      </c>
      <c r="L281" s="7" t="n">
        <v>3182.5</v>
      </c>
      <c r="M281" s="4" t="n">
        <v>3</v>
      </c>
      <c r="N281" s="7" t="n">
        <v>3880.59</v>
      </c>
      <c r="O281" s="4" t="inlineStr">
        <is>
          <t>05510</t>
        </is>
      </c>
      <c r="P281" s="4" t="inlineStr">
        <is>
          <t>7514.01</t>
        </is>
      </c>
    </row>
    <row r="282">
      <c r="A282" s="4" t="inlineStr">
        <is>
          <t>281</t>
        </is>
      </c>
      <c r="B282" s="5" t="inlineStr">
        <is>
          <t>28103495080</t>
        </is>
      </c>
      <c r="C282" s="29" t="inlineStr">
        <is>
          <t>BÜŞRA YAVRUTÜRK</t>
        </is>
      </c>
      <c r="D282" s="7" t="n">
        <v>128.7</v>
      </c>
      <c r="E282" s="4" t="inlineStr">
        <is>
          <t>12.08.2026</t>
        </is>
      </c>
      <c r="F282" s="4" t="inlineStr"/>
      <c r="G282" s="7" t="n">
        <v>15898.24</v>
      </c>
      <c r="H282" s="7" t="n">
        <v>15065.47</v>
      </c>
      <c r="I282" s="7" t="n">
        <v>5572.56</v>
      </c>
      <c r="J282" s="7" t="n">
        <v>30963.71</v>
      </c>
      <c r="K282" s="7" t="n">
        <v>5572.56</v>
      </c>
      <c r="L282" s="7" t="n">
        <v>25391.15</v>
      </c>
      <c r="M282" s="4" t="n">
        <v>14</v>
      </c>
      <c r="N282" s="7" t="n">
        <v>30963.71</v>
      </c>
      <c r="O282" s="4" t="inlineStr">
        <is>
          <t>05510</t>
        </is>
      </c>
      <c r="P282" s="4" t="inlineStr">
        <is>
          <t>7514.01</t>
        </is>
      </c>
    </row>
    <row r="283">
      <c r="A283" s="4" t="inlineStr">
        <is>
          <t>282</t>
        </is>
      </c>
      <c r="B283" s="5" t="inlineStr">
        <is>
          <t>28108249688</t>
        </is>
      </c>
      <c r="C283" s="29" t="inlineStr">
        <is>
          <t>RIDVAN DEMİRDAK</t>
        </is>
      </c>
      <c r="D283" s="7" t="n">
        <v>30185</v>
      </c>
      <c r="E283" s="4" t="inlineStr">
        <is>
          <t>12.10.2022</t>
        </is>
      </c>
      <c r="F283" s="4" t="inlineStr"/>
      <c r="G283" s="7" t="n">
        <v>4350.99</v>
      </c>
      <c r="H283" s="7" t="n">
        <v>0</v>
      </c>
      <c r="I283" s="7" t="n">
        <v>326.32</v>
      </c>
      <c r="J283" s="7" t="n">
        <v>4350.99</v>
      </c>
      <c r="K283" s="7" t="n">
        <v>326.32</v>
      </c>
      <c r="L283" s="7" t="n">
        <v>4024.67</v>
      </c>
      <c r="M283" s="4" t="n">
        <v>4</v>
      </c>
      <c r="N283" s="7" t="n">
        <v>4404</v>
      </c>
      <c r="O283" s="4" t="inlineStr">
        <is>
          <t>00000</t>
        </is>
      </c>
      <c r="P283" s="4" t="inlineStr">
        <is>
          <t>8331.02</t>
        </is>
      </c>
    </row>
    <row r="284">
      <c r="A284" s="4" t="inlineStr">
        <is>
          <t>283</t>
        </is>
      </c>
      <c r="B284" s="5" t="inlineStr">
        <is>
          <t>28123249472</t>
        </is>
      </c>
      <c r="C284" s="29" t="inlineStr">
        <is>
          <t>AHMET ŞŞENER</t>
        </is>
      </c>
      <c r="D284" s="7" t="n">
        <v>30185</v>
      </c>
      <c r="E284" s="4" t="inlineStr">
        <is>
          <t>10.02.2026</t>
        </is>
      </c>
      <c r="F284" s="4" t="inlineStr"/>
      <c r="G284" s="7" t="n">
        <v>29369.19</v>
      </c>
      <c r="H284" s="7" t="n">
        <v>0</v>
      </c>
      <c r="I284" s="7" t="n">
        <v>2202.69</v>
      </c>
      <c r="J284" s="7" t="n">
        <v>29369.19</v>
      </c>
      <c r="K284" s="7" t="n">
        <v>2202.69</v>
      </c>
      <c r="L284" s="7" t="n">
        <v>27166.5</v>
      </c>
      <c r="M284" s="4" t="n">
        <v>27</v>
      </c>
      <c r="N284" s="7" t="n">
        <v>29727</v>
      </c>
      <c r="O284" s="4" t="inlineStr">
        <is>
          <t>00000</t>
        </is>
      </c>
      <c r="P284" s="4" t="inlineStr">
        <is>
          <t>9112.06</t>
        </is>
      </c>
    </row>
    <row r="285">
      <c r="A285" s="4" t="inlineStr">
        <is>
          <t>284</t>
        </is>
      </c>
      <c r="B285" s="5" t="inlineStr">
        <is>
          <t>28336192374</t>
        </is>
      </c>
      <c r="C285" s="29" t="inlineStr">
        <is>
          <t>ARZU KILA</t>
        </is>
      </c>
      <c r="D285" s="7" t="n">
        <v>124.78</v>
      </c>
      <c r="E285" s="4" t="inlineStr">
        <is>
          <t>17.06.2025</t>
        </is>
      </c>
      <c r="F285" s="4" t="inlineStr"/>
      <c r="G285" s="7" t="n">
        <v>22019.56</v>
      </c>
      <c r="H285" s="7" t="n">
        <v>220.2</v>
      </c>
      <c r="I285" s="7" t="n">
        <v>4002.96</v>
      </c>
      <c r="J285" s="7" t="n">
        <v>22239.75</v>
      </c>
      <c r="K285" s="7" t="n">
        <v>4002.96</v>
      </c>
      <c r="L285" s="7" t="n">
        <v>18236.79</v>
      </c>
      <c r="M285" s="4" t="n">
        <v>20</v>
      </c>
      <c r="N285" s="7" t="n">
        <v>22239.75</v>
      </c>
      <c r="O285" s="4" t="inlineStr">
        <is>
          <t>05510</t>
        </is>
      </c>
      <c r="P285" s="4" t="inlineStr">
        <is>
          <t>7514.01</t>
        </is>
      </c>
    </row>
    <row r="286">
      <c r="A286" s="4" t="inlineStr">
        <is>
          <t>285</t>
        </is>
      </c>
      <c r="B286" s="5" t="inlineStr">
        <is>
          <t>28510235804</t>
        </is>
      </c>
      <c r="C286" s="29" t="inlineStr">
        <is>
          <t>NAİL AKSOY</t>
        </is>
      </c>
      <c r="D286" s="7" t="n">
        <v>30185</v>
      </c>
      <c r="E286" s="4" t="inlineStr">
        <is>
          <t>01.03.2024</t>
        </is>
      </c>
      <c r="F286" s="4" t="inlineStr"/>
      <c r="G286" s="7" t="n">
        <v>4350.99</v>
      </c>
      <c r="H286" s="7" t="n">
        <v>0</v>
      </c>
      <c r="I286" s="7" t="n">
        <v>326.32</v>
      </c>
      <c r="J286" s="7" t="n">
        <v>4350.99</v>
      </c>
      <c r="K286" s="7" t="n">
        <v>326.32</v>
      </c>
      <c r="L286" s="7" t="n">
        <v>4024.67</v>
      </c>
      <c r="M286" s="4" t="n">
        <v>4</v>
      </c>
      <c r="N286" s="7" t="n">
        <v>4404</v>
      </c>
      <c r="O286" s="4" t="inlineStr">
        <is>
          <t>00000</t>
        </is>
      </c>
      <c r="P286" s="4" t="inlineStr">
        <is>
          <t>8331.02</t>
        </is>
      </c>
    </row>
    <row r="287">
      <c r="A287" s="4" t="inlineStr">
        <is>
          <t>286</t>
        </is>
      </c>
      <c r="B287" s="5" t="inlineStr">
        <is>
          <t>28693874692</t>
        </is>
      </c>
      <c r="C287" s="29" t="inlineStr">
        <is>
          <t>NEŞVET ALKAN</t>
        </is>
      </c>
      <c r="D287" s="7" t="n">
        <v>124.78</v>
      </c>
      <c r="E287" s="4" t="inlineStr">
        <is>
          <t>21.07.2026</t>
        </is>
      </c>
      <c r="F287" s="4" t="inlineStr"/>
      <c r="G287" s="7" t="n">
        <v>15414</v>
      </c>
      <c r="H287" s="7" t="n">
        <v>1101</v>
      </c>
      <c r="I287" s="7" t="n">
        <v>2477.25</v>
      </c>
      <c r="J287" s="7" t="n">
        <v>16515</v>
      </c>
      <c r="K287" s="7" t="n">
        <v>2477.25</v>
      </c>
      <c r="L287" s="7" t="n">
        <v>14037.75</v>
      </c>
      <c r="M287" s="4" t="n">
        <v>14</v>
      </c>
      <c r="N287" s="7" t="n">
        <v>16515</v>
      </c>
      <c r="O287" s="4" t="inlineStr">
        <is>
          <t>05510</t>
        </is>
      </c>
      <c r="P287" s="4" t="inlineStr">
        <is>
          <t>7514.01</t>
        </is>
      </c>
    </row>
    <row r="288">
      <c r="A288" s="4" t="inlineStr">
        <is>
          <t>287</t>
        </is>
      </c>
      <c r="B288" s="5" t="inlineStr">
        <is>
          <t>28729335166</t>
        </is>
      </c>
      <c r="C288" s="29" t="inlineStr">
        <is>
          <t>ZELİHA KEİREMETÇİ</t>
        </is>
      </c>
      <c r="D288" s="7" t="n">
        <v>146.6</v>
      </c>
      <c r="E288" s="4" t="inlineStr">
        <is>
          <t>08.05.2026</t>
        </is>
      </c>
      <c r="F288" s="4" t="inlineStr"/>
      <c r="G288" s="7" t="n">
        <v>31044.71</v>
      </c>
      <c r="H288" s="7" t="n">
        <v>258.71</v>
      </c>
      <c r="I288" s="7" t="n">
        <v>4695.51</v>
      </c>
      <c r="J288" s="7" t="n">
        <v>31303.41</v>
      </c>
      <c r="K288" s="7" t="n">
        <v>4695.51</v>
      </c>
      <c r="L288" s="7" t="n">
        <v>26607.9</v>
      </c>
      <c r="M288" s="4" t="n">
        <v>24</v>
      </c>
      <c r="N288" s="7" t="n">
        <v>31303.41</v>
      </c>
      <c r="O288" s="4" t="inlineStr">
        <is>
          <t>05510</t>
        </is>
      </c>
      <c r="P288" s="4" t="inlineStr">
        <is>
          <t>7514.01</t>
        </is>
      </c>
    </row>
    <row r="289">
      <c r="A289" s="4" t="inlineStr">
        <is>
          <t>288</t>
        </is>
      </c>
      <c r="B289" s="5" t="inlineStr">
        <is>
          <t>28979029792</t>
        </is>
      </c>
      <c r="C289" s="29" t="inlineStr">
        <is>
          <t>SİNEM PİRİZOĞLU</t>
        </is>
      </c>
      <c r="D289" s="7" t="n">
        <v>124.78</v>
      </c>
      <c r="E289" s="4" t="inlineStr">
        <is>
          <t>10.08.2026</t>
        </is>
      </c>
      <c r="F289" s="4" t="inlineStr"/>
      <c r="G289" s="7" t="n">
        <v>15414</v>
      </c>
      <c r="H289" s="7" t="n">
        <v>16221.4</v>
      </c>
      <c r="I289" s="7" t="n">
        <v>5694.31</v>
      </c>
      <c r="J289" s="7" t="n">
        <v>31635.4</v>
      </c>
      <c r="K289" s="7" t="n">
        <v>5694.31</v>
      </c>
      <c r="L289" s="7" t="n">
        <v>25941.09</v>
      </c>
      <c r="M289" s="4" t="n">
        <v>14</v>
      </c>
      <c r="N289" s="7" t="n">
        <v>31635.4</v>
      </c>
      <c r="O289" s="4" t="inlineStr">
        <is>
          <t>05510</t>
        </is>
      </c>
      <c r="P289" s="4" t="inlineStr">
        <is>
          <t>7514.01</t>
        </is>
      </c>
    </row>
    <row r="290">
      <c r="A290" s="4" t="inlineStr">
        <is>
          <t>289</t>
        </is>
      </c>
      <c r="B290" s="5" t="inlineStr">
        <is>
          <t>29009301048</t>
        </is>
      </c>
      <c r="C290" s="29" t="inlineStr">
        <is>
          <t>CEMİLE ÖZTÜRK</t>
        </is>
      </c>
      <c r="D290" s="7" t="n">
        <v>146.6</v>
      </c>
      <c r="E290" s="4" t="inlineStr">
        <is>
          <t>08.07.2026</t>
        </is>
      </c>
      <c r="F290" s="4" t="inlineStr"/>
      <c r="G290" s="7" t="n">
        <v>0</v>
      </c>
      <c r="H290" s="7" t="n">
        <v>0</v>
      </c>
      <c r="I290" s="7" t="n">
        <v>0</v>
      </c>
      <c r="J290" s="7" t="n">
        <v>0</v>
      </c>
      <c r="K290" s="7" t="n">
        <v>0</v>
      </c>
      <c r="L290" s="7" t="n">
        <v>0</v>
      </c>
      <c r="M290" s="4" t="n">
        <v>0</v>
      </c>
      <c r="N290" s="7" t="n">
        <v>0</v>
      </c>
      <c r="O290" s="4" t="inlineStr">
        <is>
          <t>05510</t>
        </is>
      </c>
      <c r="P290" s="4" t="inlineStr">
        <is>
          <t>7514.01</t>
        </is>
      </c>
    </row>
    <row r="291">
      <c r="A291" s="4" t="inlineStr">
        <is>
          <t>290</t>
        </is>
      </c>
      <c r="B291" s="5" t="inlineStr">
        <is>
          <t>29113591304</t>
        </is>
      </c>
      <c r="C291" s="29" t="inlineStr">
        <is>
          <t>ŞADİYE ÇELİK</t>
        </is>
      </c>
      <c r="D291" s="7" t="n">
        <v>124.78</v>
      </c>
      <c r="E291" s="4" t="inlineStr">
        <is>
          <t>11.06.2026</t>
        </is>
      </c>
      <c r="F291" s="4" t="inlineStr"/>
      <c r="G291" s="7" t="n">
        <v>7707</v>
      </c>
      <c r="H291" s="7" t="n">
        <v>8734.6</v>
      </c>
      <c r="I291" s="7" t="n">
        <v>2466.24</v>
      </c>
      <c r="J291" s="7" t="n">
        <v>16441.6</v>
      </c>
      <c r="K291" s="7" t="n">
        <v>2466.24</v>
      </c>
      <c r="L291" s="7" t="n">
        <v>13975.36</v>
      </c>
      <c r="M291" s="4" t="n">
        <v>7</v>
      </c>
      <c r="N291" s="7" t="n">
        <v>16441.6</v>
      </c>
      <c r="O291" s="4" t="inlineStr">
        <is>
          <t>05510</t>
        </is>
      </c>
      <c r="P291" s="4" t="inlineStr">
        <is>
          <t>7514.01</t>
        </is>
      </c>
    </row>
    <row r="292">
      <c r="A292" s="4" t="inlineStr">
        <is>
          <t>291</t>
        </is>
      </c>
      <c r="B292" s="5" t="inlineStr">
        <is>
          <t>29200163070</t>
        </is>
      </c>
      <c r="C292" s="29" t="inlineStr">
        <is>
          <t>SEZGİN YILDIRIM</t>
        </is>
      </c>
      <c r="D292" s="7" t="n">
        <v>30185</v>
      </c>
      <c r="E292" s="4" t="inlineStr">
        <is>
          <t>23.06.2026</t>
        </is>
      </c>
      <c r="F292" s="4" t="inlineStr"/>
      <c r="G292" s="7" t="n">
        <v>4350.99</v>
      </c>
      <c r="H292" s="7" t="n">
        <v>0</v>
      </c>
      <c r="I292" s="7" t="n">
        <v>326.32</v>
      </c>
      <c r="J292" s="7" t="n">
        <v>4350.99</v>
      </c>
      <c r="K292" s="7" t="n">
        <v>326.32</v>
      </c>
      <c r="L292" s="7" t="n">
        <v>4024.67</v>
      </c>
      <c r="M292" s="4" t="n">
        <v>4</v>
      </c>
      <c r="N292" s="7" t="n">
        <v>4404</v>
      </c>
      <c r="O292" s="4" t="inlineStr">
        <is>
          <t>00000</t>
        </is>
      </c>
      <c r="P292" s="4" t="inlineStr">
        <is>
          <t>7514.01</t>
        </is>
      </c>
    </row>
    <row r="293">
      <c r="A293" s="4" t="inlineStr">
        <is>
          <t>292</t>
        </is>
      </c>
      <c r="B293" s="5" t="inlineStr">
        <is>
          <t>29267383640</t>
        </is>
      </c>
      <c r="C293" s="29" t="inlineStr">
        <is>
          <t>SIDIKA KARSLI</t>
        </is>
      </c>
      <c r="D293" s="7" t="n">
        <v>164.4</v>
      </c>
      <c r="E293" s="4" t="inlineStr">
        <is>
          <t>05.01.2024</t>
        </is>
      </c>
      <c r="F293" s="4" t="inlineStr">
        <is>
          <t>19.08.2026</t>
        </is>
      </c>
      <c r="G293" s="7" t="n">
        <v>24660</v>
      </c>
      <c r="H293" s="7" t="n">
        <v>1257.18</v>
      </c>
      <c r="I293" s="7" t="n">
        <v>3887.58</v>
      </c>
      <c r="J293" s="7" t="n">
        <v>25917.18</v>
      </c>
      <c r="K293" s="7" t="n">
        <v>3887.58</v>
      </c>
      <c r="L293" s="7" t="n">
        <v>22029.6</v>
      </c>
      <c r="M293" s="4" t="n">
        <v>17</v>
      </c>
      <c r="N293" s="7" t="n">
        <v>25917.18</v>
      </c>
      <c r="O293" s="4" t="inlineStr">
        <is>
          <t>16322</t>
        </is>
      </c>
      <c r="P293" s="4" t="inlineStr">
        <is>
          <t>2423.10</t>
        </is>
      </c>
    </row>
    <row r="294">
      <c r="A294" s="4" t="inlineStr">
        <is>
          <t>293</t>
        </is>
      </c>
      <c r="B294" s="5" t="inlineStr">
        <is>
          <t>29339521420</t>
        </is>
      </c>
      <c r="C294" s="29" t="inlineStr">
        <is>
          <t>AFİFE KÜLTER</t>
        </is>
      </c>
      <c r="D294" s="7" t="n">
        <v>146.6</v>
      </c>
      <c r="E294" s="4" t="inlineStr">
        <is>
          <t>15.08.2026</t>
        </is>
      </c>
      <c r="F294" s="4" t="inlineStr"/>
      <c r="G294" s="7" t="n">
        <v>10348.24</v>
      </c>
      <c r="H294" s="7" t="n">
        <v>258.71</v>
      </c>
      <c r="I294" s="7" t="n">
        <v>1909.04</v>
      </c>
      <c r="J294" s="7" t="n">
        <v>10606.94</v>
      </c>
      <c r="K294" s="7" t="n">
        <v>1909.04</v>
      </c>
      <c r="L294" s="7" t="n">
        <v>8697.9</v>
      </c>
      <c r="M294" s="4" t="n">
        <v>8</v>
      </c>
      <c r="N294" s="7" t="n">
        <v>10606.94</v>
      </c>
      <c r="O294" s="4" t="inlineStr">
        <is>
          <t>05510</t>
        </is>
      </c>
      <c r="P294" s="4" t="inlineStr">
        <is>
          <t>7514.01</t>
        </is>
      </c>
    </row>
    <row r="295">
      <c r="A295" s="4" t="inlineStr">
        <is>
          <t>294</t>
        </is>
      </c>
      <c r="B295" s="5" t="inlineStr">
        <is>
          <t>29359208356</t>
        </is>
      </c>
      <c r="C295" s="29" t="inlineStr">
        <is>
          <t>RAMAZAN KÜÇÜKÇÇAKIR</t>
        </is>
      </c>
      <c r="D295" s="7" t="n">
        <v>30185</v>
      </c>
      <c r="E295" s="4" t="inlineStr">
        <is>
          <t>11.01.2024</t>
        </is>
      </c>
      <c r="F295" s="4" t="inlineStr"/>
      <c r="G295" s="7" t="n">
        <v>4350.99</v>
      </c>
      <c r="H295" s="7" t="n">
        <v>0</v>
      </c>
      <c r="I295" s="7" t="n">
        <v>326.32</v>
      </c>
      <c r="J295" s="7" t="n">
        <v>4350.99</v>
      </c>
      <c r="K295" s="7" t="n">
        <v>326.32</v>
      </c>
      <c r="L295" s="7" t="n">
        <v>4024.67</v>
      </c>
      <c r="M295" s="4" t="n">
        <v>4</v>
      </c>
      <c r="N295" s="7" t="n">
        <v>4404</v>
      </c>
      <c r="O295" s="4" t="inlineStr">
        <is>
          <t>00000</t>
        </is>
      </c>
      <c r="P295" s="4" t="inlineStr">
        <is>
          <t>8331.02</t>
        </is>
      </c>
    </row>
    <row r="296">
      <c r="A296" s="4" t="inlineStr">
        <is>
          <t>295</t>
        </is>
      </c>
      <c r="B296" s="5" t="inlineStr">
        <is>
          <t>29467205162</t>
        </is>
      </c>
      <c r="C296" s="29" t="inlineStr">
        <is>
          <t>TUĞBA ÇÇAYLAK</t>
        </is>
      </c>
      <c r="D296" s="7" t="n">
        <v>146.6</v>
      </c>
      <c r="E296" s="4" t="inlineStr">
        <is>
          <t>08.08.2026</t>
        </is>
      </c>
      <c r="F296" s="4" t="inlineStr"/>
      <c r="G296" s="7" t="n">
        <v>3880.59</v>
      </c>
      <c r="H296" s="7" t="n">
        <v>0</v>
      </c>
      <c r="I296" s="7" t="n">
        <v>698.09</v>
      </c>
      <c r="J296" s="7" t="n">
        <v>3880.59</v>
      </c>
      <c r="K296" s="7" t="n">
        <v>698.09</v>
      </c>
      <c r="L296" s="7" t="n">
        <v>3182.5</v>
      </c>
      <c r="M296" s="4" t="n">
        <v>3</v>
      </c>
      <c r="N296" s="7" t="n">
        <v>3880.59</v>
      </c>
      <c r="O296" s="4" t="inlineStr">
        <is>
          <t>05510</t>
        </is>
      </c>
      <c r="P296" s="4" t="inlineStr">
        <is>
          <t>7514.01</t>
        </is>
      </c>
    </row>
    <row r="297">
      <c r="A297" s="4" t="inlineStr">
        <is>
          <t>296</t>
        </is>
      </c>
      <c r="B297" s="5" t="inlineStr">
        <is>
          <t>29470204244</t>
        </is>
      </c>
      <c r="C297" s="29" t="inlineStr">
        <is>
          <t>ENDER BİLBAY</t>
        </is>
      </c>
      <c r="D297" s="7" t="n">
        <v>30185</v>
      </c>
      <c r="E297" s="4" t="inlineStr">
        <is>
          <t>20.03.2024</t>
        </is>
      </c>
      <c r="F297" s="4" t="inlineStr"/>
      <c r="G297" s="7" t="n">
        <v>4350.99</v>
      </c>
      <c r="H297" s="7" t="n">
        <v>0</v>
      </c>
      <c r="I297" s="7" t="n">
        <v>326.32</v>
      </c>
      <c r="J297" s="7" t="n">
        <v>4350.99</v>
      </c>
      <c r="K297" s="7" t="n">
        <v>326.32</v>
      </c>
      <c r="L297" s="7" t="n">
        <v>4024.67</v>
      </c>
      <c r="M297" s="4" t="n">
        <v>4</v>
      </c>
      <c r="N297" s="7" t="n">
        <v>4404</v>
      </c>
      <c r="O297" s="4" t="inlineStr">
        <is>
          <t>00000</t>
        </is>
      </c>
      <c r="P297" s="4" t="inlineStr">
        <is>
          <t>4321.29</t>
        </is>
      </c>
    </row>
    <row r="298">
      <c r="A298" s="4" t="inlineStr">
        <is>
          <t>297</t>
        </is>
      </c>
      <c r="B298" s="5" t="inlineStr">
        <is>
          <t>29515203096</t>
        </is>
      </c>
      <c r="C298" s="29" t="inlineStr">
        <is>
          <t>İBÜŞRAHİM YILDIRIM</t>
        </is>
      </c>
      <c r="D298" s="7" t="n">
        <v>30185</v>
      </c>
      <c r="E298" s="4" t="inlineStr">
        <is>
          <t>01.08.2023</t>
        </is>
      </c>
      <c r="F298" s="4" t="inlineStr"/>
      <c r="G298" s="7" t="n">
        <v>4350.99</v>
      </c>
      <c r="H298" s="7" t="n">
        <v>0</v>
      </c>
      <c r="I298" s="7" t="n">
        <v>326.32</v>
      </c>
      <c r="J298" s="7" t="n">
        <v>4350.99</v>
      </c>
      <c r="K298" s="7" t="n">
        <v>326.32</v>
      </c>
      <c r="L298" s="7" t="n">
        <v>4024.67</v>
      </c>
      <c r="M298" s="4" t="n">
        <v>4</v>
      </c>
      <c r="N298" s="7" t="n">
        <v>4404</v>
      </c>
      <c r="O298" s="4" t="inlineStr">
        <is>
          <t>00000</t>
        </is>
      </c>
      <c r="P298" s="4" t="inlineStr">
        <is>
          <t>7514.01</t>
        </is>
      </c>
    </row>
    <row r="299">
      <c r="A299" s="4" t="inlineStr">
        <is>
          <t>298</t>
        </is>
      </c>
      <c r="B299" s="5" t="inlineStr">
        <is>
          <t>29563469352</t>
        </is>
      </c>
      <c r="C299" s="29" t="inlineStr">
        <is>
          <t>EDİP EKİNCİ</t>
        </is>
      </c>
      <c r="D299" s="7" t="n">
        <v>30185</v>
      </c>
      <c r="E299" s="4" t="inlineStr">
        <is>
          <t>07.11.2025</t>
        </is>
      </c>
      <c r="F299" s="4" t="inlineStr"/>
      <c r="G299" s="7" t="n">
        <v>4350.99</v>
      </c>
      <c r="H299" s="7" t="n">
        <v>0</v>
      </c>
      <c r="I299" s="7" t="n">
        <v>326.32</v>
      </c>
      <c r="J299" s="7" t="n">
        <v>4350.99</v>
      </c>
      <c r="K299" s="7" t="n">
        <v>326.32</v>
      </c>
      <c r="L299" s="7" t="n">
        <v>4024.67</v>
      </c>
      <c r="M299" s="4" t="n">
        <v>4</v>
      </c>
      <c r="N299" s="7" t="n">
        <v>4404</v>
      </c>
      <c r="O299" s="4" t="inlineStr">
        <is>
          <t>00000</t>
        </is>
      </c>
      <c r="P299" s="4" t="inlineStr">
        <is>
          <t>7514.01</t>
        </is>
      </c>
    </row>
    <row r="300">
      <c r="A300" s="4" t="inlineStr">
        <is>
          <t>299</t>
        </is>
      </c>
      <c r="B300" s="5" t="inlineStr">
        <is>
          <t>29677146866</t>
        </is>
      </c>
      <c r="C300" s="29" t="inlineStr">
        <is>
          <t>RABİYE ÇENECİOĞLU</t>
        </is>
      </c>
      <c r="D300" s="7" t="n">
        <v>146.6</v>
      </c>
      <c r="E300" s="4" t="inlineStr">
        <is>
          <t>10.02.2026</t>
        </is>
      </c>
      <c r="F300" s="4" t="inlineStr"/>
      <c r="G300" s="7" t="n">
        <v>34942.37</v>
      </c>
      <c r="H300" s="7" t="n">
        <v>522.0700000000001</v>
      </c>
      <c r="I300" s="7" t="n">
        <v>5338.14</v>
      </c>
      <c r="J300" s="7" t="n">
        <v>35464.44</v>
      </c>
      <c r="K300" s="7" t="n">
        <v>5338.14</v>
      </c>
      <c r="L300" s="7" t="n">
        <v>30126.3</v>
      </c>
      <c r="M300" s="4" t="n">
        <v>27</v>
      </c>
      <c r="N300" s="7" t="n">
        <v>35464.44</v>
      </c>
      <c r="O300" s="4" t="inlineStr">
        <is>
          <t>05510</t>
        </is>
      </c>
      <c r="P300" s="4" t="inlineStr">
        <is>
          <t>7514.01</t>
        </is>
      </c>
    </row>
    <row r="301">
      <c r="A301" s="4" t="inlineStr">
        <is>
          <t>300</t>
        </is>
      </c>
      <c r="B301" s="5" t="inlineStr">
        <is>
          <t>29749160806</t>
        </is>
      </c>
      <c r="C301" s="29" t="inlineStr">
        <is>
          <t>MAHİR HİLMİ ULUKÖK</t>
        </is>
      </c>
      <c r="D301" s="7" t="n">
        <v>30185</v>
      </c>
      <c r="E301" s="4" t="inlineStr">
        <is>
          <t>22.04.2026</t>
        </is>
      </c>
      <c r="F301" s="4" t="inlineStr"/>
      <c r="G301" s="7" t="n">
        <v>4350.99</v>
      </c>
      <c r="H301" s="7" t="n">
        <v>0</v>
      </c>
      <c r="I301" s="7" t="n">
        <v>326.32</v>
      </c>
      <c r="J301" s="7" t="n">
        <v>4350.99</v>
      </c>
      <c r="K301" s="7" t="n">
        <v>326.32</v>
      </c>
      <c r="L301" s="7" t="n">
        <v>4024.67</v>
      </c>
      <c r="M301" s="4" t="n">
        <v>4</v>
      </c>
      <c r="N301" s="7" t="n">
        <v>4404</v>
      </c>
      <c r="O301" s="4" t="inlineStr">
        <is>
          <t>00000</t>
        </is>
      </c>
      <c r="P301" s="4" t="inlineStr">
        <is>
          <t>7514.01</t>
        </is>
      </c>
    </row>
    <row r="302">
      <c r="A302" s="4" t="inlineStr">
        <is>
          <t>301</t>
        </is>
      </c>
      <c r="B302" s="5" t="inlineStr">
        <is>
          <t>29761139378</t>
        </is>
      </c>
      <c r="C302" s="29" t="inlineStr">
        <is>
          <t>TALHA YAVAŞ</t>
        </is>
      </c>
      <c r="D302" s="7" t="n">
        <v>133.3</v>
      </c>
      <c r="E302" s="4" t="inlineStr">
        <is>
          <t>15.06.2026</t>
        </is>
      </c>
      <c r="F302" s="4" t="inlineStr"/>
      <c r="G302" s="7" t="n">
        <v>27052.06</v>
      </c>
      <c r="H302" s="7" t="n">
        <v>2979.65</v>
      </c>
      <c r="I302" s="7" t="n">
        <v>5404.76</v>
      </c>
      <c r="J302" s="7" t="n">
        <v>30031.71</v>
      </c>
      <c r="K302" s="7" t="n">
        <v>5404.76</v>
      </c>
      <c r="L302" s="7" t="n">
        <v>24626.95</v>
      </c>
      <c r="M302" s="4" t="n">
        <v>23</v>
      </c>
      <c r="N302" s="7" t="n">
        <v>30031.71</v>
      </c>
      <c r="O302" s="4" t="inlineStr">
        <is>
          <t>05510</t>
        </is>
      </c>
      <c r="P302" s="4" t="inlineStr">
        <is>
          <t>2141.13</t>
        </is>
      </c>
    </row>
    <row r="303">
      <c r="A303" s="4" t="inlineStr">
        <is>
          <t>302</t>
        </is>
      </c>
      <c r="B303" s="5" t="inlineStr">
        <is>
          <t>30367150308</t>
        </is>
      </c>
      <c r="C303" s="29" t="inlineStr">
        <is>
          <t>HAYRULLAH TOPRAK</t>
        </is>
      </c>
      <c r="D303" s="7" t="n">
        <v>146.6</v>
      </c>
      <c r="E303" s="4" t="inlineStr">
        <is>
          <t>13.04.2026</t>
        </is>
      </c>
      <c r="F303" s="4" t="inlineStr"/>
      <c r="G303" s="7" t="n">
        <v>39897.3</v>
      </c>
      <c r="H303" s="7" t="n">
        <v>1537.96</v>
      </c>
      <c r="I303" s="7" t="n">
        <v>8593.75</v>
      </c>
      <c r="J303" s="7" t="n">
        <v>41435.25</v>
      </c>
      <c r="K303" s="7" t="n">
        <v>8593.75</v>
      </c>
      <c r="L303" s="7" t="n">
        <v>32841.5</v>
      </c>
      <c r="M303" s="4" t="n">
        <v>30</v>
      </c>
      <c r="N303" s="7" t="n">
        <v>41435.25</v>
      </c>
      <c r="O303" s="4" t="inlineStr">
        <is>
          <t>05510</t>
        </is>
      </c>
      <c r="P303" s="4" t="inlineStr">
        <is>
          <t>4321.15</t>
        </is>
      </c>
    </row>
    <row r="304">
      <c r="A304" s="4" t="inlineStr">
        <is>
          <t>303</t>
        </is>
      </c>
      <c r="B304" s="5" t="inlineStr">
        <is>
          <t>30373124058</t>
        </is>
      </c>
      <c r="C304" s="29" t="inlineStr">
        <is>
          <t>SANİYE CEYLAN</t>
        </is>
      </c>
      <c r="D304" s="7" t="n">
        <v>124.78</v>
      </c>
      <c r="E304" s="4" t="inlineStr">
        <is>
          <t>05.05.2023</t>
        </is>
      </c>
      <c r="F304" s="4" t="inlineStr"/>
      <c r="G304" s="7" t="n">
        <v>31928.36</v>
      </c>
      <c r="H304" s="7" t="n">
        <v>587.1900000000001</v>
      </c>
      <c r="I304" s="7" t="n">
        <v>4877.33</v>
      </c>
      <c r="J304" s="7" t="n">
        <v>32515.55</v>
      </c>
      <c r="K304" s="7" t="n">
        <v>4877.33</v>
      </c>
      <c r="L304" s="7" t="n">
        <v>27638.22</v>
      </c>
      <c r="M304" s="4" t="n">
        <v>29</v>
      </c>
      <c r="N304" s="7" t="n">
        <v>32515.55</v>
      </c>
      <c r="O304" s="4" t="inlineStr">
        <is>
          <t>16322</t>
        </is>
      </c>
      <c r="P304" s="4" t="inlineStr">
        <is>
          <t>7514.01</t>
        </is>
      </c>
    </row>
    <row r="305">
      <c r="A305" s="4" t="inlineStr">
        <is>
          <t>304</t>
        </is>
      </c>
      <c r="B305" s="5" t="inlineStr">
        <is>
          <t>30856107820</t>
        </is>
      </c>
      <c r="C305" s="29" t="inlineStr">
        <is>
          <t>HÜLYA ÜÜNAL</t>
        </is>
      </c>
      <c r="D305" s="7" t="n">
        <v>124.78</v>
      </c>
      <c r="E305" s="4" t="inlineStr">
        <is>
          <t>09.05.2022</t>
        </is>
      </c>
      <c r="F305" s="4" t="inlineStr"/>
      <c r="G305" s="7" t="n">
        <v>31928.36</v>
      </c>
      <c r="H305" s="7" t="n">
        <v>1843.07</v>
      </c>
      <c r="I305" s="7" t="n">
        <v>5197.39</v>
      </c>
      <c r="J305" s="7" t="n">
        <v>33771.43</v>
      </c>
      <c r="K305" s="7" t="n">
        <v>5197.39</v>
      </c>
      <c r="L305" s="7" t="n">
        <v>28574.05</v>
      </c>
      <c r="M305" s="4" t="n">
        <v>29</v>
      </c>
      <c r="N305" s="7" t="n">
        <v>33771.43</v>
      </c>
      <c r="O305" s="4" t="inlineStr">
        <is>
          <t>05510</t>
        </is>
      </c>
      <c r="P305" s="4" t="inlineStr">
        <is>
          <t>7514.01</t>
        </is>
      </c>
    </row>
    <row r="306">
      <c r="A306" s="4" t="inlineStr">
        <is>
          <t>305</t>
        </is>
      </c>
      <c r="B306" s="5" t="inlineStr">
        <is>
          <t>30925156292</t>
        </is>
      </c>
      <c r="C306" s="29" t="inlineStr">
        <is>
          <t>TUNCAY METİN</t>
        </is>
      </c>
      <c r="D306" s="7" t="n">
        <v>124.78</v>
      </c>
      <c r="E306" s="4" t="inlineStr">
        <is>
          <t>08.10.2025</t>
        </is>
      </c>
      <c r="F306" s="4" t="inlineStr"/>
      <c r="G306" s="7" t="n">
        <v>28625.43</v>
      </c>
      <c r="H306" s="7" t="n">
        <v>5795.49</v>
      </c>
      <c r="I306" s="7" t="n">
        <v>6442.15</v>
      </c>
      <c r="J306" s="7" t="n">
        <v>34420.92</v>
      </c>
      <c r="K306" s="7" t="n">
        <v>13442.15</v>
      </c>
      <c r="L306" s="7" t="n">
        <v>20978.77</v>
      </c>
      <c r="M306" s="4" t="n">
        <v>26</v>
      </c>
      <c r="N306" s="7" t="n">
        <v>34420.92</v>
      </c>
      <c r="O306" s="4" t="inlineStr">
        <is>
          <t>16322</t>
        </is>
      </c>
      <c r="P306" s="4" t="inlineStr">
        <is>
          <t>4321.29</t>
        </is>
      </c>
    </row>
    <row r="307">
      <c r="A307" s="4" t="inlineStr">
        <is>
          <t>306</t>
        </is>
      </c>
      <c r="B307" s="5" t="inlineStr">
        <is>
          <t>31009103096</t>
        </is>
      </c>
      <c r="C307" s="29" t="inlineStr">
        <is>
          <t>EMEL SANAN</t>
        </is>
      </c>
      <c r="D307" s="7" t="n">
        <v>155.5</v>
      </c>
      <c r="E307" s="4" t="inlineStr">
        <is>
          <t>17.05.2023</t>
        </is>
      </c>
      <c r="F307" s="4" t="inlineStr"/>
      <c r="G307" s="7" t="n">
        <v>39840.58</v>
      </c>
      <c r="H307" s="7" t="n">
        <v>925.03</v>
      </c>
      <c r="I307" s="7" t="n">
        <v>7488.61</v>
      </c>
      <c r="J307" s="7" t="n">
        <v>40765.61</v>
      </c>
      <c r="K307" s="7" t="n">
        <v>7488.61</v>
      </c>
      <c r="L307" s="7" t="n">
        <v>33277</v>
      </c>
      <c r="M307" s="4" t="n">
        <v>28</v>
      </c>
      <c r="N307" s="7" t="n">
        <v>40765.61</v>
      </c>
      <c r="O307" s="4" t="inlineStr">
        <is>
          <t>16322</t>
        </is>
      </c>
      <c r="P307" s="4" t="inlineStr">
        <is>
          <t>4321.02</t>
        </is>
      </c>
    </row>
    <row r="308">
      <c r="A308" s="4" t="inlineStr">
        <is>
          <t>307</t>
        </is>
      </c>
      <c r="B308" s="5" t="inlineStr">
        <is>
          <t>31027151864</t>
        </is>
      </c>
      <c r="C308" s="29" t="inlineStr">
        <is>
          <t>SABİHA GİRGİN</t>
        </is>
      </c>
      <c r="D308" s="7" t="n">
        <v>124.78</v>
      </c>
      <c r="E308" s="4" t="inlineStr">
        <is>
          <t>20.05.2025</t>
        </is>
      </c>
      <c r="F308" s="4" t="inlineStr"/>
      <c r="G308" s="7" t="n">
        <v>13211.74</v>
      </c>
      <c r="H308" s="7" t="n">
        <v>0</v>
      </c>
      <c r="I308" s="7" t="n">
        <v>1981.76</v>
      </c>
      <c r="J308" s="7" t="n">
        <v>13211.74</v>
      </c>
      <c r="K308" s="7" t="n">
        <v>1981.76</v>
      </c>
      <c r="L308" s="7" t="n">
        <v>11229.97</v>
      </c>
      <c r="M308" s="4" t="n">
        <v>12</v>
      </c>
      <c r="N308" s="7" t="n">
        <v>13212</v>
      </c>
      <c r="O308" s="4" t="inlineStr">
        <is>
          <t>05510</t>
        </is>
      </c>
      <c r="P308" s="4" t="inlineStr">
        <is>
          <t>7514.01</t>
        </is>
      </c>
    </row>
    <row r="309">
      <c r="A309" s="4" t="inlineStr">
        <is>
          <t>308</t>
        </is>
      </c>
      <c r="B309" s="5" t="inlineStr">
        <is>
          <t>31036101904</t>
        </is>
      </c>
      <c r="C309" s="29" t="inlineStr">
        <is>
          <t>FATMA SÇAĞLAR</t>
        </is>
      </c>
      <c r="D309" s="7" t="n">
        <v>30185</v>
      </c>
      <c r="E309" s="4" t="inlineStr">
        <is>
          <t>24.04.2025</t>
        </is>
      </c>
      <c r="F309" s="4" t="inlineStr"/>
      <c r="G309" s="7" t="n">
        <v>0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0</v>
      </c>
      <c r="M309" s="4" t="n">
        <v>0</v>
      </c>
      <c r="N309" s="7" t="n">
        <v>0</v>
      </c>
      <c r="O309" s="4" t="inlineStr">
        <is>
          <t>00000</t>
        </is>
      </c>
      <c r="P309" s="4" t="inlineStr">
        <is>
          <t>7514.01</t>
        </is>
      </c>
    </row>
    <row r="310">
      <c r="A310" s="4" t="inlineStr">
        <is>
          <t>309</t>
        </is>
      </c>
      <c r="B310" s="5" t="inlineStr">
        <is>
          <t>31195265912</t>
        </is>
      </c>
      <c r="C310" s="29" t="inlineStr">
        <is>
          <t>MURVET CAKAN</t>
        </is>
      </c>
      <c r="D310" s="7" t="n">
        <v>146.6</v>
      </c>
      <c r="E310" s="4" t="inlineStr">
        <is>
          <t>22.06.2026</t>
        </is>
      </c>
      <c r="F310" s="4" t="inlineStr"/>
      <c r="G310" s="7" t="n">
        <v>29751.18</v>
      </c>
      <c r="H310" s="7" t="n">
        <v>603.65</v>
      </c>
      <c r="I310" s="7" t="n">
        <v>5463.22</v>
      </c>
      <c r="J310" s="7" t="n">
        <v>30354.82</v>
      </c>
      <c r="K310" s="7" t="n">
        <v>5463.22</v>
      </c>
      <c r="L310" s="7" t="n">
        <v>24891.6</v>
      </c>
      <c r="M310" s="4" t="n">
        <v>23</v>
      </c>
      <c r="N310" s="7" t="n">
        <v>30354.82</v>
      </c>
      <c r="O310" s="4" t="inlineStr">
        <is>
          <t>05510</t>
        </is>
      </c>
      <c r="P310" s="4" t="inlineStr">
        <is>
          <t>7514.01</t>
        </is>
      </c>
    </row>
    <row r="311">
      <c r="A311" s="4" t="inlineStr">
        <is>
          <t>310</t>
        </is>
      </c>
      <c r="B311" s="5" t="inlineStr">
        <is>
          <t>31324091924</t>
        </is>
      </c>
      <c r="C311" s="29" t="inlineStr">
        <is>
          <t>HATİCE KURT</t>
        </is>
      </c>
      <c r="D311" s="7" t="n">
        <v>124.78</v>
      </c>
      <c r="E311" s="4" t="inlineStr">
        <is>
          <t>22.05.2025</t>
        </is>
      </c>
      <c r="F311" s="4" t="inlineStr"/>
      <c r="G311" s="7" t="n">
        <v>27524.45</v>
      </c>
      <c r="H311" s="7" t="n">
        <v>1247.77</v>
      </c>
      <c r="I311" s="7" t="n">
        <v>4315.83</v>
      </c>
      <c r="J311" s="7" t="n">
        <v>28772.22</v>
      </c>
      <c r="K311" s="7" t="n">
        <v>4315.83</v>
      </c>
      <c r="L311" s="7" t="n">
        <v>24456.39</v>
      </c>
      <c r="M311" s="4" t="n">
        <v>25</v>
      </c>
      <c r="N311" s="7" t="n">
        <v>28772.22</v>
      </c>
      <c r="O311" s="4" t="inlineStr">
        <is>
          <t>05510</t>
        </is>
      </c>
      <c r="P311" s="4" t="inlineStr">
        <is>
          <t>7514.01</t>
        </is>
      </c>
    </row>
    <row r="312">
      <c r="A312" s="4" t="inlineStr">
        <is>
          <t>311</t>
        </is>
      </c>
      <c r="B312" s="5" t="inlineStr">
        <is>
          <t>31552110794</t>
        </is>
      </c>
      <c r="C312" s="29" t="inlineStr">
        <is>
          <t>ZAHİDE KALDEMİR</t>
        </is>
      </c>
      <c r="D312" s="7" t="n">
        <v>146.6</v>
      </c>
      <c r="E312" s="4" t="inlineStr">
        <is>
          <t>08.05.2026</t>
        </is>
      </c>
      <c r="F312" s="4" t="inlineStr"/>
      <c r="G312" s="7" t="n">
        <v>38359.34</v>
      </c>
      <c r="H312" s="7" t="n">
        <v>410.12</v>
      </c>
      <c r="I312" s="7" t="n">
        <v>6590.76</v>
      </c>
      <c r="J312" s="7" t="n">
        <v>38769.46</v>
      </c>
      <c r="K312" s="7" t="n">
        <v>6590.76</v>
      </c>
      <c r="L312" s="7" t="n">
        <v>32178.7</v>
      </c>
      <c r="M312" s="4" t="n">
        <v>29</v>
      </c>
      <c r="N312" s="7" t="n">
        <v>38769.46</v>
      </c>
      <c r="O312" s="4" t="inlineStr">
        <is>
          <t>05510</t>
        </is>
      </c>
      <c r="P312" s="4" t="inlineStr">
        <is>
          <t>7514.01</t>
        </is>
      </c>
    </row>
    <row r="313">
      <c r="A313" s="4" t="inlineStr">
        <is>
          <t>312</t>
        </is>
      </c>
      <c r="B313" s="5" t="inlineStr">
        <is>
          <t>31594082608</t>
        </is>
      </c>
      <c r="C313" s="29" t="inlineStr">
        <is>
          <t>FATMA ÖZÇAM</t>
        </is>
      </c>
      <c r="D313" s="7" t="n">
        <v>30185</v>
      </c>
      <c r="E313" s="4" t="inlineStr">
        <is>
          <t>09.10.2025</t>
        </is>
      </c>
      <c r="F313" s="4" t="inlineStr"/>
      <c r="G313" s="7" t="n">
        <v>4350.99</v>
      </c>
      <c r="H313" s="7" t="n">
        <v>0</v>
      </c>
      <c r="I313" s="7" t="n">
        <v>326.32</v>
      </c>
      <c r="J313" s="7" t="n">
        <v>4350.99</v>
      </c>
      <c r="K313" s="7" t="n">
        <v>326.32</v>
      </c>
      <c r="L313" s="7" t="n">
        <v>4024.67</v>
      </c>
      <c r="M313" s="4" t="n">
        <v>4</v>
      </c>
      <c r="N313" s="7" t="n">
        <v>4404</v>
      </c>
      <c r="O313" s="4" t="inlineStr">
        <is>
          <t>00000</t>
        </is>
      </c>
      <c r="P313" s="4" t="inlineStr">
        <is>
          <t>7514.01</t>
        </is>
      </c>
    </row>
    <row r="314">
      <c r="A314" s="4" t="inlineStr">
        <is>
          <t>313</t>
        </is>
      </c>
      <c r="B314" s="5" t="inlineStr">
        <is>
          <t>31678238334</t>
        </is>
      </c>
      <c r="C314" s="29" t="inlineStr">
        <is>
          <t>CANSEL AKCAN</t>
        </is>
      </c>
      <c r="D314" s="7" t="n">
        <v>146.6</v>
      </c>
      <c r="E314" s="4" t="inlineStr">
        <is>
          <t>08.05.2026</t>
        </is>
      </c>
      <c r="F314" s="4" t="inlineStr"/>
      <c r="G314" s="7" t="n">
        <v>39897.3</v>
      </c>
      <c r="H314" s="7" t="n">
        <v>307.59</v>
      </c>
      <c r="I314" s="7" t="n">
        <v>6999.99</v>
      </c>
      <c r="J314" s="7" t="n">
        <v>40204.89</v>
      </c>
      <c r="K314" s="7" t="n">
        <v>6999.99</v>
      </c>
      <c r="L314" s="7" t="n">
        <v>33204.9</v>
      </c>
      <c r="M314" s="4" t="n">
        <v>30</v>
      </c>
      <c r="N314" s="7" t="n">
        <v>40204.89</v>
      </c>
      <c r="O314" s="4" t="inlineStr">
        <is>
          <t>05510</t>
        </is>
      </c>
      <c r="P314" s="4" t="inlineStr">
        <is>
          <t>7514.01</t>
        </is>
      </c>
    </row>
    <row r="315">
      <c r="A315" s="4" t="inlineStr">
        <is>
          <t>314</t>
        </is>
      </c>
      <c r="B315" s="5" t="inlineStr">
        <is>
          <t>31861120316</t>
        </is>
      </c>
      <c r="C315" s="29" t="inlineStr">
        <is>
          <t>ZAHİDE GÜRBÜZ</t>
        </is>
      </c>
      <c r="D315" s="7" t="n">
        <v>30185</v>
      </c>
      <c r="E315" s="4" t="inlineStr">
        <is>
          <t>06.01.2025</t>
        </is>
      </c>
      <c r="F315" s="4" t="inlineStr"/>
      <c r="G315" s="7" t="n">
        <v>4350.99</v>
      </c>
      <c r="H315" s="7" t="n">
        <v>0</v>
      </c>
      <c r="I315" s="7" t="n">
        <v>326.32</v>
      </c>
      <c r="J315" s="7" t="n">
        <v>4350.99</v>
      </c>
      <c r="K315" s="7" t="n">
        <v>326.32</v>
      </c>
      <c r="L315" s="7" t="n">
        <v>4024.67</v>
      </c>
      <c r="M315" s="4" t="n">
        <v>4</v>
      </c>
      <c r="N315" s="7" t="n">
        <v>4404</v>
      </c>
      <c r="O315" s="4" t="inlineStr">
        <is>
          <t>00000</t>
        </is>
      </c>
      <c r="P315" s="4" t="inlineStr">
        <is>
          <t>7514.01</t>
        </is>
      </c>
    </row>
    <row r="316">
      <c r="A316" s="4" t="inlineStr">
        <is>
          <t>315</t>
        </is>
      </c>
      <c r="B316" s="5" t="inlineStr">
        <is>
          <t>31915073032</t>
        </is>
      </c>
      <c r="C316" s="29" t="inlineStr">
        <is>
          <t>NURİYE TEMREN</t>
        </is>
      </c>
      <c r="D316" s="7" t="n">
        <v>124.78</v>
      </c>
      <c r="E316" s="4" t="inlineStr">
        <is>
          <t>01.07.2024</t>
        </is>
      </c>
      <c r="F316" s="4" t="inlineStr"/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4" t="n">
        <v>0</v>
      </c>
      <c r="N316" s="7" t="n">
        <v>0</v>
      </c>
      <c r="O316" s="4" t="inlineStr">
        <is>
          <t>16322</t>
        </is>
      </c>
      <c r="P316" s="4" t="inlineStr">
        <is>
          <t>7514.01</t>
        </is>
      </c>
    </row>
    <row r="317">
      <c r="A317" s="4" t="inlineStr">
        <is>
          <t>316</t>
        </is>
      </c>
      <c r="B317" s="5" t="inlineStr">
        <is>
          <t>31933222184</t>
        </is>
      </c>
      <c r="C317" s="29" t="inlineStr">
        <is>
          <t>FEVZİYE EREL</t>
        </is>
      </c>
      <c r="D317" s="7" t="n">
        <v>146.6</v>
      </c>
      <c r="E317" s="4" t="inlineStr">
        <is>
          <t>10.02.2026</t>
        </is>
      </c>
      <c r="F317" s="4" t="inlineStr"/>
      <c r="G317" s="7" t="n">
        <v>21990</v>
      </c>
      <c r="H317" s="7" t="n">
        <v>258.71</v>
      </c>
      <c r="I317" s="7" t="n">
        <v>3337.31</v>
      </c>
      <c r="J317" s="7" t="n">
        <v>22248.71</v>
      </c>
      <c r="K317" s="7" t="n">
        <v>3337.31</v>
      </c>
      <c r="L317" s="7" t="n">
        <v>18911.4</v>
      </c>
      <c r="M317" s="4" t="n">
        <v>17</v>
      </c>
      <c r="N317" s="7" t="n">
        <v>22248.71</v>
      </c>
      <c r="O317" s="4" t="inlineStr">
        <is>
          <t>05510</t>
        </is>
      </c>
      <c r="P317" s="4" t="inlineStr">
        <is>
          <t>7514.01</t>
        </is>
      </c>
    </row>
    <row r="318">
      <c r="A318" s="4" t="inlineStr">
        <is>
          <t>317</t>
        </is>
      </c>
      <c r="B318" s="5" t="inlineStr">
        <is>
          <t>32014226190</t>
        </is>
      </c>
      <c r="C318" s="29" t="inlineStr">
        <is>
          <t>KEVSER BAŞAK</t>
        </is>
      </c>
      <c r="D318" s="7" t="n">
        <v>146.6</v>
      </c>
      <c r="E318" s="4" t="inlineStr">
        <is>
          <t>12.08.2026</t>
        </is>
      </c>
      <c r="F318" s="4" t="inlineStr"/>
      <c r="G318" s="7" t="n">
        <v>1293.53</v>
      </c>
      <c r="H318" s="7" t="n">
        <v>0</v>
      </c>
      <c r="I318" s="7" t="n">
        <v>232.03</v>
      </c>
      <c r="J318" s="7" t="n">
        <v>1293.53</v>
      </c>
      <c r="K318" s="7" t="n">
        <v>232.03</v>
      </c>
      <c r="L318" s="7" t="n">
        <v>1061.5</v>
      </c>
      <c r="M318" s="4" t="n">
        <v>1</v>
      </c>
      <c r="N318" s="7" t="n">
        <v>1293.53</v>
      </c>
      <c r="O318" s="4" t="inlineStr">
        <is>
          <t>05510</t>
        </is>
      </c>
      <c r="P318" s="4" t="inlineStr">
        <is>
          <t>7514.01</t>
        </is>
      </c>
    </row>
    <row r="319">
      <c r="A319" s="4" t="inlineStr">
        <is>
          <t>318</t>
        </is>
      </c>
      <c r="B319" s="5" t="inlineStr">
        <is>
          <t>32194063110</t>
        </is>
      </c>
      <c r="C319" s="29" t="inlineStr">
        <is>
          <t>HATİCE ERBAŞ</t>
        </is>
      </c>
      <c r="D319" s="7" t="n">
        <v>30185</v>
      </c>
      <c r="E319" s="4" t="inlineStr">
        <is>
          <t>03.03.2026</t>
        </is>
      </c>
      <c r="F319" s="4" t="inlineStr"/>
      <c r="G319" s="7" t="n">
        <v>4350.99</v>
      </c>
      <c r="H319" s="7" t="n">
        <v>0</v>
      </c>
      <c r="I319" s="7" t="n">
        <v>326.32</v>
      </c>
      <c r="J319" s="7" t="n">
        <v>4350.99</v>
      </c>
      <c r="K319" s="7" t="n">
        <v>326.32</v>
      </c>
      <c r="L319" s="7" t="n">
        <v>4024.67</v>
      </c>
      <c r="M319" s="4" t="n">
        <v>4</v>
      </c>
      <c r="N319" s="7" t="n">
        <v>4404</v>
      </c>
      <c r="O319" s="4" t="inlineStr">
        <is>
          <t>00000</t>
        </is>
      </c>
      <c r="P319" s="4" t="inlineStr">
        <is>
          <t>7514.01</t>
        </is>
      </c>
    </row>
    <row r="320">
      <c r="A320" s="4" t="inlineStr">
        <is>
          <t>319</t>
        </is>
      </c>
      <c r="B320" s="5" t="inlineStr">
        <is>
          <t>32242211906</t>
        </is>
      </c>
      <c r="C320" s="29" t="inlineStr">
        <is>
          <t>GÜLTEN ÇORUMLU</t>
        </is>
      </c>
      <c r="D320" s="7" t="n">
        <v>124.78</v>
      </c>
      <c r="E320" s="4" t="inlineStr">
        <is>
          <t>10.08.2026</t>
        </is>
      </c>
      <c r="F320" s="4" t="inlineStr"/>
      <c r="G320" s="7" t="n">
        <v>0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4" t="n">
        <v>0</v>
      </c>
      <c r="N320" s="7" t="n">
        <v>0</v>
      </c>
      <c r="O320" s="4" t="inlineStr">
        <is>
          <t>05510</t>
        </is>
      </c>
      <c r="P320" s="4" t="inlineStr">
        <is>
          <t>7514.01</t>
        </is>
      </c>
    </row>
    <row r="321">
      <c r="A321" s="4" t="inlineStr">
        <is>
          <t>320</t>
        </is>
      </c>
      <c r="B321" s="5" t="inlineStr">
        <is>
          <t>32372355358</t>
        </is>
      </c>
      <c r="C321" s="29" t="inlineStr">
        <is>
          <t>ESMER BİÇER</t>
        </is>
      </c>
      <c r="D321" s="7" t="n">
        <v>124.78</v>
      </c>
      <c r="E321" s="4" t="inlineStr">
        <is>
          <t>24.06.2026</t>
        </is>
      </c>
      <c r="F321" s="4" t="inlineStr"/>
      <c r="G321" s="7" t="n">
        <v>30828</v>
      </c>
      <c r="H321" s="7" t="n">
        <v>20354.1</v>
      </c>
      <c r="I321" s="7" t="n">
        <v>11664.48</v>
      </c>
      <c r="J321" s="7" t="n">
        <v>51182.1</v>
      </c>
      <c r="K321" s="7" t="n">
        <v>11664.48</v>
      </c>
      <c r="L321" s="7" t="n">
        <v>39517.62</v>
      </c>
      <c r="M321" s="4" t="n">
        <v>28</v>
      </c>
      <c r="N321" s="7" t="n">
        <v>51182.1</v>
      </c>
      <c r="O321" s="4" t="inlineStr">
        <is>
          <t>05510</t>
        </is>
      </c>
      <c r="P321" s="4" t="inlineStr">
        <is>
          <t>7514.01</t>
        </is>
      </c>
    </row>
    <row r="322">
      <c r="A322" s="4" t="inlineStr">
        <is>
          <t>321</t>
        </is>
      </c>
      <c r="B322" s="5" t="inlineStr">
        <is>
          <t>32530202388</t>
        </is>
      </c>
      <c r="C322" s="29" t="inlineStr">
        <is>
          <t>AYNUR AY</t>
        </is>
      </c>
      <c r="D322" s="7" t="n">
        <v>124.78</v>
      </c>
      <c r="E322" s="4" t="inlineStr">
        <is>
          <t>06.08.2026</t>
        </is>
      </c>
      <c r="F322" s="4" t="inlineStr"/>
      <c r="G322" s="7" t="n">
        <v>0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4" t="n">
        <v>0</v>
      </c>
      <c r="N322" s="7" t="n">
        <v>0</v>
      </c>
      <c r="O322" s="4" t="inlineStr">
        <is>
          <t>05510</t>
        </is>
      </c>
      <c r="P322" s="4" t="inlineStr">
        <is>
          <t>7514.01</t>
        </is>
      </c>
    </row>
    <row r="323">
      <c r="A323" s="4" t="inlineStr">
        <is>
          <t>322</t>
        </is>
      </c>
      <c r="B323" s="5" t="inlineStr">
        <is>
          <t>32866191196</t>
        </is>
      </c>
      <c r="C323" s="29" t="inlineStr">
        <is>
          <t>DENİZ DEĞİRMENCİ</t>
        </is>
      </c>
      <c r="D323" s="7" t="n">
        <v>124.78</v>
      </c>
      <c r="E323" s="4" t="inlineStr">
        <is>
          <t>17.07.2026</t>
        </is>
      </c>
      <c r="F323" s="4" t="inlineStr"/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4" t="n">
        <v>0</v>
      </c>
      <c r="N323" s="7" t="n">
        <v>0</v>
      </c>
      <c r="O323" s="4" t="inlineStr">
        <is>
          <t>05510</t>
        </is>
      </c>
      <c r="P323" s="4" t="inlineStr">
        <is>
          <t>7514.01</t>
        </is>
      </c>
    </row>
    <row r="324">
      <c r="A324" s="4" t="inlineStr">
        <is>
          <t>323</t>
        </is>
      </c>
      <c r="B324" s="5" t="inlineStr">
        <is>
          <t>32938871292</t>
        </is>
      </c>
      <c r="C324" s="29" t="inlineStr">
        <is>
          <t>TAYFUN ÇELİK</t>
        </is>
      </c>
      <c r="D324" s="7" t="n">
        <v>124.78</v>
      </c>
      <c r="E324" s="4" t="inlineStr">
        <is>
          <t>31.05.2021</t>
        </is>
      </c>
      <c r="F324" s="4" t="inlineStr"/>
      <c r="G324" s="7" t="n">
        <v>31928.36</v>
      </c>
      <c r="H324" s="7" t="n">
        <v>10100.83</v>
      </c>
      <c r="I324" s="7" t="n">
        <v>7902.54</v>
      </c>
      <c r="J324" s="7" t="n">
        <v>42029.19</v>
      </c>
      <c r="K324" s="7" t="n">
        <v>7902.54</v>
      </c>
      <c r="L324" s="7" t="n">
        <v>34126.65</v>
      </c>
      <c r="M324" s="4" t="n">
        <v>29</v>
      </c>
      <c r="N324" s="7" t="n">
        <v>42029.19</v>
      </c>
      <c r="O324" s="4" t="inlineStr">
        <is>
          <t>16322</t>
        </is>
      </c>
      <c r="P324" s="4" t="inlineStr">
        <is>
          <t>7514.01</t>
        </is>
      </c>
    </row>
    <row r="325">
      <c r="A325" s="4" t="inlineStr">
        <is>
          <t>324</t>
        </is>
      </c>
      <c r="B325" s="5" t="inlineStr">
        <is>
          <t>32986036254</t>
        </is>
      </c>
      <c r="C325" s="29" t="inlineStr">
        <is>
          <t>FATMA ÇAM</t>
        </is>
      </c>
      <c r="D325" s="7" t="n">
        <v>30185</v>
      </c>
      <c r="E325" s="4" t="inlineStr">
        <is>
          <t>10.10.2025</t>
        </is>
      </c>
      <c r="F325" s="4" t="inlineStr"/>
      <c r="G325" s="7" t="n">
        <v>4350.99</v>
      </c>
      <c r="H325" s="7" t="n">
        <v>0</v>
      </c>
      <c r="I325" s="7" t="n">
        <v>326.32</v>
      </c>
      <c r="J325" s="7" t="n">
        <v>4350.99</v>
      </c>
      <c r="K325" s="7" t="n">
        <v>326.32</v>
      </c>
      <c r="L325" s="7" t="n">
        <v>4024.67</v>
      </c>
      <c r="M325" s="4" t="n">
        <v>4</v>
      </c>
      <c r="N325" s="7" t="n">
        <v>4404</v>
      </c>
      <c r="O325" s="4" t="inlineStr">
        <is>
          <t>00000</t>
        </is>
      </c>
      <c r="P325" s="4" t="inlineStr">
        <is>
          <t>7514.01</t>
        </is>
      </c>
    </row>
    <row r="326">
      <c r="A326" s="4" t="inlineStr">
        <is>
          <t>325</t>
        </is>
      </c>
      <c r="B326" s="5" t="inlineStr">
        <is>
          <t>33037193346</t>
        </is>
      </c>
      <c r="C326" s="29" t="inlineStr">
        <is>
          <t>ÖMÜR SEPETÇİ</t>
        </is>
      </c>
      <c r="D326" s="7" t="n">
        <v>146.6</v>
      </c>
      <c r="E326" s="4" t="inlineStr">
        <is>
          <t>17.08.2026</t>
        </is>
      </c>
      <c r="F326" s="4" t="inlineStr"/>
      <c r="G326" s="7" t="n">
        <v>19402.94</v>
      </c>
      <c r="H326" s="7" t="n">
        <v>172.47</v>
      </c>
      <c r="I326" s="7" t="n">
        <v>3523.31</v>
      </c>
      <c r="J326" s="7" t="n">
        <v>19575.41</v>
      </c>
      <c r="K326" s="7" t="n">
        <v>3523.31</v>
      </c>
      <c r="L326" s="7" t="n">
        <v>16052.1</v>
      </c>
      <c r="M326" s="4" t="n">
        <v>15</v>
      </c>
      <c r="N326" s="7" t="n">
        <v>19575.41</v>
      </c>
      <c r="O326" s="4" t="inlineStr">
        <is>
          <t>05510</t>
        </is>
      </c>
      <c r="P326" s="4" t="inlineStr">
        <is>
          <t>7514.01</t>
        </is>
      </c>
    </row>
    <row r="327">
      <c r="A327" s="4" t="inlineStr">
        <is>
          <t>326</t>
        </is>
      </c>
      <c r="B327" s="5" t="inlineStr">
        <is>
          <t>33040069454</t>
        </is>
      </c>
      <c r="C327" s="29" t="inlineStr">
        <is>
          <t>AYŞE ÇÇAKICI</t>
        </is>
      </c>
      <c r="D327" s="7" t="n">
        <v>30185</v>
      </c>
      <c r="E327" s="4" t="inlineStr">
        <is>
          <t>21.08.2025</t>
        </is>
      </c>
      <c r="F327" s="4" t="inlineStr"/>
      <c r="G327" s="7" t="n">
        <v>0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4" t="n">
        <v>0</v>
      </c>
      <c r="N327" s="7" t="n">
        <v>0</v>
      </c>
      <c r="O327" s="4" t="inlineStr">
        <is>
          <t>00000</t>
        </is>
      </c>
      <c r="P327" s="4" t="inlineStr">
        <is>
          <t>7514.01</t>
        </is>
      </c>
    </row>
    <row r="328">
      <c r="A328" s="4" t="inlineStr">
        <is>
          <t>327</t>
        </is>
      </c>
      <c r="B328" s="5" t="inlineStr">
        <is>
          <t>33067084584</t>
        </is>
      </c>
      <c r="C328" s="29" t="inlineStr">
        <is>
          <t>KEMAL DURMUŞ</t>
        </is>
      </c>
      <c r="D328" s="7" t="n">
        <v>30185</v>
      </c>
      <c r="E328" s="4" t="inlineStr">
        <is>
          <t>28.04.2023</t>
        </is>
      </c>
      <c r="F328" s="4" t="inlineStr"/>
      <c r="G328" s="7" t="n">
        <v>4350.99</v>
      </c>
      <c r="H328" s="7" t="n">
        <v>0</v>
      </c>
      <c r="I328" s="7" t="n">
        <v>326.32</v>
      </c>
      <c r="J328" s="7" t="n">
        <v>4350.99</v>
      </c>
      <c r="K328" s="7" t="n">
        <v>326.32</v>
      </c>
      <c r="L328" s="7" t="n">
        <v>4024.67</v>
      </c>
      <c r="M328" s="4" t="n">
        <v>4</v>
      </c>
      <c r="N328" s="7" t="n">
        <v>4404</v>
      </c>
      <c r="O328" s="4" t="inlineStr">
        <is>
          <t>00000</t>
        </is>
      </c>
      <c r="P328" s="4" t="inlineStr">
        <is>
          <t>7514.01</t>
        </is>
      </c>
    </row>
    <row r="329">
      <c r="A329" s="4" t="inlineStr">
        <is>
          <t>328</t>
        </is>
      </c>
      <c r="B329" s="5" t="inlineStr">
        <is>
          <t>33103190842</t>
        </is>
      </c>
      <c r="C329" s="29" t="inlineStr">
        <is>
          <t>AYŞE BEYRİ</t>
        </is>
      </c>
      <c r="D329" s="7" t="n">
        <v>146.6</v>
      </c>
      <c r="E329" s="4" t="inlineStr">
        <is>
          <t>23.07.2026</t>
        </is>
      </c>
      <c r="F329" s="4" t="inlineStr"/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4" t="n">
        <v>0</v>
      </c>
      <c r="N329" s="7" t="n">
        <v>0</v>
      </c>
      <c r="O329" s="4" t="inlineStr">
        <is>
          <t>05510</t>
        </is>
      </c>
      <c r="P329" s="4" t="inlineStr">
        <is>
          <t>7514.01</t>
        </is>
      </c>
    </row>
    <row r="330">
      <c r="A330" s="4" t="inlineStr">
        <is>
          <t>329</t>
        </is>
      </c>
      <c r="B330" s="5" t="inlineStr">
        <is>
          <t>33124024560</t>
        </is>
      </c>
      <c r="C330" s="29" t="inlineStr">
        <is>
          <t>MÜZEYYEN ERDİNÇ</t>
        </is>
      </c>
      <c r="D330" s="7" t="n">
        <v>30185</v>
      </c>
      <c r="E330" s="4" t="inlineStr">
        <is>
          <t>13.01.2025</t>
        </is>
      </c>
      <c r="F330" s="4" t="inlineStr"/>
      <c r="G330" s="7" t="n">
        <v>4350.99</v>
      </c>
      <c r="H330" s="7" t="n">
        <v>0</v>
      </c>
      <c r="I330" s="7" t="n">
        <v>326.32</v>
      </c>
      <c r="J330" s="7" t="n">
        <v>4350.99</v>
      </c>
      <c r="K330" s="7" t="n">
        <v>326.32</v>
      </c>
      <c r="L330" s="7" t="n">
        <v>4024.67</v>
      </c>
      <c r="M330" s="4" t="n">
        <v>4</v>
      </c>
      <c r="N330" s="7" t="n">
        <v>4404</v>
      </c>
      <c r="O330" s="4" t="inlineStr">
        <is>
          <t>00000</t>
        </is>
      </c>
      <c r="P330" s="4" t="inlineStr">
        <is>
          <t>7514.01</t>
        </is>
      </c>
    </row>
    <row r="331">
      <c r="A331" s="4" t="inlineStr">
        <is>
          <t>330</t>
        </is>
      </c>
      <c r="B331" s="5" t="inlineStr">
        <is>
          <t>33128251634</t>
        </is>
      </c>
      <c r="C331" s="29" t="inlineStr">
        <is>
          <t>TUGAY YILAN</t>
        </is>
      </c>
      <c r="D331" s="7" t="n">
        <v>33030</v>
      </c>
      <c r="E331" s="4" t="inlineStr">
        <is>
          <t>06.01.2026</t>
        </is>
      </c>
      <c r="F331" s="4" t="inlineStr"/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4" t="n">
        <v>0</v>
      </c>
      <c r="N331" s="7" t="n">
        <v>0</v>
      </c>
      <c r="O331" s="4" t="inlineStr">
        <is>
          <t>05510</t>
        </is>
      </c>
      <c r="P331" s="4" t="inlineStr">
        <is>
          <t>4311.05</t>
        </is>
      </c>
    </row>
    <row r="332">
      <c r="A332" s="4" t="inlineStr">
        <is>
          <t>331</t>
        </is>
      </c>
      <c r="B332" s="5" t="inlineStr">
        <is>
          <t>33154180038</t>
        </is>
      </c>
      <c r="C332" s="29" t="inlineStr">
        <is>
          <t>CEMALETTİN BEDİZCİ</t>
        </is>
      </c>
      <c r="D332" s="7" t="n">
        <v>30185</v>
      </c>
      <c r="E332" s="4" t="inlineStr">
        <is>
          <t>15.08.2025</t>
        </is>
      </c>
      <c r="F332" s="4" t="inlineStr"/>
      <c r="G332" s="7" t="n">
        <v>4350.99</v>
      </c>
      <c r="H332" s="7" t="n">
        <v>0</v>
      </c>
      <c r="I332" s="7" t="n">
        <v>326.32</v>
      </c>
      <c r="J332" s="7" t="n">
        <v>4350.99</v>
      </c>
      <c r="K332" s="7" t="n">
        <v>326.32</v>
      </c>
      <c r="L332" s="7" t="n">
        <v>4024.67</v>
      </c>
      <c r="M332" s="4" t="n">
        <v>4</v>
      </c>
      <c r="N332" s="7" t="n">
        <v>4404</v>
      </c>
      <c r="O332" s="4" t="inlineStr">
        <is>
          <t>00000</t>
        </is>
      </c>
      <c r="P332" s="4" t="inlineStr">
        <is>
          <t>1213.20</t>
        </is>
      </c>
    </row>
    <row r="333">
      <c r="A333" s="4" t="inlineStr">
        <is>
          <t>332</t>
        </is>
      </c>
      <c r="B333" s="5" t="inlineStr">
        <is>
          <t>33211034366</t>
        </is>
      </c>
      <c r="C333" s="29" t="inlineStr">
        <is>
          <t>GÜLER ÇAPKIN</t>
        </is>
      </c>
      <c r="D333" s="7" t="n">
        <v>146.6</v>
      </c>
      <c r="E333" s="4" t="inlineStr">
        <is>
          <t>10.02.2026</t>
        </is>
      </c>
      <c r="F333" s="4" t="inlineStr"/>
      <c r="G333" s="7" t="n">
        <v>23283.53</v>
      </c>
      <c r="H333" s="7" t="n">
        <v>517.41</v>
      </c>
      <c r="I333" s="7" t="n">
        <v>3570.14</v>
      </c>
      <c r="J333" s="7" t="n">
        <v>23800.94</v>
      </c>
      <c r="K333" s="7" t="n">
        <v>3570.14</v>
      </c>
      <c r="L333" s="7" t="n">
        <v>20230.8</v>
      </c>
      <c r="M333" s="4" t="n">
        <v>18</v>
      </c>
      <c r="N333" s="7" t="n">
        <v>23800.94</v>
      </c>
      <c r="O333" s="4" t="inlineStr">
        <is>
          <t>05510</t>
        </is>
      </c>
      <c r="P333" s="4" t="inlineStr">
        <is>
          <t>7514.01</t>
        </is>
      </c>
    </row>
    <row r="334">
      <c r="A334" s="4" t="inlineStr">
        <is>
          <t>333</t>
        </is>
      </c>
      <c r="B334" s="5" t="inlineStr">
        <is>
          <t>33253033204</t>
        </is>
      </c>
      <c r="C334" s="29" t="inlineStr">
        <is>
          <t>AYŞE KURT</t>
        </is>
      </c>
      <c r="D334" s="7" t="n">
        <v>124.78</v>
      </c>
      <c r="E334" s="4" t="inlineStr">
        <is>
          <t>03.12.2021</t>
        </is>
      </c>
      <c r="F334" s="4" t="inlineStr"/>
      <c r="G334" s="7" t="n">
        <v>31929</v>
      </c>
      <c r="H334" s="7" t="n">
        <v>1286.57</v>
      </c>
      <c r="I334" s="7" t="n">
        <v>5015.29</v>
      </c>
      <c r="J334" s="7" t="n">
        <v>33215.57</v>
      </c>
      <c r="K334" s="7" t="n">
        <v>5015.29</v>
      </c>
      <c r="L334" s="7" t="n">
        <v>28200.28</v>
      </c>
      <c r="M334" s="4" t="n">
        <v>29</v>
      </c>
      <c r="N334" s="7" t="n">
        <v>33215.57</v>
      </c>
      <c r="O334" s="4" t="inlineStr">
        <is>
          <t>16322</t>
        </is>
      </c>
      <c r="P334" s="4" t="inlineStr">
        <is>
          <t>7514.01</t>
        </is>
      </c>
    </row>
    <row r="335">
      <c r="A335" s="4" t="inlineStr">
        <is>
          <t>334</t>
        </is>
      </c>
      <c r="B335" s="5" t="inlineStr">
        <is>
          <t>33289026430</t>
        </is>
      </c>
      <c r="C335" s="29" t="inlineStr">
        <is>
          <t>HÜLYA TOPAL</t>
        </is>
      </c>
      <c r="D335" s="7" t="n">
        <v>30185</v>
      </c>
      <c r="E335" s="4" t="inlineStr">
        <is>
          <t>01.09.2025</t>
        </is>
      </c>
      <c r="F335" s="4" t="inlineStr"/>
      <c r="G335" s="7" t="n">
        <v>4350.99</v>
      </c>
      <c r="H335" s="7" t="n">
        <v>0</v>
      </c>
      <c r="I335" s="7" t="n">
        <v>326.32</v>
      </c>
      <c r="J335" s="7" t="n">
        <v>4350.99</v>
      </c>
      <c r="K335" s="7" t="n">
        <v>326.32</v>
      </c>
      <c r="L335" s="7" t="n">
        <v>4024.67</v>
      </c>
      <c r="M335" s="4" t="n">
        <v>4</v>
      </c>
      <c r="N335" s="7" t="n">
        <v>4404</v>
      </c>
      <c r="O335" s="4" t="inlineStr">
        <is>
          <t>00000</t>
        </is>
      </c>
      <c r="P335" s="4" t="inlineStr">
        <is>
          <t>7514.01</t>
        </is>
      </c>
    </row>
    <row r="336">
      <c r="A336" s="4" t="inlineStr">
        <is>
          <t>335</t>
        </is>
      </c>
      <c r="B336" s="5" t="inlineStr">
        <is>
          <t>33316051664</t>
        </is>
      </c>
      <c r="C336" s="29" t="inlineStr">
        <is>
          <t>BİLGİNUR SÜMER</t>
        </is>
      </c>
      <c r="D336" s="7" t="n">
        <v>146.6</v>
      </c>
      <c r="E336" s="4" t="inlineStr">
        <is>
          <t>12.08.2026</t>
        </is>
      </c>
      <c r="F336" s="4" t="inlineStr"/>
      <c r="G336" s="7" t="n">
        <v>19402.94</v>
      </c>
      <c r="H336" s="7" t="n">
        <v>344.94</v>
      </c>
      <c r="I336" s="7" t="n">
        <v>2962.18</v>
      </c>
      <c r="J336" s="7" t="n">
        <v>19747.88</v>
      </c>
      <c r="K336" s="7" t="n">
        <v>2962.18</v>
      </c>
      <c r="L336" s="7" t="n">
        <v>16785.7</v>
      </c>
      <c r="M336" s="4" t="n">
        <v>15</v>
      </c>
      <c r="N336" s="7" t="n">
        <v>19747.88</v>
      </c>
      <c r="O336" s="4" t="inlineStr">
        <is>
          <t>05510</t>
        </is>
      </c>
      <c r="P336" s="4" t="inlineStr">
        <is>
          <t>7514.01</t>
        </is>
      </c>
    </row>
    <row r="337">
      <c r="A337" s="4" t="inlineStr">
        <is>
          <t>336</t>
        </is>
      </c>
      <c r="B337" s="5" t="inlineStr">
        <is>
          <t>33379057108</t>
        </is>
      </c>
      <c r="C337" s="29" t="inlineStr">
        <is>
          <t>GÜLAY GÜNDOĞDU</t>
        </is>
      </c>
      <c r="D337" s="7" t="n">
        <v>146.6</v>
      </c>
      <c r="E337" s="4" t="inlineStr">
        <is>
          <t>27.07.2025</t>
        </is>
      </c>
      <c r="F337" s="4" t="inlineStr"/>
      <c r="G337" s="7" t="n">
        <v>31044.71</v>
      </c>
      <c r="H337" s="7" t="n">
        <v>517.41</v>
      </c>
      <c r="I337" s="7" t="n">
        <v>4734.32</v>
      </c>
      <c r="J337" s="7" t="n">
        <v>31562.12</v>
      </c>
      <c r="K337" s="7" t="n">
        <v>4734.32</v>
      </c>
      <c r="L337" s="7" t="n">
        <v>26827.8</v>
      </c>
      <c r="M337" s="4" t="n">
        <v>24</v>
      </c>
      <c r="N337" s="7" t="n">
        <v>31562.12</v>
      </c>
      <c r="O337" s="4" t="inlineStr">
        <is>
          <t>05510</t>
        </is>
      </c>
      <c r="P337" s="4" t="inlineStr">
        <is>
          <t>7514.01</t>
        </is>
      </c>
    </row>
    <row r="338">
      <c r="A338" s="4" t="inlineStr">
        <is>
          <t>337</t>
        </is>
      </c>
      <c r="B338" s="5" t="inlineStr">
        <is>
          <t>33397029286</t>
        </is>
      </c>
      <c r="C338" s="29" t="inlineStr">
        <is>
          <t>KÜBÜŞRA ALTAY</t>
        </is>
      </c>
      <c r="D338" s="7" t="n">
        <v>133.33</v>
      </c>
      <c r="E338" s="4" t="inlineStr">
        <is>
          <t>03.08.2026</t>
        </is>
      </c>
      <c r="F338" s="4" t="inlineStr"/>
      <c r="G338" s="7" t="n">
        <v>34322.16</v>
      </c>
      <c r="H338" s="7" t="n">
        <v>279.75</v>
      </c>
      <c r="I338" s="7" t="n">
        <v>5402.63</v>
      </c>
      <c r="J338" s="7" t="n">
        <v>34601.9</v>
      </c>
      <c r="K338" s="7" t="n">
        <v>5402.63</v>
      </c>
      <c r="L338" s="7" t="n">
        <v>29199.27</v>
      </c>
      <c r="M338" s="4" t="n">
        <v>29</v>
      </c>
      <c r="N338" s="7" t="n">
        <v>34601.9</v>
      </c>
      <c r="O338" s="4" t="inlineStr">
        <is>
          <t>05510</t>
        </is>
      </c>
      <c r="P338" s="4" t="inlineStr">
        <is>
          <t>3323.03</t>
        </is>
      </c>
    </row>
    <row r="339">
      <c r="A339" s="4" t="inlineStr">
        <is>
          <t>338</t>
        </is>
      </c>
      <c r="B339" s="5" t="inlineStr">
        <is>
          <t>33451458564</t>
        </is>
      </c>
      <c r="C339" s="29" t="inlineStr">
        <is>
          <t>SELMATA ANIK</t>
        </is>
      </c>
      <c r="D339" s="7" t="n">
        <v>124.68</v>
      </c>
      <c r="E339" s="4" t="inlineStr">
        <is>
          <t>15.07.2026</t>
        </is>
      </c>
      <c r="F339" s="4" t="inlineStr"/>
      <c r="G339" s="7" t="n">
        <v>27502.94</v>
      </c>
      <c r="H339" s="7" t="n">
        <v>28603.53</v>
      </c>
      <c r="I339" s="7" t="n">
        <v>11533.37</v>
      </c>
      <c r="J339" s="7" t="n">
        <v>56106.47</v>
      </c>
      <c r="K339" s="7" t="n">
        <v>11533.37</v>
      </c>
      <c r="L339" s="7" t="n">
        <v>44573.1</v>
      </c>
      <c r="M339" s="4" t="n">
        <v>25</v>
      </c>
      <c r="N339" s="7" t="n">
        <v>56106.47</v>
      </c>
      <c r="O339" s="4" t="inlineStr">
        <is>
          <t>05510</t>
        </is>
      </c>
      <c r="P339" s="4" t="inlineStr">
        <is>
          <t>7514.01</t>
        </is>
      </c>
    </row>
    <row r="340">
      <c r="A340" s="4" t="inlineStr">
        <is>
          <t>339</t>
        </is>
      </c>
      <c r="B340" s="5" t="inlineStr">
        <is>
          <t>33640164108</t>
        </is>
      </c>
      <c r="C340" s="29" t="inlineStr">
        <is>
          <t>SAMET YUMİTKAN</t>
        </is>
      </c>
      <c r="D340" s="7" t="n">
        <v>124.78</v>
      </c>
      <c r="E340" s="4" t="inlineStr">
        <is>
          <t>01.07.2026</t>
        </is>
      </c>
      <c r="F340" s="4" t="inlineStr"/>
      <c r="G340" s="7" t="n">
        <v>29727</v>
      </c>
      <c r="H340" s="7" t="n">
        <v>17004.35</v>
      </c>
      <c r="I340" s="7" t="n">
        <v>10261.62</v>
      </c>
      <c r="J340" s="7" t="n">
        <v>46731.35</v>
      </c>
      <c r="K340" s="7" t="n">
        <v>10261.62</v>
      </c>
      <c r="L340" s="7" t="n">
        <v>36469.73</v>
      </c>
      <c r="M340" s="4" t="n">
        <v>27</v>
      </c>
      <c r="N340" s="7" t="n">
        <v>46731.35</v>
      </c>
      <c r="O340" s="4" t="inlineStr">
        <is>
          <t>05510</t>
        </is>
      </c>
      <c r="P340" s="4" t="inlineStr">
        <is>
          <t>7514.01</t>
        </is>
      </c>
    </row>
    <row r="341">
      <c r="A341" s="4" t="inlineStr">
        <is>
          <t>340</t>
        </is>
      </c>
      <c r="B341" s="5" t="inlineStr">
        <is>
          <t>33641052206</t>
        </is>
      </c>
      <c r="C341" s="29" t="inlineStr">
        <is>
          <t>SEVDA AKKOYUN</t>
        </is>
      </c>
      <c r="D341" s="7" t="n">
        <v>124.78</v>
      </c>
      <c r="E341" s="4" t="inlineStr">
        <is>
          <t>01.07.2026</t>
        </is>
      </c>
      <c r="F341" s="4" t="inlineStr"/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4" t="n">
        <v>0</v>
      </c>
      <c r="N341" s="7" t="n">
        <v>0</v>
      </c>
      <c r="O341" s="4" t="inlineStr">
        <is>
          <t>05510</t>
        </is>
      </c>
      <c r="P341" s="4" t="inlineStr">
        <is>
          <t>7514.01</t>
        </is>
      </c>
    </row>
    <row r="342">
      <c r="A342" s="4" t="inlineStr">
        <is>
          <t>341</t>
        </is>
      </c>
      <c r="B342" s="5" t="inlineStr">
        <is>
          <t>33739783340</t>
        </is>
      </c>
      <c r="C342" s="29" t="inlineStr">
        <is>
          <t>GURBET DUMAN</t>
        </is>
      </c>
      <c r="D342" s="7" t="n">
        <v>146.6</v>
      </c>
      <c r="E342" s="4" t="inlineStr">
        <is>
          <t>10.02.2026</t>
        </is>
      </c>
      <c r="F342" s="4" t="inlineStr"/>
      <c r="G342" s="7" t="n">
        <v>19402.94</v>
      </c>
      <c r="H342" s="7" t="n">
        <v>431.18</v>
      </c>
      <c r="I342" s="7" t="n">
        <v>3570.12</v>
      </c>
      <c r="J342" s="7" t="n">
        <v>19834.12</v>
      </c>
      <c r="K342" s="7" t="n">
        <v>3570.12</v>
      </c>
      <c r="L342" s="7" t="n">
        <v>16264</v>
      </c>
      <c r="M342" s="4" t="n">
        <v>15</v>
      </c>
      <c r="N342" s="7" t="n">
        <v>19834.12</v>
      </c>
      <c r="O342" s="4" t="inlineStr">
        <is>
          <t>05510</t>
        </is>
      </c>
      <c r="P342" s="4" t="inlineStr">
        <is>
          <t>7514.01</t>
        </is>
      </c>
    </row>
    <row r="343">
      <c r="A343" s="4" t="inlineStr">
        <is>
          <t>342</t>
        </is>
      </c>
      <c r="B343" s="5" t="inlineStr">
        <is>
          <t>33742169780</t>
        </is>
      </c>
      <c r="C343" s="29" t="inlineStr">
        <is>
          <t>ZEYNEP KURT</t>
        </is>
      </c>
      <c r="D343" s="7" t="n">
        <v>146.6</v>
      </c>
      <c r="E343" s="4" t="inlineStr">
        <is>
          <t>10.02.2026</t>
        </is>
      </c>
      <c r="F343" s="4" t="inlineStr"/>
      <c r="G343" s="7" t="n">
        <v>30179.8</v>
      </c>
      <c r="H343" s="7" t="n">
        <v>15447.37</v>
      </c>
      <c r="I343" s="7" t="n">
        <v>9930.07</v>
      </c>
      <c r="J343" s="7" t="n">
        <v>45627.17</v>
      </c>
      <c r="K343" s="7" t="n">
        <v>9930.07</v>
      </c>
      <c r="L343" s="7" t="n">
        <v>35697.1</v>
      </c>
      <c r="M343" s="4" t="n">
        <v>23</v>
      </c>
      <c r="N343" s="7" t="n">
        <v>45627.17</v>
      </c>
      <c r="O343" s="4" t="inlineStr">
        <is>
          <t>05510</t>
        </is>
      </c>
      <c r="P343" s="4" t="inlineStr">
        <is>
          <t>7514.01</t>
        </is>
      </c>
    </row>
    <row r="344">
      <c r="A344" s="4" t="inlineStr">
        <is>
          <t>343</t>
        </is>
      </c>
      <c r="B344" s="5" t="inlineStr">
        <is>
          <t>33850041688</t>
        </is>
      </c>
      <c r="C344" s="29" t="inlineStr">
        <is>
          <t>HATİCE SAVAŞCI</t>
        </is>
      </c>
      <c r="D344" s="7" t="n">
        <v>146.6</v>
      </c>
      <c r="E344" s="4" t="inlineStr">
        <is>
          <t>03.12.2025</t>
        </is>
      </c>
      <c r="F344" s="4" t="inlineStr"/>
      <c r="G344" s="7" t="n">
        <v>33637.19</v>
      </c>
      <c r="H344" s="7" t="n">
        <v>609.09</v>
      </c>
      <c r="I344" s="7" t="n">
        <v>5146.17</v>
      </c>
      <c r="J344" s="7" t="n">
        <v>34246.27</v>
      </c>
      <c r="K344" s="7" t="n">
        <v>5146.17</v>
      </c>
      <c r="L344" s="7" t="n">
        <v>29100.1</v>
      </c>
      <c r="M344" s="4" t="n">
        <v>26</v>
      </c>
      <c r="N344" s="7" t="n">
        <v>34246.27</v>
      </c>
      <c r="O344" s="4" t="inlineStr">
        <is>
          <t>05510</t>
        </is>
      </c>
      <c r="P344" s="4" t="inlineStr">
        <is>
          <t>7514.01</t>
        </is>
      </c>
    </row>
    <row r="345">
      <c r="A345" s="4" t="inlineStr">
        <is>
          <t>344</t>
        </is>
      </c>
      <c r="B345" s="5" t="inlineStr">
        <is>
          <t>33991547292</t>
        </is>
      </c>
      <c r="C345" s="29" t="inlineStr">
        <is>
          <t>ADA GÜÇLÜ</t>
        </is>
      </c>
      <c r="D345" s="7" t="n">
        <v>33030</v>
      </c>
      <c r="E345" s="4" t="inlineStr">
        <is>
          <t>12.05.2026</t>
        </is>
      </c>
      <c r="F345" s="4" t="inlineStr"/>
      <c r="G345" s="7" t="n">
        <v>33030</v>
      </c>
      <c r="H345" s="7" t="n">
        <v>0</v>
      </c>
      <c r="I345" s="7" t="n">
        <v>4954.5</v>
      </c>
      <c r="J345" s="7" t="n">
        <v>33030</v>
      </c>
      <c r="K345" s="7" t="n">
        <v>4954.5</v>
      </c>
      <c r="L345" s="7" t="n">
        <v>28075.5</v>
      </c>
      <c r="M345" s="4" t="n">
        <v>30</v>
      </c>
      <c r="N345" s="7" t="n">
        <v>33030</v>
      </c>
      <c r="O345" s="4" t="inlineStr">
        <is>
          <t>05510</t>
        </is>
      </c>
      <c r="P345" s="4" t="inlineStr">
        <is>
          <t>4311.05</t>
        </is>
      </c>
    </row>
    <row r="346">
      <c r="A346" s="4" t="inlineStr">
        <is>
          <t>345</t>
        </is>
      </c>
      <c r="B346" s="5" t="inlineStr">
        <is>
          <t>34120156552</t>
        </is>
      </c>
      <c r="C346" s="29" t="inlineStr">
        <is>
          <t>AYŞE YILMAZ</t>
        </is>
      </c>
      <c r="D346" s="7" t="n">
        <v>146.6</v>
      </c>
      <c r="E346" s="4" t="inlineStr">
        <is>
          <t>10.02.2026</t>
        </is>
      </c>
      <c r="F346" s="4" t="inlineStr"/>
      <c r="G346" s="7" t="n">
        <v>30250.51</v>
      </c>
      <c r="H346" s="7" t="n">
        <v>14140.04</v>
      </c>
      <c r="I346" s="7" t="n">
        <v>9573.049999999999</v>
      </c>
      <c r="J346" s="7" t="n">
        <v>44390.55</v>
      </c>
      <c r="K346" s="7" t="n">
        <v>9573.049999999999</v>
      </c>
      <c r="L346" s="7" t="n">
        <v>34817.5</v>
      </c>
      <c r="M346" s="4" t="n">
        <v>23</v>
      </c>
      <c r="N346" s="7" t="n">
        <v>44390.55</v>
      </c>
      <c r="O346" s="4" t="inlineStr">
        <is>
          <t>05510</t>
        </is>
      </c>
      <c r="P346" s="4" t="inlineStr">
        <is>
          <t>7514.01</t>
        </is>
      </c>
    </row>
    <row r="347">
      <c r="A347" s="4" t="inlineStr">
        <is>
          <t>346</t>
        </is>
      </c>
      <c r="B347" s="5" t="inlineStr">
        <is>
          <t>34486535794</t>
        </is>
      </c>
      <c r="C347" s="29" t="inlineStr">
        <is>
          <t>ZAHİDE ÖKÇE</t>
        </is>
      </c>
      <c r="D347" s="7" t="n">
        <v>124.78</v>
      </c>
      <c r="E347" s="4" t="inlineStr">
        <is>
          <t>13.08.2026</t>
        </is>
      </c>
      <c r="F347" s="4" t="inlineStr"/>
      <c r="G347" s="7" t="n">
        <v>5505</v>
      </c>
      <c r="H347" s="7" t="n">
        <v>6239</v>
      </c>
      <c r="I347" s="7" t="n">
        <v>1761.6</v>
      </c>
      <c r="J347" s="7" t="n">
        <v>11744</v>
      </c>
      <c r="K347" s="7" t="n">
        <v>1761.6</v>
      </c>
      <c r="L347" s="7" t="n">
        <v>9982.4</v>
      </c>
      <c r="M347" s="4" t="n">
        <v>5</v>
      </c>
      <c r="N347" s="7" t="n">
        <v>11744</v>
      </c>
      <c r="O347" s="4" t="inlineStr">
        <is>
          <t>05510</t>
        </is>
      </c>
      <c r="P347" s="4" t="inlineStr">
        <is>
          <t>7514.01</t>
        </is>
      </c>
    </row>
    <row r="348">
      <c r="A348" s="4" t="inlineStr">
        <is>
          <t>347</t>
        </is>
      </c>
      <c r="B348" s="5" t="inlineStr">
        <is>
          <t>34795126850</t>
        </is>
      </c>
      <c r="C348" s="29" t="inlineStr">
        <is>
          <t>ERCAN POLAT</t>
        </is>
      </c>
      <c r="D348" s="7" t="n">
        <v>155.6</v>
      </c>
      <c r="E348" s="4" t="inlineStr">
        <is>
          <t>17.08.2026</t>
        </is>
      </c>
      <c r="F348" s="4" t="inlineStr"/>
      <c r="G348" s="7" t="n">
        <v>20594.12</v>
      </c>
      <c r="H348" s="7" t="n">
        <v>1189.88</v>
      </c>
      <c r="I348" s="7" t="n">
        <v>3920.6</v>
      </c>
      <c r="J348" s="7" t="n">
        <v>21784</v>
      </c>
      <c r="K348" s="7" t="n">
        <v>3920.6</v>
      </c>
      <c r="L348" s="7" t="n">
        <v>17863.4</v>
      </c>
      <c r="M348" s="4" t="n">
        <v>15</v>
      </c>
      <c r="N348" s="7" t="n">
        <v>21784</v>
      </c>
      <c r="O348" s="4" t="inlineStr">
        <is>
          <t>05510</t>
        </is>
      </c>
      <c r="P348" s="4" t="inlineStr"/>
    </row>
    <row r="349">
      <c r="A349" s="4" t="inlineStr">
        <is>
          <t>348</t>
        </is>
      </c>
      <c r="B349" s="5" t="inlineStr">
        <is>
          <t>34796379682</t>
        </is>
      </c>
      <c r="C349" s="29" t="inlineStr">
        <is>
          <t>SILA YALÇIN</t>
        </is>
      </c>
      <c r="D349" s="7" t="n">
        <v>33030</v>
      </c>
      <c r="E349" s="4" t="inlineStr">
        <is>
          <t>09.11.2024</t>
        </is>
      </c>
      <c r="F349" s="4" t="inlineStr"/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4" t="n">
        <v>0</v>
      </c>
      <c r="N349" s="7" t="n">
        <v>0</v>
      </c>
      <c r="O349" s="4" t="inlineStr">
        <is>
          <t>05510</t>
        </is>
      </c>
      <c r="P349" s="4" t="inlineStr">
        <is>
          <t>4419.08</t>
        </is>
      </c>
    </row>
    <row r="350">
      <c r="A350" s="4" t="inlineStr">
        <is>
          <t>349</t>
        </is>
      </c>
      <c r="B350" s="5" t="inlineStr">
        <is>
          <t>34807027090</t>
        </is>
      </c>
      <c r="C350" s="29" t="inlineStr">
        <is>
          <t>SABRİ ACAR</t>
        </is>
      </c>
      <c r="D350" s="7" t="n">
        <v>30185</v>
      </c>
      <c r="E350" s="4" t="inlineStr">
        <is>
          <t>03.11.2025</t>
        </is>
      </c>
      <c r="F350" s="4" t="inlineStr"/>
      <c r="G350" s="7" t="n">
        <v>4350.99</v>
      </c>
      <c r="H350" s="7" t="n">
        <v>0</v>
      </c>
      <c r="I350" s="7" t="n">
        <v>326.32</v>
      </c>
      <c r="J350" s="7" t="n">
        <v>4350.99</v>
      </c>
      <c r="K350" s="7" t="n">
        <v>326.32</v>
      </c>
      <c r="L350" s="7" t="n">
        <v>4024.67</v>
      </c>
      <c r="M350" s="4" t="n">
        <v>4</v>
      </c>
      <c r="N350" s="7" t="n">
        <v>4404</v>
      </c>
      <c r="O350" s="4" t="inlineStr">
        <is>
          <t>00000</t>
        </is>
      </c>
      <c r="P350" s="4" t="inlineStr">
        <is>
          <t>7514.01</t>
        </is>
      </c>
    </row>
    <row r="351">
      <c r="A351" s="4" t="inlineStr">
        <is>
          <t>350</t>
        </is>
      </c>
      <c r="B351" s="5" t="inlineStr">
        <is>
          <t>34879002148</t>
        </is>
      </c>
      <c r="C351" s="29" t="inlineStr">
        <is>
          <t>GÜLAY CESUR</t>
        </is>
      </c>
      <c r="D351" s="7" t="n">
        <v>124.78</v>
      </c>
      <c r="E351" s="4" t="inlineStr">
        <is>
          <t>13.07.2026</t>
        </is>
      </c>
      <c r="F351" s="4" t="inlineStr"/>
      <c r="G351" s="7" t="n">
        <v>2202</v>
      </c>
      <c r="H351" s="7" t="n">
        <v>1247.8</v>
      </c>
      <c r="I351" s="7" t="n">
        <v>517.47</v>
      </c>
      <c r="J351" s="7" t="n">
        <v>3449.8</v>
      </c>
      <c r="K351" s="7" t="n">
        <v>517.47</v>
      </c>
      <c r="L351" s="7" t="n">
        <v>2932.33</v>
      </c>
      <c r="M351" s="4" t="n">
        <v>2</v>
      </c>
      <c r="N351" s="7" t="n">
        <v>3449.8</v>
      </c>
      <c r="O351" s="4" t="inlineStr">
        <is>
          <t>05510</t>
        </is>
      </c>
      <c r="P351" s="4" t="inlineStr">
        <is>
          <t>7514.01</t>
        </is>
      </c>
    </row>
    <row r="352">
      <c r="A352" s="4" t="inlineStr">
        <is>
          <t>351</t>
        </is>
      </c>
      <c r="B352" s="5" t="inlineStr">
        <is>
          <t>35107733100</t>
        </is>
      </c>
      <c r="C352" s="29" t="inlineStr">
        <is>
          <t>MECİT NECATİ YAĞKAN</t>
        </is>
      </c>
      <c r="D352" s="7" t="n">
        <v>30185</v>
      </c>
      <c r="E352" s="4" t="inlineStr">
        <is>
          <t>07.03.2026</t>
        </is>
      </c>
      <c r="F352" s="4" t="inlineStr"/>
      <c r="G352" s="7" t="n">
        <v>4350.99</v>
      </c>
      <c r="H352" s="7" t="n">
        <v>0</v>
      </c>
      <c r="I352" s="7" t="n">
        <v>326.32</v>
      </c>
      <c r="J352" s="7" t="n">
        <v>4350.99</v>
      </c>
      <c r="K352" s="7" t="n">
        <v>326.32</v>
      </c>
      <c r="L352" s="7" t="n">
        <v>4024.67</v>
      </c>
      <c r="M352" s="4" t="n">
        <v>4</v>
      </c>
      <c r="N352" s="7" t="n">
        <v>4404</v>
      </c>
      <c r="O352" s="4" t="inlineStr">
        <is>
          <t>00000</t>
        </is>
      </c>
      <c r="P352" s="4" t="inlineStr">
        <is>
          <t>3323.04</t>
        </is>
      </c>
    </row>
    <row r="353">
      <c r="A353" s="4" t="inlineStr">
        <is>
          <t>352</t>
        </is>
      </c>
      <c r="B353" s="5" t="inlineStr">
        <is>
          <t>35183294274</t>
        </is>
      </c>
      <c r="C353" s="29" t="inlineStr">
        <is>
          <t>FATMA DEMİRER</t>
        </is>
      </c>
      <c r="D353" s="7" t="n">
        <v>146.6</v>
      </c>
      <c r="E353" s="4" t="inlineStr">
        <is>
          <t>08.05.2026</t>
        </is>
      </c>
      <c r="F353" s="4" t="inlineStr"/>
      <c r="G353" s="7" t="n">
        <v>35283.43</v>
      </c>
      <c r="H353" s="7" t="n">
        <v>307.59</v>
      </c>
      <c r="I353" s="7" t="n">
        <v>5684.62</v>
      </c>
      <c r="J353" s="7" t="n">
        <v>35591.02</v>
      </c>
      <c r="K353" s="7" t="n">
        <v>5684.62</v>
      </c>
      <c r="L353" s="7" t="n">
        <v>29906.4</v>
      </c>
      <c r="M353" s="4" t="n">
        <v>27</v>
      </c>
      <c r="N353" s="7" t="n">
        <v>35591.02</v>
      </c>
      <c r="O353" s="4" t="inlineStr">
        <is>
          <t>05510</t>
        </is>
      </c>
      <c r="P353" s="4" t="inlineStr">
        <is>
          <t>7514.01</t>
        </is>
      </c>
    </row>
    <row r="354">
      <c r="A354" s="4" t="inlineStr">
        <is>
          <t>353</t>
        </is>
      </c>
      <c r="B354" s="5" t="inlineStr">
        <is>
          <t>35194113502</t>
        </is>
      </c>
      <c r="C354" s="29" t="inlineStr">
        <is>
          <t>SEDA ERDOĞAN</t>
        </is>
      </c>
      <c r="D354" s="7" t="n">
        <v>146.6</v>
      </c>
      <c r="E354" s="4" t="inlineStr">
        <is>
          <t>08.06.2026</t>
        </is>
      </c>
      <c r="F354" s="4" t="inlineStr">
        <is>
          <t>18.08.2026</t>
        </is>
      </c>
      <c r="G354" s="7" t="n">
        <v>9054.709999999999</v>
      </c>
      <c r="H354" s="7" t="n">
        <v>86.23999999999999</v>
      </c>
      <c r="I354" s="7" t="n">
        <v>1371.14</v>
      </c>
      <c r="J354" s="7" t="n">
        <v>9140.940000000001</v>
      </c>
      <c r="K354" s="7" t="n">
        <v>1371.14</v>
      </c>
      <c r="L354" s="7" t="n">
        <v>7769.8</v>
      </c>
      <c r="M354" s="4" t="n">
        <v>7</v>
      </c>
      <c r="N354" s="7" t="n">
        <v>9140.940000000001</v>
      </c>
      <c r="O354" s="4" t="inlineStr">
        <is>
          <t>05510</t>
        </is>
      </c>
      <c r="P354" s="4" t="inlineStr">
        <is>
          <t>7514.01</t>
        </is>
      </c>
    </row>
    <row r="355">
      <c r="A355" s="4" t="inlineStr">
        <is>
          <t>354</t>
        </is>
      </c>
      <c r="B355" s="5" t="inlineStr">
        <is>
          <t>35425113622</t>
        </is>
      </c>
      <c r="C355" s="29" t="inlineStr">
        <is>
          <t>SENEM BATTAL</t>
        </is>
      </c>
      <c r="D355" s="7" t="n">
        <v>146.6</v>
      </c>
      <c r="E355" s="4" t="inlineStr">
        <is>
          <t>08.07.2026</t>
        </is>
      </c>
      <c r="F355" s="4" t="inlineStr">
        <is>
          <t>01.08.2026</t>
        </is>
      </c>
      <c r="G355" s="7" t="n">
        <v>0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4" t="n">
        <v>0</v>
      </c>
      <c r="N355" s="7" t="n">
        <v>0</v>
      </c>
      <c r="O355" s="4" t="inlineStr">
        <is>
          <t>05510</t>
        </is>
      </c>
      <c r="P355" s="4" t="inlineStr">
        <is>
          <t>7514.01</t>
        </is>
      </c>
    </row>
    <row r="356">
      <c r="A356" s="4" t="inlineStr">
        <is>
          <t>355</t>
        </is>
      </c>
      <c r="B356" s="5" t="inlineStr">
        <is>
          <t>35500102534</t>
        </is>
      </c>
      <c r="C356" s="29" t="inlineStr">
        <is>
          <t>HATİCE BAYRAM</t>
        </is>
      </c>
      <c r="D356" s="7" t="n">
        <v>146.6</v>
      </c>
      <c r="E356" s="4" t="inlineStr">
        <is>
          <t>01.07.2026</t>
        </is>
      </c>
      <c r="F356" s="4" t="inlineStr"/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4" t="n">
        <v>0</v>
      </c>
      <c r="N356" s="7" t="n">
        <v>0</v>
      </c>
      <c r="O356" s="4" t="inlineStr">
        <is>
          <t>05510</t>
        </is>
      </c>
      <c r="P356" s="4" t="inlineStr">
        <is>
          <t>7514.01</t>
        </is>
      </c>
    </row>
    <row r="357">
      <c r="A357" s="4" t="inlineStr">
        <is>
          <t>356</t>
        </is>
      </c>
      <c r="B357" s="5" t="inlineStr">
        <is>
          <t>35581001238</t>
        </is>
      </c>
      <c r="C357" s="29" t="inlineStr">
        <is>
          <t>ERCÜMENT AYGÜL</t>
        </is>
      </c>
      <c r="D357" s="7" t="n">
        <v>160</v>
      </c>
      <c r="E357" s="4" t="inlineStr">
        <is>
          <t>03.04.2026</t>
        </is>
      </c>
      <c r="F357" s="4" t="inlineStr"/>
      <c r="G357" s="7" t="n">
        <v>35721.95</v>
      </c>
      <c r="H357" s="7" t="n">
        <v>4252.28</v>
      </c>
      <c r="I357" s="7" t="n">
        <v>6934.23</v>
      </c>
      <c r="J357" s="7" t="n">
        <v>39974.23</v>
      </c>
      <c r="K357" s="7" t="n">
        <v>15934.23</v>
      </c>
      <c r="L357" s="7" t="n">
        <v>24040</v>
      </c>
      <c r="M357" s="4" t="n">
        <v>25</v>
      </c>
      <c r="N357" s="7" t="n">
        <v>39974.23</v>
      </c>
      <c r="O357" s="4" t="inlineStr">
        <is>
          <t>16322</t>
        </is>
      </c>
      <c r="P357" s="4" t="inlineStr">
        <is>
          <t>4321.15</t>
        </is>
      </c>
    </row>
    <row r="358">
      <c r="A358" s="4" t="inlineStr">
        <is>
          <t>357</t>
        </is>
      </c>
      <c r="B358" s="5" t="inlineStr">
        <is>
          <t>36331074298</t>
        </is>
      </c>
      <c r="C358" s="29" t="inlineStr">
        <is>
          <t>MELEK CEYHAN</t>
        </is>
      </c>
      <c r="D358" s="7" t="n">
        <v>124.78</v>
      </c>
      <c r="E358" s="4" t="inlineStr">
        <is>
          <t>14.08.2026</t>
        </is>
      </c>
      <c r="F358" s="4" t="inlineStr"/>
      <c r="G358" s="7" t="n">
        <v>2202</v>
      </c>
      <c r="H358" s="7" t="n">
        <v>2495.6</v>
      </c>
      <c r="I358" s="7" t="n">
        <v>844.64</v>
      </c>
      <c r="J358" s="7" t="n">
        <v>4697.6</v>
      </c>
      <c r="K358" s="7" t="n">
        <v>844.64</v>
      </c>
      <c r="L358" s="7" t="n">
        <v>3852.96</v>
      </c>
      <c r="M358" s="4" t="n">
        <v>2</v>
      </c>
      <c r="N358" s="7" t="n">
        <v>4697.6</v>
      </c>
      <c r="O358" s="4" t="inlineStr">
        <is>
          <t>05510</t>
        </is>
      </c>
      <c r="P358" s="4" t="inlineStr">
        <is>
          <t>7514.01</t>
        </is>
      </c>
    </row>
    <row r="359">
      <c r="A359" s="4" t="inlineStr">
        <is>
          <t>358</t>
        </is>
      </c>
      <c r="B359" s="5" t="inlineStr">
        <is>
          <t>36388061296</t>
        </is>
      </c>
      <c r="C359" s="29" t="inlineStr">
        <is>
          <t>BUKET SARİBAL</t>
        </is>
      </c>
      <c r="D359" s="7" t="n">
        <v>30185</v>
      </c>
      <c r="E359" s="4" t="inlineStr">
        <is>
          <t>21.07.2026</t>
        </is>
      </c>
      <c r="F359" s="4" t="inlineStr"/>
      <c r="G359" s="7" t="n">
        <v>4350.99</v>
      </c>
      <c r="H359" s="7" t="n">
        <v>0</v>
      </c>
      <c r="I359" s="7" t="n">
        <v>326.32</v>
      </c>
      <c r="J359" s="7" t="n">
        <v>4350.99</v>
      </c>
      <c r="K359" s="7" t="n">
        <v>326.32</v>
      </c>
      <c r="L359" s="7" t="n">
        <v>4024.67</v>
      </c>
      <c r="M359" s="4" t="n">
        <v>4</v>
      </c>
      <c r="N359" s="7" t="n">
        <v>4404</v>
      </c>
      <c r="O359" s="4" t="inlineStr">
        <is>
          <t>00000</t>
        </is>
      </c>
      <c r="P359" s="4" t="inlineStr">
        <is>
          <t>7514.01</t>
        </is>
      </c>
    </row>
    <row r="360">
      <c r="A360" s="4" t="inlineStr">
        <is>
          <t>359</t>
        </is>
      </c>
      <c r="B360" s="5" t="inlineStr">
        <is>
          <t>36709680694</t>
        </is>
      </c>
      <c r="C360" s="29" t="inlineStr">
        <is>
          <t>YAĞMUR CEREN ÖZDEN</t>
        </is>
      </c>
      <c r="D360" s="7" t="n">
        <v>33030</v>
      </c>
      <c r="E360" s="4" t="inlineStr">
        <is>
          <t>13.12.2024</t>
        </is>
      </c>
      <c r="F360" s="4" t="inlineStr"/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4" t="n">
        <v>0</v>
      </c>
      <c r="N360" s="7" t="n">
        <v>0</v>
      </c>
      <c r="O360" s="4" t="inlineStr">
        <is>
          <t>05510</t>
        </is>
      </c>
      <c r="P360" s="4" t="inlineStr">
        <is>
          <t>5242.07</t>
        </is>
      </c>
    </row>
    <row r="361">
      <c r="A361" s="4" t="inlineStr">
        <is>
          <t>360</t>
        </is>
      </c>
      <c r="B361" s="5" t="inlineStr">
        <is>
          <t>36769638604</t>
        </is>
      </c>
      <c r="C361" s="29" t="inlineStr">
        <is>
          <t>MEHMET ALİ KONAKÇI</t>
        </is>
      </c>
      <c r="D361" s="7" t="n">
        <v>33030</v>
      </c>
      <c r="E361" s="4" t="inlineStr">
        <is>
          <t>01.01.2022</t>
        </is>
      </c>
      <c r="F361" s="4" t="inlineStr"/>
      <c r="G361" s="7" t="n">
        <v>0</v>
      </c>
      <c r="H361" s="7" t="n">
        <v>0</v>
      </c>
      <c r="I361" s="7" t="n">
        <v>0</v>
      </c>
      <c r="J361" s="7" t="n">
        <v>0</v>
      </c>
      <c r="K361" s="7" t="n">
        <v>0</v>
      </c>
      <c r="L361" s="7" t="n">
        <v>0</v>
      </c>
      <c r="M361" s="4" t="n">
        <v>0</v>
      </c>
      <c r="N361" s="7" t="n">
        <v>0</v>
      </c>
      <c r="O361" s="4" t="inlineStr">
        <is>
          <t>05510</t>
        </is>
      </c>
      <c r="P361" s="4" t="inlineStr">
        <is>
          <t>4323.06</t>
        </is>
      </c>
    </row>
    <row r="362">
      <c r="A362" s="4" t="inlineStr">
        <is>
          <t>361</t>
        </is>
      </c>
      <c r="B362" s="5" t="inlineStr">
        <is>
          <t>37001200856</t>
        </is>
      </c>
      <c r="C362" s="29" t="inlineStr">
        <is>
          <t>AYGÜL DOĞAN</t>
        </is>
      </c>
      <c r="D362" s="7" t="n">
        <v>124.78</v>
      </c>
      <c r="E362" s="4" t="inlineStr">
        <is>
          <t>12.08.2026</t>
        </is>
      </c>
      <c r="F362" s="4" t="inlineStr"/>
      <c r="G362" s="7" t="n">
        <v>3303</v>
      </c>
      <c r="H362" s="7" t="n">
        <v>3743.4</v>
      </c>
      <c r="I362" s="7" t="n">
        <v>1056.96</v>
      </c>
      <c r="J362" s="7" t="n">
        <v>7046.4</v>
      </c>
      <c r="K362" s="7" t="n">
        <v>1056.96</v>
      </c>
      <c r="L362" s="7" t="n">
        <v>5989.44</v>
      </c>
      <c r="M362" s="4" t="n">
        <v>3</v>
      </c>
      <c r="N362" s="7" t="n">
        <v>7046.4</v>
      </c>
      <c r="O362" s="4" t="inlineStr">
        <is>
          <t>05510</t>
        </is>
      </c>
      <c r="P362" s="4" t="inlineStr">
        <is>
          <t>7514.01</t>
        </is>
      </c>
    </row>
    <row r="363">
      <c r="A363" s="4" t="inlineStr">
        <is>
          <t>362</t>
        </is>
      </c>
      <c r="B363" s="5" t="inlineStr">
        <is>
          <t>37030668238</t>
        </is>
      </c>
      <c r="C363" s="29" t="inlineStr">
        <is>
          <t>EMİNE ŞENTÜRK CİNGÖZ</t>
        </is>
      </c>
      <c r="D363" s="7" t="n">
        <v>146.6</v>
      </c>
      <c r="E363" s="4" t="inlineStr">
        <is>
          <t>07.07.2026</t>
        </is>
      </c>
      <c r="F363" s="4" t="inlineStr"/>
      <c r="G363" s="7" t="n">
        <v>19402.94</v>
      </c>
      <c r="H363" s="7" t="n">
        <v>431.18</v>
      </c>
      <c r="I363" s="7" t="n">
        <v>3570.12</v>
      </c>
      <c r="J363" s="7" t="n">
        <v>19834.12</v>
      </c>
      <c r="K363" s="7" t="n">
        <v>3570.12</v>
      </c>
      <c r="L363" s="7" t="n">
        <v>16264</v>
      </c>
      <c r="M363" s="4" t="n">
        <v>15</v>
      </c>
      <c r="N363" s="7" t="n">
        <v>19834.12</v>
      </c>
      <c r="O363" s="4" t="inlineStr">
        <is>
          <t>05510</t>
        </is>
      </c>
      <c r="P363" s="4" t="inlineStr">
        <is>
          <t>7514.01</t>
        </is>
      </c>
    </row>
    <row r="364">
      <c r="A364" s="4" t="inlineStr">
        <is>
          <t>363</t>
        </is>
      </c>
      <c r="B364" s="5" t="inlineStr">
        <is>
          <t>37075059770</t>
        </is>
      </c>
      <c r="C364" s="29" t="inlineStr">
        <is>
          <t>ÜVEYS SEPETÇİ</t>
        </is>
      </c>
      <c r="D364" s="7" t="n">
        <v>146.6</v>
      </c>
      <c r="E364" s="4" t="inlineStr">
        <is>
          <t>17.08.2026</t>
        </is>
      </c>
      <c r="F364" s="4" t="inlineStr"/>
      <c r="G364" s="7" t="n">
        <v>16815.88</v>
      </c>
      <c r="H364" s="7" t="n">
        <v>172.47</v>
      </c>
      <c r="I364" s="7" t="n">
        <v>3057.25</v>
      </c>
      <c r="J364" s="7" t="n">
        <v>16988.35</v>
      </c>
      <c r="K364" s="7" t="n">
        <v>3057.25</v>
      </c>
      <c r="L364" s="7" t="n">
        <v>13931.1</v>
      </c>
      <c r="M364" s="4" t="n">
        <v>13</v>
      </c>
      <c r="N364" s="7" t="n">
        <v>16988.35</v>
      </c>
      <c r="O364" s="4" t="inlineStr">
        <is>
          <t>05510</t>
        </is>
      </c>
      <c r="P364" s="4" t="inlineStr">
        <is>
          <t>7514.01</t>
        </is>
      </c>
    </row>
    <row r="365">
      <c r="A365" s="4" t="inlineStr">
        <is>
          <t>364</t>
        </is>
      </c>
      <c r="B365" s="5" t="inlineStr">
        <is>
          <t>37276043530</t>
        </is>
      </c>
      <c r="C365" s="29" t="inlineStr">
        <is>
          <t>İİLKNUR KURDEŞ</t>
        </is>
      </c>
      <c r="D365" s="7" t="n">
        <v>146.6</v>
      </c>
      <c r="E365" s="4" t="inlineStr">
        <is>
          <t>01.06.2026</t>
        </is>
      </c>
      <c r="F365" s="4" t="inlineStr"/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4" t="n">
        <v>0</v>
      </c>
      <c r="N365" s="7" t="n">
        <v>0</v>
      </c>
      <c r="O365" s="4" t="inlineStr">
        <is>
          <t>05510</t>
        </is>
      </c>
      <c r="P365" s="4" t="inlineStr">
        <is>
          <t>7514.01</t>
        </is>
      </c>
    </row>
    <row r="366">
      <c r="A366" s="4" t="inlineStr">
        <is>
          <t>365</t>
        </is>
      </c>
      <c r="B366" s="5" t="inlineStr">
        <is>
          <t>37288050182</t>
        </is>
      </c>
      <c r="C366" s="29" t="inlineStr">
        <is>
          <t>MERYEM KIRAY</t>
        </is>
      </c>
      <c r="D366" s="7" t="n">
        <v>124.78</v>
      </c>
      <c r="E366" s="4" t="inlineStr">
        <is>
          <t>01.06.2026</t>
        </is>
      </c>
      <c r="F366" s="4" t="inlineStr">
        <is>
          <t>27.08.2026</t>
        </is>
      </c>
      <c r="G366" s="7" t="n">
        <v>19818</v>
      </c>
      <c r="H366" s="7" t="n">
        <v>15393.74</v>
      </c>
      <c r="I366" s="7" t="n">
        <v>6632.49</v>
      </c>
      <c r="J366" s="7" t="n">
        <v>35211.74</v>
      </c>
      <c r="K366" s="7" t="n">
        <v>6632.49</v>
      </c>
      <c r="L366" s="7" t="n">
        <v>28579.25</v>
      </c>
      <c r="M366" s="4" t="n">
        <v>18</v>
      </c>
      <c r="N366" s="7" t="n">
        <v>35211.74</v>
      </c>
      <c r="O366" s="4" t="inlineStr">
        <is>
          <t>05510</t>
        </is>
      </c>
      <c r="P366" s="4" t="inlineStr">
        <is>
          <t>7514.01</t>
        </is>
      </c>
    </row>
    <row r="367">
      <c r="A367" s="4" t="inlineStr">
        <is>
          <t>366</t>
        </is>
      </c>
      <c r="B367" s="5" t="inlineStr">
        <is>
          <t>37525041782</t>
        </is>
      </c>
      <c r="C367" s="29" t="inlineStr">
        <is>
          <t>DERYA SEVİNÇ</t>
        </is>
      </c>
      <c r="D367" s="7" t="n">
        <v>155.6</v>
      </c>
      <c r="E367" s="4" t="inlineStr">
        <is>
          <t>10.02.2026</t>
        </is>
      </c>
      <c r="F367" s="4" t="inlineStr"/>
      <c r="G367" s="7" t="n">
        <v>46680.67</v>
      </c>
      <c r="H367" s="7" t="n">
        <v>578.52</v>
      </c>
      <c r="I367" s="7" t="n">
        <v>10693.19</v>
      </c>
      <c r="J367" s="7" t="n">
        <v>47259.19</v>
      </c>
      <c r="K367" s="7" t="n">
        <v>10693.19</v>
      </c>
      <c r="L367" s="7" t="n">
        <v>36566</v>
      </c>
      <c r="M367" s="4" t="n">
        <v>30</v>
      </c>
      <c r="N367" s="7" t="n">
        <v>47259.19</v>
      </c>
      <c r="O367" s="4" t="inlineStr">
        <is>
          <t>05510</t>
        </is>
      </c>
      <c r="P367" s="4" t="inlineStr">
        <is>
          <t>3122.04</t>
        </is>
      </c>
    </row>
    <row r="368">
      <c r="A368" s="4" t="inlineStr">
        <is>
          <t>367</t>
        </is>
      </c>
      <c r="B368" s="5" t="inlineStr">
        <is>
          <t>37573316870</t>
        </is>
      </c>
      <c r="C368" s="29" t="inlineStr">
        <is>
          <t>KEZİBAN ARAS</t>
        </is>
      </c>
      <c r="D368" s="7" t="n">
        <v>124.78</v>
      </c>
      <c r="E368" s="4" t="inlineStr">
        <is>
          <t>13.07.2026</t>
        </is>
      </c>
      <c r="F368" s="4" t="inlineStr"/>
      <c r="G368" s="7" t="n">
        <v>9909</v>
      </c>
      <c r="H368" s="7" t="n">
        <v>11230.2</v>
      </c>
      <c r="I368" s="7" t="n">
        <v>3804.88</v>
      </c>
      <c r="J368" s="7" t="n">
        <v>21139.2</v>
      </c>
      <c r="K368" s="7" t="n">
        <v>3804.88</v>
      </c>
      <c r="L368" s="7" t="n">
        <v>17334.32</v>
      </c>
      <c r="M368" s="4" t="n">
        <v>9</v>
      </c>
      <c r="N368" s="7" t="n">
        <v>21139.2</v>
      </c>
      <c r="O368" s="4" t="inlineStr">
        <is>
          <t>05510</t>
        </is>
      </c>
      <c r="P368" s="4" t="inlineStr">
        <is>
          <t>7514.01</t>
        </is>
      </c>
    </row>
    <row r="369">
      <c r="A369" s="4" t="inlineStr">
        <is>
          <t>368</t>
        </is>
      </c>
      <c r="B369" s="5" t="inlineStr">
        <is>
          <t>37645040054</t>
        </is>
      </c>
      <c r="C369" s="29" t="inlineStr">
        <is>
          <t>MERT ERKUL</t>
        </is>
      </c>
      <c r="D369" s="7" t="n">
        <v>146.6</v>
      </c>
      <c r="E369" s="4" t="inlineStr">
        <is>
          <t>26.06.2026</t>
        </is>
      </c>
      <c r="F369" s="4" t="inlineStr">
        <is>
          <t>05.08.2026</t>
        </is>
      </c>
      <c r="G369" s="7" t="n">
        <v>3880.59</v>
      </c>
      <c r="H369" s="7" t="n">
        <v>0</v>
      </c>
      <c r="I369" s="7" t="n">
        <v>698.09</v>
      </c>
      <c r="J369" s="7" t="n">
        <v>3880.59</v>
      </c>
      <c r="K369" s="7" t="n">
        <v>1698.09</v>
      </c>
      <c r="L369" s="7" t="n">
        <v>2182.5</v>
      </c>
      <c r="M369" s="4" t="n">
        <v>3</v>
      </c>
      <c r="N369" s="7" t="n">
        <v>3880.59</v>
      </c>
      <c r="O369" s="4" t="inlineStr">
        <is>
          <t>05510</t>
        </is>
      </c>
      <c r="P369" s="4" t="inlineStr">
        <is>
          <t>7514.01</t>
        </is>
      </c>
    </row>
    <row r="370">
      <c r="A370" s="4" t="inlineStr">
        <is>
          <t>369</t>
        </is>
      </c>
      <c r="B370" s="5" t="inlineStr">
        <is>
          <t>37798033156</t>
        </is>
      </c>
      <c r="C370" s="29" t="inlineStr">
        <is>
          <t>FİLİZ ŞENGİL</t>
        </is>
      </c>
      <c r="D370" s="7" t="n">
        <v>146.6</v>
      </c>
      <c r="E370" s="4" t="inlineStr">
        <is>
          <t>18.04.2026</t>
        </is>
      </c>
      <c r="F370" s="4" t="inlineStr">
        <is>
          <t>01.08.2026</t>
        </is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4" t="n">
        <v>0</v>
      </c>
      <c r="N370" s="7" t="n">
        <v>0</v>
      </c>
      <c r="O370" s="4" t="inlineStr">
        <is>
          <t>05510</t>
        </is>
      </c>
      <c r="P370" s="4" t="inlineStr">
        <is>
          <t>7514.01</t>
        </is>
      </c>
    </row>
    <row r="371">
      <c r="A371" s="4" t="inlineStr">
        <is>
          <t>370</t>
        </is>
      </c>
      <c r="B371" s="5" t="inlineStr">
        <is>
          <t>38062447846</t>
        </is>
      </c>
      <c r="C371" s="29" t="inlineStr">
        <is>
          <t>MURAT ŞANLI</t>
        </is>
      </c>
      <c r="D371" s="7" t="n">
        <v>33030</v>
      </c>
      <c r="E371" s="4" t="inlineStr">
        <is>
          <t>25.08.2025</t>
        </is>
      </c>
      <c r="F371" s="4" t="inlineStr"/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4" t="n">
        <v>0</v>
      </c>
      <c r="N371" s="7" t="n">
        <v>0</v>
      </c>
      <c r="O371" s="4" t="inlineStr">
        <is>
          <t>05510</t>
        </is>
      </c>
      <c r="P371" s="4" t="inlineStr">
        <is>
          <t>1221.05</t>
        </is>
      </c>
    </row>
    <row r="372">
      <c r="A372" s="4" t="inlineStr">
        <is>
          <t>371</t>
        </is>
      </c>
      <c r="B372" s="5" t="inlineStr">
        <is>
          <t>38069130314</t>
        </is>
      </c>
      <c r="C372" s="29" t="inlineStr">
        <is>
          <t>HÜSEYİN MERİÇ</t>
        </is>
      </c>
      <c r="D372" s="7" t="n">
        <v>33030</v>
      </c>
      <c r="E372" s="4" t="inlineStr">
        <is>
          <t>16.09.2024</t>
        </is>
      </c>
      <c r="F372" s="4" t="inlineStr"/>
      <c r="G372" s="7" t="n">
        <v>33030</v>
      </c>
      <c r="H372" s="7" t="n">
        <v>0</v>
      </c>
      <c r="I372" s="7" t="n">
        <v>4954.5</v>
      </c>
      <c r="J372" s="7" t="n">
        <v>33030</v>
      </c>
      <c r="K372" s="7" t="n">
        <v>4954.5</v>
      </c>
      <c r="L372" s="7" t="n">
        <v>28075.5</v>
      </c>
      <c r="M372" s="4" t="n">
        <v>30</v>
      </c>
      <c r="N372" s="7" t="n">
        <v>33030</v>
      </c>
      <c r="O372" s="4" t="inlineStr">
        <is>
          <t>05510</t>
        </is>
      </c>
      <c r="P372" s="4" t="inlineStr">
        <is>
          <t>4419.08</t>
        </is>
      </c>
    </row>
    <row r="373">
      <c r="A373" s="4" t="inlineStr">
        <is>
          <t>372</t>
        </is>
      </c>
      <c r="B373" s="5" t="inlineStr">
        <is>
          <t>38125944220</t>
        </is>
      </c>
      <c r="C373" s="29" t="inlineStr">
        <is>
          <t>ZEKİYE ABAK</t>
        </is>
      </c>
      <c r="D373" s="7" t="n">
        <v>124.78</v>
      </c>
      <c r="E373" s="4" t="inlineStr">
        <is>
          <t>13.07.2026</t>
        </is>
      </c>
      <c r="F373" s="4" t="inlineStr"/>
      <c r="G373" s="7" t="n">
        <v>15414</v>
      </c>
      <c r="H373" s="7" t="n">
        <v>17322.4</v>
      </c>
      <c r="I373" s="7" t="n">
        <v>4910.46</v>
      </c>
      <c r="J373" s="7" t="n">
        <v>32736.4</v>
      </c>
      <c r="K373" s="7" t="n">
        <v>4910.46</v>
      </c>
      <c r="L373" s="7" t="n">
        <v>27825.94</v>
      </c>
      <c r="M373" s="4" t="n">
        <v>14</v>
      </c>
      <c r="N373" s="7" t="n">
        <v>32736.4</v>
      </c>
      <c r="O373" s="4" t="inlineStr">
        <is>
          <t>05510</t>
        </is>
      </c>
      <c r="P373" s="4" t="inlineStr">
        <is>
          <t>7514.01</t>
        </is>
      </c>
    </row>
    <row r="374">
      <c r="A374" s="4" t="inlineStr">
        <is>
          <t>373</t>
        </is>
      </c>
      <c r="B374" s="5" t="inlineStr">
        <is>
          <t>38173630304</t>
        </is>
      </c>
      <c r="C374" s="29" t="inlineStr">
        <is>
          <t>HİLAL YILDIZ</t>
        </is>
      </c>
      <c r="D374" s="7" t="n">
        <v>33030</v>
      </c>
      <c r="E374" s="4" t="inlineStr">
        <is>
          <t>01.11.2025</t>
        </is>
      </c>
      <c r="F374" s="4" t="inlineStr"/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4" t="n">
        <v>0</v>
      </c>
      <c r="N374" s="7" t="n">
        <v>0</v>
      </c>
      <c r="O374" s="4" t="inlineStr">
        <is>
          <t>05510</t>
        </is>
      </c>
      <c r="P374" s="4" t="inlineStr">
        <is>
          <t>5242.07</t>
        </is>
      </c>
    </row>
    <row r="375">
      <c r="A375" s="4" t="inlineStr">
        <is>
          <t>374</t>
        </is>
      </c>
      <c r="B375" s="5" t="inlineStr">
        <is>
          <t>38179842978</t>
        </is>
      </c>
      <c r="C375" s="29" t="inlineStr">
        <is>
          <t>ENİS KOKARGÜL</t>
        </is>
      </c>
      <c r="D375" s="7" t="n">
        <v>124.78</v>
      </c>
      <c r="E375" s="4" t="inlineStr">
        <is>
          <t>17.08.2026</t>
        </is>
      </c>
      <c r="F375" s="4" t="inlineStr"/>
      <c r="G375" s="7" t="n">
        <v>3303</v>
      </c>
      <c r="H375" s="7" t="n">
        <v>3376.4</v>
      </c>
      <c r="I375" s="7" t="n">
        <v>1201.91</v>
      </c>
      <c r="J375" s="7" t="n">
        <v>6679.4</v>
      </c>
      <c r="K375" s="7" t="n">
        <v>1201.91</v>
      </c>
      <c r="L375" s="7" t="n">
        <v>5477.49</v>
      </c>
      <c r="M375" s="4" t="n">
        <v>3</v>
      </c>
      <c r="N375" s="7" t="n">
        <v>6679.4</v>
      </c>
      <c r="O375" s="4" t="inlineStr">
        <is>
          <t>05510</t>
        </is>
      </c>
      <c r="P375" s="4" t="inlineStr">
        <is>
          <t>7514.01</t>
        </is>
      </c>
    </row>
    <row r="376">
      <c r="A376" s="4" t="inlineStr">
        <is>
          <t>375</t>
        </is>
      </c>
      <c r="B376" s="5" t="inlineStr">
        <is>
          <t>38233180558</t>
        </is>
      </c>
      <c r="C376" s="29" t="inlineStr">
        <is>
          <t>ŞAKİR KARAKAŞ</t>
        </is>
      </c>
      <c r="D376" s="7" t="n">
        <v>30185</v>
      </c>
      <c r="E376" s="4" t="inlineStr">
        <is>
          <t>01.04.2022</t>
        </is>
      </c>
      <c r="F376" s="4" t="inlineStr"/>
      <c r="G376" s="7" t="n">
        <v>4350.99</v>
      </c>
      <c r="H376" s="7" t="n">
        <v>0</v>
      </c>
      <c r="I376" s="7" t="n">
        <v>326.32</v>
      </c>
      <c r="J376" s="7" t="n">
        <v>4350.99</v>
      </c>
      <c r="K376" s="7" t="n">
        <v>326.32</v>
      </c>
      <c r="L376" s="7" t="n">
        <v>4024.67</v>
      </c>
      <c r="M376" s="4" t="n">
        <v>4</v>
      </c>
      <c r="N376" s="7" t="n">
        <v>4404</v>
      </c>
      <c r="O376" s="4" t="inlineStr">
        <is>
          <t>00000</t>
        </is>
      </c>
      <c r="P376" s="4" t="inlineStr">
        <is>
          <t>7514.01</t>
        </is>
      </c>
    </row>
    <row r="377">
      <c r="A377" s="4" t="inlineStr">
        <is>
          <t>376</t>
        </is>
      </c>
      <c r="B377" s="5" t="inlineStr">
        <is>
          <t>38240191356</t>
        </is>
      </c>
      <c r="C377" s="29" t="inlineStr">
        <is>
          <t>ŞENGÜL ALEMİN</t>
        </is>
      </c>
      <c r="D377" s="7" t="n">
        <v>124.78</v>
      </c>
      <c r="E377" s="4" t="inlineStr">
        <is>
          <t>03.07.2026</t>
        </is>
      </c>
      <c r="F377" s="4" t="inlineStr"/>
      <c r="G377" s="7" t="n">
        <v>15414</v>
      </c>
      <c r="H377" s="7" t="n">
        <v>17469.2</v>
      </c>
      <c r="I377" s="7" t="n">
        <v>4932.48</v>
      </c>
      <c r="J377" s="7" t="n">
        <v>32883.2</v>
      </c>
      <c r="K377" s="7" t="n">
        <v>4932.48</v>
      </c>
      <c r="L377" s="7" t="n">
        <v>27950.72</v>
      </c>
      <c r="M377" s="4" t="n">
        <v>14</v>
      </c>
      <c r="N377" s="7" t="n">
        <v>32883.2</v>
      </c>
      <c r="O377" s="4" t="inlineStr">
        <is>
          <t>05510</t>
        </is>
      </c>
      <c r="P377" s="4" t="inlineStr">
        <is>
          <t>7514.01</t>
        </is>
      </c>
    </row>
    <row r="378">
      <c r="A378" s="4" t="inlineStr">
        <is>
          <t>377</t>
        </is>
      </c>
      <c r="B378" s="5" t="inlineStr">
        <is>
          <t>38263019484</t>
        </is>
      </c>
      <c r="C378" s="29" t="inlineStr">
        <is>
          <t>MEHMET İNAN</t>
        </is>
      </c>
      <c r="D378" s="7" t="n">
        <v>146.6</v>
      </c>
      <c r="E378" s="4" t="inlineStr">
        <is>
          <t>10.08.2026</t>
        </is>
      </c>
      <c r="F378" s="4" t="inlineStr">
        <is>
          <t>31.08.2026</t>
        </is>
      </c>
      <c r="G378" s="7" t="n">
        <v>11641.76</v>
      </c>
      <c r="H378" s="7" t="n">
        <v>0</v>
      </c>
      <c r="I378" s="7" t="n">
        <v>2095.26</v>
      </c>
      <c r="J378" s="7" t="n">
        <v>11641.76</v>
      </c>
      <c r="K378" s="7" t="n">
        <v>2095.26</v>
      </c>
      <c r="L378" s="7" t="n">
        <v>9546.5</v>
      </c>
      <c r="M378" s="4" t="n">
        <v>9</v>
      </c>
      <c r="N378" s="7" t="n">
        <v>11641.76</v>
      </c>
      <c r="O378" s="4" t="inlineStr">
        <is>
          <t>05510</t>
        </is>
      </c>
      <c r="P378" s="4" t="inlineStr">
        <is>
          <t>7514.01</t>
        </is>
      </c>
    </row>
    <row r="379">
      <c r="A379" s="4" t="inlineStr">
        <is>
          <t>378</t>
        </is>
      </c>
      <c r="B379" s="5" t="inlineStr">
        <is>
          <t>38449011448</t>
        </is>
      </c>
      <c r="C379" s="29" t="inlineStr">
        <is>
          <t>NURAY LAÇİN</t>
        </is>
      </c>
      <c r="D379" s="7" t="n">
        <v>124.78</v>
      </c>
      <c r="E379" s="4" t="inlineStr">
        <is>
          <t>17.06.2026</t>
        </is>
      </c>
      <c r="F379" s="4" t="inlineStr"/>
      <c r="G379" s="7" t="n">
        <v>16515</v>
      </c>
      <c r="H379" s="7" t="n">
        <v>9982.4</v>
      </c>
      <c r="I379" s="7" t="n">
        <v>4768.61</v>
      </c>
      <c r="J379" s="7" t="n">
        <v>26497.4</v>
      </c>
      <c r="K379" s="7" t="n">
        <v>4768.61</v>
      </c>
      <c r="L379" s="7" t="n">
        <v>21728.79</v>
      </c>
      <c r="M379" s="4" t="n">
        <v>15</v>
      </c>
      <c r="N379" s="7" t="n">
        <v>26497.4</v>
      </c>
      <c r="O379" s="4" t="inlineStr">
        <is>
          <t>05510</t>
        </is>
      </c>
      <c r="P379" s="4" t="inlineStr">
        <is>
          <t>7514.01</t>
        </is>
      </c>
    </row>
    <row r="380">
      <c r="A380" s="4" t="inlineStr">
        <is>
          <t>379</t>
        </is>
      </c>
      <c r="B380" s="5" t="inlineStr">
        <is>
          <t>38632602156</t>
        </is>
      </c>
      <c r="C380" s="29" t="inlineStr">
        <is>
          <t>AYÇANUR ELEKÇİEL</t>
        </is>
      </c>
      <c r="D380" s="7" t="n">
        <v>124.78</v>
      </c>
      <c r="E380" s="4" t="inlineStr">
        <is>
          <t>27.07.2026</t>
        </is>
      </c>
      <c r="F380" s="4" t="inlineStr"/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4" t="n">
        <v>0</v>
      </c>
      <c r="N380" s="7" t="n">
        <v>0</v>
      </c>
      <c r="O380" s="4" t="inlineStr">
        <is>
          <t>05510</t>
        </is>
      </c>
      <c r="P380" s="4" t="inlineStr">
        <is>
          <t>7514.01</t>
        </is>
      </c>
    </row>
    <row r="381">
      <c r="A381" s="4" t="inlineStr">
        <is>
          <t>380</t>
        </is>
      </c>
      <c r="B381" s="5" t="inlineStr">
        <is>
          <t>38689036812</t>
        </is>
      </c>
      <c r="C381" s="29" t="inlineStr">
        <is>
          <t>OKAN BARDA</t>
        </is>
      </c>
      <c r="D381" s="7" t="n">
        <v>33030</v>
      </c>
      <c r="E381" s="4" t="inlineStr">
        <is>
          <t>18.12.2024</t>
        </is>
      </c>
      <c r="F381" s="4" t="inlineStr"/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4" t="n">
        <v>0</v>
      </c>
      <c r="N381" s="7" t="n">
        <v>0</v>
      </c>
      <c r="O381" s="4" t="inlineStr">
        <is>
          <t>05510</t>
        </is>
      </c>
      <c r="P381" s="4" t="inlineStr">
        <is>
          <t>4419.08</t>
        </is>
      </c>
    </row>
    <row r="382">
      <c r="A382" s="4" t="inlineStr">
        <is>
          <t>381</t>
        </is>
      </c>
      <c r="B382" s="5" t="inlineStr">
        <is>
          <t>38692925318</t>
        </is>
      </c>
      <c r="C382" s="29" t="inlineStr">
        <is>
          <t>ZERGA ÇETİK</t>
        </is>
      </c>
      <c r="D382" s="7" t="n">
        <v>146.6</v>
      </c>
      <c r="E382" s="4" t="inlineStr">
        <is>
          <t>01.05.2026</t>
        </is>
      </c>
      <c r="F382" s="4" t="inlineStr"/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4" t="n">
        <v>0</v>
      </c>
      <c r="N382" s="7" t="n">
        <v>0</v>
      </c>
      <c r="O382" s="4" t="inlineStr">
        <is>
          <t>05510</t>
        </is>
      </c>
      <c r="P382" s="4" t="inlineStr">
        <is>
          <t>7514.01</t>
        </is>
      </c>
    </row>
    <row r="383">
      <c r="A383" s="4" t="inlineStr">
        <is>
          <t>382</t>
        </is>
      </c>
      <c r="B383" s="5" t="inlineStr">
        <is>
          <t>38710924712</t>
        </is>
      </c>
      <c r="C383" s="29" t="inlineStr">
        <is>
          <t>NECLA ABİ</t>
        </is>
      </c>
      <c r="D383" s="7" t="n">
        <v>146.6</v>
      </c>
      <c r="E383" s="4" t="inlineStr">
        <is>
          <t>01.05.2026</t>
        </is>
      </c>
      <c r="F383" s="4" t="inlineStr"/>
      <c r="G383" s="7" t="n">
        <v>6467.65</v>
      </c>
      <c r="H383" s="7" t="n">
        <v>258.71</v>
      </c>
      <c r="I383" s="7" t="n">
        <v>1008.95</v>
      </c>
      <c r="J383" s="7" t="n">
        <v>6726.35</v>
      </c>
      <c r="K383" s="7" t="n">
        <v>1008.95</v>
      </c>
      <c r="L383" s="7" t="n">
        <v>5717.4</v>
      </c>
      <c r="M383" s="4" t="n">
        <v>5</v>
      </c>
      <c r="N383" s="7" t="n">
        <v>6726.35</v>
      </c>
      <c r="O383" s="4" t="inlineStr">
        <is>
          <t>05510</t>
        </is>
      </c>
      <c r="P383" s="4" t="inlineStr">
        <is>
          <t>7514.01</t>
        </is>
      </c>
    </row>
    <row r="384">
      <c r="A384" s="4" t="inlineStr">
        <is>
          <t>383</t>
        </is>
      </c>
      <c r="B384" s="5" t="inlineStr">
        <is>
          <t>38767193734</t>
        </is>
      </c>
      <c r="C384" s="29" t="inlineStr">
        <is>
          <t>MEHMET TAYAR ÇEVİK</t>
        </is>
      </c>
      <c r="D384" s="7" t="n">
        <v>33030</v>
      </c>
      <c r="E384" s="4" t="inlineStr">
        <is>
          <t>22.10.2012</t>
        </is>
      </c>
      <c r="F384" s="4" t="inlineStr"/>
      <c r="G384" s="7" t="n">
        <v>0</v>
      </c>
      <c r="H384" s="7" t="n">
        <v>0</v>
      </c>
      <c r="I384" s="7" t="n">
        <v>0</v>
      </c>
      <c r="J384" s="7" t="n">
        <v>0</v>
      </c>
      <c r="K384" s="7" t="n">
        <v>0</v>
      </c>
      <c r="L384" s="7" t="n">
        <v>0</v>
      </c>
      <c r="M384" s="4" t="n">
        <v>0</v>
      </c>
      <c r="N384" s="7" t="n">
        <v>0</v>
      </c>
      <c r="O384" s="4" t="inlineStr">
        <is>
          <t>00000</t>
        </is>
      </c>
      <c r="P384" s="4" t="inlineStr">
        <is>
          <t>9112.11</t>
        </is>
      </c>
    </row>
    <row r="385">
      <c r="A385" s="4" t="inlineStr">
        <is>
          <t>384</t>
        </is>
      </c>
      <c r="B385" s="5" t="inlineStr">
        <is>
          <t>38794482702</t>
        </is>
      </c>
      <c r="C385" s="29" t="inlineStr">
        <is>
          <t>MEHMET AKİF ŞAHİN</t>
        </is>
      </c>
      <c r="D385" s="7" t="n">
        <v>33030</v>
      </c>
      <c r="E385" s="4" t="inlineStr">
        <is>
          <t>08.02.2024</t>
        </is>
      </c>
      <c r="F385" s="4" t="inlineStr"/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4" t="n">
        <v>0</v>
      </c>
      <c r="N385" s="7" t="n">
        <v>0</v>
      </c>
      <c r="O385" s="4" t="inlineStr">
        <is>
          <t>05510</t>
        </is>
      </c>
      <c r="P385" s="4" t="inlineStr">
        <is>
          <t>1221.05</t>
        </is>
      </c>
    </row>
    <row r="386">
      <c r="A386" s="4" t="inlineStr">
        <is>
          <t>385</t>
        </is>
      </c>
      <c r="B386" s="5" t="inlineStr">
        <is>
          <t>39526677892</t>
        </is>
      </c>
      <c r="C386" s="29" t="inlineStr">
        <is>
          <t>ÖMÜR ŞAHANOĞLU</t>
        </is>
      </c>
      <c r="D386" s="7" t="n">
        <v>33030</v>
      </c>
      <c r="E386" s="4" t="inlineStr">
        <is>
          <t>02.07.2026</t>
        </is>
      </c>
      <c r="F386" s="4" t="inlineStr"/>
      <c r="G386" s="7" t="n">
        <v>0</v>
      </c>
      <c r="H386" s="7" t="n">
        <v>0</v>
      </c>
      <c r="I386" s="7" t="n">
        <v>0</v>
      </c>
      <c r="J386" s="7" t="n">
        <v>0</v>
      </c>
      <c r="K386" s="7" t="n">
        <v>0</v>
      </c>
      <c r="L386" s="7" t="n">
        <v>0</v>
      </c>
      <c r="M386" s="4" t="n">
        <v>0</v>
      </c>
      <c r="N386" s="7" t="n">
        <v>0</v>
      </c>
      <c r="O386" s="4" t="inlineStr">
        <is>
          <t>05510</t>
        </is>
      </c>
      <c r="P386" s="4" t="inlineStr">
        <is>
          <t>5242.04</t>
        </is>
      </c>
    </row>
    <row r="387">
      <c r="A387" s="4" t="inlineStr">
        <is>
          <t>386</t>
        </is>
      </c>
      <c r="B387" s="5" t="inlineStr">
        <is>
          <t>40105135368</t>
        </is>
      </c>
      <c r="C387" s="29" t="inlineStr">
        <is>
          <t>HABİBE HARMAN</t>
        </is>
      </c>
      <c r="D387" s="7" t="n">
        <v>124.78</v>
      </c>
      <c r="E387" s="4" t="inlineStr">
        <is>
          <t>23.06.2026</t>
        </is>
      </c>
      <c r="F387" s="4" t="inlineStr"/>
      <c r="G387" s="7" t="n">
        <v>5505</v>
      </c>
      <c r="H387" s="7" t="n">
        <v>7340</v>
      </c>
      <c r="I387" s="7" t="n">
        <v>1926.75</v>
      </c>
      <c r="J387" s="7" t="n">
        <v>12845</v>
      </c>
      <c r="K387" s="7" t="n">
        <v>1926.75</v>
      </c>
      <c r="L387" s="7" t="n">
        <v>10918.25</v>
      </c>
      <c r="M387" s="4" t="n">
        <v>5</v>
      </c>
      <c r="N387" s="7" t="n">
        <v>12845</v>
      </c>
      <c r="O387" s="4" t="inlineStr">
        <is>
          <t>05510</t>
        </is>
      </c>
      <c r="P387" s="4" t="inlineStr">
        <is>
          <t>7514.01</t>
        </is>
      </c>
    </row>
    <row r="388">
      <c r="A388" s="4" t="inlineStr">
        <is>
          <t>387</t>
        </is>
      </c>
      <c r="B388" s="5" t="inlineStr">
        <is>
          <t>40483844500</t>
        </is>
      </c>
      <c r="C388" s="29" t="inlineStr">
        <is>
          <t>MELİSA YILMAZ</t>
        </is>
      </c>
      <c r="D388" s="7" t="n">
        <v>124.78</v>
      </c>
      <c r="E388" s="4" t="inlineStr">
        <is>
          <t>29.06.2026</t>
        </is>
      </c>
      <c r="F388" s="4" t="inlineStr"/>
      <c r="G388" s="7" t="n">
        <v>16515</v>
      </c>
      <c r="H388" s="7" t="n">
        <v>14973.6</v>
      </c>
      <c r="I388" s="7" t="n">
        <v>5667.29</v>
      </c>
      <c r="J388" s="7" t="n">
        <v>31488.6</v>
      </c>
      <c r="K388" s="7" t="n">
        <v>11761.49</v>
      </c>
      <c r="L388" s="7" t="n">
        <v>19727.11</v>
      </c>
      <c r="M388" s="4" t="n">
        <v>15</v>
      </c>
      <c r="N388" s="7" t="n">
        <v>31488.6</v>
      </c>
      <c r="O388" s="4" t="inlineStr">
        <is>
          <t>05510</t>
        </is>
      </c>
      <c r="P388" s="4" t="inlineStr">
        <is>
          <t>7514.01</t>
        </is>
      </c>
    </row>
    <row r="389">
      <c r="A389" s="4" t="inlineStr">
        <is>
          <t>388</t>
        </is>
      </c>
      <c r="B389" s="5" t="inlineStr">
        <is>
          <t>40861640908</t>
        </is>
      </c>
      <c r="C389" s="29" t="inlineStr">
        <is>
          <t>BULUT ÜNLÜLEBLEBİCİ</t>
        </is>
      </c>
      <c r="D389" s="7" t="n">
        <v>33030</v>
      </c>
      <c r="E389" s="4" t="inlineStr">
        <is>
          <t>19.06.2026</t>
        </is>
      </c>
      <c r="F389" s="4" t="inlineStr"/>
      <c r="G389" s="7" t="n">
        <v>33030</v>
      </c>
      <c r="H389" s="7" t="n">
        <v>0</v>
      </c>
      <c r="I389" s="7" t="n">
        <v>5944.5</v>
      </c>
      <c r="J389" s="7" t="n">
        <v>33030</v>
      </c>
      <c r="K389" s="7" t="n">
        <v>5944.5</v>
      </c>
      <c r="L389" s="7" t="n">
        <v>27085.5</v>
      </c>
      <c r="M389" s="4" t="n">
        <v>30</v>
      </c>
      <c r="N389" s="7" t="n">
        <v>33030</v>
      </c>
      <c r="O389" s="4" t="inlineStr">
        <is>
          <t>05510</t>
        </is>
      </c>
      <c r="P389" s="4" t="inlineStr">
        <is>
          <t>3322.16</t>
        </is>
      </c>
    </row>
    <row r="390">
      <c r="A390" s="4" t="inlineStr">
        <is>
          <t>389</t>
        </is>
      </c>
      <c r="B390" s="5" t="inlineStr">
        <is>
          <t>41384041746</t>
        </is>
      </c>
      <c r="C390" s="29" t="inlineStr">
        <is>
          <t>BERİVAN DOĞANAY DADAŞ</t>
        </is>
      </c>
      <c r="D390" s="7" t="n">
        <v>124.78</v>
      </c>
      <c r="E390" s="4" t="inlineStr">
        <is>
          <t>19.07.2026</t>
        </is>
      </c>
      <c r="F390" s="4" t="inlineStr"/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4" t="n">
        <v>0</v>
      </c>
      <c r="N390" s="7" t="n">
        <v>0</v>
      </c>
      <c r="O390" s="4" t="inlineStr">
        <is>
          <t>05510</t>
        </is>
      </c>
      <c r="P390" s="4" t="inlineStr">
        <is>
          <t>7514.01</t>
        </is>
      </c>
    </row>
    <row r="391">
      <c r="A391" s="4" t="inlineStr">
        <is>
          <t>390</t>
        </is>
      </c>
      <c r="B391" s="5" t="inlineStr">
        <is>
          <t>41405035372</t>
        </is>
      </c>
      <c r="C391" s="29" t="inlineStr">
        <is>
          <t>LEYLA ŞİMŞEK</t>
        </is>
      </c>
      <c r="D391" s="7" t="n">
        <v>146.6</v>
      </c>
      <c r="E391" s="4" t="inlineStr">
        <is>
          <t>20.07.2026</t>
        </is>
      </c>
      <c r="F391" s="4" t="inlineStr">
        <is>
          <t>08.08.2026</t>
        </is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4" t="n">
        <v>0</v>
      </c>
      <c r="N391" s="7" t="n">
        <v>0</v>
      </c>
      <c r="O391" s="4" t="inlineStr">
        <is>
          <t>05510</t>
        </is>
      </c>
      <c r="P391" s="4" t="inlineStr">
        <is>
          <t>7514.01</t>
        </is>
      </c>
    </row>
    <row r="392">
      <c r="A392" s="4" t="inlineStr">
        <is>
          <t>391</t>
        </is>
      </c>
      <c r="B392" s="5" t="inlineStr">
        <is>
          <t>41776250350</t>
        </is>
      </c>
      <c r="C392" s="29" t="inlineStr">
        <is>
          <t>KADER ÇÇAKICI</t>
        </is>
      </c>
      <c r="D392" s="7" t="n">
        <v>124.78</v>
      </c>
      <c r="E392" s="4" t="inlineStr">
        <is>
          <t>21.07.2026</t>
        </is>
      </c>
      <c r="F392" s="4" t="inlineStr"/>
      <c r="G392" s="7" t="n">
        <v>15414</v>
      </c>
      <c r="H392" s="7" t="n">
        <v>15927.8</v>
      </c>
      <c r="I392" s="7" t="n">
        <v>5641.27</v>
      </c>
      <c r="J392" s="7" t="n">
        <v>31341.8</v>
      </c>
      <c r="K392" s="7" t="n">
        <v>5641.27</v>
      </c>
      <c r="L392" s="7" t="n">
        <v>25700.53</v>
      </c>
      <c r="M392" s="4" t="n">
        <v>14</v>
      </c>
      <c r="N392" s="7" t="n">
        <v>31341.8</v>
      </c>
      <c r="O392" s="4" t="inlineStr">
        <is>
          <t>05510</t>
        </is>
      </c>
      <c r="P392" s="4" t="inlineStr">
        <is>
          <t>7514.01</t>
        </is>
      </c>
    </row>
    <row r="393">
      <c r="A393" s="4" t="inlineStr">
        <is>
          <t>392</t>
        </is>
      </c>
      <c r="B393" s="5" t="inlineStr">
        <is>
          <t>42014033940</t>
        </is>
      </c>
      <c r="C393" s="29" t="inlineStr">
        <is>
          <t>SÇEVİKAT ÇELİK</t>
        </is>
      </c>
      <c r="D393" s="7" t="n">
        <v>124.78</v>
      </c>
      <c r="E393" s="4" t="inlineStr">
        <is>
          <t>23.06.2026</t>
        </is>
      </c>
      <c r="F393" s="4" t="inlineStr"/>
      <c r="G393" s="7" t="n">
        <v>11010</v>
      </c>
      <c r="H393" s="7" t="n">
        <v>11230.2</v>
      </c>
      <c r="I393" s="7" t="n">
        <v>4003.03</v>
      </c>
      <c r="J393" s="7" t="n">
        <v>22240.2</v>
      </c>
      <c r="K393" s="7" t="n">
        <v>4003.03</v>
      </c>
      <c r="L393" s="7" t="n">
        <v>18237.17</v>
      </c>
      <c r="M393" s="4" t="n">
        <v>10</v>
      </c>
      <c r="N393" s="7" t="n">
        <v>22240.2</v>
      </c>
      <c r="O393" s="4" t="inlineStr">
        <is>
          <t>05510</t>
        </is>
      </c>
      <c r="P393" s="4" t="inlineStr">
        <is>
          <t>7514.01</t>
        </is>
      </c>
    </row>
    <row r="394">
      <c r="A394" s="4" t="inlineStr">
        <is>
          <t>393</t>
        </is>
      </c>
      <c r="B394" s="5" t="inlineStr">
        <is>
          <t>42526141218</t>
        </is>
      </c>
      <c r="C394" s="29" t="inlineStr">
        <is>
          <t>GÜLPERİ ATMACA</t>
        </is>
      </c>
      <c r="D394" s="7" t="n">
        <v>146.6</v>
      </c>
      <c r="E394" s="4" t="inlineStr">
        <is>
          <t>28.07.2026</t>
        </is>
      </c>
      <c r="F394" s="4" t="inlineStr"/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4" t="n">
        <v>0</v>
      </c>
      <c r="N394" s="7" t="n">
        <v>0</v>
      </c>
      <c r="O394" s="4" t="inlineStr">
        <is>
          <t>05510</t>
        </is>
      </c>
      <c r="P394" s="4" t="inlineStr">
        <is>
          <t>7514.01</t>
        </is>
      </c>
    </row>
    <row r="395">
      <c r="A395" s="4" t="inlineStr">
        <is>
          <t>394</t>
        </is>
      </c>
      <c r="B395" s="5" t="inlineStr">
        <is>
          <t>42844787082</t>
        </is>
      </c>
      <c r="C395" s="29" t="inlineStr">
        <is>
          <t>İSMAİL BARAK</t>
        </is>
      </c>
      <c r="D395" s="7" t="n">
        <v>146.6</v>
      </c>
      <c r="E395" s="4" t="inlineStr">
        <is>
          <t>01.04.2026</t>
        </is>
      </c>
      <c r="F395" s="4" t="inlineStr"/>
      <c r="G395" s="7" t="n">
        <v>27164.12</v>
      </c>
      <c r="H395" s="7" t="n">
        <v>20935.61</v>
      </c>
      <c r="I395" s="7" t="n">
        <v>10692.73</v>
      </c>
      <c r="J395" s="7" t="n">
        <v>48099.73</v>
      </c>
      <c r="K395" s="7" t="n">
        <v>17942.73</v>
      </c>
      <c r="L395" s="7" t="n">
        <v>30157</v>
      </c>
      <c r="M395" s="4" t="n">
        <v>21</v>
      </c>
      <c r="N395" s="7" t="n">
        <v>48099.73</v>
      </c>
      <c r="O395" s="4" t="inlineStr">
        <is>
          <t>05510</t>
        </is>
      </c>
      <c r="P395" s="4" t="inlineStr">
        <is>
          <t>7514.01</t>
        </is>
      </c>
    </row>
    <row r="396">
      <c r="A396" s="4" t="inlineStr">
        <is>
          <t>395</t>
        </is>
      </c>
      <c r="B396" s="5" t="inlineStr">
        <is>
          <t>43804404186</t>
        </is>
      </c>
      <c r="C396" s="29" t="inlineStr">
        <is>
          <t>MURAD KONAKÇI</t>
        </is>
      </c>
      <c r="D396" s="7" t="n">
        <v>100000</v>
      </c>
      <c r="E396" s="4" t="inlineStr">
        <is>
          <t>01.01.2026</t>
        </is>
      </c>
      <c r="F396" s="4" t="inlineStr"/>
      <c r="G396" s="7" t="n">
        <v>0</v>
      </c>
      <c r="H396" s="7" t="n">
        <v>0</v>
      </c>
      <c r="I396" s="7" t="n">
        <v>0</v>
      </c>
      <c r="J396" s="7" t="n">
        <v>0</v>
      </c>
      <c r="K396" s="7" t="n">
        <v>0</v>
      </c>
      <c r="L396" s="7" t="n">
        <v>0</v>
      </c>
      <c r="M396" s="4" t="n">
        <v>0</v>
      </c>
      <c r="N396" s="7" t="n">
        <v>0</v>
      </c>
      <c r="O396" s="4" t="inlineStr">
        <is>
          <t>00000</t>
        </is>
      </c>
      <c r="P396" s="4" t="inlineStr">
        <is>
          <t>1120.47</t>
        </is>
      </c>
    </row>
    <row r="397">
      <c r="A397" s="4" t="inlineStr">
        <is>
          <t>396</t>
        </is>
      </c>
      <c r="B397" s="5" t="inlineStr">
        <is>
          <t>43807404022</t>
        </is>
      </c>
      <c r="C397" s="29" t="inlineStr">
        <is>
          <t>CEMAL KONAKÇI</t>
        </is>
      </c>
      <c r="D397" s="7" t="n">
        <v>100000</v>
      </c>
      <c r="E397" s="4" t="inlineStr">
        <is>
          <t>01.02.2026</t>
        </is>
      </c>
      <c r="F397" s="4" t="inlineStr"/>
      <c r="G397" s="7" t="n">
        <v>132142.83</v>
      </c>
      <c r="H397" s="7" t="n">
        <v>0</v>
      </c>
      <c r="I397" s="7" t="n">
        <v>32142.83</v>
      </c>
      <c r="J397" s="7" t="n">
        <v>132142.83</v>
      </c>
      <c r="K397" s="7" t="n">
        <v>32142.83</v>
      </c>
      <c r="L397" s="7" t="n">
        <v>100000</v>
      </c>
      <c r="M397" s="4" t="n">
        <v>30</v>
      </c>
      <c r="N397" s="7" t="n">
        <v>0</v>
      </c>
      <c r="O397" s="4" t="inlineStr">
        <is>
          <t>00000</t>
        </is>
      </c>
      <c r="P397" s="4" t="inlineStr">
        <is>
          <t>1120.46</t>
        </is>
      </c>
    </row>
    <row r="398">
      <c r="A398" s="4" t="inlineStr">
        <is>
          <t>397</t>
        </is>
      </c>
      <c r="B398" s="5" t="inlineStr">
        <is>
          <t>44626409038</t>
        </is>
      </c>
      <c r="C398" s="29" t="inlineStr">
        <is>
          <t>AHMET ALİ TÜRKMEN</t>
        </is>
      </c>
      <c r="D398" s="7" t="n">
        <v>124.78</v>
      </c>
      <c r="E398" s="4" t="inlineStr">
        <is>
          <t>29.06.2026</t>
        </is>
      </c>
      <c r="F398" s="4" t="inlineStr"/>
      <c r="G398" s="7" t="n">
        <v>20919</v>
      </c>
      <c r="H398" s="7" t="n">
        <v>220.2</v>
      </c>
      <c r="I398" s="7" t="n">
        <v>3804.88</v>
      </c>
      <c r="J398" s="7" t="n">
        <v>21139.2</v>
      </c>
      <c r="K398" s="7" t="n">
        <v>3804.88</v>
      </c>
      <c r="L398" s="7" t="n">
        <v>17334.32</v>
      </c>
      <c r="M398" s="4" t="n">
        <v>19</v>
      </c>
      <c r="N398" s="7" t="n">
        <v>21139.2</v>
      </c>
      <c r="O398" s="4" t="inlineStr">
        <is>
          <t>05510</t>
        </is>
      </c>
      <c r="P398" s="4" t="inlineStr">
        <is>
          <t>7514.01</t>
        </is>
      </c>
    </row>
    <row r="399">
      <c r="A399" s="4" t="inlineStr">
        <is>
          <t>398</t>
        </is>
      </c>
      <c r="B399" s="5" t="inlineStr">
        <is>
          <t>45184908278</t>
        </is>
      </c>
      <c r="C399" s="29" t="inlineStr">
        <is>
          <t>GÜLTEN DURMAZ</t>
        </is>
      </c>
      <c r="D399" s="7" t="n">
        <v>146.6</v>
      </c>
      <c r="E399" s="4" t="inlineStr">
        <is>
          <t>10.02.2026</t>
        </is>
      </c>
      <c r="F399" s="4" t="inlineStr"/>
      <c r="G399" s="7" t="n">
        <v>30028.18</v>
      </c>
      <c r="H399" s="7" t="n">
        <v>19479.06</v>
      </c>
      <c r="I399" s="7" t="n">
        <v>11098.05</v>
      </c>
      <c r="J399" s="7" t="n">
        <v>49507.25</v>
      </c>
      <c r="K399" s="7" t="n">
        <v>11098.05</v>
      </c>
      <c r="L399" s="7" t="n">
        <v>38409.2</v>
      </c>
      <c r="M399" s="4" t="n">
        <v>23</v>
      </c>
      <c r="N399" s="7" t="n">
        <v>49507.25</v>
      </c>
      <c r="O399" s="4" t="inlineStr">
        <is>
          <t>05510</t>
        </is>
      </c>
      <c r="P399" s="4" t="inlineStr">
        <is>
          <t>7514.01</t>
        </is>
      </c>
    </row>
    <row r="400">
      <c r="A400" s="4" t="inlineStr">
        <is>
          <t>399</t>
        </is>
      </c>
      <c r="B400" s="5" t="inlineStr">
        <is>
          <t>45328882280</t>
        </is>
      </c>
      <c r="C400" s="29" t="inlineStr">
        <is>
          <t>EMİNE YAVUZ</t>
        </is>
      </c>
      <c r="D400" s="7" t="n">
        <v>146.6</v>
      </c>
      <c r="E400" s="4" t="inlineStr">
        <is>
          <t>17.04.2026</t>
        </is>
      </c>
      <c r="F400" s="4" t="inlineStr"/>
      <c r="G400" s="7" t="n">
        <v>31044.71</v>
      </c>
      <c r="H400" s="7" t="n">
        <v>258.71</v>
      </c>
      <c r="I400" s="7" t="n">
        <v>4695.51</v>
      </c>
      <c r="J400" s="7" t="n">
        <v>31303.41</v>
      </c>
      <c r="K400" s="7" t="n">
        <v>4695.51</v>
      </c>
      <c r="L400" s="7" t="n">
        <v>26607.9</v>
      </c>
      <c r="M400" s="4" t="n">
        <v>24</v>
      </c>
      <c r="N400" s="7" t="n">
        <v>31303.41</v>
      </c>
      <c r="O400" s="4" t="inlineStr">
        <is>
          <t>05510</t>
        </is>
      </c>
      <c r="P400" s="4" t="inlineStr">
        <is>
          <t>7514.01</t>
        </is>
      </c>
    </row>
    <row r="401">
      <c r="A401" s="4" t="inlineStr">
        <is>
          <t>400</t>
        </is>
      </c>
      <c r="B401" s="5" t="inlineStr">
        <is>
          <t>45823635220</t>
        </is>
      </c>
      <c r="C401" s="29" t="inlineStr">
        <is>
          <t>HATİCE GÖLBAŞ</t>
        </is>
      </c>
      <c r="D401" s="7" t="n">
        <v>124.78</v>
      </c>
      <c r="E401" s="4" t="inlineStr">
        <is>
          <t>01.07.2026</t>
        </is>
      </c>
      <c r="F401" s="4" t="inlineStr"/>
      <c r="G401" s="7" t="n">
        <v>18717</v>
      </c>
      <c r="H401" s="7" t="n">
        <v>18065.6</v>
      </c>
      <c r="I401" s="7" t="n">
        <v>7127.33</v>
      </c>
      <c r="J401" s="7" t="n">
        <v>36782.6</v>
      </c>
      <c r="K401" s="7" t="n">
        <v>7127.33</v>
      </c>
      <c r="L401" s="7" t="n">
        <v>29655.27</v>
      </c>
      <c r="M401" s="4" t="n">
        <v>17</v>
      </c>
      <c r="N401" s="7" t="n">
        <v>36782.6</v>
      </c>
      <c r="O401" s="4" t="inlineStr">
        <is>
          <t>05510</t>
        </is>
      </c>
      <c r="P401" s="4" t="inlineStr">
        <is>
          <t>7514.01</t>
        </is>
      </c>
    </row>
    <row r="402">
      <c r="A402" s="4" t="inlineStr">
        <is>
          <t>401</t>
        </is>
      </c>
      <c r="B402" s="5" t="inlineStr">
        <is>
          <t>46210702518</t>
        </is>
      </c>
      <c r="C402" s="29" t="inlineStr">
        <is>
          <t>NURİYE DERMENCİOĞLU</t>
        </is>
      </c>
      <c r="D402" s="7" t="n">
        <v>124.78</v>
      </c>
      <c r="E402" s="4" t="inlineStr">
        <is>
          <t>02.06.2026</t>
        </is>
      </c>
      <c r="F402" s="4" t="inlineStr"/>
      <c r="G402" s="7" t="n">
        <v>0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4" t="n">
        <v>0</v>
      </c>
      <c r="N402" s="7" t="n">
        <v>0</v>
      </c>
      <c r="O402" s="4" t="inlineStr">
        <is>
          <t>05510</t>
        </is>
      </c>
      <c r="P402" s="4" t="inlineStr">
        <is>
          <t>7514.01</t>
        </is>
      </c>
    </row>
    <row r="403">
      <c r="A403" s="4" t="inlineStr">
        <is>
          <t>402</t>
        </is>
      </c>
      <c r="B403" s="5" t="inlineStr">
        <is>
          <t>46825626414</t>
        </is>
      </c>
      <c r="C403" s="29" t="inlineStr">
        <is>
          <t>SEMANUR GÜLIŞIK</t>
        </is>
      </c>
      <c r="D403" s="7" t="n">
        <v>151.15</v>
      </c>
      <c r="E403" s="4" t="inlineStr">
        <is>
          <t>10.02.2026</t>
        </is>
      </c>
      <c r="F403" s="4" t="inlineStr"/>
      <c r="G403" s="7" t="n">
        <v>42861</v>
      </c>
      <c r="H403" s="7" t="n">
        <v>337.18</v>
      </c>
      <c r="I403" s="7" t="n">
        <v>8962.709999999999</v>
      </c>
      <c r="J403" s="7" t="n">
        <v>43198.18</v>
      </c>
      <c r="K403" s="7" t="n">
        <v>8962.709999999999</v>
      </c>
      <c r="L403" s="7" t="n">
        <v>34235.47</v>
      </c>
      <c r="M403" s="4" t="n">
        <v>30</v>
      </c>
      <c r="N403" s="7" t="n">
        <v>43198.18</v>
      </c>
      <c r="O403" s="4" t="inlineStr">
        <is>
          <t>05510</t>
        </is>
      </c>
      <c r="P403" s="4" t="inlineStr">
        <is>
          <t>3122.04</t>
        </is>
      </c>
    </row>
    <row r="404">
      <c r="A404" s="4" t="inlineStr">
        <is>
          <t>403</t>
        </is>
      </c>
      <c r="B404" s="5" t="inlineStr">
        <is>
          <t>47420007172</t>
        </is>
      </c>
      <c r="C404" s="29" t="inlineStr">
        <is>
          <t>TERANE İBİŞ</t>
        </is>
      </c>
      <c r="D404" s="7" t="n">
        <v>146.6</v>
      </c>
      <c r="E404" s="4" t="inlineStr">
        <is>
          <t>07.07.2026</t>
        </is>
      </c>
      <c r="F404" s="4" t="inlineStr"/>
      <c r="G404" s="7" t="n">
        <v>0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4" t="n">
        <v>0</v>
      </c>
      <c r="N404" s="7" t="n">
        <v>0</v>
      </c>
      <c r="O404" s="4" t="inlineStr">
        <is>
          <t>05510</t>
        </is>
      </c>
      <c r="P404" s="4" t="inlineStr">
        <is>
          <t>7514.01</t>
        </is>
      </c>
    </row>
    <row r="405">
      <c r="A405" s="4" t="inlineStr">
        <is>
          <t>404</t>
        </is>
      </c>
      <c r="B405" s="5" t="inlineStr">
        <is>
          <t>48823585328</t>
        </is>
      </c>
      <c r="C405" s="29" t="inlineStr">
        <is>
          <t>İİLKNUR YILDIRIM</t>
        </is>
      </c>
      <c r="D405" s="7" t="n">
        <v>146.6</v>
      </c>
      <c r="E405" s="4" t="inlineStr">
        <is>
          <t>16.07.2026</t>
        </is>
      </c>
      <c r="F405" s="4" t="inlineStr"/>
      <c r="G405" s="7" t="n">
        <v>0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4" t="n">
        <v>0</v>
      </c>
      <c r="N405" s="7" t="n">
        <v>0</v>
      </c>
      <c r="O405" s="4" t="inlineStr">
        <is>
          <t>05510</t>
        </is>
      </c>
      <c r="P405" s="4" t="inlineStr">
        <is>
          <t>7514.01</t>
        </is>
      </c>
    </row>
    <row r="406">
      <c r="A406" s="4" t="inlineStr">
        <is>
          <t>405</t>
        </is>
      </c>
      <c r="B406" s="5" t="inlineStr">
        <is>
          <t>49369567458</t>
        </is>
      </c>
      <c r="C406" s="29" t="inlineStr">
        <is>
          <t>SELMA TUNÇ</t>
        </is>
      </c>
      <c r="D406" s="7" t="n">
        <v>146.6</v>
      </c>
      <c r="E406" s="4" t="inlineStr">
        <is>
          <t>12.11.2025</t>
        </is>
      </c>
      <c r="F406" s="4" t="inlineStr"/>
      <c r="G406" s="7" t="n">
        <v>28457.65</v>
      </c>
      <c r="H406" s="7" t="n">
        <v>431.18</v>
      </c>
      <c r="I406" s="7" t="n">
        <v>4333.32</v>
      </c>
      <c r="J406" s="7" t="n">
        <v>28888.82</v>
      </c>
      <c r="K406" s="7" t="n">
        <v>4333.32</v>
      </c>
      <c r="L406" s="7" t="n">
        <v>24555.5</v>
      </c>
      <c r="M406" s="4" t="n">
        <v>22</v>
      </c>
      <c r="N406" s="7" t="n">
        <v>28888.82</v>
      </c>
      <c r="O406" s="4" t="inlineStr">
        <is>
          <t>16322</t>
        </is>
      </c>
      <c r="P406" s="4" t="inlineStr">
        <is>
          <t>7514.01</t>
        </is>
      </c>
    </row>
    <row r="407">
      <c r="A407" s="4" t="inlineStr">
        <is>
          <t>406</t>
        </is>
      </c>
      <c r="B407" s="5" t="inlineStr">
        <is>
          <t>49387772940</t>
        </is>
      </c>
      <c r="C407" s="29" t="inlineStr">
        <is>
          <t>BARIŞ SOLAK</t>
        </is>
      </c>
      <c r="D407" s="7" t="n">
        <v>124.78</v>
      </c>
      <c r="E407" s="4" t="inlineStr">
        <is>
          <t>26.07.2026</t>
        </is>
      </c>
      <c r="F407" s="4" t="inlineStr"/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4" t="n">
        <v>0</v>
      </c>
      <c r="N407" s="7" t="n">
        <v>0</v>
      </c>
      <c r="O407" s="4" t="inlineStr">
        <is>
          <t>05510</t>
        </is>
      </c>
      <c r="P407" s="4" t="inlineStr">
        <is>
          <t>7514.01</t>
        </is>
      </c>
    </row>
    <row r="408">
      <c r="A408" s="4" t="inlineStr">
        <is>
          <t>407</t>
        </is>
      </c>
      <c r="B408" s="5" t="inlineStr">
        <is>
          <t>49396772658</t>
        </is>
      </c>
      <c r="C408" s="29" t="inlineStr">
        <is>
          <t>MEHMET SOLAK</t>
        </is>
      </c>
      <c r="D408" s="7" t="n">
        <v>124.78</v>
      </c>
      <c r="E408" s="4" t="inlineStr">
        <is>
          <t>12.08.2026</t>
        </is>
      </c>
      <c r="F408" s="4" t="inlineStr"/>
      <c r="G408" s="7" t="n">
        <v>4404</v>
      </c>
      <c r="H408" s="7" t="n">
        <v>4991.2</v>
      </c>
      <c r="I408" s="7" t="n">
        <v>1409.28</v>
      </c>
      <c r="J408" s="7" t="n">
        <v>9395.200000000001</v>
      </c>
      <c r="K408" s="7" t="n">
        <v>1409.28</v>
      </c>
      <c r="L408" s="7" t="n">
        <v>7985.92</v>
      </c>
      <c r="M408" s="4" t="n">
        <v>4</v>
      </c>
      <c r="N408" s="7" t="n">
        <v>9395.200000000001</v>
      </c>
      <c r="O408" s="4" t="inlineStr">
        <is>
          <t>05510</t>
        </is>
      </c>
      <c r="P408" s="4" t="inlineStr">
        <is>
          <t>7514.01</t>
        </is>
      </c>
    </row>
    <row r="409">
      <c r="A409" s="4" t="inlineStr">
        <is>
          <t>408</t>
        </is>
      </c>
      <c r="B409" s="5" t="inlineStr">
        <is>
          <t>49558767270</t>
        </is>
      </c>
      <c r="C409" s="29" t="inlineStr">
        <is>
          <t>AZİZE KAYAR</t>
        </is>
      </c>
      <c r="D409" s="7" t="n">
        <v>124.78</v>
      </c>
      <c r="E409" s="4" t="inlineStr">
        <is>
          <t>16.07.2026</t>
        </is>
      </c>
      <c r="F409" s="4" t="inlineStr"/>
      <c r="G409" s="7" t="n">
        <v>0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4" t="n">
        <v>0</v>
      </c>
      <c r="N409" s="7" t="n">
        <v>0</v>
      </c>
      <c r="O409" s="4" t="inlineStr">
        <is>
          <t>05510</t>
        </is>
      </c>
      <c r="P409" s="4" t="inlineStr">
        <is>
          <t>7514.01</t>
        </is>
      </c>
    </row>
    <row r="410">
      <c r="A410" s="4" t="inlineStr">
        <is>
          <t>409</t>
        </is>
      </c>
      <c r="B410" s="5" t="inlineStr">
        <is>
          <t>49630764852</t>
        </is>
      </c>
      <c r="C410" s="29" t="inlineStr">
        <is>
          <t>GÜLŞEN DAĞ</t>
        </is>
      </c>
      <c r="D410" s="7" t="n">
        <v>124.78</v>
      </c>
      <c r="E410" s="4" t="inlineStr">
        <is>
          <t>06.07.2026</t>
        </is>
      </c>
      <c r="F410" s="4" t="inlineStr"/>
      <c r="G410" s="7" t="n">
        <v>0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4" t="n">
        <v>0</v>
      </c>
      <c r="N410" s="7" t="n">
        <v>0</v>
      </c>
      <c r="O410" s="4" t="inlineStr">
        <is>
          <t>05510</t>
        </is>
      </c>
      <c r="P410" s="4" t="inlineStr">
        <is>
          <t>7514.01</t>
        </is>
      </c>
    </row>
    <row r="411">
      <c r="A411" s="4" t="inlineStr">
        <is>
          <t>410</t>
        </is>
      </c>
      <c r="B411" s="5" t="inlineStr">
        <is>
          <t>49981303052</t>
        </is>
      </c>
      <c r="C411" s="29" t="inlineStr">
        <is>
          <t>KADİR AZAR</t>
        </is>
      </c>
      <c r="D411" s="7" t="n">
        <v>160</v>
      </c>
      <c r="E411" s="4" t="inlineStr">
        <is>
          <t>03.08.2023</t>
        </is>
      </c>
      <c r="F411" s="4" t="inlineStr"/>
      <c r="G411" s="7" t="n">
        <v>44815.22</v>
      </c>
      <c r="H411" s="7" t="n">
        <v>3569.25</v>
      </c>
      <c r="I411" s="7" t="n">
        <v>9984.469999999999</v>
      </c>
      <c r="J411" s="7" t="n">
        <v>48384.47</v>
      </c>
      <c r="K411" s="7" t="n">
        <v>9984.469999999999</v>
      </c>
      <c r="L411" s="7" t="n">
        <v>38400</v>
      </c>
      <c r="M411" s="4" t="n">
        <v>30</v>
      </c>
      <c r="N411" s="7" t="n">
        <v>48384.47</v>
      </c>
      <c r="O411" s="4" t="inlineStr">
        <is>
          <t>16322</t>
        </is>
      </c>
      <c r="P411" s="4" t="inlineStr">
        <is>
          <t>4321.15</t>
        </is>
      </c>
    </row>
    <row r="412">
      <c r="A412" s="4" t="inlineStr">
        <is>
          <t>411</t>
        </is>
      </c>
      <c r="B412" s="5" t="inlineStr">
        <is>
          <t>51529475930</t>
        </is>
      </c>
      <c r="C412" s="29" t="inlineStr">
        <is>
          <t>EMRE BARAN</t>
        </is>
      </c>
      <c r="D412" s="7" t="n">
        <v>124.78</v>
      </c>
      <c r="E412" s="4" t="inlineStr">
        <is>
          <t>15.08.2026</t>
        </is>
      </c>
      <c r="F412" s="4" t="inlineStr">
        <is>
          <t>31.08.2026</t>
        </is>
      </c>
      <c r="G412" s="7" t="n">
        <v>6606</v>
      </c>
      <c r="H412" s="7" t="n">
        <v>7046.4</v>
      </c>
      <c r="I412" s="7" t="n">
        <v>2456.86</v>
      </c>
      <c r="J412" s="7" t="n">
        <v>13652.4</v>
      </c>
      <c r="K412" s="7" t="n">
        <v>2456.86</v>
      </c>
      <c r="L412" s="7" t="n">
        <v>11195.54</v>
      </c>
      <c r="M412" s="4" t="n">
        <v>6</v>
      </c>
      <c r="N412" s="7" t="n">
        <v>13652.4</v>
      </c>
      <c r="O412" s="4" t="inlineStr">
        <is>
          <t>05510</t>
        </is>
      </c>
      <c r="P412" s="4" t="inlineStr">
        <is>
          <t>7514.01</t>
        </is>
      </c>
    </row>
    <row r="413">
      <c r="A413" s="4" t="inlineStr">
        <is>
          <t>412</t>
        </is>
      </c>
      <c r="B413" s="5" t="inlineStr">
        <is>
          <t>51997619928</t>
        </is>
      </c>
      <c r="C413" s="29" t="inlineStr">
        <is>
          <t>TÜLAY ÜNLÜ</t>
        </is>
      </c>
      <c r="D413" s="7" t="n">
        <v>33030</v>
      </c>
      <c r="E413" s="4" t="inlineStr">
        <is>
          <t>01.01.2022</t>
        </is>
      </c>
      <c r="F413" s="4" t="inlineStr"/>
      <c r="G413" s="7" t="n">
        <v>0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4" t="n">
        <v>0</v>
      </c>
      <c r="N413" s="7" t="n">
        <v>0</v>
      </c>
      <c r="O413" s="4" t="inlineStr">
        <is>
          <t>05510</t>
        </is>
      </c>
      <c r="P413" s="4" t="inlineStr">
        <is>
          <t>3331.09</t>
        </is>
      </c>
    </row>
    <row r="414">
      <c r="A414" s="4" t="inlineStr">
        <is>
          <t>413</t>
        </is>
      </c>
      <c r="B414" s="5" t="inlineStr">
        <is>
          <t>52240399666</t>
        </is>
      </c>
      <c r="C414" s="29" t="inlineStr">
        <is>
          <t>HANDAN TOPTİK</t>
        </is>
      </c>
      <c r="D414" s="7" t="n">
        <v>124.78</v>
      </c>
      <c r="E414" s="4" t="inlineStr">
        <is>
          <t>12.06.2026</t>
        </is>
      </c>
      <c r="F414" s="4" t="inlineStr"/>
      <c r="G414" s="7" t="n">
        <v>23121</v>
      </c>
      <c r="H414" s="7" t="n">
        <v>18897.78</v>
      </c>
      <c r="I414" s="7" t="n">
        <v>7517.11</v>
      </c>
      <c r="J414" s="7" t="n">
        <v>42018.78</v>
      </c>
      <c r="K414" s="7" t="n">
        <v>7517.11</v>
      </c>
      <c r="L414" s="7" t="n">
        <v>34501.67</v>
      </c>
      <c r="M414" s="4" t="n">
        <v>21</v>
      </c>
      <c r="N414" s="7" t="n">
        <v>42018.78</v>
      </c>
      <c r="O414" s="4" t="inlineStr">
        <is>
          <t>05510</t>
        </is>
      </c>
      <c r="P414" s="4" t="inlineStr">
        <is>
          <t>7514.01</t>
        </is>
      </c>
    </row>
    <row r="415">
      <c r="A415" s="4" t="inlineStr">
        <is>
          <t>414</t>
        </is>
      </c>
      <c r="B415" s="5" t="inlineStr">
        <is>
          <t>52996654668</t>
        </is>
      </c>
      <c r="C415" s="29" t="inlineStr">
        <is>
          <t>NURİYE AKKUŞ</t>
        </is>
      </c>
      <c r="D415" s="7" t="n">
        <v>146.6</v>
      </c>
      <c r="E415" s="4" t="inlineStr">
        <is>
          <t>10.02.2026</t>
        </is>
      </c>
      <c r="F415" s="4" t="inlineStr"/>
      <c r="G415" s="7" t="n">
        <v>16815.88</v>
      </c>
      <c r="H415" s="7" t="n">
        <v>258.71</v>
      </c>
      <c r="I415" s="7" t="n">
        <v>2561.19</v>
      </c>
      <c r="J415" s="7" t="n">
        <v>17074.59</v>
      </c>
      <c r="K415" s="7" t="n">
        <v>2561.19</v>
      </c>
      <c r="L415" s="7" t="n">
        <v>14513.4</v>
      </c>
      <c r="M415" s="4" t="n">
        <v>13</v>
      </c>
      <c r="N415" s="7" t="n">
        <v>17074.59</v>
      </c>
      <c r="O415" s="4" t="inlineStr">
        <is>
          <t>05510</t>
        </is>
      </c>
      <c r="P415" s="4" t="inlineStr">
        <is>
          <t>7514.01</t>
        </is>
      </c>
    </row>
    <row r="416">
      <c r="A416" s="4" t="inlineStr">
        <is>
          <t>415</t>
        </is>
      </c>
      <c r="B416" s="5" t="inlineStr">
        <is>
          <t>53689106020</t>
        </is>
      </c>
      <c r="C416" s="29" t="inlineStr">
        <is>
          <t>GÜLSÜM GÖRGÜLÜ</t>
        </is>
      </c>
      <c r="D416" s="7" t="n">
        <v>124.78</v>
      </c>
      <c r="E416" s="4" t="inlineStr">
        <is>
          <t>22.05.2025</t>
        </is>
      </c>
      <c r="F416" s="4" t="inlineStr"/>
      <c r="G416" s="7" t="n">
        <v>28625.43</v>
      </c>
      <c r="H416" s="7" t="n">
        <v>807.38</v>
      </c>
      <c r="I416" s="7" t="n">
        <v>4414.92</v>
      </c>
      <c r="J416" s="7" t="n">
        <v>29432.81</v>
      </c>
      <c r="K416" s="7" t="n">
        <v>4414.92</v>
      </c>
      <c r="L416" s="7" t="n">
        <v>25017.89</v>
      </c>
      <c r="M416" s="4" t="n">
        <v>26</v>
      </c>
      <c r="N416" s="7" t="n">
        <v>29432.81</v>
      </c>
      <c r="O416" s="4" t="inlineStr">
        <is>
          <t>05510</t>
        </is>
      </c>
      <c r="P416" s="4" t="inlineStr">
        <is>
          <t>7514.01</t>
        </is>
      </c>
    </row>
    <row r="417">
      <c r="A417" s="4" t="inlineStr">
        <is>
          <t>416</t>
        </is>
      </c>
      <c r="B417" s="5" t="inlineStr">
        <is>
          <t>54871132810</t>
        </is>
      </c>
      <c r="C417" s="29" t="inlineStr">
        <is>
          <t>MAHİZER BAĞ</t>
        </is>
      </c>
      <c r="D417" s="7" t="n">
        <v>146.6</v>
      </c>
      <c r="E417" s="4" t="inlineStr">
        <is>
          <t>10.02.2026</t>
        </is>
      </c>
      <c r="F417" s="4" t="inlineStr"/>
      <c r="G417" s="7" t="n">
        <v>11814.24</v>
      </c>
      <c r="H417" s="7" t="n">
        <v>344.94</v>
      </c>
      <c r="I417" s="7" t="n">
        <v>1823.88</v>
      </c>
      <c r="J417" s="7" t="n">
        <v>12159.18</v>
      </c>
      <c r="K417" s="7" t="n">
        <v>1823.88</v>
      </c>
      <c r="L417" s="7" t="n">
        <v>10335.3</v>
      </c>
      <c r="M417" s="4" t="n">
        <v>10</v>
      </c>
      <c r="N417" s="7" t="n">
        <v>12159.18</v>
      </c>
      <c r="O417" s="4" t="inlineStr">
        <is>
          <t>05510</t>
        </is>
      </c>
      <c r="P417" s="4" t="inlineStr">
        <is>
          <t>7514.01</t>
        </is>
      </c>
    </row>
    <row r="418">
      <c r="A418" s="4" t="inlineStr">
        <is>
          <t>417</t>
        </is>
      </c>
      <c r="B418" s="5" t="inlineStr">
        <is>
          <t>54874132756</t>
        </is>
      </c>
      <c r="C418" s="29" t="inlineStr">
        <is>
          <t>NECİFE BAĞ</t>
        </is>
      </c>
      <c r="D418" s="7" t="n">
        <v>146.6</v>
      </c>
      <c r="E418" s="4" t="inlineStr">
        <is>
          <t>14.05.2026</t>
        </is>
      </c>
      <c r="F418" s="4" t="inlineStr"/>
      <c r="G418" s="7" t="n">
        <v>21990</v>
      </c>
      <c r="H418" s="7" t="n">
        <v>258.71</v>
      </c>
      <c r="I418" s="7" t="n">
        <v>3337.31</v>
      </c>
      <c r="J418" s="7" t="n">
        <v>22248.71</v>
      </c>
      <c r="K418" s="7" t="n">
        <v>3337.31</v>
      </c>
      <c r="L418" s="7" t="n">
        <v>18911.4</v>
      </c>
      <c r="M418" s="4" t="n">
        <v>17</v>
      </c>
      <c r="N418" s="7" t="n">
        <v>22248.71</v>
      </c>
      <c r="O418" s="4" t="inlineStr">
        <is>
          <t>05510</t>
        </is>
      </c>
      <c r="P418" s="4" t="inlineStr">
        <is>
          <t>7514.01</t>
        </is>
      </c>
    </row>
    <row r="419">
      <c r="A419" s="4" t="inlineStr">
        <is>
          <t>418</t>
        </is>
      </c>
      <c r="B419" s="5" t="inlineStr">
        <is>
          <t>54931071516</t>
        </is>
      </c>
      <c r="C419" s="29" t="inlineStr">
        <is>
          <t>CANER ÖZTÜRK</t>
        </is>
      </c>
      <c r="D419" s="7" t="n">
        <v>50000</v>
      </c>
      <c r="E419" s="4" t="inlineStr">
        <is>
          <t>08.01.2025</t>
        </is>
      </c>
      <c r="F419" s="4" t="inlineStr"/>
      <c r="G419" s="7" t="n">
        <v>70926.45</v>
      </c>
      <c r="H419" s="7" t="n">
        <v>0</v>
      </c>
      <c r="I419" s="7" t="n">
        <v>23053.45</v>
      </c>
      <c r="J419" s="7" t="n">
        <v>70926.45</v>
      </c>
      <c r="K419" s="7" t="n">
        <v>23053.45</v>
      </c>
      <c r="L419" s="7" t="n">
        <v>47873</v>
      </c>
      <c r="M419" s="4" t="n">
        <v>30</v>
      </c>
      <c r="N419" s="7" t="n">
        <v>70926.45</v>
      </c>
      <c r="O419" s="4" t="inlineStr">
        <is>
          <t>05510</t>
        </is>
      </c>
      <c r="P419" s="4" t="inlineStr">
        <is>
          <t>1330.05</t>
        </is>
      </c>
    </row>
    <row r="420">
      <c r="A420" s="4" t="inlineStr">
        <is>
          <t>419</t>
        </is>
      </c>
      <c r="B420" s="5" t="inlineStr">
        <is>
          <t>55390118552</t>
        </is>
      </c>
      <c r="C420" s="29" t="inlineStr">
        <is>
          <t>OZAN ÖZTÜRK</t>
        </is>
      </c>
      <c r="D420" s="7" t="n">
        <v>33030</v>
      </c>
      <c r="E420" s="4" t="inlineStr">
        <is>
          <t>16.11.2022</t>
        </is>
      </c>
      <c r="F420" s="4" t="inlineStr"/>
      <c r="G420" s="7" t="n">
        <v>0</v>
      </c>
      <c r="H420" s="7" t="n">
        <v>0</v>
      </c>
      <c r="I420" s="7" t="n">
        <v>0</v>
      </c>
      <c r="J420" s="7" t="n">
        <v>0</v>
      </c>
      <c r="K420" s="7" t="n">
        <v>0</v>
      </c>
      <c r="L420" s="7" t="n">
        <v>0</v>
      </c>
      <c r="M420" s="4" t="n">
        <v>0</v>
      </c>
      <c r="N420" s="7" t="n">
        <v>0</v>
      </c>
      <c r="O420" s="4" t="inlineStr">
        <is>
          <t>05510</t>
        </is>
      </c>
      <c r="P420" s="4" t="inlineStr">
        <is>
          <t>1221.13</t>
        </is>
      </c>
    </row>
    <row r="421">
      <c r="A421" s="4" t="inlineStr">
        <is>
          <t>420</t>
        </is>
      </c>
      <c r="B421" s="5" t="inlineStr">
        <is>
          <t>55963096430</t>
        </is>
      </c>
      <c r="C421" s="29" t="inlineStr">
        <is>
          <t>SULTAN BAĞ</t>
        </is>
      </c>
      <c r="D421" s="7" t="n">
        <v>146.6</v>
      </c>
      <c r="E421" s="4" t="inlineStr">
        <is>
          <t>10.02.2026</t>
        </is>
      </c>
      <c r="F421" s="4" t="inlineStr"/>
      <c r="G421" s="7" t="n">
        <v>21990</v>
      </c>
      <c r="H421" s="7" t="n">
        <v>258.71</v>
      </c>
      <c r="I421" s="7" t="n">
        <v>3337.31</v>
      </c>
      <c r="J421" s="7" t="n">
        <v>22248.71</v>
      </c>
      <c r="K421" s="7" t="n">
        <v>3337.31</v>
      </c>
      <c r="L421" s="7" t="n">
        <v>18911.4</v>
      </c>
      <c r="M421" s="4" t="n">
        <v>17</v>
      </c>
      <c r="N421" s="7" t="n">
        <v>22248.71</v>
      </c>
      <c r="O421" s="4" t="inlineStr">
        <is>
          <t>05510</t>
        </is>
      </c>
      <c r="P421" s="4" t="inlineStr">
        <is>
          <t>7514.01</t>
        </is>
      </c>
    </row>
    <row r="422">
      <c r="A422" s="4" t="inlineStr">
        <is>
          <t>421</t>
        </is>
      </c>
      <c r="B422" s="5" t="inlineStr">
        <is>
          <t>56803048138</t>
        </is>
      </c>
      <c r="C422" s="29" t="inlineStr">
        <is>
          <t>İİLKNUR SİVLİM</t>
        </is>
      </c>
      <c r="D422" s="7" t="n">
        <v>146.6</v>
      </c>
      <c r="E422" s="4" t="inlineStr">
        <is>
          <t>06.07.2026</t>
        </is>
      </c>
      <c r="F422" s="4" t="inlineStr"/>
      <c r="G422" s="7" t="n">
        <v>0</v>
      </c>
      <c r="H422" s="7" t="n">
        <v>0</v>
      </c>
      <c r="I422" s="7" t="n">
        <v>0</v>
      </c>
      <c r="J422" s="7" t="n">
        <v>0</v>
      </c>
      <c r="K422" s="7" t="n">
        <v>0</v>
      </c>
      <c r="L422" s="7" t="n">
        <v>0</v>
      </c>
      <c r="M422" s="4" t="n">
        <v>0</v>
      </c>
      <c r="N422" s="7" t="n">
        <v>0</v>
      </c>
      <c r="O422" s="4" t="inlineStr">
        <is>
          <t>05510</t>
        </is>
      </c>
      <c r="P422" s="4" t="inlineStr">
        <is>
          <t>7514.01</t>
        </is>
      </c>
    </row>
    <row r="423">
      <c r="A423" s="4" t="inlineStr">
        <is>
          <t>422</t>
        </is>
      </c>
      <c r="B423" s="5" t="inlineStr">
        <is>
          <t>57541044000</t>
        </is>
      </c>
      <c r="C423" s="29" t="inlineStr">
        <is>
          <t>ÜMMÜGÜLSÜM BAĞ</t>
        </is>
      </c>
      <c r="D423" s="7" t="n">
        <v>146.6</v>
      </c>
      <c r="E423" s="4" t="inlineStr">
        <is>
          <t>08.07.2026</t>
        </is>
      </c>
      <c r="F423" s="4" t="inlineStr"/>
      <c r="G423" s="7" t="n">
        <v>23283.53</v>
      </c>
      <c r="H423" s="7" t="n">
        <v>431.18</v>
      </c>
      <c r="I423" s="7" t="n">
        <v>4268.21</v>
      </c>
      <c r="J423" s="7" t="n">
        <v>23714.71</v>
      </c>
      <c r="K423" s="7" t="n">
        <v>4268.21</v>
      </c>
      <c r="L423" s="7" t="n">
        <v>19446.5</v>
      </c>
      <c r="M423" s="4" t="n">
        <v>18</v>
      </c>
      <c r="N423" s="7" t="n">
        <v>23714.71</v>
      </c>
      <c r="O423" s="4" t="inlineStr">
        <is>
          <t>05510</t>
        </is>
      </c>
      <c r="P423" s="4" t="inlineStr">
        <is>
          <t>7514.01</t>
        </is>
      </c>
    </row>
    <row r="424">
      <c r="A424" s="4" t="inlineStr">
        <is>
          <t>423</t>
        </is>
      </c>
      <c r="B424" s="5" t="inlineStr">
        <is>
          <t>58345081116</t>
        </is>
      </c>
      <c r="C424" s="29" t="inlineStr">
        <is>
          <t>REYHAN ÇELİK</t>
        </is>
      </c>
      <c r="D424" s="7" t="n">
        <v>146.6</v>
      </c>
      <c r="E424" s="4" t="inlineStr">
        <is>
          <t>08.07.2026</t>
        </is>
      </c>
      <c r="F424" s="4" t="inlineStr"/>
      <c r="G424" s="7" t="n">
        <v>0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4" t="n">
        <v>0</v>
      </c>
      <c r="N424" s="7" t="n">
        <v>0</v>
      </c>
      <c r="O424" s="4" t="inlineStr">
        <is>
          <t>05510</t>
        </is>
      </c>
      <c r="P424" s="4" t="inlineStr">
        <is>
          <t>7514.01</t>
        </is>
      </c>
    </row>
    <row r="425">
      <c r="A425" s="4" t="inlineStr">
        <is>
          <t>424</t>
        </is>
      </c>
      <c r="B425" s="5" t="inlineStr">
        <is>
          <t>58846251650</t>
        </is>
      </c>
      <c r="C425" s="29" t="inlineStr">
        <is>
          <t>ŞAHİN TEMEL</t>
        </is>
      </c>
      <c r="D425" s="7" t="n">
        <v>124.78</v>
      </c>
      <c r="E425" s="4" t="inlineStr">
        <is>
          <t>10.02.2026</t>
        </is>
      </c>
      <c r="F425" s="4" t="inlineStr"/>
      <c r="G425" s="7" t="n">
        <v>7707</v>
      </c>
      <c r="H425" s="7" t="n">
        <v>4257.2</v>
      </c>
      <c r="I425" s="7" t="n">
        <v>2152.63</v>
      </c>
      <c r="J425" s="7" t="n">
        <v>11964.2</v>
      </c>
      <c r="K425" s="7" t="n">
        <v>4652.63</v>
      </c>
      <c r="L425" s="7" t="n">
        <v>7311.57</v>
      </c>
      <c r="M425" s="4" t="n">
        <v>7</v>
      </c>
      <c r="N425" s="7" t="n">
        <v>11964.2</v>
      </c>
      <c r="O425" s="4" t="inlineStr">
        <is>
          <t>05510</t>
        </is>
      </c>
      <c r="P425" s="4" t="inlineStr">
        <is>
          <t>7514.01</t>
        </is>
      </c>
    </row>
    <row r="426">
      <c r="A426" s="4" t="inlineStr">
        <is>
          <t>425</t>
        </is>
      </c>
      <c r="B426" s="5" t="inlineStr">
        <is>
          <t>60544339486</t>
        </is>
      </c>
      <c r="C426" s="29" t="inlineStr">
        <is>
          <t>ESMA ÇİTKIRAN</t>
        </is>
      </c>
      <c r="D426" s="7" t="n">
        <v>146.6</v>
      </c>
      <c r="E426" s="4" t="inlineStr">
        <is>
          <t>10.07.2026</t>
        </is>
      </c>
      <c r="F426" s="4" t="inlineStr"/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4" t="n">
        <v>0</v>
      </c>
      <c r="N426" s="7" t="n">
        <v>0</v>
      </c>
      <c r="O426" s="4" t="inlineStr">
        <is>
          <t>05510</t>
        </is>
      </c>
      <c r="P426" s="4" t="inlineStr">
        <is>
          <t>7514.01</t>
        </is>
      </c>
    </row>
    <row r="427">
      <c r="A427" s="4" t="inlineStr">
        <is>
          <t>426</t>
        </is>
      </c>
      <c r="B427" s="5" t="inlineStr">
        <is>
          <t>60649335994</t>
        </is>
      </c>
      <c r="C427" s="29" t="inlineStr">
        <is>
          <t>SANİYE ÇİTKIRAN</t>
        </is>
      </c>
      <c r="D427" s="7" t="n">
        <v>146.6</v>
      </c>
      <c r="E427" s="4" t="inlineStr">
        <is>
          <t>10.07.2026</t>
        </is>
      </c>
      <c r="F427" s="4" t="inlineStr"/>
      <c r="G427" s="7" t="n">
        <v>0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4" t="n">
        <v>0</v>
      </c>
      <c r="N427" s="7" t="n">
        <v>0</v>
      </c>
      <c r="O427" s="4" t="inlineStr">
        <is>
          <t>05510</t>
        </is>
      </c>
      <c r="P427" s="4" t="inlineStr">
        <is>
          <t>7514.01</t>
        </is>
      </c>
    </row>
    <row r="428">
      <c r="A428" s="4" t="inlineStr">
        <is>
          <t>427</t>
        </is>
      </c>
      <c r="B428" s="5" t="inlineStr">
        <is>
          <t>61984174392</t>
        </is>
      </c>
      <c r="C428" s="29" t="inlineStr">
        <is>
          <t>MESERRET DAĞ</t>
        </is>
      </c>
      <c r="D428" s="7" t="n">
        <v>124.78</v>
      </c>
      <c r="E428" s="4" t="inlineStr">
        <is>
          <t>25.06.2026</t>
        </is>
      </c>
      <c r="F428" s="4" t="inlineStr"/>
      <c r="G428" s="7" t="n">
        <v>6606</v>
      </c>
      <c r="H428" s="7" t="n">
        <v>7486.8</v>
      </c>
      <c r="I428" s="7" t="n">
        <v>2113.92</v>
      </c>
      <c r="J428" s="7" t="n">
        <v>14092.8</v>
      </c>
      <c r="K428" s="7" t="n">
        <v>2113.92</v>
      </c>
      <c r="L428" s="7" t="n">
        <v>11978.88</v>
      </c>
      <c r="M428" s="4" t="n">
        <v>6</v>
      </c>
      <c r="N428" s="7" t="n">
        <v>14092.8</v>
      </c>
      <c r="O428" s="4" t="inlineStr">
        <is>
          <t>05510</t>
        </is>
      </c>
      <c r="P428" s="4" t="inlineStr">
        <is>
          <t>7514.01</t>
        </is>
      </c>
    </row>
    <row r="429">
      <c r="A429" s="4" t="inlineStr">
        <is>
          <t>428</t>
        </is>
      </c>
      <c r="B429" s="5" t="inlineStr">
        <is>
          <t>62770331784</t>
        </is>
      </c>
      <c r="C429" s="29" t="inlineStr">
        <is>
          <t>AHMET DAĞ</t>
        </is>
      </c>
      <c r="D429" s="7" t="n">
        <v>124.78</v>
      </c>
      <c r="E429" s="4" t="inlineStr">
        <is>
          <t>15.07.2026</t>
        </is>
      </c>
      <c r="F429" s="4" t="inlineStr"/>
      <c r="G429" s="7" t="n">
        <v>2202</v>
      </c>
      <c r="H429" s="7" t="n">
        <v>2495.6</v>
      </c>
      <c r="I429" s="7" t="n">
        <v>844.64</v>
      </c>
      <c r="J429" s="7" t="n">
        <v>4697.6</v>
      </c>
      <c r="K429" s="7" t="n">
        <v>844.64</v>
      </c>
      <c r="L429" s="7" t="n">
        <v>3852.96</v>
      </c>
      <c r="M429" s="4" t="n">
        <v>2</v>
      </c>
      <c r="N429" s="7" t="n">
        <v>4697.6</v>
      </c>
      <c r="O429" s="4" t="inlineStr">
        <is>
          <t>05510</t>
        </is>
      </c>
      <c r="P429" s="4" t="inlineStr">
        <is>
          <t>7514.01</t>
        </is>
      </c>
    </row>
    <row r="430">
      <c r="A430" s="4" t="inlineStr">
        <is>
          <t>429</t>
        </is>
      </c>
      <c r="B430" s="5" t="inlineStr">
        <is>
          <t>63343097892</t>
        </is>
      </c>
      <c r="C430" s="29" t="inlineStr">
        <is>
          <t>FEVZİYE EKTİREN</t>
        </is>
      </c>
      <c r="D430" s="7" t="n">
        <v>146.6</v>
      </c>
      <c r="E430" s="4" t="inlineStr">
        <is>
          <t>23.03.2026</t>
        </is>
      </c>
      <c r="F430" s="4" t="inlineStr"/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4" t="n">
        <v>0</v>
      </c>
      <c r="N430" s="7" t="n">
        <v>0</v>
      </c>
      <c r="O430" s="4" t="inlineStr">
        <is>
          <t>05510</t>
        </is>
      </c>
      <c r="P430" s="4" t="inlineStr">
        <is>
          <t>7514.01</t>
        </is>
      </c>
    </row>
    <row r="431">
      <c r="A431" s="4" t="inlineStr">
        <is>
          <t>430</t>
        </is>
      </c>
      <c r="B431" s="5" t="inlineStr">
        <is>
          <t>63388096362</t>
        </is>
      </c>
      <c r="C431" s="29" t="inlineStr">
        <is>
          <t>AYŞE BORA</t>
        </is>
      </c>
      <c r="D431" s="7" t="n">
        <v>146.6</v>
      </c>
      <c r="E431" s="4" t="inlineStr">
        <is>
          <t>10.08.2026</t>
        </is>
      </c>
      <c r="F431" s="4" t="inlineStr"/>
      <c r="G431" s="7" t="n">
        <v>9054.709999999999</v>
      </c>
      <c r="H431" s="7" t="n">
        <v>258.71</v>
      </c>
      <c r="I431" s="7" t="n">
        <v>1397.01</v>
      </c>
      <c r="J431" s="7" t="n">
        <v>9313.41</v>
      </c>
      <c r="K431" s="7" t="n">
        <v>1397.01</v>
      </c>
      <c r="L431" s="7" t="n">
        <v>7916.4</v>
      </c>
      <c r="M431" s="4" t="n">
        <v>7</v>
      </c>
      <c r="N431" s="7" t="n">
        <v>9313.41</v>
      </c>
      <c r="O431" s="4" t="inlineStr">
        <is>
          <t>05510</t>
        </is>
      </c>
      <c r="P431" s="4" t="inlineStr">
        <is>
          <t>7514.01</t>
        </is>
      </c>
    </row>
    <row r="432">
      <c r="A432" s="4" t="inlineStr">
        <is>
          <t>431</t>
        </is>
      </c>
      <c r="B432" s="5" t="inlineStr">
        <is>
          <t>63982416122</t>
        </is>
      </c>
      <c r="C432" s="29" t="inlineStr">
        <is>
          <t>HATİCE BUSE POLAT</t>
        </is>
      </c>
      <c r="D432" s="7" t="n">
        <v>146.6</v>
      </c>
      <c r="E432" s="4" t="inlineStr">
        <is>
          <t>13.07.2026</t>
        </is>
      </c>
      <c r="F432" s="4" t="inlineStr"/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4" t="n">
        <v>0</v>
      </c>
      <c r="N432" s="7" t="n">
        <v>0</v>
      </c>
      <c r="O432" s="4" t="inlineStr">
        <is>
          <t>05510</t>
        </is>
      </c>
      <c r="P432" s="4" t="inlineStr">
        <is>
          <t>7514.01</t>
        </is>
      </c>
    </row>
    <row r="433">
      <c r="A433" s="4" t="inlineStr">
        <is>
          <t>432</t>
        </is>
      </c>
      <c r="B433" s="5" t="inlineStr">
        <is>
          <t>66064334710</t>
        </is>
      </c>
      <c r="C433" s="29" t="inlineStr">
        <is>
          <t>FATMA SARIBAŞ</t>
        </is>
      </c>
      <c r="D433" s="7" t="n">
        <v>124.78</v>
      </c>
      <c r="E433" s="4" t="inlineStr">
        <is>
          <t>30.06.2026</t>
        </is>
      </c>
      <c r="F433" s="4" t="inlineStr"/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4" t="n">
        <v>0</v>
      </c>
      <c r="N433" s="7" t="n">
        <v>0</v>
      </c>
      <c r="O433" s="4" t="inlineStr">
        <is>
          <t>05510</t>
        </is>
      </c>
      <c r="P433" s="4" t="inlineStr">
        <is>
          <t>7514.01</t>
        </is>
      </c>
    </row>
    <row r="434">
      <c r="A434" s="4" t="inlineStr">
        <is>
          <t>433</t>
        </is>
      </c>
      <c r="B434" s="5" t="inlineStr">
        <is>
          <t>66928193194</t>
        </is>
      </c>
      <c r="C434" s="29" t="inlineStr">
        <is>
          <t>MEHMET DADAŞ</t>
        </is>
      </c>
      <c r="D434" s="7" t="n">
        <v>124.78</v>
      </c>
      <c r="E434" s="4" t="inlineStr">
        <is>
          <t>27.07.2026</t>
        </is>
      </c>
      <c r="F434" s="4" t="inlineStr"/>
      <c r="G434" s="7" t="n">
        <v>7707</v>
      </c>
      <c r="H434" s="7" t="n">
        <v>8734.6</v>
      </c>
      <c r="I434" s="7" t="n">
        <v>2959.24</v>
      </c>
      <c r="J434" s="7" t="n">
        <v>16441.6</v>
      </c>
      <c r="K434" s="7" t="n">
        <v>2959.24</v>
      </c>
      <c r="L434" s="7" t="n">
        <v>13482.36</v>
      </c>
      <c r="M434" s="4" t="n">
        <v>7</v>
      </c>
      <c r="N434" s="7" t="n">
        <v>16441.6</v>
      </c>
      <c r="O434" s="4" t="inlineStr">
        <is>
          <t>05510</t>
        </is>
      </c>
      <c r="P434" s="4" t="inlineStr">
        <is>
          <t>7514.01</t>
        </is>
      </c>
    </row>
    <row r="435">
      <c r="A435" s="4" t="inlineStr">
        <is>
          <t>434</t>
        </is>
      </c>
      <c r="B435" s="5" t="inlineStr">
        <is>
          <t>67120192930</t>
        </is>
      </c>
      <c r="C435" s="29" t="inlineStr">
        <is>
          <t>KERİME YILMAZ</t>
        </is>
      </c>
      <c r="D435" s="7" t="n">
        <v>146.6</v>
      </c>
      <c r="E435" s="4" t="inlineStr">
        <is>
          <t>31.03.2026</t>
        </is>
      </c>
      <c r="F435" s="4" t="inlineStr"/>
      <c r="G435" s="7" t="n">
        <v>2587.06</v>
      </c>
      <c r="H435" s="7" t="n">
        <v>0</v>
      </c>
      <c r="I435" s="7" t="n">
        <v>465.06</v>
      </c>
      <c r="J435" s="7" t="n">
        <v>2587.06</v>
      </c>
      <c r="K435" s="7" t="n">
        <v>1215.06</v>
      </c>
      <c r="L435" s="7" t="n">
        <v>1372</v>
      </c>
      <c r="M435" s="4" t="n">
        <v>2</v>
      </c>
      <c r="N435" s="7" t="n">
        <v>2587.06</v>
      </c>
      <c r="O435" s="4" t="inlineStr">
        <is>
          <t>05510</t>
        </is>
      </c>
      <c r="P435" s="4" t="inlineStr">
        <is>
          <t>7514.01</t>
        </is>
      </c>
    </row>
    <row r="436">
      <c r="A436" s="4" t="inlineStr">
        <is>
          <t>435</t>
        </is>
      </c>
      <c r="B436" s="5" t="inlineStr">
        <is>
          <t>67612166050</t>
        </is>
      </c>
      <c r="C436" s="29" t="inlineStr">
        <is>
          <t>KADER DOĞANAY</t>
        </is>
      </c>
      <c r="D436" s="7" t="n">
        <v>124.78</v>
      </c>
      <c r="E436" s="4" t="inlineStr">
        <is>
          <t>19.07.2026</t>
        </is>
      </c>
      <c r="F436" s="4" t="inlineStr"/>
      <c r="G436" s="7" t="n">
        <v>12111</v>
      </c>
      <c r="H436" s="7" t="n">
        <v>14826.8</v>
      </c>
      <c r="I436" s="7" t="n">
        <v>4040.67</v>
      </c>
      <c r="J436" s="7" t="n">
        <v>26937.8</v>
      </c>
      <c r="K436" s="7" t="n">
        <v>4040.67</v>
      </c>
      <c r="L436" s="7" t="n">
        <v>22897.13</v>
      </c>
      <c r="M436" s="4" t="n">
        <v>11</v>
      </c>
      <c r="N436" s="7" t="n">
        <v>26937.8</v>
      </c>
      <c r="O436" s="4" t="inlineStr">
        <is>
          <t>05510</t>
        </is>
      </c>
      <c r="P436" s="4" t="inlineStr">
        <is>
          <t>7514.01</t>
        </is>
      </c>
    </row>
    <row r="437">
      <c r="A437" s="4" t="inlineStr">
        <is>
          <t>436</t>
        </is>
      </c>
      <c r="B437" s="5" t="inlineStr">
        <is>
          <t>67618165842</t>
        </is>
      </c>
      <c r="C437" s="29" t="inlineStr">
        <is>
          <t>PINAR KÜÇÜK</t>
        </is>
      </c>
      <c r="D437" s="7" t="n">
        <v>124.78</v>
      </c>
      <c r="E437" s="4" t="inlineStr">
        <is>
          <t>20.07.2026</t>
        </is>
      </c>
      <c r="F437" s="4" t="inlineStr">
        <is>
          <t>18.08.2026</t>
        </is>
      </c>
      <c r="G437" s="7" t="n">
        <v>6606</v>
      </c>
      <c r="H437" s="7" t="n">
        <v>7486.8</v>
      </c>
      <c r="I437" s="7" t="n">
        <v>2535.92</v>
      </c>
      <c r="J437" s="7" t="n">
        <v>14092.8</v>
      </c>
      <c r="K437" s="7" t="n">
        <v>2535.92</v>
      </c>
      <c r="L437" s="7" t="n">
        <v>11556.88</v>
      </c>
      <c r="M437" s="4" t="n">
        <v>6</v>
      </c>
      <c r="N437" s="7" t="n">
        <v>14092.8</v>
      </c>
      <c r="O437" s="4" t="inlineStr">
        <is>
          <t>05510</t>
        </is>
      </c>
      <c r="P437" s="4" t="inlineStr">
        <is>
          <t>7514.01</t>
        </is>
      </c>
    </row>
    <row r="438">
      <c r="A438" s="4" t="inlineStr">
        <is>
          <t>437</t>
        </is>
      </c>
      <c r="B438" s="5" t="inlineStr">
        <is>
          <t>98284188514</t>
        </is>
      </c>
      <c r="C438" s="29" t="inlineStr">
        <is>
          <t>ENES ABDEH</t>
        </is>
      </c>
      <c r="D438" s="7" t="n">
        <v>146.6</v>
      </c>
      <c r="E438" s="4" t="inlineStr">
        <is>
          <t>18.04.2026</t>
        </is>
      </c>
      <c r="F438" s="4" t="inlineStr"/>
      <c r="G438" s="7" t="n">
        <v>18109.41</v>
      </c>
      <c r="H438" s="7" t="n">
        <v>86.23999999999999</v>
      </c>
      <c r="I438" s="7" t="n">
        <v>2729.35</v>
      </c>
      <c r="J438" s="7" t="n">
        <v>18195.65</v>
      </c>
      <c r="K438" s="7" t="n">
        <v>2729.35</v>
      </c>
      <c r="L438" s="7" t="n">
        <v>15466.3</v>
      </c>
      <c r="M438" s="4" t="n">
        <v>14</v>
      </c>
      <c r="N438" s="7" t="n">
        <v>18195.65</v>
      </c>
      <c r="O438" s="4" t="inlineStr">
        <is>
          <t>05510</t>
        </is>
      </c>
      <c r="P438" s="4" t="inlineStr">
        <is>
          <t>7514.01</t>
        </is>
      </c>
    </row>
    <row r="439">
      <c r="A439" s="4" t="inlineStr">
        <is>
          <t>438</t>
        </is>
      </c>
      <c r="B439" s="5" t="inlineStr">
        <is>
          <t>99248627704</t>
        </is>
      </c>
      <c r="C439" s="29" t="inlineStr">
        <is>
          <t>MHD BASSEL ALZALEK</t>
        </is>
      </c>
      <c r="D439" s="7" t="n">
        <v>160</v>
      </c>
      <c r="E439" s="4" t="inlineStr">
        <is>
          <t>01.02.2023</t>
        </is>
      </c>
      <c r="F439" s="4" t="inlineStr"/>
      <c r="G439" s="7" t="n">
        <v>46599.85</v>
      </c>
      <c r="H439" s="7" t="n">
        <v>26174.51</v>
      </c>
      <c r="I439" s="7" t="n">
        <v>17974.35</v>
      </c>
      <c r="J439" s="7" t="n">
        <v>72774.35000000001</v>
      </c>
      <c r="K439" s="7" t="n">
        <v>17974.35</v>
      </c>
      <c r="L439" s="7" t="n">
        <v>54800</v>
      </c>
      <c r="M439" s="4" t="n">
        <v>30</v>
      </c>
      <c r="N439" s="7" t="n">
        <v>72774.35000000001</v>
      </c>
      <c r="O439" s="4" t="inlineStr">
        <is>
          <t>16322</t>
        </is>
      </c>
      <c r="P439" s="4" t="inlineStr">
        <is>
          <t>7411.02</t>
        </is>
      </c>
    </row>
    <row r="440">
      <c r="A440" s="4" t="inlineStr">
        <is>
          <t>439</t>
        </is>
      </c>
      <c r="B440" s="5" t="inlineStr">
        <is>
          <t>99320980932</t>
        </is>
      </c>
      <c r="C440" s="29" t="inlineStr">
        <is>
          <t>ANUD ELMEAŞİ</t>
        </is>
      </c>
      <c r="D440" s="7" t="n">
        <v>146.6</v>
      </c>
      <c r="E440" s="4" t="inlineStr">
        <is>
          <t>18.04.2026</t>
        </is>
      </c>
      <c r="F440" s="4" t="inlineStr"/>
      <c r="G440" s="7" t="n">
        <v>9054.709999999999</v>
      </c>
      <c r="H440" s="7" t="n">
        <v>344.94</v>
      </c>
      <c r="I440" s="7" t="n">
        <v>1690.95</v>
      </c>
      <c r="J440" s="7" t="n">
        <v>9399.65</v>
      </c>
      <c r="K440" s="7" t="n">
        <v>1690.95</v>
      </c>
      <c r="L440" s="7" t="n">
        <v>7708.7</v>
      </c>
      <c r="M440" s="4" t="n">
        <v>7</v>
      </c>
      <c r="N440" s="7" t="n">
        <v>9399.65</v>
      </c>
      <c r="O440" s="4" t="inlineStr">
        <is>
          <t>05510</t>
        </is>
      </c>
      <c r="P440" s="4" t="inlineStr">
        <is>
          <t>7514.01</t>
        </is>
      </c>
    </row>
    <row r="441">
      <c r="A441" s="4" t="inlineStr">
        <is>
          <t>440</t>
        </is>
      </c>
      <c r="B441" s="5" t="inlineStr">
        <is>
          <t>99347757876</t>
        </is>
      </c>
      <c r="C441" s="29" t="inlineStr">
        <is>
          <t>MUHAMMED SAMİH SERHAN</t>
        </is>
      </c>
      <c r="D441" s="7" t="n">
        <v>160</v>
      </c>
      <c r="E441" s="4" t="inlineStr">
        <is>
          <t>19.01.2023</t>
        </is>
      </c>
      <c r="F441" s="4" t="inlineStr"/>
      <c r="G441" s="7" t="n">
        <v>37676.72</v>
      </c>
      <c r="H441" s="7" t="n">
        <v>16061.63</v>
      </c>
      <c r="I441" s="7" t="n">
        <v>11738.35</v>
      </c>
      <c r="J441" s="7" t="n">
        <v>53738.35</v>
      </c>
      <c r="K441" s="7" t="n">
        <v>11738.35</v>
      </c>
      <c r="L441" s="7" t="n">
        <v>42000</v>
      </c>
      <c r="M441" s="4" t="n">
        <v>26</v>
      </c>
      <c r="N441" s="7" t="n">
        <v>53738.35</v>
      </c>
      <c r="O441" s="4" t="inlineStr">
        <is>
          <t>16322</t>
        </is>
      </c>
      <c r="P441" s="4" t="inlineStr">
        <is>
          <t>4321.15</t>
        </is>
      </c>
    </row>
    <row r="442">
      <c r="A442" s="4" t="inlineStr">
        <is>
          <t>441</t>
        </is>
      </c>
      <c r="B442" s="5" t="inlineStr">
        <is>
          <t>99612178542</t>
        </is>
      </c>
      <c r="C442" s="29" t="inlineStr">
        <is>
          <t>HALA SAADİ</t>
        </is>
      </c>
      <c r="D442" s="7" t="n">
        <v>146.6</v>
      </c>
      <c r="E442" s="4" t="inlineStr">
        <is>
          <t>18.04.2026</t>
        </is>
      </c>
      <c r="F442" s="4" t="inlineStr"/>
      <c r="G442" s="7" t="n">
        <v>2587.06</v>
      </c>
      <c r="H442" s="7" t="n">
        <v>0</v>
      </c>
      <c r="I442" s="7" t="n">
        <v>388.06</v>
      </c>
      <c r="J442" s="7" t="n">
        <v>2587.06</v>
      </c>
      <c r="K442" s="7" t="n">
        <v>388.06</v>
      </c>
      <c r="L442" s="7" t="n">
        <v>2199</v>
      </c>
      <c r="M442" s="4" t="n">
        <v>2</v>
      </c>
      <c r="N442" s="7" t="n">
        <v>2587.06</v>
      </c>
      <c r="O442" s="4" t="inlineStr">
        <is>
          <t>05510</t>
        </is>
      </c>
      <c r="P442" s="4" t="inlineStr">
        <is>
          <t>7514.01</t>
        </is>
      </c>
    </row>
    <row r="443">
      <c r="A443" s="4" t="inlineStr">
        <is>
          <t>442</t>
        </is>
      </c>
      <c r="B443" s="5" t="inlineStr">
        <is>
          <t>99656887974</t>
        </is>
      </c>
      <c r="C443" s="29" t="inlineStr">
        <is>
          <t>KEFA EL HUDUR</t>
        </is>
      </c>
      <c r="D443" s="7" t="n">
        <v>146.6</v>
      </c>
      <c r="E443" s="4" t="inlineStr">
        <is>
          <t>18.04.2026</t>
        </is>
      </c>
      <c r="F443" s="4" t="inlineStr"/>
      <c r="G443" s="7" t="n">
        <v>20696.47</v>
      </c>
      <c r="H443" s="7" t="n">
        <v>517.41</v>
      </c>
      <c r="I443" s="7" t="n">
        <v>3818.08</v>
      </c>
      <c r="J443" s="7" t="n">
        <v>21213.88</v>
      </c>
      <c r="K443" s="7" t="n">
        <v>3818.08</v>
      </c>
      <c r="L443" s="7" t="n">
        <v>17395.8</v>
      </c>
      <c r="M443" s="4" t="n">
        <v>16</v>
      </c>
      <c r="N443" s="7" t="n">
        <v>21213.88</v>
      </c>
      <c r="O443" s="4" t="inlineStr">
        <is>
          <t>05510</t>
        </is>
      </c>
      <c r="P443" s="4" t="inlineStr">
        <is>
          <t>7514.01</t>
        </is>
      </c>
    </row>
    <row r="444">
      <c r="A444" s="4" t="inlineStr">
        <is>
          <t>443</t>
        </is>
      </c>
      <c r="B444" s="5" t="inlineStr">
        <is>
          <t>99848635024</t>
        </is>
      </c>
      <c r="C444" s="29" t="inlineStr">
        <is>
          <t>DUHA ELMUFADDİ</t>
        </is>
      </c>
      <c r="D444" s="7" t="n">
        <v>146.6</v>
      </c>
      <c r="E444" s="4" t="inlineStr">
        <is>
          <t>18.04.2026</t>
        </is>
      </c>
      <c r="F444" s="4" t="inlineStr"/>
      <c r="G444" s="7" t="n">
        <v>35283.43</v>
      </c>
      <c r="H444" s="7" t="n">
        <v>717.71</v>
      </c>
      <c r="I444" s="7" t="n">
        <v>5801.54</v>
      </c>
      <c r="J444" s="7" t="n">
        <v>36001.14</v>
      </c>
      <c r="K444" s="7" t="n">
        <v>5801.54</v>
      </c>
      <c r="L444" s="7" t="n">
        <v>30199.6</v>
      </c>
      <c r="M444" s="4" t="n">
        <v>27</v>
      </c>
      <c r="N444" s="7" t="n">
        <v>36001.14</v>
      </c>
      <c r="O444" s="4" t="inlineStr">
        <is>
          <t>05510</t>
        </is>
      </c>
      <c r="P444" s="4" t="inlineStr">
        <is>
          <t>7514.01</t>
        </is>
      </c>
    </row>
    <row r="445">
      <c r="A445" s="4" t="inlineStr">
        <is>
          <t>444</t>
        </is>
      </c>
      <c r="B445" s="5" t="inlineStr">
        <is>
          <t>99959615564</t>
        </is>
      </c>
      <c r="C445" s="29" t="inlineStr">
        <is>
          <t>MAHMOUD ALZALEK</t>
        </is>
      </c>
      <c r="D445" s="7" t="n">
        <v>124.78</v>
      </c>
      <c r="E445" s="4" t="inlineStr">
        <is>
          <t>18.04.2026</t>
        </is>
      </c>
      <c r="F445" s="4" t="inlineStr"/>
      <c r="G445" s="7" t="n">
        <v>33030</v>
      </c>
      <c r="H445" s="7" t="n">
        <v>22079.24</v>
      </c>
      <c r="I445" s="7" t="n">
        <v>12902.07</v>
      </c>
      <c r="J445" s="7" t="n">
        <v>55109.24</v>
      </c>
      <c r="K445" s="7" t="n">
        <v>12902.07</v>
      </c>
      <c r="L445" s="7" t="n">
        <v>42207.17</v>
      </c>
      <c r="M445" s="4" t="n">
        <v>30</v>
      </c>
      <c r="N445" s="7" t="n">
        <v>55109.24</v>
      </c>
      <c r="O445" s="4" t="inlineStr">
        <is>
          <t>05510</t>
        </is>
      </c>
      <c r="P445" s="4" t="inlineStr">
        <is>
          <t>7411.02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24" customWidth="1" min="6" max="6"/>
    <col width="28" customWidth="1" min="7" max="7"/>
    <col width="20" customWidth="1" min="8" max="8"/>
  </cols>
  <sheetData>
    <row r="1" ht="25" customHeight="1">
      <c r="A1" s="2" t="inlineStr">
        <is>
          <t>TC Kimlik No</t>
        </is>
      </c>
      <c r="B1" s="2" t="inlineStr">
        <is>
          <t>Adı Soyadı</t>
        </is>
      </c>
      <c r="C1" s="2" t="inlineStr">
        <is>
          <t>Şirket</t>
        </is>
      </c>
      <c r="D1" s="2" t="inlineStr">
        <is>
          <t>İcra Kesintisi (TL)</t>
        </is>
      </c>
      <c r="E1" s="2" t="inlineStr">
        <is>
          <t>Kalan Borç (TL)</t>
        </is>
      </c>
      <c r="F1" s="2" t="inlineStr">
        <is>
          <t>İcra Dosya No</t>
        </is>
      </c>
      <c r="G1" s="2" t="inlineStr">
        <is>
          <t>İban No</t>
        </is>
      </c>
      <c r="H1" s="2" t="inlineStr">
        <is>
          <t>Açıklama</t>
        </is>
      </c>
    </row>
    <row r="2">
      <c r="A2" s="5" t="inlineStr">
        <is>
          <t>20036722080</t>
        </is>
      </c>
      <c r="B2" s="29" t="inlineStr">
        <is>
          <t>ELMAS OMAY</t>
        </is>
      </c>
      <c r="C2" s="4" t="inlineStr">
        <is>
          <t>FİDE KONSERVE</t>
        </is>
      </c>
      <c r="D2" s="7" t="n">
        <v>8584.5</v>
      </c>
      <c r="E2" s="7" t="n">
        <v>52743.55</v>
      </c>
      <c r="F2" s="29" t="inlineStr">
        <is>
          <t>T.C. İSTANBUL 9. İCRA MÜD. DOSYA NO: 2021/14372</t>
        </is>
      </c>
      <c r="G2" s="29" t="inlineStr">
        <is>
          <t>IBAN :TR970001500158007265092168</t>
        </is>
      </c>
      <c r="H2" s="4" t="inlineStr">
        <is>
          <t>Aktif Kesinti</t>
        </is>
      </c>
    </row>
    <row r="3">
      <c r="A3" s="5" t="inlineStr">
        <is>
          <t>19783626574</t>
        </is>
      </c>
      <c r="B3" s="29" t="inlineStr">
        <is>
          <t>MACİDE PIRLAK</t>
        </is>
      </c>
      <c r="C3" s="4" t="inlineStr">
        <is>
          <t>FİDE KONSERVE</t>
        </is>
      </c>
      <c r="D3" s="7" t="n">
        <v>2791.9</v>
      </c>
      <c r="E3" s="7" t="n">
        <v>19409.17</v>
      </c>
      <c r="F3" s="29" t="inlineStr">
        <is>
          <t>T.C.BURSA BANKA ALACAKLARI İCRA DAİRESİ 2024/48584</t>
        </is>
      </c>
      <c r="G3" s="29" t="inlineStr">
        <is>
          <t>İBAN:TR590001500158007322657211</t>
        </is>
      </c>
      <c r="H3" s="4" t="inlineStr">
        <is>
          <t>Aktif Kesinti</t>
        </is>
      </c>
    </row>
    <row r="4">
      <c r="A4" s="5" t="inlineStr">
        <is>
          <t>30925156292</t>
        </is>
      </c>
      <c r="B4" s="29" t="inlineStr">
        <is>
          <t>TUNCAY METİN</t>
        </is>
      </c>
      <c r="C4" s="4" t="inlineStr">
        <is>
          <t>FİDE KONSERVE</t>
        </is>
      </c>
      <c r="D4" s="7" t="n">
        <v>6771.2</v>
      </c>
      <c r="E4" s="7" t="n">
        <v>323100.2</v>
      </c>
      <c r="F4" s="29" t="inlineStr">
        <is>
          <t>T.C.BANDIRMA 2.İCRA DAİRESİ 2025/4863 ESAS</t>
        </is>
      </c>
      <c r="G4" s="29" t="inlineStr">
        <is>
          <t>İBAN :TR150001500158007290497265</t>
        </is>
      </c>
      <c r="H4" s="4" t="inlineStr">
        <is>
          <t>Aktif Kesinti</t>
        </is>
      </c>
    </row>
    <row r="5">
      <c r="A5" s="5" t="inlineStr">
        <is>
          <t>15205679746</t>
        </is>
      </c>
      <c r="B5" s="29" t="inlineStr">
        <is>
          <t>MURAT YONSUL</t>
        </is>
      </c>
      <c r="C5" s="4" t="inlineStr">
        <is>
          <t>FİDE KONSERVE</t>
        </is>
      </c>
      <c r="D5" s="7" t="n">
        <v>1006.16</v>
      </c>
      <c r="E5" s="7" t="n">
        <v>2426.14</v>
      </c>
      <c r="F5" s="29" t="inlineStr">
        <is>
          <t>T.C.İSTANBUL ABONELİK SÖZLEŞMELERİ İCRA DAİRESİ 2023/119515 ESAS</t>
        </is>
      </c>
      <c r="G5" s="29" t="inlineStr">
        <is>
          <t>İBAN :TR300001500158007312424427</t>
        </is>
      </c>
      <c r="H5" s="4" t="inlineStr">
        <is>
          <t>Aktif Kesinti</t>
        </is>
      </c>
    </row>
    <row r="6">
      <c r="A6" s="5" t="inlineStr">
        <is>
          <t>23527501454</t>
        </is>
      </c>
      <c r="B6" s="29" t="inlineStr">
        <is>
          <t>AHMET BEYHAN</t>
        </is>
      </c>
      <c r="C6" s="4" t="inlineStr">
        <is>
          <t>FİDE KONSERVE</t>
        </is>
      </c>
      <c r="D6" s="7" t="n">
        <v>2525</v>
      </c>
      <c r="E6" s="7" t="n">
        <v>-1.909999999999854</v>
      </c>
      <c r="F6" s="29" t="inlineStr">
        <is>
          <t>T.C.KARACABEY İCRA DAİRESİ 2023/1871</t>
        </is>
      </c>
      <c r="G6" s="29" t="inlineStr">
        <is>
          <t>İBAN :TR810001500158007290496853</t>
        </is>
      </c>
      <c r="H6" s="4" t="inlineStr">
        <is>
          <t>Aktif Kesinti</t>
        </is>
      </c>
    </row>
    <row r="7">
      <c r="A7" s="5" t="inlineStr">
        <is>
          <t>23527501454</t>
        </is>
      </c>
      <c r="B7" s="29" t="inlineStr">
        <is>
          <t>AHMET BEYHAN</t>
        </is>
      </c>
      <c r="C7" s="4" t="inlineStr">
        <is>
          <t>FİDE KONSERVE</t>
        </is>
      </c>
      <c r="D7" s="7" t="n">
        <v>5210</v>
      </c>
      <c r="E7" s="7" t="n">
        <v>213040.95</v>
      </c>
      <c r="F7" s="29" t="inlineStr">
        <is>
          <t>T.C.BANDIRMA İCRA DAİRESİ 2023/140</t>
        </is>
      </c>
      <c r="G7" s="29" t="inlineStr">
        <is>
          <t>İBAN :TR050001500158007297862461</t>
        </is>
      </c>
      <c r="H7" s="4" t="inlineStr">
        <is>
          <t>Aktif Kesinti</t>
        </is>
      </c>
    </row>
    <row r="8">
      <c r="A8" s="5" t="inlineStr">
        <is>
          <t>00641</t>
        </is>
      </c>
      <c r="B8" s="29" t="inlineStr">
        <is>
          <t>EZGİ EBRU ÖZÇELİK</t>
        </is>
      </c>
      <c r="C8" s="4" t="inlineStr">
        <is>
          <t>FİDE KONSERVE</t>
        </is>
      </c>
      <c r="D8" s="7" t="n">
        <v>1670.3</v>
      </c>
      <c r="E8" s="7" t="n">
        <v>51453.37</v>
      </c>
      <c r="F8" s="29" t="inlineStr">
        <is>
          <t>T.C.ZONGULDAK İCRA DAİRESİ 2025/9594</t>
        </is>
      </c>
      <c r="G8" s="29" t="inlineStr">
        <is>
          <t>İBAN :TR600001500158007290499365</t>
        </is>
      </c>
      <c r="H8" s="4" t="inlineStr">
        <is>
          <t>Aktif Kesinti</t>
        </is>
      </c>
    </row>
    <row r="9">
      <c r="A9" s="5" t="inlineStr"/>
      <c r="B9" s="29" t="inlineStr">
        <is>
          <t>SEVİM POLAT</t>
        </is>
      </c>
      <c r="C9" s="4" t="inlineStr">
        <is>
          <t>FİDE KONSERVE</t>
        </is>
      </c>
      <c r="D9" s="7" t="n">
        <v>1190</v>
      </c>
      <c r="E9" s="7" t="n">
        <v>1189.32</v>
      </c>
      <c r="F9" s="29" t="inlineStr">
        <is>
          <t>T.C.İSTANBUL ANADOLUABONELİK SÖZLEŞMELERİ İCRA DAİRESİ 2024/30441</t>
        </is>
      </c>
      <c r="G9" s="29" t="inlineStr">
        <is>
          <t>İBAN :TR110001500158007312418852</t>
        </is>
      </c>
      <c r="H9" s="4" t="inlineStr">
        <is>
          <t>Aktif Kesinti</t>
        </is>
      </c>
    </row>
    <row r="10">
      <c r="A10" s="5" t="inlineStr">
        <is>
          <t>37798033156</t>
        </is>
      </c>
      <c r="B10" s="29" t="inlineStr">
        <is>
          <t>FİLİZ ŞENGİL</t>
        </is>
      </c>
      <c r="C10" s="4" t="inlineStr">
        <is>
          <t>FİDE KONSERVE</t>
        </is>
      </c>
      <c r="D10" s="7" t="n">
        <v>1925</v>
      </c>
      <c r="E10" s="7" t="n">
        <v>-4.740000000000009</v>
      </c>
      <c r="F10" s="29" t="inlineStr">
        <is>
          <t>T.C.KARACABEY İCRA DAİRESİ 2022/2572</t>
        </is>
      </c>
      <c r="G10" s="29" t="inlineStr">
        <is>
          <t>İBAN :TR810001500158007290496853</t>
        </is>
      </c>
      <c r="H10" s="4" t="inlineStr">
        <is>
          <t>Aktif Kesinti</t>
        </is>
      </c>
    </row>
    <row r="11">
      <c r="A11" s="5" t="inlineStr">
        <is>
          <t>37798033156</t>
        </is>
      </c>
      <c r="B11" s="29" t="inlineStr">
        <is>
          <t>FİLİZ ŞENGİL</t>
        </is>
      </c>
      <c r="C11" s="4" t="inlineStr">
        <is>
          <t>FİDE KONSERVE</t>
        </is>
      </c>
      <c r="D11" s="7" t="n">
        <v>1910</v>
      </c>
      <c r="E11" s="7" t="n">
        <v>4872.73</v>
      </c>
      <c r="F11" s="29" t="inlineStr">
        <is>
          <t>T.C.BURSA 3.GENEL İCRA DAİRESİ 2021/11012</t>
        </is>
      </c>
      <c r="G11" s="29" t="inlineStr">
        <is>
          <t>İBAN :TR740001500158007290499986</t>
        </is>
      </c>
      <c r="H11" s="4" t="inlineStr">
        <is>
          <t>Aktif Kesinti</t>
        </is>
      </c>
    </row>
    <row r="12">
      <c r="A12" s="5" t="inlineStr"/>
      <c r="B12" s="29" t="inlineStr">
        <is>
          <t>MÜNİRE DEMİRTAŞ</t>
        </is>
      </c>
      <c r="C12" s="4" t="inlineStr">
        <is>
          <t>FİDE KONSERVE</t>
        </is>
      </c>
      <c r="D12" s="7" t="n">
        <v>2151.9</v>
      </c>
      <c r="E12" s="7" t="n">
        <v>8048.1</v>
      </c>
      <c r="F12" s="29" t="inlineStr">
        <is>
          <t>T.C KARŞIYAKA 3. İCRA DAİRESİ 2026-3288</t>
        </is>
      </c>
      <c r="G12" s="29" t="inlineStr">
        <is>
          <t>İBAN :TR890001500158007290494284</t>
        </is>
      </c>
      <c r="H12" s="4" t="inlineStr">
        <is>
          <t>Aktif Kesinti</t>
        </is>
      </c>
    </row>
    <row r="13">
      <c r="A13" s="5" t="inlineStr">
        <is>
          <t>58846251650</t>
        </is>
      </c>
      <c r="B13" s="29" t="inlineStr">
        <is>
          <t>ŞAHİN TEMEL</t>
        </is>
      </c>
      <c r="C13" s="4" t="inlineStr">
        <is>
          <t>FİDE KONSERVE</t>
        </is>
      </c>
      <c r="D13" s="7" t="n">
        <v>2648.4</v>
      </c>
      <c r="E13" s="7" t="n">
        <v>85323.51000000001</v>
      </c>
      <c r="F13" s="29" t="inlineStr">
        <is>
          <t>T.C KARACABEY İCRA DAİRESİ 2023/2537</t>
        </is>
      </c>
      <c r="G13" s="29" t="inlineStr">
        <is>
          <t>İBAN :TR810001500158007290496853</t>
        </is>
      </c>
      <c r="H13" s="4" t="inlineStr">
        <is>
          <t>Aktif Kesinti</t>
        </is>
      </c>
    </row>
    <row r="14">
      <c r="A14" s="5" t="inlineStr">
        <is>
          <t>42844787082</t>
        </is>
      </c>
      <c r="B14" s="29" t="inlineStr">
        <is>
          <t>İSMAİL BARAK</t>
        </is>
      </c>
      <c r="C14" s="4" t="inlineStr">
        <is>
          <t>FİDE KONSERVE</t>
        </is>
      </c>
      <c r="D14" s="7" t="n">
        <v>3897.2</v>
      </c>
      <c r="E14" s="7" t="n">
        <v>17206.52</v>
      </c>
      <c r="F14" s="29" t="inlineStr">
        <is>
          <t>T.C. İSTANBUL ANADOLU 1.BANKA ALACAKLARI İCRA DAİRESİ 2023/196989</t>
        </is>
      </c>
      <c r="G14" s="29" t="inlineStr">
        <is>
          <t>İBAN :TR810001500158007312418853</t>
        </is>
      </c>
      <c r="H14" s="4" t="inlineStr">
        <is>
          <t>Aktif Kesinti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2" customWidth="1" min="4" max="4"/>
    <col width="18" customWidth="1" min="5" max="5"/>
    <col width="15" customWidth="1" min="6" max="6"/>
    <col width="15" customWidth="1" min="7" max="7"/>
  </cols>
  <sheetData>
    <row r="1" ht="25" customHeight="1">
      <c r="A1" s="2" t="inlineStr">
        <is>
          <t>Takip No</t>
        </is>
      </c>
      <c r="B1" s="2" t="inlineStr">
        <is>
          <t>Sıra No</t>
        </is>
      </c>
      <c r="C1" s="2" t="inlineStr">
        <is>
          <t>TC Kimlik No</t>
        </is>
      </c>
      <c r="D1" s="2" t="inlineStr">
        <is>
          <t>Adı Soyadı</t>
        </is>
      </c>
      <c r="E1" s="2" t="inlineStr">
        <is>
          <t>Vaka Türü</t>
        </is>
      </c>
      <c r="F1" s="2" t="inlineStr">
        <is>
          <t>Poliklinik Tarihi</t>
        </is>
      </c>
      <c r="G1" s="2" t="inlineStr">
        <is>
          <t>İşbaşı Tarihi</t>
        </is>
      </c>
    </row>
    <row r="2">
      <c r="A2" s="4" t="inlineStr">
        <is>
          <t>1</t>
        </is>
      </c>
      <c r="B2" s="4" t="inlineStr">
        <is>
          <t>17335367982</t>
        </is>
      </c>
      <c r="C2" s="5" t="inlineStr"/>
      <c r="D2" s="29" t="inlineStr">
        <is>
          <t>İŞ KAZASI</t>
        </is>
      </c>
      <c r="E2" s="29" t="inlineStr">
        <is>
          <t>46237</t>
        </is>
      </c>
      <c r="F2" s="4" t="inlineStr">
        <is>
          <t>05.08.2026</t>
        </is>
      </c>
      <c r="G2" s="4" t="inlineStr"/>
    </row>
    <row r="3">
      <c r="A3" s="4" t="inlineStr">
        <is>
          <t>1</t>
        </is>
      </c>
      <c r="B3" s="4" t="inlineStr">
        <is>
          <t>33379057108</t>
        </is>
      </c>
      <c r="C3" s="5" t="inlineStr"/>
      <c r="D3" s="29" t="inlineStr">
        <is>
          <t>HASTALIK</t>
        </is>
      </c>
      <c r="E3" s="29" t="inlineStr">
        <is>
          <t>46238</t>
        </is>
      </c>
      <c r="F3" s="4" t="inlineStr">
        <is>
          <t>09.08.2026</t>
        </is>
      </c>
      <c r="G3" s="4" t="inlineStr"/>
    </row>
    <row r="4">
      <c r="A4" s="4" t="inlineStr">
        <is>
          <t>1</t>
        </is>
      </c>
      <c r="B4" s="4" t="inlineStr">
        <is>
          <t>16231745504</t>
        </is>
      </c>
      <c r="C4" s="5" t="inlineStr"/>
      <c r="D4" s="29" t="inlineStr">
        <is>
          <t>İŞ KAZASI</t>
        </is>
      </c>
      <c r="E4" s="29" t="inlineStr">
        <is>
          <t>46240</t>
        </is>
      </c>
      <c r="F4" s="4" t="inlineStr">
        <is>
          <t>07.08.2026</t>
        </is>
      </c>
      <c r="G4" s="4" t="inlineStr"/>
    </row>
    <row r="5">
      <c r="A5" s="4" t="inlineStr">
        <is>
          <t>1</t>
        </is>
      </c>
      <c r="B5" s="4" t="inlineStr">
        <is>
          <t>33103190842</t>
        </is>
      </c>
      <c r="C5" s="5" t="inlineStr"/>
      <c r="D5" s="29" t="inlineStr">
        <is>
          <t>HASTALIK</t>
        </is>
      </c>
      <c r="E5" s="29" t="inlineStr">
        <is>
          <t>46240</t>
        </is>
      </c>
      <c r="F5" s="4" t="inlineStr">
        <is>
          <t>09.08.2026</t>
        </is>
      </c>
      <c r="G5" s="4" t="inlineStr"/>
    </row>
    <row r="6">
      <c r="A6" s="4" t="inlineStr">
        <is>
          <t>1</t>
        </is>
      </c>
      <c r="B6" s="4" t="inlineStr">
        <is>
          <t>18748661292</t>
        </is>
      </c>
      <c r="C6" s="5" t="inlineStr"/>
      <c r="D6" s="29" t="inlineStr">
        <is>
          <t>HASTALIK</t>
        </is>
      </c>
      <c r="E6" s="29" t="inlineStr">
        <is>
          <t>46241</t>
        </is>
      </c>
      <c r="F6" s="4" t="inlineStr">
        <is>
          <t>16.08.2026</t>
        </is>
      </c>
      <c r="G6" s="4" t="inlineStr"/>
    </row>
    <row r="7">
      <c r="A7" s="4" t="inlineStr">
        <is>
          <t>1</t>
        </is>
      </c>
      <c r="B7" s="4" t="inlineStr">
        <is>
          <t>33103190842</t>
        </is>
      </c>
      <c r="C7" s="5" t="inlineStr"/>
      <c r="D7" s="29" t="inlineStr">
        <is>
          <t>HASTALIK</t>
        </is>
      </c>
      <c r="E7" s="29" t="inlineStr">
        <is>
          <t>46244</t>
        </is>
      </c>
      <c r="F7" s="4" t="inlineStr">
        <is>
          <t>20.08.2026</t>
        </is>
      </c>
      <c r="G7" s="4" t="inlineStr"/>
    </row>
    <row r="8">
      <c r="A8" s="4" t="inlineStr">
        <is>
          <t>1</t>
        </is>
      </c>
      <c r="B8" s="4" t="inlineStr">
        <is>
          <t>22319750032</t>
        </is>
      </c>
      <c r="C8" s="5" t="inlineStr"/>
      <c r="D8" s="29" t="inlineStr">
        <is>
          <t>HASTALIK</t>
        </is>
      </c>
      <c r="E8" s="29" t="inlineStr">
        <is>
          <t>46244</t>
        </is>
      </c>
      <c r="F8" s="4" t="inlineStr">
        <is>
          <t>13.08.2026</t>
        </is>
      </c>
      <c r="G8" s="4" t="inlineStr"/>
    </row>
    <row r="9">
      <c r="A9" s="4" t="inlineStr">
        <is>
          <t>1</t>
        </is>
      </c>
      <c r="B9" s="4" t="inlineStr">
        <is>
          <t>14644681464</t>
        </is>
      </c>
      <c r="C9" s="5" t="inlineStr"/>
      <c r="D9" s="29" t="inlineStr">
        <is>
          <t>HASTALIK</t>
        </is>
      </c>
      <c r="E9" s="29" t="inlineStr">
        <is>
          <t>46244</t>
        </is>
      </c>
      <c r="F9" s="4" t="inlineStr">
        <is>
          <t>13.08.2026</t>
        </is>
      </c>
      <c r="G9" s="4" t="inlineStr"/>
    </row>
    <row r="10">
      <c r="A10" s="4" t="inlineStr">
        <is>
          <t>1</t>
        </is>
      </c>
      <c r="B10" s="4" t="inlineStr">
        <is>
          <t>13741828666</t>
        </is>
      </c>
      <c r="C10" s="5" t="inlineStr"/>
      <c r="D10" s="29" t="inlineStr">
        <is>
          <t>İŞ KAZASI</t>
        </is>
      </c>
      <c r="E10" s="29" t="inlineStr">
        <is>
          <t>46245</t>
        </is>
      </c>
      <c r="F10" s="4" t="inlineStr">
        <is>
          <t>12.08.2026</t>
        </is>
      </c>
      <c r="G10" s="4" t="inlineStr"/>
    </row>
    <row r="11">
      <c r="A11" s="4" t="inlineStr">
        <is>
          <t>1</t>
        </is>
      </c>
      <c r="B11" s="4" t="inlineStr">
        <is>
          <t>15250777510</t>
        </is>
      </c>
      <c r="C11" s="5" t="inlineStr"/>
      <c r="D11" s="29" t="inlineStr">
        <is>
          <t>HASTALIK</t>
        </is>
      </c>
      <c r="E11" s="29" t="inlineStr">
        <is>
          <t>46245</t>
        </is>
      </c>
      <c r="F11" s="4" t="inlineStr">
        <is>
          <t>14.08.2026</t>
        </is>
      </c>
      <c r="G11" s="4" t="inlineStr"/>
    </row>
    <row r="12">
      <c r="A12" s="4" t="inlineStr">
        <is>
          <t>1</t>
        </is>
      </c>
      <c r="B12" s="4" t="inlineStr">
        <is>
          <t>13741828666</t>
        </is>
      </c>
      <c r="C12" s="5" t="inlineStr"/>
      <c r="D12" s="29" t="inlineStr">
        <is>
          <t>İŞ KAZASI</t>
        </is>
      </c>
      <c r="E12" s="29" t="inlineStr">
        <is>
          <t>46246</t>
        </is>
      </c>
      <c r="F12" s="4" t="inlineStr">
        <is>
          <t>17.08.2026</t>
        </is>
      </c>
      <c r="G12" s="4" t="inlineStr"/>
    </row>
    <row r="13">
      <c r="A13" s="4" t="inlineStr">
        <is>
          <t>1</t>
        </is>
      </c>
      <c r="B13" s="4" t="inlineStr">
        <is>
          <t>38263019484</t>
        </is>
      </c>
      <c r="C13" s="5" t="inlineStr"/>
      <c r="D13" s="29" t="inlineStr">
        <is>
          <t>İŞ KAZASI</t>
        </is>
      </c>
      <c r="E13" s="29" t="inlineStr">
        <is>
          <t>46251</t>
        </is>
      </c>
      <c r="F13" s="4" t="inlineStr">
        <is>
          <t>20.08.2026</t>
        </is>
      </c>
      <c r="G13" s="4" t="inlineStr"/>
    </row>
    <row r="14">
      <c r="A14" s="4" t="inlineStr">
        <is>
          <t>1</t>
        </is>
      </c>
      <c r="B14" s="4" t="inlineStr">
        <is>
          <t>24709461474</t>
        </is>
      </c>
      <c r="C14" s="5" t="inlineStr"/>
      <c r="D14" s="29" t="inlineStr">
        <is>
          <t>HASTALIK</t>
        </is>
      </c>
      <c r="E14" s="29" t="inlineStr">
        <is>
          <t>46251</t>
        </is>
      </c>
      <c r="F14" s="4" t="inlineStr">
        <is>
          <t>20.08.2026</t>
        </is>
      </c>
      <c r="G14" s="4" t="inlineStr"/>
    </row>
    <row r="15">
      <c r="A15" s="4" t="inlineStr">
        <is>
          <t>1</t>
        </is>
      </c>
      <c r="B15" s="4" t="inlineStr">
        <is>
          <t>98284188514</t>
        </is>
      </c>
      <c r="C15" s="5" t="inlineStr"/>
      <c r="D15" s="29" t="inlineStr">
        <is>
          <t>HASTALIK</t>
        </is>
      </c>
      <c r="E15" s="29" t="inlineStr">
        <is>
          <t>46252</t>
        </is>
      </c>
      <c r="F15" s="4" t="inlineStr">
        <is>
          <t>28.08.2026</t>
        </is>
      </c>
      <c r="G15" s="4" t="inlineStr"/>
    </row>
    <row r="16">
      <c r="A16" s="4" t="inlineStr">
        <is>
          <t>1</t>
        </is>
      </c>
      <c r="B16" s="4" t="inlineStr">
        <is>
          <t>19783626574</t>
        </is>
      </c>
      <c r="C16" s="5" t="inlineStr"/>
      <c r="D16" s="29" t="inlineStr">
        <is>
          <t>HASTALIK</t>
        </is>
      </c>
      <c r="E16" s="29" t="inlineStr">
        <is>
          <t>46252</t>
        </is>
      </c>
      <c r="F16" s="4" t="inlineStr">
        <is>
          <t>23.08.2026</t>
        </is>
      </c>
      <c r="G16" s="4" t="inlineStr"/>
    </row>
    <row r="17">
      <c r="A17" s="4" t="inlineStr">
        <is>
          <t>1</t>
        </is>
      </c>
      <c r="B17" s="4" t="inlineStr">
        <is>
          <t>66064334710</t>
        </is>
      </c>
      <c r="C17" s="5" t="inlineStr"/>
      <c r="D17" s="29" t="inlineStr">
        <is>
          <t>HASTALIK</t>
        </is>
      </c>
      <c r="E17" s="29" t="inlineStr">
        <is>
          <t>46253</t>
        </is>
      </c>
      <c r="F17" s="4" t="inlineStr">
        <is>
          <t>23.08.2026</t>
        </is>
      </c>
      <c r="G17" s="4" t="inlineStr">
        <is>
          <t>çıkış</t>
        </is>
      </c>
    </row>
    <row r="18">
      <c r="A18" s="4" t="inlineStr">
        <is>
          <t>1</t>
        </is>
      </c>
      <c r="B18" s="4" t="inlineStr">
        <is>
          <t>38263019484</t>
        </is>
      </c>
      <c r="C18" s="5" t="inlineStr"/>
      <c r="D18" s="29" t="inlineStr">
        <is>
          <t>İŞ KAZASI</t>
        </is>
      </c>
      <c r="E18" s="29" t="inlineStr">
        <is>
          <t>46254</t>
        </is>
      </c>
      <c r="F18" s="4" t="inlineStr">
        <is>
          <t>30.08.2026</t>
        </is>
      </c>
      <c r="G18" s="4" t="inlineStr"/>
    </row>
    <row r="19">
      <c r="A19" s="4" t="inlineStr">
        <is>
          <t>1</t>
        </is>
      </c>
      <c r="B19" s="4" t="inlineStr">
        <is>
          <t>17096459292</t>
        </is>
      </c>
      <c r="C19" s="5" t="inlineStr"/>
      <c r="D19" s="29" t="inlineStr">
        <is>
          <t>HASTALIK</t>
        </is>
      </c>
      <c r="E19" s="29" t="inlineStr">
        <is>
          <t>46258</t>
        </is>
      </c>
      <c r="F19" s="4" t="inlineStr">
        <is>
          <t>30.08.2026</t>
        </is>
      </c>
      <c r="G19" s="4" t="inlineStr"/>
    </row>
    <row r="20">
      <c r="A20" s="4" t="inlineStr">
        <is>
          <t>1</t>
        </is>
      </c>
      <c r="B20" s="4" t="inlineStr">
        <is>
          <t>66064334710</t>
        </is>
      </c>
      <c r="C20" s="5" t="inlineStr"/>
      <c r="D20" s="29" t="inlineStr">
        <is>
          <t>HASTALIK</t>
        </is>
      </c>
      <c r="E20" s="29" t="inlineStr">
        <is>
          <t>46260</t>
        </is>
      </c>
      <c r="F20" s="4" t="inlineStr">
        <is>
          <t>29.08.2026</t>
        </is>
      </c>
      <c r="G20" s="4" t="inlineStr">
        <is>
          <t>çıkış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</cols>
  <sheetData>
    <row r="1" ht="25" customHeight="1">
      <c r="A1" s="2" t="inlineStr">
        <is>
          <t>TC Kimlik No</t>
        </is>
      </c>
      <c r="B1" s="2" t="inlineStr">
        <is>
          <t>Adı Soyadı</t>
        </is>
      </c>
      <c r="C1" s="2" t="inlineStr">
        <is>
          <t>İzin Saati</t>
        </is>
      </c>
      <c r="D1" s="2" t="inlineStr">
        <is>
          <t>İzin Günü</t>
        </is>
      </c>
    </row>
    <row r="2">
      <c r="A2" s="5" t="inlineStr">
        <is>
          <t>28027546004</t>
        </is>
      </c>
      <c r="B2" s="29" t="inlineStr">
        <is>
          <t>MESUT ERDEL</t>
        </is>
      </c>
      <c r="C2" s="31" t="n">
        <v>135</v>
      </c>
      <c r="D2" s="31" t="n">
        <v>18</v>
      </c>
    </row>
    <row r="3">
      <c r="A3" s="5" t="inlineStr">
        <is>
          <t>37525041782</t>
        </is>
      </c>
      <c r="B3" s="29" t="inlineStr">
        <is>
          <t>DERYA SEVİNÇ</t>
        </is>
      </c>
      <c r="C3" s="31" t="n">
        <v>7.5</v>
      </c>
      <c r="D3" s="31" t="n">
        <v>1</v>
      </c>
    </row>
    <row r="4">
      <c r="A4" s="5" t="inlineStr">
        <is>
          <t>29677146866</t>
        </is>
      </c>
      <c r="B4" s="29" t="inlineStr">
        <is>
          <t>RABİYE ÇENECİOĞLU</t>
        </is>
      </c>
      <c r="C4" s="31" t="n">
        <v>15</v>
      </c>
      <c r="D4" s="31" t="n">
        <v>2</v>
      </c>
    </row>
    <row r="5">
      <c r="A5" s="5" t="inlineStr">
        <is>
          <t>34120156552</t>
        </is>
      </c>
      <c r="B5" s="29" t="inlineStr">
        <is>
          <t>AYŞE YILMAZ-MKP</t>
        </is>
      </c>
      <c r="C5" s="31" t="n">
        <v>30</v>
      </c>
      <c r="D5" s="31" t="n">
        <v>4</v>
      </c>
    </row>
    <row r="6">
      <c r="A6" s="5" t="inlineStr">
        <is>
          <t>20437654348</t>
        </is>
      </c>
      <c r="B6" s="29" t="inlineStr">
        <is>
          <t>ADALET KALAYCI</t>
        </is>
      </c>
      <c r="C6" s="31" t="n">
        <v>97.5</v>
      </c>
      <c r="D6" s="31" t="n">
        <v>13</v>
      </c>
    </row>
    <row r="7">
      <c r="A7" s="5" t="inlineStr">
        <is>
          <t>18370524392</t>
        </is>
      </c>
      <c r="B7" s="29" t="inlineStr">
        <is>
          <t>EDA ELBİ</t>
        </is>
      </c>
      <c r="C7" s="31" t="n">
        <v>15</v>
      </c>
      <c r="D7" s="31" t="n">
        <v>2</v>
      </c>
    </row>
    <row r="8">
      <c r="A8" s="5" t="inlineStr">
        <is>
          <t>16933572286</t>
        </is>
      </c>
      <c r="B8" s="29" t="inlineStr">
        <is>
          <t>CANSEVER ÇÇAKMAK</t>
        </is>
      </c>
      <c r="C8" s="31" t="n">
        <v>22.5</v>
      </c>
      <c r="D8" s="31" t="n">
        <v>3</v>
      </c>
    </row>
    <row r="9">
      <c r="A9" s="5" t="inlineStr">
        <is>
          <t>18655664102</t>
        </is>
      </c>
      <c r="B9" s="29" t="inlineStr">
        <is>
          <t>ADVİYE YARICI</t>
        </is>
      </c>
      <c r="C9" s="31" t="n">
        <v>52.5</v>
      </c>
      <c r="D9" s="31" t="n">
        <v>7</v>
      </c>
    </row>
    <row r="10">
      <c r="A10" s="5" t="inlineStr">
        <is>
          <t>24280352994</t>
        </is>
      </c>
      <c r="B10" s="29" t="inlineStr">
        <is>
          <t>AYŞE KARAMAN</t>
        </is>
      </c>
      <c r="C10" s="31" t="n">
        <v>15</v>
      </c>
      <c r="D10" s="31" t="n">
        <v>2</v>
      </c>
    </row>
    <row r="11">
      <c r="A11" s="5" t="inlineStr">
        <is>
          <t>30373124058</t>
        </is>
      </c>
      <c r="B11" s="29" t="inlineStr">
        <is>
          <t>SANİYE CEYLAN</t>
        </is>
      </c>
      <c r="C11" s="31" t="n">
        <v>30</v>
      </c>
      <c r="D11" s="31" t="n">
        <v>4</v>
      </c>
    </row>
    <row r="12">
      <c r="A12" s="5" t="inlineStr">
        <is>
          <t>31861120316</t>
        </is>
      </c>
      <c r="B12" s="29" t="inlineStr">
        <is>
          <t>ZAHİDE GÜRBÜZ</t>
        </is>
      </c>
      <c r="C12" s="31" t="n">
        <v>45</v>
      </c>
      <c r="D12" s="31" t="n">
        <v>6</v>
      </c>
    </row>
    <row r="13">
      <c r="A13" s="5" t="inlineStr">
        <is>
          <t>20036722080</t>
        </is>
      </c>
      <c r="B13" s="29" t="inlineStr">
        <is>
          <t>ELMAS OMAY</t>
        </is>
      </c>
      <c r="C13" s="31" t="n">
        <v>22.5</v>
      </c>
      <c r="D13" s="31" t="n">
        <v>3</v>
      </c>
    </row>
    <row r="14">
      <c r="A14" s="5" t="inlineStr">
        <is>
          <t>10255820520</t>
        </is>
      </c>
      <c r="B14" s="29" t="inlineStr">
        <is>
          <t>ŞERBANE SARAN</t>
        </is>
      </c>
      <c r="C14" s="31" t="n">
        <v>15</v>
      </c>
      <c r="D14" s="31" t="n">
        <v>2</v>
      </c>
    </row>
    <row r="15">
      <c r="A15" s="5" t="inlineStr">
        <is>
          <t>14452686422</t>
        </is>
      </c>
      <c r="B15" s="29" t="inlineStr">
        <is>
          <t>NESRİN GÜZEL</t>
        </is>
      </c>
      <c r="C15" s="31" t="n">
        <v>15</v>
      </c>
      <c r="D15" s="31" t="n">
        <v>2</v>
      </c>
    </row>
    <row r="16">
      <c r="A16" s="5" t="inlineStr">
        <is>
          <t>31009103096</t>
        </is>
      </c>
      <c r="B16" s="29" t="inlineStr">
        <is>
          <t>EMEL SANAN</t>
        </is>
      </c>
      <c r="C16" s="31" t="n">
        <v>75</v>
      </c>
      <c r="D16" s="31" t="n">
        <v>10</v>
      </c>
    </row>
    <row r="17">
      <c r="A17" s="5" t="inlineStr">
        <is>
          <t>23329391024</t>
        </is>
      </c>
      <c r="B17" s="29" t="inlineStr">
        <is>
          <t>MUKATDES KARAMANOĞLU</t>
        </is>
      </c>
      <c r="C17" s="31" t="n">
        <v>15</v>
      </c>
      <c r="D17" s="31" t="n">
        <v>2</v>
      </c>
    </row>
    <row r="18">
      <c r="A18" s="5" t="inlineStr">
        <is>
          <t>33379057108</t>
        </is>
      </c>
      <c r="B18" s="29" t="inlineStr">
        <is>
          <t>GÜLAY GÜNDOĞDU</t>
        </is>
      </c>
      <c r="C18" s="31" t="n">
        <v>15</v>
      </c>
      <c r="D18" s="31" t="n">
        <v>2</v>
      </c>
    </row>
    <row r="19">
      <c r="A19" s="5" t="inlineStr">
        <is>
          <t>49981303052</t>
        </is>
      </c>
      <c r="B19" s="29" t="inlineStr">
        <is>
          <t>KADİR AZAR</t>
        </is>
      </c>
      <c r="C19" s="31" t="n">
        <v>30</v>
      </c>
      <c r="D19" s="31" t="n">
        <v>4</v>
      </c>
    </row>
    <row r="20">
      <c r="A20" s="5" t="inlineStr">
        <is>
          <t>25060351046</t>
        </is>
      </c>
      <c r="B20" s="29" t="inlineStr">
        <is>
          <t>İSMAİL İMİR</t>
        </is>
      </c>
      <c r="C20" s="31" t="n">
        <v>52.5</v>
      </c>
      <c r="D20" s="31" t="n">
        <v>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2" customWidth="1" min="4" max="4"/>
    <col width="14" customWidth="1" min="5" max="5"/>
    <col width="14" customWidth="1" min="6" max="6"/>
    <col width="15" customWidth="1" min="7" max="7"/>
  </cols>
  <sheetData>
    <row r="1" ht="25" customHeight="1">
      <c r="A1" s="2" t="inlineStr">
        <is>
          <t>Sıra No</t>
        </is>
      </c>
      <c r="B1" s="2" t="inlineStr">
        <is>
          <t>TC Kimlik No</t>
        </is>
      </c>
      <c r="C1" s="2" t="inlineStr">
        <is>
          <t>Adı Soyadı</t>
        </is>
      </c>
      <c r="D1" s="2" t="inlineStr">
        <is>
          <t>SGK Giriş</t>
        </is>
      </c>
      <c r="E1" s="2" t="inlineStr">
        <is>
          <t>SGK Durum</t>
        </is>
      </c>
      <c r="F1" s="2" t="inlineStr">
        <is>
          <t>Kadro</t>
        </is>
      </c>
      <c r="G1" s="2" t="inlineStr">
        <is>
          <t>Maaş (TL)</t>
        </is>
      </c>
    </row>
    <row r="2">
      <c r="A2" s="4" t="n">
        <v>1</v>
      </c>
      <c r="B2" s="5" t="inlineStr">
        <is>
          <t>23527501454</t>
        </is>
      </c>
      <c r="C2" s="29" t="inlineStr">
        <is>
          <t>AHMET BEYHAN</t>
        </is>
      </c>
      <c r="D2" s="4" t="inlineStr">
        <is>
          <t>16.12.2025</t>
        </is>
      </c>
      <c r="E2" s="4" t="inlineStr">
        <is>
          <t>NORMAL</t>
        </is>
      </c>
      <c r="F2" s="4" t="inlineStr">
        <is>
          <t>DAİMİ</t>
        </is>
      </c>
      <c r="G2" s="7" t="n">
        <v>32000</v>
      </c>
    </row>
    <row r="3">
      <c r="A3" s="4" t="n">
        <v>2</v>
      </c>
      <c r="B3" s="5" t="inlineStr">
        <is>
          <t>28123249472</t>
        </is>
      </c>
      <c r="C3" s="29" t="inlineStr">
        <is>
          <t>AHMET ŞŞENER</t>
        </is>
      </c>
      <c r="D3" s="4" t="inlineStr">
        <is>
          <t>10.02.2026</t>
        </is>
      </c>
      <c r="E3" s="4" t="inlineStr">
        <is>
          <t>SGDP-ENGELLİ</t>
        </is>
      </c>
      <c r="F3" s="4" t="inlineStr">
        <is>
          <t>DAİMİ</t>
        </is>
      </c>
      <c r="G3" s="7" t="n">
        <v>30185</v>
      </c>
    </row>
    <row r="4">
      <c r="A4" s="4" t="n">
        <v>3</v>
      </c>
      <c r="B4" s="5" t="inlineStr">
        <is>
          <t>18394573482</t>
        </is>
      </c>
      <c r="C4" s="29" t="inlineStr">
        <is>
          <t>ANIL DEMİRTAŞ</t>
        </is>
      </c>
      <c r="D4" s="4" t="inlineStr">
        <is>
          <t>10.02.2026</t>
        </is>
      </c>
      <c r="E4" s="4" t="inlineStr">
        <is>
          <t>NORMAL</t>
        </is>
      </c>
      <c r="F4" s="4" t="inlineStr">
        <is>
          <t>DAİMİ</t>
        </is>
      </c>
      <c r="G4" s="7" t="n">
        <v>28075.5</v>
      </c>
    </row>
    <row r="5">
      <c r="A5" s="4" t="n">
        <v>4</v>
      </c>
      <c r="B5" s="5" t="inlineStr">
        <is>
          <t>25567503092</t>
        </is>
      </c>
      <c r="C5" s="29" t="inlineStr">
        <is>
          <t>AYÇA SEZER</t>
        </is>
      </c>
      <c r="D5" s="4" t="inlineStr">
        <is>
          <t>10.02.2026</t>
        </is>
      </c>
      <c r="E5" s="4" t="inlineStr">
        <is>
          <t>NORMAL</t>
        </is>
      </c>
      <c r="F5" s="4" t="inlineStr">
        <is>
          <t>DAİMİ</t>
        </is>
      </c>
      <c r="G5" s="7" t="n">
        <v>33000</v>
      </c>
    </row>
    <row r="6">
      <c r="A6" s="4" t="n">
        <v>5</v>
      </c>
      <c r="B6" s="5" t="inlineStr">
        <is>
          <t>11206757414</t>
        </is>
      </c>
      <c r="C6" s="29" t="inlineStr">
        <is>
          <t>BERK BERBER</t>
        </is>
      </c>
      <c r="D6" s="4" t="inlineStr">
        <is>
          <t>06.05.2026</t>
        </is>
      </c>
      <c r="E6" s="4" t="inlineStr">
        <is>
          <t>NORMAL</t>
        </is>
      </c>
      <c r="F6" s="4" t="inlineStr">
        <is>
          <t>DAİMİ</t>
        </is>
      </c>
      <c r="G6" s="7" t="n">
        <v>50000</v>
      </c>
    </row>
    <row r="7">
      <c r="A7" s="4" t="n">
        <v>6</v>
      </c>
      <c r="B7" s="5" t="inlineStr">
        <is>
          <t>10201948476</t>
        </is>
      </c>
      <c r="C7" s="29" t="inlineStr">
        <is>
          <t>BUKET DÖNMEZ</t>
        </is>
      </c>
      <c r="D7" s="4" t="inlineStr">
        <is>
          <t>06.07.2026</t>
        </is>
      </c>
      <c r="E7" s="4" t="inlineStr">
        <is>
          <t>NORMAL</t>
        </is>
      </c>
      <c r="F7" s="4" t="inlineStr">
        <is>
          <t>DAİMİ</t>
        </is>
      </c>
      <c r="G7" s="7" t="n">
        <v>28075.5</v>
      </c>
    </row>
    <row r="8">
      <c r="A8" s="4" t="n">
        <v>7</v>
      </c>
      <c r="B8" s="5" t="inlineStr">
        <is>
          <t>33154180038</t>
        </is>
      </c>
      <c r="C8" s="29" t="inlineStr">
        <is>
          <t>CEMALETTİN BEDİZCİ</t>
        </is>
      </c>
      <c r="D8" s="4" t="inlineStr">
        <is>
          <t>01.05.2021</t>
        </is>
      </c>
      <c r="E8" s="4" t="inlineStr">
        <is>
          <t>SGDP</t>
        </is>
      </c>
      <c r="F8" s="4" t="inlineStr">
        <is>
          <t>DAİMİ</t>
        </is>
      </c>
      <c r="G8" s="7" t="n">
        <v>60000</v>
      </c>
    </row>
    <row r="9">
      <c r="A9" s="4" t="n">
        <v>8</v>
      </c>
      <c r="B9" s="5" t="inlineStr">
        <is>
          <t>23083367440</t>
        </is>
      </c>
      <c r="C9" s="29" t="inlineStr">
        <is>
          <t>CEYDA ÖZ</t>
        </is>
      </c>
      <c r="D9" s="4" t="inlineStr">
        <is>
          <t>23.06.2026</t>
        </is>
      </c>
      <c r="E9" s="4" t="inlineStr">
        <is>
          <t>NORMAL</t>
        </is>
      </c>
      <c r="F9" s="4" t="inlineStr">
        <is>
          <t>DAİMİ</t>
        </is>
      </c>
      <c r="G9" s="7" t="n">
        <v>28075.5</v>
      </c>
    </row>
    <row r="10">
      <c r="A10" s="4" t="n">
        <v>9</v>
      </c>
      <c r="B10" s="5" t="inlineStr">
        <is>
          <t>17749594400</t>
        </is>
      </c>
      <c r="C10" s="29" t="inlineStr">
        <is>
          <t>ÇİSEM BÇAKIR</t>
        </is>
      </c>
      <c r="D10" s="4" t="inlineStr">
        <is>
          <t>19.10.2023</t>
        </is>
      </c>
      <c r="E10" s="4" t="inlineStr">
        <is>
          <t>NORMAL</t>
        </is>
      </c>
      <c r="F10" s="4" t="inlineStr">
        <is>
          <t>DAİMİ</t>
        </is>
      </c>
      <c r="G10" s="7" t="n">
        <v>35000</v>
      </c>
    </row>
    <row r="11">
      <c r="A11" s="4" t="n">
        <v>10</v>
      </c>
      <c r="B11" s="5" t="inlineStr">
        <is>
          <t>18364574570</t>
        </is>
      </c>
      <c r="C11" s="29" t="inlineStr">
        <is>
          <t>DERYA AVCI</t>
        </is>
      </c>
      <c r="D11" s="4" t="inlineStr">
        <is>
          <t>01.07.2026</t>
        </is>
      </c>
      <c r="E11" s="4" t="inlineStr">
        <is>
          <t>NORMAL</t>
        </is>
      </c>
      <c r="F11" s="4" t="inlineStr">
        <is>
          <t>DAİMİ</t>
        </is>
      </c>
      <c r="G11" s="7" t="n">
        <v>30000</v>
      </c>
    </row>
    <row r="12">
      <c r="A12" s="4" t="n">
        <v>11</v>
      </c>
      <c r="B12" s="5" t="inlineStr">
        <is>
          <t>37525041782</t>
        </is>
      </c>
      <c r="C12" s="29" t="inlineStr">
        <is>
          <t>DERYA SEVİNÇ</t>
        </is>
      </c>
      <c r="D12" s="4" t="inlineStr">
        <is>
          <t>10.02.2026</t>
        </is>
      </c>
      <c r="E12" s="4" t="inlineStr">
        <is>
          <t>NORMAL</t>
        </is>
      </c>
      <c r="F12" s="4" t="inlineStr">
        <is>
          <t>DAİMİ</t>
        </is>
      </c>
      <c r="G12" s="7" t="n">
        <v>35000</v>
      </c>
    </row>
    <row r="13">
      <c r="A13" s="4" t="n">
        <v>12</v>
      </c>
      <c r="B13" s="5" t="inlineStr">
        <is>
          <t>23509358892</t>
        </is>
      </c>
      <c r="C13" s="29" t="inlineStr">
        <is>
          <t>DÖNDÜ ŞAHİN</t>
        </is>
      </c>
      <c r="D13" s="4" t="inlineStr">
        <is>
          <t>02.06.2026</t>
        </is>
      </c>
      <c r="E13" s="4" t="inlineStr">
        <is>
          <t>NORMAL</t>
        </is>
      </c>
      <c r="F13" s="4" t="inlineStr">
        <is>
          <t>DAİMİ</t>
        </is>
      </c>
      <c r="G13" s="7" t="n">
        <v>28075.5</v>
      </c>
    </row>
    <row r="14">
      <c r="A14" s="4" t="n">
        <v>13</v>
      </c>
      <c r="B14" s="5" t="inlineStr">
        <is>
          <t>24961035246</t>
        </is>
      </c>
      <c r="C14" s="29" t="inlineStr">
        <is>
          <t>DUDU ÖRENGÜL</t>
        </is>
      </c>
      <c r="D14" s="4" t="inlineStr">
        <is>
          <t>27.06.2026</t>
        </is>
      </c>
      <c r="E14" s="4" t="inlineStr">
        <is>
          <t>NORMAL</t>
        </is>
      </c>
      <c r="F14" s="4" t="inlineStr">
        <is>
          <t>DAİMİ</t>
        </is>
      </c>
      <c r="G14" s="7" t="n">
        <v>28075.5</v>
      </c>
    </row>
    <row r="15">
      <c r="A15" s="4" t="n">
        <v>14</v>
      </c>
      <c r="B15" s="5" t="inlineStr">
        <is>
          <t>29563469352</t>
        </is>
      </c>
      <c r="C15" s="29" t="inlineStr">
        <is>
          <t>EDİP EKİNCİ</t>
        </is>
      </c>
      <c r="D15" s="4" t="inlineStr">
        <is>
          <t>07.11.2025</t>
        </is>
      </c>
      <c r="E15" s="4" t="inlineStr">
        <is>
          <t>SGDP</t>
        </is>
      </c>
      <c r="F15" s="4" t="inlineStr">
        <is>
          <t>DAİMİ</t>
        </is>
      </c>
      <c r="G15" s="7" t="n">
        <v>32000</v>
      </c>
    </row>
    <row r="16">
      <c r="A16" s="4" t="n">
        <v>15</v>
      </c>
      <c r="B16" s="5" t="inlineStr">
        <is>
          <t>14266711334</t>
        </is>
      </c>
      <c r="C16" s="29" t="inlineStr">
        <is>
          <t>EFRAİM DUMAN</t>
        </is>
      </c>
      <c r="D16" s="4" t="inlineStr">
        <is>
          <t>06.05.2023</t>
        </is>
      </c>
      <c r="E16" s="4" t="inlineStr">
        <is>
          <t>SGDP</t>
        </is>
      </c>
      <c r="F16" s="4" t="inlineStr">
        <is>
          <t>DAİMİ</t>
        </is>
      </c>
      <c r="G16" s="7" t="n">
        <v>36000</v>
      </c>
    </row>
    <row r="17">
      <c r="A17" s="4" t="n">
        <v>16</v>
      </c>
      <c r="B17" s="5" t="inlineStr">
        <is>
          <t>16591633060</t>
        </is>
      </c>
      <c r="C17" s="29" t="inlineStr">
        <is>
          <t>ELİF TUNÇ</t>
        </is>
      </c>
      <c r="D17" s="4" t="inlineStr">
        <is>
          <t>03.07.2023</t>
        </is>
      </c>
      <c r="E17" s="4" t="inlineStr">
        <is>
          <t>NORMAL</t>
        </is>
      </c>
      <c r="F17" s="4" t="inlineStr">
        <is>
          <t>DAİMİ</t>
        </is>
      </c>
      <c r="G17" s="7" t="n">
        <v>87500</v>
      </c>
    </row>
    <row r="18">
      <c r="A18" s="4" t="n">
        <v>17</v>
      </c>
      <c r="B18" s="5" t="inlineStr">
        <is>
          <t>20266511430</t>
        </is>
      </c>
      <c r="C18" s="29" t="inlineStr">
        <is>
          <t>ELİF YAVAŞ</t>
        </is>
      </c>
      <c r="D18" s="4" t="inlineStr">
        <is>
          <t>01.06.2025</t>
        </is>
      </c>
      <c r="E18" s="4" t="inlineStr">
        <is>
          <t>NORMAL</t>
        </is>
      </c>
      <c r="F18" s="4" t="inlineStr">
        <is>
          <t>DAİMİ</t>
        </is>
      </c>
      <c r="G18" s="7" t="n">
        <v>35000</v>
      </c>
    </row>
    <row r="19">
      <c r="A19" s="4" t="n">
        <v>18</v>
      </c>
      <c r="B19" s="5" t="inlineStr">
        <is>
          <t>20503503198</t>
        </is>
      </c>
      <c r="C19" s="29" t="inlineStr">
        <is>
          <t>EMİNE ÇAPAR</t>
        </is>
      </c>
      <c r="D19" s="4" t="inlineStr">
        <is>
          <t>16.07.2019</t>
        </is>
      </c>
      <c r="E19" s="4" t="inlineStr">
        <is>
          <t>NORMAL</t>
        </is>
      </c>
      <c r="F19" s="4" t="inlineStr">
        <is>
          <t>DAİMİ</t>
        </is>
      </c>
      <c r="G19" s="7" t="n">
        <v>28075.5</v>
      </c>
    </row>
    <row r="20">
      <c r="A20" s="4" t="n">
        <v>19</v>
      </c>
      <c r="B20" s="5" t="inlineStr">
        <is>
          <t>12379749978</t>
        </is>
      </c>
      <c r="C20" s="29" t="inlineStr">
        <is>
          <t>EMİNE SARI</t>
        </is>
      </c>
      <c r="D20" s="4" t="inlineStr">
        <is>
          <t>01.05.2026</t>
        </is>
      </c>
      <c r="E20" s="4" t="inlineStr">
        <is>
          <t>NORMAL-ENGELLİ</t>
        </is>
      </c>
      <c r="F20" s="4" t="inlineStr">
        <is>
          <t>DAİMİ</t>
        </is>
      </c>
      <c r="G20" s="7" t="n">
        <v>33000</v>
      </c>
    </row>
    <row r="21">
      <c r="A21" s="4" t="n">
        <v>20</v>
      </c>
      <c r="B21" s="5" t="inlineStr">
        <is>
          <t>10036852948</t>
        </is>
      </c>
      <c r="C21" s="29" t="inlineStr">
        <is>
          <t>EMİRHAN MUTLU</t>
        </is>
      </c>
      <c r="D21" s="4" t="inlineStr">
        <is>
          <t>28.10.2024</t>
        </is>
      </c>
      <c r="E21" s="4" t="inlineStr">
        <is>
          <t>NORMAL</t>
        </is>
      </c>
      <c r="F21" s="4" t="inlineStr">
        <is>
          <t>DAİMİ</t>
        </is>
      </c>
      <c r="G21" s="7" t="n">
        <v>36000</v>
      </c>
    </row>
    <row r="22">
      <c r="A22" s="4" t="n">
        <v>21</v>
      </c>
      <c r="B22" s="5" t="inlineStr">
        <is>
          <t>29470204244</t>
        </is>
      </c>
      <c r="C22" s="29" t="inlineStr">
        <is>
          <t>ENDER BİLBAY</t>
        </is>
      </c>
      <c r="D22" s="4" t="inlineStr">
        <is>
          <t>20.03.2024</t>
        </is>
      </c>
      <c r="E22" s="4" t="inlineStr">
        <is>
          <t>SGDP</t>
        </is>
      </c>
      <c r="F22" s="4" t="inlineStr">
        <is>
          <t>DAİMİ</t>
        </is>
      </c>
      <c r="G22" s="7" t="n">
        <v>30185</v>
      </c>
    </row>
    <row r="23">
      <c r="A23" s="4" t="n">
        <v>22</v>
      </c>
      <c r="B23" s="5" t="inlineStr">
        <is>
          <t>34795126850</t>
        </is>
      </c>
      <c r="C23" s="29" t="inlineStr">
        <is>
          <t>ERCAN POLAT</t>
        </is>
      </c>
      <c r="D23" s="4" t="inlineStr">
        <is>
          <t>17.08.2026</t>
        </is>
      </c>
      <c r="E23" s="4" t="inlineStr">
        <is>
          <t>NORMAL</t>
        </is>
      </c>
      <c r="F23" s="4" t="inlineStr">
        <is>
          <t>DAİMİ</t>
        </is>
      </c>
      <c r="G23" s="7" t="n">
        <v>35000</v>
      </c>
    </row>
    <row r="24">
      <c r="A24" s="4" t="n">
        <v>23</v>
      </c>
      <c r="B24" s="5" t="inlineStr">
        <is>
          <t>35581001238</t>
        </is>
      </c>
      <c r="C24" s="29" t="inlineStr">
        <is>
          <t>ERCÜMENT AYGÜL</t>
        </is>
      </c>
      <c r="D24" s="4" t="inlineStr">
        <is>
          <t>03.04.2026</t>
        </is>
      </c>
      <c r="E24" s="4" t="inlineStr">
        <is>
          <t>NORMAL</t>
        </is>
      </c>
      <c r="F24" s="4" t="inlineStr">
        <is>
          <t>DAİMİ</t>
        </is>
      </c>
      <c r="G24" s="7" t="n">
        <v>36000</v>
      </c>
    </row>
    <row r="25">
      <c r="A25" s="4" t="n">
        <v>24</v>
      </c>
      <c r="B25" s="5" t="inlineStr">
        <is>
          <t>23131415628</t>
        </is>
      </c>
      <c r="C25" s="29" t="inlineStr">
        <is>
          <t>ERDİN TETİK</t>
        </is>
      </c>
      <c r="D25" s="4" t="inlineStr">
        <is>
          <t>06.12.2021</t>
        </is>
      </c>
      <c r="E25" s="4" t="inlineStr">
        <is>
          <t>SGDP-ENGELLİ</t>
        </is>
      </c>
      <c r="F25" s="4" t="inlineStr">
        <is>
          <t>DAİMİ</t>
        </is>
      </c>
      <c r="G25" s="7" t="n">
        <v>30185</v>
      </c>
    </row>
    <row r="26">
      <c r="A26" s="4" t="n">
        <v>25</v>
      </c>
      <c r="B26" s="5" t="inlineStr">
        <is>
          <t>10267844934</t>
        </is>
      </c>
      <c r="C26" s="29" t="inlineStr">
        <is>
          <t>ERGÜN SİDAR</t>
        </is>
      </c>
      <c r="D26" s="4" t="inlineStr">
        <is>
          <t>01.12.2025</t>
        </is>
      </c>
      <c r="E26" s="4" t="inlineStr">
        <is>
          <t>SGDP</t>
        </is>
      </c>
      <c r="F26" s="4" t="inlineStr">
        <is>
          <t>DAİMİ</t>
        </is>
      </c>
      <c r="G26" s="7" t="n">
        <v>99000</v>
      </c>
    </row>
    <row r="27">
      <c r="A27" s="4" t="n">
        <v>26</v>
      </c>
      <c r="B27" s="5" t="inlineStr">
        <is>
          <t>10177848602</t>
        </is>
      </c>
      <c r="C27" s="29" t="inlineStr">
        <is>
          <t>EYÜP EKİNCİ</t>
        </is>
      </c>
      <c r="D27" s="4" t="inlineStr">
        <is>
          <t>08.06.2026</t>
        </is>
      </c>
      <c r="E27" s="4" t="inlineStr">
        <is>
          <t>NORMAL</t>
        </is>
      </c>
      <c r="F27" s="4" t="inlineStr">
        <is>
          <t>DAİMİ</t>
        </is>
      </c>
      <c r="G27" s="7" t="n">
        <v>28075.5</v>
      </c>
    </row>
    <row r="28">
      <c r="A28" s="4" t="n">
        <v>27</v>
      </c>
      <c r="B28" s="5" t="inlineStr">
        <is>
          <t>14779989510</t>
        </is>
      </c>
      <c r="C28" s="29" t="inlineStr">
        <is>
          <t>HARUN YAHYA DURSUN</t>
        </is>
      </c>
      <c r="D28" s="4" t="inlineStr">
        <is>
          <t>06.01.2025</t>
        </is>
      </c>
      <c r="E28" s="4" t="inlineStr">
        <is>
          <t>NORMAL</t>
        </is>
      </c>
      <c r="F28" s="4" t="inlineStr">
        <is>
          <t>DAİMİ</t>
        </is>
      </c>
      <c r="G28" s="7" t="n">
        <v>33000</v>
      </c>
    </row>
    <row r="29">
      <c r="A29" s="4" t="n">
        <v>28</v>
      </c>
      <c r="B29" s="5" t="inlineStr">
        <is>
          <t>30367150308</t>
        </is>
      </c>
      <c r="C29" s="29" t="inlineStr">
        <is>
          <t>HAYRULLAH TOPRAK</t>
        </is>
      </c>
      <c r="D29" s="4" t="inlineStr">
        <is>
          <t>13.04.2026</t>
        </is>
      </c>
      <c r="E29" s="4" t="inlineStr">
        <is>
          <t>KISMİ</t>
        </is>
      </c>
      <c r="F29" s="4" t="inlineStr">
        <is>
          <t>DAİMİ</t>
        </is>
      </c>
      <c r="G29" s="7" t="n">
        <v>33000</v>
      </c>
    </row>
    <row r="30">
      <c r="A30" s="4" t="n">
        <v>29</v>
      </c>
      <c r="B30" s="5" t="inlineStr">
        <is>
          <t>29515203096</t>
        </is>
      </c>
      <c r="C30" s="29" t="inlineStr">
        <is>
          <t>İBÜŞRAHİM YILDIRIM</t>
        </is>
      </c>
      <c r="D30" s="4" t="inlineStr">
        <is>
          <t>01.08.2023</t>
        </is>
      </c>
      <c r="E30" s="4" t="inlineStr">
        <is>
          <t>SGDP</t>
        </is>
      </c>
      <c r="F30" s="4" t="inlineStr">
        <is>
          <t>DAİMİ</t>
        </is>
      </c>
      <c r="G30" s="7" t="n">
        <v>33000</v>
      </c>
    </row>
    <row r="31">
      <c r="A31" s="4" t="n">
        <v>30</v>
      </c>
      <c r="B31" s="5" t="inlineStr">
        <is>
          <t>25060351046</t>
        </is>
      </c>
      <c r="C31" s="29" t="inlineStr">
        <is>
          <t>İSMAİL İMİR</t>
        </is>
      </c>
      <c r="D31" s="4" t="inlineStr">
        <is>
          <t>10.02.2026</t>
        </is>
      </c>
      <c r="E31" s="4" t="inlineStr">
        <is>
          <t>SGDP</t>
        </is>
      </c>
      <c r="F31" s="4" t="inlineStr">
        <is>
          <t>DAİMİ</t>
        </is>
      </c>
      <c r="G31" s="7" t="n">
        <v>61000</v>
      </c>
    </row>
    <row r="32">
      <c r="A32" s="4" t="n">
        <v>31</v>
      </c>
      <c r="B32" s="5" t="inlineStr">
        <is>
          <t>49981303052</t>
        </is>
      </c>
      <c r="C32" s="29" t="inlineStr">
        <is>
          <t>KADİR AZAR</t>
        </is>
      </c>
      <c r="D32" s="4" t="inlineStr">
        <is>
          <t>03.08.2023</t>
        </is>
      </c>
      <c r="E32" s="4" t="inlineStr">
        <is>
          <t>NORMAL</t>
        </is>
      </c>
      <c r="F32" s="4" t="inlineStr">
        <is>
          <t>DAİMİ</t>
        </is>
      </c>
      <c r="G32" s="7" t="n">
        <v>36000</v>
      </c>
    </row>
    <row r="33">
      <c r="A33" s="4" t="n">
        <v>32</v>
      </c>
      <c r="B33" s="5" t="inlineStr">
        <is>
          <t>33067084584</t>
        </is>
      </c>
      <c r="C33" s="29" t="inlineStr">
        <is>
          <t>KEMAL DURMUŞ</t>
        </is>
      </c>
      <c r="D33" s="4" t="inlineStr">
        <is>
          <t>28.04.2023</t>
        </is>
      </c>
      <c r="E33" s="4" t="inlineStr">
        <is>
          <t>SGDP</t>
        </is>
      </c>
      <c r="F33" s="4" t="inlineStr">
        <is>
          <t>DAİMİ</t>
        </is>
      </c>
      <c r="G33" s="7" t="n">
        <v>33000</v>
      </c>
    </row>
    <row r="34">
      <c r="A34" s="4" t="n">
        <v>33</v>
      </c>
      <c r="B34" s="5" t="inlineStr">
        <is>
          <t>33397029286</t>
        </is>
      </c>
      <c r="C34" s="29" t="inlineStr">
        <is>
          <t>KÜBÜŞRA ALTAY</t>
        </is>
      </c>
      <c r="D34" s="4" t="inlineStr">
        <is>
          <t>03.08.2026</t>
        </is>
      </c>
      <c r="E34" s="4" t="inlineStr">
        <is>
          <t>NORMAL</t>
        </is>
      </c>
      <c r="F34" s="4" t="inlineStr">
        <is>
          <t>DAİMİ</t>
        </is>
      </c>
      <c r="G34" s="7" t="n">
        <v>30000</v>
      </c>
    </row>
    <row r="35">
      <c r="A35" s="4" t="n">
        <v>34</v>
      </c>
      <c r="B35" s="5" t="inlineStr">
        <is>
          <t>29749160806</t>
        </is>
      </c>
      <c r="C35" s="29" t="inlineStr">
        <is>
          <t>MAHİR HİLMİ ULUKÖK</t>
        </is>
      </c>
      <c r="D35" s="4" t="inlineStr">
        <is>
          <t>22.04.2026</t>
        </is>
      </c>
      <c r="E35" s="4" t="inlineStr">
        <is>
          <t>SGDP</t>
        </is>
      </c>
      <c r="F35" s="4" t="inlineStr">
        <is>
          <t>DAİMİ</t>
        </is>
      </c>
      <c r="G35" s="7" t="n">
        <v>61000</v>
      </c>
    </row>
    <row r="36">
      <c r="A36" s="4" t="n">
        <v>35</v>
      </c>
      <c r="B36" s="5" t="inlineStr">
        <is>
          <t>99959615564</t>
        </is>
      </c>
      <c r="C36" s="29" t="inlineStr">
        <is>
          <t>MAHMOUD ALZALEK</t>
        </is>
      </c>
      <c r="D36" s="4" t="inlineStr">
        <is>
          <t>18.04.2026</t>
        </is>
      </c>
      <c r="E36" s="4" t="inlineStr">
        <is>
          <t>NORMAL</t>
        </is>
      </c>
      <c r="F36" s="4" t="inlineStr">
        <is>
          <t>DAİMİ</t>
        </is>
      </c>
      <c r="G36" s="7" t="n">
        <v>28075.5</v>
      </c>
    </row>
    <row r="37">
      <c r="A37" s="4" t="n">
        <v>36</v>
      </c>
      <c r="B37" s="5" t="inlineStr">
        <is>
          <t>35107733100</t>
        </is>
      </c>
      <c r="C37" s="29" t="inlineStr">
        <is>
          <t>MECİT NECATİ YAĞKAN</t>
        </is>
      </c>
      <c r="D37" s="4" t="inlineStr">
        <is>
          <t>07.03.2026</t>
        </is>
      </c>
      <c r="E37" s="4" t="inlineStr">
        <is>
          <t>SGDP</t>
        </is>
      </c>
      <c r="F37" s="4" t="inlineStr">
        <is>
          <t>DAİMİ</t>
        </is>
      </c>
      <c r="G37" s="7" t="n">
        <v>55000</v>
      </c>
    </row>
    <row r="38">
      <c r="A38" s="4" t="n">
        <v>37</v>
      </c>
      <c r="B38" s="5" t="inlineStr">
        <is>
          <t>13876724772</t>
        </is>
      </c>
      <c r="C38" s="29" t="inlineStr">
        <is>
          <t>MEHMET KARTAL</t>
        </is>
      </c>
      <c r="D38" s="4" t="inlineStr">
        <is>
          <t>08.10.2025</t>
        </is>
      </c>
      <c r="E38" s="4" t="inlineStr">
        <is>
          <t>SGDP</t>
        </is>
      </c>
      <c r="F38" s="4" t="inlineStr">
        <is>
          <t>DAİMİ</t>
        </is>
      </c>
      <c r="G38" s="7" t="n">
        <v>30185</v>
      </c>
    </row>
    <row r="39">
      <c r="A39" s="4" t="n">
        <v>38</v>
      </c>
      <c r="B39" s="5" t="inlineStr">
        <is>
          <t>25636440280</t>
        </is>
      </c>
      <c r="C39" s="29" t="inlineStr">
        <is>
          <t>MERVE DOĞAN</t>
        </is>
      </c>
      <c r="D39" s="4" t="inlineStr">
        <is>
          <t>10.02.2026</t>
        </is>
      </c>
      <c r="E39" s="4" t="inlineStr">
        <is>
          <t>NORMAL</t>
        </is>
      </c>
      <c r="F39" s="4" t="inlineStr">
        <is>
          <t>DAİMİ</t>
        </is>
      </c>
      <c r="G39" s="7" t="n">
        <v>33000</v>
      </c>
    </row>
    <row r="40">
      <c r="A40" s="4" t="n">
        <v>39</v>
      </c>
      <c r="B40" s="5" t="inlineStr">
        <is>
          <t>28027546004</t>
        </is>
      </c>
      <c r="C40" s="29" t="inlineStr">
        <is>
          <t>MESUT ERDEL</t>
        </is>
      </c>
      <c r="D40" s="4" t="inlineStr">
        <is>
          <t>01.03.2025</t>
        </is>
      </c>
      <c r="E40" s="4" t="inlineStr">
        <is>
          <t>SGDP-ENGELLİ</t>
        </is>
      </c>
      <c r="F40" s="4" t="inlineStr">
        <is>
          <t>DAİMİ</t>
        </is>
      </c>
      <c r="G40" s="7" t="n">
        <v>30185</v>
      </c>
    </row>
    <row r="41">
      <c r="A41" s="4" t="n">
        <v>40</v>
      </c>
      <c r="B41" s="5" t="inlineStr">
        <is>
          <t>99248627704</t>
        </is>
      </c>
      <c r="C41" s="29" t="inlineStr">
        <is>
          <t>MHD BASSEL ALZALEK(BASİL)</t>
        </is>
      </c>
      <c r="D41" s="4" t="inlineStr">
        <is>
          <t>01.02.2023</t>
        </is>
      </c>
      <c r="E41" s="4" t="inlineStr">
        <is>
          <t>NORMAL</t>
        </is>
      </c>
      <c r="F41" s="4" t="inlineStr">
        <is>
          <t>DAİMİ</t>
        </is>
      </c>
      <c r="G41" s="7" t="n">
        <v>36000</v>
      </c>
    </row>
    <row r="42">
      <c r="A42" s="4" t="n">
        <v>41</v>
      </c>
      <c r="B42" s="5" t="inlineStr">
        <is>
          <t>99347757876</t>
        </is>
      </c>
      <c r="C42" s="29" t="inlineStr">
        <is>
          <t>MUHAMMED SAMİH SERHAN(SEMİH)</t>
        </is>
      </c>
      <c r="D42" s="4" t="inlineStr">
        <is>
          <t>19.01.2023</t>
        </is>
      </c>
      <c r="E42" s="4" t="inlineStr">
        <is>
          <t>NORMAL</t>
        </is>
      </c>
      <c r="F42" s="4" t="inlineStr">
        <is>
          <t>DAİMİ</t>
        </is>
      </c>
      <c r="G42" s="7" t="n">
        <v>36000</v>
      </c>
    </row>
    <row r="43">
      <c r="A43" s="4" t="n">
        <v>42</v>
      </c>
      <c r="B43" s="5" t="inlineStr">
        <is>
          <t>15205679746</t>
        </is>
      </c>
      <c r="C43" s="29" t="inlineStr">
        <is>
          <t>MURAT YONSUL</t>
        </is>
      </c>
      <c r="D43" s="4" t="inlineStr">
        <is>
          <t>28.11.2025</t>
        </is>
      </c>
      <c r="E43" s="4" t="inlineStr">
        <is>
          <t>SGDP</t>
        </is>
      </c>
      <c r="F43" s="4" t="inlineStr">
        <is>
          <t>DAİMİ</t>
        </is>
      </c>
      <c r="G43" s="7" t="n">
        <v>36000</v>
      </c>
    </row>
    <row r="44">
      <c r="A44" s="4" t="n">
        <v>43</v>
      </c>
      <c r="B44" s="5" t="inlineStr">
        <is>
          <t>25621221832</t>
        </is>
      </c>
      <c r="C44" s="29" t="inlineStr">
        <is>
          <t>MUSTAFA KAYA</t>
        </is>
      </c>
      <c r="D44" s="4" t="inlineStr">
        <is>
          <t>02.06.2022</t>
        </is>
      </c>
      <c r="E44" s="4" t="inlineStr">
        <is>
          <t>SGDP</t>
        </is>
      </c>
      <c r="F44" s="4" t="inlineStr">
        <is>
          <t>DAİMİ</t>
        </is>
      </c>
      <c r="G44" s="7" t="n">
        <v>34000</v>
      </c>
    </row>
    <row r="45">
      <c r="A45" s="4" t="n">
        <v>44</v>
      </c>
      <c r="B45" s="5" t="inlineStr"/>
      <c r="C45" s="29" t="inlineStr">
        <is>
          <t>MUSTAFA KURT</t>
        </is>
      </c>
      <c r="D45" s="4" t="inlineStr"/>
      <c r="E45" s="4" t="inlineStr">
        <is>
          <t>NORMAL</t>
        </is>
      </c>
      <c r="F45" s="4" t="inlineStr">
        <is>
          <t>DAİMİ</t>
        </is>
      </c>
      <c r="G45" s="7" t="n">
        <v>28075.5</v>
      </c>
    </row>
    <row r="46">
      <c r="A46" s="4" t="n">
        <v>45</v>
      </c>
      <c r="B46" s="5" t="inlineStr">
        <is>
          <t>13216853414</t>
        </is>
      </c>
      <c r="C46" s="29" t="inlineStr">
        <is>
          <t>MÜMİN BUĞA</t>
        </is>
      </c>
      <c r="D46" s="4" t="inlineStr">
        <is>
          <t>02.04.2023</t>
        </is>
      </c>
      <c r="E46" s="4" t="inlineStr">
        <is>
          <t>SGDP</t>
        </is>
      </c>
      <c r="F46" s="4" t="inlineStr">
        <is>
          <t>DAİMİ</t>
        </is>
      </c>
      <c r="G46" s="7" t="n">
        <v>35000</v>
      </c>
    </row>
    <row r="47">
      <c r="A47" s="4" t="n">
        <v>46</v>
      </c>
      <c r="B47" s="5" t="inlineStr">
        <is>
          <t>28510235804</t>
        </is>
      </c>
      <c r="C47" s="29" t="inlineStr">
        <is>
          <t>NAİL AKSOY</t>
        </is>
      </c>
      <c r="D47" s="4" t="inlineStr">
        <is>
          <t>01.03.2024</t>
        </is>
      </c>
      <c r="E47" s="4" t="inlineStr">
        <is>
          <t>SGDP</t>
        </is>
      </c>
      <c r="F47" s="4" t="inlineStr">
        <is>
          <t>DAİMİ</t>
        </is>
      </c>
      <c r="G47" s="7" t="n">
        <v>30185</v>
      </c>
    </row>
    <row r="48">
      <c r="A48" s="4" t="n">
        <v>47</v>
      </c>
      <c r="B48" s="5" t="inlineStr">
        <is>
          <t>24031385950</t>
        </is>
      </c>
      <c r="C48" s="29" t="inlineStr">
        <is>
          <t>NECMİ SEVER</t>
        </is>
      </c>
      <c r="D48" s="4" t="inlineStr">
        <is>
          <t>01.07.2025</t>
        </is>
      </c>
      <c r="E48" s="4" t="inlineStr">
        <is>
          <t>NORMAL</t>
        </is>
      </c>
      <c r="F48" s="4" t="inlineStr">
        <is>
          <t>DAİMİ</t>
        </is>
      </c>
      <c r="G48" s="7" t="n">
        <v>28075.5</v>
      </c>
    </row>
    <row r="49">
      <c r="A49" s="4" t="n">
        <v>48</v>
      </c>
      <c r="B49" s="5" t="inlineStr">
        <is>
          <t>13420739290</t>
        </is>
      </c>
      <c r="C49" s="29" t="inlineStr">
        <is>
          <t>NURİ GÜLSER</t>
        </is>
      </c>
      <c r="D49" s="4" t="inlineStr">
        <is>
          <t>24.12.2019</t>
        </is>
      </c>
      <c r="E49" s="4" t="inlineStr">
        <is>
          <t>SGDP-ENGELLİ</t>
        </is>
      </c>
      <c r="F49" s="4" t="inlineStr">
        <is>
          <t>DAİMİ</t>
        </is>
      </c>
      <c r="G49" s="7" t="n">
        <v>30185</v>
      </c>
    </row>
    <row r="50">
      <c r="A50" s="4" t="n">
        <v>49</v>
      </c>
      <c r="B50" s="5" t="inlineStr">
        <is>
          <t>25750383418</t>
        </is>
      </c>
      <c r="C50" s="29" t="inlineStr">
        <is>
          <t>OĞUZHAN ÜNVER</t>
        </is>
      </c>
      <c r="D50" s="4" t="inlineStr">
        <is>
          <t>22.04.2026</t>
        </is>
      </c>
      <c r="E50" s="4" t="inlineStr">
        <is>
          <t>NORMAL</t>
        </is>
      </c>
      <c r="F50" s="4" t="inlineStr">
        <is>
          <t>DAİMİ</t>
        </is>
      </c>
      <c r="G50" s="7" t="n">
        <v>50000</v>
      </c>
    </row>
    <row r="51">
      <c r="A51" s="4" t="n">
        <v>50</v>
      </c>
      <c r="B51" s="5" t="inlineStr">
        <is>
          <t>11386906688</t>
        </is>
      </c>
      <c r="C51" s="29" t="inlineStr">
        <is>
          <t>OKTAY MUT</t>
        </is>
      </c>
      <c r="D51" s="4" t="inlineStr">
        <is>
          <t>17.02.2026</t>
        </is>
      </c>
      <c r="E51" s="4" t="inlineStr">
        <is>
          <t>NORMAL</t>
        </is>
      </c>
      <c r="F51" s="4" t="inlineStr">
        <is>
          <t>DAİMİ</t>
        </is>
      </c>
      <c r="G51" s="7" t="n">
        <v>28075.5</v>
      </c>
    </row>
    <row r="52">
      <c r="A52" s="4" t="n">
        <v>51</v>
      </c>
      <c r="B52" s="5" t="inlineStr">
        <is>
          <t>13189854302</t>
        </is>
      </c>
      <c r="C52" s="29" t="inlineStr">
        <is>
          <t>OZAN BUĞA</t>
        </is>
      </c>
      <c r="D52" s="4" t="inlineStr">
        <is>
          <t>06.06.2024</t>
        </is>
      </c>
      <c r="E52" s="4" t="inlineStr">
        <is>
          <t>NORMAL</t>
        </is>
      </c>
      <c r="F52" s="4" t="inlineStr">
        <is>
          <t>DAİMİ</t>
        </is>
      </c>
      <c r="G52" s="7" t="n">
        <v>42000</v>
      </c>
    </row>
    <row r="53">
      <c r="A53" s="4" t="n">
        <v>52</v>
      </c>
      <c r="B53" s="5" t="inlineStr">
        <is>
          <t>27235386938</t>
        </is>
      </c>
      <c r="C53" s="29" t="inlineStr">
        <is>
          <t>ÖMÜRLÜ FERİK</t>
        </is>
      </c>
      <c r="D53" s="4" t="inlineStr">
        <is>
          <t>25.09.2022</t>
        </is>
      </c>
      <c r="E53" s="4" t="inlineStr">
        <is>
          <t>SGDP</t>
        </is>
      </c>
      <c r="F53" s="4" t="inlineStr">
        <is>
          <t>DAİMİ</t>
        </is>
      </c>
      <c r="G53" s="7" t="n">
        <v>30185</v>
      </c>
    </row>
    <row r="54">
      <c r="A54" s="4" t="n">
        <v>53</v>
      </c>
      <c r="B54" s="5" t="inlineStr">
        <is>
          <t>29359208356</t>
        </is>
      </c>
      <c r="C54" s="29" t="inlineStr">
        <is>
          <t>RAMAZAN KÜÇÜKÇÇAKIR</t>
        </is>
      </c>
      <c r="D54" s="4" t="inlineStr">
        <is>
          <t>11.01.2024</t>
        </is>
      </c>
      <c r="E54" s="4" t="inlineStr">
        <is>
          <t>SGDP</t>
        </is>
      </c>
      <c r="F54" s="4" t="inlineStr">
        <is>
          <t>DAİMİ</t>
        </is>
      </c>
      <c r="G54" s="7" t="n">
        <v>30000</v>
      </c>
    </row>
    <row r="55">
      <c r="A55" s="4" t="n">
        <v>54</v>
      </c>
      <c r="B55" s="5" t="inlineStr">
        <is>
          <t>24022385860</t>
        </is>
      </c>
      <c r="C55" s="29" t="inlineStr">
        <is>
          <t>RECEP İÇÖZ</t>
        </is>
      </c>
      <c r="D55" s="4" t="inlineStr">
        <is>
          <t>27.07.2026</t>
        </is>
      </c>
      <c r="E55" s="4" t="inlineStr">
        <is>
          <t>NORMAL</t>
        </is>
      </c>
      <c r="F55" s="4" t="inlineStr">
        <is>
          <t>DAİMİ</t>
        </is>
      </c>
      <c r="G55" s="7" t="n">
        <v>33000</v>
      </c>
    </row>
    <row r="56">
      <c r="A56" s="4" t="n">
        <v>55</v>
      </c>
      <c r="B56" s="5" t="inlineStr">
        <is>
          <t>28108249688</t>
        </is>
      </c>
      <c r="C56" s="29" t="inlineStr">
        <is>
          <t>RIDVAN DEMİRDAK</t>
        </is>
      </c>
      <c r="D56" s="4" t="inlineStr">
        <is>
          <t>12.10.2022</t>
        </is>
      </c>
      <c r="E56" s="4" t="inlineStr">
        <is>
          <t>SGDP</t>
        </is>
      </c>
      <c r="F56" s="4" t="inlineStr">
        <is>
          <t>DAİMİ</t>
        </is>
      </c>
      <c r="G56" s="7" t="n">
        <v>30185</v>
      </c>
    </row>
    <row r="57">
      <c r="A57" s="4" t="n">
        <v>56</v>
      </c>
      <c r="B57" s="5" t="inlineStr">
        <is>
          <t>34807027090</t>
        </is>
      </c>
      <c r="C57" s="29" t="inlineStr">
        <is>
          <t>SABRİ ACAR</t>
        </is>
      </c>
      <c r="D57" s="4" t="inlineStr">
        <is>
          <t>03.11.2025</t>
        </is>
      </c>
      <c r="E57" s="4" t="inlineStr">
        <is>
          <t>SGDP</t>
        </is>
      </c>
      <c r="F57" s="4" t="inlineStr">
        <is>
          <t>DAİMİ</t>
        </is>
      </c>
      <c r="G57" s="7" t="n">
        <v>32500</v>
      </c>
    </row>
    <row r="58">
      <c r="A58" s="4" t="n">
        <v>57</v>
      </c>
      <c r="B58" s="5" t="inlineStr">
        <is>
          <t>24178356332</t>
        </is>
      </c>
      <c r="C58" s="29" t="inlineStr">
        <is>
          <t>SEHER ÖZDEN</t>
        </is>
      </c>
      <c r="D58" s="4" t="inlineStr">
        <is>
          <t>02.01.2023</t>
        </is>
      </c>
      <c r="E58" s="4" t="inlineStr">
        <is>
          <t>NORMAL</t>
        </is>
      </c>
      <c r="F58" s="4" t="inlineStr">
        <is>
          <t>DAİMİ</t>
        </is>
      </c>
      <c r="G58" s="7" t="n">
        <v>28075.5</v>
      </c>
    </row>
    <row r="59">
      <c r="A59" s="4" t="n">
        <v>58</v>
      </c>
      <c r="B59" s="5" t="inlineStr">
        <is>
          <t>11248811624</t>
        </is>
      </c>
      <c r="C59" s="29" t="inlineStr">
        <is>
          <t>SELAHATTİN SÜGÜT</t>
        </is>
      </c>
      <c r="D59" s="4" t="inlineStr">
        <is>
          <t>17.05.2023</t>
        </is>
      </c>
      <c r="E59" s="4" t="inlineStr">
        <is>
          <t>SGDP-ENGELLİ</t>
        </is>
      </c>
      <c r="F59" s="4" t="inlineStr">
        <is>
          <t>DAİMİ</t>
        </is>
      </c>
      <c r="G59" s="7" t="n">
        <v>30185</v>
      </c>
    </row>
    <row r="60">
      <c r="A60" s="4" t="n">
        <v>59</v>
      </c>
      <c r="B60" s="5" t="inlineStr">
        <is>
          <t>46825626414</t>
        </is>
      </c>
      <c r="C60" s="29" t="inlineStr">
        <is>
          <t>SEMANUR GÜLIŞIK</t>
        </is>
      </c>
      <c r="D60" s="4" t="inlineStr">
        <is>
          <t>10.02.2026</t>
        </is>
      </c>
      <c r="E60" s="4" t="inlineStr">
        <is>
          <t>NORMAL</t>
        </is>
      </c>
      <c r="F60" s="4" t="inlineStr">
        <is>
          <t>DAİMİ</t>
        </is>
      </c>
      <c r="G60" s="7" t="n">
        <v>34000</v>
      </c>
    </row>
    <row r="61">
      <c r="A61" s="4" t="n">
        <v>60</v>
      </c>
      <c r="B61" s="5" t="inlineStr">
        <is>
          <t>29267383640</t>
        </is>
      </c>
      <c r="C61" s="29" t="inlineStr">
        <is>
          <t>SIDIKA KARSLI</t>
        </is>
      </c>
      <c r="D61" s="4" t="inlineStr">
        <is>
          <t>05.01.2024</t>
        </is>
      </c>
      <c r="E61" s="4" t="inlineStr">
        <is>
          <t>NORMAL</t>
        </is>
      </c>
      <c r="F61" s="4" t="inlineStr">
        <is>
          <t>DAİMİ</t>
        </is>
      </c>
      <c r="G61" s="7" t="n">
        <v>37000</v>
      </c>
    </row>
    <row r="62">
      <c r="A62" s="4" t="n">
        <v>61</v>
      </c>
      <c r="B62" s="5" t="inlineStr">
        <is>
          <t>13720827796</t>
        </is>
      </c>
      <c r="C62" s="29" t="inlineStr">
        <is>
          <t>ŞADİ BAŞARICI</t>
        </is>
      </c>
      <c r="D62" s="4" t="inlineStr">
        <is>
          <t>14.06.2023</t>
        </is>
      </c>
      <c r="E62" s="4" t="inlineStr">
        <is>
          <t>NORMAL</t>
        </is>
      </c>
      <c r="F62" s="4" t="inlineStr">
        <is>
          <t>DAİMİ</t>
        </is>
      </c>
      <c r="G62" s="7" t="n">
        <v>42000</v>
      </c>
    </row>
    <row r="63">
      <c r="A63" s="4" t="n">
        <v>62</v>
      </c>
      <c r="B63" s="5" t="inlineStr">
        <is>
          <t>38233180558</t>
        </is>
      </c>
      <c r="C63" s="29" t="inlineStr">
        <is>
          <t>ŞAKİR KARAKAŞ</t>
        </is>
      </c>
      <c r="D63" s="4" t="inlineStr">
        <is>
          <t>01.04.2022</t>
        </is>
      </c>
      <c r="E63" s="4" t="inlineStr">
        <is>
          <t>SGDP</t>
        </is>
      </c>
      <c r="F63" s="4" t="inlineStr">
        <is>
          <t>DAİMİ</t>
        </is>
      </c>
      <c r="G63" s="7" t="n">
        <v>37000</v>
      </c>
    </row>
    <row r="64">
      <c r="A64" s="4" t="n">
        <v>63</v>
      </c>
      <c r="B64" s="5" t="inlineStr">
        <is>
          <t>29761139378</t>
        </is>
      </c>
      <c r="C64" s="29" t="inlineStr">
        <is>
          <t>TALHA YAVAŞ</t>
        </is>
      </c>
      <c r="D64" s="4" t="inlineStr">
        <is>
          <t>15.06.2026</t>
        </is>
      </c>
      <c r="E64" s="4" t="inlineStr">
        <is>
          <t>NORMAL</t>
        </is>
      </c>
      <c r="F64" s="4" t="inlineStr">
        <is>
          <t>DAİMİ</t>
        </is>
      </c>
      <c r="G64" s="7" t="n">
        <v>30000</v>
      </c>
    </row>
    <row r="65">
      <c r="A65" s="4" t="n">
        <v>64</v>
      </c>
      <c r="B65" s="5" t="inlineStr">
        <is>
          <t>32938871292</t>
        </is>
      </c>
      <c r="C65" s="29" t="inlineStr">
        <is>
          <t>TAYFUN ÇELİK</t>
        </is>
      </c>
      <c r="D65" s="4" t="inlineStr">
        <is>
          <t>31.05.2021</t>
        </is>
      </c>
      <c r="E65" s="4" t="inlineStr">
        <is>
          <t>NORMAL</t>
        </is>
      </c>
      <c r="F65" s="4" t="inlineStr">
        <is>
          <t>DAİMİ</t>
        </is>
      </c>
      <c r="G65" s="7" t="n">
        <v>28075.5</v>
      </c>
    </row>
    <row r="66">
      <c r="A66" s="4" t="n">
        <v>65</v>
      </c>
      <c r="B66" s="5" t="inlineStr">
        <is>
          <t>13252843738</t>
        </is>
      </c>
      <c r="C66" s="29" t="inlineStr">
        <is>
          <t>TAYFUN TIĞRAK</t>
        </is>
      </c>
      <c r="D66" s="4" t="inlineStr">
        <is>
          <t>10.02.2026</t>
        </is>
      </c>
      <c r="E66" s="4" t="inlineStr">
        <is>
          <t>SGDP</t>
        </is>
      </c>
      <c r="F66" s="4" t="inlineStr">
        <is>
          <t>DAİMİ</t>
        </is>
      </c>
      <c r="G66" s="7" t="n">
        <v>55000</v>
      </c>
    </row>
    <row r="67">
      <c r="A67" s="4" t="n">
        <v>66</v>
      </c>
      <c r="B67" s="5" t="inlineStr">
        <is>
          <t>30925156292</t>
        </is>
      </c>
      <c r="C67" s="29" t="inlineStr">
        <is>
          <t>TUNCAY METİN</t>
        </is>
      </c>
      <c r="D67" s="4" t="inlineStr">
        <is>
          <t>08.10.2025</t>
        </is>
      </c>
      <c r="E67" s="4" t="inlineStr">
        <is>
          <t>NORMAL</t>
        </is>
      </c>
      <c r="F67" s="4" t="inlineStr">
        <is>
          <t>DAİMİ</t>
        </is>
      </c>
      <c r="G67" s="7" t="n">
        <v>28075.5</v>
      </c>
    </row>
    <row r="68">
      <c r="A68" s="4" t="n">
        <v>67</v>
      </c>
      <c r="B68" s="5" t="inlineStr">
        <is>
          <t>14701796544</t>
        </is>
      </c>
      <c r="C68" s="29" t="inlineStr">
        <is>
          <t>YUSUF SAMAR</t>
        </is>
      </c>
      <c r="D68" s="4" t="inlineStr">
        <is>
          <t>15.12.2025</t>
        </is>
      </c>
      <c r="E68" s="4" t="inlineStr">
        <is>
          <t>NORMAL</t>
        </is>
      </c>
      <c r="F68" s="4" t="inlineStr">
        <is>
          <t>DAİMİ</t>
        </is>
      </c>
      <c r="G68" s="7" t="n">
        <v>40000</v>
      </c>
    </row>
    <row r="69">
      <c r="A69" s="4" t="n">
        <v>68</v>
      </c>
      <c r="B69" s="5" t="inlineStr">
        <is>
          <t>22249543988</t>
        </is>
      </c>
      <c r="C69" s="29" t="inlineStr">
        <is>
          <t>ZAHİDE NEDİRLİ</t>
        </is>
      </c>
      <c r="D69" s="4" t="inlineStr">
        <is>
          <t>19.07.2023</t>
        </is>
      </c>
      <c r="E69" s="4" t="inlineStr">
        <is>
          <t>SGDP</t>
        </is>
      </c>
      <c r="F69" s="4" t="inlineStr">
        <is>
          <t>DAİMİ</t>
        </is>
      </c>
      <c r="G69" s="7" t="n">
        <v>50000</v>
      </c>
    </row>
    <row r="70">
      <c r="A70" s="4" t="n">
        <v>69</v>
      </c>
      <c r="B70" s="5" t="inlineStr">
        <is>
          <t>25657430024</t>
        </is>
      </c>
      <c r="C70" s="29" t="inlineStr">
        <is>
          <t>KÜRŞAT TÜRKAN</t>
        </is>
      </c>
      <c r="D70" s="4" t="inlineStr"/>
      <c r="E70" s="4" t="inlineStr">
        <is>
          <t>SGK YOK</t>
        </is>
      </c>
      <c r="F70" s="4" t="inlineStr">
        <is>
          <t>DAİMİ</t>
        </is>
      </c>
      <c r="G70" s="7" t="n">
        <v>95000</v>
      </c>
    </row>
    <row r="71">
      <c r="A71" s="4" t="n">
        <v>70</v>
      </c>
      <c r="B71" s="5" t="inlineStr">
        <is>
          <t>22260441248</t>
        </is>
      </c>
      <c r="C71" s="29" t="inlineStr">
        <is>
          <t>ERSİN ESER</t>
        </is>
      </c>
      <c r="D71" s="4" t="inlineStr"/>
      <c r="E71" s="4" t="inlineStr">
        <is>
          <t>SGK YOK</t>
        </is>
      </c>
      <c r="F71" s="4" t="inlineStr">
        <is>
          <t>DAİMİ</t>
        </is>
      </c>
      <c r="G71" s="7" t="n">
        <v>38000</v>
      </c>
    </row>
    <row r="72">
      <c r="A72" s="4" t="n">
        <v>71</v>
      </c>
      <c r="B72" s="5" t="inlineStr">
        <is>
          <t>15793660164</t>
        </is>
      </c>
      <c r="C72" s="29" t="inlineStr">
        <is>
          <t>FADIL KALBAN</t>
        </is>
      </c>
      <c r="D72" s="4" t="inlineStr"/>
      <c r="E72" s="4" t="inlineStr">
        <is>
          <t>SGK YOK</t>
        </is>
      </c>
      <c r="F72" s="4" t="inlineStr">
        <is>
          <t>DAİMİ</t>
        </is>
      </c>
      <c r="G72" s="7" t="n">
        <v>30185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77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5" customWidth="1" min="4" max="4"/>
    <col width="15" customWidth="1" min="5" max="5"/>
    <col width="15" customWidth="1" min="6" max="6"/>
  </cols>
  <sheetData>
    <row r="1" ht="25" customHeight="1">
      <c r="A1" s="2" t="inlineStr">
        <is>
          <t>Sıra No</t>
        </is>
      </c>
      <c r="B1" s="2" t="inlineStr">
        <is>
          <t>TC Kimlik No</t>
        </is>
      </c>
      <c r="C1" s="2" t="inlineStr">
        <is>
          <t>Adı Soyadı</t>
        </is>
      </c>
      <c r="D1" s="2" t="inlineStr">
        <is>
          <t>Anlaşılan Maaş</t>
        </is>
      </c>
      <c r="E1" s="2" t="inlineStr">
        <is>
          <t>Resmi Bordro Net</t>
        </is>
      </c>
      <c r="F1" s="2" t="inlineStr">
        <is>
          <t>Elden Fark (TL)</t>
        </is>
      </c>
    </row>
    <row r="2">
      <c r="A2" s="4" t="n">
        <v>1</v>
      </c>
      <c r="B2" s="5" t="inlineStr">
        <is>
          <t>18748661292</t>
        </is>
      </c>
      <c r="C2" s="29" t="inlineStr">
        <is>
          <t>ABDULLAH KAYA</t>
        </is>
      </c>
      <c r="D2" s="7">
        <f>Aylik_Puantaj!L4</f>
        <v/>
      </c>
      <c r="E2" s="7">
        <f>Aylik_Puantaj!BJ4</f>
        <v/>
      </c>
      <c r="F2" s="7">
        <f>Aylik_Puantaj!BL4</f>
        <v/>
      </c>
    </row>
    <row r="3">
      <c r="A3" s="4" t="n">
        <v>2</v>
      </c>
      <c r="B3" s="5" t="inlineStr">
        <is>
          <t>20437654348</t>
        </is>
      </c>
      <c r="C3" s="29" t="inlineStr">
        <is>
          <t>ADALET KALAYCI</t>
        </is>
      </c>
      <c r="D3" s="7">
        <f>Aylik_Puantaj!L5</f>
        <v/>
      </c>
      <c r="E3" s="7">
        <f>Aylik_Puantaj!BJ5</f>
        <v/>
      </c>
      <c r="F3" s="7">
        <f>Aylik_Puantaj!BL5</f>
        <v/>
      </c>
    </row>
    <row r="4">
      <c r="A4" s="4" t="n">
        <v>3</v>
      </c>
      <c r="B4" s="5" t="inlineStr">
        <is>
          <t>20014469792</t>
        </is>
      </c>
      <c r="C4" s="29" t="inlineStr">
        <is>
          <t>ADEM ÇETİN</t>
        </is>
      </c>
      <c r="D4" s="7">
        <f>Aylik_Puantaj!L6</f>
        <v/>
      </c>
      <c r="E4" s="7">
        <f>Aylik_Puantaj!BJ6</f>
        <v/>
      </c>
      <c r="F4" s="7">
        <f>Aylik_Puantaj!BL6</f>
        <v/>
      </c>
    </row>
    <row r="5">
      <c r="A5" s="4" t="n">
        <v>4</v>
      </c>
      <c r="B5" s="5" t="inlineStr"/>
      <c r="C5" s="29" t="inlineStr">
        <is>
          <t>ADEM YILDIRIM</t>
        </is>
      </c>
      <c r="D5" s="7">
        <f>Aylik_Puantaj!L7</f>
        <v/>
      </c>
      <c r="E5" s="7">
        <f>Aylik_Puantaj!BJ7</f>
        <v/>
      </c>
      <c r="F5" s="7">
        <f>Aylik_Puantaj!BL7</f>
        <v/>
      </c>
    </row>
    <row r="6">
      <c r="A6" s="4" t="n">
        <v>5</v>
      </c>
      <c r="B6" s="5" t="inlineStr">
        <is>
          <t>18655664102</t>
        </is>
      </c>
      <c r="C6" s="29" t="inlineStr">
        <is>
          <t>ADVİYE YARICI</t>
        </is>
      </c>
      <c r="D6" s="7">
        <f>Aylik_Puantaj!L8</f>
        <v/>
      </c>
      <c r="E6" s="7">
        <f>Aylik_Puantaj!BJ8</f>
        <v/>
      </c>
      <c r="F6" s="7">
        <f>Aylik_Puantaj!BL8</f>
        <v/>
      </c>
    </row>
    <row r="7">
      <c r="A7" s="4" t="n">
        <v>6</v>
      </c>
      <c r="B7" s="5" t="inlineStr">
        <is>
          <t>29339521420</t>
        </is>
      </c>
      <c r="C7" s="29" t="inlineStr">
        <is>
          <t>AFİFE KÜLTER</t>
        </is>
      </c>
      <c r="D7" s="7">
        <f>Aylik_Puantaj!L9</f>
        <v/>
      </c>
      <c r="E7" s="7">
        <f>Aylik_Puantaj!BJ9</f>
        <v/>
      </c>
      <c r="F7" s="7">
        <f>Aylik_Puantaj!BL9</f>
        <v/>
      </c>
    </row>
    <row r="8">
      <c r="A8" s="4" t="n">
        <v>7</v>
      </c>
      <c r="B8" s="5" t="inlineStr"/>
      <c r="C8" s="29" t="inlineStr">
        <is>
          <t>AHMET ABDULLAH</t>
        </is>
      </c>
      <c r="D8" s="7">
        <f>Aylik_Puantaj!L10</f>
        <v/>
      </c>
      <c r="E8" s="7">
        <f>Aylik_Puantaj!BJ10</f>
        <v/>
      </c>
      <c r="F8" s="7">
        <f>Aylik_Puantaj!BL10</f>
        <v/>
      </c>
    </row>
    <row r="9">
      <c r="A9" s="4" t="n">
        <v>8</v>
      </c>
      <c r="B9" s="5" t="inlineStr">
        <is>
          <t>23527501454</t>
        </is>
      </c>
      <c r="C9" s="29" t="inlineStr">
        <is>
          <t>AHMET BEYHAN</t>
        </is>
      </c>
      <c r="D9" s="7">
        <f>Aylik_Puantaj!L11</f>
        <v/>
      </c>
      <c r="E9" s="7">
        <f>Aylik_Puantaj!BJ11</f>
        <v/>
      </c>
      <c r="F9" s="7">
        <f>Aylik_Puantaj!BL11</f>
        <v/>
      </c>
    </row>
    <row r="10">
      <c r="A10" s="4" t="n">
        <v>9</v>
      </c>
      <c r="B10" s="5" t="inlineStr">
        <is>
          <t>44626409038</t>
        </is>
      </c>
      <c r="C10" s="29" t="inlineStr">
        <is>
          <t>AHMET ALİ TÜRKMEN</t>
        </is>
      </c>
      <c r="D10" s="7">
        <f>Aylik_Puantaj!L12</f>
        <v/>
      </c>
      <c r="E10" s="7">
        <f>Aylik_Puantaj!BJ12</f>
        <v/>
      </c>
      <c r="F10" s="7">
        <f>Aylik_Puantaj!BL12</f>
        <v/>
      </c>
    </row>
    <row r="11">
      <c r="A11" s="4" t="n">
        <v>10</v>
      </c>
      <c r="B11" s="5" t="inlineStr">
        <is>
          <t>24082483292</t>
        </is>
      </c>
      <c r="C11" s="29" t="inlineStr">
        <is>
          <t>AHMET ÇÇAKICI</t>
        </is>
      </c>
      <c r="D11" s="7">
        <f>Aylik_Puantaj!L13</f>
        <v/>
      </c>
      <c r="E11" s="7">
        <f>Aylik_Puantaj!BJ13</f>
        <v/>
      </c>
      <c r="F11" s="7">
        <f>Aylik_Puantaj!BL13</f>
        <v/>
      </c>
    </row>
    <row r="12">
      <c r="A12" s="4" t="n">
        <v>11</v>
      </c>
      <c r="B12" s="5" t="inlineStr">
        <is>
          <t>21925456598</t>
        </is>
      </c>
      <c r="C12" s="29" t="inlineStr">
        <is>
          <t>AHMET ÇÇAYLAK</t>
        </is>
      </c>
      <c r="D12" s="7">
        <f>Aylik_Puantaj!L14</f>
        <v/>
      </c>
      <c r="E12" s="7">
        <f>Aylik_Puantaj!BJ14</f>
        <v/>
      </c>
      <c r="F12" s="7">
        <f>Aylik_Puantaj!BL14</f>
        <v/>
      </c>
    </row>
    <row r="13">
      <c r="A13" s="4" t="n">
        <v>12</v>
      </c>
      <c r="B13" s="5" t="inlineStr">
        <is>
          <t>62770331784</t>
        </is>
      </c>
      <c r="C13" s="29" t="inlineStr">
        <is>
          <t>AHMET DAĞ</t>
        </is>
      </c>
      <c r="D13" s="7">
        <f>Aylik_Puantaj!L15</f>
        <v/>
      </c>
      <c r="E13" s="7">
        <f>Aylik_Puantaj!BJ15</f>
        <v/>
      </c>
      <c r="F13" s="7">
        <f>Aylik_Puantaj!BL15</f>
        <v/>
      </c>
    </row>
    <row r="14">
      <c r="A14" s="4" t="n">
        <v>13</v>
      </c>
      <c r="B14" s="5" t="inlineStr">
        <is>
          <t>28123249472</t>
        </is>
      </c>
      <c r="C14" s="29" t="inlineStr">
        <is>
          <t>AHMET ŞŞENER</t>
        </is>
      </c>
      <c r="D14" s="7">
        <f>Aylik_Puantaj!L16</f>
        <v/>
      </c>
      <c r="E14" s="7">
        <f>Aylik_Puantaj!BJ16</f>
        <v/>
      </c>
      <c r="F14" s="7">
        <f>Aylik_Puantaj!BL16</f>
        <v/>
      </c>
    </row>
    <row r="15">
      <c r="A15" s="4" t="n">
        <v>14</v>
      </c>
      <c r="B15" s="5" t="inlineStr"/>
      <c r="C15" s="29" t="inlineStr">
        <is>
          <t>AHMET CAN ABAKAY</t>
        </is>
      </c>
      <c r="D15" s="7">
        <f>Aylik_Puantaj!L17</f>
        <v/>
      </c>
      <c r="E15" s="7">
        <f>Aylik_Puantaj!BJ17</f>
        <v/>
      </c>
      <c r="F15" s="7">
        <f>Aylik_Puantaj!BL17</f>
        <v/>
      </c>
    </row>
    <row r="16">
      <c r="A16" s="4" t="n">
        <v>15</v>
      </c>
      <c r="B16" s="5" t="inlineStr">
        <is>
          <t>16510742668</t>
        </is>
      </c>
      <c r="C16" s="29" t="inlineStr">
        <is>
          <t>AKİF TÜRKÇÜ</t>
        </is>
      </c>
      <c r="D16" s="7">
        <f>Aylik_Puantaj!L18</f>
        <v/>
      </c>
      <c r="E16" s="7">
        <f>Aylik_Puantaj!BJ18</f>
        <v/>
      </c>
      <c r="F16" s="7">
        <f>Aylik_Puantaj!BL18</f>
        <v/>
      </c>
    </row>
    <row r="17">
      <c r="A17" s="4" t="n">
        <v>16</v>
      </c>
      <c r="B17" s="5" t="inlineStr">
        <is>
          <t>10672605502</t>
        </is>
      </c>
      <c r="C17" s="29" t="inlineStr">
        <is>
          <t>ALİ ARSLAN</t>
        </is>
      </c>
      <c r="D17" s="7">
        <f>Aylik_Puantaj!L19</f>
        <v/>
      </c>
      <c r="E17" s="7">
        <f>Aylik_Puantaj!BJ19</f>
        <v/>
      </c>
      <c r="F17" s="7">
        <f>Aylik_Puantaj!BL19</f>
        <v/>
      </c>
    </row>
    <row r="18">
      <c r="A18" s="4" t="n">
        <v>17</v>
      </c>
      <c r="B18" s="5" t="inlineStr"/>
      <c r="C18" s="29" t="inlineStr">
        <is>
          <t>ALİ BALTA</t>
        </is>
      </c>
      <c r="D18" s="7">
        <f>Aylik_Puantaj!L20</f>
        <v/>
      </c>
      <c r="E18" s="7">
        <f>Aylik_Puantaj!BJ20</f>
        <v/>
      </c>
      <c r="F18" s="7">
        <f>Aylik_Puantaj!BL20</f>
        <v/>
      </c>
    </row>
    <row r="19">
      <c r="A19" s="4" t="n">
        <v>18</v>
      </c>
      <c r="B19" s="5" t="inlineStr">
        <is>
          <t>13183506030</t>
        </is>
      </c>
      <c r="C19" s="29" t="inlineStr">
        <is>
          <t>ALİ EŞREF AKIN</t>
        </is>
      </c>
      <c r="D19" s="7">
        <f>Aylik_Puantaj!L21</f>
        <v/>
      </c>
      <c r="E19" s="7">
        <f>Aylik_Puantaj!BJ21</f>
        <v/>
      </c>
      <c r="F19" s="7">
        <f>Aylik_Puantaj!BL21</f>
        <v/>
      </c>
    </row>
    <row r="20">
      <c r="A20" s="4" t="n">
        <v>19</v>
      </c>
      <c r="B20" s="5" t="inlineStr">
        <is>
          <t>18394573482</t>
        </is>
      </c>
      <c r="C20" s="29" t="inlineStr">
        <is>
          <t>ANIL DEMİRTAŞ</t>
        </is>
      </c>
      <c r="D20" s="7">
        <f>Aylik_Puantaj!L22</f>
        <v/>
      </c>
      <c r="E20" s="7">
        <f>Aylik_Puantaj!BJ22</f>
        <v/>
      </c>
      <c r="F20" s="7">
        <f>Aylik_Puantaj!BL22</f>
        <v/>
      </c>
    </row>
    <row r="21">
      <c r="A21" s="4" t="n">
        <v>20</v>
      </c>
      <c r="B21" s="5" t="inlineStr">
        <is>
          <t>10933965062</t>
        </is>
      </c>
      <c r="C21" s="29" t="inlineStr">
        <is>
          <t>ALPEREN YAĞMUR</t>
        </is>
      </c>
      <c r="D21" s="7">
        <f>Aylik_Puantaj!L23</f>
        <v/>
      </c>
      <c r="E21" s="7">
        <f>Aylik_Puantaj!BJ23</f>
        <v/>
      </c>
      <c r="F21" s="7">
        <f>Aylik_Puantaj!BL23</f>
        <v/>
      </c>
    </row>
    <row r="22">
      <c r="A22" s="4" t="n">
        <v>21</v>
      </c>
      <c r="B22" s="5" t="inlineStr">
        <is>
          <t>99320980932</t>
        </is>
      </c>
      <c r="C22" s="29" t="inlineStr">
        <is>
          <t>ANUD ELMEAŞİ</t>
        </is>
      </c>
      <c r="D22" s="7">
        <f>Aylik_Puantaj!L24</f>
        <v/>
      </c>
      <c r="E22" s="7">
        <f>Aylik_Puantaj!BJ24</f>
        <v/>
      </c>
      <c r="F22" s="7">
        <f>Aylik_Puantaj!BL24</f>
        <v/>
      </c>
    </row>
    <row r="23">
      <c r="A23" s="4" t="n">
        <v>22</v>
      </c>
      <c r="B23" s="5" t="inlineStr">
        <is>
          <t>10474939782</t>
        </is>
      </c>
      <c r="C23" s="29" t="inlineStr">
        <is>
          <t>ARDA EKİCİ</t>
        </is>
      </c>
      <c r="D23" s="7">
        <f>Aylik_Puantaj!L25</f>
        <v/>
      </c>
      <c r="E23" s="7">
        <f>Aylik_Puantaj!BJ25</f>
        <v/>
      </c>
      <c r="F23" s="7">
        <f>Aylik_Puantaj!BL25</f>
        <v/>
      </c>
    </row>
    <row r="24">
      <c r="A24" s="4" t="n">
        <v>23</v>
      </c>
      <c r="B24" s="5" t="inlineStr">
        <is>
          <t>28336192374</t>
        </is>
      </c>
      <c r="C24" s="29" t="inlineStr">
        <is>
          <t>ARZU KILA</t>
        </is>
      </c>
      <c r="D24" s="7">
        <f>Aylik_Puantaj!L26</f>
        <v/>
      </c>
      <c r="E24" s="7">
        <f>Aylik_Puantaj!BJ26</f>
        <v/>
      </c>
      <c r="F24" s="7">
        <f>Aylik_Puantaj!BL26</f>
        <v/>
      </c>
    </row>
    <row r="25">
      <c r="A25" s="4" t="n">
        <v>24</v>
      </c>
      <c r="B25" s="5" t="inlineStr">
        <is>
          <t>28033351500</t>
        </is>
      </c>
      <c r="C25" s="29" t="inlineStr">
        <is>
          <t>ARZU ÖZTÜRK</t>
        </is>
      </c>
      <c r="D25" s="7">
        <f>Aylik_Puantaj!L27</f>
        <v/>
      </c>
      <c r="E25" s="7">
        <f>Aylik_Puantaj!BJ27</f>
        <v/>
      </c>
      <c r="F25" s="7">
        <f>Aylik_Puantaj!BL27</f>
        <v/>
      </c>
    </row>
    <row r="26">
      <c r="A26" s="4" t="n">
        <v>25</v>
      </c>
      <c r="B26" s="5" t="inlineStr">
        <is>
          <t>24709461474</t>
        </is>
      </c>
      <c r="C26" s="29" t="inlineStr">
        <is>
          <t>ASLI BAYRAKTAR</t>
        </is>
      </c>
      <c r="D26" s="7">
        <f>Aylik_Puantaj!L28</f>
        <v/>
      </c>
      <c r="E26" s="7">
        <f>Aylik_Puantaj!BJ28</f>
        <v/>
      </c>
      <c r="F26" s="7">
        <f>Aylik_Puantaj!BL28</f>
        <v/>
      </c>
    </row>
    <row r="27">
      <c r="A27" s="4" t="n">
        <v>26</v>
      </c>
      <c r="B27" s="5" t="inlineStr">
        <is>
          <t>15449909326</t>
        </is>
      </c>
      <c r="C27" s="29" t="inlineStr">
        <is>
          <t>ASLI SOLAK</t>
        </is>
      </c>
      <c r="D27" s="7">
        <f>Aylik_Puantaj!L29</f>
        <v/>
      </c>
      <c r="E27" s="7">
        <f>Aylik_Puantaj!BJ29</f>
        <v/>
      </c>
      <c r="F27" s="7">
        <f>Aylik_Puantaj!BL29</f>
        <v/>
      </c>
    </row>
    <row r="28">
      <c r="A28" s="4" t="n">
        <v>27</v>
      </c>
      <c r="B28" s="5" t="inlineStr">
        <is>
          <t>37001200856</t>
        </is>
      </c>
      <c r="C28" s="29" t="inlineStr">
        <is>
          <t>AYGÜL DOĞAN</t>
        </is>
      </c>
      <c r="D28" s="7">
        <f>Aylik_Puantaj!L30</f>
        <v/>
      </c>
      <c r="E28" s="7">
        <f>Aylik_Puantaj!BJ30</f>
        <v/>
      </c>
      <c r="F28" s="7">
        <f>Aylik_Puantaj!BL30</f>
        <v/>
      </c>
    </row>
    <row r="29">
      <c r="A29" s="4" t="n">
        <v>28</v>
      </c>
      <c r="B29" s="5" t="inlineStr">
        <is>
          <t>21089727848</t>
        </is>
      </c>
      <c r="C29" s="29" t="inlineStr">
        <is>
          <t>AYSEL YILMAZ</t>
        </is>
      </c>
      <c r="D29" s="7">
        <f>Aylik_Puantaj!L31</f>
        <v/>
      </c>
      <c r="E29" s="7">
        <f>Aylik_Puantaj!BJ31</f>
        <v/>
      </c>
      <c r="F29" s="7">
        <f>Aylik_Puantaj!BL31</f>
        <v/>
      </c>
    </row>
    <row r="30">
      <c r="A30" s="4" t="n">
        <v>29</v>
      </c>
      <c r="B30" s="5" t="inlineStr">
        <is>
          <t>12572550074</t>
        </is>
      </c>
      <c r="C30" s="29" t="inlineStr">
        <is>
          <t>ASYA TİLKİ</t>
        </is>
      </c>
      <c r="D30" s="7">
        <f>Aylik_Puantaj!L32</f>
        <v/>
      </c>
      <c r="E30" s="7">
        <f>Aylik_Puantaj!BJ32</f>
        <v/>
      </c>
      <c r="F30" s="7">
        <f>Aylik_Puantaj!BL32</f>
        <v/>
      </c>
    </row>
    <row r="31">
      <c r="A31" s="4" t="n">
        <v>30</v>
      </c>
      <c r="B31" s="5" t="inlineStr"/>
      <c r="C31" s="29" t="inlineStr">
        <is>
          <t>ATAKAN KAVRAM</t>
        </is>
      </c>
      <c r="D31" s="7">
        <f>Aylik_Puantaj!L33</f>
        <v/>
      </c>
      <c r="E31" s="7">
        <f>Aylik_Puantaj!BJ33</f>
        <v/>
      </c>
      <c r="F31" s="7">
        <f>Aylik_Puantaj!BL33</f>
        <v/>
      </c>
    </row>
    <row r="32">
      <c r="A32" s="4" t="n">
        <v>31</v>
      </c>
      <c r="B32" s="5" t="inlineStr"/>
      <c r="C32" s="29" t="inlineStr">
        <is>
          <t>ATAKAN KILIÇ</t>
        </is>
      </c>
      <c r="D32" s="7">
        <f>Aylik_Puantaj!L34</f>
        <v/>
      </c>
      <c r="E32" s="7">
        <f>Aylik_Puantaj!BJ34</f>
        <v/>
      </c>
      <c r="F32" s="7">
        <f>Aylik_Puantaj!BL34</f>
        <v/>
      </c>
    </row>
    <row r="33">
      <c r="A33" s="4" t="n">
        <v>32</v>
      </c>
      <c r="B33" s="5" t="inlineStr"/>
      <c r="C33" s="29" t="inlineStr">
        <is>
          <t>AYÇA KARAMAN</t>
        </is>
      </c>
      <c r="D33" s="7">
        <f>Aylik_Puantaj!L35</f>
        <v/>
      </c>
      <c r="E33" s="7">
        <f>Aylik_Puantaj!BJ35</f>
        <v/>
      </c>
      <c r="F33" s="7">
        <f>Aylik_Puantaj!BL35</f>
        <v/>
      </c>
    </row>
    <row r="34">
      <c r="A34" s="4" t="n">
        <v>33</v>
      </c>
      <c r="B34" s="5" t="inlineStr">
        <is>
          <t>25567503092</t>
        </is>
      </c>
      <c r="C34" s="29" t="inlineStr">
        <is>
          <t>AYÇA SEZER</t>
        </is>
      </c>
      <c r="D34" s="7">
        <f>Aylik_Puantaj!L36</f>
        <v/>
      </c>
      <c r="E34" s="7">
        <f>Aylik_Puantaj!BJ36</f>
        <v/>
      </c>
      <c r="F34" s="7">
        <f>Aylik_Puantaj!BL36</f>
        <v/>
      </c>
    </row>
    <row r="35">
      <c r="A35" s="4" t="n">
        <v>34</v>
      </c>
      <c r="B35" s="5" t="inlineStr">
        <is>
          <t>22426711476</t>
        </is>
      </c>
      <c r="C35" s="29" t="inlineStr">
        <is>
          <t>AYNUR DEMİRCAN</t>
        </is>
      </c>
      <c r="D35" s="7">
        <f>Aylik_Puantaj!L37</f>
        <v/>
      </c>
      <c r="E35" s="7">
        <f>Aylik_Puantaj!BJ37</f>
        <v/>
      </c>
      <c r="F35" s="7">
        <f>Aylik_Puantaj!BL37</f>
        <v/>
      </c>
    </row>
    <row r="36">
      <c r="A36" s="4" t="n">
        <v>35</v>
      </c>
      <c r="B36" s="5" t="inlineStr"/>
      <c r="C36" s="29" t="inlineStr">
        <is>
          <t>AYNUR KAYRA</t>
        </is>
      </c>
      <c r="D36" s="7">
        <f>Aylik_Puantaj!L38</f>
        <v/>
      </c>
      <c r="E36" s="7">
        <f>Aylik_Puantaj!BJ38</f>
        <v/>
      </c>
      <c r="F36" s="7">
        <f>Aylik_Puantaj!BL38</f>
        <v/>
      </c>
    </row>
    <row r="37">
      <c r="A37" s="4" t="n">
        <v>36</v>
      </c>
      <c r="B37" s="5" t="inlineStr">
        <is>
          <t>13543834438</t>
        </is>
      </c>
      <c r="C37" s="29" t="inlineStr">
        <is>
          <t>AYSEL ÇETİNTAŞ</t>
        </is>
      </c>
      <c r="D37" s="7">
        <f>Aylik_Puantaj!L39</f>
        <v/>
      </c>
      <c r="E37" s="7">
        <f>Aylik_Puantaj!BJ39</f>
        <v/>
      </c>
      <c r="F37" s="7">
        <f>Aylik_Puantaj!BL39</f>
        <v/>
      </c>
    </row>
    <row r="38">
      <c r="A38" s="4" t="n">
        <v>37</v>
      </c>
      <c r="B38" s="5" t="inlineStr"/>
      <c r="C38" s="29" t="inlineStr">
        <is>
          <t>AYSU SEVEN</t>
        </is>
      </c>
      <c r="D38" s="7">
        <f>Aylik_Puantaj!L40</f>
        <v/>
      </c>
      <c r="E38" s="7">
        <f>Aylik_Puantaj!BJ40</f>
        <v/>
      </c>
      <c r="F38" s="7">
        <f>Aylik_Puantaj!BL40</f>
        <v/>
      </c>
    </row>
    <row r="39">
      <c r="A39" s="4" t="n">
        <v>38</v>
      </c>
      <c r="B39" s="5" t="inlineStr">
        <is>
          <t>33103190842</t>
        </is>
      </c>
      <c r="C39" s="29" t="inlineStr">
        <is>
          <t>AYŞE BEYRİ</t>
        </is>
      </c>
      <c r="D39" s="7">
        <f>Aylik_Puantaj!L41</f>
        <v/>
      </c>
      <c r="E39" s="7">
        <f>Aylik_Puantaj!BJ41</f>
        <v/>
      </c>
      <c r="F39" s="7">
        <f>Aylik_Puantaj!BL41</f>
        <v/>
      </c>
    </row>
    <row r="40">
      <c r="A40" s="4" t="n">
        <v>39</v>
      </c>
      <c r="B40" s="5" t="inlineStr">
        <is>
          <t>63388096362</t>
        </is>
      </c>
      <c r="C40" s="29" t="inlineStr">
        <is>
          <t>AYŞE BORA</t>
        </is>
      </c>
      <c r="D40" s="7">
        <f>Aylik_Puantaj!L42</f>
        <v/>
      </c>
      <c r="E40" s="7">
        <f>Aylik_Puantaj!BJ42</f>
        <v/>
      </c>
      <c r="F40" s="7">
        <f>Aylik_Puantaj!BL42</f>
        <v/>
      </c>
    </row>
    <row r="41">
      <c r="A41" s="4" t="n">
        <v>40</v>
      </c>
      <c r="B41" s="5" t="inlineStr">
        <is>
          <t>33040069454</t>
        </is>
      </c>
      <c r="C41" s="29" t="inlineStr">
        <is>
          <t>AYŞE ÇÇAKICI</t>
        </is>
      </c>
      <c r="D41" s="7">
        <f>Aylik_Puantaj!L43</f>
        <v/>
      </c>
      <c r="E41" s="7">
        <f>Aylik_Puantaj!BJ43</f>
        <v/>
      </c>
      <c r="F41" s="7">
        <f>Aylik_Puantaj!BL43</f>
        <v/>
      </c>
    </row>
    <row r="42">
      <c r="A42" s="4" t="n">
        <v>41</v>
      </c>
      <c r="B42" s="5" t="inlineStr">
        <is>
          <t>11284759850</t>
        </is>
      </c>
      <c r="C42" s="29" t="inlineStr">
        <is>
          <t>AYŞE ÇENECİOĞLU</t>
        </is>
      </c>
      <c r="D42" s="7">
        <f>Aylik_Puantaj!L44</f>
        <v/>
      </c>
      <c r="E42" s="7">
        <f>Aylik_Puantaj!BJ44</f>
        <v/>
      </c>
      <c r="F42" s="7">
        <f>Aylik_Puantaj!BL44</f>
        <v/>
      </c>
    </row>
    <row r="43">
      <c r="A43" s="4" t="n">
        <v>42</v>
      </c>
      <c r="B43" s="5" t="inlineStr">
        <is>
          <t>10322764702</t>
        </is>
      </c>
      <c r="C43" s="29" t="inlineStr">
        <is>
          <t>AYŞE EBÜŞRAR AKKUŞ</t>
        </is>
      </c>
      <c r="D43" s="7">
        <f>Aylik_Puantaj!L45</f>
        <v/>
      </c>
      <c r="E43" s="7">
        <f>Aylik_Puantaj!BJ45</f>
        <v/>
      </c>
      <c r="F43" s="7">
        <f>Aylik_Puantaj!BL45</f>
        <v/>
      </c>
    </row>
    <row r="44">
      <c r="A44" s="4" t="n">
        <v>43</v>
      </c>
      <c r="B44" s="5" t="inlineStr">
        <is>
          <t>21115582342</t>
        </is>
      </c>
      <c r="C44" s="29" t="inlineStr">
        <is>
          <t>AYŞE ERKURAL</t>
        </is>
      </c>
      <c r="D44" s="7">
        <f>Aylik_Puantaj!L46</f>
        <v/>
      </c>
      <c r="E44" s="7">
        <f>Aylik_Puantaj!BJ46</f>
        <v/>
      </c>
      <c r="F44" s="7">
        <f>Aylik_Puantaj!BL46</f>
        <v/>
      </c>
    </row>
    <row r="45">
      <c r="A45" s="4" t="n">
        <v>44</v>
      </c>
      <c r="B45" s="5" t="inlineStr">
        <is>
          <t>24280352994</t>
        </is>
      </c>
      <c r="C45" s="29" t="inlineStr">
        <is>
          <t>AYŞE KARAMAN</t>
        </is>
      </c>
      <c r="D45" s="7">
        <f>Aylik_Puantaj!L47</f>
        <v/>
      </c>
      <c r="E45" s="7">
        <f>Aylik_Puantaj!BJ47</f>
        <v/>
      </c>
      <c r="F45" s="7">
        <f>Aylik_Puantaj!BL47</f>
        <v/>
      </c>
    </row>
    <row r="46">
      <c r="A46" s="4" t="n">
        <v>45</v>
      </c>
      <c r="B46" s="5" t="inlineStr">
        <is>
          <t>33253033204</t>
        </is>
      </c>
      <c r="C46" s="29" t="inlineStr">
        <is>
          <t>AYŞE KURT</t>
        </is>
      </c>
      <c r="D46" s="7">
        <f>Aylik_Puantaj!L48</f>
        <v/>
      </c>
      <c r="E46" s="7">
        <f>Aylik_Puantaj!BJ48</f>
        <v/>
      </c>
      <c r="F46" s="7">
        <f>Aylik_Puantaj!BL48</f>
        <v/>
      </c>
    </row>
    <row r="47">
      <c r="A47" s="4" t="n">
        <v>46</v>
      </c>
      <c r="B47" s="5" t="inlineStr">
        <is>
          <t>34120156552</t>
        </is>
      </c>
      <c r="C47" s="29" t="inlineStr">
        <is>
          <t>AYŞE YILMAZ-MKP</t>
        </is>
      </c>
      <c r="D47" s="7">
        <f>Aylik_Puantaj!L49</f>
        <v/>
      </c>
      <c r="E47" s="7">
        <f>Aylik_Puantaj!BJ49</f>
        <v/>
      </c>
      <c r="F47" s="7">
        <f>Aylik_Puantaj!BL49</f>
        <v/>
      </c>
    </row>
    <row r="48">
      <c r="A48" s="4" t="n">
        <v>47</v>
      </c>
      <c r="B48" s="5" t="inlineStr">
        <is>
          <t>10423940036</t>
        </is>
      </c>
      <c r="C48" s="29" t="inlineStr">
        <is>
          <t>AYŞENUR BURAN</t>
        </is>
      </c>
      <c r="D48" s="7">
        <f>Aylik_Puantaj!L50</f>
        <v/>
      </c>
      <c r="E48" s="7">
        <f>Aylik_Puantaj!BJ50</f>
        <v/>
      </c>
      <c r="F48" s="7">
        <f>Aylik_Puantaj!BL50</f>
        <v/>
      </c>
    </row>
    <row r="49">
      <c r="A49" s="4" t="n">
        <v>48</v>
      </c>
      <c r="B49" s="5" t="inlineStr">
        <is>
          <t>49558767270</t>
        </is>
      </c>
      <c r="C49" s="29" t="inlineStr">
        <is>
          <t>AZİZE KAYAR</t>
        </is>
      </c>
      <c r="D49" s="7">
        <f>Aylik_Puantaj!L51</f>
        <v/>
      </c>
      <c r="E49" s="7">
        <f>Aylik_Puantaj!BJ51</f>
        <v/>
      </c>
      <c r="F49" s="7">
        <f>Aylik_Puantaj!BL51</f>
        <v/>
      </c>
    </row>
    <row r="50">
      <c r="A50" s="4" t="n">
        <v>49</v>
      </c>
      <c r="B50" s="5" t="inlineStr"/>
      <c r="C50" s="29" t="inlineStr">
        <is>
          <t>BAHADIR BAKAR</t>
        </is>
      </c>
      <c r="D50" s="7">
        <f>Aylik_Puantaj!L52</f>
        <v/>
      </c>
      <c r="E50" s="7">
        <f>Aylik_Puantaj!BJ52</f>
        <v/>
      </c>
      <c r="F50" s="7">
        <f>Aylik_Puantaj!BL52</f>
        <v/>
      </c>
    </row>
    <row r="51">
      <c r="A51" s="4" t="n">
        <v>50</v>
      </c>
      <c r="B51" s="5" t="inlineStr">
        <is>
          <t>10429939782</t>
        </is>
      </c>
      <c r="C51" s="29" t="inlineStr">
        <is>
          <t>BAHAR ÇERİ</t>
        </is>
      </c>
      <c r="D51" s="7">
        <f>Aylik_Puantaj!L53</f>
        <v/>
      </c>
      <c r="E51" s="7">
        <f>Aylik_Puantaj!BJ53</f>
        <v/>
      </c>
      <c r="F51" s="7">
        <f>Aylik_Puantaj!BL53</f>
        <v/>
      </c>
    </row>
    <row r="52">
      <c r="A52" s="4" t="n">
        <v>51</v>
      </c>
      <c r="B52" s="5" t="inlineStr">
        <is>
          <t>25610607388</t>
        </is>
      </c>
      <c r="C52" s="29" t="inlineStr">
        <is>
          <t>BAHAR FİDAN</t>
        </is>
      </c>
      <c r="D52" s="7">
        <f>Aylik_Puantaj!L54</f>
        <v/>
      </c>
      <c r="E52" s="7">
        <f>Aylik_Puantaj!BJ54</f>
        <v/>
      </c>
      <c r="F52" s="7">
        <f>Aylik_Puantaj!BL54</f>
        <v/>
      </c>
    </row>
    <row r="53">
      <c r="A53" s="4" t="n">
        <v>52</v>
      </c>
      <c r="B53" s="5" t="inlineStr"/>
      <c r="C53" s="29" t="inlineStr">
        <is>
          <t>BARAN ŞÇIKCAN</t>
        </is>
      </c>
      <c r="D53" s="7">
        <f>Aylik_Puantaj!L55</f>
        <v/>
      </c>
      <c r="E53" s="7">
        <f>Aylik_Puantaj!BJ55</f>
        <v/>
      </c>
      <c r="F53" s="7">
        <f>Aylik_Puantaj!BL55</f>
        <v/>
      </c>
    </row>
    <row r="54">
      <c r="A54" s="4" t="n">
        <v>53</v>
      </c>
      <c r="B54" s="5" t="inlineStr"/>
      <c r="C54" s="29" t="inlineStr">
        <is>
          <t>BARIŞ DİĞRENCİ</t>
        </is>
      </c>
      <c r="D54" s="7">
        <f>Aylik_Puantaj!L56</f>
        <v/>
      </c>
      <c r="E54" s="7">
        <f>Aylik_Puantaj!BJ56</f>
        <v/>
      </c>
      <c r="F54" s="7">
        <f>Aylik_Puantaj!BL56</f>
        <v/>
      </c>
    </row>
    <row r="55">
      <c r="A55" s="4" t="n">
        <v>54</v>
      </c>
      <c r="B55" s="5" t="inlineStr">
        <is>
          <t>12496719380</t>
        </is>
      </c>
      <c r="C55" s="29" t="inlineStr">
        <is>
          <t>BEDİA KAYMAZ</t>
        </is>
      </c>
      <c r="D55" s="7">
        <f>Aylik_Puantaj!L57</f>
        <v/>
      </c>
      <c r="E55" s="7">
        <f>Aylik_Puantaj!BJ57</f>
        <v/>
      </c>
      <c r="F55" s="7">
        <f>Aylik_Puantaj!BL57</f>
        <v/>
      </c>
    </row>
    <row r="56">
      <c r="A56" s="4" t="n">
        <v>55</v>
      </c>
      <c r="B56" s="5" t="inlineStr"/>
      <c r="C56" s="29" t="inlineStr">
        <is>
          <t>BEDİA YILMAZ</t>
        </is>
      </c>
      <c r="D56" s="7">
        <f>Aylik_Puantaj!L58</f>
        <v/>
      </c>
      <c r="E56" s="7">
        <f>Aylik_Puantaj!BJ58</f>
        <v/>
      </c>
      <c r="F56" s="7">
        <f>Aylik_Puantaj!BL58</f>
        <v/>
      </c>
    </row>
    <row r="57">
      <c r="A57" s="4" t="n">
        <v>56</v>
      </c>
      <c r="B57" s="5" t="inlineStr">
        <is>
          <t>14725695762</t>
        </is>
      </c>
      <c r="C57" s="29" t="inlineStr">
        <is>
          <t>BEHİCE YALMAN</t>
        </is>
      </c>
      <c r="D57" s="7">
        <f>Aylik_Puantaj!L59</f>
        <v/>
      </c>
      <c r="E57" s="7">
        <f>Aylik_Puantaj!BJ59</f>
        <v/>
      </c>
      <c r="F57" s="7">
        <f>Aylik_Puantaj!BL59</f>
        <v/>
      </c>
    </row>
    <row r="58">
      <c r="A58" s="4" t="n">
        <v>57</v>
      </c>
      <c r="B58" s="5" t="inlineStr"/>
      <c r="C58" s="29" t="inlineStr">
        <is>
          <t>BEHİCE YILMAZ</t>
        </is>
      </c>
      <c r="D58" s="7">
        <f>Aylik_Puantaj!L60</f>
        <v/>
      </c>
      <c r="E58" s="7">
        <f>Aylik_Puantaj!BJ60</f>
        <v/>
      </c>
      <c r="F58" s="7">
        <f>Aylik_Puantaj!BL60</f>
        <v/>
      </c>
    </row>
    <row r="59">
      <c r="A59" s="4" t="n">
        <v>58</v>
      </c>
      <c r="B59" s="5" t="inlineStr">
        <is>
          <t>10075851872</t>
        </is>
      </c>
      <c r="C59" s="29" t="inlineStr">
        <is>
          <t>BERAT DAĞCI</t>
        </is>
      </c>
      <c r="D59" s="7">
        <f>Aylik_Puantaj!L61</f>
        <v/>
      </c>
      <c r="E59" s="7">
        <f>Aylik_Puantaj!BJ61</f>
        <v/>
      </c>
      <c r="F59" s="7">
        <f>Aylik_Puantaj!BL61</f>
        <v/>
      </c>
    </row>
    <row r="60">
      <c r="A60" s="4" t="n">
        <v>59</v>
      </c>
      <c r="B60" s="5" t="inlineStr">
        <is>
          <t>11206757414</t>
        </is>
      </c>
      <c r="C60" s="29" t="inlineStr">
        <is>
          <t>BERK BERBER</t>
        </is>
      </c>
      <c r="D60" s="7">
        <f>Aylik_Puantaj!L62</f>
        <v/>
      </c>
      <c r="E60" s="7">
        <f>Aylik_Puantaj!BJ62</f>
        <v/>
      </c>
      <c r="F60" s="7">
        <f>Aylik_Puantaj!BL62</f>
        <v/>
      </c>
    </row>
    <row r="61">
      <c r="A61" s="4" t="n">
        <v>60</v>
      </c>
      <c r="B61" s="5" t="inlineStr">
        <is>
          <t>25297298992</t>
        </is>
      </c>
      <c r="C61" s="29" t="inlineStr">
        <is>
          <t>BETÜL TUNÇ</t>
        </is>
      </c>
      <c r="D61" s="7">
        <f>Aylik_Puantaj!L63</f>
        <v/>
      </c>
      <c r="E61" s="7">
        <f>Aylik_Puantaj!BJ63</f>
        <v/>
      </c>
      <c r="F61" s="7">
        <f>Aylik_Puantaj!BL63</f>
        <v/>
      </c>
    </row>
    <row r="62">
      <c r="A62" s="4" t="n">
        <v>61</v>
      </c>
      <c r="B62" s="5" t="inlineStr">
        <is>
          <t>13741828666</t>
        </is>
      </c>
      <c r="C62" s="29" t="inlineStr">
        <is>
          <t>BEYZA YAĞMUR HAN</t>
        </is>
      </c>
      <c r="D62" s="7">
        <f>Aylik_Puantaj!L64</f>
        <v/>
      </c>
      <c r="E62" s="7">
        <f>Aylik_Puantaj!BJ64</f>
        <v/>
      </c>
      <c r="F62" s="7">
        <f>Aylik_Puantaj!BL64</f>
        <v/>
      </c>
    </row>
    <row r="63">
      <c r="A63" s="4" t="n">
        <v>62</v>
      </c>
      <c r="B63" s="5" t="inlineStr">
        <is>
          <t>21703561926</t>
        </is>
      </c>
      <c r="C63" s="29" t="inlineStr">
        <is>
          <t>BİLGİ GÜVENİLİR</t>
        </is>
      </c>
      <c r="D63" s="7">
        <f>Aylik_Puantaj!L65</f>
        <v/>
      </c>
      <c r="E63" s="7">
        <f>Aylik_Puantaj!BJ65</f>
        <v/>
      </c>
      <c r="F63" s="7">
        <f>Aylik_Puantaj!BL65</f>
        <v/>
      </c>
    </row>
    <row r="64">
      <c r="A64" s="4" t="n">
        <v>63</v>
      </c>
      <c r="B64" s="5" t="inlineStr">
        <is>
          <t>33316051664</t>
        </is>
      </c>
      <c r="C64" s="29" t="inlineStr">
        <is>
          <t>BİLGİNUR SÜMER</t>
        </is>
      </c>
      <c r="D64" s="7">
        <f>Aylik_Puantaj!L66</f>
        <v/>
      </c>
      <c r="E64" s="7">
        <f>Aylik_Puantaj!BJ66</f>
        <v/>
      </c>
      <c r="F64" s="7">
        <f>Aylik_Puantaj!BL66</f>
        <v/>
      </c>
    </row>
    <row r="65">
      <c r="A65" s="4" t="n">
        <v>64</v>
      </c>
      <c r="B65" s="5" t="inlineStr">
        <is>
          <t>11950763822</t>
        </is>
      </c>
      <c r="C65" s="29" t="inlineStr">
        <is>
          <t>BİLGİYE TOPAL</t>
        </is>
      </c>
      <c r="D65" s="7">
        <f>Aylik_Puantaj!L67</f>
        <v/>
      </c>
      <c r="E65" s="7">
        <f>Aylik_Puantaj!BJ67</f>
        <v/>
      </c>
      <c r="F65" s="7">
        <f>Aylik_Puantaj!BL67</f>
        <v/>
      </c>
    </row>
    <row r="66">
      <c r="A66" s="4" t="n">
        <v>65</v>
      </c>
      <c r="B66" s="5" t="inlineStr">
        <is>
          <t>23263184324</t>
        </is>
      </c>
      <c r="C66" s="29" t="inlineStr">
        <is>
          <t>BİRSEN ALPARSLAN</t>
        </is>
      </c>
      <c r="D66" s="7">
        <f>Aylik_Puantaj!L68</f>
        <v/>
      </c>
      <c r="E66" s="7">
        <f>Aylik_Puantaj!BJ68</f>
        <v/>
      </c>
      <c r="F66" s="7">
        <f>Aylik_Puantaj!BL68</f>
        <v/>
      </c>
    </row>
    <row r="67">
      <c r="A67" s="4" t="n">
        <v>66</v>
      </c>
      <c r="B67" s="5" t="inlineStr">
        <is>
          <t>10240797066</t>
        </is>
      </c>
      <c r="C67" s="29" t="inlineStr">
        <is>
          <t>BUĞRA KURT</t>
        </is>
      </c>
      <c r="D67" s="7">
        <f>Aylik_Puantaj!L69</f>
        <v/>
      </c>
      <c r="E67" s="7">
        <f>Aylik_Puantaj!BJ69</f>
        <v/>
      </c>
      <c r="F67" s="7">
        <f>Aylik_Puantaj!BL69</f>
        <v/>
      </c>
    </row>
    <row r="68">
      <c r="A68" s="4" t="n">
        <v>67</v>
      </c>
      <c r="B68" s="5" t="inlineStr">
        <is>
          <t>36388061296</t>
        </is>
      </c>
      <c r="C68" s="29" t="inlineStr">
        <is>
          <t>BUKET SARİBAL</t>
        </is>
      </c>
      <c r="D68" s="7">
        <f>Aylik_Puantaj!L70</f>
        <v/>
      </c>
      <c r="E68" s="7">
        <f>Aylik_Puantaj!BJ70</f>
        <v/>
      </c>
      <c r="F68" s="7">
        <f>Aylik_Puantaj!BL70</f>
        <v/>
      </c>
    </row>
    <row r="69">
      <c r="A69" s="4" t="n">
        <v>68</v>
      </c>
      <c r="B69" s="5" t="inlineStr">
        <is>
          <t>10201948476</t>
        </is>
      </c>
      <c r="C69" s="29" t="inlineStr">
        <is>
          <t>BUKET DÖNMEZ</t>
        </is>
      </c>
      <c r="D69" s="7">
        <f>Aylik_Puantaj!L71</f>
        <v/>
      </c>
      <c r="E69" s="7">
        <f>Aylik_Puantaj!BJ71</f>
        <v/>
      </c>
      <c r="F69" s="7">
        <f>Aylik_Puantaj!BL71</f>
        <v/>
      </c>
    </row>
    <row r="70">
      <c r="A70" s="4" t="n">
        <v>69</v>
      </c>
      <c r="B70" s="5" t="inlineStr"/>
      <c r="C70" s="29" t="inlineStr">
        <is>
          <t>BÜNYAMİN AKBESAN</t>
        </is>
      </c>
      <c r="D70" s="7">
        <f>Aylik_Puantaj!L72</f>
        <v/>
      </c>
      <c r="E70" s="7">
        <f>Aylik_Puantaj!BJ72</f>
        <v/>
      </c>
      <c r="F70" s="7">
        <f>Aylik_Puantaj!BL72</f>
        <v/>
      </c>
    </row>
    <row r="71">
      <c r="A71" s="4" t="n">
        <v>70</v>
      </c>
      <c r="B71" s="5" t="inlineStr">
        <is>
          <t>10508456896</t>
        </is>
      </c>
      <c r="C71" s="29" t="inlineStr">
        <is>
          <t>BÜŞRA POLAT</t>
        </is>
      </c>
      <c r="D71" s="7">
        <f>Aylik_Puantaj!L73</f>
        <v/>
      </c>
      <c r="E71" s="7">
        <f>Aylik_Puantaj!BJ73</f>
        <v/>
      </c>
      <c r="F71" s="7">
        <f>Aylik_Puantaj!BL73</f>
        <v/>
      </c>
    </row>
    <row r="72">
      <c r="A72" s="4" t="n">
        <v>71</v>
      </c>
      <c r="B72" s="5" t="inlineStr">
        <is>
          <t>28103495080</t>
        </is>
      </c>
      <c r="C72" s="29" t="inlineStr">
        <is>
          <t>BÜŞRA YAVRUKURT</t>
        </is>
      </c>
      <c r="D72" s="7">
        <f>Aylik_Puantaj!L74</f>
        <v/>
      </c>
      <c r="E72" s="7">
        <f>Aylik_Puantaj!BJ74</f>
        <v/>
      </c>
      <c r="F72" s="7">
        <f>Aylik_Puantaj!BL74</f>
        <v/>
      </c>
    </row>
    <row r="73">
      <c r="A73" s="4" t="n">
        <v>72</v>
      </c>
      <c r="B73" s="5" t="inlineStr">
        <is>
          <t>18844853416</t>
        </is>
      </c>
      <c r="C73" s="29" t="inlineStr">
        <is>
          <t>CANER BALABAN</t>
        </is>
      </c>
      <c r="D73" s="7">
        <f>Aylik_Puantaj!L75</f>
        <v/>
      </c>
      <c r="E73" s="7">
        <f>Aylik_Puantaj!BJ75</f>
        <v/>
      </c>
      <c r="F73" s="7">
        <f>Aylik_Puantaj!BL75</f>
        <v/>
      </c>
    </row>
    <row r="74">
      <c r="A74" s="4" t="n">
        <v>73</v>
      </c>
      <c r="B74" s="5" t="inlineStr">
        <is>
          <t>31678238334</t>
        </is>
      </c>
      <c r="C74" s="29" t="inlineStr">
        <is>
          <t>CANSEL AKCAN</t>
        </is>
      </c>
      <c r="D74" s="7">
        <f>Aylik_Puantaj!L76</f>
        <v/>
      </c>
      <c r="E74" s="7">
        <f>Aylik_Puantaj!BJ76</f>
        <v/>
      </c>
      <c r="F74" s="7">
        <f>Aylik_Puantaj!BL76</f>
        <v/>
      </c>
    </row>
    <row r="75">
      <c r="A75" s="4" t="n">
        <v>74</v>
      </c>
      <c r="B75" s="5" t="inlineStr">
        <is>
          <t>16933572286</t>
        </is>
      </c>
      <c r="C75" s="29" t="inlineStr">
        <is>
          <t>CANSEVER ÇÇAKMAK</t>
        </is>
      </c>
      <c r="D75" s="7">
        <f>Aylik_Puantaj!L77</f>
        <v/>
      </c>
      <c r="E75" s="7">
        <f>Aylik_Puantaj!BJ77</f>
        <v/>
      </c>
      <c r="F75" s="7">
        <f>Aylik_Puantaj!BL77</f>
        <v/>
      </c>
    </row>
    <row r="76">
      <c r="A76" s="4" t="n">
        <v>75</v>
      </c>
      <c r="B76" s="5" t="inlineStr">
        <is>
          <t>17659696560</t>
        </is>
      </c>
      <c r="C76" s="29" t="inlineStr">
        <is>
          <t>CELAL ÖZER</t>
        </is>
      </c>
      <c r="D76" s="7">
        <f>Aylik_Puantaj!L78</f>
        <v/>
      </c>
      <c r="E76" s="7">
        <f>Aylik_Puantaj!BJ78</f>
        <v/>
      </c>
      <c r="F76" s="7">
        <f>Aylik_Puantaj!BL78</f>
        <v/>
      </c>
    </row>
    <row r="77">
      <c r="A77" s="4" t="n">
        <v>76</v>
      </c>
      <c r="B77" s="5" t="inlineStr">
        <is>
          <t>33154180038</t>
        </is>
      </c>
      <c r="C77" s="29" t="inlineStr">
        <is>
          <t>CEMALETTİN BEDİZCİ</t>
        </is>
      </c>
      <c r="D77" s="7">
        <f>Aylik_Puantaj!L79</f>
        <v/>
      </c>
      <c r="E77" s="7">
        <f>Aylik_Puantaj!BJ79</f>
        <v/>
      </c>
      <c r="F77" s="7">
        <f>Aylik_Puantaj!BL79</f>
        <v/>
      </c>
    </row>
    <row r="78">
      <c r="A78" s="4" t="n">
        <v>77</v>
      </c>
      <c r="B78" s="5" t="inlineStr">
        <is>
          <t>17488585028</t>
        </is>
      </c>
      <c r="C78" s="29" t="inlineStr">
        <is>
          <t>CEMİLE KARAN</t>
        </is>
      </c>
      <c r="D78" s="7">
        <f>Aylik_Puantaj!L80</f>
        <v/>
      </c>
      <c r="E78" s="7">
        <f>Aylik_Puantaj!BJ80</f>
        <v/>
      </c>
      <c r="F78" s="7">
        <f>Aylik_Puantaj!BL80</f>
        <v/>
      </c>
    </row>
    <row r="79">
      <c r="A79" s="4" t="n">
        <v>78</v>
      </c>
      <c r="B79" s="5" t="inlineStr">
        <is>
          <t>29009301048</t>
        </is>
      </c>
      <c r="C79" s="29" t="inlineStr">
        <is>
          <t>CEMİLE ÖZTÜRK</t>
        </is>
      </c>
      <c r="D79" s="7">
        <f>Aylik_Puantaj!L81</f>
        <v/>
      </c>
      <c r="E79" s="7">
        <f>Aylik_Puantaj!BJ81</f>
        <v/>
      </c>
      <c r="F79" s="7">
        <f>Aylik_Puantaj!BL81</f>
        <v/>
      </c>
    </row>
    <row r="80">
      <c r="A80" s="4" t="n">
        <v>79</v>
      </c>
      <c r="B80" s="5" t="inlineStr"/>
      <c r="C80" s="29" t="inlineStr">
        <is>
          <t>CEMİLE TER</t>
        </is>
      </c>
      <c r="D80" s="7">
        <f>Aylik_Puantaj!L82</f>
        <v/>
      </c>
      <c r="E80" s="7">
        <f>Aylik_Puantaj!BJ82</f>
        <v/>
      </c>
      <c r="F80" s="7">
        <f>Aylik_Puantaj!BL82</f>
        <v/>
      </c>
    </row>
    <row r="81">
      <c r="A81" s="4" t="n">
        <v>80</v>
      </c>
      <c r="B81" s="5" t="inlineStr"/>
      <c r="C81" s="29" t="inlineStr">
        <is>
          <t>CENNET ŞENOL</t>
        </is>
      </c>
      <c r="D81" s="7">
        <f>Aylik_Puantaj!L83</f>
        <v/>
      </c>
      <c r="E81" s="7">
        <f>Aylik_Puantaj!BJ83</f>
        <v/>
      </c>
      <c r="F81" s="7">
        <f>Aylik_Puantaj!BL83</f>
        <v/>
      </c>
    </row>
    <row r="82">
      <c r="A82" s="4" t="n">
        <v>81</v>
      </c>
      <c r="B82" s="5" t="inlineStr">
        <is>
          <t>23083367440</t>
        </is>
      </c>
      <c r="C82" s="29" t="inlineStr">
        <is>
          <t>CEYDA ÖZ</t>
        </is>
      </c>
      <c r="D82" s="7">
        <f>Aylik_Puantaj!L84</f>
        <v/>
      </c>
      <c r="E82" s="7">
        <f>Aylik_Puantaj!BJ84</f>
        <v/>
      </c>
      <c r="F82" s="7">
        <f>Aylik_Puantaj!BL84</f>
        <v/>
      </c>
    </row>
    <row r="83">
      <c r="A83" s="4" t="n">
        <v>82</v>
      </c>
      <c r="B83" s="5" t="inlineStr">
        <is>
          <t>16699736366</t>
        </is>
      </c>
      <c r="C83" s="29" t="inlineStr">
        <is>
          <t>CEYLAN BATAN</t>
        </is>
      </c>
      <c r="D83" s="7">
        <f>Aylik_Puantaj!L85</f>
        <v/>
      </c>
      <c r="E83" s="7">
        <f>Aylik_Puantaj!BJ85</f>
        <v/>
      </c>
      <c r="F83" s="7">
        <f>Aylik_Puantaj!BL85</f>
        <v/>
      </c>
    </row>
    <row r="84">
      <c r="A84" s="4" t="n">
        <v>83</v>
      </c>
      <c r="B84" s="5" t="inlineStr">
        <is>
          <t>19313787324</t>
        </is>
      </c>
      <c r="C84" s="29" t="inlineStr">
        <is>
          <t>CİHAN YILMAZ</t>
        </is>
      </c>
      <c r="D84" s="7">
        <f>Aylik_Puantaj!L86</f>
        <v/>
      </c>
      <c r="E84" s="7">
        <f>Aylik_Puantaj!BJ86</f>
        <v/>
      </c>
      <c r="F84" s="7">
        <f>Aylik_Puantaj!BL86</f>
        <v/>
      </c>
    </row>
    <row r="85">
      <c r="A85" s="4" t="n">
        <v>84</v>
      </c>
      <c r="B85" s="5" t="inlineStr">
        <is>
          <t>10240956142</t>
        </is>
      </c>
      <c r="C85" s="29" t="inlineStr">
        <is>
          <t>ÇETİN BEYGİRCİLER</t>
        </is>
      </c>
      <c r="D85" s="7">
        <f>Aylik_Puantaj!L87</f>
        <v/>
      </c>
      <c r="E85" s="7">
        <f>Aylik_Puantaj!BJ87</f>
        <v/>
      </c>
      <c r="F85" s="7">
        <f>Aylik_Puantaj!BL87</f>
        <v/>
      </c>
    </row>
    <row r="86">
      <c r="A86" s="4" t="n">
        <v>85</v>
      </c>
      <c r="B86" s="5" t="inlineStr">
        <is>
          <t>22319750032</t>
        </is>
      </c>
      <c r="C86" s="29" t="inlineStr">
        <is>
          <t>ÇİDEM FİDAN</t>
        </is>
      </c>
      <c r="D86" s="7">
        <f>Aylik_Puantaj!L88</f>
        <v/>
      </c>
      <c r="E86" s="7">
        <f>Aylik_Puantaj!BJ88</f>
        <v/>
      </c>
      <c r="F86" s="7">
        <f>Aylik_Puantaj!BL88</f>
        <v/>
      </c>
    </row>
    <row r="87">
      <c r="A87" s="4" t="n">
        <v>86</v>
      </c>
      <c r="B87" s="5" t="inlineStr">
        <is>
          <t>22993528088</t>
        </is>
      </c>
      <c r="C87" s="29" t="inlineStr">
        <is>
          <t>ÇİĞDEM KOCÇAKIRAY</t>
        </is>
      </c>
      <c r="D87" s="7">
        <f>Aylik_Puantaj!L89</f>
        <v/>
      </c>
      <c r="E87" s="7">
        <f>Aylik_Puantaj!BJ89</f>
        <v/>
      </c>
      <c r="F87" s="7">
        <f>Aylik_Puantaj!BL89</f>
        <v/>
      </c>
    </row>
    <row r="88">
      <c r="A88" s="4" t="n">
        <v>87</v>
      </c>
      <c r="B88" s="5" t="inlineStr">
        <is>
          <t>17749594400</t>
        </is>
      </c>
      <c r="C88" s="29" t="inlineStr">
        <is>
          <t>ÇİSEM BÇAKIR</t>
        </is>
      </c>
      <c r="D88" s="7">
        <f>Aylik_Puantaj!L90</f>
        <v/>
      </c>
      <c r="E88" s="7">
        <f>Aylik_Puantaj!BJ90</f>
        <v/>
      </c>
      <c r="F88" s="7">
        <f>Aylik_Puantaj!BL90</f>
        <v/>
      </c>
    </row>
    <row r="89">
      <c r="A89" s="4" t="n">
        <v>88</v>
      </c>
      <c r="B89" s="5" t="inlineStr">
        <is>
          <t>22634353154</t>
        </is>
      </c>
      <c r="C89" s="29" t="inlineStr">
        <is>
          <t>DAİMİLA GÖKÇE</t>
        </is>
      </c>
      <c r="D89" s="7">
        <f>Aylik_Puantaj!L91</f>
        <v/>
      </c>
      <c r="E89" s="7">
        <f>Aylik_Puantaj!BJ91</f>
        <v/>
      </c>
      <c r="F89" s="7">
        <f>Aylik_Puantaj!BL91</f>
        <v/>
      </c>
    </row>
    <row r="90">
      <c r="A90" s="4" t="n">
        <v>89</v>
      </c>
      <c r="B90" s="5" t="inlineStr"/>
      <c r="C90" s="29" t="inlineStr">
        <is>
          <t>DEMİRHAN GÖKGÖZ</t>
        </is>
      </c>
      <c r="D90" s="7">
        <f>Aylik_Puantaj!L92</f>
        <v/>
      </c>
      <c r="E90" s="7">
        <f>Aylik_Puantaj!BJ92</f>
        <v/>
      </c>
      <c r="F90" s="7">
        <f>Aylik_Puantaj!BL92</f>
        <v/>
      </c>
    </row>
    <row r="91">
      <c r="A91" s="4" t="n">
        <v>90</v>
      </c>
      <c r="B91" s="5" t="inlineStr">
        <is>
          <t>18364574570</t>
        </is>
      </c>
      <c r="C91" s="29" t="inlineStr">
        <is>
          <t>DERYA AVCI</t>
        </is>
      </c>
      <c r="D91" s="7">
        <f>Aylik_Puantaj!L93</f>
        <v/>
      </c>
      <c r="E91" s="7">
        <f>Aylik_Puantaj!BJ93</f>
        <v/>
      </c>
      <c r="F91" s="7">
        <f>Aylik_Puantaj!BL93</f>
        <v/>
      </c>
    </row>
    <row r="92">
      <c r="A92" s="4" t="n">
        <v>91</v>
      </c>
      <c r="B92" s="5" t="inlineStr">
        <is>
          <t>17309221128</t>
        </is>
      </c>
      <c r="C92" s="29" t="inlineStr">
        <is>
          <t>DERYA ARSLAN</t>
        </is>
      </c>
      <c r="D92" s="7">
        <f>Aylik_Puantaj!L94</f>
        <v/>
      </c>
      <c r="E92" s="7">
        <f>Aylik_Puantaj!BJ94</f>
        <v/>
      </c>
      <c r="F92" s="7">
        <f>Aylik_Puantaj!BL94</f>
        <v/>
      </c>
    </row>
    <row r="93">
      <c r="A93" s="4" t="n">
        <v>92</v>
      </c>
      <c r="B93" s="5" t="inlineStr">
        <is>
          <t>37525041782</t>
        </is>
      </c>
      <c r="C93" s="29" t="inlineStr">
        <is>
          <t>DERYA SEVİNÇ</t>
        </is>
      </c>
      <c r="D93" s="7">
        <f>Aylik_Puantaj!L95</f>
        <v/>
      </c>
      <c r="E93" s="7">
        <f>Aylik_Puantaj!BJ95</f>
        <v/>
      </c>
      <c r="F93" s="7">
        <f>Aylik_Puantaj!BL95</f>
        <v/>
      </c>
    </row>
    <row r="94">
      <c r="A94" s="4" t="n">
        <v>93</v>
      </c>
      <c r="B94" s="5" t="inlineStr"/>
      <c r="C94" s="29" t="inlineStr">
        <is>
          <t>DERYA ZEHRA ORUÇ</t>
        </is>
      </c>
      <c r="D94" s="7">
        <f>Aylik_Puantaj!L96</f>
        <v/>
      </c>
      <c r="E94" s="7">
        <f>Aylik_Puantaj!BJ96</f>
        <v/>
      </c>
      <c r="F94" s="7">
        <f>Aylik_Puantaj!BL96</f>
        <v/>
      </c>
    </row>
    <row r="95">
      <c r="A95" s="4" t="n">
        <v>94</v>
      </c>
      <c r="B95" s="5" t="inlineStr">
        <is>
          <t>17329708456</t>
        </is>
      </c>
      <c r="C95" s="29" t="inlineStr">
        <is>
          <t>DİLEK ÇEKİN</t>
        </is>
      </c>
      <c r="D95" s="7">
        <f>Aylik_Puantaj!L97</f>
        <v/>
      </c>
      <c r="E95" s="7">
        <f>Aylik_Puantaj!BJ97</f>
        <v/>
      </c>
      <c r="F95" s="7">
        <f>Aylik_Puantaj!BL97</f>
        <v/>
      </c>
    </row>
    <row r="96">
      <c r="A96" s="4" t="n">
        <v>95</v>
      </c>
      <c r="B96" s="5" t="inlineStr">
        <is>
          <t>10456937386</t>
        </is>
      </c>
      <c r="C96" s="29" t="inlineStr">
        <is>
          <t>DİLEK ÇETİN</t>
        </is>
      </c>
      <c r="D96" s="7">
        <f>Aylik_Puantaj!L98</f>
        <v/>
      </c>
      <c r="E96" s="7">
        <f>Aylik_Puantaj!BJ98</f>
        <v/>
      </c>
      <c r="F96" s="7">
        <f>Aylik_Puantaj!BL98</f>
        <v/>
      </c>
    </row>
    <row r="97">
      <c r="A97" s="4" t="n">
        <v>96</v>
      </c>
      <c r="B97" s="5" t="inlineStr"/>
      <c r="C97" s="29" t="inlineStr">
        <is>
          <t>DİLOROM PULOTOVA</t>
        </is>
      </c>
      <c r="D97" s="7">
        <f>Aylik_Puantaj!L99</f>
        <v/>
      </c>
      <c r="E97" s="7">
        <f>Aylik_Puantaj!BJ99</f>
        <v/>
      </c>
      <c r="F97" s="7">
        <f>Aylik_Puantaj!BL99</f>
        <v/>
      </c>
    </row>
    <row r="98">
      <c r="A98" s="4" t="n">
        <v>97</v>
      </c>
      <c r="B98" s="5" t="inlineStr">
        <is>
          <t>23509358892</t>
        </is>
      </c>
      <c r="C98" s="29" t="inlineStr">
        <is>
          <t>DÖNDÜ ŞAHİN</t>
        </is>
      </c>
      <c r="D98" s="7">
        <f>Aylik_Puantaj!L100</f>
        <v/>
      </c>
      <c r="E98" s="7">
        <f>Aylik_Puantaj!BJ100</f>
        <v/>
      </c>
      <c r="F98" s="7">
        <f>Aylik_Puantaj!BL100</f>
        <v/>
      </c>
    </row>
    <row r="99">
      <c r="A99" s="4" t="n">
        <v>98</v>
      </c>
      <c r="B99" s="5" t="inlineStr">
        <is>
          <t>24961035246</t>
        </is>
      </c>
      <c r="C99" s="29" t="inlineStr">
        <is>
          <t>DUDU ÖRENGÜL</t>
        </is>
      </c>
      <c r="D99" s="7">
        <f>Aylik_Puantaj!L101</f>
        <v/>
      </c>
      <c r="E99" s="7">
        <f>Aylik_Puantaj!BJ101</f>
        <v/>
      </c>
      <c r="F99" s="7">
        <f>Aylik_Puantaj!BL101</f>
        <v/>
      </c>
    </row>
    <row r="100">
      <c r="A100" s="4" t="n">
        <v>99</v>
      </c>
      <c r="B100" s="5" t="inlineStr">
        <is>
          <t>99848635024</t>
        </is>
      </c>
      <c r="C100" s="29" t="inlineStr">
        <is>
          <t>DUHA EL MUFADDİ</t>
        </is>
      </c>
      <c r="D100" s="7">
        <f>Aylik_Puantaj!L102</f>
        <v/>
      </c>
      <c r="E100" s="7">
        <f>Aylik_Puantaj!BJ102</f>
        <v/>
      </c>
      <c r="F100" s="7">
        <f>Aylik_Puantaj!BL102</f>
        <v/>
      </c>
    </row>
    <row r="101">
      <c r="A101" s="4" t="n">
        <v>100</v>
      </c>
      <c r="B101" s="5" t="inlineStr">
        <is>
          <t>12562741222</t>
        </is>
      </c>
      <c r="C101" s="29" t="inlineStr">
        <is>
          <t>EBRU ÖÖZALP</t>
        </is>
      </c>
      <c r="D101" s="7">
        <f>Aylik_Puantaj!L103</f>
        <v/>
      </c>
      <c r="E101" s="7">
        <f>Aylik_Puantaj!BJ103</f>
        <v/>
      </c>
      <c r="F101" s="7">
        <f>Aylik_Puantaj!BL103</f>
        <v/>
      </c>
    </row>
    <row r="102">
      <c r="A102" s="4" t="n">
        <v>101</v>
      </c>
      <c r="B102" s="5" t="inlineStr">
        <is>
          <t>18370524392</t>
        </is>
      </c>
      <c r="C102" s="29" t="inlineStr">
        <is>
          <t>EDA ELBİ</t>
        </is>
      </c>
      <c r="D102" s="7">
        <f>Aylik_Puantaj!L104</f>
        <v/>
      </c>
      <c r="E102" s="7">
        <f>Aylik_Puantaj!BJ104</f>
        <v/>
      </c>
      <c r="F102" s="7">
        <f>Aylik_Puantaj!BL104</f>
        <v/>
      </c>
    </row>
    <row r="103">
      <c r="A103" s="4" t="n">
        <v>102</v>
      </c>
      <c r="B103" s="5" t="inlineStr">
        <is>
          <t>29563469352</t>
        </is>
      </c>
      <c r="C103" s="29" t="inlineStr">
        <is>
          <t>EDİP EKİNCİ</t>
        </is>
      </c>
      <c r="D103" s="7">
        <f>Aylik_Puantaj!L105</f>
        <v/>
      </c>
      <c r="E103" s="7">
        <f>Aylik_Puantaj!BJ105</f>
        <v/>
      </c>
      <c r="F103" s="7">
        <f>Aylik_Puantaj!BL105</f>
        <v/>
      </c>
    </row>
    <row r="104">
      <c r="A104" s="4" t="n">
        <v>103</v>
      </c>
      <c r="B104" s="5" t="inlineStr">
        <is>
          <t>10066843626</t>
        </is>
      </c>
      <c r="C104" s="29" t="inlineStr">
        <is>
          <t>EFE EVİM</t>
        </is>
      </c>
      <c r="D104" s="7">
        <f>Aylik_Puantaj!L106</f>
        <v/>
      </c>
      <c r="E104" s="7">
        <f>Aylik_Puantaj!BJ106</f>
        <v/>
      </c>
      <c r="F104" s="7">
        <f>Aylik_Puantaj!BL106</f>
        <v/>
      </c>
    </row>
    <row r="105">
      <c r="A105" s="4" t="n">
        <v>104</v>
      </c>
      <c r="B105" s="5" t="inlineStr">
        <is>
          <t>14266711334</t>
        </is>
      </c>
      <c r="C105" s="29" t="inlineStr">
        <is>
          <t>EFRAİM DUMAN</t>
        </is>
      </c>
      <c r="D105" s="7">
        <f>Aylik_Puantaj!L107</f>
        <v/>
      </c>
      <c r="E105" s="7">
        <f>Aylik_Puantaj!BJ107</f>
        <v/>
      </c>
      <c r="F105" s="7">
        <f>Aylik_Puantaj!BL107</f>
        <v/>
      </c>
    </row>
    <row r="106">
      <c r="A106" s="4" t="n">
        <v>105</v>
      </c>
      <c r="B106" s="5" t="inlineStr"/>
      <c r="C106" s="29" t="inlineStr">
        <is>
          <t>EGEMEN TARLI</t>
        </is>
      </c>
      <c r="D106" s="7">
        <f>Aylik_Puantaj!L108</f>
        <v/>
      </c>
      <c r="E106" s="7">
        <f>Aylik_Puantaj!BJ108</f>
        <v/>
      </c>
      <c r="F106" s="7">
        <f>Aylik_Puantaj!BL108</f>
        <v/>
      </c>
    </row>
    <row r="107">
      <c r="A107" s="4" t="n">
        <v>106</v>
      </c>
      <c r="B107" s="5" t="inlineStr">
        <is>
          <t>16591633060</t>
        </is>
      </c>
      <c r="C107" s="29" t="inlineStr">
        <is>
          <t>ELİF TUNÇ</t>
        </is>
      </c>
      <c r="D107" s="7">
        <f>Aylik_Puantaj!L109</f>
        <v/>
      </c>
      <c r="E107" s="7">
        <f>Aylik_Puantaj!BJ109</f>
        <v/>
      </c>
      <c r="F107" s="7">
        <f>Aylik_Puantaj!BL109</f>
        <v/>
      </c>
    </row>
    <row r="108">
      <c r="A108" s="4" t="n">
        <v>107</v>
      </c>
      <c r="B108" s="5" t="inlineStr">
        <is>
          <t>20266511430</t>
        </is>
      </c>
      <c r="C108" s="29" t="inlineStr">
        <is>
          <t>ELİF YAVAŞ</t>
        </is>
      </c>
      <c r="D108" s="7">
        <f>Aylik_Puantaj!L110</f>
        <v/>
      </c>
      <c r="E108" s="7">
        <f>Aylik_Puantaj!BJ110</f>
        <v/>
      </c>
      <c r="F108" s="7">
        <f>Aylik_Puantaj!BL110</f>
        <v/>
      </c>
    </row>
    <row r="109">
      <c r="A109" s="4" t="n">
        <v>108</v>
      </c>
      <c r="B109" s="5" t="inlineStr">
        <is>
          <t>10357942922</t>
        </is>
      </c>
      <c r="C109" s="29" t="inlineStr">
        <is>
          <t>ELİF SADI</t>
        </is>
      </c>
      <c r="D109" s="7">
        <f>Aylik_Puantaj!L111</f>
        <v/>
      </c>
      <c r="E109" s="7">
        <f>Aylik_Puantaj!BJ111</f>
        <v/>
      </c>
      <c r="F109" s="7">
        <f>Aylik_Puantaj!BL111</f>
        <v/>
      </c>
    </row>
    <row r="110">
      <c r="A110" s="4" t="n">
        <v>109</v>
      </c>
      <c r="B110" s="5" t="inlineStr"/>
      <c r="C110" s="29" t="inlineStr">
        <is>
          <t>ELİF NAZ UZER</t>
        </is>
      </c>
      <c r="D110" s="7">
        <f>Aylik_Puantaj!L112</f>
        <v/>
      </c>
      <c r="E110" s="7">
        <f>Aylik_Puantaj!BJ112</f>
        <v/>
      </c>
      <c r="F110" s="7">
        <f>Aylik_Puantaj!BL112</f>
        <v/>
      </c>
    </row>
    <row r="111">
      <c r="A111" s="4" t="n">
        <v>110</v>
      </c>
      <c r="B111" s="5" t="inlineStr">
        <is>
          <t>20036722080</t>
        </is>
      </c>
      <c r="C111" s="29" t="inlineStr">
        <is>
          <t>ELMAS OMAY</t>
        </is>
      </c>
      <c r="D111" s="7">
        <f>Aylik_Puantaj!L113</f>
        <v/>
      </c>
      <c r="E111" s="7">
        <f>Aylik_Puantaj!BJ113</f>
        <v/>
      </c>
      <c r="F111" s="7">
        <f>Aylik_Puantaj!BL113</f>
        <v/>
      </c>
    </row>
    <row r="112">
      <c r="A112" s="4" t="n">
        <v>111</v>
      </c>
      <c r="B112" s="5" t="inlineStr">
        <is>
          <t>31009103096</t>
        </is>
      </c>
      <c r="C112" s="29" t="inlineStr">
        <is>
          <t>EMEL SANAN</t>
        </is>
      </c>
      <c r="D112" s="7">
        <f>Aylik_Puantaj!L114</f>
        <v/>
      </c>
      <c r="E112" s="7">
        <f>Aylik_Puantaj!BJ114</f>
        <v/>
      </c>
      <c r="F112" s="7">
        <f>Aylik_Puantaj!BL114</f>
        <v/>
      </c>
    </row>
    <row r="113">
      <c r="A113" s="4" t="n">
        <v>112</v>
      </c>
      <c r="B113" s="5" t="inlineStr">
        <is>
          <t>20584476770</t>
        </is>
      </c>
      <c r="C113" s="29" t="inlineStr">
        <is>
          <t>EMİNE ATEŞ</t>
        </is>
      </c>
      <c r="D113" s="7">
        <f>Aylik_Puantaj!L115</f>
        <v/>
      </c>
      <c r="E113" s="7">
        <f>Aylik_Puantaj!BJ115</f>
        <v/>
      </c>
      <c r="F113" s="7">
        <f>Aylik_Puantaj!BL115</f>
        <v/>
      </c>
    </row>
    <row r="114">
      <c r="A114" s="4" t="n">
        <v>113</v>
      </c>
      <c r="B114" s="5" t="inlineStr">
        <is>
          <t>12523718256</t>
        </is>
      </c>
      <c r="C114" s="29" t="inlineStr">
        <is>
          <t>EMİNE BAYER</t>
        </is>
      </c>
      <c r="D114" s="7">
        <f>Aylik_Puantaj!L116</f>
        <v/>
      </c>
      <c r="E114" s="7">
        <f>Aylik_Puantaj!BJ116</f>
        <v/>
      </c>
      <c r="F114" s="7">
        <f>Aylik_Puantaj!BL116</f>
        <v/>
      </c>
    </row>
    <row r="115">
      <c r="A115" s="4" t="n">
        <v>114</v>
      </c>
      <c r="B115" s="5" t="inlineStr">
        <is>
          <t>20503503198</t>
        </is>
      </c>
      <c r="C115" s="29" t="inlineStr">
        <is>
          <t>EMİNE ÇAPAR</t>
        </is>
      </c>
      <c r="D115" s="7">
        <f>Aylik_Puantaj!L117</f>
        <v/>
      </c>
      <c r="E115" s="7">
        <f>Aylik_Puantaj!BJ117</f>
        <v/>
      </c>
      <c r="F115" s="7">
        <f>Aylik_Puantaj!BL117</f>
        <v/>
      </c>
    </row>
    <row r="116">
      <c r="A116" s="4" t="n">
        <v>115</v>
      </c>
      <c r="B116" s="5" t="inlineStr">
        <is>
          <t>18388523738</t>
        </is>
      </c>
      <c r="C116" s="29" t="inlineStr">
        <is>
          <t>EMİNE ELBİ</t>
        </is>
      </c>
      <c r="D116" s="7">
        <f>Aylik_Puantaj!L118</f>
        <v/>
      </c>
      <c r="E116" s="7">
        <f>Aylik_Puantaj!BJ118</f>
        <v/>
      </c>
      <c r="F116" s="7">
        <f>Aylik_Puantaj!BL118</f>
        <v/>
      </c>
    </row>
    <row r="117">
      <c r="A117" s="4" t="n">
        <v>116</v>
      </c>
      <c r="B117" s="5" t="inlineStr">
        <is>
          <t>16111749134</t>
        </is>
      </c>
      <c r="C117" s="29" t="inlineStr">
        <is>
          <t>EMİNE KARAMAN</t>
        </is>
      </c>
      <c r="D117" s="7">
        <f>Aylik_Puantaj!L119</f>
        <v/>
      </c>
      <c r="E117" s="7">
        <f>Aylik_Puantaj!BJ119</f>
        <v/>
      </c>
      <c r="F117" s="7">
        <f>Aylik_Puantaj!BL119</f>
        <v/>
      </c>
    </row>
    <row r="118">
      <c r="A118" s="4" t="n">
        <v>117</v>
      </c>
      <c r="B118" s="5" t="inlineStr">
        <is>
          <t>12379749978</t>
        </is>
      </c>
      <c r="C118" s="29" t="inlineStr">
        <is>
          <t>EMİNE SARI</t>
        </is>
      </c>
      <c r="D118" s="7">
        <f>Aylik_Puantaj!L120</f>
        <v/>
      </c>
      <c r="E118" s="7">
        <f>Aylik_Puantaj!BJ120</f>
        <v/>
      </c>
      <c r="F118" s="7">
        <f>Aylik_Puantaj!BL120</f>
        <v/>
      </c>
    </row>
    <row r="119">
      <c r="A119" s="4" t="n">
        <v>118</v>
      </c>
      <c r="B119" s="5" t="inlineStr">
        <is>
          <t>37030668238</t>
        </is>
      </c>
      <c r="C119" s="29" t="inlineStr">
        <is>
          <t>EMİNE ŞENTÜRK CİNGÖZ</t>
        </is>
      </c>
      <c r="D119" s="7">
        <f>Aylik_Puantaj!L121</f>
        <v/>
      </c>
      <c r="E119" s="7">
        <f>Aylik_Puantaj!BJ121</f>
        <v/>
      </c>
      <c r="F119" s="7">
        <f>Aylik_Puantaj!BL121</f>
        <v/>
      </c>
    </row>
    <row r="120">
      <c r="A120" s="4" t="n">
        <v>119</v>
      </c>
      <c r="B120" s="5" t="inlineStr">
        <is>
          <t>18376672684</t>
        </is>
      </c>
      <c r="C120" s="29" t="inlineStr">
        <is>
          <t>EMİNE ÜZER</t>
        </is>
      </c>
      <c r="D120" s="7">
        <f>Aylik_Puantaj!L122</f>
        <v/>
      </c>
      <c r="E120" s="7">
        <f>Aylik_Puantaj!BJ122</f>
        <v/>
      </c>
      <c r="F120" s="7">
        <f>Aylik_Puantaj!BL122</f>
        <v/>
      </c>
    </row>
    <row r="121">
      <c r="A121" s="4" t="n">
        <v>120</v>
      </c>
      <c r="B121" s="5" t="inlineStr">
        <is>
          <t>45328882280</t>
        </is>
      </c>
      <c r="C121" s="29" t="inlineStr">
        <is>
          <t>EMİNE YAVUZ</t>
        </is>
      </c>
      <c r="D121" s="7">
        <f>Aylik_Puantaj!L123</f>
        <v/>
      </c>
      <c r="E121" s="7">
        <f>Aylik_Puantaj!BJ123</f>
        <v/>
      </c>
      <c r="F121" s="7">
        <f>Aylik_Puantaj!BL123</f>
        <v/>
      </c>
    </row>
    <row r="122">
      <c r="A122" s="4" t="n">
        <v>121</v>
      </c>
      <c r="B122" s="5" t="inlineStr"/>
      <c r="C122" s="29" t="inlineStr">
        <is>
          <t>EMİRCAN DURMAN</t>
        </is>
      </c>
      <c r="D122" s="7">
        <f>Aylik_Puantaj!L124</f>
        <v/>
      </c>
      <c r="E122" s="7">
        <f>Aylik_Puantaj!BJ124</f>
        <v/>
      </c>
      <c r="F122" s="7">
        <f>Aylik_Puantaj!BL124</f>
        <v/>
      </c>
    </row>
    <row r="123">
      <c r="A123" s="4" t="n">
        <v>122</v>
      </c>
      <c r="B123" s="5" t="inlineStr">
        <is>
          <t>10036852948</t>
        </is>
      </c>
      <c r="C123" s="29" t="inlineStr">
        <is>
          <t>EMİRHAN MUTLU</t>
        </is>
      </c>
      <c r="D123" s="7">
        <f>Aylik_Puantaj!L125</f>
        <v/>
      </c>
      <c r="E123" s="7">
        <f>Aylik_Puantaj!BJ125</f>
        <v/>
      </c>
      <c r="F123" s="7">
        <f>Aylik_Puantaj!BL125</f>
        <v/>
      </c>
    </row>
    <row r="124">
      <c r="A124" s="4" t="n">
        <v>123</v>
      </c>
      <c r="B124" s="5" t="inlineStr">
        <is>
          <t>51529475930</t>
        </is>
      </c>
      <c r="C124" s="29" t="inlineStr">
        <is>
          <t>EMRE BARAN</t>
        </is>
      </c>
      <c r="D124" s="7">
        <f>Aylik_Puantaj!L126</f>
        <v/>
      </c>
      <c r="E124" s="7">
        <f>Aylik_Puantaj!BJ126</f>
        <v/>
      </c>
      <c r="F124" s="7">
        <f>Aylik_Puantaj!BL126</f>
        <v/>
      </c>
    </row>
    <row r="125">
      <c r="A125" s="4" t="n">
        <v>124</v>
      </c>
      <c r="B125" s="5" t="inlineStr">
        <is>
          <t>21550576494</t>
        </is>
      </c>
      <c r="C125" s="29" t="inlineStr">
        <is>
          <t>EMRE BAŞAR</t>
        </is>
      </c>
      <c r="D125" s="7">
        <f>Aylik_Puantaj!L127</f>
        <v/>
      </c>
      <c r="E125" s="7">
        <f>Aylik_Puantaj!BJ127</f>
        <v/>
      </c>
      <c r="F125" s="7">
        <f>Aylik_Puantaj!BL127</f>
        <v/>
      </c>
    </row>
    <row r="126">
      <c r="A126" s="4" t="n">
        <v>125</v>
      </c>
      <c r="B126" s="5" t="inlineStr"/>
      <c r="C126" s="29" t="inlineStr">
        <is>
          <t>EMRE ÇELİK</t>
        </is>
      </c>
      <c r="D126" s="7">
        <f>Aylik_Puantaj!L128</f>
        <v/>
      </c>
      <c r="E126" s="7">
        <f>Aylik_Puantaj!BJ128</f>
        <v/>
      </c>
      <c r="F126" s="7">
        <f>Aylik_Puantaj!BL128</f>
        <v/>
      </c>
    </row>
    <row r="127">
      <c r="A127" s="4" t="n">
        <v>126</v>
      </c>
      <c r="B127" s="5" t="inlineStr">
        <is>
          <t>29470204244</t>
        </is>
      </c>
      <c r="C127" s="29" t="inlineStr">
        <is>
          <t>ENDER BİLBAY</t>
        </is>
      </c>
      <c r="D127" s="7">
        <f>Aylik_Puantaj!L129</f>
        <v/>
      </c>
      <c r="E127" s="7">
        <f>Aylik_Puantaj!BJ129</f>
        <v/>
      </c>
      <c r="F127" s="7">
        <f>Aylik_Puantaj!BL129</f>
        <v/>
      </c>
    </row>
    <row r="128">
      <c r="A128" s="4" t="n">
        <v>127</v>
      </c>
      <c r="B128" s="5" t="inlineStr">
        <is>
          <t>98284188514</t>
        </is>
      </c>
      <c r="C128" s="29" t="inlineStr">
        <is>
          <t>ENES ABDE</t>
        </is>
      </c>
      <c r="D128" s="7">
        <f>Aylik_Puantaj!L130</f>
        <v/>
      </c>
      <c r="E128" s="7">
        <f>Aylik_Puantaj!BJ130</f>
        <v/>
      </c>
      <c r="F128" s="7">
        <f>Aylik_Puantaj!BL130</f>
        <v/>
      </c>
    </row>
    <row r="129">
      <c r="A129" s="4" t="n">
        <v>128</v>
      </c>
      <c r="B129" s="5" t="inlineStr">
        <is>
          <t>38179842978</t>
        </is>
      </c>
      <c r="C129" s="29" t="inlineStr">
        <is>
          <t>ENİS KOKARGÜL</t>
        </is>
      </c>
      <c r="D129" s="7">
        <f>Aylik_Puantaj!L131</f>
        <v/>
      </c>
      <c r="E129" s="7">
        <f>Aylik_Puantaj!BJ131</f>
        <v/>
      </c>
      <c r="F129" s="7">
        <f>Aylik_Puantaj!BL131</f>
        <v/>
      </c>
    </row>
    <row r="130">
      <c r="A130" s="4" t="n">
        <v>129</v>
      </c>
      <c r="B130" s="5" t="inlineStr">
        <is>
          <t>34795126850</t>
        </is>
      </c>
      <c r="C130" s="29" t="inlineStr">
        <is>
          <t>ERCAN POLAT</t>
        </is>
      </c>
      <c r="D130" s="7">
        <f>Aylik_Puantaj!L132</f>
        <v/>
      </c>
      <c r="E130" s="7">
        <f>Aylik_Puantaj!BJ132</f>
        <v/>
      </c>
      <c r="F130" s="7">
        <f>Aylik_Puantaj!BL132</f>
        <v/>
      </c>
    </row>
    <row r="131">
      <c r="A131" s="4" t="n">
        <v>130</v>
      </c>
      <c r="B131" s="5" t="inlineStr">
        <is>
          <t>35581001238</t>
        </is>
      </c>
      <c r="C131" s="29" t="inlineStr">
        <is>
          <t>ERCÜMENT AYGÜL</t>
        </is>
      </c>
      <c r="D131" s="7">
        <f>Aylik_Puantaj!L133</f>
        <v/>
      </c>
      <c r="E131" s="7">
        <f>Aylik_Puantaj!BJ133</f>
        <v/>
      </c>
      <c r="F131" s="7">
        <f>Aylik_Puantaj!BL133</f>
        <v/>
      </c>
    </row>
    <row r="132">
      <c r="A132" s="4" t="n">
        <v>131</v>
      </c>
      <c r="B132" s="5" t="inlineStr">
        <is>
          <t>22159547106</t>
        </is>
      </c>
      <c r="C132" s="29" t="inlineStr">
        <is>
          <t>EREL KIRNAK</t>
        </is>
      </c>
      <c r="D132" s="7">
        <f>Aylik_Puantaj!L134</f>
        <v/>
      </c>
      <c r="E132" s="7">
        <f>Aylik_Puantaj!BJ134</f>
        <v/>
      </c>
      <c r="F132" s="7">
        <f>Aylik_Puantaj!BL134</f>
        <v/>
      </c>
    </row>
    <row r="133">
      <c r="A133" s="4" t="n">
        <v>132</v>
      </c>
      <c r="B133" s="5" t="inlineStr"/>
      <c r="C133" s="29" t="inlineStr">
        <is>
          <t>EREN BAŞAR</t>
        </is>
      </c>
      <c r="D133" s="7">
        <f>Aylik_Puantaj!L135</f>
        <v/>
      </c>
      <c r="E133" s="7">
        <f>Aylik_Puantaj!BJ135</f>
        <v/>
      </c>
      <c r="F133" s="7">
        <f>Aylik_Puantaj!BL135</f>
        <v/>
      </c>
    </row>
    <row r="134">
      <c r="A134" s="4" t="n">
        <v>133</v>
      </c>
      <c r="B134" s="5" t="inlineStr">
        <is>
          <t>11633067636</t>
        </is>
      </c>
      <c r="C134" s="29" t="inlineStr">
        <is>
          <t>EİREMŞAH KIZILKAYA</t>
        </is>
      </c>
      <c r="D134" s="7">
        <f>Aylik_Puantaj!L136</f>
        <v/>
      </c>
      <c r="E134" s="7">
        <f>Aylik_Puantaj!BJ136</f>
        <v/>
      </c>
      <c r="F134" s="7">
        <f>Aylik_Puantaj!BL136</f>
        <v/>
      </c>
    </row>
    <row r="135">
      <c r="A135" s="4" t="n">
        <v>134</v>
      </c>
      <c r="B135" s="5" t="inlineStr">
        <is>
          <t>10273796364</t>
        </is>
      </c>
      <c r="C135" s="29" t="inlineStr">
        <is>
          <t>ERDEM YAŞAR</t>
        </is>
      </c>
      <c r="D135" s="7">
        <f>Aylik_Puantaj!L137</f>
        <v/>
      </c>
      <c r="E135" s="7">
        <f>Aylik_Puantaj!BJ137</f>
        <v/>
      </c>
      <c r="F135" s="7">
        <f>Aylik_Puantaj!BL137</f>
        <v/>
      </c>
    </row>
    <row r="136">
      <c r="A136" s="4" t="n">
        <v>135</v>
      </c>
      <c r="B136" s="5" t="inlineStr">
        <is>
          <t>23131415628</t>
        </is>
      </c>
      <c r="C136" s="29" t="inlineStr">
        <is>
          <t>ERDİN TETİK</t>
        </is>
      </c>
      <c r="D136" s="7">
        <f>Aylik_Puantaj!L138</f>
        <v/>
      </c>
      <c r="E136" s="7">
        <f>Aylik_Puantaj!BJ138</f>
        <v/>
      </c>
      <c r="F136" s="7">
        <f>Aylik_Puantaj!BL138</f>
        <v/>
      </c>
    </row>
    <row r="137">
      <c r="A137" s="4" t="n">
        <v>136</v>
      </c>
      <c r="B137" s="5" t="inlineStr">
        <is>
          <t>10267844934</t>
        </is>
      </c>
      <c r="C137" s="29" t="inlineStr">
        <is>
          <t>ERGÜN SİDAR</t>
        </is>
      </c>
      <c r="D137" s="7">
        <f>Aylik_Puantaj!L139</f>
        <v/>
      </c>
      <c r="E137" s="7">
        <f>Aylik_Puantaj!BJ139</f>
        <v/>
      </c>
      <c r="F137" s="7">
        <f>Aylik_Puantaj!BL139</f>
        <v/>
      </c>
    </row>
    <row r="138">
      <c r="A138" s="4" t="n">
        <v>137</v>
      </c>
      <c r="B138" s="5" t="inlineStr">
        <is>
          <t>10783586424</t>
        </is>
      </c>
      <c r="C138" s="29" t="inlineStr">
        <is>
          <t>ERKAN AKIN</t>
        </is>
      </c>
      <c r="D138" s="7">
        <f>Aylik_Puantaj!L140</f>
        <v/>
      </c>
      <c r="E138" s="7">
        <f>Aylik_Puantaj!BJ140</f>
        <v/>
      </c>
      <c r="F138" s="7">
        <f>Aylik_Puantaj!BL140</f>
        <v/>
      </c>
    </row>
    <row r="139">
      <c r="A139" s="4" t="n">
        <v>138</v>
      </c>
      <c r="B139" s="5" t="inlineStr">
        <is>
          <t>14453001996</t>
        </is>
      </c>
      <c r="C139" s="29" t="inlineStr">
        <is>
          <t>ERSİN YAVUZ</t>
        </is>
      </c>
      <c r="D139" s="7">
        <f>Aylik_Puantaj!L141</f>
        <v/>
      </c>
      <c r="E139" s="7">
        <f>Aylik_Puantaj!BJ141</f>
        <v/>
      </c>
      <c r="F139" s="7">
        <f>Aylik_Puantaj!BL141</f>
        <v/>
      </c>
    </row>
    <row r="140">
      <c r="A140" s="4" t="n">
        <v>139</v>
      </c>
      <c r="B140" s="5" t="inlineStr">
        <is>
          <t>32372355358</t>
        </is>
      </c>
      <c r="C140" s="29" t="inlineStr">
        <is>
          <t>ESMER BİÇER</t>
        </is>
      </c>
      <c r="D140" s="7">
        <f>Aylik_Puantaj!L142</f>
        <v/>
      </c>
      <c r="E140" s="7">
        <f>Aylik_Puantaj!BJ142</f>
        <v/>
      </c>
      <c r="F140" s="7">
        <f>Aylik_Puantaj!BL142</f>
        <v/>
      </c>
    </row>
    <row r="141">
      <c r="A141" s="4" t="n">
        <v>140</v>
      </c>
      <c r="B141" s="5" t="inlineStr">
        <is>
          <t>27334034006</t>
        </is>
      </c>
      <c r="C141" s="29" t="inlineStr">
        <is>
          <t>ESRA KAYA</t>
        </is>
      </c>
      <c r="D141" s="7">
        <f>Aylik_Puantaj!L143</f>
        <v/>
      </c>
      <c r="E141" s="7">
        <f>Aylik_Puantaj!BJ143</f>
        <v/>
      </c>
      <c r="F141" s="7">
        <f>Aylik_Puantaj!BL143</f>
        <v/>
      </c>
    </row>
    <row r="142">
      <c r="A142" s="4" t="n">
        <v>141</v>
      </c>
      <c r="B142" s="5" t="inlineStr">
        <is>
          <t>10177848602</t>
        </is>
      </c>
      <c r="C142" s="29" t="inlineStr">
        <is>
          <t>EYÜP EKİNCİ</t>
        </is>
      </c>
      <c r="D142" s="7">
        <f>Aylik_Puantaj!L144</f>
        <v/>
      </c>
      <c r="E142" s="7">
        <f>Aylik_Puantaj!BJ144</f>
        <v/>
      </c>
      <c r="F142" s="7">
        <f>Aylik_Puantaj!BL144</f>
        <v/>
      </c>
    </row>
    <row r="143">
      <c r="A143" s="4" t="n">
        <v>142</v>
      </c>
      <c r="B143" s="5" t="inlineStr">
        <is>
          <t>19754310662</t>
        </is>
      </c>
      <c r="C143" s="29" t="inlineStr">
        <is>
          <t>FATMA ASLAN</t>
        </is>
      </c>
      <c r="D143" s="7">
        <f>Aylik_Puantaj!L145</f>
        <v/>
      </c>
      <c r="E143" s="7">
        <f>Aylik_Puantaj!BJ145</f>
        <v/>
      </c>
      <c r="F143" s="7">
        <f>Aylik_Puantaj!BL145</f>
        <v/>
      </c>
    </row>
    <row r="144">
      <c r="A144" s="4" t="n">
        <v>143</v>
      </c>
      <c r="B144" s="5" t="inlineStr">
        <is>
          <t>23620498330</t>
        </is>
      </c>
      <c r="C144" s="29" t="inlineStr">
        <is>
          <t>FATMA BEYHAN</t>
        </is>
      </c>
      <c r="D144" s="7">
        <f>Aylik_Puantaj!L146</f>
        <v/>
      </c>
      <c r="E144" s="7">
        <f>Aylik_Puantaj!BJ146</f>
        <v/>
      </c>
      <c r="F144" s="7">
        <f>Aylik_Puantaj!BL146</f>
        <v/>
      </c>
    </row>
    <row r="145">
      <c r="A145" s="4" t="n">
        <v>144</v>
      </c>
      <c r="B145" s="5" t="inlineStr">
        <is>
          <t>32986036254</t>
        </is>
      </c>
      <c r="C145" s="29" t="inlineStr">
        <is>
          <t>FATMA ÇAM</t>
        </is>
      </c>
      <c r="D145" s="7">
        <f>Aylik_Puantaj!L147</f>
        <v/>
      </c>
      <c r="E145" s="7">
        <f>Aylik_Puantaj!BJ147</f>
        <v/>
      </c>
      <c r="F145" s="7">
        <f>Aylik_Puantaj!BL147</f>
        <v/>
      </c>
    </row>
    <row r="146">
      <c r="A146" s="4" t="n">
        <v>145</v>
      </c>
      <c r="B146" s="5" t="inlineStr">
        <is>
          <t>35183294274</t>
        </is>
      </c>
      <c r="C146" s="29" t="inlineStr">
        <is>
          <t>FATMA DEMİRER</t>
        </is>
      </c>
      <c r="D146" s="7">
        <f>Aylik_Puantaj!L148</f>
        <v/>
      </c>
      <c r="E146" s="7">
        <f>Aylik_Puantaj!BJ148</f>
        <v/>
      </c>
      <c r="F146" s="7">
        <f>Aylik_Puantaj!BL148</f>
        <v/>
      </c>
    </row>
    <row r="147">
      <c r="A147" s="4" t="n">
        <v>146</v>
      </c>
      <c r="B147" s="5" t="inlineStr">
        <is>
          <t>13784962808</t>
        </is>
      </c>
      <c r="C147" s="29" t="inlineStr">
        <is>
          <t>FATMA KEÇECİOĞLU</t>
        </is>
      </c>
      <c r="D147" s="7">
        <f>Aylik_Puantaj!L149</f>
        <v/>
      </c>
      <c r="E147" s="7">
        <f>Aylik_Puantaj!BJ149</f>
        <v/>
      </c>
      <c r="F147" s="7">
        <f>Aylik_Puantaj!BL149</f>
        <v/>
      </c>
    </row>
    <row r="148">
      <c r="A148" s="4" t="n">
        <v>147</v>
      </c>
      <c r="B148" s="5" t="inlineStr">
        <is>
          <t>31594082608</t>
        </is>
      </c>
      <c r="C148" s="29" t="inlineStr">
        <is>
          <t>FATMA ÖZÇAM</t>
        </is>
      </c>
      <c r="D148" s="7">
        <f>Aylik_Puantaj!L150</f>
        <v/>
      </c>
      <c r="E148" s="7">
        <f>Aylik_Puantaj!BJ150</f>
        <v/>
      </c>
      <c r="F148" s="7">
        <f>Aylik_Puantaj!BL150</f>
        <v/>
      </c>
    </row>
    <row r="149">
      <c r="A149" s="4" t="n">
        <v>148</v>
      </c>
      <c r="B149" s="5" t="inlineStr">
        <is>
          <t>31036101904</t>
        </is>
      </c>
      <c r="C149" s="29" t="inlineStr">
        <is>
          <t>FATMA SÇAĞLAR</t>
        </is>
      </c>
      <c r="D149" s="7">
        <f>Aylik_Puantaj!L151</f>
        <v/>
      </c>
      <c r="E149" s="7">
        <f>Aylik_Puantaj!BJ151</f>
        <v/>
      </c>
      <c r="F149" s="7">
        <f>Aylik_Puantaj!BL151</f>
        <v/>
      </c>
    </row>
    <row r="150">
      <c r="A150" s="4" t="n">
        <v>149</v>
      </c>
      <c r="B150" s="5" t="inlineStr"/>
      <c r="C150" s="29" t="inlineStr">
        <is>
          <t>FATMA YAVUZ</t>
        </is>
      </c>
      <c r="D150" s="7">
        <f>Aylik_Puantaj!L152</f>
        <v/>
      </c>
      <c r="E150" s="7">
        <f>Aylik_Puantaj!BJ152</f>
        <v/>
      </c>
      <c r="F150" s="7">
        <f>Aylik_Puantaj!BL152</f>
        <v/>
      </c>
    </row>
    <row r="151">
      <c r="A151" s="4" t="n">
        <v>150</v>
      </c>
      <c r="B151" s="5" t="inlineStr"/>
      <c r="C151" s="29" t="inlineStr">
        <is>
          <t>FATMAGÜL ERATA</t>
        </is>
      </c>
      <c r="D151" s="7">
        <f>Aylik_Puantaj!L153</f>
        <v/>
      </c>
      <c r="E151" s="7">
        <f>Aylik_Puantaj!BJ153</f>
        <v/>
      </c>
      <c r="F151" s="7">
        <f>Aylik_Puantaj!BL153</f>
        <v/>
      </c>
    </row>
    <row r="152">
      <c r="A152" s="4" t="n">
        <v>151</v>
      </c>
      <c r="B152" s="5" t="inlineStr">
        <is>
          <t>11890896888</t>
        </is>
      </c>
      <c r="C152" s="29" t="inlineStr">
        <is>
          <t>FATMAGÜL ÇEKİ</t>
        </is>
      </c>
      <c r="D152" s="7">
        <f>Aylik_Puantaj!L154</f>
        <v/>
      </c>
      <c r="E152" s="7">
        <f>Aylik_Puantaj!BJ154</f>
        <v/>
      </c>
      <c r="F152" s="7">
        <f>Aylik_Puantaj!BL154</f>
        <v/>
      </c>
    </row>
    <row r="153">
      <c r="A153" s="4" t="n">
        <v>152</v>
      </c>
      <c r="B153" s="5" t="inlineStr"/>
      <c r="C153" s="29" t="inlineStr">
        <is>
          <t>FERİDE YILDIZ</t>
        </is>
      </c>
      <c r="D153" s="7">
        <f>Aylik_Puantaj!L155</f>
        <v/>
      </c>
      <c r="E153" s="7">
        <f>Aylik_Puantaj!BJ155</f>
        <v/>
      </c>
      <c r="F153" s="7">
        <f>Aylik_Puantaj!BL155</f>
        <v/>
      </c>
    </row>
    <row r="154">
      <c r="A154" s="4" t="n">
        <v>153</v>
      </c>
      <c r="B154" s="5" t="inlineStr">
        <is>
          <t>21898406446</t>
        </is>
      </c>
      <c r="C154" s="29" t="inlineStr">
        <is>
          <t>FERUDUN BAKAN</t>
        </is>
      </c>
      <c r="D154" s="7">
        <f>Aylik_Puantaj!L156</f>
        <v/>
      </c>
      <c r="E154" s="7">
        <f>Aylik_Puantaj!BJ156</f>
        <v/>
      </c>
      <c r="F154" s="7">
        <f>Aylik_Puantaj!BL156</f>
        <v/>
      </c>
    </row>
    <row r="155">
      <c r="A155" s="4" t="n">
        <v>154</v>
      </c>
      <c r="B155" s="5" t="inlineStr">
        <is>
          <t>63343097892</t>
        </is>
      </c>
      <c r="C155" s="29" t="inlineStr">
        <is>
          <t>FEVZİYE EKTİREN</t>
        </is>
      </c>
      <c r="D155" s="7">
        <f>Aylik_Puantaj!L157</f>
        <v/>
      </c>
      <c r="E155" s="7">
        <f>Aylik_Puantaj!BJ157</f>
        <v/>
      </c>
      <c r="F155" s="7">
        <f>Aylik_Puantaj!BL157</f>
        <v/>
      </c>
    </row>
    <row r="156">
      <c r="A156" s="4" t="n">
        <v>155</v>
      </c>
      <c r="B156" s="5" t="inlineStr">
        <is>
          <t>31933222184</t>
        </is>
      </c>
      <c r="C156" s="29" t="inlineStr">
        <is>
          <t>FEVZİYE EREL</t>
        </is>
      </c>
      <c r="D156" s="7">
        <f>Aylik_Puantaj!L158</f>
        <v/>
      </c>
      <c r="E156" s="7">
        <f>Aylik_Puantaj!BJ158</f>
        <v/>
      </c>
      <c r="F156" s="7">
        <f>Aylik_Puantaj!BL158</f>
        <v/>
      </c>
    </row>
    <row r="157">
      <c r="A157" s="4" t="n">
        <v>156</v>
      </c>
      <c r="B157" s="5" t="inlineStr">
        <is>
          <t>17431713232</t>
        </is>
      </c>
      <c r="C157" s="29" t="inlineStr">
        <is>
          <t>FİSUN ETİLER</t>
        </is>
      </c>
      <c r="D157" s="7">
        <f>Aylik_Puantaj!L159</f>
        <v/>
      </c>
      <c r="E157" s="7">
        <f>Aylik_Puantaj!BJ159</f>
        <v/>
      </c>
      <c r="F157" s="7">
        <f>Aylik_Puantaj!BL159</f>
        <v/>
      </c>
    </row>
    <row r="158">
      <c r="A158" s="4" t="n">
        <v>157</v>
      </c>
      <c r="B158" s="5" t="inlineStr"/>
      <c r="C158" s="29" t="inlineStr">
        <is>
          <t>FURKAN AKBAY</t>
        </is>
      </c>
      <c r="D158" s="7">
        <f>Aylik_Puantaj!L160</f>
        <v/>
      </c>
      <c r="E158" s="7">
        <f>Aylik_Puantaj!BJ160</f>
        <v/>
      </c>
      <c r="F158" s="7">
        <f>Aylik_Puantaj!BL160</f>
        <v/>
      </c>
    </row>
    <row r="159">
      <c r="A159" s="4" t="n">
        <v>158</v>
      </c>
      <c r="B159" s="5" t="inlineStr">
        <is>
          <t>11494663138</t>
        </is>
      </c>
      <c r="C159" s="29" t="inlineStr">
        <is>
          <t>GÖKTUĞ NAMAL</t>
        </is>
      </c>
      <c r="D159" s="7">
        <f>Aylik_Puantaj!L161</f>
        <v/>
      </c>
      <c r="E159" s="7">
        <f>Aylik_Puantaj!BJ161</f>
        <v/>
      </c>
      <c r="F159" s="7">
        <f>Aylik_Puantaj!BL161</f>
        <v/>
      </c>
    </row>
    <row r="160">
      <c r="A160" s="4" t="n">
        <v>159</v>
      </c>
      <c r="B160" s="5" t="inlineStr"/>
      <c r="C160" s="29" t="inlineStr">
        <is>
          <t>GÖZDE TÜRKÇÜ</t>
        </is>
      </c>
      <c r="D160" s="7">
        <f>Aylik_Puantaj!L162</f>
        <v/>
      </c>
      <c r="E160" s="7">
        <f>Aylik_Puantaj!BJ162</f>
        <v/>
      </c>
      <c r="F160" s="7">
        <f>Aylik_Puantaj!BL162</f>
        <v/>
      </c>
    </row>
    <row r="161">
      <c r="A161" s="4" t="n">
        <v>160</v>
      </c>
      <c r="B161" s="5" t="inlineStr">
        <is>
          <t>33739783340</t>
        </is>
      </c>
      <c r="C161" s="29" t="inlineStr">
        <is>
          <t>GURBET DUMAN</t>
        </is>
      </c>
      <c r="D161" s="7">
        <f>Aylik_Puantaj!L163</f>
        <v/>
      </c>
      <c r="E161" s="7">
        <f>Aylik_Puantaj!BJ163</f>
        <v/>
      </c>
      <c r="F161" s="7">
        <f>Aylik_Puantaj!BL163</f>
        <v/>
      </c>
    </row>
    <row r="162">
      <c r="A162" s="4" t="n">
        <v>161</v>
      </c>
      <c r="B162" s="5" t="inlineStr">
        <is>
          <t>34879002148</t>
        </is>
      </c>
      <c r="C162" s="29" t="inlineStr">
        <is>
          <t>GÜLAY CESUR</t>
        </is>
      </c>
      <c r="D162" s="7">
        <f>Aylik_Puantaj!L164</f>
        <v/>
      </c>
      <c r="E162" s="7">
        <f>Aylik_Puantaj!BJ164</f>
        <v/>
      </c>
      <c r="F162" s="7">
        <f>Aylik_Puantaj!BL164</f>
        <v/>
      </c>
    </row>
    <row r="163">
      <c r="A163" s="4" t="n">
        <v>162</v>
      </c>
      <c r="B163" s="5" t="inlineStr">
        <is>
          <t>33379057108</t>
        </is>
      </c>
      <c r="C163" s="29" t="inlineStr">
        <is>
          <t>GÜLAY GÜNDOĞDU</t>
        </is>
      </c>
      <c r="D163" s="7">
        <f>Aylik_Puantaj!L165</f>
        <v/>
      </c>
      <c r="E163" s="7">
        <f>Aylik_Puantaj!BJ165</f>
        <v/>
      </c>
      <c r="F163" s="7">
        <f>Aylik_Puantaj!BL165</f>
        <v/>
      </c>
    </row>
    <row r="164">
      <c r="A164" s="4" t="n">
        <v>163</v>
      </c>
      <c r="B164" s="5" t="inlineStr">
        <is>
          <t>24541318660</t>
        </is>
      </c>
      <c r="C164" s="29" t="inlineStr">
        <is>
          <t>GÜLCAN BİLGİÇ</t>
        </is>
      </c>
      <c r="D164" s="7">
        <f>Aylik_Puantaj!L166</f>
        <v/>
      </c>
      <c r="E164" s="7">
        <f>Aylik_Puantaj!BJ166</f>
        <v/>
      </c>
      <c r="F164" s="7">
        <f>Aylik_Puantaj!BL166</f>
        <v/>
      </c>
    </row>
    <row r="165">
      <c r="A165" s="4" t="n">
        <v>164</v>
      </c>
      <c r="B165" s="5" t="inlineStr">
        <is>
          <t>33211034366</t>
        </is>
      </c>
      <c r="C165" s="29" t="inlineStr">
        <is>
          <t>GÜLER ÇAPKIN</t>
        </is>
      </c>
      <c r="D165" s="7">
        <f>Aylik_Puantaj!L167</f>
        <v/>
      </c>
      <c r="E165" s="7">
        <f>Aylik_Puantaj!BJ167</f>
        <v/>
      </c>
      <c r="F165" s="7">
        <f>Aylik_Puantaj!BL167</f>
        <v/>
      </c>
    </row>
    <row r="166">
      <c r="A166" s="4" t="n">
        <v>165</v>
      </c>
      <c r="B166" s="5" t="inlineStr">
        <is>
          <t>15041774032</t>
        </is>
      </c>
      <c r="C166" s="29" t="inlineStr">
        <is>
          <t>GÜLPERİ KALENDER</t>
        </is>
      </c>
      <c r="D166" s="7">
        <f>Aylik_Puantaj!L168</f>
        <v/>
      </c>
      <c r="E166" s="7">
        <f>Aylik_Puantaj!BJ168</f>
        <v/>
      </c>
      <c r="F166" s="7">
        <f>Aylik_Puantaj!BL168</f>
        <v/>
      </c>
    </row>
    <row r="167">
      <c r="A167" s="4" t="n">
        <v>166</v>
      </c>
      <c r="B167" s="5" t="inlineStr">
        <is>
          <t>16310668618</t>
        </is>
      </c>
      <c r="C167" s="29" t="inlineStr">
        <is>
          <t>GÜLİZAR ABAK</t>
        </is>
      </c>
      <c r="D167" s="7">
        <f>Aylik_Puantaj!L169</f>
        <v/>
      </c>
      <c r="E167" s="7">
        <f>Aylik_Puantaj!BJ169</f>
        <v/>
      </c>
      <c r="F167" s="7">
        <f>Aylik_Puantaj!BL169</f>
        <v/>
      </c>
    </row>
    <row r="168">
      <c r="A168" s="4" t="n">
        <v>167</v>
      </c>
      <c r="B168" s="5" t="inlineStr">
        <is>
          <t>53689106020</t>
        </is>
      </c>
      <c r="C168" s="29" t="inlineStr">
        <is>
          <t>GÜLSÜM GÖRGÜLÜ</t>
        </is>
      </c>
      <c r="D168" s="7">
        <f>Aylik_Puantaj!L170</f>
        <v/>
      </c>
      <c r="E168" s="7">
        <f>Aylik_Puantaj!BJ170</f>
        <v/>
      </c>
      <c r="F168" s="7">
        <f>Aylik_Puantaj!BL170</f>
        <v/>
      </c>
    </row>
    <row r="169">
      <c r="A169" s="4" t="n">
        <v>168</v>
      </c>
      <c r="B169" s="5" t="inlineStr">
        <is>
          <t>11257940650</t>
        </is>
      </c>
      <c r="C169" s="29" t="inlineStr">
        <is>
          <t>GÜLŞEN YAĞMUR YÜKSEL</t>
        </is>
      </c>
      <c r="D169" s="7">
        <f>Aylik_Puantaj!L171</f>
        <v/>
      </c>
      <c r="E169" s="7">
        <f>Aylik_Puantaj!BJ171</f>
        <v/>
      </c>
      <c r="F169" s="7">
        <f>Aylik_Puantaj!BL171</f>
        <v/>
      </c>
    </row>
    <row r="170">
      <c r="A170" s="4" t="n">
        <v>169</v>
      </c>
      <c r="B170" s="5" t="inlineStr">
        <is>
          <t>19492644548</t>
        </is>
      </c>
      <c r="C170" s="29" t="inlineStr">
        <is>
          <t>GÜLTEN AKÇA</t>
        </is>
      </c>
      <c r="D170" s="7">
        <f>Aylik_Puantaj!L172</f>
        <v/>
      </c>
      <c r="E170" s="7">
        <f>Aylik_Puantaj!BJ172</f>
        <v/>
      </c>
      <c r="F170" s="7">
        <f>Aylik_Puantaj!BL172</f>
        <v/>
      </c>
    </row>
    <row r="171">
      <c r="A171" s="4" t="n">
        <v>170</v>
      </c>
      <c r="B171" s="5" t="inlineStr">
        <is>
          <t>45184908278</t>
        </is>
      </c>
      <c r="C171" s="29" t="inlineStr">
        <is>
          <t>GÜLTEN DURMAZ</t>
        </is>
      </c>
      <c r="D171" s="7">
        <f>Aylik_Puantaj!L173</f>
        <v/>
      </c>
      <c r="E171" s="7">
        <f>Aylik_Puantaj!BJ173</f>
        <v/>
      </c>
      <c r="F171" s="7">
        <f>Aylik_Puantaj!BL173</f>
        <v/>
      </c>
    </row>
    <row r="172">
      <c r="A172" s="4" t="n">
        <v>171</v>
      </c>
      <c r="B172" s="5" t="inlineStr">
        <is>
          <t>10996768938</t>
        </is>
      </c>
      <c r="C172" s="29" t="inlineStr">
        <is>
          <t>GÜLTEN GİDER</t>
        </is>
      </c>
      <c r="D172" s="7">
        <f>Aylik_Puantaj!L174</f>
        <v/>
      </c>
      <c r="E172" s="7">
        <f>Aylik_Puantaj!BJ174</f>
        <v/>
      </c>
      <c r="F172" s="7">
        <f>Aylik_Puantaj!BL174</f>
        <v/>
      </c>
    </row>
    <row r="173">
      <c r="A173" s="4" t="n">
        <v>172</v>
      </c>
      <c r="B173" s="5" t="inlineStr">
        <is>
          <t>21010592606</t>
        </is>
      </c>
      <c r="C173" s="29" t="inlineStr">
        <is>
          <t>GÜLÜMSER KARABIYIK</t>
        </is>
      </c>
      <c r="D173" s="7">
        <f>Aylik_Puantaj!L175</f>
        <v/>
      </c>
      <c r="E173" s="7">
        <f>Aylik_Puantaj!BJ175</f>
        <v/>
      </c>
      <c r="F173" s="7">
        <f>Aylik_Puantaj!BL175</f>
        <v/>
      </c>
    </row>
    <row r="174">
      <c r="A174" s="4" t="n">
        <v>173</v>
      </c>
      <c r="B174" s="5" t="inlineStr">
        <is>
          <t>11593899780</t>
        </is>
      </c>
      <c r="C174" s="29" t="inlineStr">
        <is>
          <t>GÜRAY PALA</t>
        </is>
      </c>
      <c r="D174" s="7">
        <f>Aylik_Puantaj!L176</f>
        <v/>
      </c>
      <c r="E174" s="7">
        <f>Aylik_Puantaj!BJ176</f>
        <v/>
      </c>
      <c r="F174" s="7">
        <f>Aylik_Puantaj!BL176</f>
        <v/>
      </c>
    </row>
    <row r="175">
      <c r="A175" s="4" t="n">
        <v>174</v>
      </c>
      <c r="B175" s="5" t="inlineStr">
        <is>
          <t>40105135368</t>
        </is>
      </c>
      <c r="C175" s="29" t="inlineStr">
        <is>
          <t>HABİBE HARMAN</t>
        </is>
      </c>
      <c r="D175" s="7">
        <f>Aylik_Puantaj!L177</f>
        <v/>
      </c>
      <c r="E175" s="7">
        <f>Aylik_Puantaj!BJ177</f>
        <v/>
      </c>
      <c r="F175" s="7">
        <f>Aylik_Puantaj!BL177</f>
        <v/>
      </c>
    </row>
    <row r="176">
      <c r="A176" s="4" t="n">
        <v>175</v>
      </c>
      <c r="B176" s="5" t="inlineStr">
        <is>
          <t>22639531168</t>
        </is>
      </c>
      <c r="C176" s="29" t="inlineStr">
        <is>
          <t>HAFİZE AVCIOĞLU</t>
        </is>
      </c>
      <c r="D176" s="7">
        <f>Aylik_Puantaj!L178</f>
        <v/>
      </c>
      <c r="E176" s="7">
        <f>Aylik_Puantaj!BJ178</f>
        <v/>
      </c>
      <c r="F176" s="7">
        <f>Aylik_Puantaj!BL178</f>
        <v/>
      </c>
    </row>
    <row r="177">
      <c r="A177" s="4" t="n">
        <v>176</v>
      </c>
      <c r="B177" s="5" t="inlineStr">
        <is>
          <t>23638497776</t>
        </is>
      </c>
      <c r="C177" s="29" t="inlineStr">
        <is>
          <t>HACER BEYHAN</t>
        </is>
      </c>
      <c r="D177" s="7">
        <f>Aylik_Puantaj!L179</f>
        <v/>
      </c>
      <c r="E177" s="7">
        <f>Aylik_Puantaj!BJ179</f>
        <v/>
      </c>
      <c r="F177" s="7">
        <f>Aylik_Puantaj!BL179</f>
        <v/>
      </c>
    </row>
    <row r="178">
      <c r="A178" s="4" t="n">
        <v>177</v>
      </c>
      <c r="B178" s="5" t="inlineStr">
        <is>
          <t>99612178542</t>
        </is>
      </c>
      <c r="C178" s="29" t="inlineStr">
        <is>
          <t>HALA SAADİ</t>
        </is>
      </c>
      <c r="D178" s="7">
        <f>Aylik_Puantaj!L180</f>
        <v/>
      </c>
      <c r="E178" s="7">
        <f>Aylik_Puantaj!BJ180</f>
        <v/>
      </c>
      <c r="F178" s="7">
        <f>Aylik_Puantaj!BL180</f>
        <v/>
      </c>
    </row>
    <row r="179">
      <c r="A179" s="4" t="n">
        <v>178</v>
      </c>
      <c r="B179" s="5" t="inlineStr"/>
      <c r="C179" s="29" t="inlineStr">
        <is>
          <t>HAMİDE DURAK</t>
        </is>
      </c>
      <c r="D179" s="7">
        <f>Aylik_Puantaj!L181</f>
        <v/>
      </c>
      <c r="E179" s="7">
        <f>Aylik_Puantaj!BJ181</f>
        <v/>
      </c>
      <c r="F179" s="7">
        <f>Aylik_Puantaj!BL181</f>
        <v/>
      </c>
    </row>
    <row r="180">
      <c r="A180" s="4" t="n">
        <v>179</v>
      </c>
      <c r="B180" s="5" t="inlineStr">
        <is>
          <t>13708835836</t>
        </is>
      </c>
      <c r="C180" s="29" t="inlineStr">
        <is>
          <t>HAMİT GİRGİN</t>
        </is>
      </c>
      <c r="D180" s="7">
        <f>Aylik_Puantaj!L182</f>
        <v/>
      </c>
      <c r="E180" s="7">
        <f>Aylik_Puantaj!BJ182</f>
        <v/>
      </c>
      <c r="F180" s="7">
        <f>Aylik_Puantaj!BL182</f>
        <v/>
      </c>
    </row>
    <row r="181">
      <c r="A181" s="4" t="n">
        <v>180</v>
      </c>
      <c r="B181" s="5" t="inlineStr">
        <is>
          <t>52240399666</t>
        </is>
      </c>
      <c r="C181" s="29" t="inlineStr">
        <is>
          <t>HANDAN TOPTİK</t>
        </is>
      </c>
      <c r="D181" s="7">
        <f>Aylik_Puantaj!L183</f>
        <v/>
      </c>
      <c r="E181" s="7">
        <f>Aylik_Puantaj!BJ183</f>
        <v/>
      </c>
      <c r="F181" s="7">
        <f>Aylik_Puantaj!BL183</f>
        <v/>
      </c>
    </row>
    <row r="182">
      <c r="A182" s="4" t="n">
        <v>181</v>
      </c>
      <c r="B182" s="5" t="inlineStr">
        <is>
          <t>16217577174</t>
        </is>
      </c>
      <c r="C182" s="29" t="inlineStr">
        <is>
          <t>HANIM İİLHAN</t>
        </is>
      </c>
      <c r="D182" s="7">
        <f>Aylik_Puantaj!L184</f>
        <v/>
      </c>
      <c r="E182" s="7">
        <f>Aylik_Puantaj!BJ184</f>
        <v/>
      </c>
      <c r="F182" s="7">
        <f>Aylik_Puantaj!BL184</f>
        <v/>
      </c>
    </row>
    <row r="183">
      <c r="A183" s="4" t="n">
        <v>182</v>
      </c>
      <c r="B183" s="5" t="inlineStr">
        <is>
          <t>23575500782</t>
        </is>
      </c>
      <c r="C183" s="29" t="inlineStr">
        <is>
          <t>HANİFE KATMIŞ</t>
        </is>
      </c>
      <c r="D183" s="7">
        <f>Aylik_Puantaj!L185</f>
        <v/>
      </c>
      <c r="E183" s="7">
        <f>Aylik_Puantaj!BJ185</f>
        <v/>
      </c>
      <c r="F183" s="7">
        <f>Aylik_Puantaj!BL185</f>
        <v/>
      </c>
    </row>
    <row r="184">
      <c r="A184" s="4" t="n">
        <v>183</v>
      </c>
      <c r="B184" s="5" t="inlineStr">
        <is>
          <t>14644681464</t>
        </is>
      </c>
      <c r="C184" s="29" t="inlineStr">
        <is>
          <t>HANİFE SAYGI</t>
        </is>
      </c>
      <c r="D184" s="7">
        <f>Aylik_Puantaj!L186</f>
        <v/>
      </c>
      <c r="E184" s="7">
        <f>Aylik_Puantaj!BJ186</f>
        <v/>
      </c>
      <c r="F184" s="7">
        <f>Aylik_Puantaj!BL186</f>
        <v/>
      </c>
    </row>
    <row r="185">
      <c r="A185" s="4" t="n">
        <v>184</v>
      </c>
      <c r="B185" s="5" t="inlineStr">
        <is>
          <t>20290485820</t>
        </is>
      </c>
      <c r="C185" s="29" t="inlineStr">
        <is>
          <t>HANİFE YILDIRIM</t>
        </is>
      </c>
      <c r="D185" s="7">
        <f>Aylik_Puantaj!L187</f>
        <v/>
      </c>
      <c r="E185" s="7">
        <f>Aylik_Puantaj!BJ187</f>
        <v/>
      </c>
      <c r="F185" s="7">
        <f>Aylik_Puantaj!BL187</f>
        <v/>
      </c>
    </row>
    <row r="186">
      <c r="A186" s="4" t="n">
        <v>185</v>
      </c>
      <c r="B186" s="5" t="inlineStr"/>
      <c r="C186" s="29" t="inlineStr">
        <is>
          <t>HARUN ABAKAY</t>
        </is>
      </c>
      <c r="D186" s="7">
        <f>Aylik_Puantaj!L188</f>
        <v/>
      </c>
      <c r="E186" s="7">
        <f>Aylik_Puantaj!BJ188</f>
        <v/>
      </c>
      <c r="F186" s="7">
        <f>Aylik_Puantaj!BL188</f>
        <v/>
      </c>
    </row>
    <row r="187">
      <c r="A187" s="4" t="n">
        <v>186</v>
      </c>
      <c r="B187" s="5" t="inlineStr">
        <is>
          <t>14779989510</t>
        </is>
      </c>
      <c r="C187" s="29" t="inlineStr">
        <is>
          <t>HARUN YAHYA DURSUN</t>
        </is>
      </c>
      <c r="D187" s="7">
        <f>Aylik_Puantaj!L189</f>
        <v/>
      </c>
      <c r="E187" s="7">
        <f>Aylik_Puantaj!BJ189</f>
        <v/>
      </c>
      <c r="F187" s="7">
        <f>Aylik_Puantaj!BL189</f>
        <v/>
      </c>
    </row>
    <row r="188">
      <c r="A188" s="4" t="n">
        <v>187</v>
      </c>
      <c r="B188" s="5" t="inlineStr">
        <is>
          <t>63982416122</t>
        </is>
      </c>
      <c r="C188" s="29" t="inlineStr">
        <is>
          <t>HATİCE BUSE POLAT</t>
        </is>
      </c>
      <c r="D188" s="7">
        <f>Aylik_Puantaj!L190</f>
        <v/>
      </c>
      <c r="E188" s="7">
        <f>Aylik_Puantaj!BJ190</f>
        <v/>
      </c>
      <c r="F188" s="7">
        <f>Aylik_Puantaj!BL190</f>
        <v/>
      </c>
    </row>
    <row r="189">
      <c r="A189" s="4" t="n">
        <v>188</v>
      </c>
      <c r="B189" s="5" t="inlineStr">
        <is>
          <t>26338305280</t>
        </is>
      </c>
      <c r="C189" s="29" t="inlineStr">
        <is>
          <t>HATİCE ÇÇAKMAK</t>
        </is>
      </c>
      <c r="D189" s="7">
        <f>Aylik_Puantaj!L191</f>
        <v/>
      </c>
      <c r="E189" s="7">
        <f>Aylik_Puantaj!BJ191</f>
        <v/>
      </c>
      <c r="F189" s="7">
        <f>Aylik_Puantaj!BL191</f>
        <v/>
      </c>
    </row>
    <row r="190">
      <c r="A190" s="4" t="n">
        <v>189</v>
      </c>
      <c r="B190" s="5" t="inlineStr">
        <is>
          <t>32194063110</t>
        </is>
      </c>
      <c r="C190" s="29" t="inlineStr">
        <is>
          <t>HATİCE ERBAŞ</t>
        </is>
      </c>
      <c r="D190" s="7">
        <f>Aylik_Puantaj!L192</f>
        <v/>
      </c>
      <c r="E190" s="7">
        <f>Aylik_Puantaj!BJ192</f>
        <v/>
      </c>
      <c r="F190" s="7">
        <f>Aylik_Puantaj!BL192</f>
        <v/>
      </c>
    </row>
    <row r="191">
      <c r="A191" s="4" t="n">
        <v>190</v>
      </c>
      <c r="B191" s="5" t="inlineStr">
        <is>
          <t>45823635220</t>
        </is>
      </c>
      <c r="C191" s="29" t="inlineStr">
        <is>
          <t>HATİCE GÖLBAŞ</t>
        </is>
      </c>
      <c r="D191" s="7">
        <f>Aylik_Puantaj!L193</f>
        <v/>
      </c>
      <c r="E191" s="7">
        <f>Aylik_Puantaj!BJ193</f>
        <v/>
      </c>
      <c r="F191" s="7">
        <f>Aylik_Puantaj!BL193</f>
        <v/>
      </c>
    </row>
    <row r="192">
      <c r="A192" s="4" t="n">
        <v>191</v>
      </c>
      <c r="B192" s="5" t="inlineStr">
        <is>
          <t>31324091924</t>
        </is>
      </c>
      <c r="C192" s="29" t="inlineStr">
        <is>
          <t>HATİCE KURT</t>
        </is>
      </c>
      <c r="D192" s="7">
        <f>Aylik_Puantaj!L194</f>
        <v/>
      </c>
      <c r="E192" s="7">
        <f>Aylik_Puantaj!BJ194</f>
        <v/>
      </c>
      <c r="F192" s="7">
        <f>Aylik_Puantaj!BL194</f>
        <v/>
      </c>
    </row>
    <row r="193">
      <c r="A193" s="4" t="n">
        <v>192</v>
      </c>
      <c r="B193" s="5" t="inlineStr">
        <is>
          <t>10817807990</t>
        </is>
      </c>
      <c r="C193" s="29" t="inlineStr">
        <is>
          <t>HATİCE ONUK</t>
        </is>
      </c>
      <c r="D193" s="7">
        <f>Aylik_Puantaj!L195</f>
        <v/>
      </c>
      <c r="E193" s="7">
        <f>Aylik_Puantaj!BJ195</f>
        <v/>
      </c>
      <c r="F193" s="7">
        <f>Aylik_Puantaj!BL195</f>
        <v/>
      </c>
    </row>
    <row r="194">
      <c r="A194" s="4" t="n">
        <v>193</v>
      </c>
      <c r="B194" s="5" t="inlineStr">
        <is>
          <t>33850041688</t>
        </is>
      </c>
      <c r="C194" s="29" t="inlineStr">
        <is>
          <t>HATİCE SAVAŞÇI</t>
        </is>
      </c>
      <c r="D194" s="7">
        <f>Aylik_Puantaj!L196</f>
        <v/>
      </c>
      <c r="E194" s="7">
        <f>Aylik_Puantaj!BJ196</f>
        <v/>
      </c>
      <c r="F194" s="7">
        <f>Aylik_Puantaj!BL196</f>
        <v/>
      </c>
    </row>
    <row r="195">
      <c r="A195" s="4" t="n">
        <v>194</v>
      </c>
      <c r="B195" s="5" t="inlineStr">
        <is>
          <t>26002427744</t>
        </is>
      </c>
      <c r="C195" s="29" t="inlineStr">
        <is>
          <t>HAVVA ALPER</t>
        </is>
      </c>
      <c r="D195" s="7">
        <f>Aylik_Puantaj!L197</f>
        <v/>
      </c>
      <c r="E195" s="7">
        <f>Aylik_Puantaj!BJ197</f>
        <v/>
      </c>
      <c r="F195" s="7">
        <f>Aylik_Puantaj!BL197</f>
        <v/>
      </c>
    </row>
    <row r="196">
      <c r="A196" s="4" t="n">
        <v>195</v>
      </c>
      <c r="B196" s="5" t="inlineStr">
        <is>
          <t>26653281238</t>
        </is>
      </c>
      <c r="C196" s="29" t="inlineStr">
        <is>
          <t>HAVVA BAYRAM</t>
        </is>
      </c>
      <c r="D196" s="7">
        <f>Aylik_Puantaj!L198</f>
        <v/>
      </c>
      <c r="E196" s="7">
        <f>Aylik_Puantaj!BJ198</f>
        <v/>
      </c>
      <c r="F196" s="7">
        <f>Aylik_Puantaj!BL198</f>
        <v/>
      </c>
    </row>
    <row r="197">
      <c r="A197" s="4" t="n">
        <v>196</v>
      </c>
      <c r="B197" s="5" t="inlineStr">
        <is>
          <t>19966627466</t>
        </is>
      </c>
      <c r="C197" s="29" t="inlineStr">
        <is>
          <t>HAYRİYE KARGA</t>
        </is>
      </c>
      <c r="D197" s="7">
        <f>Aylik_Puantaj!L199</f>
        <v/>
      </c>
      <c r="E197" s="7">
        <f>Aylik_Puantaj!BJ199</f>
        <v/>
      </c>
      <c r="F197" s="7">
        <f>Aylik_Puantaj!BL199</f>
        <v/>
      </c>
    </row>
    <row r="198">
      <c r="A198" s="4" t="n">
        <v>197</v>
      </c>
      <c r="B198" s="5" t="inlineStr">
        <is>
          <t>10156949566</t>
        </is>
      </c>
      <c r="C198" s="29" t="inlineStr">
        <is>
          <t>HAYRİYE BEYİRKEN</t>
        </is>
      </c>
      <c r="D198" s="7">
        <f>Aylik_Puantaj!L200</f>
        <v/>
      </c>
      <c r="E198" s="7">
        <f>Aylik_Puantaj!BJ200</f>
        <v/>
      </c>
      <c r="F198" s="7">
        <f>Aylik_Puantaj!BL200</f>
        <v/>
      </c>
    </row>
    <row r="199">
      <c r="A199" s="4" t="n">
        <v>198</v>
      </c>
      <c r="B199" s="5" t="inlineStr">
        <is>
          <t>30367150308</t>
        </is>
      </c>
      <c r="C199" s="29" t="inlineStr">
        <is>
          <t>HAYRULLAH TOPRAK</t>
        </is>
      </c>
      <c r="D199" s="7">
        <f>Aylik_Puantaj!L201</f>
        <v/>
      </c>
      <c r="E199" s="7">
        <f>Aylik_Puantaj!BJ201</f>
        <v/>
      </c>
      <c r="F199" s="7">
        <f>Aylik_Puantaj!BL201</f>
        <v/>
      </c>
    </row>
    <row r="200">
      <c r="A200" s="4" t="n">
        <v>199</v>
      </c>
      <c r="B200" s="5" t="inlineStr">
        <is>
          <t>23857340204</t>
        </is>
      </c>
      <c r="C200" s="29" t="inlineStr">
        <is>
          <t>HÜLYA ERİM</t>
        </is>
      </c>
      <c r="D200" s="7">
        <f>Aylik_Puantaj!L202</f>
        <v/>
      </c>
      <c r="E200" s="7">
        <f>Aylik_Puantaj!BJ202</f>
        <v/>
      </c>
      <c r="F200" s="7">
        <f>Aylik_Puantaj!BL202</f>
        <v/>
      </c>
    </row>
    <row r="201">
      <c r="A201" s="4" t="n">
        <v>200</v>
      </c>
      <c r="B201" s="5" t="inlineStr">
        <is>
          <t>30856107820</t>
        </is>
      </c>
      <c r="C201" s="29" t="inlineStr">
        <is>
          <t>HÜLYA ÜÜNAL</t>
        </is>
      </c>
      <c r="D201" s="7">
        <f>Aylik_Puantaj!L203</f>
        <v/>
      </c>
      <c r="E201" s="7">
        <f>Aylik_Puantaj!BJ203</f>
        <v/>
      </c>
      <c r="F201" s="7">
        <f>Aylik_Puantaj!BL203</f>
        <v/>
      </c>
    </row>
    <row r="202">
      <c r="A202" s="4" t="n">
        <v>201</v>
      </c>
      <c r="B202" s="5" t="inlineStr">
        <is>
          <t>11284916406</t>
        </is>
      </c>
      <c r="C202" s="29" t="inlineStr">
        <is>
          <t>HÜLYA TANIŞ</t>
        </is>
      </c>
      <c r="D202" s="7">
        <f>Aylik_Puantaj!L204</f>
        <v/>
      </c>
      <c r="E202" s="7">
        <f>Aylik_Puantaj!BJ204</f>
        <v/>
      </c>
      <c r="F202" s="7">
        <f>Aylik_Puantaj!BL204</f>
        <v/>
      </c>
    </row>
    <row r="203">
      <c r="A203" s="4" t="n">
        <v>202</v>
      </c>
      <c r="B203" s="5" t="inlineStr">
        <is>
          <t>33289026430</t>
        </is>
      </c>
      <c r="C203" s="29" t="inlineStr">
        <is>
          <t>HÜLYA TOPAL</t>
        </is>
      </c>
      <c r="D203" s="7">
        <f>Aylik_Puantaj!L205</f>
        <v/>
      </c>
      <c r="E203" s="7">
        <f>Aylik_Puantaj!BJ205</f>
        <v/>
      </c>
      <c r="F203" s="7">
        <f>Aylik_Puantaj!BL205</f>
        <v/>
      </c>
    </row>
    <row r="204">
      <c r="A204" s="4" t="n">
        <v>203</v>
      </c>
      <c r="B204" s="5" t="inlineStr">
        <is>
          <t>28069359518</t>
        </is>
      </c>
      <c r="C204" s="29" t="inlineStr">
        <is>
          <t>HÜSEYİN DEMİRCİ</t>
        </is>
      </c>
      <c r="D204" s="7">
        <f>Aylik_Puantaj!L206</f>
        <v/>
      </c>
      <c r="E204" s="7">
        <f>Aylik_Puantaj!BJ206</f>
        <v/>
      </c>
      <c r="F204" s="7">
        <f>Aylik_Puantaj!BL206</f>
        <v/>
      </c>
    </row>
    <row r="205">
      <c r="A205" s="4" t="n">
        <v>204</v>
      </c>
      <c r="B205" s="5" t="inlineStr"/>
      <c r="C205" s="29" t="inlineStr">
        <is>
          <t>HÜSEYİN KARA</t>
        </is>
      </c>
      <c r="D205" s="7">
        <f>Aylik_Puantaj!L207</f>
        <v/>
      </c>
      <c r="E205" s="7">
        <f>Aylik_Puantaj!BJ207</f>
        <v/>
      </c>
      <c r="F205" s="7">
        <f>Aylik_Puantaj!BL207</f>
        <v/>
      </c>
    </row>
    <row r="206">
      <c r="A206" s="4" t="n">
        <v>205</v>
      </c>
      <c r="B206" s="5" t="inlineStr">
        <is>
          <t>29515203096</t>
        </is>
      </c>
      <c r="C206" s="29" t="inlineStr">
        <is>
          <t>İBÜŞRAHİM YILDIRIM</t>
        </is>
      </c>
      <c r="D206" s="7">
        <f>Aylik_Puantaj!L208</f>
        <v/>
      </c>
      <c r="E206" s="7">
        <f>Aylik_Puantaj!BJ208</f>
        <v/>
      </c>
      <c r="F206" s="7">
        <f>Aylik_Puantaj!BL208</f>
        <v/>
      </c>
    </row>
    <row r="207">
      <c r="A207" s="4" t="n">
        <v>206</v>
      </c>
      <c r="B207" s="5" t="inlineStr">
        <is>
          <t>37276043530</t>
        </is>
      </c>
      <c r="C207" s="29" t="inlineStr">
        <is>
          <t>İİLKNUR KURDEŞ</t>
        </is>
      </c>
      <c r="D207" s="7">
        <f>Aylik_Puantaj!L209</f>
        <v/>
      </c>
      <c r="E207" s="7">
        <f>Aylik_Puantaj!BJ209</f>
        <v/>
      </c>
      <c r="F207" s="7">
        <f>Aylik_Puantaj!BL209</f>
        <v/>
      </c>
    </row>
    <row r="208">
      <c r="A208" s="4" t="n">
        <v>207</v>
      </c>
      <c r="B208" s="5" t="inlineStr">
        <is>
          <t>10367219830</t>
        </is>
      </c>
      <c r="C208" s="29" t="inlineStr">
        <is>
          <t>İİLYAS DORMAN</t>
        </is>
      </c>
      <c r="D208" s="7">
        <f>Aylik_Puantaj!L210</f>
        <v/>
      </c>
      <c r="E208" s="7">
        <f>Aylik_Puantaj!BJ210</f>
        <v/>
      </c>
      <c r="F208" s="7">
        <f>Aylik_Puantaj!BL210</f>
        <v/>
      </c>
    </row>
    <row r="209">
      <c r="A209" s="4" t="n">
        <v>208</v>
      </c>
      <c r="B209" s="5" t="inlineStr">
        <is>
          <t>42844787082</t>
        </is>
      </c>
      <c r="C209" s="29" t="inlineStr">
        <is>
          <t>İSMAİL BARAK</t>
        </is>
      </c>
      <c r="D209" s="7">
        <f>Aylik_Puantaj!L211</f>
        <v/>
      </c>
      <c r="E209" s="7">
        <f>Aylik_Puantaj!BJ211</f>
        <v/>
      </c>
      <c r="F209" s="7">
        <f>Aylik_Puantaj!BL211</f>
        <v/>
      </c>
    </row>
    <row r="210">
      <c r="A210" s="4" t="n">
        <v>209</v>
      </c>
      <c r="B210" s="5" t="inlineStr">
        <is>
          <t>25060351046</t>
        </is>
      </c>
      <c r="C210" s="29" t="inlineStr">
        <is>
          <t>İSMAİL İMİR</t>
        </is>
      </c>
      <c r="D210" s="7">
        <f>Aylik_Puantaj!L212</f>
        <v/>
      </c>
      <c r="E210" s="7">
        <f>Aylik_Puantaj!BJ212</f>
        <v/>
      </c>
      <c r="F210" s="7">
        <f>Aylik_Puantaj!BL212</f>
        <v/>
      </c>
    </row>
    <row r="211">
      <c r="A211" s="4" t="n">
        <v>210</v>
      </c>
      <c r="B211" s="5" t="inlineStr">
        <is>
          <t>49981303052</t>
        </is>
      </c>
      <c r="C211" s="29" t="inlineStr">
        <is>
          <t>KADİR AZAR</t>
        </is>
      </c>
      <c r="D211" s="7">
        <f>Aylik_Puantaj!L213</f>
        <v/>
      </c>
      <c r="E211" s="7">
        <f>Aylik_Puantaj!BJ213</f>
        <v/>
      </c>
      <c r="F211" s="7">
        <f>Aylik_Puantaj!BL213</f>
        <v/>
      </c>
    </row>
    <row r="212">
      <c r="A212" s="4" t="n">
        <v>211</v>
      </c>
      <c r="B212" s="5" t="inlineStr">
        <is>
          <t>41776250350</t>
        </is>
      </c>
      <c r="C212" s="29" t="inlineStr">
        <is>
          <t>KADER ÇÇAKICI</t>
        </is>
      </c>
      <c r="D212" s="7">
        <f>Aylik_Puantaj!L214</f>
        <v/>
      </c>
      <c r="E212" s="7">
        <f>Aylik_Puantaj!BJ214</f>
        <v/>
      </c>
      <c r="F212" s="7">
        <f>Aylik_Puantaj!BL214</f>
        <v/>
      </c>
    </row>
    <row r="213">
      <c r="A213" s="4" t="n">
        <v>212</v>
      </c>
      <c r="B213" s="5" t="inlineStr">
        <is>
          <t>13711835762</t>
        </is>
      </c>
      <c r="C213" s="29" t="inlineStr">
        <is>
          <t>KADER GİRGİN</t>
        </is>
      </c>
      <c r="D213" s="7">
        <f>Aylik_Puantaj!L215</f>
        <v/>
      </c>
      <c r="E213" s="7">
        <f>Aylik_Puantaj!BJ215</f>
        <v/>
      </c>
      <c r="F213" s="7">
        <f>Aylik_Puantaj!BL215</f>
        <v/>
      </c>
    </row>
    <row r="214">
      <c r="A214" s="4" t="n">
        <v>213</v>
      </c>
      <c r="B214" s="5" t="inlineStr">
        <is>
          <t>67612166050</t>
        </is>
      </c>
      <c r="C214" s="29" t="inlineStr">
        <is>
          <t>KADER DOĞANAY</t>
        </is>
      </c>
      <c r="D214" s="7">
        <f>Aylik_Puantaj!L216</f>
        <v/>
      </c>
      <c r="E214" s="7">
        <f>Aylik_Puantaj!BJ216</f>
        <v/>
      </c>
      <c r="F214" s="7">
        <f>Aylik_Puantaj!BL216</f>
        <v/>
      </c>
    </row>
    <row r="215">
      <c r="A215" s="4" t="n">
        <v>214</v>
      </c>
      <c r="B215" s="5" t="inlineStr">
        <is>
          <t>23524501518</t>
        </is>
      </c>
      <c r="C215" s="29" t="inlineStr">
        <is>
          <t>KADRİYE BEYHAN</t>
        </is>
      </c>
      <c r="D215" s="7">
        <f>Aylik_Puantaj!L217</f>
        <v/>
      </c>
      <c r="E215" s="7">
        <f>Aylik_Puantaj!BJ217</f>
        <v/>
      </c>
      <c r="F215" s="7">
        <f>Aylik_Puantaj!BL217</f>
        <v/>
      </c>
    </row>
    <row r="216">
      <c r="A216" s="4" t="n">
        <v>215</v>
      </c>
      <c r="B216" s="5" t="inlineStr"/>
      <c r="C216" s="29" t="inlineStr">
        <is>
          <t>KAMİL İNATLI</t>
        </is>
      </c>
      <c r="D216" s="7">
        <f>Aylik_Puantaj!L218</f>
        <v/>
      </c>
      <c r="E216" s="7">
        <f>Aylik_Puantaj!BJ218</f>
        <v/>
      </c>
      <c r="F216" s="7">
        <f>Aylik_Puantaj!BL218</f>
        <v/>
      </c>
    </row>
    <row r="217">
      <c r="A217" s="4" t="n">
        <v>216</v>
      </c>
      <c r="B217" s="5" t="inlineStr">
        <is>
          <t>27448226656</t>
        </is>
      </c>
      <c r="C217" s="29" t="inlineStr">
        <is>
          <t>KAMİLE DAĞDÇELEN</t>
        </is>
      </c>
      <c r="D217" s="7">
        <f>Aylik_Puantaj!L219</f>
        <v/>
      </c>
      <c r="E217" s="7">
        <f>Aylik_Puantaj!BJ219</f>
        <v/>
      </c>
      <c r="F217" s="7">
        <f>Aylik_Puantaj!BL219</f>
        <v/>
      </c>
    </row>
    <row r="218">
      <c r="A218" s="4" t="n">
        <v>217</v>
      </c>
      <c r="B218" s="5" t="inlineStr"/>
      <c r="C218" s="29" t="inlineStr">
        <is>
          <t>KASIR EL MUHAMMET</t>
        </is>
      </c>
      <c r="D218" s="7">
        <f>Aylik_Puantaj!L220</f>
        <v/>
      </c>
      <c r="E218" s="7">
        <f>Aylik_Puantaj!BJ220</f>
        <v/>
      </c>
      <c r="F218" s="7">
        <f>Aylik_Puantaj!BL220</f>
        <v/>
      </c>
    </row>
    <row r="219">
      <c r="A219" s="4" t="n">
        <v>218</v>
      </c>
      <c r="B219" s="5" t="inlineStr">
        <is>
          <t>99656887974</t>
        </is>
      </c>
      <c r="C219" s="29" t="inlineStr">
        <is>
          <t>KEFA EL HUDUR</t>
        </is>
      </c>
      <c r="D219" s="7">
        <f>Aylik_Puantaj!L221</f>
        <v/>
      </c>
      <c r="E219" s="7">
        <f>Aylik_Puantaj!BJ221</f>
        <v/>
      </c>
      <c r="F219" s="7">
        <f>Aylik_Puantaj!BL221</f>
        <v/>
      </c>
    </row>
    <row r="220">
      <c r="A220" s="4" t="n">
        <v>219</v>
      </c>
      <c r="B220" s="5" t="inlineStr">
        <is>
          <t>33067084584</t>
        </is>
      </c>
      <c r="C220" s="29" t="inlineStr">
        <is>
          <t>KEMAL DURMUŞ</t>
        </is>
      </c>
      <c r="D220" s="7">
        <f>Aylik_Puantaj!L222</f>
        <v/>
      </c>
      <c r="E220" s="7">
        <f>Aylik_Puantaj!BJ222</f>
        <v/>
      </c>
      <c r="F220" s="7">
        <f>Aylik_Puantaj!BL222</f>
        <v/>
      </c>
    </row>
    <row r="221">
      <c r="A221" s="4" t="n">
        <v>220</v>
      </c>
      <c r="B221" s="5" t="inlineStr"/>
      <c r="C221" s="29" t="inlineStr">
        <is>
          <t>KERİM MERT SOYÖZ</t>
        </is>
      </c>
      <c r="D221" s="7">
        <f>Aylik_Puantaj!L223</f>
        <v/>
      </c>
      <c r="E221" s="7">
        <f>Aylik_Puantaj!BJ223</f>
        <v/>
      </c>
      <c r="F221" s="7">
        <f>Aylik_Puantaj!BL223</f>
        <v/>
      </c>
    </row>
    <row r="222">
      <c r="A222" s="4" t="n">
        <v>221</v>
      </c>
      <c r="B222" s="5" t="inlineStr">
        <is>
          <t>67120192930</t>
        </is>
      </c>
      <c r="C222" s="29" t="inlineStr">
        <is>
          <t>KERİME YILMAZ</t>
        </is>
      </c>
      <c r="D222" s="7">
        <f>Aylik_Puantaj!L224</f>
        <v/>
      </c>
      <c r="E222" s="7">
        <f>Aylik_Puantaj!BJ224</f>
        <v/>
      </c>
      <c r="F222" s="7">
        <f>Aylik_Puantaj!BL224</f>
        <v/>
      </c>
    </row>
    <row r="223">
      <c r="A223" s="4" t="n">
        <v>222</v>
      </c>
      <c r="B223" s="5" t="inlineStr">
        <is>
          <t>32014226190</t>
        </is>
      </c>
      <c r="C223" s="29" t="inlineStr">
        <is>
          <t>KEVSER BAŞAK</t>
        </is>
      </c>
      <c r="D223" s="7">
        <f>Aylik_Puantaj!L225</f>
        <v/>
      </c>
      <c r="E223" s="7">
        <f>Aylik_Puantaj!BJ225</f>
        <v/>
      </c>
      <c r="F223" s="7">
        <f>Aylik_Puantaj!BL225</f>
        <v/>
      </c>
    </row>
    <row r="224">
      <c r="A224" s="4" t="n">
        <v>223</v>
      </c>
      <c r="B224" s="5" t="inlineStr">
        <is>
          <t>10945588358</t>
        </is>
      </c>
      <c r="C224" s="29" t="inlineStr">
        <is>
          <t>KEVSER BATIBEY</t>
        </is>
      </c>
      <c r="D224" s="7">
        <f>Aylik_Puantaj!L226</f>
        <v/>
      </c>
      <c r="E224" s="7">
        <f>Aylik_Puantaj!BJ226</f>
        <v/>
      </c>
      <c r="F224" s="7">
        <f>Aylik_Puantaj!BL226</f>
        <v/>
      </c>
    </row>
    <row r="225">
      <c r="A225" s="4" t="n">
        <v>224</v>
      </c>
      <c r="B225" s="5" t="inlineStr">
        <is>
          <t>37573316870</t>
        </is>
      </c>
      <c r="C225" s="29" t="inlineStr">
        <is>
          <t>KEZİBAN ARAS</t>
        </is>
      </c>
      <c r="D225" s="7">
        <f>Aylik_Puantaj!L227</f>
        <v/>
      </c>
      <c r="E225" s="7">
        <f>Aylik_Puantaj!BJ227</f>
        <v/>
      </c>
      <c r="F225" s="7">
        <f>Aylik_Puantaj!BL227</f>
        <v/>
      </c>
    </row>
    <row r="226">
      <c r="A226" s="4" t="n">
        <v>225</v>
      </c>
      <c r="B226" s="5" t="inlineStr">
        <is>
          <t>33397029286</t>
        </is>
      </c>
      <c r="C226" s="29" t="inlineStr">
        <is>
          <t>KÜBÜŞRA ALTAY</t>
        </is>
      </c>
      <c r="D226" s="7">
        <f>Aylik_Puantaj!L228</f>
        <v/>
      </c>
      <c r="E226" s="7">
        <f>Aylik_Puantaj!BJ228</f>
        <v/>
      </c>
      <c r="F226" s="7">
        <f>Aylik_Puantaj!BL228</f>
        <v/>
      </c>
    </row>
    <row r="227">
      <c r="A227" s="4" t="n">
        <v>226</v>
      </c>
      <c r="B227" s="5" t="inlineStr">
        <is>
          <t>11840814962</t>
        </is>
      </c>
      <c r="C227" s="29" t="inlineStr">
        <is>
          <t>LEYLA KOYUN</t>
        </is>
      </c>
      <c r="D227" s="7">
        <f>Aylik_Puantaj!L229</f>
        <v/>
      </c>
      <c r="E227" s="7">
        <f>Aylik_Puantaj!BJ229</f>
        <v/>
      </c>
      <c r="F227" s="7">
        <f>Aylik_Puantaj!BL229</f>
        <v/>
      </c>
    </row>
    <row r="228">
      <c r="A228" s="4" t="n">
        <v>227</v>
      </c>
      <c r="B228" s="5" t="inlineStr">
        <is>
          <t>41405035372</t>
        </is>
      </c>
      <c r="C228" s="29" t="inlineStr">
        <is>
          <t>LEYLA ŞİMŞEK</t>
        </is>
      </c>
      <c r="D228" s="7">
        <f>Aylik_Puantaj!L230</f>
        <v/>
      </c>
      <c r="E228" s="7">
        <f>Aylik_Puantaj!BJ230</f>
        <v/>
      </c>
      <c r="F228" s="7">
        <f>Aylik_Puantaj!BL230</f>
        <v/>
      </c>
    </row>
    <row r="229">
      <c r="A229" s="4" t="n">
        <v>228</v>
      </c>
      <c r="B229" s="5" t="inlineStr">
        <is>
          <t>19783626574</t>
        </is>
      </c>
      <c r="C229" s="29" t="inlineStr">
        <is>
          <t>MACİDE PIRLAK</t>
        </is>
      </c>
      <c r="D229" s="7">
        <f>Aylik_Puantaj!L231</f>
        <v/>
      </c>
      <c r="E229" s="7">
        <f>Aylik_Puantaj!BJ231</f>
        <v/>
      </c>
      <c r="F229" s="7">
        <f>Aylik_Puantaj!BL231</f>
        <v/>
      </c>
    </row>
    <row r="230">
      <c r="A230" s="4" t="n">
        <v>229</v>
      </c>
      <c r="B230" s="5" t="inlineStr">
        <is>
          <t>29749160806</t>
        </is>
      </c>
      <c r="C230" s="29" t="inlineStr">
        <is>
          <t>MAHİR HİLMİ ULUKÖK</t>
        </is>
      </c>
      <c r="D230" s="7">
        <f>Aylik_Puantaj!L232</f>
        <v/>
      </c>
      <c r="E230" s="7">
        <f>Aylik_Puantaj!BJ232</f>
        <v/>
      </c>
      <c r="F230" s="7">
        <f>Aylik_Puantaj!BL232</f>
        <v/>
      </c>
    </row>
    <row r="231">
      <c r="A231" s="4" t="n">
        <v>230</v>
      </c>
      <c r="B231" s="5" t="inlineStr">
        <is>
          <t>54871132810</t>
        </is>
      </c>
      <c r="C231" s="29" t="inlineStr">
        <is>
          <t>MAHİZER BAĞ</t>
        </is>
      </c>
      <c r="D231" s="7">
        <f>Aylik_Puantaj!L233</f>
        <v/>
      </c>
      <c r="E231" s="7">
        <f>Aylik_Puantaj!BJ233</f>
        <v/>
      </c>
      <c r="F231" s="7">
        <f>Aylik_Puantaj!BL233</f>
        <v/>
      </c>
    </row>
    <row r="232">
      <c r="A232" s="4" t="n">
        <v>231</v>
      </c>
      <c r="B232" s="5" t="inlineStr">
        <is>
          <t>20458603738</t>
        </is>
      </c>
      <c r="C232" s="29" t="inlineStr">
        <is>
          <t>MAHMURE ESEN</t>
        </is>
      </c>
      <c r="D232" s="7">
        <f>Aylik_Puantaj!L234</f>
        <v/>
      </c>
      <c r="E232" s="7">
        <f>Aylik_Puantaj!BJ234</f>
        <v/>
      </c>
      <c r="F232" s="7">
        <f>Aylik_Puantaj!BL234</f>
        <v/>
      </c>
    </row>
    <row r="233">
      <c r="A233" s="4" t="n">
        <v>232</v>
      </c>
      <c r="B233" s="5" t="inlineStr">
        <is>
          <t>99959615564</t>
        </is>
      </c>
      <c r="C233" s="29" t="inlineStr">
        <is>
          <t>MAHMOUD ALZALEK</t>
        </is>
      </c>
      <c r="D233" s="7">
        <f>Aylik_Puantaj!L235</f>
        <v/>
      </c>
      <c r="E233" s="7">
        <f>Aylik_Puantaj!BJ235</f>
        <v/>
      </c>
      <c r="F233" s="7">
        <f>Aylik_Puantaj!BL235</f>
        <v/>
      </c>
    </row>
    <row r="234">
      <c r="A234" s="4" t="n">
        <v>233</v>
      </c>
      <c r="B234" s="5" t="inlineStr"/>
      <c r="C234" s="29" t="inlineStr">
        <is>
          <t>MAHSUN GİRGİN</t>
        </is>
      </c>
      <c r="D234" s="7">
        <f>Aylik_Puantaj!L236</f>
        <v/>
      </c>
      <c r="E234" s="7">
        <f>Aylik_Puantaj!BJ236</f>
        <v/>
      </c>
      <c r="F234" s="7">
        <f>Aylik_Puantaj!BL236</f>
        <v/>
      </c>
    </row>
    <row r="235">
      <c r="A235" s="4" t="n">
        <v>234</v>
      </c>
      <c r="B235" s="5" t="inlineStr">
        <is>
          <t>35107733100</t>
        </is>
      </c>
      <c r="C235" s="29" t="inlineStr">
        <is>
          <t>MECİT NECATİ YAĞKAN</t>
        </is>
      </c>
      <c r="D235" s="7">
        <f>Aylik_Puantaj!L237</f>
        <v/>
      </c>
      <c r="E235" s="7">
        <f>Aylik_Puantaj!BJ237</f>
        <v/>
      </c>
      <c r="F235" s="7">
        <f>Aylik_Puantaj!BL237</f>
        <v/>
      </c>
    </row>
    <row r="236">
      <c r="A236" s="4" t="n">
        <v>235</v>
      </c>
      <c r="B236" s="5" t="inlineStr">
        <is>
          <t>17282847728</t>
        </is>
      </c>
      <c r="C236" s="29" t="inlineStr">
        <is>
          <t>MEHMET ALİ KÜÇÜK</t>
        </is>
      </c>
      <c r="D236" s="7">
        <f>Aylik_Puantaj!L238</f>
        <v/>
      </c>
      <c r="E236" s="7">
        <f>Aylik_Puantaj!BJ238</f>
        <v/>
      </c>
      <c r="F236" s="7">
        <f>Aylik_Puantaj!BL238</f>
        <v/>
      </c>
    </row>
    <row r="237">
      <c r="A237" s="4" t="n">
        <v>236</v>
      </c>
      <c r="B237" s="5" t="inlineStr">
        <is>
          <t>66928193194</t>
        </is>
      </c>
      <c r="C237" s="29" t="inlineStr">
        <is>
          <t>MEHMET DADAŞ</t>
        </is>
      </c>
      <c r="D237" s="7">
        <f>Aylik_Puantaj!L239</f>
        <v/>
      </c>
      <c r="E237" s="7">
        <f>Aylik_Puantaj!BJ239</f>
        <v/>
      </c>
      <c r="F237" s="7">
        <f>Aylik_Puantaj!BL239</f>
        <v/>
      </c>
    </row>
    <row r="238">
      <c r="A238" s="4" t="n">
        <v>237</v>
      </c>
      <c r="B238" s="5" t="inlineStr"/>
      <c r="C238" s="29" t="inlineStr">
        <is>
          <t>MEHMET DUMAN</t>
        </is>
      </c>
      <c r="D238" s="7">
        <f>Aylik_Puantaj!L240</f>
        <v/>
      </c>
      <c r="E238" s="7">
        <f>Aylik_Puantaj!BJ240</f>
        <v/>
      </c>
      <c r="F238" s="7">
        <f>Aylik_Puantaj!BL240</f>
        <v/>
      </c>
    </row>
    <row r="239">
      <c r="A239" s="4" t="n">
        <v>238</v>
      </c>
      <c r="B239" s="5" t="inlineStr"/>
      <c r="C239" s="29" t="inlineStr">
        <is>
          <t>MEHMET EMİN BATUR</t>
        </is>
      </c>
      <c r="D239" s="7">
        <f>Aylik_Puantaj!L241</f>
        <v/>
      </c>
      <c r="E239" s="7">
        <f>Aylik_Puantaj!BJ241</f>
        <v/>
      </c>
      <c r="F239" s="7">
        <f>Aylik_Puantaj!BL241</f>
        <v/>
      </c>
    </row>
    <row r="240">
      <c r="A240" s="4" t="n">
        <v>239</v>
      </c>
      <c r="B240" s="5" t="inlineStr">
        <is>
          <t>38263019484</t>
        </is>
      </c>
      <c r="C240" s="29" t="inlineStr">
        <is>
          <t>MEHMET İNAN</t>
        </is>
      </c>
      <c r="D240" s="7">
        <f>Aylik_Puantaj!L242</f>
        <v/>
      </c>
      <c r="E240" s="7">
        <f>Aylik_Puantaj!BJ242</f>
        <v/>
      </c>
      <c r="F240" s="7">
        <f>Aylik_Puantaj!BL242</f>
        <v/>
      </c>
    </row>
    <row r="241">
      <c r="A241" s="4" t="n">
        <v>240</v>
      </c>
      <c r="B241" s="5" t="inlineStr">
        <is>
          <t>13876724772</t>
        </is>
      </c>
      <c r="C241" s="29" t="inlineStr">
        <is>
          <t>MEHMET KARTAL</t>
        </is>
      </c>
      <c r="D241" s="7">
        <f>Aylik_Puantaj!L243</f>
        <v/>
      </c>
      <c r="E241" s="7">
        <f>Aylik_Puantaj!BJ243</f>
        <v/>
      </c>
      <c r="F241" s="7">
        <f>Aylik_Puantaj!BL243</f>
        <v/>
      </c>
    </row>
    <row r="242">
      <c r="A242" s="4" t="n">
        <v>241</v>
      </c>
      <c r="B242" s="5" t="inlineStr">
        <is>
          <t>49396772658</t>
        </is>
      </c>
      <c r="C242" s="29" t="inlineStr">
        <is>
          <t>MEHMET SOLAK</t>
        </is>
      </c>
      <c r="D242" s="7">
        <f>Aylik_Puantaj!L244</f>
        <v/>
      </c>
      <c r="E242" s="7">
        <f>Aylik_Puantaj!BJ244</f>
        <v/>
      </c>
      <c r="F242" s="7">
        <f>Aylik_Puantaj!BL244</f>
        <v/>
      </c>
    </row>
    <row r="243">
      <c r="A243" s="4" t="n">
        <v>242</v>
      </c>
      <c r="B243" s="5" t="inlineStr">
        <is>
          <t>23401812584</t>
        </is>
      </c>
      <c r="C243" s="29" t="inlineStr">
        <is>
          <t>MEHTAP BULUT</t>
        </is>
      </c>
      <c r="D243" s="7">
        <f>Aylik_Puantaj!L245</f>
        <v/>
      </c>
      <c r="E243" s="7">
        <f>Aylik_Puantaj!BJ245</f>
        <v/>
      </c>
      <c r="F243" s="7">
        <f>Aylik_Puantaj!BL245</f>
        <v/>
      </c>
    </row>
    <row r="244">
      <c r="A244" s="4" t="n">
        <v>243</v>
      </c>
      <c r="B244" s="5" t="inlineStr"/>
      <c r="C244" s="29" t="inlineStr">
        <is>
          <t>MENEKŞE DURMAN</t>
        </is>
      </c>
      <c r="D244" s="7">
        <f>Aylik_Puantaj!L246</f>
        <v/>
      </c>
      <c r="E244" s="7">
        <f>Aylik_Puantaj!BJ246</f>
        <v/>
      </c>
      <c r="F244" s="7">
        <f>Aylik_Puantaj!BL246</f>
        <v/>
      </c>
    </row>
    <row r="245">
      <c r="A245" s="4" t="n">
        <v>244</v>
      </c>
      <c r="B245" s="5" t="inlineStr">
        <is>
          <t>36331074298</t>
        </is>
      </c>
      <c r="C245" s="29" t="inlineStr">
        <is>
          <t>MELEK CEYLAN</t>
        </is>
      </c>
      <c r="D245" s="7">
        <f>Aylik_Puantaj!L247</f>
        <v/>
      </c>
      <c r="E245" s="7">
        <f>Aylik_Puantaj!BJ247</f>
        <v/>
      </c>
      <c r="F245" s="7">
        <f>Aylik_Puantaj!BL247</f>
        <v/>
      </c>
    </row>
    <row r="246">
      <c r="A246" s="4" t="n">
        <v>245</v>
      </c>
      <c r="B246" s="5" t="inlineStr">
        <is>
          <t>40483844500</t>
        </is>
      </c>
      <c r="C246" s="29" t="inlineStr">
        <is>
          <t>MELİSA YILMAZ</t>
        </is>
      </c>
      <c r="D246" s="7">
        <f>Aylik_Puantaj!L248</f>
        <v/>
      </c>
      <c r="E246" s="7">
        <f>Aylik_Puantaj!BJ248</f>
        <v/>
      </c>
      <c r="F246" s="7">
        <f>Aylik_Puantaj!BL248</f>
        <v/>
      </c>
    </row>
    <row r="247">
      <c r="A247" s="4" t="n">
        <v>246</v>
      </c>
      <c r="B247" s="5" t="inlineStr">
        <is>
          <t>37645040054</t>
        </is>
      </c>
      <c r="C247" s="29" t="inlineStr">
        <is>
          <t>MERT ERKUL</t>
        </is>
      </c>
      <c r="D247" s="7">
        <f>Aylik_Puantaj!L249</f>
        <v/>
      </c>
      <c r="E247" s="7">
        <f>Aylik_Puantaj!BJ249</f>
        <v/>
      </c>
      <c r="F247" s="7">
        <f>Aylik_Puantaj!BL249</f>
        <v/>
      </c>
    </row>
    <row r="248">
      <c r="A248" s="4" t="n">
        <v>247</v>
      </c>
      <c r="B248" s="5" t="inlineStr">
        <is>
          <t>25636440280</t>
        </is>
      </c>
      <c r="C248" s="29" t="inlineStr">
        <is>
          <t>MERVE DOĞAN</t>
        </is>
      </c>
      <c r="D248" s="7">
        <f>Aylik_Puantaj!L250</f>
        <v/>
      </c>
      <c r="E248" s="7">
        <f>Aylik_Puantaj!BJ250</f>
        <v/>
      </c>
      <c r="F248" s="7">
        <f>Aylik_Puantaj!BL250</f>
        <v/>
      </c>
    </row>
    <row r="249">
      <c r="A249" s="4" t="n">
        <v>248</v>
      </c>
      <c r="B249" s="5" t="inlineStr">
        <is>
          <t>37288050182</t>
        </is>
      </c>
      <c r="C249" s="29" t="inlineStr">
        <is>
          <t>MERYEM KIRAY</t>
        </is>
      </c>
      <c r="D249" s="7">
        <f>Aylik_Puantaj!L251</f>
        <v/>
      </c>
      <c r="E249" s="7">
        <f>Aylik_Puantaj!BJ251</f>
        <v/>
      </c>
      <c r="F249" s="7">
        <f>Aylik_Puantaj!BL251</f>
        <v/>
      </c>
    </row>
    <row r="250">
      <c r="A250" s="4" t="n">
        <v>249</v>
      </c>
      <c r="B250" s="5" t="inlineStr">
        <is>
          <t>61984174392</t>
        </is>
      </c>
      <c r="C250" s="29" t="inlineStr">
        <is>
          <t>MESERRET DAĞ</t>
        </is>
      </c>
      <c r="D250" s="7">
        <f>Aylik_Puantaj!L252</f>
        <v/>
      </c>
      <c r="E250" s="7">
        <f>Aylik_Puantaj!BJ252</f>
        <v/>
      </c>
      <c r="F250" s="7">
        <f>Aylik_Puantaj!BL252</f>
        <v/>
      </c>
    </row>
    <row r="251">
      <c r="A251" s="4" t="n">
        <v>250</v>
      </c>
      <c r="B251" s="5" t="inlineStr">
        <is>
          <t>28027546004</t>
        </is>
      </c>
      <c r="C251" s="29" t="inlineStr">
        <is>
          <t>MESUT ERDEL</t>
        </is>
      </c>
      <c r="D251" s="7">
        <f>Aylik_Puantaj!L253</f>
        <v/>
      </c>
      <c r="E251" s="7">
        <f>Aylik_Puantaj!BJ253</f>
        <v/>
      </c>
      <c r="F251" s="7">
        <f>Aylik_Puantaj!BL253</f>
        <v/>
      </c>
    </row>
    <row r="252">
      <c r="A252" s="4" t="n">
        <v>251</v>
      </c>
      <c r="B252" s="5" t="inlineStr">
        <is>
          <t>25354441064</t>
        </is>
      </c>
      <c r="C252" s="29" t="inlineStr">
        <is>
          <t>METANET DİNÇER</t>
        </is>
      </c>
      <c r="D252" s="7">
        <f>Aylik_Puantaj!L254</f>
        <v/>
      </c>
      <c r="E252" s="7">
        <f>Aylik_Puantaj!BJ254</f>
        <v/>
      </c>
      <c r="F252" s="7">
        <f>Aylik_Puantaj!BL254</f>
        <v/>
      </c>
    </row>
    <row r="253">
      <c r="A253" s="4" t="n">
        <v>252</v>
      </c>
      <c r="B253" s="5" t="inlineStr"/>
      <c r="C253" s="29" t="inlineStr">
        <is>
          <t>METİN KAR</t>
        </is>
      </c>
      <c r="D253" s="7">
        <f>Aylik_Puantaj!L255</f>
        <v/>
      </c>
      <c r="E253" s="7">
        <f>Aylik_Puantaj!BJ255</f>
        <v/>
      </c>
      <c r="F253" s="7">
        <f>Aylik_Puantaj!BL255</f>
        <v/>
      </c>
    </row>
    <row r="254">
      <c r="A254" s="4" t="n">
        <v>253</v>
      </c>
      <c r="B254" s="5" t="inlineStr">
        <is>
          <t>99248627704</t>
        </is>
      </c>
      <c r="C254" s="29" t="inlineStr">
        <is>
          <t>MHD BASSEL ALZALEK(BASİL)</t>
        </is>
      </c>
      <c r="D254" s="7">
        <f>Aylik_Puantaj!L256</f>
        <v/>
      </c>
      <c r="E254" s="7">
        <f>Aylik_Puantaj!BJ256</f>
        <v/>
      </c>
      <c r="F254" s="7">
        <f>Aylik_Puantaj!BL256</f>
        <v/>
      </c>
    </row>
    <row r="255">
      <c r="A255" s="4" t="n">
        <v>254</v>
      </c>
      <c r="B255" s="5" t="inlineStr"/>
      <c r="C255" s="29" t="inlineStr">
        <is>
          <t>MUHAMMED BATIBEY</t>
        </is>
      </c>
      <c r="D255" s="7">
        <f>Aylik_Puantaj!L257</f>
        <v/>
      </c>
      <c r="E255" s="7">
        <f>Aylik_Puantaj!BJ257</f>
        <v/>
      </c>
      <c r="F255" s="7">
        <f>Aylik_Puantaj!BL257</f>
        <v/>
      </c>
    </row>
    <row r="256">
      <c r="A256" s="4" t="n">
        <v>255</v>
      </c>
      <c r="B256" s="5" t="inlineStr">
        <is>
          <t>99347757876</t>
        </is>
      </c>
      <c r="C256" s="29" t="inlineStr">
        <is>
          <t>MUHAMMED SAMİH SERHAN(SEMİH)</t>
        </is>
      </c>
      <c r="D256" s="7">
        <f>Aylik_Puantaj!L258</f>
        <v/>
      </c>
      <c r="E256" s="7">
        <f>Aylik_Puantaj!BJ258</f>
        <v/>
      </c>
      <c r="F256" s="7">
        <f>Aylik_Puantaj!BL258</f>
        <v/>
      </c>
    </row>
    <row r="257">
      <c r="A257" s="4" t="n">
        <v>256</v>
      </c>
      <c r="B257" s="5" t="inlineStr">
        <is>
          <t>23329391024</t>
        </is>
      </c>
      <c r="C257" s="29" t="inlineStr">
        <is>
          <t>MUKATDES KARAMANOĞLU</t>
        </is>
      </c>
      <c r="D257" s="7">
        <f>Aylik_Puantaj!L259</f>
        <v/>
      </c>
      <c r="E257" s="7">
        <f>Aylik_Puantaj!BJ259</f>
        <v/>
      </c>
      <c r="F257" s="7">
        <f>Aylik_Puantaj!BL259</f>
        <v/>
      </c>
    </row>
    <row r="258">
      <c r="A258" s="4" t="n">
        <v>257</v>
      </c>
      <c r="B258" s="5" t="inlineStr">
        <is>
          <t>15205679746</t>
        </is>
      </c>
      <c r="C258" s="29" t="inlineStr">
        <is>
          <t>MURAT YONSUL</t>
        </is>
      </c>
      <c r="D258" s="7">
        <f>Aylik_Puantaj!L260</f>
        <v/>
      </c>
      <c r="E258" s="7">
        <f>Aylik_Puantaj!BJ260</f>
        <v/>
      </c>
      <c r="F258" s="7">
        <f>Aylik_Puantaj!BL260</f>
        <v/>
      </c>
    </row>
    <row r="259">
      <c r="A259" s="4" t="n">
        <v>258</v>
      </c>
      <c r="B259" s="5" t="inlineStr"/>
      <c r="C259" s="29" t="inlineStr">
        <is>
          <t>MUSTAFA BAYSAN</t>
        </is>
      </c>
      <c r="D259" s="7">
        <f>Aylik_Puantaj!L261</f>
        <v/>
      </c>
      <c r="E259" s="7">
        <f>Aylik_Puantaj!BJ261</f>
        <v/>
      </c>
      <c r="F259" s="7">
        <f>Aylik_Puantaj!BL261</f>
        <v/>
      </c>
    </row>
    <row r="260">
      <c r="A260" s="4" t="n">
        <v>259</v>
      </c>
      <c r="B260" s="5" t="inlineStr">
        <is>
          <t>10324953142</t>
        </is>
      </c>
      <c r="C260" s="29" t="inlineStr">
        <is>
          <t>MUSTAFA KASACI</t>
        </is>
      </c>
      <c r="D260" s="7">
        <f>Aylik_Puantaj!L262</f>
        <v/>
      </c>
      <c r="E260" s="7">
        <f>Aylik_Puantaj!BJ262</f>
        <v/>
      </c>
      <c r="F260" s="7">
        <f>Aylik_Puantaj!BL262</f>
        <v/>
      </c>
    </row>
    <row r="261">
      <c r="A261" s="4" t="n">
        <v>260</v>
      </c>
      <c r="B261" s="5" t="inlineStr">
        <is>
          <t>25621221832</t>
        </is>
      </c>
      <c r="C261" s="29" t="inlineStr">
        <is>
          <t>MUSTAFA KAYA</t>
        </is>
      </c>
      <c r="D261" s="7">
        <f>Aylik_Puantaj!L263</f>
        <v/>
      </c>
      <c r="E261" s="7">
        <f>Aylik_Puantaj!BJ263</f>
        <v/>
      </c>
      <c r="F261" s="7">
        <f>Aylik_Puantaj!BL263</f>
        <v/>
      </c>
    </row>
    <row r="262">
      <c r="A262" s="4" t="n">
        <v>261</v>
      </c>
      <c r="B262" s="5" t="inlineStr"/>
      <c r="C262" s="29" t="inlineStr">
        <is>
          <t>MUSTAFA KURT</t>
        </is>
      </c>
      <c r="D262" s="7">
        <f>Aylik_Puantaj!L264</f>
        <v/>
      </c>
      <c r="E262" s="7">
        <f>Aylik_Puantaj!BJ264</f>
        <v/>
      </c>
      <c r="F262" s="7">
        <f>Aylik_Puantaj!BL264</f>
        <v/>
      </c>
    </row>
    <row r="263">
      <c r="A263" s="4" t="n">
        <v>262</v>
      </c>
      <c r="B263" s="5" t="inlineStr">
        <is>
          <t>21976553468</t>
        </is>
      </c>
      <c r="C263" s="29" t="inlineStr">
        <is>
          <t>MÜCAHİT ÇOLAK</t>
        </is>
      </c>
      <c r="D263" s="7">
        <f>Aylik_Puantaj!L265</f>
        <v/>
      </c>
      <c r="E263" s="7">
        <f>Aylik_Puantaj!BJ265</f>
        <v/>
      </c>
      <c r="F263" s="7">
        <f>Aylik_Puantaj!BL265</f>
        <v/>
      </c>
    </row>
    <row r="264">
      <c r="A264" s="4" t="n">
        <v>263</v>
      </c>
      <c r="B264" s="5" t="inlineStr">
        <is>
          <t>13216853414</t>
        </is>
      </c>
      <c r="C264" s="29" t="inlineStr">
        <is>
          <t>MÜMİN BUĞA</t>
        </is>
      </c>
      <c r="D264" s="7">
        <f>Aylik_Puantaj!L266</f>
        <v/>
      </c>
      <c r="E264" s="7">
        <f>Aylik_Puantaj!BJ266</f>
        <v/>
      </c>
      <c r="F264" s="7">
        <f>Aylik_Puantaj!BL266</f>
        <v/>
      </c>
    </row>
    <row r="265">
      <c r="A265" s="4" t="n">
        <v>264</v>
      </c>
      <c r="B265" s="5" t="inlineStr">
        <is>
          <t>11896898268</t>
        </is>
      </c>
      <c r="C265" s="29" t="inlineStr">
        <is>
          <t>MÜNÜR TÜRKÇÜ</t>
        </is>
      </c>
      <c r="D265" s="7">
        <f>Aylik_Puantaj!L267</f>
        <v/>
      </c>
      <c r="E265" s="7">
        <f>Aylik_Puantaj!BJ267</f>
        <v/>
      </c>
      <c r="F265" s="7">
        <f>Aylik_Puantaj!BL267</f>
        <v/>
      </c>
    </row>
    <row r="266">
      <c r="A266" s="4" t="n">
        <v>265</v>
      </c>
      <c r="B266" s="5" t="inlineStr">
        <is>
          <t>31195265912</t>
        </is>
      </c>
      <c r="C266" s="29" t="inlineStr">
        <is>
          <t>MÜRVET ÇAKAN</t>
        </is>
      </c>
      <c r="D266" s="7">
        <f>Aylik_Puantaj!L268</f>
        <v/>
      </c>
      <c r="E266" s="7">
        <f>Aylik_Puantaj!BJ268</f>
        <v/>
      </c>
      <c r="F266" s="7">
        <f>Aylik_Puantaj!BL268</f>
        <v/>
      </c>
    </row>
    <row r="267">
      <c r="A267" s="4" t="n">
        <v>266</v>
      </c>
      <c r="B267" s="5" t="inlineStr">
        <is>
          <t>23539402008</t>
        </is>
      </c>
      <c r="C267" s="29" t="inlineStr">
        <is>
          <t>MÜRVET ŞAFAK</t>
        </is>
      </c>
      <c r="D267" s="7">
        <f>Aylik_Puantaj!L269</f>
        <v/>
      </c>
      <c r="E267" s="7">
        <f>Aylik_Puantaj!BJ269</f>
        <v/>
      </c>
      <c r="F267" s="7">
        <f>Aylik_Puantaj!BL269</f>
        <v/>
      </c>
    </row>
    <row r="268">
      <c r="A268" s="4" t="n">
        <v>267</v>
      </c>
      <c r="B268" s="5" t="inlineStr">
        <is>
          <t>19129307822</t>
        </is>
      </c>
      <c r="C268" s="29" t="inlineStr">
        <is>
          <t>MÜNEVVER AKYILDIRIM</t>
        </is>
      </c>
      <c r="D268" s="7">
        <f>Aylik_Puantaj!L270</f>
        <v/>
      </c>
      <c r="E268" s="7">
        <f>Aylik_Puantaj!BJ270</f>
        <v/>
      </c>
      <c r="F268" s="7">
        <f>Aylik_Puantaj!BL270</f>
        <v/>
      </c>
    </row>
    <row r="269">
      <c r="A269" s="4" t="n">
        <v>268</v>
      </c>
      <c r="B269" s="5" t="inlineStr">
        <is>
          <t>33124024560</t>
        </is>
      </c>
      <c r="C269" s="29" t="inlineStr">
        <is>
          <t>MÜZEYYEN ERDİNÇ</t>
        </is>
      </c>
      <c r="D269" s="7">
        <f>Aylik_Puantaj!L271</f>
        <v/>
      </c>
      <c r="E269" s="7">
        <f>Aylik_Puantaj!BJ271</f>
        <v/>
      </c>
      <c r="F269" s="7">
        <f>Aylik_Puantaj!BL271</f>
        <v/>
      </c>
    </row>
    <row r="270">
      <c r="A270" s="4" t="n">
        <v>269</v>
      </c>
      <c r="B270" s="5" t="inlineStr">
        <is>
          <t>10060801714</t>
        </is>
      </c>
      <c r="C270" s="29" t="inlineStr">
        <is>
          <t>NACİ YAŞAR</t>
        </is>
      </c>
      <c r="D270" s="7">
        <f>Aylik_Puantaj!L272</f>
        <v/>
      </c>
      <c r="E270" s="7">
        <f>Aylik_Puantaj!BJ272</f>
        <v/>
      </c>
      <c r="F270" s="7">
        <f>Aylik_Puantaj!BL272</f>
        <v/>
      </c>
    </row>
    <row r="271">
      <c r="A271" s="4" t="n">
        <v>270</v>
      </c>
      <c r="B271" s="5" t="inlineStr">
        <is>
          <t>12556753194</t>
        </is>
      </c>
      <c r="C271" s="29" t="inlineStr">
        <is>
          <t>NACİYE KARABULUT</t>
        </is>
      </c>
      <c r="D271" s="7">
        <f>Aylik_Puantaj!L273</f>
        <v/>
      </c>
      <c r="E271" s="7">
        <f>Aylik_Puantaj!BJ273</f>
        <v/>
      </c>
      <c r="F271" s="7">
        <f>Aylik_Puantaj!BL273</f>
        <v/>
      </c>
    </row>
    <row r="272">
      <c r="A272" s="4" t="n">
        <v>271</v>
      </c>
      <c r="B272" s="5" t="inlineStr">
        <is>
          <t>28510235804</t>
        </is>
      </c>
      <c r="C272" s="29" t="inlineStr">
        <is>
          <t>NAİL AKSOY</t>
        </is>
      </c>
      <c r="D272" s="7">
        <f>Aylik_Puantaj!L274</f>
        <v/>
      </c>
      <c r="E272" s="7">
        <f>Aylik_Puantaj!BJ274</f>
        <v/>
      </c>
      <c r="F272" s="7">
        <f>Aylik_Puantaj!BL274</f>
        <v/>
      </c>
    </row>
    <row r="273">
      <c r="A273" s="4" t="n">
        <v>272</v>
      </c>
      <c r="B273" s="5" t="inlineStr">
        <is>
          <t>10762592620</t>
        </is>
      </c>
      <c r="C273" s="29" t="inlineStr">
        <is>
          <t>ÜNALAN BATIBEY</t>
        </is>
      </c>
      <c r="D273" s="7">
        <f>Aylik_Puantaj!L275</f>
        <v/>
      </c>
      <c r="E273" s="7">
        <f>Aylik_Puantaj!BJ275</f>
        <v/>
      </c>
      <c r="F273" s="7">
        <f>Aylik_Puantaj!BL275</f>
        <v/>
      </c>
    </row>
    <row r="274">
      <c r="A274" s="4" t="n">
        <v>273</v>
      </c>
      <c r="B274" s="5" t="inlineStr">
        <is>
          <t>16324748870</t>
        </is>
      </c>
      <c r="C274" s="29" t="inlineStr">
        <is>
          <t>NAZMİYE ÇELİK</t>
        </is>
      </c>
      <c r="D274" s="7">
        <f>Aylik_Puantaj!L276</f>
        <v/>
      </c>
      <c r="E274" s="7">
        <f>Aylik_Puantaj!BJ276</f>
        <v/>
      </c>
      <c r="F274" s="7">
        <f>Aylik_Puantaj!BL276</f>
        <v/>
      </c>
    </row>
    <row r="275">
      <c r="A275" s="4" t="n">
        <v>274</v>
      </c>
      <c r="B275" s="5" t="inlineStr">
        <is>
          <t>54874132756</t>
        </is>
      </c>
      <c r="C275" s="29" t="inlineStr">
        <is>
          <t>NECİFE BAĞ</t>
        </is>
      </c>
      <c r="D275" s="7">
        <f>Aylik_Puantaj!L277</f>
        <v/>
      </c>
      <c r="E275" s="7">
        <f>Aylik_Puantaj!BJ277</f>
        <v/>
      </c>
      <c r="F275" s="7">
        <f>Aylik_Puantaj!BL277</f>
        <v/>
      </c>
    </row>
    <row r="276">
      <c r="A276" s="4" t="n">
        <v>275</v>
      </c>
      <c r="B276" s="5" t="inlineStr">
        <is>
          <t>38710924712</t>
        </is>
      </c>
      <c r="C276" s="29" t="inlineStr">
        <is>
          <t>NECLA ABİ</t>
        </is>
      </c>
      <c r="D276" s="7">
        <f>Aylik_Puantaj!L278</f>
        <v/>
      </c>
      <c r="E276" s="7">
        <f>Aylik_Puantaj!BJ278</f>
        <v/>
      </c>
      <c r="F276" s="7">
        <f>Aylik_Puantaj!BL278</f>
        <v/>
      </c>
    </row>
    <row r="277">
      <c r="A277" s="4" t="n">
        <v>276</v>
      </c>
      <c r="B277" s="5" t="inlineStr">
        <is>
          <t>24031385950</t>
        </is>
      </c>
      <c r="C277" s="29" t="inlineStr">
        <is>
          <t>NECMİ SEVER</t>
        </is>
      </c>
      <c r="D277" s="7">
        <f>Aylik_Puantaj!L279</f>
        <v/>
      </c>
      <c r="E277" s="7">
        <f>Aylik_Puantaj!BJ279</f>
        <v/>
      </c>
      <c r="F277" s="7">
        <f>Aylik_Puantaj!BL279</f>
        <v/>
      </c>
    </row>
    <row r="278">
      <c r="A278" s="4" t="n">
        <v>277</v>
      </c>
      <c r="B278" s="5" t="inlineStr">
        <is>
          <t>21991561554</t>
        </is>
      </c>
      <c r="C278" s="29" t="inlineStr">
        <is>
          <t>NECMİYE ÜÜLKER</t>
        </is>
      </c>
      <c r="D278" s="7">
        <f>Aylik_Puantaj!L280</f>
        <v/>
      </c>
      <c r="E278" s="7">
        <f>Aylik_Puantaj!BJ280</f>
        <v/>
      </c>
      <c r="F278" s="7">
        <f>Aylik_Puantaj!BL280</f>
        <v/>
      </c>
    </row>
    <row r="279">
      <c r="A279" s="4" t="n">
        <v>278</v>
      </c>
      <c r="B279" s="5" t="inlineStr">
        <is>
          <t>15842906410</t>
        </is>
      </c>
      <c r="C279" s="29" t="inlineStr">
        <is>
          <t>NERMİN BİÇER</t>
        </is>
      </c>
      <c r="D279" s="7">
        <f>Aylik_Puantaj!L281</f>
        <v/>
      </c>
      <c r="E279" s="7">
        <f>Aylik_Puantaj!BJ281</f>
        <v/>
      </c>
      <c r="F279" s="7">
        <f>Aylik_Puantaj!BL281</f>
        <v/>
      </c>
    </row>
    <row r="280">
      <c r="A280" s="4" t="n">
        <v>279</v>
      </c>
      <c r="B280" s="5" t="inlineStr">
        <is>
          <t>14452686422</t>
        </is>
      </c>
      <c r="C280" s="29" t="inlineStr">
        <is>
          <t>NESRİN GÜZEL</t>
        </is>
      </c>
      <c r="D280" s="7">
        <f>Aylik_Puantaj!L282</f>
        <v/>
      </c>
      <c r="E280" s="7">
        <f>Aylik_Puantaj!BJ282</f>
        <v/>
      </c>
      <c r="F280" s="7">
        <f>Aylik_Puantaj!BL282</f>
        <v/>
      </c>
    </row>
    <row r="281">
      <c r="A281" s="4" t="n">
        <v>280</v>
      </c>
      <c r="B281" s="5" t="inlineStr">
        <is>
          <t>14296809650</t>
        </is>
      </c>
      <c r="C281" s="29" t="inlineStr">
        <is>
          <t>NESRİN KAR</t>
        </is>
      </c>
      <c r="D281" s="7">
        <f>Aylik_Puantaj!L283</f>
        <v/>
      </c>
      <c r="E281" s="7">
        <f>Aylik_Puantaj!BJ283</f>
        <v/>
      </c>
      <c r="F281" s="7">
        <f>Aylik_Puantaj!BL283</f>
        <v/>
      </c>
    </row>
    <row r="282">
      <c r="A282" s="4" t="n">
        <v>281</v>
      </c>
      <c r="B282" s="5" t="inlineStr">
        <is>
          <t>20950594688</t>
        </is>
      </c>
      <c r="C282" s="29" t="inlineStr">
        <is>
          <t>NEŞE BAŞAR</t>
        </is>
      </c>
      <c r="D282" s="7">
        <f>Aylik_Puantaj!L284</f>
        <v/>
      </c>
      <c r="E282" s="7">
        <f>Aylik_Puantaj!BJ284</f>
        <v/>
      </c>
      <c r="F282" s="7">
        <f>Aylik_Puantaj!BL284</f>
        <v/>
      </c>
    </row>
    <row r="283">
      <c r="A283" s="4" t="n">
        <v>282</v>
      </c>
      <c r="B283" s="5" t="inlineStr">
        <is>
          <t>28693874692</t>
        </is>
      </c>
      <c r="C283" s="29" t="inlineStr">
        <is>
          <t>NEŞVET ALKAN</t>
        </is>
      </c>
      <c r="D283" s="7">
        <f>Aylik_Puantaj!L285</f>
        <v/>
      </c>
      <c r="E283" s="7">
        <f>Aylik_Puantaj!BJ285</f>
        <v/>
      </c>
      <c r="F283" s="7">
        <f>Aylik_Puantaj!BL285</f>
        <v/>
      </c>
    </row>
    <row r="284">
      <c r="A284" s="4" t="n">
        <v>283</v>
      </c>
      <c r="B284" s="5" t="inlineStr">
        <is>
          <t>10891931710</t>
        </is>
      </c>
      <c r="C284" s="29" t="inlineStr">
        <is>
          <t>NUR BAŞAR</t>
        </is>
      </c>
      <c r="D284" s="7">
        <f>Aylik_Puantaj!L286</f>
        <v/>
      </c>
      <c r="E284" s="7">
        <f>Aylik_Puantaj!BJ286</f>
        <v/>
      </c>
      <c r="F284" s="7">
        <f>Aylik_Puantaj!BL286</f>
        <v/>
      </c>
    </row>
    <row r="285">
      <c r="A285" s="4" t="n">
        <v>284</v>
      </c>
      <c r="B285" s="5" t="inlineStr">
        <is>
          <t>17902565544</t>
        </is>
      </c>
      <c r="C285" s="29" t="inlineStr">
        <is>
          <t>NURAY AVCI</t>
        </is>
      </c>
      <c r="D285" s="7">
        <f>Aylik_Puantaj!L287</f>
        <v/>
      </c>
      <c r="E285" s="7">
        <f>Aylik_Puantaj!BJ287</f>
        <v/>
      </c>
      <c r="F285" s="7">
        <f>Aylik_Puantaj!BL287</f>
        <v/>
      </c>
    </row>
    <row r="286">
      <c r="A286" s="4" t="n">
        <v>285</v>
      </c>
      <c r="B286" s="5" t="inlineStr">
        <is>
          <t>25970637896</t>
        </is>
      </c>
      <c r="C286" s="29" t="inlineStr">
        <is>
          <t>NURAY ELİSÇIKIŞ</t>
        </is>
      </c>
      <c r="D286" s="7">
        <f>Aylik_Puantaj!L288</f>
        <v/>
      </c>
      <c r="E286" s="7">
        <f>Aylik_Puantaj!BJ288</f>
        <v/>
      </c>
      <c r="F286" s="7">
        <f>Aylik_Puantaj!BL288</f>
        <v/>
      </c>
    </row>
    <row r="287">
      <c r="A287" s="4" t="n">
        <v>286</v>
      </c>
      <c r="B287" s="5" t="inlineStr">
        <is>
          <t>38449011448</t>
        </is>
      </c>
      <c r="C287" s="29" t="inlineStr">
        <is>
          <t>NURAY LAÇİN</t>
        </is>
      </c>
      <c r="D287" s="7">
        <f>Aylik_Puantaj!L289</f>
        <v/>
      </c>
      <c r="E287" s="7">
        <f>Aylik_Puantaj!BJ289</f>
        <v/>
      </c>
      <c r="F287" s="7">
        <f>Aylik_Puantaj!BL289</f>
        <v/>
      </c>
    </row>
    <row r="288">
      <c r="A288" s="4" t="n">
        <v>287</v>
      </c>
      <c r="B288" s="5" t="inlineStr">
        <is>
          <t>21478446602</t>
        </is>
      </c>
      <c r="C288" s="29" t="inlineStr">
        <is>
          <t>NURCAN EREN</t>
        </is>
      </c>
      <c r="D288" s="7">
        <f>Aylik_Puantaj!L290</f>
        <v/>
      </c>
      <c r="E288" s="7">
        <f>Aylik_Puantaj!BJ290</f>
        <v/>
      </c>
      <c r="F288" s="7">
        <f>Aylik_Puantaj!BL290</f>
        <v/>
      </c>
    </row>
    <row r="289">
      <c r="A289" s="4" t="n">
        <v>288</v>
      </c>
      <c r="B289" s="5" t="inlineStr"/>
      <c r="C289" s="29" t="inlineStr">
        <is>
          <t>NURCAN GARGALIOĞLU</t>
        </is>
      </c>
      <c r="D289" s="7">
        <f>Aylik_Puantaj!L291</f>
        <v/>
      </c>
      <c r="E289" s="7">
        <f>Aylik_Puantaj!BJ291</f>
        <v/>
      </c>
      <c r="F289" s="7">
        <f>Aylik_Puantaj!BL291</f>
        <v/>
      </c>
    </row>
    <row r="290">
      <c r="A290" s="4" t="n">
        <v>289</v>
      </c>
      <c r="B290" s="5" t="inlineStr">
        <is>
          <t>15736612786</t>
        </is>
      </c>
      <c r="C290" s="29" t="inlineStr">
        <is>
          <t>NURGÜL ADIGÜL</t>
        </is>
      </c>
      <c r="D290" s="7">
        <f>Aylik_Puantaj!L292</f>
        <v/>
      </c>
      <c r="E290" s="7">
        <f>Aylik_Puantaj!BJ292</f>
        <v/>
      </c>
      <c r="F290" s="7">
        <f>Aylik_Puantaj!BL292</f>
        <v/>
      </c>
    </row>
    <row r="291">
      <c r="A291" s="4" t="n">
        <v>290</v>
      </c>
      <c r="B291" s="5" t="inlineStr">
        <is>
          <t>13318692676</t>
        </is>
      </c>
      <c r="C291" s="29" t="inlineStr">
        <is>
          <t>NURGÜL PARLAS</t>
        </is>
      </c>
      <c r="D291" s="7">
        <f>Aylik_Puantaj!L293</f>
        <v/>
      </c>
      <c r="E291" s="7">
        <f>Aylik_Puantaj!BJ293</f>
        <v/>
      </c>
      <c r="F291" s="7">
        <f>Aylik_Puantaj!BL293</f>
        <v/>
      </c>
    </row>
    <row r="292">
      <c r="A292" s="4" t="n">
        <v>291</v>
      </c>
      <c r="B292" s="5" t="inlineStr">
        <is>
          <t>27013044708</t>
        </is>
      </c>
      <c r="C292" s="29" t="inlineStr">
        <is>
          <t>NURGÜL SARI</t>
        </is>
      </c>
      <c r="D292" s="7">
        <f>Aylik_Puantaj!L294</f>
        <v/>
      </c>
      <c r="E292" s="7">
        <f>Aylik_Puantaj!BJ294</f>
        <v/>
      </c>
      <c r="F292" s="7">
        <f>Aylik_Puantaj!BL294</f>
        <v/>
      </c>
    </row>
    <row r="293">
      <c r="A293" s="4" t="n">
        <v>292</v>
      </c>
      <c r="B293" s="5" t="inlineStr">
        <is>
          <t>13420739290</t>
        </is>
      </c>
      <c r="C293" s="29" t="inlineStr">
        <is>
          <t>NURİ GÜLSER</t>
        </is>
      </c>
      <c r="D293" s="7">
        <f>Aylik_Puantaj!L295</f>
        <v/>
      </c>
      <c r="E293" s="7">
        <f>Aylik_Puantaj!BJ295</f>
        <v/>
      </c>
      <c r="F293" s="7">
        <f>Aylik_Puantaj!BL295</f>
        <v/>
      </c>
    </row>
    <row r="294">
      <c r="A294" s="4" t="n">
        <v>293</v>
      </c>
      <c r="B294" s="5" t="inlineStr">
        <is>
          <t>52996654668</t>
        </is>
      </c>
      <c r="C294" s="29" t="inlineStr">
        <is>
          <t>NURİYE AKKUŞ</t>
        </is>
      </c>
      <c r="D294" s="7">
        <f>Aylik_Puantaj!L296</f>
        <v/>
      </c>
      <c r="E294" s="7">
        <f>Aylik_Puantaj!BJ296</f>
        <v/>
      </c>
      <c r="F294" s="7">
        <f>Aylik_Puantaj!BL296</f>
        <v/>
      </c>
    </row>
    <row r="295">
      <c r="A295" s="4" t="n">
        <v>294</v>
      </c>
      <c r="B295" s="5" t="inlineStr">
        <is>
          <t>46210702518</t>
        </is>
      </c>
      <c r="C295" s="29" t="inlineStr">
        <is>
          <t>NURİYE DERMENCİOĞLU</t>
        </is>
      </c>
      <c r="D295" s="7">
        <f>Aylik_Puantaj!L297</f>
        <v/>
      </c>
      <c r="E295" s="7">
        <f>Aylik_Puantaj!BJ297</f>
        <v/>
      </c>
      <c r="F295" s="7">
        <f>Aylik_Puantaj!BL297</f>
        <v/>
      </c>
    </row>
    <row r="296">
      <c r="A296" s="4" t="n">
        <v>295</v>
      </c>
      <c r="B296" s="5" t="inlineStr">
        <is>
          <t>31915073032</t>
        </is>
      </c>
      <c r="C296" s="29" t="inlineStr">
        <is>
          <t>NURİYE TEMREN</t>
        </is>
      </c>
      <c r="D296" s="7">
        <f>Aylik_Puantaj!L298</f>
        <v/>
      </c>
      <c r="E296" s="7">
        <f>Aylik_Puantaj!BJ298</f>
        <v/>
      </c>
      <c r="F296" s="7">
        <f>Aylik_Puantaj!BL298</f>
        <v/>
      </c>
    </row>
    <row r="297">
      <c r="A297" s="4" t="n">
        <v>296</v>
      </c>
      <c r="B297" s="5" t="inlineStr">
        <is>
          <t>14865003748</t>
        </is>
      </c>
      <c r="C297" s="29" t="inlineStr">
        <is>
          <t>NURTEN ARİZ</t>
        </is>
      </c>
      <c r="D297" s="7">
        <f>Aylik_Puantaj!L299</f>
        <v/>
      </c>
      <c r="E297" s="7">
        <f>Aylik_Puantaj!BJ299</f>
        <v/>
      </c>
      <c r="F297" s="7">
        <f>Aylik_Puantaj!BL299</f>
        <v/>
      </c>
    </row>
    <row r="298">
      <c r="A298" s="4" t="n">
        <v>297</v>
      </c>
      <c r="B298" s="5" t="inlineStr">
        <is>
          <t>22186447318</t>
        </is>
      </c>
      <c r="C298" s="29" t="inlineStr">
        <is>
          <t>NURTEN CAN</t>
        </is>
      </c>
      <c r="D298" s="7">
        <f>Aylik_Puantaj!L300</f>
        <v/>
      </c>
      <c r="E298" s="7">
        <f>Aylik_Puantaj!BJ300</f>
        <v/>
      </c>
      <c r="F298" s="7">
        <f>Aylik_Puantaj!BL300</f>
        <v/>
      </c>
    </row>
    <row r="299">
      <c r="A299" s="4" t="n">
        <v>298</v>
      </c>
      <c r="B299" s="5" t="inlineStr">
        <is>
          <t>27289383990</t>
        </is>
      </c>
      <c r="C299" s="29" t="inlineStr">
        <is>
          <t>NURTEN ERDEM</t>
        </is>
      </c>
      <c r="D299" s="7">
        <f>Aylik_Puantaj!L301</f>
        <v/>
      </c>
      <c r="E299" s="7">
        <f>Aylik_Puantaj!BJ301</f>
        <v/>
      </c>
      <c r="F299" s="7">
        <f>Aylik_Puantaj!BL301</f>
        <v/>
      </c>
    </row>
    <row r="300">
      <c r="A300" s="4" t="n">
        <v>299</v>
      </c>
      <c r="B300" s="5" t="inlineStr">
        <is>
          <t>25750383418</t>
        </is>
      </c>
      <c r="C300" s="29" t="inlineStr">
        <is>
          <t>OĞUZHAN ÜNVER</t>
        </is>
      </c>
      <c r="D300" s="7">
        <f>Aylik_Puantaj!L302</f>
        <v/>
      </c>
      <c r="E300" s="7">
        <f>Aylik_Puantaj!BJ302</f>
        <v/>
      </c>
      <c r="F300" s="7">
        <f>Aylik_Puantaj!BL302</f>
        <v/>
      </c>
    </row>
    <row r="301">
      <c r="A301" s="4" t="n">
        <v>300</v>
      </c>
      <c r="B301" s="5" t="inlineStr">
        <is>
          <t>11386906688</t>
        </is>
      </c>
      <c r="C301" s="29" t="inlineStr">
        <is>
          <t>OKTAY MUT</t>
        </is>
      </c>
      <c r="D301" s="7">
        <f>Aylik_Puantaj!L303</f>
        <v/>
      </c>
      <c r="E301" s="7">
        <f>Aylik_Puantaj!BJ303</f>
        <v/>
      </c>
      <c r="F301" s="7">
        <f>Aylik_Puantaj!BL303</f>
        <v/>
      </c>
    </row>
    <row r="302">
      <c r="A302" s="4" t="n">
        <v>301</v>
      </c>
      <c r="B302" s="5" t="inlineStr"/>
      <c r="C302" s="29" t="inlineStr">
        <is>
          <t>OSMAN GÖNÜL</t>
        </is>
      </c>
      <c r="D302" s="7">
        <f>Aylik_Puantaj!L304</f>
        <v/>
      </c>
      <c r="E302" s="7">
        <f>Aylik_Puantaj!BJ304</f>
        <v/>
      </c>
      <c r="F302" s="7">
        <f>Aylik_Puantaj!BL304</f>
        <v/>
      </c>
    </row>
    <row r="303">
      <c r="A303" s="4" t="n">
        <v>302</v>
      </c>
      <c r="B303" s="5" t="inlineStr">
        <is>
          <t>13189854302</t>
        </is>
      </c>
      <c r="C303" s="29" t="inlineStr">
        <is>
          <t>OZAN BUĞA</t>
        </is>
      </c>
      <c r="D303" s="7">
        <f>Aylik_Puantaj!L305</f>
        <v/>
      </c>
      <c r="E303" s="7">
        <f>Aylik_Puantaj!BJ305</f>
        <v/>
      </c>
      <c r="F303" s="7">
        <f>Aylik_Puantaj!BL305</f>
        <v/>
      </c>
    </row>
    <row r="304">
      <c r="A304" s="4" t="n">
        <v>303</v>
      </c>
      <c r="B304" s="5" t="inlineStr">
        <is>
          <t>10183850040</t>
        </is>
      </c>
      <c r="C304" s="29" t="inlineStr">
        <is>
          <t>ÖMER DURMUŞ</t>
        </is>
      </c>
      <c r="D304" s="7">
        <f>Aylik_Puantaj!L306</f>
        <v/>
      </c>
      <c r="E304" s="7">
        <f>Aylik_Puantaj!BJ306</f>
        <v/>
      </c>
      <c r="F304" s="7">
        <f>Aylik_Puantaj!BL306</f>
        <v/>
      </c>
    </row>
    <row r="305">
      <c r="A305" s="4" t="n">
        <v>304</v>
      </c>
      <c r="B305" s="5" t="inlineStr">
        <is>
          <t>18670663692</t>
        </is>
      </c>
      <c r="C305" s="29" t="inlineStr">
        <is>
          <t>ÖMÜR MERCAN</t>
        </is>
      </c>
      <c r="D305" s="7">
        <f>Aylik_Puantaj!L307</f>
        <v/>
      </c>
      <c r="E305" s="7">
        <f>Aylik_Puantaj!BJ307</f>
        <v/>
      </c>
      <c r="F305" s="7">
        <f>Aylik_Puantaj!BL307</f>
        <v/>
      </c>
    </row>
    <row r="306">
      <c r="A306" s="4" t="n">
        <v>305</v>
      </c>
      <c r="B306" s="5" t="inlineStr">
        <is>
          <t>33037193346</t>
        </is>
      </c>
      <c r="C306" s="29" t="inlineStr">
        <is>
          <t>ÖMÜR SEPETÇİ</t>
        </is>
      </c>
      <c r="D306" s="7">
        <f>Aylik_Puantaj!L308</f>
        <v/>
      </c>
      <c r="E306" s="7">
        <f>Aylik_Puantaj!BJ308</f>
        <v/>
      </c>
      <c r="F306" s="7">
        <f>Aylik_Puantaj!BL308</f>
        <v/>
      </c>
    </row>
    <row r="307">
      <c r="A307" s="4" t="n">
        <v>306</v>
      </c>
      <c r="B307" s="5" t="inlineStr">
        <is>
          <t>27235386938</t>
        </is>
      </c>
      <c r="C307" s="29" t="inlineStr">
        <is>
          <t>ÖMÜRLÜ FERİK</t>
        </is>
      </c>
      <c r="D307" s="7">
        <f>Aylik_Puantaj!L309</f>
        <v/>
      </c>
      <c r="E307" s="7">
        <f>Aylik_Puantaj!BJ309</f>
        <v/>
      </c>
      <c r="F307" s="7">
        <f>Aylik_Puantaj!BL309</f>
        <v/>
      </c>
    </row>
    <row r="308">
      <c r="A308" s="4" t="n">
        <v>307</v>
      </c>
      <c r="B308" s="5" t="inlineStr">
        <is>
          <t>16826938946</t>
        </is>
      </c>
      <c r="C308" s="29" t="inlineStr">
        <is>
          <t>ÖZNUR KÜLTER</t>
        </is>
      </c>
      <c r="D308" s="7">
        <f>Aylik_Puantaj!L310</f>
        <v/>
      </c>
      <c r="E308" s="7">
        <f>Aylik_Puantaj!BJ310</f>
        <v/>
      </c>
      <c r="F308" s="7">
        <f>Aylik_Puantaj!BL310</f>
        <v/>
      </c>
    </row>
    <row r="309">
      <c r="A309" s="4" t="n">
        <v>308</v>
      </c>
      <c r="B309" s="5" t="inlineStr"/>
      <c r="C309" s="29" t="inlineStr">
        <is>
          <t>ÖZLEM BİLGİÇ</t>
        </is>
      </c>
      <c r="D309" s="7">
        <f>Aylik_Puantaj!L311</f>
        <v/>
      </c>
      <c r="E309" s="7">
        <f>Aylik_Puantaj!BJ311</f>
        <v/>
      </c>
      <c r="F309" s="7">
        <f>Aylik_Puantaj!BL311</f>
        <v/>
      </c>
    </row>
    <row r="310">
      <c r="A310" s="4" t="n">
        <v>309</v>
      </c>
      <c r="B310" s="5" t="inlineStr">
        <is>
          <t>67618165842</t>
        </is>
      </c>
      <c r="C310" s="29" t="inlineStr">
        <is>
          <t>PINAR KÜÇÜK</t>
        </is>
      </c>
      <c r="D310" s="7">
        <f>Aylik_Puantaj!L312</f>
        <v/>
      </c>
      <c r="E310" s="7">
        <f>Aylik_Puantaj!BJ312</f>
        <v/>
      </c>
      <c r="F310" s="7">
        <f>Aylik_Puantaj!BL312</f>
        <v/>
      </c>
    </row>
    <row r="311">
      <c r="A311" s="4" t="n">
        <v>310</v>
      </c>
      <c r="B311" s="5" t="inlineStr"/>
      <c r="C311" s="29" t="inlineStr">
        <is>
          <t>PELİNSU PEÇENEK</t>
        </is>
      </c>
      <c r="D311" s="7">
        <f>Aylik_Puantaj!L313</f>
        <v/>
      </c>
      <c r="E311" s="7">
        <f>Aylik_Puantaj!BJ313</f>
        <v/>
      </c>
      <c r="F311" s="7">
        <f>Aylik_Puantaj!BL313</f>
        <v/>
      </c>
    </row>
    <row r="312">
      <c r="A312" s="4" t="n">
        <v>311</v>
      </c>
      <c r="B312" s="5" t="inlineStr"/>
      <c r="C312" s="29" t="inlineStr">
        <is>
          <t>PERİHAN KOZAK</t>
        </is>
      </c>
      <c r="D312" s="7">
        <f>Aylik_Puantaj!L314</f>
        <v/>
      </c>
      <c r="E312" s="7">
        <f>Aylik_Puantaj!BJ314</f>
        <v/>
      </c>
      <c r="F312" s="7">
        <f>Aylik_Puantaj!BL314</f>
        <v/>
      </c>
    </row>
    <row r="313">
      <c r="A313" s="4" t="n">
        <v>312</v>
      </c>
      <c r="B313" s="5" t="inlineStr"/>
      <c r="C313" s="29" t="inlineStr">
        <is>
          <t>PERİHAN YAZAN</t>
        </is>
      </c>
      <c r="D313" s="7">
        <f>Aylik_Puantaj!L315</f>
        <v/>
      </c>
      <c r="E313" s="7">
        <f>Aylik_Puantaj!BJ315</f>
        <v/>
      </c>
      <c r="F313" s="7">
        <f>Aylik_Puantaj!BL315</f>
        <v/>
      </c>
    </row>
    <row r="314">
      <c r="A314" s="4" t="n">
        <v>313</v>
      </c>
      <c r="B314" s="5" t="inlineStr"/>
      <c r="C314" s="29" t="inlineStr">
        <is>
          <t>PINAR UZER</t>
        </is>
      </c>
      <c r="D314" s="7">
        <f>Aylik_Puantaj!L316</f>
        <v/>
      </c>
      <c r="E314" s="7">
        <f>Aylik_Puantaj!BJ316</f>
        <v/>
      </c>
      <c r="F314" s="7">
        <f>Aylik_Puantaj!BL316</f>
        <v/>
      </c>
    </row>
    <row r="315">
      <c r="A315" s="4" t="n">
        <v>314</v>
      </c>
      <c r="B315" s="5" t="inlineStr">
        <is>
          <t>29677146866</t>
        </is>
      </c>
      <c r="C315" s="29" t="inlineStr">
        <is>
          <t>RABİYE ÇENECİOĞLU</t>
        </is>
      </c>
      <c r="D315" s="7">
        <f>Aylik_Puantaj!L317</f>
        <v/>
      </c>
      <c r="E315" s="7">
        <f>Aylik_Puantaj!BJ317</f>
        <v/>
      </c>
      <c r="F315" s="7">
        <f>Aylik_Puantaj!BL317</f>
        <v/>
      </c>
    </row>
    <row r="316">
      <c r="A316" s="4" t="n">
        <v>315</v>
      </c>
      <c r="B316" s="5" t="inlineStr">
        <is>
          <t>29359208356</t>
        </is>
      </c>
      <c r="C316" s="29" t="inlineStr">
        <is>
          <t>RAMAZAN KÜÇÜKÇÇAKIR</t>
        </is>
      </c>
      <c r="D316" s="7">
        <f>Aylik_Puantaj!L318</f>
        <v/>
      </c>
      <c r="E316" s="7">
        <f>Aylik_Puantaj!BJ318</f>
        <v/>
      </c>
      <c r="F316" s="7">
        <f>Aylik_Puantaj!BL318</f>
        <v/>
      </c>
    </row>
    <row r="317">
      <c r="A317" s="4" t="n">
        <v>316</v>
      </c>
      <c r="B317" s="5" t="inlineStr">
        <is>
          <t>24022385860</t>
        </is>
      </c>
      <c r="C317" s="29" t="inlineStr">
        <is>
          <t>RECEP İÇÖZ</t>
        </is>
      </c>
      <c r="D317" s="7">
        <f>Aylik_Puantaj!L319</f>
        <v/>
      </c>
      <c r="E317" s="7">
        <f>Aylik_Puantaj!BJ319</f>
        <v/>
      </c>
      <c r="F317" s="7">
        <f>Aylik_Puantaj!BL319</f>
        <v/>
      </c>
    </row>
    <row r="318">
      <c r="A318" s="4" t="n">
        <v>317</v>
      </c>
      <c r="B318" s="5" t="inlineStr">
        <is>
          <t>58345081116</t>
        </is>
      </c>
      <c r="C318" s="29" t="inlineStr">
        <is>
          <t>REYHAN ÇELİK</t>
        </is>
      </c>
      <c r="D318" s="7">
        <f>Aylik_Puantaj!L320</f>
        <v/>
      </c>
      <c r="E318" s="7">
        <f>Aylik_Puantaj!BJ320</f>
        <v/>
      </c>
      <c r="F318" s="7">
        <f>Aylik_Puantaj!BL320</f>
        <v/>
      </c>
    </row>
    <row r="319">
      <c r="A319" s="4" t="n">
        <v>318</v>
      </c>
      <c r="B319" s="5" t="inlineStr">
        <is>
          <t>28108249688</t>
        </is>
      </c>
      <c r="C319" s="29" t="inlineStr">
        <is>
          <t>RIDVAN DEMİRDAK</t>
        </is>
      </c>
      <c r="D319" s="7">
        <f>Aylik_Puantaj!L321</f>
        <v/>
      </c>
      <c r="E319" s="7">
        <f>Aylik_Puantaj!BJ321</f>
        <v/>
      </c>
      <c r="F319" s="7">
        <f>Aylik_Puantaj!BL321</f>
        <v/>
      </c>
    </row>
    <row r="320">
      <c r="A320" s="4" t="n">
        <v>319</v>
      </c>
      <c r="B320" s="5" t="inlineStr">
        <is>
          <t>14170472208</t>
        </is>
      </c>
      <c r="C320" s="29" t="inlineStr">
        <is>
          <t>RESİME AKYILDIRIM</t>
        </is>
      </c>
      <c r="D320" s="7">
        <f>Aylik_Puantaj!L322</f>
        <v/>
      </c>
      <c r="E320" s="7">
        <f>Aylik_Puantaj!BJ322</f>
        <v/>
      </c>
      <c r="F320" s="7">
        <f>Aylik_Puantaj!BL322</f>
        <v/>
      </c>
    </row>
    <row r="321">
      <c r="A321" s="4" t="n">
        <v>320</v>
      </c>
      <c r="B321" s="5" t="inlineStr"/>
      <c r="C321" s="29" t="inlineStr">
        <is>
          <t>ROJDA DAĞ</t>
        </is>
      </c>
      <c r="D321" s="7">
        <f>Aylik_Puantaj!L323</f>
        <v/>
      </c>
      <c r="E321" s="7">
        <f>Aylik_Puantaj!BJ323</f>
        <v/>
      </c>
      <c r="F321" s="7">
        <f>Aylik_Puantaj!BL323</f>
        <v/>
      </c>
    </row>
    <row r="322">
      <c r="A322" s="4" t="n">
        <v>321</v>
      </c>
      <c r="B322" s="5" t="inlineStr">
        <is>
          <t>14191471570</t>
        </is>
      </c>
      <c r="C322" s="29" t="inlineStr">
        <is>
          <t>RUKİYE GÜNER</t>
        </is>
      </c>
      <c r="D322" s="7">
        <f>Aylik_Puantaj!L324</f>
        <v/>
      </c>
      <c r="E322" s="7">
        <f>Aylik_Puantaj!BJ324</f>
        <v/>
      </c>
      <c r="F322" s="7">
        <f>Aylik_Puantaj!BL324</f>
        <v/>
      </c>
    </row>
    <row r="323">
      <c r="A323" s="4" t="n">
        <v>322</v>
      </c>
      <c r="B323" s="5" t="inlineStr">
        <is>
          <t>16561742068</t>
        </is>
      </c>
      <c r="C323" s="29" t="inlineStr">
        <is>
          <t>RUKİYE UZUN</t>
        </is>
      </c>
      <c r="D323" s="7">
        <f>Aylik_Puantaj!L325</f>
        <v/>
      </c>
      <c r="E323" s="7">
        <f>Aylik_Puantaj!BJ325</f>
        <v/>
      </c>
      <c r="F323" s="7">
        <f>Aylik_Puantaj!BL325</f>
        <v/>
      </c>
    </row>
    <row r="324">
      <c r="A324" s="4" t="n">
        <v>323</v>
      </c>
      <c r="B324" s="5" t="inlineStr">
        <is>
          <t>17335367982</t>
        </is>
      </c>
      <c r="C324" s="29" t="inlineStr">
        <is>
          <t>SABİHA AKIN</t>
        </is>
      </c>
      <c r="D324" s="7">
        <f>Aylik_Puantaj!L326</f>
        <v/>
      </c>
      <c r="E324" s="7">
        <f>Aylik_Puantaj!BJ326</f>
        <v/>
      </c>
      <c r="F324" s="7">
        <f>Aylik_Puantaj!BL326</f>
        <v/>
      </c>
    </row>
    <row r="325">
      <c r="A325" s="4" t="n">
        <v>324</v>
      </c>
      <c r="B325" s="5" t="inlineStr">
        <is>
          <t>31027151864</t>
        </is>
      </c>
      <c r="C325" s="29" t="inlineStr">
        <is>
          <t>SABİHA GİRGİN</t>
        </is>
      </c>
      <c r="D325" s="7">
        <f>Aylik_Puantaj!L327</f>
        <v/>
      </c>
      <c r="E325" s="7">
        <f>Aylik_Puantaj!BJ327</f>
        <v/>
      </c>
      <c r="F325" s="7">
        <f>Aylik_Puantaj!BL327</f>
        <v/>
      </c>
    </row>
    <row r="326">
      <c r="A326" s="4" t="n">
        <v>325</v>
      </c>
      <c r="B326" s="5" t="inlineStr">
        <is>
          <t>34807027090</t>
        </is>
      </c>
      <c r="C326" s="29" t="inlineStr">
        <is>
          <t>SABRİ ACAR</t>
        </is>
      </c>
      <c r="D326" s="7">
        <f>Aylik_Puantaj!L328</f>
        <v/>
      </c>
      <c r="E326" s="7">
        <f>Aylik_Puantaj!BJ328</f>
        <v/>
      </c>
      <c r="F326" s="7">
        <f>Aylik_Puantaj!BL328</f>
        <v/>
      </c>
    </row>
    <row r="327">
      <c r="A327" s="4" t="n">
        <v>326</v>
      </c>
      <c r="B327" s="5" t="inlineStr"/>
      <c r="C327" s="29" t="inlineStr">
        <is>
          <t>SAADET YAŞAR</t>
        </is>
      </c>
      <c r="D327" s="7">
        <f>Aylik_Puantaj!L329</f>
        <v/>
      </c>
      <c r="E327" s="7">
        <f>Aylik_Puantaj!BJ329</f>
        <v/>
      </c>
      <c r="F327" s="7">
        <f>Aylik_Puantaj!BL329</f>
        <v/>
      </c>
    </row>
    <row r="328">
      <c r="A328" s="4" t="n">
        <v>327</v>
      </c>
      <c r="B328" s="5" t="inlineStr"/>
      <c r="C328" s="29" t="inlineStr">
        <is>
          <t>SAHRA TÜRKÇÜ</t>
        </is>
      </c>
      <c r="D328" s="7">
        <f>Aylik_Puantaj!L330</f>
        <v/>
      </c>
      <c r="E328" s="7">
        <f>Aylik_Puantaj!BJ330</f>
        <v/>
      </c>
      <c r="F328" s="7">
        <f>Aylik_Puantaj!BL330</f>
        <v/>
      </c>
    </row>
    <row r="329">
      <c r="A329" s="4" t="n">
        <v>328</v>
      </c>
      <c r="B329" s="5" t="inlineStr">
        <is>
          <t>16579732808</t>
        </is>
      </c>
      <c r="C329" s="29" t="inlineStr">
        <is>
          <t>SANİYE AKBAY</t>
        </is>
      </c>
      <c r="D329" s="7">
        <f>Aylik_Puantaj!L331</f>
        <v/>
      </c>
      <c r="E329" s="7">
        <f>Aylik_Puantaj!BJ331</f>
        <v/>
      </c>
      <c r="F329" s="7">
        <f>Aylik_Puantaj!BL331</f>
        <v/>
      </c>
    </row>
    <row r="330">
      <c r="A330" s="4" t="n">
        <v>329</v>
      </c>
      <c r="B330" s="5" t="inlineStr">
        <is>
          <t>33640164108</t>
        </is>
      </c>
      <c r="C330" s="29" t="inlineStr">
        <is>
          <t>SAMET YUMİTKAN</t>
        </is>
      </c>
      <c r="D330" s="7">
        <f>Aylik_Puantaj!L332</f>
        <v/>
      </c>
      <c r="E330" s="7">
        <f>Aylik_Puantaj!BJ332</f>
        <v/>
      </c>
      <c r="F330" s="7">
        <f>Aylik_Puantaj!BL332</f>
        <v/>
      </c>
    </row>
    <row r="331">
      <c r="A331" s="4" t="n">
        <v>330</v>
      </c>
      <c r="B331" s="5" t="inlineStr">
        <is>
          <t>30373124058</t>
        </is>
      </c>
      <c r="C331" s="29" t="inlineStr">
        <is>
          <t>SANİYE CEYLAN</t>
        </is>
      </c>
      <c r="D331" s="7">
        <f>Aylik_Puantaj!L333</f>
        <v/>
      </c>
      <c r="E331" s="7">
        <f>Aylik_Puantaj!BJ333</f>
        <v/>
      </c>
      <c r="F331" s="7">
        <f>Aylik_Puantaj!BL333</f>
        <v/>
      </c>
    </row>
    <row r="332">
      <c r="A332" s="4" t="n">
        <v>331</v>
      </c>
      <c r="B332" s="5" t="inlineStr">
        <is>
          <t>14164714154</t>
        </is>
      </c>
      <c r="C332" s="29" t="inlineStr">
        <is>
          <t>SARA EROĞLU</t>
        </is>
      </c>
      <c r="D332" s="7">
        <f>Aylik_Puantaj!L334</f>
        <v/>
      </c>
      <c r="E332" s="7">
        <f>Aylik_Puantaj!BJ334</f>
        <v/>
      </c>
      <c r="F332" s="7">
        <f>Aylik_Puantaj!BL334</f>
        <v/>
      </c>
    </row>
    <row r="333">
      <c r="A333" s="4" t="n">
        <v>332</v>
      </c>
      <c r="B333" s="5" t="inlineStr">
        <is>
          <t>18847656960</t>
        </is>
      </c>
      <c r="C333" s="29" t="inlineStr">
        <is>
          <t>SEÇİL ARIBOĞA</t>
        </is>
      </c>
      <c r="D333" s="7">
        <f>Aylik_Puantaj!L335</f>
        <v/>
      </c>
      <c r="E333" s="7">
        <f>Aylik_Puantaj!BJ335</f>
        <v/>
      </c>
      <c r="F333" s="7">
        <f>Aylik_Puantaj!BL335</f>
        <v/>
      </c>
    </row>
    <row r="334">
      <c r="A334" s="4" t="n">
        <v>333</v>
      </c>
      <c r="B334" s="5" t="inlineStr">
        <is>
          <t>35194113502</t>
        </is>
      </c>
      <c r="C334" s="29" t="inlineStr">
        <is>
          <t>SEDA ERDOĞAN</t>
        </is>
      </c>
      <c r="D334" s="7">
        <f>Aylik_Puantaj!L336</f>
        <v/>
      </c>
      <c r="E334" s="7">
        <f>Aylik_Puantaj!BJ336</f>
        <v/>
      </c>
      <c r="F334" s="7">
        <f>Aylik_Puantaj!BL336</f>
        <v/>
      </c>
    </row>
    <row r="335">
      <c r="A335" s="4" t="n">
        <v>334</v>
      </c>
      <c r="B335" s="5" t="inlineStr">
        <is>
          <t>23024749922</t>
        </is>
      </c>
      <c r="C335" s="29" t="inlineStr">
        <is>
          <t>SEDEF DUMAN</t>
        </is>
      </c>
      <c r="D335" s="7">
        <f>Aylik_Puantaj!L337</f>
        <v/>
      </c>
      <c r="E335" s="7">
        <f>Aylik_Puantaj!BJ337</f>
        <v/>
      </c>
      <c r="F335" s="7">
        <f>Aylik_Puantaj!BL337</f>
        <v/>
      </c>
    </row>
    <row r="336">
      <c r="A336" s="4" t="n">
        <v>335</v>
      </c>
      <c r="B336" s="5" t="inlineStr">
        <is>
          <t>24178356332</t>
        </is>
      </c>
      <c r="C336" s="29" t="inlineStr">
        <is>
          <t>SEHER ÖZDEN</t>
        </is>
      </c>
      <c r="D336" s="7">
        <f>Aylik_Puantaj!L338</f>
        <v/>
      </c>
      <c r="E336" s="7">
        <f>Aylik_Puantaj!BJ338</f>
        <v/>
      </c>
      <c r="F336" s="7">
        <f>Aylik_Puantaj!BL338</f>
        <v/>
      </c>
    </row>
    <row r="337">
      <c r="A337" s="4" t="n">
        <v>336</v>
      </c>
      <c r="B337" s="5" t="inlineStr">
        <is>
          <t>11248811624</t>
        </is>
      </c>
      <c r="C337" s="29" t="inlineStr">
        <is>
          <t>SELAHATTİN SÜGÜT</t>
        </is>
      </c>
      <c r="D337" s="7">
        <f>Aylik_Puantaj!L339</f>
        <v/>
      </c>
      <c r="E337" s="7">
        <f>Aylik_Puantaj!BJ339</f>
        <v/>
      </c>
      <c r="F337" s="7">
        <f>Aylik_Puantaj!BL339</f>
        <v/>
      </c>
    </row>
    <row r="338">
      <c r="A338" s="4" t="n">
        <v>337</v>
      </c>
      <c r="B338" s="5" t="inlineStr">
        <is>
          <t>19723478966</t>
        </is>
      </c>
      <c r="C338" s="29" t="inlineStr">
        <is>
          <t>SELMA AYHAN</t>
        </is>
      </c>
      <c r="D338" s="7">
        <f>Aylik_Puantaj!L340</f>
        <v/>
      </c>
      <c r="E338" s="7">
        <f>Aylik_Puantaj!BJ340</f>
        <v/>
      </c>
      <c r="F338" s="7">
        <f>Aylik_Puantaj!BL340</f>
        <v/>
      </c>
    </row>
    <row r="339">
      <c r="A339" s="4" t="n">
        <v>338</v>
      </c>
      <c r="B339" s="5" t="inlineStr">
        <is>
          <t>49369567458</t>
        </is>
      </c>
      <c r="C339" s="29" t="inlineStr">
        <is>
          <t>SELMA TUNÇ</t>
        </is>
      </c>
      <c r="D339" s="7">
        <f>Aylik_Puantaj!L341</f>
        <v/>
      </c>
      <c r="E339" s="7">
        <f>Aylik_Puantaj!BJ341</f>
        <v/>
      </c>
      <c r="F339" s="7">
        <f>Aylik_Puantaj!BL341</f>
        <v/>
      </c>
    </row>
    <row r="340">
      <c r="A340" s="4" t="n">
        <v>339</v>
      </c>
      <c r="B340" s="5" t="inlineStr">
        <is>
          <t>33451458564</t>
        </is>
      </c>
      <c r="C340" s="29" t="inlineStr">
        <is>
          <t>SELMATA ANIK</t>
        </is>
      </c>
      <c r="D340" s="7">
        <f>Aylik_Puantaj!L342</f>
        <v/>
      </c>
      <c r="E340" s="7">
        <f>Aylik_Puantaj!BJ342</f>
        <v/>
      </c>
      <c r="F340" s="7">
        <f>Aylik_Puantaj!BL342</f>
        <v/>
      </c>
    </row>
    <row r="341">
      <c r="A341" s="4" t="n">
        <v>340</v>
      </c>
      <c r="B341" s="5" t="inlineStr">
        <is>
          <t>46825626414</t>
        </is>
      </c>
      <c r="C341" s="29" t="inlineStr">
        <is>
          <t>SEMANUR GÜLIŞIK</t>
        </is>
      </c>
      <c r="D341" s="7">
        <f>Aylik_Puantaj!L343</f>
        <v/>
      </c>
      <c r="E341" s="7">
        <f>Aylik_Puantaj!BJ343</f>
        <v/>
      </c>
      <c r="F341" s="7">
        <f>Aylik_Puantaj!BL343</f>
        <v/>
      </c>
    </row>
    <row r="342">
      <c r="A342" s="4" t="n">
        <v>341</v>
      </c>
      <c r="B342" s="5" t="inlineStr">
        <is>
          <t>19633628390</t>
        </is>
      </c>
      <c r="C342" s="29" t="inlineStr">
        <is>
          <t>SERAP KURUMLU</t>
        </is>
      </c>
      <c r="D342" s="7">
        <f>Aylik_Puantaj!L344</f>
        <v/>
      </c>
      <c r="E342" s="7">
        <f>Aylik_Puantaj!BJ344</f>
        <v/>
      </c>
      <c r="F342" s="7">
        <f>Aylik_Puantaj!BL344</f>
        <v/>
      </c>
    </row>
    <row r="343">
      <c r="A343" s="4" t="n">
        <v>342</v>
      </c>
      <c r="B343" s="5" t="inlineStr">
        <is>
          <t>24136488860</t>
        </is>
      </c>
      <c r="C343" s="29" t="inlineStr">
        <is>
          <t>SEREN BURHAN</t>
        </is>
      </c>
      <c r="D343" s="7">
        <f>Aylik_Puantaj!L345</f>
        <v/>
      </c>
      <c r="E343" s="7">
        <f>Aylik_Puantaj!BJ345</f>
        <v/>
      </c>
      <c r="F343" s="7">
        <f>Aylik_Puantaj!BL345</f>
        <v/>
      </c>
    </row>
    <row r="344">
      <c r="A344" s="4" t="n">
        <v>343</v>
      </c>
      <c r="B344" s="5" t="inlineStr"/>
      <c r="C344" s="29" t="inlineStr">
        <is>
          <t>SERHAT KATMIŞ</t>
        </is>
      </c>
      <c r="D344" s="7">
        <f>Aylik_Puantaj!L346</f>
        <v/>
      </c>
      <c r="E344" s="7">
        <f>Aylik_Puantaj!BJ346</f>
        <v/>
      </c>
      <c r="F344" s="7">
        <f>Aylik_Puantaj!BL346</f>
        <v/>
      </c>
    </row>
    <row r="345">
      <c r="A345" s="4" t="n">
        <v>344</v>
      </c>
      <c r="B345" s="5" t="inlineStr">
        <is>
          <t>16231745504</t>
        </is>
      </c>
      <c r="C345" s="29" t="inlineStr">
        <is>
          <t>SERKAN YUMİTKAN</t>
        </is>
      </c>
      <c r="D345" s="7">
        <f>Aylik_Puantaj!L347</f>
        <v/>
      </c>
      <c r="E345" s="7">
        <f>Aylik_Puantaj!BJ347</f>
        <v/>
      </c>
      <c r="F345" s="7">
        <f>Aylik_Puantaj!BL347</f>
        <v/>
      </c>
    </row>
    <row r="346">
      <c r="A346" s="4" t="n">
        <v>345</v>
      </c>
      <c r="B346" s="5" t="inlineStr">
        <is>
          <t>13696829374</t>
        </is>
      </c>
      <c r="C346" s="29" t="inlineStr">
        <is>
          <t>SERPİL İİPEK</t>
        </is>
      </c>
      <c r="D346" s="7">
        <f>Aylik_Puantaj!L348</f>
        <v/>
      </c>
      <c r="E346" s="7">
        <f>Aylik_Puantaj!BJ348</f>
        <v/>
      </c>
      <c r="F346" s="7">
        <f>Aylik_Puantaj!BL348</f>
        <v/>
      </c>
    </row>
    <row r="347">
      <c r="A347" s="4" t="n">
        <v>346</v>
      </c>
      <c r="B347" s="5" t="inlineStr"/>
      <c r="C347" s="29" t="inlineStr">
        <is>
          <t>SELİM KIRAY</t>
        </is>
      </c>
      <c r="D347" s="7">
        <f>Aylik_Puantaj!L349</f>
        <v/>
      </c>
      <c r="E347" s="7">
        <f>Aylik_Puantaj!BJ349</f>
        <v/>
      </c>
      <c r="F347" s="7">
        <f>Aylik_Puantaj!BL349</f>
        <v/>
      </c>
    </row>
    <row r="348">
      <c r="A348" s="4" t="n">
        <v>347</v>
      </c>
      <c r="B348" s="5" t="inlineStr">
        <is>
          <t>33641052206</t>
        </is>
      </c>
      <c r="C348" s="29" t="inlineStr">
        <is>
          <t>SEVDA AKKOYUN</t>
        </is>
      </c>
      <c r="D348" s="7">
        <f>Aylik_Puantaj!L350</f>
        <v/>
      </c>
      <c r="E348" s="7">
        <f>Aylik_Puantaj!BJ350</f>
        <v/>
      </c>
      <c r="F348" s="7">
        <f>Aylik_Puantaj!BL350</f>
        <v/>
      </c>
    </row>
    <row r="349">
      <c r="A349" s="4" t="n">
        <v>348</v>
      </c>
      <c r="B349" s="5" t="inlineStr">
        <is>
          <t>13498698468</t>
        </is>
      </c>
      <c r="C349" s="29" t="inlineStr">
        <is>
          <t>SEVGİ AYCAN</t>
        </is>
      </c>
      <c r="D349" s="7">
        <f>Aylik_Puantaj!L351</f>
        <v/>
      </c>
      <c r="E349" s="7">
        <f>Aylik_Puantaj!BJ351</f>
        <v/>
      </c>
      <c r="F349" s="7">
        <f>Aylik_Puantaj!BL351</f>
        <v/>
      </c>
    </row>
    <row r="350">
      <c r="A350" s="4" t="n">
        <v>349</v>
      </c>
      <c r="B350" s="5" t="inlineStr">
        <is>
          <t>12203562360</t>
        </is>
      </c>
      <c r="C350" s="29" t="inlineStr">
        <is>
          <t>SEVGÜL YİLDİRİM</t>
        </is>
      </c>
      <c r="D350" s="7">
        <f>Aylik_Puantaj!L352</f>
        <v/>
      </c>
      <c r="E350" s="7">
        <f>Aylik_Puantaj!BJ352</f>
        <v/>
      </c>
      <c r="F350" s="7">
        <f>Aylik_Puantaj!BL352</f>
        <v/>
      </c>
    </row>
    <row r="351">
      <c r="A351" s="4" t="n">
        <v>350</v>
      </c>
      <c r="B351" s="5" t="inlineStr">
        <is>
          <t>17611699134</t>
        </is>
      </c>
      <c r="C351" s="29" t="inlineStr">
        <is>
          <t>SEVİLAY DÖNMEZ</t>
        </is>
      </c>
      <c r="D351" s="7">
        <f>Aylik_Puantaj!L353</f>
        <v/>
      </c>
      <c r="E351" s="7">
        <f>Aylik_Puantaj!BJ353</f>
        <v/>
      </c>
      <c r="F351" s="7">
        <f>Aylik_Puantaj!BL353</f>
        <v/>
      </c>
    </row>
    <row r="352">
      <c r="A352" s="4" t="n">
        <v>351</v>
      </c>
      <c r="B352" s="5" t="inlineStr">
        <is>
          <t>22744536362</t>
        </is>
      </c>
      <c r="C352" s="29" t="inlineStr">
        <is>
          <t>SEVİM MAKAK</t>
        </is>
      </c>
      <c r="D352" s="7">
        <f>Aylik_Puantaj!L354</f>
        <v/>
      </c>
      <c r="E352" s="7">
        <f>Aylik_Puantaj!BJ354</f>
        <v/>
      </c>
      <c r="F352" s="7">
        <f>Aylik_Puantaj!BL354</f>
        <v/>
      </c>
    </row>
    <row r="353">
      <c r="A353" s="4" t="n">
        <v>352</v>
      </c>
      <c r="B353" s="5" t="inlineStr">
        <is>
          <t>42014033940</t>
        </is>
      </c>
      <c r="C353" s="29" t="inlineStr">
        <is>
          <t>SÇEVİKAT ÇELİK</t>
        </is>
      </c>
      <c r="D353" s="7">
        <f>Aylik_Puantaj!L355</f>
        <v/>
      </c>
      <c r="E353" s="7">
        <f>Aylik_Puantaj!BJ355</f>
        <v/>
      </c>
      <c r="F353" s="7">
        <f>Aylik_Puantaj!BL355</f>
        <v/>
      </c>
    </row>
    <row r="354">
      <c r="A354" s="4" t="n">
        <v>353</v>
      </c>
      <c r="B354" s="5" t="inlineStr">
        <is>
          <t>15250777510</t>
        </is>
      </c>
      <c r="C354" s="29" t="inlineStr">
        <is>
          <t>SEZAİ ÇELİK</t>
        </is>
      </c>
      <c r="D354" s="7">
        <f>Aylik_Puantaj!L356</f>
        <v/>
      </c>
      <c r="E354" s="7">
        <f>Aylik_Puantaj!BJ356</f>
        <v/>
      </c>
      <c r="F354" s="7">
        <f>Aylik_Puantaj!BL356</f>
        <v/>
      </c>
    </row>
    <row r="355">
      <c r="A355" s="4" t="n">
        <v>354</v>
      </c>
      <c r="B355" s="5" t="inlineStr">
        <is>
          <t>29200163070</t>
        </is>
      </c>
      <c r="C355" s="29" t="inlineStr">
        <is>
          <t>SEZGİN YILDIRIM</t>
        </is>
      </c>
      <c r="D355" s="7">
        <f>Aylik_Puantaj!L357</f>
        <v/>
      </c>
      <c r="E355" s="7">
        <f>Aylik_Puantaj!BJ357</f>
        <v/>
      </c>
      <c r="F355" s="7">
        <f>Aylik_Puantaj!BL357</f>
        <v/>
      </c>
    </row>
    <row r="356">
      <c r="A356" s="4" t="n">
        <v>355</v>
      </c>
      <c r="B356" s="5" t="inlineStr"/>
      <c r="C356" s="29" t="inlineStr">
        <is>
          <t>SEZGİN İLGÖREN</t>
        </is>
      </c>
      <c r="D356" s="7">
        <f>Aylik_Puantaj!L358</f>
        <v/>
      </c>
      <c r="E356" s="7">
        <f>Aylik_Puantaj!BJ358</f>
        <v/>
      </c>
      <c r="F356" s="7">
        <f>Aylik_Puantaj!BL358</f>
        <v/>
      </c>
    </row>
    <row r="357">
      <c r="A357" s="4" t="n">
        <v>356</v>
      </c>
      <c r="B357" s="5" t="inlineStr"/>
      <c r="C357" s="29" t="inlineStr">
        <is>
          <t>SEYMA ÇARDAK</t>
        </is>
      </c>
      <c r="D357" s="7">
        <f>Aylik_Puantaj!L359</f>
        <v/>
      </c>
      <c r="E357" s="7">
        <f>Aylik_Puantaj!BJ359</f>
        <v/>
      </c>
      <c r="F357" s="7">
        <f>Aylik_Puantaj!BL359</f>
        <v/>
      </c>
    </row>
    <row r="358">
      <c r="A358" s="4" t="n">
        <v>357</v>
      </c>
      <c r="B358" s="5" t="inlineStr">
        <is>
          <t>29267383640</t>
        </is>
      </c>
      <c r="C358" s="29" t="inlineStr">
        <is>
          <t>SIDIKA KARSLI</t>
        </is>
      </c>
      <c r="D358" s="7">
        <f>Aylik_Puantaj!L360</f>
        <v/>
      </c>
      <c r="E358" s="7">
        <f>Aylik_Puantaj!BJ360</f>
        <v/>
      </c>
      <c r="F358" s="7">
        <f>Aylik_Puantaj!BL360</f>
        <v/>
      </c>
    </row>
    <row r="359">
      <c r="A359" s="4" t="n">
        <v>358</v>
      </c>
      <c r="B359" s="5" t="inlineStr">
        <is>
          <t>18442962398</t>
        </is>
      </c>
      <c r="C359" s="29" t="inlineStr">
        <is>
          <t>SILA GÜNEŞ</t>
        </is>
      </c>
      <c r="D359" s="7">
        <f>Aylik_Puantaj!L361</f>
        <v/>
      </c>
      <c r="E359" s="7">
        <f>Aylik_Puantaj!BJ361</f>
        <v/>
      </c>
      <c r="F359" s="7">
        <f>Aylik_Puantaj!BL361</f>
        <v/>
      </c>
    </row>
    <row r="360">
      <c r="A360" s="4" t="n">
        <v>359</v>
      </c>
      <c r="B360" s="5" t="inlineStr"/>
      <c r="C360" s="29" t="inlineStr">
        <is>
          <t>SILA YAVAŞ</t>
        </is>
      </c>
      <c r="D360" s="7">
        <f>Aylik_Puantaj!L362</f>
        <v/>
      </c>
      <c r="E360" s="7">
        <f>Aylik_Puantaj!BJ362</f>
        <v/>
      </c>
      <c r="F360" s="7">
        <f>Aylik_Puantaj!BL362</f>
        <v/>
      </c>
    </row>
    <row r="361">
      <c r="A361" s="4" t="n">
        <v>360</v>
      </c>
      <c r="B361" s="5" t="inlineStr">
        <is>
          <t>10582783284</t>
        </is>
      </c>
      <c r="C361" s="29" t="inlineStr">
        <is>
          <t>SİBEL ÇÇAKIR</t>
        </is>
      </c>
      <c r="D361" s="7">
        <f>Aylik_Puantaj!L363</f>
        <v/>
      </c>
      <c r="E361" s="7">
        <f>Aylik_Puantaj!BJ363</f>
        <v/>
      </c>
      <c r="F361" s="7">
        <f>Aylik_Puantaj!BL363</f>
        <v/>
      </c>
    </row>
    <row r="362">
      <c r="A362" s="4" t="n">
        <v>361</v>
      </c>
      <c r="B362" s="5" t="inlineStr">
        <is>
          <t>10780950730</t>
        </is>
      </c>
      <c r="C362" s="29" t="inlineStr">
        <is>
          <t>SİBEL ÇİFTÇİ</t>
        </is>
      </c>
      <c r="D362" s="7">
        <f>Aylik_Puantaj!L364</f>
        <v/>
      </c>
      <c r="E362" s="7">
        <f>Aylik_Puantaj!BJ364</f>
        <v/>
      </c>
      <c r="F362" s="7">
        <f>Aylik_Puantaj!BL364</f>
        <v/>
      </c>
    </row>
    <row r="363">
      <c r="A363" s="4" t="n">
        <v>362</v>
      </c>
      <c r="B363" s="5" t="inlineStr">
        <is>
          <t>28979029792</t>
        </is>
      </c>
      <c r="C363" s="29" t="inlineStr">
        <is>
          <t>SİNEM PİRİZOĞLU</t>
        </is>
      </c>
      <c r="D363" s="7">
        <f>Aylik_Puantaj!L365</f>
        <v/>
      </c>
      <c r="E363" s="7">
        <f>Aylik_Puantaj!BJ365</f>
        <v/>
      </c>
      <c r="F363" s="7">
        <f>Aylik_Puantaj!BL365</f>
        <v/>
      </c>
    </row>
    <row r="364">
      <c r="A364" s="4" t="n">
        <v>363</v>
      </c>
      <c r="B364" s="5" t="inlineStr">
        <is>
          <t>17473728638</t>
        </is>
      </c>
      <c r="C364" s="29" t="inlineStr">
        <is>
          <t>SONGÜL DUMAN</t>
        </is>
      </c>
      <c r="D364" s="7">
        <f>Aylik_Puantaj!L366</f>
        <v/>
      </c>
      <c r="E364" s="7">
        <f>Aylik_Puantaj!BJ366</f>
        <v/>
      </c>
      <c r="F364" s="7">
        <f>Aylik_Puantaj!BL366</f>
        <v/>
      </c>
    </row>
    <row r="365">
      <c r="A365" s="4" t="n">
        <v>364</v>
      </c>
      <c r="B365" s="5" t="inlineStr">
        <is>
          <t>55963096430</t>
        </is>
      </c>
      <c r="C365" s="29" t="inlineStr">
        <is>
          <t>SULTAN BAĞ</t>
        </is>
      </c>
      <c r="D365" s="7">
        <f>Aylik_Puantaj!L367</f>
        <v/>
      </c>
      <c r="E365" s="7">
        <f>Aylik_Puantaj!BJ367</f>
        <v/>
      </c>
      <c r="F365" s="7">
        <f>Aylik_Puantaj!BL367</f>
        <v/>
      </c>
    </row>
    <row r="366">
      <c r="A366" s="4" t="n">
        <v>365</v>
      </c>
      <c r="B366" s="5" t="inlineStr">
        <is>
          <t>13720827796</t>
        </is>
      </c>
      <c r="C366" s="29" t="inlineStr">
        <is>
          <t>ŞADİ BAŞARICI</t>
        </is>
      </c>
      <c r="D366" s="7">
        <f>Aylik_Puantaj!L368</f>
        <v/>
      </c>
      <c r="E366" s="7">
        <f>Aylik_Puantaj!BJ368</f>
        <v/>
      </c>
      <c r="F366" s="7">
        <f>Aylik_Puantaj!BL368</f>
        <v/>
      </c>
    </row>
    <row r="367">
      <c r="A367" s="4" t="n">
        <v>366</v>
      </c>
      <c r="B367" s="5" t="inlineStr">
        <is>
          <t>24721461636</t>
        </is>
      </c>
      <c r="C367" s="29" t="inlineStr">
        <is>
          <t>ŞADİYE AKIN</t>
        </is>
      </c>
      <c r="D367" s="7">
        <f>Aylik_Puantaj!L369</f>
        <v/>
      </c>
      <c r="E367" s="7">
        <f>Aylik_Puantaj!BJ369</f>
        <v/>
      </c>
      <c r="F367" s="7">
        <f>Aylik_Puantaj!BL369</f>
        <v/>
      </c>
    </row>
    <row r="368">
      <c r="A368" s="4" t="n">
        <v>367</v>
      </c>
      <c r="B368" s="5" t="inlineStr">
        <is>
          <t>29113591304</t>
        </is>
      </c>
      <c r="C368" s="29" t="inlineStr">
        <is>
          <t>ŞADİYE ÇELİK</t>
        </is>
      </c>
      <c r="D368" s="7">
        <f>Aylik_Puantaj!L370</f>
        <v/>
      </c>
      <c r="E368" s="7">
        <f>Aylik_Puantaj!BJ370</f>
        <v/>
      </c>
      <c r="F368" s="7">
        <f>Aylik_Puantaj!BL370</f>
        <v/>
      </c>
    </row>
    <row r="369">
      <c r="A369" s="4" t="n">
        <v>368</v>
      </c>
      <c r="B369" s="5" t="inlineStr">
        <is>
          <t>58846251650</t>
        </is>
      </c>
      <c r="C369" s="29" t="inlineStr">
        <is>
          <t>ŞAHİN TEMEL</t>
        </is>
      </c>
      <c r="D369" s="7">
        <f>Aylik_Puantaj!L371</f>
        <v/>
      </c>
      <c r="E369" s="7">
        <f>Aylik_Puantaj!BJ371</f>
        <v/>
      </c>
      <c r="F369" s="7">
        <f>Aylik_Puantaj!BL371</f>
        <v/>
      </c>
    </row>
    <row r="370">
      <c r="A370" s="4" t="n">
        <v>369</v>
      </c>
      <c r="B370" s="5" t="inlineStr">
        <is>
          <t>12112732380</t>
        </is>
      </c>
      <c r="C370" s="29" t="inlineStr">
        <is>
          <t>ŞAHİNDE YILDIZ</t>
        </is>
      </c>
      <c r="D370" s="7">
        <f>Aylik_Puantaj!L372</f>
        <v/>
      </c>
      <c r="E370" s="7">
        <f>Aylik_Puantaj!BJ372</f>
        <v/>
      </c>
      <c r="F370" s="7">
        <f>Aylik_Puantaj!BL372</f>
        <v/>
      </c>
    </row>
    <row r="371">
      <c r="A371" s="4" t="n">
        <v>370</v>
      </c>
      <c r="B371" s="5" t="inlineStr">
        <is>
          <t>38233180558</t>
        </is>
      </c>
      <c r="C371" s="29" t="inlineStr">
        <is>
          <t>ŞAKİR KARAKAŞ</t>
        </is>
      </c>
      <c r="D371" s="7">
        <f>Aylik_Puantaj!L373</f>
        <v/>
      </c>
      <c r="E371" s="7">
        <f>Aylik_Puantaj!BJ373</f>
        <v/>
      </c>
      <c r="F371" s="7">
        <f>Aylik_Puantaj!BL373</f>
        <v/>
      </c>
    </row>
    <row r="372">
      <c r="A372" s="4" t="n">
        <v>371</v>
      </c>
      <c r="B372" s="5" t="inlineStr"/>
      <c r="C372" s="29" t="inlineStr">
        <is>
          <t>ŞARİSTAN AYDIN</t>
        </is>
      </c>
      <c r="D372" s="7">
        <f>Aylik_Puantaj!L374</f>
        <v/>
      </c>
      <c r="E372" s="7">
        <f>Aylik_Puantaj!BJ374</f>
        <v/>
      </c>
      <c r="F372" s="7">
        <f>Aylik_Puantaj!BL374</f>
        <v/>
      </c>
    </row>
    <row r="373">
      <c r="A373" s="4" t="n">
        <v>372</v>
      </c>
      <c r="B373" s="5" t="inlineStr">
        <is>
          <t>25192322242</t>
        </is>
      </c>
      <c r="C373" s="29" t="inlineStr">
        <is>
          <t>ŞAYİKA KOPARAN</t>
        </is>
      </c>
      <c r="D373" s="7">
        <f>Aylik_Puantaj!L375</f>
        <v/>
      </c>
      <c r="E373" s="7">
        <f>Aylik_Puantaj!BJ375</f>
        <v/>
      </c>
      <c r="F373" s="7">
        <f>Aylik_Puantaj!BL375</f>
        <v/>
      </c>
    </row>
    <row r="374">
      <c r="A374" s="4" t="n">
        <v>373</v>
      </c>
      <c r="B374" s="5" t="inlineStr">
        <is>
          <t>38240191356</t>
        </is>
      </c>
      <c r="C374" s="29" t="inlineStr">
        <is>
          <t>ŞENGÜL ALEMİN</t>
        </is>
      </c>
      <c r="D374" s="7">
        <f>Aylik_Puantaj!L376</f>
        <v/>
      </c>
      <c r="E374" s="7">
        <f>Aylik_Puantaj!BJ376</f>
        <v/>
      </c>
      <c r="F374" s="7">
        <f>Aylik_Puantaj!BL376</f>
        <v/>
      </c>
    </row>
    <row r="375">
      <c r="A375" s="4" t="n">
        <v>374</v>
      </c>
      <c r="B375" s="5" t="inlineStr"/>
      <c r="C375" s="29" t="inlineStr">
        <is>
          <t>ŞENGÜL MEMİŞ</t>
        </is>
      </c>
      <c r="D375" s="7">
        <f>Aylik_Puantaj!L377</f>
        <v/>
      </c>
      <c r="E375" s="7">
        <f>Aylik_Puantaj!BJ377</f>
        <v/>
      </c>
      <c r="F375" s="7">
        <f>Aylik_Puantaj!BL377</f>
        <v/>
      </c>
    </row>
    <row r="376">
      <c r="A376" s="4" t="n">
        <v>375</v>
      </c>
      <c r="B376" s="5" t="inlineStr">
        <is>
          <t>10255820520</t>
        </is>
      </c>
      <c r="C376" s="29" t="inlineStr">
        <is>
          <t>ŞERBANE SARAN</t>
        </is>
      </c>
      <c r="D376" s="7">
        <f>Aylik_Puantaj!L378</f>
        <v/>
      </c>
      <c r="E376" s="7">
        <f>Aylik_Puantaj!BJ378</f>
        <v/>
      </c>
      <c r="F376" s="7">
        <f>Aylik_Puantaj!BL378</f>
        <v/>
      </c>
    </row>
    <row r="377">
      <c r="A377" s="4" t="n">
        <v>376</v>
      </c>
      <c r="B377" s="5" t="inlineStr">
        <is>
          <t>10303951732</t>
        </is>
      </c>
      <c r="C377" s="29" t="inlineStr">
        <is>
          <t>ŞERİFE EKTİREN</t>
        </is>
      </c>
      <c r="D377" s="7">
        <f>Aylik_Puantaj!L379</f>
        <v/>
      </c>
      <c r="E377" s="7">
        <f>Aylik_Puantaj!BJ379</f>
        <v/>
      </c>
      <c r="F377" s="7">
        <f>Aylik_Puantaj!BL379</f>
        <v/>
      </c>
    </row>
    <row r="378">
      <c r="A378" s="4" t="n">
        <v>377</v>
      </c>
      <c r="B378" s="5" t="inlineStr">
        <is>
          <t>11116950790</t>
        </is>
      </c>
      <c r="C378" s="29" t="inlineStr">
        <is>
          <t>ŞEVVAL BALKAN</t>
        </is>
      </c>
      <c r="D378" s="7">
        <f>Aylik_Puantaj!L380</f>
        <v/>
      </c>
      <c r="E378" s="7">
        <f>Aylik_Puantaj!BJ380</f>
        <v/>
      </c>
      <c r="F378" s="7">
        <f>Aylik_Puantaj!BL380</f>
        <v/>
      </c>
    </row>
    <row r="379">
      <c r="A379" s="4" t="n">
        <v>378</v>
      </c>
      <c r="B379" s="5" t="inlineStr"/>
      <c r="C379" s="29" t="inlineStr">
        <is>
          <t>ŞEYMA İİPEK</t>
        </is>
      </c>
      <c r="D379" s="7">
        <f>Aylik_Puantaj!L381</f>
        <v/>
      </c>
      <c r="E379" s="7">
        <f>Aylik_Puantaj!BJ381</f>
        <v/>
      </c>
      <c r="F379" s="7">
        <f>Aylik_Puantaj!BL381</f>
        <v/>
      </c>
    </row>
    <row r="380">
      <c r="A380" s="4" t="n">
        <v>379</v>
      </c>
      <c r="B380" s="5" t="inlineStr">
        <is>
          <t>10240797202</t>
        </is>
      </c>
      <c r="C380" s="29" t="inlineStr">
        <is>
          <t>TALHA KURT</t>
        </is>
      </c>
      <c r="D380" s="7">
        <f>Aylik_Puantaj!L382</f>
        <v/>
      </c>
      <c r="E380" s="7">
        <f>Aylik_Puantaj!BJ382</f>
        <v/>
      </c>
      <c r="F380" s="7">
        <f>Aylik_Puantaj!BL382</f>
        <v/>
      </c>
    </row>
    <row r="381">
      <c r="A381" s="4" t="n">
        <v>380</v>
      </c>
      <c r="B381" s="5" t="inlineStr">
        <is>
          <t>29761139378</t>
        </is>
      </c>
      <c r="C381" s="29" t="inlineStr">
        <is>
          <t>TALHA YAVAŞ</t>
        </is>
      </c>
      <c r="D381" s="7">
        <f>Aylik_Puantaj!L383</f>
        <v/>
      </c>
      <c r="E381" s="7">
        <f>Aylik_Puantaj!BJ383</f>
        <v/>
      </c>
      <c r="F381" s="7">
        <f>Aylik_Puantaj!BL383</f>
        <v/>
      </c>
    </row>
    <row r="382">
      <c r="A382" s="4" t="n">
        <v>381</v>
      </c>
      <c r="B382" s="5" t="inlineStr">
        <is>
          <t>20374606288</t>
        </is>
      </c>
      <c r="C382" s="29" t="inlineStr">
        <is>
          <t>TANER BEYİRKEN</t>
        </is>
      </c>
      <c r="D382" s="7">
        <f>Aylik_Puantaj!L384</f>
        <v/>
      </c>
      <c r="E382" s="7">
        <f>Aylik_Puantaj!BJ384</f>
        <v/>
      </c>
      <c r="F382" s="7">
        <f>Aylik_Puantaj!BL384</f>
        <v/>
      </c>
    </row>
    <row r="383">
      <c r="A383" s="4" t="n">
        <v>382</v>
      </c>
      <c r="B383" s="5" t="inlineStr">
        <is>
          <t>32938871292</t>
        </is>
      </c>
      <c r="C383" s="29" t="inlineStr">
        <is>
          <t>TAYFUN ÇELİK</t>
        </is>
      </c>
      <c r="D383" s="7">
        <f>Aylik_Puantaj!L385</f>
        <v/>
      </c>
      <c r="E383" s="7">
        <f>Aylik_Puantaj!BJ385</f>
        <v/>
      </c>
      <c r="F383" s="7">
        <f>Aylik_Puantaj!BL385</f>
        <v/>
      </c>
    </row>
    <row r="384">
      <c r="A384" s="4" t="n">
        <v>383</v>
      </c>
      <c r="B384" s="5" t="inlineStr">
        <is>
          <t>10705928394</t>
        </is>
      </c>
      <c r="C384" s="29" t="inlineStr">
        <is>
          <t>TAYFUN GÜNCÜ</t>
        </is>
      </c>
      <c r="D384" s="7">
        <f>Aylik_Puantaj!L386</f>
        <v/>
      </c>
      <c r="E384" s="7">
        <f>Aylik_Puantaj!BJ386</f>
        <v/>
      </c>
      <c r="F384" s="7">
        <f>Aylik_Puantaj!BL386</f>
        <v/>
      </c>
    </row>
    <row r="385">
      <c r="A385" s="4" t="n">
        <v>384</v>
      </c>
      <c r="B385" s="5" t="inlineStr">
        <is>
          <t>13252843738</t>
        </is>
      </c>
      <c r="C385" s="29" t="inlineStr">
        <is>
          <t>TAYFUN TIĞRAK</t>
        </is>
      </c>
      <c r="D385" s="7">
        <f>Aylik_Puantaj!L387</f>
        <v/>
      </c>
      <c r="E385" s="7">
        <f>Aylik_Puantaj!BJ387</f>
        <v/>
      </c>
      <c r="F385" s="7">
        <f>Aylik_Puantaj!BL387</f>
        <v/>
      </c>
    </row>
    <row r="386">
      <c r="A386" s="4" t="n">
        <v>385</v>
      </c>
      <c r="B386" s="5" t="inlineStr">
        <is>
          <t>47420007172</t>
        </is>
      </c>
      <c r="C386" s="29" t="inlineStr">
        <is>
          <t>TERANE İBİŞ</t>
        </is>
      </c>
      <c r="D386" s="7">
        <f>Aylik_Puantaj!L388</f>
        <v/>
      </c>
      <c r="E386" s="7">
        <f>Aylik_Puantaj!BJ388</f>
        <v/>
      </c>
      <c r="F386" s="7">
        <f>Aylik_Puantaj!BL388</f>
        <v/>
      </c>
    </row>
    <row r="387">
      <c r="A387" s="4" t="n">
        <v>386</v>
      </c>
      <c r="B387" s="5" t="inlineStr">
        <is>
          <t>29467205162</t>
        </is>
      </c>
      <c r="C387" s="29" t="inlineStr">
        <is>
          <t>TUĞBA ÇÇAYLAK</t>
        </is>
      </c>
      <c r="D387" s="7">
        <f>Aylik_Puantaj!L389</f>
        <v/>
      </c>
      <c r="E387" s="7">
        <f>Aylik_Puantaj!BJ389</f>
        <v/>
      </c>
      <c r="F387" s="7">
        <f>Aylik_Puantaj!BL389</f>
        <v/>
      </c>
    </row>
    <row r="388">
      <c r="A388" s="4" t="n">
        <v>387</v>
      </c>
      <c r="B388" s="5" t="inlineStr">
        <is>
          <t>30925156292</t>
        </is>
      </c>
      <c r="C388" s="29" t="inlineStr">
        <is>
          <t>TUNCAY METİN</t>
        </is>
      </c>
      <c r="D388" s="7">
        <f>Aylik_Puantaj!L390</f>
        <v/>
      </c>
      <c r="E388" s="7">
        <f>Aylik_Puantaj!BJ390</f>
        <v/>
      </c>
      <c r="F388" s="7">
        <f>Aylik_Puantaj!BL390</f>
        <v/>
      </c>
    </row>
    <row r="389">
      <c r="A389" s="4" t="n">
        <v>388</v>
      </c>
      <c r="B389" s="5" t="inlineStr">
        <is>
          <t>15773831454</t>
        </is>
      </c>
      <c r="C389" s="29" t="inlineStr">
        <is>
          <t>TÜRKAN TURAN</t>
        </is>
      </c>
      <c r="D389" s="7">
        <f>Aylik_Puantaj!L391</f>
        <v/>
      </c>
      <c r="E389" s="7">
        <f>Aylik_Puantaj!BJ391</f>
        <v/>
      </c>
      <c r="F389" s="7">
        <f>Aylik_Puantaj!BL391</f>
        <v/>
      </c>
    </row>
    <row r="390">
      <c r="A390" s="4" t="n">
        <v>389</v>
      </c>
      <c r="B390" s="5" t="inlineStr">
        <is>
          <t>10198947728</t>
        </is>
      </c>
      <c r="C390" s="29" t="inlineStr">
        <is>
          <t>ÜMİT BATIN TÜRKAN</t>
        </is>
      </c>
      <c r="D390" s="7">
        <f>Aylik_Puantaj!L392</f>
        <v/>
      </c>
      <c r="E390" s="7">
        <f>Aylik_Puantaj!BJ392</f>
        <v/>
      </c>
      <c r="F390" s="7">
        <f>Aylik_Puantaj!BL392</f>
        <v/>
      </c>
    </row>
    <row r="391">
      <c r="A391" s="4" t="n">
        <v>390</v>
      </c>
      <c r="B391" s="5" t="inlineStr">
        <is>
          <t>12268777280</t>
        </is>
      </c>
      <c r="C391" s="29" t="inlineStr">
        <is>
          <t>ÜMMÜ AYDOĞAN</t>
        </is>
      </c>
      <c r="D391" s="7">
        <f>Aylik_Puantaj!L393</f>
        <v/>
      </c>
      <c r="E391" s="7">
        <f>Aylik_Puantaj!BJ393</f>
        <v/>
      </c>
      <c r="F391" s="7">
        <f>Aylik_Puantaj!BL393</f>
        <v/>
      </c>
    </row>
    <row r="392">
      <c r="A392" s="4" t="n">
        <v>391</v>
      </c>
      <c r="B392" s="5" t="inlineStr">
        <is>
          <t>57541044000</t>
        </is>
      </c>
      <c r="C392" s="29" t="inlineStr">
        <is>
          <t>ÜMMÜGÜLSÜM BAĞ</t>
        </is>
      </c>
      <c r="D392" s="7">
        <f>Aylik_Puantaj!L394</f>
        <v/>
      </c>
      <c r="E392" s="7">
        <f>Aylik_Puantaj!BJ394</f>
        <v/>
      </c>
      <c r="F392" s="7">
        <f>Aylik_Puantaj!BL394</f>
        <v/>
      </c>
    </row>
    <row r="393">
      <c r="A393" s="4" t="n">
        <v>392</v>
      </c>
      <c r="B393" s="5" t="inlineStr">
        <is>
          <t>19744627190</t>
        </is>
      </c>
      <c r="C393" s="29" t="inlineStr">
        <is>
          <t>ÜÜNAL ÖZER</t>
        </is>
      </c>
      <c r="D393" s="7">
        <f>Aylik_Puantaj!L395</f>
        <v/>
      </c>
      <c r="E393" s="7">
        <f>Aylik_Puantaj!BJ395</f>
        <v/>
      </c>
      <c r="F393" s="7">
        <f>Aylik_Puantaj!BL395</f>
        <v/>
      </c>
    </row>
    <row r="394">
      <c r="A394" s="4" t="n">
        <v>393</v>
      </c>
      <c r="B394" s="5" t="inlineStr">
        <is>
          <t>37075059770</t>
        </is>
      </c>
      <c r="C394" s="29" t="inlineStr">
        <is>
          <t>ÜVEYS SEPETÇİ</t>
        </is>
      </c>
      <c r="D394" s="7">
        <f>Aylik_Puantaj!L396</f>
        <v/>
      </c>
      <c r="E394" s="7">
        <f>Aylik_Puantaj!BJ396</f>
        <v/>
      </c>
      <c r="F394" s="7">
        <f>Aylik_Puantaj!BL396</f>
        <v/>
      </c>
    </row>
    <row r="395">
      <c r="A395" s="4" t="n">
        <v>394</v>
      </c>
      <c r="B395" s="5" t="inlineStr">
        <is>
          <t>23077372900</t>
        </is>
      </c>
      <c r="C395" s="29" t="inlineStr">
        <is>
          <t>VAHİDE YAŞAR</t>
        </is>
      </c>
      <c r="D395" s="7">
        <f>Aylik_Puantaj!L397</f>
        <v/>
      </c>
      <c r="E395" s="7">
        <f>Aylik_Puantaj!BJ397</f>
        <v/>
      </c>
      <c r="F395" s="7">
        <f>Aylik_Puantaj!BL397</f>
        <v/>
      </c>
    </row>
    <row r="396">
      <c r="A396" s="4" t="n">
        <v>395</v>
      </c>
      <c r="B396" s="5" t="inlineStr">
        <is>
          <t>10929070558</t>
        </is>
      </c>
      <c r="C396" s="29" t="inlineStr">
        <is>
          <t>YASEMİN AKKUŞ</t>
        </is>
      </c>
      <c r="D396" s="7">
        <f>Aylik_Puantaj!L398</f>
        <v/>
      </c>
      <c r="E396" s="7">
        <f>Aylik_Puantaj!BJ398</f>
        <v/>
      </c>
      <c r="F396" s="7">
        <f>Aylik_Puantaj!BL398</f>
        <v/>
      </c>
    </row>
    <row r="397">
      <c r="A397" s="4" t="n">
        <v>396</v>
      </c>
      <c r="B397" s="5" t="inlineStr">
        <is>
          <t>18364673952</t>
        </is>
      </c>
      <c r="C397" s="29" t="inlineStr">
        <is>
          <t>YEŞİM BEYİRKEN</t>
        </is>
      </c>
      <c r="D397" s="7">
        <f>Aylik_Puantaj!L399</f>
        <v/>
      </c>
      <c r="E397" s="7">
        <f>Aylik_Puantaj!BJ399</f>
        <v/>
      </c>
      <c r="F397" s="7">
        <f>Aylik_Puantaj!BL399</f>
        <v/>
      </c>
    </row>
    <row r="398">
      <c r="A398" s="4" t="n">
        <v>397</v>
      </c>
      <c r="B398" s="5" t="inlineStr"/>
      <c r="C398" s="29" t="inlineStr">
        <is>
          <t>YEŞİM SARAÇOĞLU</t>
        </is>
      </c>
      <c r="D398" s="7">
        <f>Aylik_Puantaj!L400</f>
        <v/>
      </c>
      <c r="E398" s="7">
        <f>Aylik_Puantaj!BJ400</f>
        <v/>
      </c>
      <c r="F398" s="7">
        <f>Aylik_Puantaj!BL400</f>
        <v/>
      </c>
    </row>
    <row r="399">
      <c r="A399" s="4" t="n">
        <v>398</v>
      </c>
      <c r="B399" s="5" t="inlineStr"/>
      <c r="C399" s="29" t="inlineStr">
        <is>
          <t>YUNUS BAŞAR</t>
        </is>
      </c>
      <c r="D399" s="7">
        <f>Aylik_Puantaj!L401</f>
        <v/>
      </c>
      <c r="E399" s="7">
        <f>Aylik_Puantaj!BJ401</f>
        <v/>
      </c>
      <c r="F399" s="7">
        <f>Aylik_Puantaj!BL401</f>
        <v/>
      </c>
    </row>
    <row r="400">
      <c r="A400" s="4" t="n">
        <v>399</v>
      </c>
      <c r="B400" s="5" t="inlineStr">
        <is>
          <t>17096459292</t>
        </is>
      </c>
      <c r="C400" s="29" t="inlineStr">
        <is>
          <t>YURDANUR ÇELİK</t>
        </is>
      </c>
      <c r="D400" s="7">
        <f>Aylik_Puantaj!L402</f>
        <v/>
      </c>
      <c r="E400" s="7">
        <f>Aylik_Puantaj!BJ402</f>
        <v/>
      </c>
      <c r="F400" s="7">
        <f>Aylik_Puantaj!BL402</f>
        <v/>
      </c>
    </row>
    <row r="401">
      <c r="A401" s="4" t="n">
        <v>400</v>
      </c>
      <c r="B401" s="5" t="inlineStr">
        <is>
          <t>10528936408</t>
        </is>
      </c>
      <c r="C401" s="29" t="inlineStr">
        <is>
          <t>YUSUF ÇETİN</t>
        </is>
      </c>
      <c r="D401" s="7">
        <f>Aylik_Puantaj!L403</f>
        <v/>
      </c>
      <c r="E401" s="7">
        <f>Aylik_Puantaj!BJ403</f>
        <v/>
      </c>
      <c r="F401" s="7">
        <f>Aylik_Puantaj!BL403</f>
        <v/>
      </c>
    </row>
    <row r="402">
      <c r="A402" s="4" t="n">
        <v>401</v>
      </c>
      <c r="B402" s="5" t="inlineStr">
        <is>
          <t>14701796544</t>
        </is>
      </c>
      <c r="C402" s="29" t="inlineStr">
        <is>
          <t>YUSUF SAMAR</t>
        </is>
      </c>
      <c r="D402" s="7">
        <f>Aylik_Puantaj!L404</f>
        <v/>
      </c>
      <c r="E402" s="7">
        <f>Aylik_Puantaj!BJ404</f>
        <v/>
      </c>
      <c r="F402" s="7">
        <f>Aylik_Puantaj!BL404</f>
        <v/>
      </c>
    </row>
    <row r="403">
      <c r="A403" s="4" t="n">
        <v>402</v>
      </c>
      <c r="B403" s="5" t="inlineStr"/>
      <c r="C403" s="29" t="inlineStr">
        <is>
          <t>YILMAZ KARACA</t>
        </is>
      </c>
      <c r="D403" s="7">
        <f>Aylik_Puantaj!L405</f>
        <v/>
      </c>
      <c r="E403" s="7">
        <f>Aylik_Puantaj!BJ405</f>
        <v/>
      </c>
      <c r="F403" s="7">
        <f>Aylik_Puantaj!BL405</f>
        <v/>
      </c>
    </row>
    <row r="404">
      <c r="A404" s="4" t="n">
        <v>403</v>
      </c>
      <c r="B404" s="5" t="inlineStr">
        <is>
          <t>31861120316</t>
        </is>
      </c>
      <c r="C404" s="29" t="inlineStr">
        <is>
          <t>ZAHİDE GÜRBÜZ</t>
        </is>
      </c>
      <c r="D404" s="7">
        <f>Aylik_Puantaj!L406</f>
        <v/>
      </c>
      <c r="E404" s="7">
        <f>Aylik_Puantaj!BJ406</f>
        <v/>
      </c>
      <c r="F404" s="7">
        <f>Aylik_Puantaj!BL406</f>
        <v/>
      </c>
    </row>
    <row r="405">
      <c r="A405" s="4" t="n">
        <v>404</v>
      </c>
      <c r="B405" s="5" t="inlineStr">
        <is>
          <t>27560597764</t>
        </is>
      </c>
      <c r="C405" s="29" t="inlineStr">
        <is>
          <t>ZAHİDE HAĞİ</t>
        </is>
      </c>
      <c r="D405" s="7">
        <f>Aylik_Puantaj!L407</f>
        <v/>
      </c>
      <c r="E405" s="7">
        <f>Aylik_Puantaj!BJ407</f>
        <v/>
      </c>
      <c r="F405" s="7">
        <f>Aylik_Puantaj!BL407</f>
        <v/>
      </c>
    </row>
    <row r="406">
      <c r="A406" s="4" t="n">
        <v>405</v>
      </c>
      <c r="B406" s="5" t="inlineStr">
        <is>
          <t>31552110794</t>
        </is>
      </c>
      <c r="C406" s="29" t="inlineStr">
        <is>
          <t>ZAHİDE KALDEMİR</t>
        </is>
      </c>
      <c r="D406" s="7">
        <f>Aylik_Puantaj!L408</f>
        <v/>
      </c>
      <c r="E406" s="7">
        <f>Aylik_Puantaj!BJ408</f>
        <v/>
      </c>
      <c r="F406" s="7">
        <f>Aylik_Puantaj!BL408</f>
        <v/>
      </c>
    </row>
    <row r="407">
      <c r="A407" s="4" t="n">
        <v>406</v>
      </c>
      <c r="B407" s="5" t="inlineStr">
        <is>
          <t>34486535794</t>
        </is>
      </c>
      <c r="C407" s="29" t="inlineStr">
        <is>
          <t>ZAHİDE ÖKÇE</t>
        </is>
      </c>
      <c r="D407" s="7">
        <f>Aylik_Puantaj!L409</f>
        <v/>
      </c>
      <c r="E407" s="7">
        <f>Aylik_Puantaj!BJ409</f>
        <v/>
      </c>
      <c r="F407" s="7">
        <f>Aylik_Puantaj!BL409</f>
        <v/>
      </c>
    </row>
    <row r="408">
      <c r="A408" s="4" t="n">
        <v>407</v>
      </c>
      <c r="B408" s="5" t="inlineStr">
        <is>
          <t>22249543988</t>
        </is>
      </c>
      <c r="C408" s="29" t="inlineStr">
        <is>
          <t>ZAHİDE NEDİRLİ</t>
        </is>
      </c>
      <c r="D408" s="7">
        <f>Aylik_Puantaj!L410</f>
        <v/>
      </c>
      <c r="E408" s="7">
        <f>Aylik_Puantaj!BJ410</f>
        <v/>
      </c>
      <c r="F408" s="7">
        <f>Aylik_Puantaj!BL410</f>
        <v/>
      </c>
    </row>
    <row r="409">
      <c r="A409" s="4" t="n">
        <v>408</v>
      </c>
      <c r="B409" s="5" t="inlineStr"/>
      <c r="C409" s="29" t="inlineStr">
        <is>
          <t>ZAHİDE SİYMEN</t>
        </is>
      </c>
      <c r="D409" s="7">
        <f>Aylik_Puantaj!L411</f>
        <v/>
      </c>
      <c r="E409" s="7">
        <f>Aylik_Puantaj!BJ411</f>
        <v/>
      </c>
      <c r="F409" s="7">
        <f>Aylik_Puantaj!BL411</f>
        <v/>
      </c>
    </row>
    <row r="410">
      <c r="A410" s="4" t="n">
        <v>409</v>
      </c>
      <c r="B410" s="5" t="inlineStr"/>
      <c r="C410" s="29" t="inlineStr">
        <is>
          <t>ZEBEYDE GÖBEL</t>
        </is>
      </c>
      <c r="D410" s="7">
        <f>Aylik_Puantaj!L412</f>
        <v/>
      </c>
      <c r="E410" s="7">
        <f>Aylik_Puantaj!BJ412</f>
        <v/>
      </c>
      <c r="F410" s="7">
        <f>Aylik_Puantaj!BL412</f>
        <v/>
      </c>
    </row>
    <row r="411">
      <c r="A411" s="4" t="n">
        <v>410</v>
      </c>
      <c r="B411" s="5" t="inlineStr">
        <is>
          <t>10820807680</t>
        </is>
      </c>
      <c r="C411" s="29" t="inlineStr">
        <is>
          <t>ZEHRA ONUK</t>
        </is>
      </c>
      <c r="D411" s="7">
        <f>Aylik_Puantaj!L413</f>
        <v/>
      </c>
      <c r="E411" s="7">
        <f>Aylik_Puantaj!BJ413</f>
        <v/>
      </c>
      <c r="F411" s="7">
        <f>Aylik_Puantaj!BL413</f>
        <v/>
      </c>
    </row>
    <row r="412">
      <c r="A412" s="4" t="n">
        <v>411</v>
      </c>
      <c r="B412" s="5" t="inlineStr">
        <is>
          <t>23782492962</t>
        </is>
      </c>
      <c r="C412" s="29" t="inlineStr">
        <is>
          <t>ZEKİYE ŞEKER</t>
        </is>
      </c>
      <c r="D412" s="7">
        <f>Aylik_Puantaj!L414</f>
        <v/>
      </c>
      <c r="E412" s="7">
        <f>Aylik_Puantaj!BJ414</f>
        <v/>
      </c>
      <c r="F412" s="7">
        <f>Aylik_Puantaj!BL414</f>
        <v/>
      </c>
    </row>
    <row r="413">
      <c r="A413" s="4" t="n">
        <v>412</v>
      </c>
      <c r="B413" s="5" t="inlineStr">
        <is>
          <t>38125944220</t>
        </is>
      </c>
      <c r="C413" s="29" t="inlineStr">
        <is>
          <t>ZEKİYE ABAK</t>
        </is>
      </c>
      <c r="D413" s="7">
        <f>Aylik_Puantaj!L415</f>
        <v/>
      </c>
      <c r="E413" s="7">
        <f>Aylik_Puantaj!BJ415</f>
        <v/>
      </c>
      <c r="F413" s="7">
        <f>Aylik_Puantaj!BL415</f>
        <v/>
      </c>
    </row>
    <row r="414">
      <c r="A414" s="4" t="n">
        <v>413</v>
      </c>
      <c r="B414" s="5" t="inlineStr">
        <is>
          <t>28729335166</t>
        </is>
      </c>
      <c r="C414" s="29" t="inlineStr">
        <is>
          <t>ZELİHA KEİREMETÇİ</t>
        </is>
      </c>
      <c r="D414" s="7">
        <f>Aylik_Puantaj!L416</f>
        <v/>
      </c>
      <c r="E414" s="7">
        <f>Aylik_Puantaj!BJ416</f>
        <v/>
      </c>
      <c r="F414" s="7">
        <f>Aylik_Puantaj!BL416</f>
        <v/>
      </c>
    </row>
    <row r="415">
      <c r="A415" s="4" t="n">
        <v>414</v>
      </c>
      <c r="B415" s="5" t="inlineStr">
        <is>
          <t>14047825472</t>
        </is>
      </c>
      <c r="C415" s="29" t="inlineStr">
        <is>
          <t>ZELİHA ORUÇ</t>
        </is>
      </c>
      <c r="D415" s="7">
        <f>Aylik_Puantaj!L417</f>
        <v/>
      </c>
      <c r="E415" s="7">
        <f>Aylik_Puantaj!BJ417</f>
        <v/>
      </c>
      <c r="F415" s="7">
        <f>Aylik_Puantaj!BL417</f>
        <v/>
      </c>
    </row>
    <row r="416">
      <c r="A416" s="4" t="n">
        <v>415</v>
      </c>
      <c r="B416" s="5" t="inlineStr"/>
      <c r="C416" s="29" t="inlineStr">
        <is>
          <t>ZELİHA YAMAN</t>
        </is>
      </c>
      <c r="D416" s="7">
        <f>Aylik_Puantaj!L418</f>
        <v/>
      </c>
      <c r="E416" s="7">
        <f>Aylik_Puantaj!BJ418</f>
        <v/>
      </c>
      <c r="F416" s="7">
        <f>Aylik_Puantaj!BL418</f>
        <v/>
      </c>
    </row>
    <row r="417">
      <c r="A417" s="4" t="n">
        <v>416</v>
      </c>
      <c r="B417" s="5" t="inlineStr">
        <is>
          <t>38692925318</t>
        </is>
      </c>
      <c r="C417" s="29" t="inlineStr">
        <is>
          <t>ZERGA ÇETİK</t>
        </is>
      </c>
      <c r="D417" s="7">
        <f>Aylik_Puantaj!L419</f>
        <v/>
      </c>
      <c r="E417" s="7">
        <f>Aylik_Puantaj!BJ419</f>
        <v/>
      </c>
      <c r="F417" s="7">
        <f>Aylik_Puantaj!BL419</f>
        <v/>
      </c>
    </row>
    <row r="418">
      <c r="A418" s="4" t="n">
        <v>417</v>
      </c>
      <c r="B418" s="5" t="inlineStr">
        <is>
          <t>24289352612</t>
        </is>
      </c>
      <c r="C418" s="29" t="inlineStr">
        <is>
          <t>ZEYNEP KARAMAN</t>
        </is>
      </c>
      <c r="D418" s="7">
        <f>Aylik_Puantaj!L420</f>
        <v/>
      </c>
      <c r="E418" s="7">
        <f>Aylik_Puantaj!BJ420</f>
        <v/>
      </c>
      <c r="F418" s="7">
        <f>Aylik_Puantaj!BL420</f>
        <v/>
      </c>
    </row>
    <row r="419">
      <c r="A419" s="4" t="n">
        <v>418</v>
      </c>
      <c r="B419" s="5" t="inlineStr">
        <is>
          <t>33742169780</t>
        </is>
      </c>
      <c r="C419" s="29" t="inlineStr">
        <is>
          <t>ZEYNEP KURT</t>
        </is>
      </c>
      <c r="D419" s="7">
        <f>Aylik_Puantaj!L421</f>
        <v/>
      </c>
      <c r="E419" s="7">
        <f>Aylik_Puantaj!BJ421</f>
        <v/>
      </c>
      <c r="F419" s="7">
        <f>Aylik_Puantaj!BL421</f>
        <v/>
      </c>
    </row>
    <row r="420">
      <c r="A420" s="4" t="n">
        <v>419</v>
      </c>
      <c r="B420" s="5" t="inlineStr">
        <is>
          <t>22498412394</t>
        </is>
      </c>
      <c r="C420" s="29" t="inlineStr">
        <is>
          <t>ZEYNEP ONBAŞI</t>
        </is>
      </c>
      <c r="D420" s="7">
        <f>Aylik_Puantaj!L422</f>
        <v/>
      </c>
      <c r="E420" s="7">
        <f>Aylik_Puantaj!BJ422</f>
        <v/>
      </c>
      <c r="F420" s="7">
        <f>Aylik_Puantaj!BL422</f>
        <v/>
      </c>
    </row>
    <row r="421">
      <c r="A421" s="4" t="n">
        <v>420</v>
      </c>
      <c r="B421" s="5" t="inlineStr">
        <is>
          <t>25657430024</t>
        </is>
      </c>
      <c r="C421" s="29" t="inlineStr">
        <is>
          <t>KÜRŞAT TÜRKAN</t>
        </is>
      </c>
      <c r="D421" s="7">
        <f>Aylik_Puantaj!L423</f>
        <v/>
      </c>
      <c r="E421" s="7">
        <f>Aylik_Puantaj!BJ423</f>
        <v/>
      </c>
      <c r="F421" s="7">
        <f>Aylik_Puantaj!BL423</f>
        <v/>
      </c>
    </row>
    <row r="422">
      <c r="A422" s="4" t="n">
        <v>421</v>
      </c>
      <c r="B422" s="5" t="inlineStr">
        <is>
          <t>26755743740</t>
        </is>
      </c>
      <c r="C422" s="29" t="inlineStr">
        <is>
          <t>SONGÜL ZEHİROĞLU</t>
        </is>
      </c>
      <c r="D422" s="7">
        <f>Aylik_Puantaj!L424</f>
        <v/>
      </c>
      <c r="E422" s="7">
        <f>Aylik_Puantaj!BJ424</f>
        <v/>
      </c>
      <c r="F422" s="7">
        <f>Aylik_Puantaj!BL424</f>
        <v/>
      </c>
    </row>
    <row r="423">
      <c r="A423" s="4" t="n">
        <v>422</v>
      </c>
      <c r="B423" s="5" t="inlineStr">
        <is>
          <t>38632602156</t>
        </is>
      </c>
      <c r="C423" s="29" t="inlineStr">
        <is>
          <t>AYÇANUR ELEKÇİEL</t>
        </is>
      </c>
      <c r="D423" s="7">
        <f>Aylik_Puantaj!L425</f>
        <v/>
      </c>
      <c r="E423" s="7">
        <f>Aylik_Puantaj!BJ425</f>
        <v/>
      </c>
      <c r="F423" s="7">
        <f>Aylik_Puantaj!BL425</f>
        <v/>
      </c>
    </row>
    <row r="424">
      <c r="A424" s="4" t="n">
        <v>423</v>
      </c>
      <c r="B424" s="5" t="inlineStr">
        <is>
          <t>32530202388</t>
        </is>
      </c>
      <c r="C424" s="29" t="inlineStr">
        <is>
          <t>AYNUR AY</t>
        </is>
      </c>
      <c r="D424" s="7">
        <f>Aylik_Puantaj!L426</f>
        <v/>
      </c>
      <c r="E424" s="7">
        <f>Aylik_Puantaj!BJ426</f>
        <v/>
      </c>
      <c r="F424" s="7">
        <f>Aylik_Puantaj!BL426</f>
        <v/>
      </c>
    </row>
    <row r="425">
      <c r="A425" s="4" t="n">
        <v>424</v>
      </c>
      <c r="B425" s="5" t="inlineStr">
        <is>
          <t>23476537894</t>
        </is>
      </c>
      <c r="C425" s="29" t="inlineStr">
        <is>
          <t>AYŞENUR SOLAK</t>
        </is>
      </c>
      <c r="D425" s="7">
        <f>Aylik_Puantaj!L427</f>
        <v/>
      </c>
      <c r="E425" s="7">
        <f>Aylik_Puantaj!BJ427</f>
        <v/>
      </c>
      <c r="F425" s="7">
        <f>Aylik_Puantaj!BL427</f>
        <v/>
      </c>
    </row>
    <row r="426">
      <c r="A426" s="4" t="n">
        <v>425</v>
      </c>
      <c r="B426" s="5" t="inlineStr">
        <is>
          <t>10459938144</t>
        </is>
      </c>
      <c r="C426" s="29" t="inlineStr">
        <is>
          <t>BARIŞ AŞIRT</t>
        </is>
      </c>
      <c r="D426" s="7">
        <f>Aylik_Puantaj!L428</f>
        <v/>
      </c>
      <c r="E426" s="7">
        <f>Aylik_Puantaj!BJ428</f>
        <v/>
      </c>
      <c r="F426" s="7">
        <f>Aylik_Puantaj!BL428</f>
        <v/>
      </c>
    </row>
    <row r="427">
      <c r="A427" s="4" t="n">
        <v>426</v>
      </c>
      <c r="B427" s="5" t="inlineStr">
        <is>
          <t>49387772940</t>
        </is>
      </c>
      <c r="C427" s="29" t="inlineStr">
        <is>
          <t>BARIŞ SOLAK</t>
        </is>
      </c>
      <c r="D427" s="7">
        <f>Aylik_Puantaj!L429</f>
        <v/>
      </c>
      <c r="E427" s="7">
        <f>Aylik_Puantaj!BJ429</f>
        <v/>
      </c>
      <c r="F427" s="7">
        <f>Aylik_Puantaj!BL429</f>
        <v/>
      </c>
    </row>
    <row r="428">
      <c r="A428" s="4" t="n">
        <v>427</v>
      </c>
      <c r="B428" s="5" t="inlineStr">
        <is>
          <t>41384041746</t>
        </is>
      </c>
      <c r="C428" s="29" t="inlineStr">
        <is>
          <t>BERİVAN DOĞANAY DADAŞ</t>
        </is>
      </c>
      <c r="D428" s="7">
        <f>Aylik_Puantaj!L430</f>
        <v/>
      </c>
      <c r="E428" s="7">
        <f>Aylik_Puantaj!BJ430</f>
        <v/>
      </c>
      <c r="F428" s="7">
        <f>Aylik_Puantaj!BL430</f>
        <v/>
      </c>
    </row>
    <row r="429">
      <c r="A429" s="4" t="n">
        <v>428</v>
      </c>
      <c r="B429" s="5" t="inlineStr">
        <is>
          <t>18781659140</t>
        </is>
      </c>
      <c r="C429" s="29" t="inlineStr">
        <is>
          <t>BİRGÜL ELEKÇİEL</t>
        </is>
      </c>
      <c r="D429" s="7">
        <f>Aylik_Puantaj!L431</f>
        <v/>
      </c>
      <c r="E429" s="7">
        <f>Aylik_Puantaj!BJ431</f>
        <v/>
      </c>
      <c r="F429" s="7">
        <f>Aylik_Puantaj!BL431</f>
        <v/>
      </c>
    </row>
    <row r="430">
      <c r="A430" s="4" t="n">
        <v>429</v>
      </c>
      <c r="B430" s="5" t="inlineStr">
        <is>
          <t>10201948926</t>
        </is>
      </c>
      <c r="C430" s="29" t="inlineStr">
        <is>
          <t>ÇAĞLA DURUCAN</t>
        </is>
      </c>
      <c r="D430" s="7">
        <f>Aylik_Puantaj!L432</f>
        <v/>
      </c>
      <c r="E430" s="7">
        <f>Aylik_Puantaj!BJ432</f>
        <v/>
      </c>
      <c r="F430" s="7">
        <f>Aylik_Puantaj!BL432</f>
        <v/>
      </c>
    </row>
    <row r="431">
      <c r="A431" s="4" t="n">
        <v>430</v>
      </c>
      <c r="B431" s="5" t="inlineStr">
        <is>
          <t>32866191196</t>
        </is>
      </c>
      <c r="C431" s="29" t="inlineStr">
        <is>
          <t>DENİZ DEĞİRMENCİ</t>
        </is>
      </c>
      <c r="D431" s="7">
        <f>Aylik_Puantaj!L433</f>
        <v/>
      </c>
      <c r="E431" s="7">
        <f>Aylik_Puantaj!BJ433</f>
        <v/>
      </c>
      <c r="F431" s="7">
        <f>Aylik_Puantaj!BL433</f>
        <v/>
      </c>
    </row>
    <row r="432">
      <c r="A432" s="4" t="n">
        <v>431</v>
      </c>
      <c r="B432" s="5" t="inlineStr">
        <is>
          <t>10183826212</t>
        </is>
      </c>
      <c r="C432" s="29" t="inlineStr">
        <is>
          <t>DİLAN KARAOĞLAN</t>
        </is>
      </c>
      <c r="D432" s="7">
        <f>Aylik_Puantaj!L434</f>
        <v/>
      </c>
      <c r="E432" s="7">
        <f>Aylik_Puantaj!BJ434</f>
        <v/>
      </c>
      <c r="F432" s="7">
        <f>Aylik_Puantaj!BL434</f>
        <v/>
      </c>
    </row>
    <row r="433">
      <c r="A433" s="4" t="n">
        <v>432</v>
      </c>
      <c r="B433" s="5" t="inlineStr">
        <is>
          <t>19111648124</t>
        </is>
      </c>
      <c r="C433" s="29" t="inlineStr">
        <is>
          <t>DİLEK ARTAN</t>
        </is>
      </c>
      <c r="D433" s="7">
        <f>Aylik_Puantaj!L435</f>
        <v/>
      </c>
      <c r="E433" s="7">
        <f>Aylik_Puantaj!BJ435</f>
        <v/>
      </c>
      <c r="F433" s="7">
        <f>Aylik_Puantaj!BL435</f>
        <v/>
      </c>
    </row>
    <row r="434">
      <c r="A434" s="4" t="n">
        <v>433</v>
      </c>
      <c r="B434" s="5" t="inlineStr">
        <is>
          <t>13690830932</t>
        </is>
      </c>
      <c r="C434" s="29" t="inlineStr">
        <is>
          <t>DOĞUKAN GÜN</t>
        </is>
      </c>
      <c r="D434" s="7">
        <f>Aylik_Puantaj!L436</f>
        <v/>
      </c>
      <c r="E434" s="7">
        <f>Aylik_Puantaj!BJ436</f>
        <v/>
      </c>
      <c r="F434" s="7">
        <f>Aylik_Puantaj!BL436</f>
        <v/>
      </c>
    </row>
    <row r="435">
      <c r="A435" s="4" t="n">
        <v>434</v>
      </c>
      <c r="B435" s="5" t="inlineStr">
        <is>
          <t>10492937678</t>
        </is>
      </c>
      <c r="C435" s="29" t="inlineStr">
        <is>
          <t>ELİF NUR BAYRAM</t>
        </is>
      </c>
      <c r="D435" s="7">
        <f>Aylik_Puantaj!L437</f>
        <v/>
      </c>
      <c r="E435" s="7">
        <f>Aylik_Puantaj!BJ437</f>
        <v/>
      </c>
      <c r="F435" s="7">
        <f>Aylik_Puantaj!BL437</f>
        <v/>
      </c>
    </row>
    <row r="436">
      <c r="A436" s="4" t="n">
        <v>435</v>
      </c>
      <c r="B436" s="5" t="inlineStr">
        <is>
          <t>11239919780</t>
        </is>
      </c>
      <c r="C436" s="29" t="inlineStr">
        <is>
          <t>EMEL KURT</t>
        </is>
      </c>
      <c r="D436" s="7">
        <f>Aylik_Puantaj!L438</f>
        <v/>
      </c>
      <c r="E436" s="7">
        <f>Aylik_Puantaj!BJ438</f>
        <v/>
      </c>
      <c r="F436" s="7">
        <f>Aylik_Puantaj!BL438</f>
        <v/>
      </c>
    </row>
    <row r="437">
      <c r="A437" s="4" t="n">
        <v>436</v>
      </c>
      <c r="B437" s="5" t="inlineStr">
        <is>
          <t>20392457114</t>
        </is>
      </c>
      <c r="C437" s="29" t="inlineStr">
        <is>
          <t>EMİNE DEDE</t>
        </is>
      </c>
      <c r="D437" s="7">
        <f>Aylik_Puantaj!L439</f>
        <v/>
      </c>
      <c r="E437" s="7">
        <f>Aylik_Puantaj!BJ439</f>
        <v/>
      </c>
      <c r="F437" s="7">
        <f>Aylik_Puantaj!BL439</f>
        <v/>
      </c>
    </row>
    <row r="438">
      <c r="A438" s="4" t="n">
        <v>437</v>
      </c>
      <c r="B438" s="5" t="inlineStr">
        <is>
          <t>10378792490</t>
        </is>
      </c>
      <c r="C438" s="29" t="inlineStr">
        <is>
          <t>ERVA DEDE</t>
        </is>
      </c>
      <c r="D438" s="7">
        <f>Aylik_Puantaj!L440</f>
        <v/>
      </c>
      <c r="E438" s="7">
        <f>Aylik_Puantaj!BJ440</f>
        <v/>
      </c>
      <c r="F438" s="7">
        <f>Aylik_Puantaj!BL440</f>
        <v/>
      </c>
    </row>
    <row r="439">
      <c r="A439" s="4" t="n">
        <v>438</v>
      </c>
      <c r="B439" s="5" t="inlineStr">
        <is>
          <t>60544339486</t>
        </is>
      </c>
      <c r="C439" s="29" t="inlineStr">
        <is>
          <t>ESMA ÇİTKIRAN</t>
        </is>
      </c>
      <c r="D439" s="7">
        <f>Aylik_Puantaj!L441</f>
        <v/>
      </c>
      <c r="E439" s="7">
        <f>Aylik_Puantaj!BJ441</f>
        <v/>
      </c>
      <c r="F439" s="7">
        <f>Aylik_Puantaj!BL441</f>
        <v/>
      </c>
    </row>
    <row r="440">
      <c r="A440" s="4" t="n">
        <v>439</v>
      </c>
      <c r="B440" s="5" t="inlineStr">
        <is>
          <t>10273945236</t>
        </is>
      </c>
      <c r="C440" s="29" t="inlineStr">
        <is>
          <t>ESMANUR AĞYAR</t>
        </is>
      </c>
      <c r="D440" s="7">
        <f>Aylik_Puantaj!L442</f>
        <v/>
      </c>
      <c r="E440" s="7">
        <f>Aylik_Puantaj!BJ442</f>
        <v/>
      </c>
      <c r="F440" s="7">
        <f>Aylik_Puantaj!BL442</f>
        <v/>
      </c>
    </row>
    <row r="441">
      <c r="A441" s="4" t="n">
        <v>440</v>
      </c>
      <c r="B441" s="5" t="inlineStr">
        <is>
          <t>27979354040</t>
        </is>
      </c>
      <c r="C441" s="29" t="inlineStr">
        <is>
          <t>ESRA POLAT</t>
        </is>
      </c>
      <c r="D441" s="7">
        <f>Aylik_Puantaj!L443</f>
        <v/>
      </c>
      <c r="E441" s="7">
        <f>Aylik_Puantaj!BJ443</f>
        <v/>
      </c>
      <c r="F441" s="7">
        <f>Aylik_Puantaj!BL443</f>
        <v/>
      </c>
    </row>
    <row r="442">
      <c r="A442" s="4" t="n">
        <v>441</v>
      </c>
      <c r="B442" s="5" t="inlineStr">
        <is>
          <t>66064334710</t>
        </is>
      </c>
      <c r="C442" s="29" t="inlineStr">
        <is>
          <t>FATMA SARIBAŞ</t>
        </is>
      </c>
      <c r="D442" s="7">
        <f>Aylik_Puantaj!L444</f>
        <v/>
      </c>
      <c r="E442" s="7">
        <f>Aylik_Puantaj!BJ444</f>
        <v/>
      </c>
      <c r="F442" s="7">
        <f>Aylik_Puantaj!BL444</f>
        <v/>
      </c>
    </row>
    <row r="443">
      <c r="A443" s="4" t="n">
        <v>442</v>
      </c>
      <c r="B443" s="5" t="inlineStr">
        <is>
          <t>37798033156</t>
        </is>
      </c>
      <c r="C443" s="29" t="inlineStr">
        <is>
          <t>FİLİZ ŞENGİL</t>
        </is>
      </c>
      <c r="D443" s="7">
        <f>Aylik_Puantaj!L445</f>
        <v/>
      </c>
      <c r="E443" s="7">
        <f>Aylik_Puantaj!BJ445</f>
        <v/>
      </c>
      <c r="F443" s="7">
        <f>Aylik_Puantaj!BL445</f>
        <v/>
      </c>
    </row>
    <row r="444">
      <c r="A444" s="4" t="n">
        <v>443</v>
      </c>
      <c r="B444" s="5" t="inlineStr">
        <is>
          <t>42526141218</t>
        </is>
      </c>
      <c r="C444" s="29" t="inlineStr">
        <is>
          <t>GÜLPERİ ATMACA</t>
        </is>
      </c>
      <c r="D444" s="7">
        <f>Aylik_Puantaj!L446</f>
        <v/>
      </c>
      <c r="E444" s="7">
        <f>Aylik_Puantaj!BJ446</f>
        <v/>
      </c>
      <c r="F444" s="7">
        <f>Aylik_Puantaj!BL446</f>
        <v/>
      </c>
    </row>
    <row r="445">
      <c r="A445" s="4" t="n">
        <v>444</v>
      </c>
      <c r="B445" s="5" t="inlineStr">
        <is>
          <t>49630764852</t>
        </is>
      </c>
      <c r="C445" s="29" t="inlineStr">
        <is>
          <t>GÜLŞEN DAĞ</t>
        </is>
      </c>
      <c r="D445" s="7">
        <f>Aylik_Puantaj!L447</f>
        <v/>
      </c>
      <c r="E445" s="7">
        <f>Aylik_Puantaj!BJ447</f>
        <v/>
      </c>
      <c r="F445" s="7">
        <f>Aylik_Puantaj!BL447</f>
        <v/>
      </c>
    </row>
    <row r="446">
      <c r="A446" s="4" t="n">
        <v>445</v>
      </c>
      <c r="B446" s="5" t="inlineStr">
        <is>
          <t>32242211906</t>
        </is>
      </c>
      <c r="C446" s="29" t="inlineStr">
        <is>
          <t>GÜLTEN ÇORUMLU</t>
        </is>
      </c>
      <c r="D446" s="7">
        <f>Aylik_Puantaj!L448</f>
        <v/>
      </c>
      <c r="E446" s="7">
        <f>Aylik_Puantaj!BJ448</f>
        <v/>
      </c>
      <c r="F446" s="7">
        <f>Aylik_Puantaj!BL448</f>
        <v/>
      </c>
    </row>
    <row r="447">
      <c r="A447" s="4" t="n">
        <v>446</v>
      </c>
      <c r="B447" s="5" t="inlineStr">
        <is>
          <t>13813826170</t>
        </is>
      </c>
      <c r="C447" s="29" t="inlineStr">
        <is>
          <t>GÜNEŞ POLAT</t>
        </is>
      </c>
      <c r="D447" s="7">
        <f>Aylik_Puantaj!L449</f>
        <v/>
      </c>
      <c r="E447" s="7">
        <f>Aylik_Puantaj!BJ449</f>
        <v/>
      </c>
      <c r="F447" s="7">
        <f>Aylik_Puantaj!BL449</f>
        <v/>
      </c>
    </row>
    <row r="448">
      <c r="A448" s="4" t="n">
        <v>447</v>
      </c>
      <c r="B448" s="5" t="inlineStr">
        <is>
          <t>14608798856</t>
        </is>
      </c>
      <c r="C448" s="29" t="inlineStr">
        <is>
          <t>HANDE BAYHAN</t>
        </is>
      </c>
      <c r="D448" s="7">
        <f>Aylik_Puantaj!L450</f>
        <v/>
      </c>
      <c r="E448" s="7">
        <f>Aylik_Puantaj!BJ450</f>
        <v/>
      </c>
      <c r="F448" s="7">
        <f>Aylik_Puantaj!BL450</f>
        <v/>
      </c>
    </row>
    <row r="449">
      <c r="A449" s="4" t="n">
        <v>448</v>
      </c>
      <c r="B449" s="5" t="inlineStr">
        <is>
          <t>35500102534</t>
        </is>
      </c>
      <c r="C449" s="29" t="inlineStr">
        <is>
          <t>HATİCE BAYRAM</t>
        </is>
      </c>
      <c r="D449" s="7">
        <f>Aylik_Puantaj!L451</f>
        <v/>
      </c>
      <c r="E449" s="7">
        <f>Aylik_Puantaj!BJ451</f>
        <v/>
      </c>
      <c r="F449" s="7">
        <f>Aylik_Puantaj!BL451</f>
        <v/>
      </c>
    </row>
    <row r="450">
      <c r="A450" s="4" t="n">
        <v>449</v>
      </c>
      <c r="B450" s="5" t="inlineStr">
        <is>
          <t>10027960836</t>
        </is>
      </c>
      <c r="C450" s="29" t="inlineStr">
        <is>
          <t>HÜSEYİN BEYGİRCİ</t>
        </is>
      </c>
      <c r="D450" s="7">
        <f>Aylik_Puantaj!L452</f>
        <v/>
      </c>
      <c r="E450" s="7">
        <f>Aylik_Puantaj!BJ452</f>
        <v/>
      </c>
      <c r="F450" s="7">
        <f>Aylik_Puantaj!BL452</f>
        <v/>
      </c>
    </row>
    <row r="451">
      <c r="A451" s="4" t="n">
        <v>450</v>
      </c>
      <c r="B451" s="5" t="inlineStr">
        <is>
          <t>48823585328</t>
        </is>
      </c>
      <c r="C451" s="29" t="inlineStr">
        <is>
          <t>İİLKNUR YILDIRIM</t>
        </is>
      </c>
      <c r="D451" s="7">
        <f>Aylik_Puantaj!L453</f>
        <v/>
      </c>
      <c r="E451" s="7">
        <f>Aylik_Puantaj!BJ453</f>
        <v/>
      </c>
      <c r="F451" s="7">
        <f>Aylik_Puantaj!BL453</f>
        <v/>
      </c>
    </row>
    <row r="452">
      <c r="A452" s="4" t="n">
        <v>451</v>
      </c>
      <c r="B452" s="5" t="inlineStr">
        <is>
          <t>56803048138</t>
        </is>
      </c>
      <c r="C452" s="29" t="inlineStr">
        <is>
          <t>İİLKNUR SİVLİM</t>
        </is>
      </c>
      <c r="D452" s="7">
        <f>Aylik_Puantaj!L454</f>
        <v/>
      </c>
      <c r="E452" s="7">
        <f>Aylik_Puantaj!BJ454</f>
        <v/>
      </c>
      <c r="F452" s="7">
        <f>Aylik_Puantaj!BL454</f>
        <v/>
      </c>
    </row>
    <row r="453">
      <c r="A453" s="4" t="n">
        <v>452</v>
      </c>
      <c r="B453" s="5" t="inlineStr">
        <is>
          <t>10632149770</t>
        </is>
      </c>
      <c r="C453" s="29" t="inlineStr">
        <is>
          <t>İİPEK ALEMİN</t>
        </is>
      </c>
      <c r="D453" s="7">
        <f>Aylik_Puantaj!L455</f>
        <v/>
      </c>
      <c r="E453" s="7">
        <f>Aylik_Puantaj!BJ455</f>
        <v/>
      </c>
      <c r="F453" s="7">
        <f>Aylik_Puantaj!BL455</f>
        <v/>
      </c>
    </row>
    <row r="454">
      <c r="A454" s="4" t="n">
        <v>453</v>
      </c>
      <c r="B454" s="5" t="inlineStr">
        <is>
          <t>13055316880</t>
        </is>
      </c>
      <c r="C454" s="29" t="inlineStr">
        <is>
          <t>KADER AĞYAR</t>
        </is>
      </c>
      <c r="D454" s="7">
        <f>Aylik_Puantaj!L456</f>
        <v/>
      </c>
      <c r="E454" s="7">
        <f>Aylik_Puantaj!BJ456</f>
        <v/>
      </c>
      <c r="F454" s="7">
        <f>Aylik_Puantaj!BL456</f>
        <v/>
      </c>
    </row>
    <row r="455">
      <c r="A455" s="4" t="n">
        <v>454</v>
      </c>
      <c r="B455" s="5" t="inlineStr">
        <is>
          <t>10438940458</t>
        </is>
      </c>
      <c r="C455" s="29" t="inlineStr">
        <is>
          <t>KIYMET ÜZER</t>
        </is>
      </c>
      <c r="D455" s="7">
        <f>Aylik_Puantaj!L457</f>
        <v/>
      </c>
      <c r="E455" s="7">
        <f>Aylik_Puantaj!BJ457</f>
        <v/>
      </c>
      <c r="F455" s="7">
        <f>Aylik_Puantaj!BL457</f>
        <v/>
      </c>
    </row>
    <row r="456">
      <c r="A456" s="4" t="n">
        <v>455</v>
      </c>
      <c r="B456" s="5" t="inlineStr">
        <is>
          <t>24070483334</t>
        </is>
      </c>
      <c r="C456" s="29" t="inlineStr">
        <is>
          <t>MERYEM İNAN</t>
        </is>
      </c>
      <c r="D456" s="7">
        <f>Aylik_Puantaj!L458</f>
        <v/>
      </c>
      <c r="E456" s="7">
        <f>Aylik_Puantaj!BJ458</f>
        <v/>
      </c>
      <c r="F456" s="7">
        <f>Aylik_Puantaj!BL458</f>
        <v/>
      </c>
    </row>
    <row r="457">
      <c r="A457" s="4" t="n">
        <v>456</v>
      </c>
      <c r="B457" s="5" t="inlineStr">
        <is>
          <t>14668797738</t>
        </is>
      </c>
      <c r="C457" s="29" t="inlineStr">
        <is>
          <t>MİNE ÜRGÜN</t>
        </is>
      </c>
      <c r="D457" s="7">
        <f>Aylik_Puantaj!L459</f>
        <v/>
      </c>
      <c r="E457" s="7">
        <f>Aylik_Puantaj!BJ459</f>
        <v/>
      </c>
      <c r="F457" s="7">
        <f>Aylik_Puantaj!BL459</f>
        <v/>
      </c>
    </row>
    <row r="458">
      <c r="A458" s="4" t="n">
        <v>457</v>
      </c>
      <c r="B458" s="5" t="inlineStr">
        <is>
          <t>10315974842</t>
        </is>
      </c>
      <c r="C458" s="29" t="inlineStr">
        <is>
          <t>MUHAMMED ALİ SOLAK</t>
        </is>
      </c>
      <c r="D458" s="7">
        <f>Aylik_Puantaj!L460</f>
        <v/>
      </c>
      <c r="E458" s="7">
        <f>Aylik_Puantaj!BJ460</f>
        <v/>
      </c>
      <c r="F458" s="7">
        <f>Aylik_Puantaj!BL460</f>
        <v/>
      </c>
    </row>
    <row r="459">
      <c r="A459" s="4" t="n">
        <v>458</v>
      </c>
      <c r="B459" s="5" t="inlineStr">
        <is>
          <t>10069953452</t>
        </is>
      </c>
      <c r="C459" s="29" t="inlineStr">
        <is>
          <t>MUHAMMET BEYİRKEN</t>
        </is>
      </c>
      <c r="D459" s="7">
        <f>Aylik_Puantaj!L461</f>
        <v/>
      </c>
      <c r="E459" s="7">
        <f>Aylik_Puantaj!BJ461</f>
        <v/>
      </c>
      <c r="F459" s="7">
        <f>Aylik_Puantaj!BL461</f>
        <v/>
      </c>
    </row>
    <row r="460">
      <c r="A460" s="4" t="n">
        <v>459</v>
      </c>
      <c r="B460" s="5" t="inlineStr">
        <is>
          <t>10189849550</t>
        </is>
      </c>
      <c r="C460" s="29" t="inlineStr">
        <is>
          <t>MURAT GÜNDOĞAN</t>
        </is>
      </c>
      <c r="D460" s="7">
        <f>Aylik_Puantaj!L462</f>
        <v/>
      </c>
      <c r="E460" s="7">
        <f>Aylik_Puantaj!BJ462</f>
        <v/>
      </c>
      <c r="F460" s="7">
        <f>Aylik_Puantaj!BL462</f>
        <v/>
      </c>
    </row>
    <row r="461">
      <c r="A461" s="4" t="n">
        <v>460</v>
      </c>
      <c r="B461" s="5" t="inlineStr">
        <is>
          <t>10513936154</t>
        </is>
      </c>
      <c r="C461" s="29" t="inlineStr">
        <is>
          <t>NEBAHAT ARTAN</t>
        </is>
      </c>
      <c r="D461" s="7">
        <f>Aylik_Puantaj!L463</f>
        <v/>
      </c>
      <c r="E461" s="7">
        <f>Aylik_Puantaj!BJ463</f>
        <v/>
      </c>
      <c r="F461" s="7">
        <f>Aylik_Puantaj!BL463</f>
        <v/>
      </c>
    </row>
    <row r="462">
      <c r="A462" s="4" t="n">
        <v>461</v>
      </c>
      <c r="B462" s="5" t="inlineStr">
        <is>
          <t>27439371556</t>
        </is>
      </c>
      <c r="C462" s="29" t="inlineStr">
        <is>
          <t>ÖZNUR ŞİMŞEK</t>
        </is>
      </c>
      <c r="D462" s="7">
        <f>Aylik_Puantaj!L464</f>
        <v/>
      </c>
      <c r="E462" s="7">
        <f>Aylik_Puantaj!BJ464</f>
        <v/>
      </c>
      <c r="F462" s="7">
        <f>Aylik_Puantaj!BL464</f>
        <v/>
      </c>
    </row>
    <row r="463">
      <c r="A463" s="4" t="n">
        <v>462</v>
      </c>
      <c r="B463" s="5" t="inlineStr">
        <is>
          <t>19450488504</t>
        </is>
      </c>
      <c r="C463" s="29" t="inlineStr">
        <is>
          <t>RABİA SILA ALKAN</t>
        </is>
      </c>
      <c r="D463" s="7">
        <f>Aylik_Puantaj!L465</f>
        <v/>
      </c>
      <c r="E463" s="7">
        <f>Aylik_Puantaj!BJ465</f>
        <v/>
      </c>
      <c r="F463" s="7">
        <f>Aylik_Puantaj!BL465</f>
        <v/>
      </c>
    </row>
    <row r="464">
      <c r="A464" s="4" t="n">
        <v>463</v>
      </c>
      <c r="B464" s="5" t="inlineStr">
        <is>
          <t>14066951282</t>
        </is>
      </c>
      <c r="C464" s="29" t="inlineStr">
        <is>
          <t>SALİH DAĞ</t>
        </is>
      </c>
      <c r="D464" s="7">
        <f>Aylik_Puantaj!L466</f>
        <v/>
      </c>
      <c r="E464" s="7">
        <f>Aylik_Puantaj!BJ466</f>
        <v/>
      </c>
      <c r="F464" s="7">
        <f>Aylik_Puantaj!BL466</f>
        <v/>
      </c>
    </row>
    <row r="465">
      <c r="A465" s="4" t="n">
        <v>464</v>
      </c>
      <c r="B465" s="5" t="inlineStr">
        <is>
          <t>60649335994</t>
        </is>
      </c>
      <c r="C465" s="29" t="inlineStr">
        <is>
          <t>SANİYE ÇİTKIRAN</t>
        </is>
      </c>
      <c r="D465" s="7">
        <f>Aylik_Puantaj!L467</f>
        <v/>
      </c>
      <c r="E465" s="7">
        <f>Aylik_Puantaj!BJ467</f>
        <v/>
      </c>
      <c r="F465" s="7">
        <f>Aylik_Puantaj!BL467</f>
        <v/>
      </c>
    </row>
    <row r="466">
      <c r="A466" s="4" t="n">
        <v>465</v>
      </c>
      <c r="B466" s="5" t="inlineStr">
        <is>
          <t>22756404246</t>
        </is>
      </c>
      <c r="C466" s="29" t="inlineStr">
        <is>
          <t>SELAHATTİN IRMAK</t>
        </is>
      </c>
      <c r="D466" s="7">
        <f>Aylik_Puantaj!L468</f>
        <v/>
      </c>
      <c r="E466" s="7">
        <f>Aylik_Puantaj!BJ468</f>
        <v/>
      </c>
      <c r="F466" s="7">
        <f>Aylik_Puantaj!BL468</f>
        <v/>
      </c>
    </row>
    <row r="467">
      <c r="A467" s="4" t="n">
        <v>466</v>
      </c>
      <c r="B467" s="5" t="inlineStr">
        <is>
          <t>19072649468</t>
        </is>
      </c>
      <c r="C467" s="29" t="inlineStr">
        <is>
          <t>SELİME DUMAN</t>
        </is>
      </c>
      <c r="D467" s="7">
        <f>Aylik_Puantaj!L469</f>
        <v/>
      </c>
      <c r="E467" s="7">
        <f>Aylik_Puantaj!BJ469</f>
        <v/>
      </c>
      <c r="F467" s="7">
        <f>Aylik_Puantaj!BL469</f>
        <v/>
      </c>
    </row>
    <row r="468">
      <c r="A468" s="4" t="n">
        <v>467</v>
      </c>
      <c r="B468" s="5" t="inlineStr">
        <is>
          <t>12970852824</t>
        </is>
      </c>
      <c r="C468" s="29" t="inlineStr">
        <is>
          <t>SELİN ÖYKÜ ATA</t>
        </is>
      </c>
      <c r="D468" s="7">
        <f>Aylik_Puantaj!L470</f>
        <v/>
      </c>
      <c r="E468" s="7">
        <f>Aylik_Puantaj!BJ470</f>
        <v/>
      </c>
      <c r="F468" s="7">
        <f>Aylik_Puantaj!BL470</f>
        <v/>
      </c>
    </row>
    <row r="469">
      <c r="A469" s="4" t="n">
        <v>468</v>
      </c>
      <c r="B469" s="5" t="inlineStr">
        <is>
          <t>35425113622</t>
        </is>
      </c>
      <c r="C469" s="29" t="inlineStr">
        <is>
          <t>SENEM BATTAL</t>
        </is>
      </c>
      <c r="D469" s="7">
        <f>Aylik_Puantaj!L471</f>
        <v/>
      </c>
      <c r="E469" s="7">
        <f>Aylik_Puantaj!BJ471</f>
        <v/>
      </c>
      <c r="F469" s="7">
        <f>Aylik_Puantaj!BL471</f>
        <v/>
      </c>
    </row>
    <row r="470">
      <c r="A470" s="4" t="n">
        <v>469</v>
      </c>
      <c r="B470" s="5" t="inlineStr">
        <is>
          <t>11989894740</t>
        </is>
      </c>
      <c r="C470" s="29" t="inlineStr">
        <is>
          <t>SENEM DORU</t>
        </is>
      </c>
      <c r="D470" s="7">
        <f>Aylik_Puantaj!L472</f>
        <v/>
      </c>
      <c r="E470" s="7">
        <f>Aylik_Puantaj!BJ472</f>
        <v/>
      </c>
      <c r="F470" s="7">
        <f>Aylik_Puantaj!BL472</f>
        <v/>
      </c>
    </row>
    <row r="471">
      <c r="A471" s="4" t="n">
        <v>470</v>
      </c>
      <c r="B471" s="5" t="inlineStr">
        <is>
          <t>27337033952</t>
        </is>
      </c>
      <c r="C471" s="29" t="inlineStr">
        <is>
          <t>SEVDA POLAT</t>
        </is>
      </c>
      <c r="D471" s="7">
        <f>Aylik_Puantaj!L473</f>
        <v/>
      </c>
      <c r="E471" s="7">
        <f>Aylik_Puantaj!BJ473</f>
        <v/>
      </c>
      <c r="F471" s="7">
        <f>Aylik_Puantaj!BL473</f>
        <v/>
      </c>
    </row>
    <row r="472">
      <c r="A472" s="4" t="n">
        <v>471</v>
      </c>
      <c r="B472" s="5" t="inlineStr">
        <is>
          <t>14578799594</t>
        </is>
      </c>
      <c r="C472" s="29" t="inlineStr">
        <is>
          <t>SEZER YAĞMUR</t>
        </is>
      </c>
      <c r="D472" s="7">
        <f>Aylik_Puantaj!L474</f>
        <v/>
      </c>
      <c r="E472" s="7">
        <f>Aylik_Puantaj!BJ474</f>
        <v/>
      </c>
      <c r="F472" s="7">
        <f>Aylik_Puantaj!BL474</f>
        <v/>
      </c>
    </row>
    <row r="473">
      <c r="A473" s="4" t="n">
        <v>472</v>
      </c>
      <c r="B473" s="5" t="inlineStr">
        <is>
          <t>10348959144</t>
        </is>
      </c>
      <c r="C473" s="29" t="inlineStr">
        <is>
          <t>SILA SEVİNÇ</t>
        </is>
      </c>
      <c r="D473" s="7">
        <f>Aylik_Puantaj!L475</f>
        <v/>
      </c>
      <c r="E473" s="7">
        <f>Aylik_Puantaj!BJ475</f>
        <v/>
      </c>
      <c r="F473" s="7">
        <f>Aylik_Puantaj!BL475</f>
        <v/>
      </c>
    </row>
    <row r="474">
      <c r="A474" s="4" t="n">
        <v>473</v>
      </c>
      <c r="B474" s="5" t="inlineStr">
        <is>
          <t>25540093862</t>
        </is>
      </c>
      <c r="C474" s="29" t="inlineStr">
        <is>
          <t>SUDE ÜRGÜN</t>
        </is>
      </c>
      <c r="D474" s="7">
        <f>Aylik_Puantaj!L476</f>
        <v/>
      </c>
      <c r="E474" s="7">
        <f>Aylik_Puantaj!BJ476</f>
        <v/>
      </c>
      <c r="F474" s="7">
        <f>Aylik_Puantaj!BL476</f>
        <v/>
      </c>
    </row>
    <row r="475">
      <c r="A475" s="4" t="n">
        <v>474</v>
      </c>
      <c r="B475" s="5" t="inlineStr">
        <is>
          <t>23606018040</t>
        </is>
      </c>
      <c r="C475" s="29" t="inlineStr">
        <is>
          <t>ŞEYMANUR ÖZGÜLMEZ</t>
        </is>
      </c>
      <c r="D475" s="7">
        <f>Aylik_Puantaj!L477</f>
        <v/>
      </c>
      <c r="E475" s="7">
        <f>Aylik_Puantaj!BJ477</f>
        <v/>
      </c>
      <c r="F475" s="7">
        <f>Aylik_Puantaj!BL477</f>
        <v/>
      </c>
    </row>
    <row r="476">
      <c r="A476" s="4" t="n">
        <v>475</v>
      </c>
      <c r="B476" s="5" t="inlineStr">
        <is>
          <t>13633830906</t>
        </is>
      </c>
      <c r="C476" s="29" t="inlineStr">
        <is>
          <t>TANJU GÜN</t>
        </is>
      </c>
      <c r="D476" s="7">
        <f>Aylik_Puantaj!L478</f>
        <v/>
      </c>
      <c r="E476" s="7">
        <f>Aylik_Puantaj!BJ478</f>
        <v/>
      </c>
      <c r="F476" s="7">
        <f>Aylik_Puantaj!BL478</f>
        <v/>
      </c>
    </row>
    <row r="477">
      <c r="A477" s="4" t="n">
        <v>476</v>
      </c>
      <c r="B477" s="5" t="inlineStr">
        <is>
          <t>11380915020</t>
        </is>
      </c>
      <c r="C477" s="29" t="inlineStr">
        <is>
          <t>UĞUR YAMAN</t>
        </is>
      </c>
      <c r="D477" s="7">
        <f>Aylik_Puantaj!L479</f>
        <v/>
      </c>
      <c r="E477" s="7">
        <f>Aylik_Puantaj!BJ479</f>
        <v/>
      </c>
      <c r="F477" s="7">
        <f>Aylik_Puantaj!BL479</f>
        <v/>
      </c>
    </row>
    <row r="478">
      <c r="A478" s="4" t="n">
        <v>477</v>
      </c>
      <c r="B478" s="5" t="inlineStr">
        <is>
          <t>14239810682</t>
        </is>
      </c>
      <c r="C478" s="29" t="inlineStr">
        <is>
          <t>YELİZ ÇALIBAŞI</t>
        </is>
      </c>
      <c r="D478" s="7">
        <f>Aylik_Puantaj!L480</f>
        <v/>
      </c>
      <c r="E478" s="7">
        <f>Aylik_Puantaj!BJ480</f>
        <v/>
      </c>
      <c r="F478" s="7">
        <f>Aylik_Puantaj!BL480</f>
        <v/>
      </c>
    </row>
    <row r="479">
      <c r="A479" s="4" t="n">
        <v>478</v>
      </c>
      <c r="B479" s="5" t="inlineStr">
        <is>
          <t>10117958316</t>
        </is>
      </c>
      <c r="C479" s="29" t="inlineStr">
        <is>
          <t>ZERDA AYHAN</t>
        </is>
      </c>
      <c r="D479" s="7">
        <f>Aylik_Puantaj!L481</f>
        <v/>
      </c>
      <c r="E479" s="7">
        <f>Aylik_Puantaj!BJ481</f>
        <v/>
      </c>
      <c r="F479" s="7">
        <f>Aylik_Puantaj!BL481</f>
        <v/>
      </c>
    </row>
    <row r="480">
      <c r="A480" s="4" t="n">
        <v>479</v>
      </c>
      <c r="B480" s="5" t="inlineStr">
        <is>
          <t>10328232854</t>
        </is>
      </c>
      <c r="C480" s="29" t="inlineStr">
        <is>
          <t>ZEYNEP DENİZ</t>
        </is>
      </c>
      <c r="D480" s="7">
        <f>Aylik_Puantaj!L482</f>
        <v/>
      </c>
      <c r="E480" s="7">
        <f>Aylik_Puantaj!BJ482</f>
        <v/>
      </c>
      <c r="F480" s="7">
        <f>Aylik_Puantaj!BL482</f>
        <v/>
      </c>
    </row>
    <row r="481">
      <c r="A481" s="4" t="n">
        <v>480</v>
      </c>
      <c r="B481" s="5" t="inlineStr"/>
      <c r="C481" s="29" t="inlineStr">
        <is>
          <t>AHMET ABDULLAH</t>
        </is>
      </c>
      <c r="D481" s="7">
        <f>Aylik_Puantaj!L483</f>
        <v/>
      </c>
      <c r="E481" s="7">
        <f>Aylik_Puantaj!BJ483</f>
        <v/>
      </c>
      <c r="F481" s="7">
        <f>Aylik_Puantaj!BL483</f>
        <v/>
      </c>
    </row>
    <row r="482">
      <c r="A482" s="4" t="n">
        <v>481</v>
      </c>
      <c r="B482" s="5" t="inlineStr">
        <is>
          <t>10465939142</t>
        </is>
      </c>
      <c r="C482" s="29" t="inlineStr">
        <is>
          <t>AYTUĞ KARAGÖZ</t>
        </is>
      </c>
      <c r="D482" s="7">
        <f>Aylik_Puantaj!L484</f>
        <v/>
      </c>
      <c r="E482" s="7">
        <f>Aylik_Puantaj!BJ484</f>
        <v/>
      </c>
      <c r="F482" s="7">
        <f>Aylik_Puantaj!BL484</f>
        <v/>
      </c>
    </row>
    <row r="483">
      <c r="A483" s="4" t="n">
        <v>482</v>
      </c>
      <c r="B483" s="5" t="inlineStr"/>
      <c r="C483" s="29" t="inlineStr">
        <is>
          <t>DİLOROM PULOTOVA</t>
        </is>
      </c>
      <c r="D483" s="7">
        <f>Aylik_Puantaj!L485</f>
        <v/>
      </c>
      <c r="E483" s="7">
        <f>Aylik_Puantaj!BJ485</f>
        <v/>
      </c>
      <c r="F483" s="7">
        <f>Aylik_Puantaj!BL485</f>
        <v/>
      </c>
    </row>
    <row r="484">
      <c r="A484" s="4" t="n">
        <v>483</v>
      </c>
      <c r="B484" s="5" t="inlineStr">
        <is>
          <t>10483938196</t>
        </is>
      </c>
      <c r="C484" s="29" t="inlineStr">
        <is>
          <t>NURŞEN YILDIRIM</t>
        </is>
      </c>
      <c r="D484" s="7">
        <f>Aylik_Puantaj!L486</f>
        <v/>
      </c>
      <c r="E484" s="7">
        <f>Aylik_Puantaj!BJ486</f>
        <v/>
      </c>
      <c r="F484" s="7">
        <f>Aylik_Puantaj!BL486</f>
        <v/>
      </c>
    </row>
    <row r="485">
      <c r="A485" s="4" t="n">
        <v>484</v>
      </c>
      <c r="B485" s="5" t="inlineStr">
        <is>
          <t>22260441248</t>
        </is>
      </c>
      <c r="C485" s="29" t="inlineStr">
        <is>
          <t>ERSİN ESER</t>
        </is>
      </c>
      <c r="D485" s="7">
        <f>Aylik_Puantaj!L487</f>
        <v/>
      </c>
      <c r="E485" s="7">
        <f>Aylik_Puantaj!BJ487</f>
        <v/>
      </c>
      <c r="F485" s="7">
        <f>Aylik_Puantaj!BL487</f>
        <v/>
      </c>
    </row>
    <row r="486">
      <c r="A486" s="4" t="n">
        <v>485</v>
      </c>
      <c r="B486" s="5" t="inlineStr"/>
      <c r="C486" s="29" t="inlineStr">
        <is>
          <t>ELİF NAZ UZER</t>
        </is>
      </c>
      <c r="D486" s="7">
        <f>Aylik_Puantaj!L488</f>
        <v/>
      </c>
      <c r="E486" s="7">
        <f>Aylik_Puantaj!BJ488</f>
        <v/>
      </c>
      <c r="F486" s="7">
        <f>Aylik_Puantaj!BL488</f>
        <v/>
      </c>
    </row>
    <row r="487">
      <c r="A487" s="4" t="n">
        <v>486</v>
      </c>
      <c r="B487" s="5" t="inlineStr"/>
      <c r="C487" s="29" t="inlineStr">
        <is>
          <t>MUHAMMED BATIBEY</t>
        </is>
      </c>
      <c r="D487" s="7">
        <f>Aylik_Puantaj!L489</f>
        <v/>
      </c>
      <c r="E487" s="7">
        <f>Aylik_Puantaj!BJ489</f>
        <v/>
      </c>
      <c r="F487" s="7">
        <f>Aylik_Puantaj!BL489</f>
        <v/>
      </c>
    </row>
    <row r="488">
      <c r="A488" s="4" t="n">
        <v>487</v>
      </c>
      <c r="B488" s="5" t="inlineStr"/>
      <c r="C488" s="29" t="inlineStr">
        <is>
          <t>FATMA YAVUZ</t>
        </is>
      </c>
      <c r="D488" s="7">
        <f>Aylik_Puantaj!L490</f>
        <v/>
      </c>
      <c r="E488" s="7">
        <f>Aylik_Puantaj!BJ490</f>
        <v/>
      </c>
      <c r="F488" s="7">
        <f>Aylik_Puantaj!BL490</f>
        <v/>
      </c>
    </row>
    <row r="489">
      <c r="A489" s="4" t="n">
        <v>488</v>
      </c>
      <c r="B489" s="5" t="inlineStr"/>
      <c r="C489" s="29" t="inlineStr">
        <is>
          <t>CENNET ŞENOL</t>
        </is>
      </c>
      <c r="D489" s="7">
        <f>Aylik_Puantaj!L491</f>
        <v/>
      </c>
      <c r="E489" s="7">
        <f>Aylik_Puantaj!BJ491</f>
        <v/>
      </c>
      <c r="F489" s="7">
        <f>Aylik_Puantaj!BL491</f>
        <v/>
      </c>
    </row>
    <row r="490">
      <c r="A490" s="4" t="n">
        <v>489</v>
      </c>
      <c r="B490" s="5" t="inlineStr"/>
      <c r="C490" s="29" t="inlineStr">
        <is>
          <t>PINAR UZER</t>
        </is>
      </c>
      <c r="D490" s="7">
        <f>Aylik_Puantaj!L492</f>
        <v/>
      </c>
      <c r="E490" s="7">
        <f>Aylik_Puantaj!BJ492</f>
        <v/>
      </c>
      <c r="F490" s="7">
        <f>Aylik_Puantaj!BL492</f>
        <v/>
      </c>
    </row>
    <row r="491">
      <c r="A491" s="4" t="n">
        <v>490</v>
      </c>
      <c r="B491" s="5" t="inlineStr"/>
      <c r="C491" s="29" t="inlineStr">
        <is>
          <t>BARAN ŞÇIKCAN</t>
        </is>
      </c>
      <c r="D491" s="7">
        <f>Aylik_Puantaj!L493</f>
        <v/>
      </c>
      <c r="E491" s="7">
        <f>Aylik_Puantaj!BJ493</f>
        <v/>
      </c>
      <c r="F491" s="7">
        <f>Aylik_Puantaj!BL493</f>
        <v/>
      </c>
    </row>
    <row r="492">
      <c r="A492" s="4" t="n">
        <v>491</v>
      </c>
      <c r="B492" s="5" t="inlineStr">
        <is>
          <t>15793660164</t>
        </is>
      </c>
      <c r="C492" s="29" t="inlineStr">
        <is>
          <t>FADIL KALBAN</t>
        </is>
      </c>
      <c r="D492" s="7">
        <f>Aylik_Puantaj!L494</f>
        <v/>
      </c>
      <c r="E492" s="7">
        <f>Aylik_Puantaj!BJ494</f>
        <v/>
      </c>
      <c r="F492" s="7">
        <f>Aylik_Puantaj!BL494</f>
        <v/>
      </c>
    </row>
    <row r="493">
      <c r="A493" s="4" t="n">
        <v>492</v>
      </c>
      <c r="B493" s="5" t="inlineStr">
        <is>
          <t>30181166332</t>
        </is>
      </c>
      <c r="C493" s="29" t="inlineStr">
        <is>
          <t>MEMNUNE KARAMAN</t>
        </is>
      </c>
      <c r="D493" s="7">
        <f>Aylik_Puantaj!L495</f>
        <v/>
      </c>
      <c r="E493" s="7">
        <f>Aylik_Puantaj!BJ495</f>
        <v/>
      </c>
      <c r="F493" s="7">
        <f>Aylik_Puantaj!BL495</f>
        <v/>
      </c>
    </row>
    <row r="494">
      <c r="A494" s="4" t="n">
        <v>493</v>
      </c>
      <c r="B494" s="5" t="inlineStr">
        <is>
          <t>10819776010</t>
        </is>
      </c>
      <c r="C494" s="29" t="inlineStr">
        <is>
          <t>ACAR ÜRENLİOĞLU</t>
        </is>
      </c>
      <c r="D494" s="7">
        <f>Aylik_Puantaj!L496</f>
        <v/>
      </c>
      <c r="E494" s="7">
        <f>Aylik_Puantaj!BJ496</f>
        <v/>
      </c>
      <c r="F494" s="7">
        <f>Aylik_Puantaj!BL496</f>
        <v/>
      </c>
    </row>
    <row r="495">
      <c r="A495" s="4" t="n">
        <v>494</v>
      </c>
      <c r="B495" s="5" t="inlineStr">
        <is>
          <t>01389</t>
        </is>
      </c>
      <c r="C495" s="29" t="inlineStr">
        <is>
          <t>AHMET TALHA KÖKMEN</t>
        </is>
      </c>
      <c r="D495" s="7">
        <f>Aylik_Puantaj!L497</f>
        <v/>
      </c>
      <c r="E495" s="7">
        <f>Aylik_Puantaj!BJ497</f>
        <v/>
      </c>
      <c r="F495" s="7">
        <f>Aylik_Puantaj!BL497</f>
        <v/>
      </c>
    </row>
    <row r="496">
      <c r="A496" s="4" t="n">
        <v>495</v>
      </c>
      <c r="B496" s="5" t="inlineStr">
        <is>
          <t>01474</t>
        </is>
      </c>
      <c r="C496" s="29" t="inlineStr">
        <is>
          <t>ALİ DURMAN</t>
        </is>
      </c>
      <c r="D496" s="7">
        <f>Aylik_Puantaj!L498</f>
        <v/>
      </c>
      <c r="E496" s="7">
        <f>Aylik_Puantaj!BJ498</f>
        <v/>
      </c>
      <c r="F496" s="7">
        <f>Aylik_Puantaj!BL498</f>
        <v/>
      </c>
    </row>
    <row r="497">
      <c r="A497" s="4" t="n">
        <v>496</v>
      </c>
      <c r="B497" s="5" t="inlineStr">
        <is>
          <t>01390</t>
        </is>
      </c>
      <c r="C497" s="29" t="inlineStr">
        <is>
          <t>ALİ OSMAN İMRE</t>
        </is>
      </c>
      <c r="D497" s="7">
        <f>Aylik_Puantaj!L499</f>
        <v/>
      </c>
      <c r="E497" s="7">
        <f>Aylik_Puantaj!BJ499</f>
        <v/>
      </c>
      <c r="F497" s="7">
        <f>Aylik_Puantaj!BL499</f>
        <v/>
      </c>
    </row>
    <row r="498">
      <c r="A498" s="4" t="n">
        <v>497</v>
      </c>
      <c r="B498" s="5" t="inlineStr">
        <is>
          <t>01525</t>
        </is>
      </c>
      <c r="C498" s="29" t="inlineStr">
        <is>
          <t>ARZU BAYRAM</t>
        </is>
      </c>
      <c r="D498" s="7">
        <f>Aylik_Puantaj!L500</f>
        <v/>
      </c>
      <c r="E498" s="7">
        <f>Aylik_Puantaj!BJ500</f>
        <v/>
      </c>
      <c r="F498" s="7">
        <f>Aylik_Puantaj!BL500</f>
        <v/>
      </c>
    </row>
    <row r="499">
      <c r="A499" s="4" t="n">
        <v>498</v>
      </c>
      <c r="B499" s="5" t="inlineStr">
        <is>
          <t>01391</t>
        </is>
      </c>
      <c r="C499" s="29" t="inlineStr">
        <is>
          <t>ATAKAN TORUN</t>
        </is>
      </c>
      <c r="D499" s="7">
        <f>Aylik_Puantaj!L501</f>
        <v/>
      </c>
      <c r="E499" s="7">
        <f>Aylik_Puantaj!BJ501</f>
        <v/>
      </c>
      <c r="F499" s="7">
        <f>Aylik_Puantaj!BL501</f>
        <v/>
      </c>
    </row>
    <row r="500">
      <c r="A500" s="4" t="n">
        <v>499</v>
      </c>
      <c r="B500" s="5" t="inlineStr">
        <is>
          <t>01392</t>
        </is>
      </c>
      <c r="C500" s="29" t="inlineStr">
        <is>
          <t>AYLA BÇAKIR</t>
        </is>
      </c>
      <c r="D500" s="7">
        <f>Aylik_Puantaj!L502</f>
        <v/>
      </c>
      <c r="E500" s="7">
        <f>Aylik_Puantaj!BJ502</f>
        <v/>
      </c>
      <c r="F500" s="7">
        <f>Aylik_Puantaj!BL502</f>
        <v/>
      </c>
    </row>
    <row r="501">
      <c r="A501" s="4" t="n">
        <v>500</v>
      </c>
      <c r="B501" s="5" t="inlineStr">
        <is>
          <t>01522</t>
        </is>
      </c>
      <c r="C501" s="29" t="inlineStr">
        <is>
          <t>BAYRAM KARACA</t>
        </is>
      </c>
      <c r="D501" s="7">
        <f>Aylik_Puantaj!L503</f>
        <v/>
      </c>
      <c r="E501" s="7">
        <f>Aylik_Puantaj!BJ503</f>
        <v/>
      </c>
      <c r="F501" s="7">
        <f>Aylik_Puantaj!BL503</f>
        <v/>
      </c>
    </row>
    <row r="502">
      <c r="A502" s="4" t="n">
        <v>501</v>
      </c>
      <c r="B502" s="5" t="inlineStr">
        <is>
          <t>01396</t>
        </is>
      </c>
      <c r="C502" s="29" t="inlineStr">
        <is>
          <t>CEMAL BULUT</t>
        </is>
      </c>
      <c r="D502" s="7">
        <f>Aylik_Puantaj!L504</f>
        <v/>
      </c>
      <c r="E502" s="7">
        <f>Aylik_Puantaj!BJ504</f>
        <v/>
      </c>
      <c r="F502" s="7">
        <f>Aylik_Puantaj!BL504</f>
        <v/>
      </c>
    </row>
    <row r="503">
      <c r="A503" s="4" t="n">
        <v>502</v>
      </c>
      <c r="B503" s="5" t="inlineStr">
        <is>
          <t>01556</t>
        </is>
      </c>
      <c r="C503" s="29" t="inlineStr">
        <is>
          <t>CİHAN DOĞAN</t>
        </is>
      </c>
      <c r="D503" s="7">
        <f>Aylik_Puantaj!L505</f>
        <v/>
      </c>
      <c r="E503" s="7">
        <f>Aylik_Puantaj!BJ505</f>
        <v/>
      </c>
      <c r="F503" s="7">
        <f>Aylik_Puantaj!BL505</f>
        <v/>
      </c>
    </row>
    <row r="504">
      <c r="A504" s="4" t="n">
        <v>503</v>
      </c>
      <c r="B504" s="5" t="inlineStr">
        <is>
          <t>01398</t>
        </is>
      </c>
      <c r="C504" s="29" t="inlineStr">
        <is>
          <t>DERYA ORUÇ</t>
        </is>
      </c>
      <c r="D504" s="7">
        <f>Aylik_Puantaj!L506</f>
        <v/>
      </c>
      <c r="E504" s="7">
        <f>Aylik_Puantaj!BJ506</f>
        <v/>
      </c>
      <c r="F504" s="7">
        <f>Aylik_Puantaj!BL506</f>
        <v/>
      </c>
    </row>
    <row r="505">
      <c r="A505" s="4" t="n">
        <v>504</v>
      </c>
      <c r="B505" s="5" t="inlineStr">
        <is>
          <t>01537</t>
        </is>
      </c>
      <c r="C505" s="29" t="inlineStr">
        <is>
          <t>DERYANUR DEMİR</t>
        </is>
      </c>
      <c r="D505" s="7">
        <f>Aylik_Puantaj!L507</f>
        <v/>
      </c>
      <c r="E505" s="7">
        <f>Aylik_Puantaj!BJ507</f>
        <v/>
      </c>
      <c r="F505" s="7">
        <f>Aylik_Puantaj!BL507</f>
        <v/>
      </c>
    </row>
    <row r="506">
      <c r="A506" s="4" t="n">
        <v>505</v>
      </c>
      <c r="B506" s="5" t="inlineStr">
        <is>
          <t>01520</t>
        </is>
      </c>
      <c r="C506" s="29" t="inlineStr">
        <is>
          <t>DİLARA ÇELİK</t>
        </is>
      </c>
      <c r="D506" s="7">
        <f>Aylik_Puantaj!L508</f>
        <v/>
      </c>
      <c r="E506" s="7">
        <f>Aylik_Puantaj!BJ508</f>
        <v/>
      </c>
      <c r="F506" s="7">
        <f>Aylik_Puantaj!BL508</f>
        <v/>
      </c>
    </row>
    <row r="507">
      <c r="A507" s="4" t="n">
        <v>506</v>
      </c>
      <c r="B507" s="5" t="inlineStr">
        <is>
          <t>01399</t>
        </is>
      </c>
      <c r="C507" s="29" t="inlineStr">
        <is>
          <t>DÖNE BERBEROĞLU</t>
        </is>
      </c>
      <c r="D507" s="7">
        <f>Aylik_Puantaj!L509</f>
        <v/>
      </c>
      <c r="E507" s="7">
        <f>Aylik_Puantaj!BJ509</f>
        <v/>
      </c>
      <c r="F507" s="7">
        <f>Aylik_Puantaj!BL509</f>
        <v/>
      </c>
    </row>
    <row r="508">
      <c r="A508" s="4" t="n">
        <v>507</v>
      </c>
      <c r="B508" s="5" t="inlineStr">
        <is>
          <t>01530</t>
        </is>
      </c>
      <c r="C508" s="29" t="inlineStr">
        <is>
          <t>EFE CANBAZ</t>
        </is>
      </c>
      <c r="D508" s="7">
        <f>Aylik_Puantaj!L510</f>
        <v/>
      </c>
      <c r="E508" s="7">
        <f>Aylik_Puantaj!BJ510</f>
        <v/>
      </c>
      <c r="F508" s="7">
        <f>Aylik_Puantaj!BL510</f>
        <v/>
      </c>
    </row>
    <row r="509">
      <c r="A509" s="4" t="n">
        <v>508</v>
      </c>
      <c r="B509" s="5" t="inlineStr">
        <is>
          <t>01531</t>
        </is>
      </c>
      <c r="C509" s="29" t="inlineStr">
        <is>
          <t>ELİF BARUT</t>
        </is>
      </c>
      <c r="D509" s="7">
        <f>Aylik_Puantaj!L511</f>
        <v/>
      </c>
      <c r="E509" s="7">
        <f>Aylik_Puantaj!BJ511</f>
        <v/>
      </c>
      <c r="F509" s="7">
        <f>Aylik_Puantaj!BL511</f>
        <v/>
      </c>
    </row>
    <row r="510">
      <c r="A510" s="4" t="n">
        <v>509</v>
      </c>
      <c r="B510" s="5" t="inlineStr">
        <is>
          <t>01529</t>
        </is>
      </c>
      <c r="C510" s="29" t="inlineStr">
        <is>
          <t>EMİRHAN GÜNDEN</t>
        </is>
      </c>
      <c r="D510" s="7">
        <f>Aylik_Puantaj!L512</f>
        <v/>
      </c>
      <c r="E510" s="7">
        <f>Aylik_Puantaj!BJ512</f>
        <v/>
      </c>
      <c r="F510" s="7">
        <f>Aylik_Puantaj!BL512</f>
        <v/>
      </c>
    </row>
    <row r="511">
      <c r="A511" s="4" t="n">
        <v>510</v>
      </c>
      <c r="B511" s="5" t="inlineStr">
        <is>
          <t>01482</t>
        </is>
      </c>
      <c r="C511" s="29" t="inlineStr">
        <is>
          <t>EMRAH ÇÜVEN</t>
        </is>
      </c>
      <c r="D511" s="7">
        <f>Aylik_Puantaj!L513</f>
        <v/>
      </c>
      <c r="E511" s="7">
        <f>Aylik_Puantaj!BJ513</f>
        <v/>
      </c>
      <c r="F511" s="7">
        <f>Aylik_Puantaj!BL513</f>
        <v/>
      </c>
    </row>
    <row r="512">
      <c r="A512" s="4" t="n">
        <v>511</v>
      </c>
      <c r="B512" s="5" t="inlineStr">
        <is>
          <t>01403</t>
        </is>
      </c>
      <c r="C512" s="29" t="inlineStr">
        <is>
          <t>EMRE CAN ÇAKAR</t>
        </is>
      </c>
      <c r="D512" s="7">
        <f>Aylik_Puantaj!L514</f>
        <v/>
      </c>
      <c r="E512" s="7">
        <f>Aylik_Puantaj!BJ514</f>
        <v/>
      </c>
      <c r="F512" s="7">
        <f>Aylik_Puantaj!BL514</f>
        <v/>
      </c>
    </row>
    <row r="513">
      <c r="A513" s="4" t="n">
        <v>512</v>
      </c>
      <c r="B513" s="5" t="inlineStr">
        <is>
          <t>01406</t>
        </is>
      </c>
      <c r="C513" s="29" t="inlineStr">
        <is>
          <t>ENES ALKAN</t>
        </is>
      </c>
      <c r="D513" s="7">
        <f>Aylik_Puantaj!L515</f>
        <v/>
      </c>
      <c r="E513" s="7">
        <f>Aylik_Puantaj!BJ515</f>
        <v/>
      </c>
      <c r="F513" s="7">
        <f>Aylik_Puantaj!BL515</f>
        <v/>
      </c>
    </row>
    <row r="514">
      <c r="A514" s="4" t="n">
        <v>513</v>
      </c>
      <c r="B514" s="5" t="inlineStr">
        <is>
          <t>01407</t>
        </is>
      </c>
      <c r="C514" s="29" t="inlineStr">
        <is>
          <t>ENİFE MENTEŞ</t>
        </is>
      </c>
      <c r="D514" s="7">
        <f>Aylik_Puantaj!L516</f>
        <v/>
      </c>
      <c r="E514" s="7">
        <f>Aylik_Puantaj!BJ516</f>
        <v/>
      </c>
      <c r="F514" s="7">
        <f>Aylik_Puantaj!BL516</f>
        <v/>
      </c>
    </row>
    <row r="515">
      <c r="A515" s="4" t="n">
        <v>514</v>
      </c>
      <c r="B515" s="5" t="inlineStr">
        <is>
          <t>01521</t>
        </is>
      </c>
      <c r="C515" s="29" t="inlineStr">
        <is>
          <t>ERDAL MENTEŞ</t>
        </is>
      </c>
      <c r="D515" s="7">
        <f>Aylik_Puantaj!L517</f>
        <v/>
      </c>
      <c r="E515" s="7">
        <f>Aylik_Puantaj!BJ517</f>
        <v/>
      </c>
      <c r="F515" s="7">
        <f>Aylik_Puantaj!BL517</f>
        <v/>
      </c>
    </row>
    <row r="516">
      <c r="A516" s="4" t="n">
        <v>515</v>
      </c>
      <c r="B516" s="5" t="inlineStr">
        <is>
          <t>01409</t>
        </is>
      </c>
      <c r="C516" s="29" t="inlineStr">
        <is>
          <t>ERKAN ÖZGAN</t>
        </is>
      </c>
      <c r="D516" s="7">
        <f>Aylik_Puantaj!L518</f>
        <v/>
      </c>
      <c r="E516" s="7">
        <f>Aylik_Puantaj!BJ518</f>
        <v/>
      </c>
      <c r="F516" s="7">
        <f>Aylik_Puantaj!BL518</f>
        <v/>
      </c>
    </row>
    <row r="517">
      <c r="A517" s="4" t="n">
        <v>516</v>
      </c>
      <c r="B517" s="5" t="inlineStr">
        <is>
          <t>00641</t>
        </is>
      </c>
      <c r="C517" s="29" t="inlineStr">
        <is>
          <t>EZGİ EBRU ÖZÇELİK</t>
        </is>
      </c>
      <c r="D517" s="7">
        <f>Aylik_Puantaj!L519</f>
        <v/>
      </c>
      <c r="E517" s="7">
        <f>Aylik_Puantaj!BJ519</f>
        <v/>
      </c>
      <c r="F517" s="7">
        <f>Aylik_Puantaj!BL519</f>
        <v/>
      </c>
    </row>
    <row r="518">
      <c r="A518" s="4" t="n">
        <v>517</v>
      </c>
      <c r="B518" s="5" t="inlineStr">
        <is>
          <t>01412</t>
        </is>
      </c>
      <c r="C518" s="29" t="inlineStr">
        <is>
          <t>FATMA AYDIN</t>
        </is>
      </c>
      <c r="D518" s="7">
        <f>Aylik_Puantaj!L520</f>
        <v/>
      </c>
      <c r="E518" s="7">
        <f>Aylik_Puantaj!BJ520</f>
        <v/>
      </c>
      <c r="F518" s="7">
        <f>Aylik_Puantaj!BL520</f>
        <v/>
      </c>
    </row>
    <row r="519">
      <c r="A519" s="4" t="n">
        <v>518</v>
      </c>
      <c r="B519" s="5" t="inlineStr">
        <is>
          <t>01415</t>
        </is>
      </c>
      <c r="C519" s="29" t="inlineStr">
        <is>
          <t>FİLİZ ÜMÜK</t>
        </is>
      </c>
      <c r="D519" s="7">
        <f>Aylik_Puantaj!L521</f>
        <v/>
      </c>
      <c r="E519" s="7">
        <f>Aylik_Puantaj!BJ521</f>
        <v/>
      </c>
      <c r="F519" s="7">
        <f>Aylik_Puantaj!BL521</f>
        <v/>
      </c>
    </row>
    <row r="520">
      <c r="A520" s="4" t="n">
        <v>519</v>
      </c>
      <c r="B520" s="5" t="inlineStr">
        <is>
          <t>01483</t>
        </is>
      </c>
      <c r="C520" s="29" t="inlineStr">
        <is>
          <t>FURKAN UÇAK</t>
        </is>
      </c>
      <c r="D520" s="7">
        <f>Aylik_Puantaj!L522</f>
        <v/>
      </c>
      <c r="E520" s="7">
        <f>Aylik_Puantaj!BJ522</f>
        <v/>
      </c>
      <c r="F520" s="7">
        <f>Aylik_Puantaj!BL522</f>
        <v/>
      </c>
    </row>
    <row r="521">
      <c r="A521" s="4" t="n">
        <v>520</v>
      </c>
      <c r="B521" s="5" t="inlineStr">
        <is>
          <t>01417</t>
        </is>
      </c>
      <c r="C521" s="29" t="inlineStr">
        <is>
          <t>GÜLLÜ TOĞAÇ</t>
        </is>
      </c>
      <c r="D521" s="7">
        <f>Aylik_Puantaj!L523</f>
        <v/>
      </c>
      <c r="E521" s="7">
        <f>Aylik_Puantaj!BJ523</f>
        <v/>
      </c>
      <c r="F521" s="7">
        <f>Aylik_Puantaj!BL523</f>
        <v/>
      </c>
    </row>
    <row r="522">
      <c r="A522" s="4" t="n">
        <v>521</v>
      </c>
      <c r="B522" s="5" t="inlineStr">
        <is>
          <t>01558</t>
        </is>
      </c>
      <c r="C522" s="29" t="inlineStr">
        <is>
          <t>GÜLPERİ KERTİK</t>
        </is>
      </c>
      <c r="D522" s="7">
        <f>Aylik_Puantaj!L524</f>
        <v/>
      </c>
      <c r="E522" s="7">
        <f>Aylik_Puantaj!BJ524</f>
        <v/>
      </c>
      <c r="F522" s="7">
        <f>Aylik_Puantaj!BL524</f>
        <v/>
      </c>
    </row>
    <row r="523">
      <c r="A523" s="4" t="n">
        <v>522</v>
      </c>
      <c r="B523" s="5" t="inlineStr">
        <is>
          <t>01418</t>
        </is>
      </c>
      <c r="C523" s="29" t="inlineStr">
        <is>
          <t>GÜLSEMA POLAT</t>
        </is>
      </c>
      <c r="D523" s="7">
        <f>Aylik_Puantaj!L525</f>
        <v/>
      </c>
      <c r="E523" s="7">
        <f>Aylik_Puantaj!BJ525</f>
        <v/>
      </c>
      <c r="F523" s="7">
        <f>Aylik_Puantaj!BL525</f>
        <v/>
      </c>
    </row>
    <row r="524">
      <c r="A524" s="4" t="n">
        <v>523</v>
      </c>
      <c r="B524" s="5" t="inlineStr">
        <is>
          <t>01419</t>
        </is>
      </c>
      <c r="C524" s="29" t="inlineStr">
        <is>
          <t>GÜLSÜM KARACA</t>
        </is>
      </c>
      <c r="D524" s="7">
        <f>Aylik_Puantaj!L526</f>
        <v/>
      </c>
      <c r="E524" s="7">
        <f>Aylik_Puantaj!BJ526</f>
        <v/>
      </c>
      <c r="F524" s="7">
        <f>Aylik_Puantaj!BL526</f>
        <v/>
      </c>
    </row>
    <row r="525">
      <c r="A525" s="4" t="n">
        <v>524</v>
      </c>
      <c r="B525" s="5" t="inlineStr">
        <is>
          <t>01123</t>
        </is>
      </c>
      <c r="C525" s="29" t="inlineStr">
        <is>
          <t>HAVİN BATIBEY</t>
        </is>
      </c>
      <c r="D525" s="7">
        <f>Aylik_Puantaj!L527</f>
        <v/>
      </c>
      <c r="E525" s="7">
        <f>Aylik_Puantaj!BJ527</f>
        <v/>
      </c>
      <c r="F525" s="7">
        <f>Aylik_Puantaj!BL527</f>
        <v/>
      </c>
    </row>
    <row r="526">
      <c r="A526" s="4" t="n">
        <v>525</v>
      </c>
      <c r="B526" s="5" t="inlineStr">
        <is>
          <t>01484</t>
        </is>
      </c>
      <c r="C526" s="29" t="inlineStr">
        <is>
          <t>HİLAL KARAKOÇ</t>
        </is>
      </c>
      <c r="D526" s="7">
        <f>Aylik_Puantaj!L528</f>
        <v/>
      </c>
      <c r="E526" s="7">
        <f>Aylik_Puantaj!BJ528</f>
        <v/>
      </c>
      <c r="F526" s="7">
        <f>Aylik_Puantaj!BL528</f>
        <v/>
      </c>
    </row>
    <row r="527">
      <c r="A527" s="4" t="n">
        <v>526</v>
      </c>
      <c r="B527" s="5" t="inlineStr">
        <is>
          <t>01424</t>
        </is>
      </c>
      <c r="C527" s="29" t="inlineStr">
        <is>
          <t>İBÜŞRAHİM İMRE</t>
        </is>
      </c>
      <c r="D527" s="7">
        <f>Aylik_Puantaj!L529</f>
        <v/>
      </c>
      <c r="E527" s="7">
        <f>Aylik_Puantaj!BJ529</f>
        <v/>
      </c>
      <c r="F527" s="7">
        <f>Aylik_Puantaj!BL529</f>
        <v/>
      </c>
    </row>
    <row r="528">
      <c r="A528" s="4" t="n">
        <v>527</v>
      </c>
      <c r="B528" s="5" t="inlineStr">
        <is>
          <t>01423</t>
        </is>
      </c>
      <c r="C528" s="29" t="inlineStr">
        <is>
          <t>İBÜŞRAHİM HALİL ALPAN</t>
        </is>
      </c>
      <c r="D528" s="7">
        <f>Aylik_Puantaj!L530</f>
        <v/>
      </c>
      <c r="E528" s="7">
        <f>Aylik_Puantaj!BJ530</f>
        <v/>
      </c>
      <c r="F528" s="7">
        <f>Aylik_Puantaj!BL530</f>
        <v/>
      </c>
    </row>
    <row r="529">
      <c r="A529" s="4" t="n">
        <v>528</v>
      </c>
      <c r="B529" s="5" t="inlineStr">
        <is>
          <t>01539</t>
        </is>
      </c>
      <c r="C529" s="29" t="inlineStr">
        <is>
          <t>İDAL DÖNER</t>
        </is>
      </c>
      <c r="D529" s="7">
        <f>Aylik_Puantaj!L531</f>
        <v/>
      </c>
      <c r="E529" s="7">
        <f>Aylik_Puantaj!BJ531</f>
        <v/>
      </c>
      <c r="F529" s="7">
        <f>Aylik_Puantaj!BL531</f>
        <v/>
      </c>
    </row>
    <row r="530">
      <c r="A530" s="4" t="n">
        <v>529</v>
      </c>
      <c r="B530" s="5" t="inlineStr">
        <is>
          <t>01425</t>
        </is>
      </c>
      <c r="C530" s="29" t="inlineStr">
        <is>
          <t>İİPEK GÜNDOĞAN</t>
        </is>
      </c>
      <c r="D530" s="7">
        <f>Aylik_Puantaj!L532</f>
        <v/>
      </c>
      <c r="E530" s="7">
        <f>Aylik_Puantaj!BJ532</f>
        <v/>
      </c>
      <c r="F530" s="7">
        <f>Aylik_Puantaj!BL532</f>
        <v/>
      </c>
    </row>
    <row r="531">
      <c r="A531" s="4" t="n">
        <v>530</v>
      </c>
      <c r="B531" s="5" t="inlineStr">
        <is>
          <t>01426</t>
        </is>
      </c>
      <c r="C531" s="29" t="inlineStr">
        <is>
          <t>İSLAM TALAN</t>
        </is>
      </c>
      <c r="D531" s="7">
        <f>Aylik_Puantaj!L533</f>
        <v/>
      </c>
      <c r="E531" s="7">
        <f>Aylik_Puantaj!BJ533</f>
        <v/>
      </c>
      <c r="F531" s="7">
        <f>Aylik_Puantaj!BL533</f>
        <v/>
      </c>
    </row>
    <row r="532">
      <c r="A532" s="4" t="n">
        <v>531</v>
      </c>
      <c r="B532" s="5" t="inlineStr">
        <is>
          <t>01427</t>
        </is>
      </c>
      <c r="C532" s="29" t="inlineStr">
        <is>
          <t>KADİR KOÇ</t>
        </is>
      </c>
      <c r="D532" s="7">
        <f>Aylik_Puantaj!L534</f>
        <v/>
      </c>
      <c r="E532" s="7">
        <f>Aylik_Puantaj!BJ534</f>
        <v/>
      </c>
      <c r="F532" s="7">
        <f>Aylik_Puantaj!BL534</f>
        <v/>
      </c>
    </row>
    <row r="533">
      <c r="A533" s="4" t="n">
        <v>532</v>
      </c>
      <c r="B533" s="5" t="inlineStr">
        <is>
          <t>01481</t>
        </is>
      </c>
      <c r="C533" s="29" t="inlineStr">
        <is>
          <t>KADİR PIRILTI</t>
        </is>
      </c>
      <c r="D533" s="7">
        <f>Aylik_Puantaj!L535</f>
        <v/>
      </c>
      <c r="E533" s="7">
        <f>Aylik_Puantaj!BJ535</f>
        <v/>
      </c>
      <c r="F533" s="7">
        <f>Aylik_Puantaj!BL535</f>
        <v/>
      </c>
    </row>
    <row r="534">
      <c r="A534" s="4" t="n">
        <v>533</v>
      </c>
      <c r="B534" s="5" t="inlineStr">
        <is>
          <t>01541</t>
        </is>
      </c>
      <c r="C534" s="29" t="inlineStr">
        <is>
          <t>MEHMET BAYRAM</t>
        </is>
      </c>
      <c r="D534" s="7">
        <f>Aylik_Puantaj!L536</f>
        <v/>
      </c>
      <c r="E534" s="7">
        <f>Aylik_Puantaj!BJ536</f>
        <v/>
      </c>
      <c r="F534" s="7">
        <f>Aylik_Puantaj!BL536</f>
        <v/>
      </c>
    </row>
    <row r="535">
      <c r="A535" s="4" t="n">
        <v>534</v>
      </c>
      <c r="B535" s="5" t="inlineStr">
        <is>
          <t>01560</t>
        </is>
      </c>
      <c r="C535" s="29" t="inlineStr">
        <is>
          <t>MEHMET EMİN DEMİREL</t>
        </is>
      </c>
      <c r="D535" s="7">
        <f>Aylik_Puantaj!L537</f>
        <v/>
      </c>
      <c r="E535" s="7">
        <f>Aylik_Puantaj!BJ537</f>
        <v/>
      </c>
      <c r="F535" s="7">
        <f>Aylik_Puantaj!BL537</f>
        <v/>
      </c>
    </row>
    <row r="536">
      <c r="A536" s="4" t="n">
        <v>535</v>
      </c>
      <c r="B536" s="5" t="inlineStr">
        <is>
          <t>01553</t>
        </is>
      </c>
      <c r="C536" s="29" t="inlineStr">
        <is>
          <t>MEHMET KEİREM GÜN</t>
        </is>
      </c>
      <c r="D536" s="7">
        <f>Aylik_Puantaj!L538</f>
        <v/>
      </c>
      <c r="E536" s="7">
        <f>Aylik_Puantaj!BJ538</f>
        <v/>
      </c>
      <c r="F536" s="7">
        <f>Aylik_Puantaj!BL538</f>
        <v/>
      </c>
    </row>
    <row r="537">
      <c r="A537" s="4" t="n">
        <v>536</v>
      </c>
      <c r="B537" s="5" t="inlineStr">
        <is>
          <t>01475</t>
        </is>
      </c>
      <c r="C537" s="29" t="inlineStr">
        <is>
          <t>MERVE ALTIN</t>
        </is>
      </c>
      <c r="D537" s="7">
        <f>Aylik_Puantaj!L539</f>
        <v/>
      </c>
      <c r="E537" s="7">
        <f>Aylik_Puantaj!BJ539</f>
        <v/>
      </c>
      <c r="F537" s="7">
        <f>Aylik_Puantaj!BL539</f>
        <v/>
      </c>
    </row>
    <row r="538">
      <c r="A538" s="4" t="n">
        <v>537</v>
      </c>
      <c r="B538" s="5" t="inlineStr">
        <is>
          <t>01528</t>
        </is>
      </c>
      <c r="C538" s="29" t="inlineStr">
        <is>
          <t>MERVE İŞLER</t>
        </is>
      </c>
      <c r="D538" s="7">
        <f>Aylik_Puantaj!L540</f>
        <v/>
      </c>
      <c r="E538" s="7">
        <f>Aylik_Puantaj!BJ540</f>
        <v/>
      </c>
      <c r="F538" s="7">
        <f>Aylik_Puantaj!BL540</f>
        <v/>
      </c>
    </row>
    <row r="539">
      <c r="A539" s="4" t="n">
        <v>538</v>
      </c>
      <c r="B539" s="5" t="inlineStr">
        <is>
          <t>01555</t>
        </is>
      </c>
      <c r="C539" s="29" t="inlineStr">
        <is>
          <t>MİKAİL KOÇ</t>
        </is>
      </c>
      <c r="D539" s="7">
        <f>Aylik_Puantaj!L541</f>
        <v/>
      </c>
      <c r="E539" s="7">
        <f>Aylik_Puantaj!BJ541</f>
        <v/>
      </c>
      <c r="F539" s="7">
        <f>Aylik_Puantaj!BL541</f>
        <v/>
      </c>
    </row>
    <row r="540">
      <c r="A540" s="4" t="n">
        <v>539</v>
      </c>
      <c r="B540" s="5" t="inlineStr">
        <is>
          <t>01431</t>
        </is>
      </c>
      <c r="C540" s="29" t="inlineStr">
        <is>
          <t>MUHAMMED ABDULLAH GÜVEN</t>
        </is>
      </c>
      <c r="D540" s="7">
        <f>Aylik_Puantaj!L542</f>
        <v/>
      </c>
      <c r="E540" s="7">
        <f>Aylik_Puantaj!BJ542</f>
        <v/>
      </c>
      <c r="F540" s="7">
        <f>Aylik_Puantaj!BL542</f>
        <v/>
      </c>
    </row>
    <row r="541">
      <c r="A541" s="4" t="n">
        <v>540</v>
      </c>
      <c r="B541" s="5" t="inlineStr">
        <is>
          <t>01557</t>
        </is>
      </c>
      <c r="C541" s="29" t="inlineStr">
        <is>
          <t>MUHAMMET ERKAN BİNMEDİ</t>
        </is>
      </c>
      <c r="D541" s="7">
        <f>Aylik_Puantaj!L543</f>
        <v/>
      </c>
      <c r="E541" s="7">
        <f>Aylik_Puantaj!BJ543</f>
        <v/>
      </c>
      <c r="F541" s="7">
        <f>Aylik_Puantaj!BL543</f>
        <v/>
      </c>
    </row>
    <row r="542">
      <c r="A542" s="4" t="n">
        <v>541</v>
      </c>
      <c r="B542" s="5" t="inlineStr">
        <is>
          <t>01526</t>
        </is>
      </c>
      <c r="C542" s="29" t="inlineStr">
        <is>
          <t>MUHSİN HALBABA</t>
        </is>
      </c>
      <c r="D542" s="7">
        <f>Aylik_Puantaj!L544</f>
        <v/>
      </c>
      <c r="E542" s="7">
        <f>Aylik_Puantaj!BJ544</f>
        <v/>
      </c>
      <c r="F542" s="7">
        <f>Aylik_Puantaj!BL544</f>
        <v/>
      </c>
    </row>
    <row r="543">
      <c r="A543" s="4" t="n">
        <v>542</v>
      </c>
      <c r="B543" s="5" t="inlineStr">
        <is>
          <t>01554</t>
        </is>
      </c>
      <c r="C543" s="29" t="inlineStr">
        <is>
          <t>MUSTAFA ALİ ASAR</t>
        </is>
      </c>
      <c r="D543" s="7">
        <f>Aylik_Puantaj!L545</f>
        <v/>
      </c>
      <c r="E543" s="7">
        <f>Aylik_Puantaj!BJ545</f>
        <v/>
      </c>
      <c r="F543" s="7">
        <f>Aylik_Puantaj!BL545</f>
        <v/>
      </c>
    </row>
    <row r="544">
      <c r="A544" s="4" t="n">
        <v>543</v>
      </c>
      <c r="B544" s="5" t="inlineStr">
        <is>
          <t>01437</t>
        </is>
      </c>
      <c r="C544" s="29" t="inlineStr">
        <is>
          <t>MUTLU İMRE</t>
        </is>
      </c>
      <c r="D544" s="7">
        <f>Aylik_Puantaj!L546</f>
        <v/>
      </c>
      <c r="E544" s="7">
        <f>Aylik_Puantaj!BJ546</f>
        <v/>
      </c>
      <c r="F544" s="7">
        <f>Aylik_Puantaj!BL546</f>
        <v/>
      </c>
    </row>
    <row r="545">
      <c r="A545" s="4" t="n">
        <v>544</v>
      </c>
      <c r="B545" s="5" t="inlineStr">
        <is>
          <t>01439</t>
        </is>
      </c>
      <c r="C545" s="29" t="inlineStr">
        <is>
          <t>NAZİFE TEMELLİ</t>
        </is>
      </c>
      <c r="D545" s="7">
        <f>Aylik_Puantaj!L547</f>
        <v/>
      </c>
      <c r="E545" s="7">
        <f>Aylik_Puantaj!BJ547</f>
        <v/>
      </c>
      <c r="F545" s="7">
        <f>Aylik_Puantaj!BL547</f>
        <v/>
      </c>
    </row>
    <row r="546">
      <c r="A546" s="4" t="n">
        <v>545</v>
      </c>
      <c r="B546" s="5" t="inlineStr">
        <is>
          <t>01559</t>
        </is>
      </c>
      <c r="C546" s="29" t="inlineStr">
        <is>
          <t>NAZİRE OYMAK</t>
        </is>
      </c>
      <c r="D546" s="7">
        <f>Aylik_Puantaj!L548</f>
        <v/>
      </c>
      <c r="E546" s="7">
        <f>Aylik_Puantaj!BJ548</f>
        <v/>
      </c>
      <c r="F546" s="7">
        <f>Aylik_Puantaj!BL548</f>
        <v/>
      </c>
    </row>
    <row r="547">
      <c r="A547" s="4" t="n">
        <v>546</v>
      </c>
      <c r="B547" s="5" t="inlineStr">
        <is>
          <t>01538</t>
        </is>
      </c>
      <c r="C547" s="29" t="inlineStr">
        <is>
          <t>NEVRUZ ABAK</t>
        </is>
      </c>
      <c r="D547" s="7">
        <f>Aylik_Puantaj!L549</f>
        <v/>
      </c>
      <c r="E547" s="7">
        <f>Aylik_Puantaj!BJ549</f>
        <v/>
      </c>
      <c r="F547" s="7">
        <f>Aylik_Puantaj!BL549</f>
        <v/>
      </c>
    </row>
    <row r="548">
      <c r="A548" s="4" t="n">
        <v>547</v>
      </c>
      <c r="B548" s="5" t="inlineStr">
        <is>
          <t>01551</t>
        </is>
      </c>
      <c r="C548" s="29" t="inlineStr">
        <is>
          <t>NEZAHAT AKDUMAN</t>
        </is>
      </c>
      <c r="D548" s="7">
        <f>Aylik_Puantaj!L550</f>
        <v/>
      </c>
      <c r="E548" s="7">
        <f>Aylik_Puantaj!BJ550</f>
        <v/>
      </c>
      <c r="F548" s="7">
        <f>Aylik_Puantaj!BL550</f>
        <v/>
      </c>
    </row>
    <row r="549">
      <c r="A549" s="4" t="n">
        <v>548</v>
      </c>
      <c r="B549" s="5" t="inlineStr">
        <is>
          <t>01540</t>
        </is>
      </c>
      <c r="C549" s="29" t="inlineStr">
        <is>
          <t>NURAN ÜÇEBEY</t>
        </is>
      </c>
      <c r="D549" s="7">
        <f>Aylik_Puantaj!L551</f>
        <v/>
      </c>
      <c r="E549" s="7">
        <f>Aylik_Puantaj!BJ551</f>
        <v/>
      </c>
      <c r="F549" s="7">
        <f>Aylik_Puantaj!BL551</f>
        <v/>
      </c>
    </row>
    <row r="550">
      <c r="A550" s="4" t="n">
        <v>549</v>
      </c>
      <c r="B550" s="5" t="inlineStr">
        <is>
          <t>01441</t>
        </is>
      </c>
      <c r="C550" s="29" t="inlineStr">
        <is>
          <t>NURHAN ARABACI</t>
        </is>
      </c>
      <c r="D550" s="7">
        <f>Aylik_Puantaj!L552</f>
        <v/>
      </c>
      <c r="E550" s="7">
        <f>Aylik_Puantaj!BJ552</f>
        <v/>
      </c>
      <c r="F550" s="7">
        <f>Aylik_Puantaj!BL552</f>
        <v/>
      </c>
    </row>
    <row r="551">
      <c r="A551" s="4" t="n">
        <v>550</v>
      </c>
      <c r="B551" s="5" t="inlineStr">
        <is>
          <t>01535</t>
        </is>
      </c>
      <c r="C551" s="29" t="inlineStr">
        <is>
          <t>NURHAYAT AY</t>
        </is>
      </c>
      <c r="D551" s="7">
        <f>Aylik_Puantaj!L553</f>
        <v/>
      </c>
      <c r="E551" s="7">
        <f>Aylik_Puantaj!BJ553</f>
        <v/>
      </c>
      <c r="F551" s="7">
        <f>Aylik_Puantaj!BL553</f>
        <v/>
      </c>
    </row>
    <row r="552">
      <c r="A552" s="4" t="n">
        <v>551</v>
      </c>
      <c r="B552" s="5" t="inlineStr">
        <is>
          <t>01561</t>
        </is>
      </c>
      <c r="C552" s="29" t="inlineStr">
        <is>
          <t>OSMAN AKDOĞAN</t>
        </is>
      </c>
      <c r="D552" s="7">
        <f>Aylik_Puantaj!L554</f>
        <v/>
      </c>
      <c r="E552" s="7">
        <f>Aylik_Puantaj!BJ554</f>
        <v/>
      </c>
      <c r="F552" s="7">
        <f>Aylik_Puantaj!BL554</f>
        <v/>
      </c>
    </row>
    <row r="553">
      <c r="A553" s="4" t="n">
        <v>552</v>
      </c>
      <c r="B553" s="5" t="inlineStr">
        <is>
          <t>01444</t>
        </is>
      </c>
      <c r="C553" s="29" t="inlineStr">
        <is>
          <t>ÖZLEM BEYİRKEN</t>
        </is>
      </c>
      <c r="D553" s="7">
        <f>Aylik_Puantaj!L555</f>
        <v/>
      </c>
      <c r="E553" s="7">
        <f>Aylik_Puantaj!BJ555</f>
        <v/>
      </c>
      <c r="F553" s="7">
        <f>Aylik_Puantaj!BL555</f>
        <v/>
      </c>
    </row>
    <row r="554">
      <c r="A554" s="4" t="n">
        <v>553</v>
      </c>
      <c r="B554" s="5" t="inlineStr">
        <is>
          <t>01376</t>
        </is>
      </c>
      <c r="C554" s="29" t="inlineStr">
        <is>
          <t>PERİHAN YOZAN</t>
        </is>
      </c>
      <c r="D554" s="7">
        <f>Aylik_Puantaj!L556</f>
        <v/>
      </c>
      <c r="E554" s="7">
        <f>Aylik_Puantaj!BJ556</f>
        <v/>
      </c>
      <c r="F554" s="7">
        <f>Aylik_Puantaj!BL556</f>
        <v/>
      </c>
    </row>
    <row r="555">
      <c r="A555" s="4" t="n">
        <v>554</v>
      </c>
      <c r="B555" s="5" t="inlineStr">
        <is>
          <t>01447</t>
        </is>
      </c>
      <c r="C555" s="29" t="inlineStr">
        <is>
          <t>RABİA KIRCALI</t>
        </is>
      </c>
      <c r="D555" s="7">
        <f>Aylik_Puantaj!L557</f>
        <v/>
      </c>
      <c r="E555" s="7">
        <f>Aylik_Puantaj!BJ557</f>
        <v/>
      </c>
      <c r="F555" s="7">
        <f>Aylik_Puantaj!BL557</f>
        <v/>
      </c>
    </row>
    <row r="556">
      <c r="A556" s="4" t="n">
        <v>555</v>
      </c>
      <c r="B556" s="5" t="inlineStr">
        <is>
          <t>01446</t>
        </is>
      </c>
      <c r="C556" s="29" t="inlineStr">
        <is>
          <t>RAİBA DURMA</t>
        </is>
      </c>
      <c r="D556" s="7">
        <f>Aylik_Puantaj!L558</f>
        <v/>
      </c>
      <c r="E556" s="7">
        <f>Aylik_Puantaj!BJ558</f>
        <v/>
      </c>
      <c r="F556" s="7">
        <f>Aylik_Puantaj!BL558</f>
        <v/>
      </c>
    </row>
    <row r="557">
      <c r="A557" s="4" t="n">
        <v>556</v>
      </c>
      <c r="B557" s="5" t="inlineStr">
        <is>
          <t>01448</t>
        </is>
      </c>
      <c r="C557" s="29" t="inlineStr">
        <is>
          <t>İREMZİYE FİDAN</t>
        </is>
      </c>
      <c r="D557" s="7">
        <f>Aylik_Puantaj!L559</f>
        <v/>
      </c>
      <c r="E557" s="7">
        <f>Aylik_Puantaj!BJ559</f>
        <v/>
      </c>
      <c r="F557" s="7">
        <f>Aylik_Puantaj!BL559</f>
        <v/>
      </c>
    </row>
    <row r="558">
      <c r="A558" s="4" t="n">
        <v>557</v>
      </c>
      <c r="B558" s="5" t="inlineStr">
        <is>
          <t>01449</t>
        </is>
      </c>
      <c r="C558" s="29" t="inlineStr">
        <is>
          <t>SAADET ÇÇAKIR</t>
        </is>
      </c>
      <c r="D558" s="7">
        <f>Aylik_Puantaj!L560</f>
        <v/>
      </c>
      <c r="E558" s="7">
        <f>Aylik_Puantaj!BJ560</f>
        <v/>
      </c>
      <c r="F558" s="7">
        <f>Aylik_Puantaj!BL560</f>
        <v/>
      </c>
    </row>
    <row r="559">
      <c r="A559" s="4" t="n">
        <v>558</v>
      </c>
      <c r="B559" s="5" t="inlineStr">
        <is>
          <t>01450</t>
        </is>
      </c>
      <c r="C559" s="29" t="inlineStr">
        <is>
          <t>SAFİYE GÖKGÖZ</t>
        </is>
      </c>
      <c r="D559" s="7">
        <f>Aylik_Puantaj!L561</f>
        <v/>
      </c>
      <c r="E559" s="7">
        <f>Aylik_Puantaj!BJ561</f>
        <v/>
      </c>
      <c r="F559" s="7">
        <f>Aylik_Puantaj!BL561</f>
        <v/>
      </c>
    </row>
    <row r="560">
      <c r="A560" s="4" t="n">
        <v>559</v>
      </c>
      <c r="B560" s="5" t="inlineStr">
        <is>
          <t>01453</t>
        </is>
      </c>
      <c r="C560" s="29" t="inlineStr">
        <is>
          <t>SEBAHATTİN ÖRS</t>
        </is>
      </c>
      <c r="D560" s="7">
        <f>Aylik_Puantaj!L562</f>
        <v/>
      </c>
      <c r="E560" s="7">
        <f>Aylik_Puantaj!BJ562</f>
        <v/>
      </c>
      <c r="F560" s="7">
        <f>Aylik_Puantaj!BL562</f>
        <v/>
      </c>
    </row>
    <row r="561">
      <c r="A561" s="4" t="n">
        <v>560</v>
      </c>
      <c r="B561" s="5" t="inlineStr">
        <is>
          <t>01523</t>
        </is>
      </c>
      <c r="C561" s="29" t="inlineStr">
        <is>
          <t>SECAHET ABAKAY</t>
        </is>
      </c>
      <c r="D561" s="7">
        <f>Aylik_Puantaj!L563</f>
        <v/>
      </c>
      <c r="E561" s="7">
        <f>Aylik_Puantaj!BJ563</f>
        <v/>
      </c>
      <c r="F561" s="7">
        <f>Aylik_Puantaj!BL563</f>
        <v/>
      </c>
    </row>
    <row r="562">
      <c r="A562" s="4" t="n">
        <v>561</v>
      </c>
      <c r="B562" s="5" t="inlineStr">
        <is>
          <t>00979</t>
        </is>
      </c>
      <c r="C562" s="29" t="inlineStr">
        <is>
          <t>SEMRA KARAGÖZ</t>
        </is>
      </c>
      <c r="D562" s="7">
        <f>Aylik_Puantaj!L564</f>
        <v/>
      </c>
      <c r="E562" s="7">
        <f>Aylik_Puantaj!BJ564</f>
        <v/>
      </c>
      <c r="F562" s="7">
        <f>Aylik_Puantaj!BL564</f>
        <v/>
      </c>
    </row>
    <row r="563">
      <c r="A563" s="4" t="n">
        <v>562</v>
      </c>
      <c r="B563" s="5" t="inlineStr">
        <is>
          <t>01454</t>
        </is>
      </c>
      <c r="C563" s="29" t="inlineStr">
        <is>
          <t>SEMRA DUMRUL</t>
        </is>
      </c>
      <c r="D563" s="7">
        <f>Aylik_Puantaj!L565</f>
        <v/>
      </c>
      <c r="E563" s="7">
        <f>Aylik_Puantaj!BJ565</f>
        <v/>
      </c>
      <c r="F563" s="7">
        <f>Aylik_Puantaj!BL565</f>
        <v/>
      </c>
    </row>
    <row r="564">
      <c r="A564" s="4" t="n">
        <v>563</v>
      </c>
      <c r="B564" s="5" t="inlineStr">
        <is>
          <t>01455</t>
        </is>
      </c>
      <c r="C564" s="29" t="inlineStr">
        <is>
          <t>SERGEN SEPETÇİ</t>
        </is>
      </c>
      <c r="D564" s="7">
        <f>Aylik_Puantaj!L566</f>
        <v/>
      </c>
      <c r="E564" s="7">
        <f>Aylik_Puantaj!BJ566</f>
        <v/>
      </c>
      <c r="F564" s="7">
        <f>Aylik_Puantaj!BL566</f>
        <v/>
      </c>
    </row>
    <row r="565">
      <c r="A565" s="4" t="n">
        <v>564</v>
      </c>
      <c r="B565" s="5" t="inlineStr">
        <is>
          <t>01456</t>
        </is>
      </c>
      <c r="C565" s="29" t="inlineStr">
        <is>
          <t>SEVİLAY GÖKGÖZ</t>
        </is>
      </c>
      <c r="D565" s="7">
        <f>Aylik_Puantaj!L567</f>
        <v/>
      </c>
      <c r="E565" s="7">
        <f>Aylik_Puantaj!BJ567</f>
        <v/>
      </c>
      <c r="F565" s="7">
        <f>Aylik_Puantaj!BL567</f>
        <v/>
      </c>
    </row>
    <row r="566">
      <c r="A566" s="4" t="n">
        <v>565</v>
      </c>
      <c r="B566" s="5" t="inlineStr">
        <is>
          <t>01534</t>
        </is>
      </c>
      <c r="C566" s="29" t="inlineStr">
        <is>
          <t>SİBEL AKTAŞ</t>
        </is>
      </c>
      <c r="D566" s="7">
        <f>Aylik_Puantaj!L568</f>
        <v/>
      </c>
      <c r="E566" s="7">
        <f>Aylik_Puantaj!BJ568</f>
        <v/>
      </c>
      <c r="F566" s="7">
        <f>Aylik_Puantaj!BL568</f>
        <v/>
      </c>
    </row>
    <row r="567">
      <c r="A567" s="4" t="n">
        <v>566</v>
      </c>
      <c r="B567" s="5" t="inlineStr">
        <is>
          <t>01457</t>
        </is>
      </c>
      <c r="C567" s="29" t="inlineStr">
        <is>
          <t>SİNAN BAYINDIR</t>
        </is>
      </c>
      <c r="D567" s="7">
        <f>Aylik_Puantaj!L569</f>
        <v/>
      </c>
      <c r="E567" s="7">
        <f>Aylik_Puantaj!BJ569</f>
        <v/>
      </c>
      <c r="F567" s="7">
        <f>Aylik_Puantaj!BL569</f>
        <v/>
      </c>
    </row>
    <row r="568">
      <c r="A568" s="4" t="n">
        <v>567</v>
      </c>
      <c r="B568" s="5" t="inlineStr">
        <is>
          <t>01460</t>
        </is>
      </c>
      <c r="C568" s="29" t="inlineStr">
        <is>
          <t>ŞERİFE SEDA ÜZER</t>
        </is>
      </c>
      <c r="D568" s="7">
        <f>Aylik_Puantaj!L570</f>
        <v/>
      </c>
      <c r="E568" s="7">
        <f>Aylik_Puantaj!BJ570</f>
        <v/>
      </c>
      <c r="F568" s="7">
        <f>Aylik_Puantaj!BL570</f>
        <v/>
      </c>
    </row>
    <row r="569">
      <c r="A569" s="4" t="n">
        <v>568</v>
      </c>
      <c r="B569" s="5" t="inlineStr">
        <is>
          <t>01533</t>
        </is>
      </c>
      <c r="C569" s="29" t="inlineStr">
        <is>
          <t>ŞİLAN AY</t>
        </is>
      </c>
      <c r="D569" s="7">
        <f>Aylik_Puantaj!L571</f>
        <v/>
      </c>
      <c r="E569" s="7">
        <f>Aylik_Puantaj!BJ571</f>
        <v/>
      </c>
      <c r="F569" s="7">
        <f>Aylik_Puantaj!BL571</f>
        <v/>
      </c>
    </row>
    <row r="570">
      <c r="A570" s="4" t="n">
        <v>569</v>
      </c>
      <c r="B570" s="5" t="inlineStr">
        <is>
          <t>01552</t>
        </is>
      </c>
      <c r="C570" s="29" t="inlineStr">
        <is>
          <t>ŞÜKRÜ YAVUZ</t>
        </is>
      </c>
      <c r="D570" s="7">
        <f>Aylik_Puantaj!L572</f>
        <v/>
      </c>
      <c r="E570" s="7">
        <f>Aylik_Puantaj!BJ572</f>
        <v/>
      </c>
      <c r="F570" s="7">
        <f>Aylik_Puantaj!BL572</f>
        <v/>
      </c>
    </row>
    <row r="571">
      <c r="A571" s="4" t="n">
        <v>570</v>
      </c>
      <c r="B571" s="5" t="inlineStr">
        <is>
          <t>01536</t>
        </is>
      </c>
      <c r="C571" s="29" t="inlineStr">
        <is>
          <t>TUĞÇE KATMIŞ</t>
        </is>
      </c>
      <c r="D571" s="7">
        <f>Aylik_Puantaj!L573</f>
        <v/>
      </c>
      <c r="E571" s="7">
        <f>Aylik_Puantaj!BJ573</f>
        <v/>
      </c>
      <c r="F571" s="7">
        <f>Aylik_Puantaj!BL573</f>
        <v/>
      </c>
    </row>
    <row r="572">
      <c r="A572" s="4" t="n">
        <v>571</v>
      </c>
      <c r="B572" s="5" t="inlineStr">
        <is>
          <t>01463</t>
        </is>
      </c>
      <c r="C572" s="29" t="inlineStr">
        <is>
          <t>TÜRKAN BÇAKIR</t>
        </is>
      </c>
      <c r="D572" s="7">
        <f>Aylik_Puantaj!L574</f>
        <v/>
      </c>
      <c r="E572" s="7">
        <f>Aylik_Puantaj!BJ574</f>
        <v/>
      </c>
      <c r="F572" s="7">
        <f>Aylik_Puantaj!BL574</f>
        <v/>
      </c>
    </row>
    <row r="573">
      <c r="A573" s="4" t="n">
        <v>572</v>
      </c>
      <c r="B573" s="5" t="inlineStr">
        <is>
          <t>01465</t>
        </is>
      </c>
      <c r="C573" s="29" t="inlineStr">
        <is>
          <t>VEDAT DEMİR</t>
        </is>
      </c>
      <c r="D573" s="7">
        <f>Aylik_Puantaj!L575</f>
        <v/>
      </c>
      <c r="E573" s="7">
        <f>Aylik_Puantaj!BJ575</f>
        <v/>
      </c>
      <c r="F573" s="7">
        <f>Aylik_Puantaj!BL575</f>
        <v/>
      </c>
    </row>
    <row r="574">
      <c r="A574" s="4" t="n">
        <v>573</v>
      </c>
      <c r="B574" s="5" t="inlineStr">
        <is>
          <t>01466</t>
        </is>
      </c>
      <c r="C574" s="29" t="inlineStr">
        <is>
          <t>YELİZ KIRCALI</t>
        </is>
      </c>
      <c r="D574" s="7">
        <f>Aylik_Puantaj!L576</f>
        <v/>
      </c>
      <c r="E574" s="7">
        <f>Aylik_Puantaj!BJ576</f>
        <v/>
      </c>
      <c r="F574" s="7">
        <f>Aylik_Puantaj!BL576</f>
        <v/>
      </c>
    </row>
    <row r="575">
      <c r="A575" s="4" t="n">
        <v>574</v>
      </c>
      <c r="B575" s="5" t="inlineStr">
        <is>
          <t>01469</t>
        </is>
      </c>
      <c r="C575" s="29" t="inlineStr">
        <is>
          <t>YUSUF BÇAKIR</t>
        </is>
      </c>
      <c r="D575" s="7">
        <f>Aylik_Puantaj!L577</f>
        <v/>
      </c>
      <c r="E575" s="7">
        <f>Aylik_Puantaj!BJ577</f>
        <v/>
      </c>
      <c r="F575" s="7">
        <f>Aylik_Puantaj!BL577</f>
        <v/>
      </c>
    </row>
    <row r="576">
      <c r="A576" s="4" t="n">
        <v>575</v>
      </c>
      <c r="B576" s="5" t="inlineStr">
        <is>
          <t>01470</t>
        </is>
      </c>
      <c r="C576" s="29" t="inlineStr">
        <is>
          <t>YÜKSEL KARATUN</t>
        </is>
      </c>
      <c r="D576" s="7">
        <f>Aylik_Puantaj!L578</f>
        <v/>
      </c>
      <c r="E576" s="7">
        <f>Aylik_Puantaj!BJ578</f>
        <v/>
      </c>
      <c r="F576" s="7">
        <f>Aylik_Puantaj!BL578</f>
        <v/>
      </c>
    </row>
    <row r="577">
      <c r="A577" s="4" t="n">
        <v>576</v>
      </c>
      <c r="B577" s="5" t="inlineStr">
        <is>
          <t>01471</t>
        </is>
      </c>
      <c r="C577" s="29" t="inlineStr">
        <is>
          <t>ZEKİYE AYICI</t>
        </is>
      </c>
      <c r="D577" s="7">
        <f>Aylik_Puantaj!L579</f>
        <v/>
      </c>
      <c r="E577" s="7">
        <f>Aylik_Puantaj!BJ579</f>
        <v/>
      </c>
      <c r="F577" s="7">
        <f>Aylik_Puantaj!BL579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2026-10-21T17:02:01Z</dcterms:created>
  <dcterms:modified xmlns:dcterms="http://purl.org/dc/terms/" xmlns:xsi="http://www.w3.org/2001/XMLSchema-instance" xsi:type="dcterms:W3CDTF">2026-10-21T17:02:11Z</dcterms:modified>
</cp:coreProperties>
</file>