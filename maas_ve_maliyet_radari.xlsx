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an_Maliyet_Ozeti" sheetId="1" state="visible" r:id="rId1"/>
    <sheet xmlns:r="http://schemas.openxmlformats.org/officeDocument/2006/relationships" name="Personel_Maas_ve_Mesai_Detay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 TL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595959"/>
      <sz val="8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3" fillId="3" borderId="2" pivotButton="0" quotePrefix="0" xfId="0"/>
    <xf numFmtId="164" fontId="3" fillId="3" borderId="2" pivotButton="0" quotePrefix="0" xfId="0"/>
    <xf numFmtId="165" fontId="3" fillId="3" borderId="2" pivotButton="0" quotePrefix="0" xfId="0"/>
    <xf numFmtId="166" fontId="3" fillId="3" borderId="2" pivotButton="0" quotePrefix="0" xfId="0"/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8" customWidth="1" min="4" max="4"/>
    <col width="18" customWidth="1" min="5" max="5"/>
    <col width="22" customWidth="1" min="6" max="6"/>
    <col width="24" customWidth="1" min="7" max="7"/>
    <col width="26" customWidth="1" min="8" max="8"/>
    <col width="24" customWidth="1" min="9" max="9"/>
    <col width="45" customWidth="1" min="10" max="10"/>
  </cols>
  <sheetData>
    <row r="1" ht="28" customHeight="1">
      <c r="A1" s="1" t="inlineStr">
        <is>
          <t>FİDE KONSERVE — DEPARTMAN İŞÇİLİK VE FAZLA MESAİ BÜTÇE ANALİZİ</t>
        </is>
      </c>
    </row>
    <row r="3" ht="24" customHeight="1">
      <c r="A3" s="2" t="inlineStr">
        <is>
          <t>Departman</t>
        </is>
      </c>
      <c r="B3" s="2" t="inlineStr">
        <is>
          <t>Aktif Personel</t>
        </is>
      </c>
      <c r="C3" s="2" t="inlineStr">
        <is>
          <t>Toplam Çalışma (Saat)</t>
        </is>
      </c>
      <c r="D3" s="2" t="inlineStr">
        <is>
          <t>Toplam FM (Saat)</t>
        </is>
      </c>
      <c r="E3" s="2" t="inlineStr">
        <is>
          <t>FM Bütçe Payı (%)</t>
        </is>
      </c>
      <c r="F3" s="2" t="inlineStr">
        <is>
          <t>Toplam FM Maliyeti (TL)</t>
        </is>
      </c>
      <c r="G3" s="2" t="inlineStr">
        <is>
          <t>Normal Maaş Maliyeti (TL)</t>
        </is>
      </c>
      <c r="H3" s="2" t="inlineStr">
        <is>
          <t>Toplam İşçilik Maliyeti (TL)</t>
        </is>
      </c>
      <c r="I3" s="2" t="inlineStr">
        <is>
          <t>Kişi Başı Ortalama FM (Saat)</t>
        </is>
      </c>
      <c r="J3" s="2" t="inlineStr">
        <is>
          <t>Yönetim Analiz Notu</t>
        </is>
      </c>
    </row>
    <row r="4">
      <c r="A4" s="3" t="inlineStr">
        <is>
          <t>ÜRETİM</t>
        </is>
      </c>
      <c r="B4" s="4" t="n">
        <v>52</v>
      </c>
      <c r="C4" s="5" t="n">
        <v>4763.5</v>
      </c>
      <c r="D4" s="5" t="n">
        <v>851.5</v>
      </c>
      <c r="E4" s="6" t="n">
        <v>0.155</v>
      </c>
      <c r="F4" s="7" t="n">
        <v>161403.38</v>
      </c>
      <c r="G4" s="7" t="n">
        <v>532283.8833333334</v>
      </c>
      <c r="H4" s="7" t="n">
        <v>693687.2633333333</v>
      </c>
      <c r="I4" s="5" t="n">
        <v>16.4</v>
      </c>
      <c r="J4" s="8" t="inlineStr">
        <is>
          <t>Fabrikanın en yüksek toplam mesai tutarı (%15.5 pay, 161,403.38 TL).</t>
        </is>
      </c>
    </row>
    <row r="5">
      <c r="A5" s="3" t="inlineStr">
        <is>
          <t>AMBAR</t>
        </is>
      </c>
      <c r="B5" s="4" t="n">
        <v>28</v>
      </c>
      <c r="C5" s="5" t="n">
        <v>3659</v>
      </c>
      <c r="D5" s="5" t="n">
        <v>627</v>
      </c>
      <c r="E5" s="6" t="n">
        <v>0.129</v>
      </c>
      <c r="F5" s="7" t="n">
        <v>134178.8416666667</v>
      </c>
      <c r="G5" s="7" t="n">
        <v>442314.3333333332</v>
      </c>
      <c r="H5" s="7" t="n">
        <v>576493.175</v>
      </c>
      <c r="I5" s="5" t="n">
        <v>22.4</v>
      </c>
      <c r="J5" s="8" t="inlineStr">
        <is>
          <t>Sevkiyat ve hammadde kabul yoğunluğu (134,178.84 TL mesai harcaması).</t>
        </is>
      </c>
    </row>
    <row r="6">
      <c r="A6" s="3" t="inlineStr">
        <is>
          <t>BALIK TEMİZLEME</t>
        </is>
      </c>
      <c r="B6" s="4" t="n">
        <v>77</v>
      </c>
      <c r="C6" s="5" t="n">
        <v>8299.5</v>
      </c>
      <c r="D6" s="5" t="n">
        <v>593</v>
      </c>
      <c r="E6" s="6" t="n">
        <v>0.125</v>
      </c>
      <c r="F6" s="7" t="n">
        <v>130460</v>
      </c>
      <c r="G6" s="7" t="n">
        <v>1133000</v>
      </c>
      <c r="H6" s="7" t="n">
        <v>1263460</v>
      </c>
      <c r="I6" s="5" t="n">
        <v>7.7</v>
      </c>
      <c r="J6" s="8" t="inlineStr">
        <is>
          <t>Fabrikanın en kalabalık birimi (77 aktif). Toplam mesai harcamasının %12.5'ini oluşturuyor.</t>
        </is>
      </c>
    </row>
    <row r="7">
      <c r="A7" s="3" t="inlineStr">
        <is>
          <t>BALIK DOLUM</t>
        </is>
      </c>
      <c r="B7" s="4" t="n">
        <v>9</v>
      </c>
      <c r="C7" s="5" t="n">
        <v>1385.5</v>
      </c>
      <c r="D7" s="5" t="n">
        <v>522</v>
      </c>
      <c r="E7" s="6" t="n">
        <v>0.11</v>
      </c>
      <c r="F7" s="7" t="n">
        <v>114840</v>
      </c>
      <c r="G7" s="7" t="n">
        <v>149600</v>
      </c>
      <c r="H7" s="7" t="n">
        <v>264440</v>
      </c>
      <c r="I7" s="5" t="n">
        <v>58</v>
      </c>
      <c r="J7" s="8" t="inlineStr">
        <is>
          <t>Kişi başı en yüksek mesai yoğunluğu: Sadece 9 çalışan kişi başı 58.0 saat mesai yaptı (12,760.00 TL/kişi).</t>
        </is>
      </c>
    </row>
    <row r="8">
      <c r="A8" s="3" t="inlineStr">
        <is>
          <t>BAKIM</t>
        </is>
      </c>
      <c r="B8" s="4" t="n">
        <v>9</v>
      </c>
      <c r="C8" s="5" t="n">
        <v>1370</v>
      </c>
      <c r="D8" s="5" t="n">
        <v>364.5</v>
      </c>
      <c r="E8" s="6" t="n">
        <v>0.106</v>
      </c>
      <c r="F8" s="7" t="n">
        <v>110763.3866666667</v>
      </c>
      <c r="G8" s="7" t="n">
        <v>246484.6</v>
      </c>
      <c r="H8" s="7" t="n">
        <v>357247.9866666667</v>
      </c>
      <c r="I8" s="5" t="n">
        <v>40.5</v>
      </c>
      <c r="J8" s="8" t="inlineStr">
        <is>
          <t>Hat arıza ve revizyon nedeniyle yüksek saatlik maliyet (110,763.39 TL).</t>
        </is>
      </c>
    </row>
    <row r="9">
      <c r="A9" s="3" t="inlineStr">
        <is>
          <t>Bilinmeyen</t>
        </is>
      </c>
      <c r="B9" s="4" t="n">
        <v>17</v>
      </c>
      <c r="C9" s="5" t="n">
        <v>1238.5</v>
      </c>
      <c r="D9" s="5" t="n">
        <v>266</v>
      </c>
      <c r="E9" s="6" t="n">
        <v>0.048</v>
      </c>
      <c r="F9" s="7" t="n">
        <v>50066.27499999999</v>
      </c>
      <c r="G9" s="7" t="n">
        <v>131609.55</v>
      </c>
      <c r="H9" s="7" t="n">
        <v>181675.825</v>
      </c>
      <c r="I9" s="5" t="n">
        <v>15.6</v>
      </c>
      <c r="J9" s="8" t="inlineStr">
        <is>
          <t>266.0 saat mesai, ortalama 15.6 saat/kişi.</t>
        </is>
      </c>
    </row>
    <row r="10">
      <c r="A10" s="3" t="inlineStr">
        <is>
          <t>KALİTE</t>
        </is>
      </c>
      <c r="B10" s="4" t="n">
        <v>9</v>
      </c>
      <c r="C10" s="5" t="n">
        <v>1141.5</v>
      </c>
      <c r="D10" s="5" t="n">
        <v>153.5</v>
      </c>
      <c r="E10" s="6" t="n">
        <v>0.039</v>
      </c>
      <c r="F10" s="7" t="n">
        <v>40856.48666666667</v>
      </c>
      <c r="G10" s="7" t="n">
        <v>176672.7</v>
      </c>
      <c r="H10" s="7" t="n">
        <v>217529.1866666666</v>
      </c>
      <c r="I10" s="5" t="n">
        <v>17.1</v>
      </c>
      <c r="J10" s="8" t="inlineStr">
        <is>
          <t>153.5 saat mesai, ortalama 17.1 saat/kişi.</t>
        </is>
      </c>
    </row>
    <row r="11">
      <c r="A11" s="3" t="inlineStr">
        <is>
          <t>KAZAN</t>
        </is>
      </c>
      <c r="B11" s="4" t="n">
        <v>2</v>
      </c>
      <c r="C11" s="5" t="n">
        <v>383</v>
      </c>
      <c r="D11" s="5" t="n">
        <v>186</v>
      </c>
      <c r="E11" s="6" t="n">
        <v>0.03700000000000001</v>
      </c>
      <c r="F11" s="7" t="n">
        <v>39020.55</v>
      </c>
      <c r="G11" s="7" t="n">
        <v>39444.33333333334</v>
      </c>
      <c r="H11" s="7" t="n">
        <v>78464.88333333333</v>
      </c>
      <c r="I11" s="5" t="n">
        <v>93</v>
      </c>
      <c r="J11" s="8" t="inlineStr">
        <is>
          <t>186.0 saat mesai, ortalama 93.0 saat/kişi.</t>
        </is>
      </c>
    </row>
    <row r="12">
      <c r="A12" s="3" t="inlineStr">
        <is>
          <t>ELEKTRİK</t>
        </is>
      </c>
      <c r="B12" s="4" t="n">
        <v>3</v>
      </c>
      <c r="C12" s="5" t="n">
        <v>370.5</v>
      </c>
      <c r="D12" s="5" t="n">
        <v>147.5</v>
      </c>
      <c r="E12" s="6" t="n">
        <v>0.029</v>
      </c>
      <c r="F12" s="7" t="n">
        <v>30301.905</v>
      </c>
      <c r="G12" s="7" t="n">
        <v>42452.85000000001</v>
      </c>
      <c r="H12" s="7" t="n">
        <v>72754.755</v>
      </c>
      <c r="I12" s="5" t="n">
        <v>49.2</v>
      </c>
      <c r="J12" s="8" t="inlineStr">
        <is>
          <t>147.5 saat mesai, ortalama 49.2 saat/kişi.</t>
        </is>
      </c>
    </row>
    <row r="13">
      <c r="A13" s="3" t="inlineStr">
        <is>
          <t>İŞLETME</t>
        </is>
      </c>
      <c r="B13" s="4" t="n">
        <v>2</v>
      </c>
      <c r="C13" s="5" t="n">
        <v>342</v>
      </c>
      <c r="D13" s="5" t="n">
        <v>133.5</v>
      </c>
      <c r="E13" s="6" t="n">
        <v>0.029</v>
      </c>
      <c r="F13" s="7" t="n">
        <v>29706.66666666667</v>
      </c>
      <c r="G13" s="7" t="n">
        <v>40233.33333333333</v>
      </c>
      <c r="H13" s="7" t="n">
        <v>69940</v>
      </c>
      <c r="I13" s="5" t="n">
        <v>66.8</v>
      </c>
      <c r="J13" s="8" t="inlineStr">
        <is>
          <t>133.5 saat mesai, ortalama 66.8 saat/kişi.</t>
        </is>
      </c>
    </row>
    <row r="14">
      <c r="A14" s="3" t="inlineStr">
        <is>
          <t>ŞÖFÖR</t>
        </is>
      </c>
      <c r="B14" s="4" t="n">
        <v>4</v>
      </c>
      <c r="C14" s="5" t="n">
        <v>561.5</v>
      </c>
      <c r="D14" s="5" t="n">
        <v>130.5</v>
      </c>
      <c r="E14" s="6" t="n">
        <v>0.025</v>
      </c>
      <c r="F14" s="7" t="n">
        <v>26248</v>
      </c>
      <c r="G14" s="7" t="n">
        <v>72339.16666666666</v>
      </c>
      <c r="H14" s="7" t="n">
        <v>98587.16666666667</v>
      </c>
      <c r="I14" s="5" t="n">
        <v>32.6</v>
      </c>
      <c r="J14" s="8" t="inlineStr">
        <is>
          <t>130.5 saat mesai, ortalama 32.6 saat/kişi.</t>
        </is>
      </c>
    </row>
    <row r="15">
      <c r="A15" s="3" t="inlineStr">
        <is>
          <t>BALIK KESİM</t>
        </is>
      </c>
      <c r="B15" s="4" t="n">
        <v>2</v>
      </c>
      <c r="C15" s="5" t="n">
        <v>259.5</v>
      </c>
      <c r="D15" s="5" t="n">
        <v>139.5</v>
      </c>
      <c r="E15" s="6" t="n">
        <v>0.025</v>
      </c>
      <c r="F15" s="7" t="n">
        <v>26110.215</v>
      </c>
      <c r="G15" s="7" t="n">
        <v>21524.55</v>
      </c>
      <c r="H15" s="7" t="n">
        <v>47634.765</v>
      </c>
      <c r="I15" s="5" t="n">
        <v>69.8</v>
      </c>
      <c r="J15" s="8" t="inlineStr">
        <is>
          <t>139.5 saat mesai, ortalama 69.8 saat/kişi.</t>
        </is>
      </c>
    </row>
    <row r="16">
      <c r="A16" s="3" t="inlineStr">
        <is>
          <t>MEYDAN</t>
        </is>
      </c>
      <c r="B16" s="4" t="n">
        <v>6</v>
      </c>
      <c r="C16" s="5" t="n">
        <v>787.5</v>
      </c>
      <c r="D16" s="5" t="n">
        <v>121</v>
      </c>
      <c r="E16" s="6" t="n">
        <v>0.024</v>
      </c>
      <c r="F16" s="7" t="n">
        <v>25271.61833333334</v>
      </c>
      <c r="G16" s="7" t="n">
        <v>99802.75</v>
      </c>
      <c r="H16" s="7" t="n">
        <v>125074.3683333333</v>
      </c>
      <c r="I16" s="5" t="n">
        <v>20.2</v>
      </c>
      <c r="J16" s="8" t="inlineStr">
        <is>
          <t>121.0 saat mesai, ortalama 20.2 saat/kişi.</t>
        </is>
      </c>
    </row>
    <row r="17">
      <c r="A17" s="3" t="inlineStr">
        <is>
          <t>YEMEKHANE</t>
        </is>
      </c>
      <c r="B17" s="4" t="n">
        <v>5</v>
      </c>
      <c r="C17" s="5" t="n">
        <v>663.5</v>
      </c>
      <c r="D17" s="5" t="n">
        <v>132</v>
      </c>
      <c r="E17" s="6" t="n">
        <v>0.024</v>
      </c>
      <c r="F17" s="7" t="n">
        <v>24936.25</v>
      </c>
      <c r="G17" s="7" t="n">
        <v>79201.95</v>
      </c>
      <c r="H17" s="7" t="n">
        <v>104138.2</v>
      </c>
      <c r="I17" s="5" t="n">
        <v>26.4</v>
      </c>
      <c r="J17" s="8" t="inlineStr">
        <is>
          <t>132.0 saat mesai, ortalama 26.4 saat/kişi.</t>
        </is>
      </c>
    </row>
    <row r="18">
      <c r="A18" s="3" t="inlineStr">
        <is>
          <t>YENİ BALIK HATTI</t>
        </is>
      </c>
      <c r="B18" s="4" t="n">
        <v>2</v>
      </c>
      <c r="C18" s="5" t="n">
        <v>280.5</v>
      </c>
      <c r="D18" s="5" t="n">
        <v>53</v>
      </c>
      <c r="E18" s="6" t="n">
        <v>0.017</v>
      </c>
      <c r="F18" s="7" t="n">
        <v>17278.33333333333</v>
      </c>
      <c r="G18" s="7" t="n">
        <v>55016.66666666666</v>
      </c>
      <c r="H18" s="7" t="n">
        <v>72295</v>
      </c>
      <c r="I18" s="5" t="n">
        <v>26.5</v>
      </c>
      <c r="J18" s="8" t="inlineStr">
        <is>
          <t>53.0 saat mesai, ortalama 26.5 saat/kişi.</t>
        </is>
      </c>
    </row>
    <row r="19">
      <c r="A19" s="3" t="inlineStr">
        <is>
          <t>FORMEN</t>
        </is>
      </c>
      <c r="B19" s="4" t="n">
        <v>3</v>
      </c>
      <c r="C19" s="5" t="n">
        <v>365</v>
      </c>
      <c r="D19" s="5" t="n">
        <v>44</v>
      </c>
      <c r="E19" s="6" t="n">
        <v>0.013</v>
      </c>
      <c r="F19" s="7" t="n">
        <v>14033.33333333333</v>
      </c>
      <c r="G19" s="7" t="n">
        <v>60500</v>
      </c>
      <c r="H19" s="7" t="n">
        <v>74533.33333333333</v>
      </c>
      <c r="I19" s="5" t="n">
        <v>14.7</v>
      </c>
      <c r="J19" s="8" t="inlineStr">
        <is>
          <t>44.0 saat mesai, ortalama 14.7 saat/kişi.</t>
        </is>
      </c>
    </row>
    <row r="20">
      <c r="A20" s="3" t="inlineStr">
        <is>
          <t>KAPI GÖREVLİSİ</t>
        </is>
      </c>
      <c r="B20" s="4" t="n">
        <v>3</v>
      </c>
      <c r="C20" s="5" t="n">
        <v>412.5</v>
      </c>
      <c r="D20" s="5" t="n">
        <v>67.5</v>
      </c>
      <c r="E20" s="6" t="n">
        <v>0.013</v>
      </c>
      <c r="F20" s="7" t="n">
        <v>13266.825</v>
      </c>
      <c r="G20" s="7" t="n">
        <v>54143.78333333333</v>
      </c>
      <c r="H20" s="7" t="n">
        <v>67410.60833333334</v>
      </c>
      <c r="I20" s="5" t="n">
        <v>22.5</v>
      </c>
      <c r="J20" s="8" t="inlineStr">
        <is>
          <t>67.5 saat mesai, ortalama 22.5 saat/kişi.</t>
        </is>
      </c>
    </row>
    <row r="21">
      <c r="A21" s="3" t="inlineStr">
        <is>
          <t>OTOKLAV OPERATÖRÜ</t>
        </is>
      </c>
      <c r="B21" s="4" t="n">
        <v>1</v>
      </c>
      <c r="C21" s="5" t="n">
        <v>141.5</v>
      </c>
      <c r="D21" s="5" t="n">
        <v>25</v>
      </c>
      <c r="E21" s="6" t="n">
        <v>0.01</v>
      </c>
      <c r="F21" s="7" t="n">
        <v>10166.66666666667</v>
      </c>
      <c r="G21" s="7" t="n">
        <v>32533.33333333333</v>
      </c>
      <c r="H21" s="7" t="n">
        <v>42700</v>
      </c>
      <c r="I21" s="5" t="n">
        <v>25</v>
      </c>
      <c r="J21" s="8" t="inlineStr">
        <is>
          <t>25.0 saat mesai, ortalama 25.0 saat/kişi.</t>
        </is>
      </c>
    </row>
    <row r="22">
      <c r="A22" s="3" t="inlineStr">
        <is>
          <t>DİĞER</t>
        </is>
      </c>
      <c r="B22" s="4" t="n">
        <v>7</v>
      </c>
      <c r="C22" s="5" t="n">
        <v>238</v>
      </c>
      <c r="D22" s="5" t="n">
        <v>51.5</v>
      </c>
      <c r="E22" s="6" t="n">
        <v>0.009000000000000001</v>
      </c>
      <c r="F22" s="7" t="n">
        <v>9639.255000000001</v>
      </c>
      <c r="G22" s="7" t="n">
        <v>25267.95</v>
      </c>
      <c r="H22" s="7" t="n">
        <v>34907.205</v>
      </c>
      <c r="I22" s="5" t="n">
        <v>7.4</v>
      </c>
      <c r="J22" s="8" t="inlineStr">
        <is>
          <t>51.5 saat mesai, ortalama 7.4 saat/kişi.</t>
        </is>
      </c>
    </row>
    <row r="23">
      <c r="A23" s="3" t="inlineStr">
        <is>
          <t>ÇEVRE MÜHENDİSİ</t>
        </is>
      </c>
      <c r="B23" s="4" t="n">
        <v>1</v>
      </c>
      <c r="C23" s="5" t="n">
        <v>121</v>
      </c>
      <c r="D23" s="5" t="n">
        <v>24.5</v>
      </c>
      <c r="E23" s="6" t="n">
        <v>0.008</v>
      </c>
      <c r="F23" s="7" t="n">
        <v>8166.666666666668</v>
      </c>
      <c r="G23" s="7" t="n">
        <v>23333.33333333334</v>
      </c>
      <c r="H23" s="7" t="n">
        <v>31500</v>
      </c>
      <c r="I23" s="5" t="n">
        <v>24.5</v>
      </c>
      <c r="J23" s="8" t="inlineStr">
        <is>
          <t>24.5 saat mesai, ortalama 24.5 saat/kişi.</t>
        </is>
      </c>
    </row>
    <row r="24">
      <c r="A24" s="3" t="inlineStr">
        <is>
          <t>BALIK</t>
        </is>
      </c>
      <c r="B24" s="4" t="n">
        <v>2</v>
      </c>
      <c r="C24" s="5" t="n">
        <v>265</v>
      </c>
      <c r="D24" s="5" t="n">
        <v>32.5</v>
      </c>
      <c r="E24" s="6" t="n">
        <v>0.006999999999999999</v>
      </c>
      <c r="F24" s="7" t="n">
        <v>7150</v>
      </c>
      <c r="G24" s="7" t="n">
        <v>36300</v>
      </c>
      <c r="H24" s="7" t="n">
        <v>43450</v>
      </c>
      <c r="I24" s="5" t="n">
        <v>16.2</v>
      </c>
      <c r="J24" s="8" t="inlineStr">
        <is>
          <t>32.5 saat mesai, ortalama 16.2 saat/kişi.</t>
        </is>
      </c>
    </row>
    <row r="25">
      <c r="A25" s="3" t="inlineStr">
        <is>
          <t>KONSERVE ÜRETİM ELEMANI</t>
        </is>
      </c>
      <c r="B25" s="4" t="n">
        <v>1</v>
      </c>
      <c r="C25" s="5" t="n">
        <v>131.5</v>
      </c>
      <c r="D25" s="5" t="n">
        <v>30</v>
      </c>
      <c r="E25" s="6" t="n">
        <v>0.005</v>
      </c>
      <c r="F25" s="7" t="n">
        <v>5615.1</v>
      </c>
      <c r="G25" s="7" t="n">
        <v>15909.45</v>
      </c>
      <c r="H25" s="7" t="n">
        <v>21524.55</v>
      </c>
      <c r="I25" s="5" t="n">
        <v>30</v>
      </c>
      <c r="J25" s="8" t="inlineStr">
        <is>
          <t>Fabrikanın en yüksek toplam mesai tutarı (%0.5 pay, 5,615.10 TL).</t>
        </is>
      </c>
    </row>
    <row r="26">
      <c r="A26" s="3" t="inlineStr">
        <is>
          <t>MUHASEBE</t>
        </is>
      </c>
      <c r="B26" s="4" t="n">
        <v>2</v>
      </c>
      <c r="C26" s="5" t="n">
        <v>265.5</v>
      </c>
      <c r="D26" s="5" t="n">
        <v>19.5</v>
      </c>
      <c r="E26" s="6" t="n">
        <v>0.005</v>
      </c>
      <c r="F26" s="7" t="n">
        <v>4900</v>
      </c>
      <c r="G26" s="7" t="n">
        <v>41333.33333333333</v>
      </c>
      <c r="H26" s="7" t="n">
        <v>46233.33333333333</v>
      </c>
      <c r="I26" s="5" t="n">
        <v>9.800000000000001</v>
      </c>
      <c r="J26" s="8" t="inlineStr">
        <is>
          <t>19.5 saat mesai, ortalama 9.8 saat/kişi.</t>
        </is>
      </c>
    </row>
    <row r="27">
      <c r="A27" s="3" t="inlineStr">
        <is>
          <t>BİLGİSAYAR MÜHENDİSİ</t>
        </is>
      </c>
      <c r="B27" s="4" t="n">
        <v>1</v>
      </c>
      <c r="C27" s="5" t="n">
        <v>146.5</v>
      </c>
      <c r="D27" s="5" t="n">
        <v>19</v>
      </c>
      <c r="E27" s="6" t="n">
        <v>0.004</v>
      </c>
      <c r="F27" s="7" t="n">
        <v>4433.333333333333</v>
      </c>
      <c r="G27" s="7" t="n">
        <v>19833.33333333334</v>
      </c>
      <c r="H27" s="7" t="n">
        <v>24266.66666666667</v>
      </c>
      <c r="I27" s="5" t="n">
        <v>19</v>
      </c>
      <c r="J27" s="8" t="inlineStr">
        <is>
          <t>19.0 saat mesai, ortalama 19.0 saat/kişi.</t>
        </is>
      </c>
    </row>
    <row r="28">
      <c r="A28" s="3" t="inlineStr">
        <is>
          <t>BALIK TEMİZLİK</t>
        </is>
      </c>
      <c r="B28" s="4" t="n">
        <v>1</v>
      </c>
      <c r="C28" s="5" t="n">
        <v>121</v>
      </c>
      <c r="D28" s="5" t="n">
        <v>8.5</v>
      </c>
      <c r="E28" s="6" t="n">
        <v>0.002</v>
      </c>
      <c r="F28" s="7" t="n">
        <v>1870</v>
      </c>
      <c r="G28" s="7" t="n">
        <v>16500</v>
      </c>
      <c r="H28" s="7" t="n">
        <v>18370</v>
      </c>
      <c r="I28" s="5" t="n">
        <v>8.5</v>
      </c>
      <c r="J28" s="8" t="inlineStr">
        <is>
          <t>8.5 saat mesai, ortalama 8.5 saat/kişi.</t>
        </is>
      </c>
    </row>
    <row r="29">
      <c r="A29" s="3" t="inlineStr">
        <is>
          <t>SATIN ALMA</t>
        </is>
      </c>
      <c r="B29" s="4" t="n">
        <v>1</v>
      </c>
      <c r="C29" s="5" t="n">
        <v>134</v>
      </c>
      <c r="D29" s="5" t="n">
        <v>6.5</v>
      </c>
      <c r="E29" s="6" t="n">
        <v>0.001</v>
      </c>
      <c r="F29" s="7" t="n">
        <v>1300</v>
      </c>
      <c r="G29" s="7" t="n">
        <v>17000</v>
      </c>
      <c r="H29" s="7" t="n">
        <v>18300</v>
      </c>
      <c r="I29" s="5" t="n">
        <v>6.5</v>
      </c>
      <c r="J29" s="8" t="inlineStr">
        <is>
          <t>6.5 saat mesai, ortalama 6.5 saat/kişi.</t>
        </is>
      </c>
    </row>
    <row r="30">
      <c r="A30" s="9" t="inlineStr">
        <is>
          <t>GENEL TOPLAM</t>
        </is>
      </c>
      <c r="B30" s="9">
        <f>SUM(B4:B29)</f>
        <v/>
      </c>
      <c r="C30" s="10">
        <f>SUM(C4:C29)</f>
        <v/>
      </c>
      <c r="D30" s="10">
        <f>SUM(D4:D29)</f>
        <v/>
      </c>
      <c r="E30" s="11">
        <f>SUM(E4:E29)</f>
        <v/>
      </c>
      <c r="F30" s="12">
        <f>SUM(F4:F29)</f>
        <v/>
      </c>
      <c r="G30" s="12">
        <f>SUM(G4:G29)</f>
        <v/>
      </c>
      <c r="H30" s="12">
        <f>SUM(H4:H29)</f>
        <v/>
      </c>
      <c r="I30" s="10">
        <f>D30/B30</f>
        <v/>
      </c>
      <c r="J30" s="9" t="inlineStr">
        <is>
          <t>Fabrika Bütçe Toplamı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1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0" customWidth="1" min="4" max="4"/>
    <col width="13" customWidth="1" min="5" max="5"/>
    <col width="14" customWidth="1" min="6" max="6"/>
    <col width="15" customWidth="1" min="7" max="7"/>
    <col width="18" customWidth="1" min="8" max="8"/>
    <col width="16" customWidth="1" min="9" max="9"/>
    <col width="14" customWidth="1" min="10" max="10"/>
    <col width="15" customWidth="1" min="11" max="11"/>
    <col width="16" customWidth="1" min="12" max="12"/>
    <col width="15" customWidth="1" min="13" max="13"/>
    <col width="18" customWidth="1" min="14" max="14"/>
    <col width="18" customWidth="1" min="15" max="15"/>
    <col width="18" customWidth="1" min="16" max="16"/>
    <col width="16" customWidth="1" min="17" max="17"/>
    <col width="18" customWidth="1" min="18" max="18"/>
  </cols>
  <sheetData>
    <row r="1" ht="25" customHeight="1">
      <c r="A1" s="2" t="inlineStr">
        <is>
          <t>Sıra</t>
        </is>
      </c>
      <c r="B1" s="2" t="inlineStr">
        <is>
          <t>TC Kimlik No</t>
        </is>
      </c>
      <c r="C1" s="2" t="inlineStr">
        <is>
          <t>Adı Soyadı</t>
        </is>
      </c>
      <c r="D1" s="2" t="inlineStr">
        <is>
          <t>Bölüm</t>
        </is>
      </c>
      <c r="E1" s="2" t="inlineStr">
        <is>
          <t>Çalışılan Gün</t>
        </is>
      </c>
      <c r="F1" s="2" t="inlineStr">
        <is>
          <t>Net Maaş (TL)</t>
        </is>
      </c>
      <c r="G1" s="2" t="inlineStr">
        <is>
          <t>Saatlik Ücret (TL)</t>
        </is>
      </c>
      <c r="H1" s="2" t="inlineStr">
        <is>
          <t>Saatlik Mesai Ücreti (%50 Zam)</t>
        </is>
      </c>
      <c r="I1" s="2" t="inlineStr">
        <is>
          <t>Hafta İçi FM (Saat)</t>
        </is>
      </c>
      <c r="J1" s="2" t="inlineStr">
        <is>
          <t>Pazar FM (Saat)</t>
        </is>
      </c>
      <c r="K1" s="2" t="inlineStr">
        <is>
          <t>Toplam FM (Saat)</t>
        </is>
      </c>
      <c r="L1" s="2" t="inlineStr">
        <is>
          <t>FM Tutarı (TL)</t>
        </is>
      </c>
      <c r="M1" s="2" t="inlineStr">
        <is>
          <t>Bölüm Primi (Saat)</t>
        </is>
      </c>
      <c r="N1" s="2" t="inlineStr">
        <is>
          <t>Bölüm Primi Tutarı (TL)</t>
        </is>
      </c>
      <c r="O1" s="2" t="inlineStr">
        <is>
          <t>Normal Maaş Hakedişi (TL)</t>
        </is>
      </c>
      <c r="P1" s="2" t="inlineStr">
        <is>
          <t>Toplam Net Hakediş (TL)</t>
        </is>
      </c>
      <c r="Q1" s="2" t="inlineStr">
        <is>
          <t>SGK Banka Neti (TL)</t>
        </is>
      </c>
      <c r="R1" s="2" t="inlineStr">
        <is>
          <t>Elden Ödenecek Net Fark (TL)</t>
        </is>
      </c>
    </row>
    <row r="2">
      <c r="A2" s="4" t="n">
        <v>2</v>
      </c>
      <c r="B2" s="4" t="inlineStr">
        <is>
          <t>20437654348</t>
        </is>
      </c>
      <c r="C2" s="13" t="inlineStr">
        <is>
          <t>ADALET KALAYCI</t>
        </is>
      </c>
      <c r="D2" s="13" t="inlineStr">
        <is>
          <t>BALIK TEMİZLEME</t>
        </is>
      </c>
      <c r="E2" s="4" t="n">
        <v>10</v>
      </c>
      <c r="F2" s="7" t="n">
        <v>33000</v>
      </c>
      <c r="G2" s="7" t="n">
        <v>146.67</v>
      </c>
      <c r="H2" s="7" t="n">
        <v>220</v>
      </c>
      <c r="I2" s="5" t="n">
        <v>7</v>
      </c>
      <c r="J2" s="5" t="n">
        <v>0</v>
      </c>
      <c r="K2" s="5" t="n">
        <v>7</v>
      </c>
      <c r="L2" s="7" t="n">
        <v>1540</v>
      </c>
      <c r="M2" s="5" t="n">
        <v>0</v>
      </c>
      <c r="N2" s="7" t="n">
        <v>0</v>
      </c>
      <c r="O2" s="7" t="n">
        <v>11000</v>
      </c>
      <c r="P2" s="7" t="n">
        <v>12540</v>
      </c>
      <c r="Q2" s="7" t="n">
        <v>33204.9</v>
      </c>
      <c r="R2" s="7" t="n">
        <v>0</v>
      </c>
    </row>
    <row r="3">
      <c r="A3" s="4" t="n">
        <v>4</v>
      </c>
      <c r="B3" s="4" t="inlineStr"/>
      <c r="C3" s="13" t="inlineStr">
        <is>
          <t>ADEM YILDIRIM</t>
        </is>
      </c>
      <c r="D3" s="13" t="inlineStr">
        <is>
          <t>Bilinmeyen</t>
        </is>
      </c>
      <c r="E3" s="4" t="n">
        <v>3</v>
      </c>
      <c r="F3" s="7" t="n">
        <v>28075.5</v>
      </c>
      <c r="G3" s="7" t="n">
        <v>124.78</v>
      </c>
      <c r="H3" s="7" t="n">
        <v>187.17</v>
      </c>
      <c r="I3" s="5" t="n">
        <v>3</v>
      </c>
      <c r="J3" s="5" t="n">
        <v>0</v>
      </c>
      <c r="K3" s="5" t="n">
        <v>3</v>
      </c>
      <c r="L3" s="7" t="n">
        <v>561.51</v>
      </c>
      <c r="M3" s="5" t="n">
        <v>0</v>
      </c>
      <c r="N3" s="7" t="n">
        <v>0</v>
      </c>
      <c r="O3" s="7" t="n">
        <v>2807.55</v>
      </c>
      <c r="P3" s="7" t="n">
        <v>3369.06</v>
      </c>
      <c r="Q3" s="7" t="n">
        <v>0</v>
      </c>
      <c r="R3" s="7" t="n">
        <v>3369.06</v>
      </c>
    </row>
    <row r="4">
      <c r="A4" s="4" t="n">
        <v>5</v>
      </c>
      <c r="B4" s="4" t="inlineStr">
        <is>
          <t>18655664102</t>
        </is>
      </c>
      <c r="C4" s="13" t="inlineStr">
        <is>
          <t>ADVİYE YARICI</t>
        </is>
      </c>
      <c r="D4" s="13" t="inlineStr">
        <is>
          <t>BALIK TEMİZLEME</t>
        </is>
      </c>
      <c r="E4" s="4" t="n">
        <v>17</v>
      </c>
      <c r="F4" s="7" t="n">
        <v>33000</v>
      </c>
      <c r="G4" s="7" t="n">
        <v>146.67</v>
      </c>
      <c r="H4" s="7" t="n">
        <v>220</v>
      </c>
      <c r="I4" s="5" t="n">
        <v>10.5</v>
      </c>
      <c r="J4" s="5" t="n">
        <v>0</v>
      </c>
      <c r="K4" s="5" t="n">
        <v>10.5</v>
      </c>
      <c r="L4" s="7" t="n">
        <v>2310</v>
      </c>
      <c r="M4" s="5" t="n">
        <v>0</v>
      </c>
      <c r="N4" s="7" t="n">
        <v>0</v>
      </c>
      <c r="O4" s="7" t="n">
        <v>18700</v>
      </c>
      <c r="P4" s="7" t="n">
        <v>21010</v>
      </c>
      <c r="Q4" s="7" t="n">
        <v>32178.7</v>
      </c>
      <c r="R4" s="7" t="n">
        <v>0</v>
      </c>
    </row>
    <row r="5">
      <c r="A5" s="4" t="n">
        <v>8</v>
      </c>
      <c r="B5" s="4" t="inlineStr">
        <is>
          <t>23527501454</t>
        </is>
      </c>
      <c r="C5" s="13" t="inlineStr">
        <is>
          <t>AHMET BEYHAN</t>
        </is>
      </c>
      <c r="D5" s="13" t="inlineStr">
        <is>
          <t>BAKIM</t>
        </is>
      </c>
      <c r="E5" s="4" t="n">
        <v>19</v>
      </c>
      <c r="F5" s="7" t="n">
        <v>32000</v>
      </c>
      <c r="G5" s="7" t="n">
        <v>142.22</v>
      </c>
      <c r="H5" s="7" t="n">
        <v>213.33</v>
      </c>
      <c r="I5" s="5" t="n">
        <v>29</v>
      </c>
      <c r="J5" s="5" t="n">
        <v>27</v>
      </c>
      <c r="K5" s="5" t="n">
        <v>56</v>
      </c>
      <c r="L5" s="7" t="n">
        <v>11946.67</v>
      </c>
      <c r="M5" s="5" t="n">
        <v>0</v>
      </c>
      <c r="N5" s="7" t="n">
        <v>0</v>
      </c>
      <c r="O5" s="7" t="n">
        <v>20266.67</v>
      </c>
      <c r="P5" s="7" t="n">
        <v>32213.33</v>
      </c>
      <c r="Q5" s="7" t="n">
        <v>33603.4</v>
      </c>
      <c r="R5" s="7" t="n">
        <v>0</v>
      </c>
    </row>
    <row r="6">
      <c r="A6" s="4" t="n">
        <v>9</v>
      </c>
      <c r="B6" s="4" t="inlineStr">
        <is>
          <t>44626409038</t>
        </is>
      </c>
      <c r="C6" s="13" t="inlineStr">
        <is>
          <t>AHMET ALİ TÜRKMEN</t>
        </is>
      </c>
      <c r="D6" s="13" t="inlineStr">
        <is>
          <t>ÜRETİM</t>
        </is>
      </c>
      <c r="E6" s="4" t="n">
        <v>14</v>
      </c>
      <c r="F6" s="7" t="n">
        <v>28075.5</v>
      </c>
      <c r="G6" s="7" t="n">
        <v>124.78</v>
      </c>
      <c r="H6" s="7" t="n">
        <v>187.17</v>
      </c>
      <c r="I6" s="5" t="n">
        <v>5</v>
      </c>
      <c r="J6" s="5" t="n">
        <v>0</v>
      </c>
      <c r="K6" s="5" t="n">
        <v>5</v>
      </c>
      <c r="L6" s="7" t="n">
        <v>935.85</v>
      </c>
      <c r="M6" s="5" t="n">
        <v>0</v>
      </c>
      <c r="N6" s="7" t="n">
        <v>0</v>
      </c>
      <c r="O6" s="7" t="n">
        <v>13101.9</v>
      </c>
      <c r="P6" s="7" t="n">
        <v>14037.75</v>
      </c>
      <c r="Q6" s="7" t="n">
        <v>17334.32</v>
      </c>
      <c r="R6" s="7" t="n">
        <v>0</v>
      </c>
    </row>
    <row r="7">
      <c r="A7" s="4" t="n">
        <v>11</v>
      </c>
      <c r="B7" s="4" t="inlineStr">
        <is>
          <t>21925456598</t>
        </is>
      </c>
      <c r="C7" s="13" t="inlineStr">
        <is>
          <t>AHMET ÇÇAYLAK</t>
        </is>
      </c>
      <c r="D7" s="13" t="inlineStr">
        <is>
          <t>AMBAR</t>
        </is>
      </c>
      <c r="E7" s="4" t="n">
        <v>15</v>
      </c>
      <c r="F7" s="7" t="n">
        <v>28075.5</v>
      </c>
      <c r="G7" s="7" t="n">
        <v>124.78</v>
      </c>
      <c r="H7" s="7" t="n">
        <v>187.17</v>
      </c>
      <c r="I7" s="5" t="n">
        <v>12.5</v>
      </c>
      <c r="J7" s="5" t="n">
        <v>7.5</v>
      </c>
      <c r="K7" s="5" t="n">
        <v>20</v>
      </c>
      <c r="L7" s="7" t="n">
        <v>3743.4</v>
      </c>
      <c r="M7" s="5" t="n">
        <v>0</v>
      </c>
      <c r="N7" s="7" t="n">
        <v>0</v>
      </c>
      <c r="O7" s="7" t="n">
        <v>14037.75</v>
      </c>
      <c r="P7" s="7" t="n">
        <v>17781.15</v>
      </c>
      <c r="Q7" s="7" t="n">
        <v>20843.84</v>
      </c>
      <c r="R7" s="7" t="n">
        <v>0</v>
      </c>
    </row>
    <row r="8">
      <c r="A8" s="4" t="n">
        <v>13</v>
      </c>
      <c r="B8" s="4" t="inlineStr">
        <is>
          <t>28123249472</t>
        </is>
      </c>
      <c r="C8" s="13" t="inlineStr">
        <is>
          <t>AHMET ŞŞENER</t>
        </is>
      </c>
      <c r="D8" s="13" t="inlineStr">
        <is>
          <t>MEYDAN</t>
        </is>
      </c>
      <c r="E8" s="4" t="n">
        <v>7</v>
      </c>
      <c r="F8" s="7" t="n">
        <v>30185</v>
      </c>
      <c r="G8" s="7" t="n">
        <v>134.16</v>
      </c>
      <c r="H8" s="7" t="n">
        <v>201.23</v>
      </c>
      <c r="I8" s="5" t="n">
        <v>0</v>
      </c>
      <c r="J8" s="5" t="n">
        <v>0</v>
      </c>
      <c r="K8" s="5" t="n">
        <v>0</v>
      </c>
      <c r="L8" s="7" t="n">
        <v>0</v>
      </c>
      <c r="M8" s="5" t="n">
        <v>0</v>
      </c>
      <c r="N8" s="7" t="n">
        <v>0</v>
      </c>
      <c r="O8" s="7" t="n">
        <v>7043.17</v>
      </c>
      <c r="P8" s="7" t="n">
        <v>7043.17</v>
      </c>
      <c r="Q8" s="7" t="n">
        <v>27166.5</v>
      </c>
      <c r="R8" s="7" t="n">
        <v>0</v>
      </c>
    </row>
    <row r="9">
      <c r="A9" s="4" t="n">
        <v>15</v>
      </c>
      <c r="B9" s="4" t="inlineStr">
        <is>
          <t>16510742668</t>
        </is>
      </c>
      <c r="C9" s="13" t="inlineStr">
        <is>
          <t>AKİF TÜRKÇÜ</t>
        </is>
      </c>
      <c r="D9" s="13" t="inlineStr">
        <is>
          <t>BALIK TEMİZLİK</t>
        </is>
      </c>
      <c r="E9" s="4" t="n">
        <v>15</v>
      </c>
      <c r="F9" s="7" t="n">
        <v>33000</v>
      </c>
      <c r="G9" s="7" t="n">
        <v>146.67</v>
      </c>
      <c r="H9" s="7" t="n">
        <v>220</v>
      </c>
      <c r="I9" s="5" t="n">
        <v>8.5</v>
      </c>
      <c r="J9" s="5" t="n">
        <v>0</v>
      </c>
      <c r="K9" s="5" t="n">
        <v>8.5</v>
      </c>
      <c r="L9" s="7" t="n">
        <v>1870</v>
      </c>
      <c r="M9" s="5" t="n">
        <v>0</v>
      </c>
      <c r="N9" s="7" t="n">
        <v>0</v>
      </c>
      <c r="O9" s="7" t="n">
        <v>16500</v>
      </c>
      <c r="P9" s="7" t="n">
        <v>18370</v>
      </c>
      <c r="Q9" s="7" t="n">
        <v>19935.3</v>
      </c>
      <c r="R9" s="7" t="n">
        <v>0</v>
      </c>
    </row>
    <row r="10">
      <c r="A10" s="4" t="n">
        <v>17</v>
      </c>
      <c r="B10" s="4" t="inlineStr"/>
      <c r="C10" s="13" t="inlineStr">
        <is>
          <t>ALİ BALTA</t>
        </is>
      </c>
      <c r="D10" s="13" t="inlineStr">
        <is>
          <t>Bilinmeyen</t>
        </is>
      </c>
      <c r="E10" s="4" t="n">
        <v>10</v>
      </c>
      <c r="F10" s="7" t="n">
        <v>28075.5</v>
      </c>
      <c r="G10" s="7" t="n">
        <v>124.78</v>
      </c>
      <c r="H10" s="7" t="n">
        <v>187.17</v>
      </c>
      <c r="I10" s="5" t="n">
        <v>13</v>
      </c>
      <c r="J10" s="5" t="n">
        <v>21.5</v>
      </c>
      <c r="K10" s="5" t="n">
        <v>34.5</v>
      </c>
      <c r="L10" s="7" t="n">
        <v>6457.37</v>
      </c>
      <c r="M10" s="5" t="n">
        <v>0</v>
      </c>
      <c r="N10" s="7" t="n">
        <v>0</v>
      </c>
      <c r="O10" s="7" t="n">
        <v>9358.5</v>
      </c>
      <c r="P10" s="7" t="n">
        <v>15815.87</v>
      </c>
      <c r="Q10" s="7" t="n">
        <v>0</v>
      </c>
      <c r="R10" s="7" t="n">
        <v>15815.87</v>
      </c>
    </row>
    <row r="11">
      <c r="A11" s="4" t="n">
        <v>18</v>
      </c>
      <c r="B11" s="4" t="inlineStr">
        <is>
          <t>13183506030</t>
        </is>
      </c>
      <c r="C11" s="13" t="inlineStr">
        <is>
          <t>ALİ EŞREF AKIN</t>
        </is>
      </c>
      <c r="D11" s="13" t="inlineStr">
        <is>
          <t>ÜRETİM</t>
        </is>
      </c>
      <c r="E11" s="4" t="n">
        <v>11</v>
      </c>
      <c r="F11" s="7" t="n">
        <v>28075.5</v>
      </c>
      <c r="G11" s="7" t="n">
        <v>124.78</v>
      </c>
      <c r="H11" s="7" t="n">
        <v>187.17</v>
      </c>
      <c r="I11" s="5" t="n">
        <v>24.5</v>
      </c>
      <c r="J11" s="5" t="n">
        <v>0</v>
      </c>
      <c r="K11" s="5" t="n">
        <v>24.5</v>
      </c>
      <c r="L11" s="7" t="n">
        <v>4585.66</v>
      </c>
      <c r="M11" s="5" t="n">
        <v>0</v>
      </c>
      <c r="N11" s="7" t="n">
        <v>0</v>
      </c>
      <c r="O11" s="7" t="n">
        <v>10294.35</v>
      </c>
      <c r="P11" s="7" t="n">
        <v>14880.01</v>
      </c>
      <c r="Q11" s="7" t="n">
        <v>38740.55</v>
      </c>
      <c r="R11" s="7" t="n">
        <v>0</v>
      </c>
    </row>
    <row r="12">
      <c r="A12" s="4" t="n">
        <v>19</v>
      </c>
      <c r="B12" s="4" t="inlineStr">
        <is>
          <t>18394573482</t>
        </is>
      </c>
      <c r="C12" s="13" t="inlineStr">
        <is>
          <t>ANIL DEMİRTAŞ</t>
        </is>
      </c>
      <c r="D12" s="13" t="inlineStr">
        <is>
          <t>KONSERVE ÜRETİM ELEMANI</t>
        </is>
      </c>
      <c r="E12" s="4" t="n">
        <v>17</v>
      </c>
      <c r="F12" s="7" t="n">
        <v>28075.5</v>
      </c>
      <c r="G12" s="7" t="n">
        <v>124.78</v>
      </c>
      <c r="H12" s="7" t="n">
        <v>187.17</v>
      </c>
      <c r="I12" s="5" t="n">
        <v>7</v>
      </c>
      <c r="J12" s="5" t="n">
        <v>23</v>
      </c>
      <c r="K12" s="5" t="n">
        <v>30</v>
      </c>
      <c r="L12" s="7" t="n">
        <v>5615.1</v>
      </c>
      <c r="M12" s="5" t="n">
        <v>0</v>
      </c>
      <c r="N12" s="7" t="n">
        <v>0</v>
      </c>
      <c r="O12" s="7" t="n">
        <v>15909.45</v>
      </c>
      <c r="P12" s="7" t="n">
        <v>21524.55</v>
      </c>
      <c r="Q12" s="7" t="n">
        <v>26663.77</v>
      </c>
      <c r="R12" s="7" t="n">
        <v>0</v>
      </c>
    </row>
    <row r="13">
      <c r="A13" s="4" t="n">
        <v>21</v>
      </c>
      <c r="B13" s="4" t="inlineStr">
        <is>
          <t>99320980932</t>
        </is>
      </c>
      <c r="C13" s="13" t="inlineStr">
        <is>
          <t>ANUD ELMEAŞİ</t>
        </is>
      </c>
      <c r="D13" s="13" t="inlineStr">
        <is>
          <t>BALIK TEMİZLEME</t>
        </is>
      </c>
      <c r="E13" s="4" t="n">
        <v>10</v>
      </c>
      <c r="F13" s="7" t="n">
        <v>33000</v>
      </c>
      <c r="G13" s="7" t="n">
        <v>146.67</v>
      </c>
      <c r="H13" s="7" t="n">
        <v>220</v>
      </c>
      <c r="I13" s="5" t="n">
        <v>6.5</v>
      </c>
      <c r="J13" s="5" t="n">
        <v>0</v>
      </c>
      <c r="K13" s="5" t="n">
        <v>6.5</v>
      </c>
      <c r="L13" s="7" t="n">
        <v>1430</v>
      </c>
      <c r="M13" s="5" t="n">
        <v>0</v>
      </c>
      <c r="N13" s="7" t="n">
        <v>0</v>
      </c>
      <c r="O13" s="7" t="n">
        <v>11000</v>
      </c>
      <c r="P13" s="7" t="n">
        <v>12430</v>
      </c>
      <c r="Q13" s="7" t="n">
        <v>7708.7</v>
      </c>
      <c r="R13" s="7" t="n">
        <v>4721.3</v>
      </c>
    </row>
    <row r="14">
      <c r="A14" s="4" t="n">
        <v>23</v>
      </c>
      <c r="B14" s="4" t="inlineStr">
        <is>
          <t>28336192374</t>
        </is>
      </c>
      <c r="C14" s="13" t="inlineStr">
        <is>
          <t>ARZU KILA</t>
        </is>
      </c>
      <c r="D14" s="13" t="inlineStr">
        <is>
          <t>AMBAR</t>
        </is>
      </c>
      <c r="E14" s="4" t="n">
        <v>14</v>
      </c>
      <c r="F14" s="7" t="n">
        <v>28075.5</v>
      </c>
      <c r="G14" s="7" t="n">
        <v>124.78</v>
      </c>
      <c r="H14" s="7" t="n">
        <v>187.17</v>
      </c>
      <c r="I14" s="5" t="n">
        <v>9</v>
      </c>
      <c r="J14" s="5" t="n">
        <v>7.5</v>
      </c>
      <c r="K14" s="5" t="n">
        <v>16.5</v>
      </c>
      <c r="L14" s="7" t="n">
        <v>3088.31</v>
      </c>
      <c r="M14" s="5" t="n">
        <v>0</v>
      </c>
      <c r="N14" s="7" t="n">
        <v>0</v>
      </c>
      <c r="O14" s="7" t="n">
        <v>13101.9</v>
      </c>
      <c r="P14" s="7" t="n">
        <v>16190.2</v>
      </c>
      <c r="Q14" s="7" t="n">
        <v>18236.79</v>
      </c>
      <c r="R14" s="7" t="n">
        <v>0</v>
      </c>
    </row>
    <row r="15">
      <c r="A15" s="4" t="n">
        <v>24</v>
      </c>
      <c r="B15" s="4" t="inlineStr">
        <is>
          <t>28033351500</t>
        </is>
      </c>
      <c r="C15" s="13" t="inlineStr">
        <is>
          <t>ARZU ÖZTÜRK</t>
        </is>
      </c>
      <c r="D15" s="13" t="inlineStr">
        <is>
          <t>BALIK TEMİZLEME</t>
        </is>
      </c>
      <c r="E15" s="4" t="n">
        <v>15</v>
      </c>
      <c r="F15" s="7" t="n">
        <v>33000</v>
      </c>
      <c r="G15" s="7" t="n">
        <v>146.67</v>
      </c>
      <c r="H15" s="7" t="n">
        <v>220</v>
      </c>
      <c r="I15" s="5" t="n">
        <v>9</v>
      </c>
      <c r="J15" s="5" t="n">
        <v>0</v>
      </c>
      <c r="K15" s="5" t="n">
        <v>9</v>
      </c>
      <c r="L15" s="7" t="n">
        <v>1980</v>
      </c>
      <c r="M15" s="5" t="n">
        <v>0</v>
      </c>
      <c r="N15" s="7" t="n">
        <v>0</v>
      </c>
      <c r="O15" s="7" t="n">
        <v>16500</v>
      </c>
      <c r="P15" s="7" t="n">
        <v>18480</v>
      </c>
      <c r="Q15" s="7" t="n">
        <v>14513.4</v>
      </c>
      <c r="R15" s="7" t="n">
        <v>3966.6</v>
      </c>
    </row>
    <row r="16">
      <c r="A16" s="4" t="n">
        <v>25</v>
      </c>
      <c r="B16" s="4" t="inlineStr">
        <is>
          <t>24709461474</t>
        </is>
      </c>
      <c r="C16" s="13" t="inlineStr">
        <is>
          <t>ASLI BAYRAKTAR</t>
        </is>
      </c>
      <c r="D16" s="13" t="inlineStr">
        <is>
          <t>BALIK DOLUM</t>
        </is>
      </c>
      <c r="E16" s="4" t="n">
        <v>11</v>
      </c>
      <c r="F16" s="7" t="n">
        <v>33000</v>
      </c>
      <c r="G16" s="7" t="n">
        <v>146.67</v>
      </c>
      <c r="H16" s="7" t="n">
        <v>220</v>
      </c>
      <c r="I16" s="5" t="n">
        <v>29.5</v>
      </c>
      <c r="J16" s="5" t="n">
        <v>0</v>
      </c>
      <c r="K16" s="5" t="n">
        <v>29.5</v>
      </c>
      <c r="L16" s="7" t="n">
        <v>6490</v>
      </c>
      <c r="M16" s="5" t="n">
        <v>22</v>
      </c>
      <c r="N16" s="7" t="n">
        <v>4840</v>
      </c>
      <c r="O16" s="7" t="n">
        <v>12100</v>
      </c>
      <c r="P16" s="7" t="n">
        <v>18590</v>
      </c>
      <c r="Q16" s="7" t="n">
        <v>16575.3</v>
      </c>
      <c r="R16" s="7" t="n">
        <v>2014.7</v>
      </c>
    </row>
    <row r="17">
      <c r="A17" s="4" t="n">
        <v>28</v>
      </c>
      <c r="B17" s="4" t="inlineStr">
        <is>
          <t>21089727848</t>
        </is>
      </c>
      <c r="C17" s="13" t="inlineStr">
        <is>
          <t>AYSEL YILMAZ</t>
        </is>
      </c>
      <c r="D17" s="13" t="inlineStr">
        <is>
          <t>BALIK TEMİZLEME</t>
        </is>
      </c>
      <c r="E17" s="4" t="n">
        <v>3</v>
      </c>
      <c r="F17" s="7" t="n">
        <v>33000</v>
      </c>
      <c r="G17" s="7" t="n">
        <v>146.67</v>
      </c>
      <c r="H17" s="7" t="n">
        <v>220</v>
      </c>
      <c r="I17" s="5" t="n">
        <v>1</v>
      </c>
      <c r="J17" s="5" t="n">
        <v>0</v>
      </c>
      <c r="K17" s="5" t="n">
        <v>1</v>
      </c>
      <c r="L17" s="7" t="n">
        <v>220</v>
      </c>
      <c r="M17" s="5" t="n">
        <v>0</v>
      </c>
      <c r="N17" s="7" t="n">
        <v>0</v>
      </c>
      <c r="O17" s="7" t="n">
        <v>3300</v>
      </c>
      <c r="P17" s="7" t="n">
        <v>3520</v>
      </c>
      <c r="Q17" s="7" t="n">
        <v>13082.5</v>
      </c>
      <c r="R17" s="7" t="n">
        <v>0</v>
      </c>
    </row>
    <row r="18">
      <c r="A18" s="4" t="n">
        <v>29</v>
      </c>
      <c r="B18" s="4" t="inlineStr">
        <is>
          <t>12572550074</t>
        </is>
      </c>
      <c r="C18" s="13" t="inlineStr">
        <is>
          <t>ASYA TİLKİ</t>
        </is>
      </c>
      <c r="D18" s="13" t="inlineStr">
        <is>
          <t>BALIK TEMİZLEME</t>
        </is>
      </c>
      <c r="E18" s="4" t="n">
        <v>14</v>
      </c>
      <c r="F18" s="7" t="n">
        <v>33000</v>
      </c>
      <c r="G18" s="7" t="n">
        <v>146.67</v>
      </c>
      <c r="H18" s="7" t="n">
        <v>220</v>
      </c>
      <c r="I18" s="5" t="n">
        <v>7.5</v>
      </c>
      <c r="J18" s="5" t="n">
        <v>0</v>
      </c>
      <c r="K18" s="5" t="n">
        <v>7.5</v>
      </c>
      <c r="L18" s="7" t="n">
        <v>1650</v>
      </c>
      <c r="M18" s="5" t="n">
        <v>0</v>
      </c>
      <c r="N18" s="7" t="n">
        <v>0</v>
      </c>
      <c r="O18" s="7" t="n">
        <v>15400</v>
      </c>
      <c r="P18" s="7" t="n">
        <v>17050</v>
      </c>
      <c r="Q18" s="7" t="n">
        <v>13413.9</v>
      </c>
      <c r="R18" s="7" t="n">
        <v>3636.1</v>
      </c>
    </row>
    <row r="19">
      <c r="A19" s="4" t="n">
        <v>30</v>
      </c>
      <c r="B19" s="4" t="inlineStr"/>
      <c r="C19" s="13" t="inlineStr">
        <is>
          <t>ATAKAN KAVRAM</t>
        </is>
      </c>
      <c r="D19" s="13" t="inlineStr">
        <is>
          <t>Bilinmeyen</t>
        </is>
      </c>
      <c r="E19" s="4" t="n">
        <v>3</v>
      </c>
      <c r="F19" s="7" t="n">
        <v>28075.5</v>
      </c>
      <c r="G19" s="7" t="n">
        <v>124.78</v>
      </c>
      <c r="H19" s="7" t="n">
        <v>187.17</v>
      </c>
      <c r="I19" s="5" t="n">
        <v>0</v>
      </c>
      <c r="J19" s="5" t="n">
        <v>0</v>
      </c>
      <c r="K19" s="5" t="n">
        <v>0</v>
      </c>
      <c r="L19" s="7" t="n">
        <v>0</v>
      </c>
      <c r="M19" s="5" t="n">
        <v>0</v>
      </c>
      <c r="N19" s="7" t="n">
        <v>0</v>
      </c>
      <c r="O19" s="7" t="n">
        <v>2807.55</v>
      </c>
      <c r="P19" s="7" t="n">
        <v>2807.55</v>
      </c>
      <c r="Q19" s="7" t="n">
        <v>0</v>
      </c>
      <c r="R19" s="7" t="n">
        <v>2807.55</v>
      </c>
    </row>
    <row r="20">
      <c r="A20" s="4" t="n">
        <v>32</v>
      </c>
      <c r="B20" s="4" t="inlineStr"/>
      <c r="C20" s="13" t="inlineStr">
        <is>
          <t>AYÇA KARAMAN</t>
        </is>
      </c>
      <c r="D20" s="13" t="inlineStr">
        <is>
          <t>Bilinmeyen</t>
        </is>
      </c>
      <c r="E20" s="4" t="n">
        <v>7</v>
      </c>
      <c r="F20" s="7" t="n">
        <v>28075.5</v>
      </c>
      <c r="G20" s="7" t="n">
        <v>124.78</v>
      </c>
      <c r="H20" s="7" t="n">
        <v>187.17</v>
      </c>
      <c r="I20" s="5" t="n">
        <v>9</v>
      </c>
      <c r="J20" s="5" t="n">
        <v>0</v>
      </c>
      <c r="K20" s="5" t="n">
        <v>9</v>
      </c>
      <c r="L20" s="7" t="n">
        <v>1684.53</v>
      </c>
      <c r="M20" s="5" t="n">
        <v>0</v>
      </c>
      <c r="N20" s="7" t="n">
        <v>0</v>
      </c>
      <c r="O20" s="7" t="n">
        <v>6550.95</v>
      </c>
      <c r="P20" s="7" t="n">
        <v>8235.48</v>
      </c>
      <c r="Q20" s="7" t="n">
        <v>0</v>
      </c>
      <c r="R20" s="7" t="n">
        <v>8235.48</v>
      </c>
    </row>
    <row r="21">
      <c r="A21" s="4" t="n">
        <v>33</v>
      </c>
      <c r="B21" s="4" t="inlineStr">
        <is>
          <t>25567503092</t>
        </is>
      </c>
      <c r="C21" s="13" t="inlineStr">
        <is>
          <t>AYÇA SEZER</t>
        </is>
      </c>
      <c r="D21" s="13" t="inlineStr">
        <is>
          <t>KALİTE</t>
        </is>
      </c>
      <c r="E21" s="4" t="n">
        <v>14</v>
      </c>
      <c r="F21" s="7" t="n">
        <v>33000</v>
      </c>
      <c r="G21" s="7" t="n">
        <v>146.67</v>
      </c>
      <c r="H21" s="7" t="n">
        <v>220</v>
      </c>
      <c r="I21" s="5" t="n">
        <v>44</v>
      </c>
      <c r="J21" s="5" t="n">
        <v>0</v>
      </c>
      <c r="K21" s="5" t="n">
        <v>44</v>
      </c>
      <c r="L21" s="7" t="n">
        <v>9680</v>
      </c>
      <c r="M21" s="5" t="n">
        <v>0</v>
      </c>
      <c r="N21" s="7" t="n">
        <v>0</v>
      </c>
      <c r="O21" s="7" t="n">
        <v>15400</v>
      </c>
      <c r="P21" s="7" t="n">
        <v>25080</v>
      </c>
      <c r="Q21" s="7" t="n">
        <v>35623.8</v>
      </c>
      <c r="R21" s="7" t="n">
        <v>0</v>
      </c>
    </row>
    <row r="22">
      <c r="A22" s="4" t="n">
        <v>34</v>
      </c>
      <c r="B22" s="4" t="inlineStr">
        <is>
          <t>22426711476</t>
        </is>
      </c>
      <c r="C22" s="13" t="inlineStr">
        <is>
          <t>AYNUR DEMİRCAN</t>
        </is>
      </c>
      <c r="D22" s="13" t="inlineStr">
        <is>
          <t>BALIK TEMİZLEME</t>
        </is>
      </c>
      <c r="E22" s="4" t="n">
        <v>17</v>
      </c>
      <c r="F22" s="7" t="n">
        <v>33000</v>
      </c>
      <c r="G22" s="7" t="n">
        <v>146.67</v>
      </c>
      <c r="H22" s="7" t="n">
        <v>220</v>
      </c>
      <c r="I22" s="5" t="n">
        <v>10</v>
      </c>
      <c r="J22" s="5" t="n">
        <v>0</v>
      </c>
      <c r="K22" s="5" t="n">
        <v>10</v>
      </c>
      <c r="L22" s="7" t="n">
        <v>2200</v>
      </c>
      <c r="M22" s="5" t="n">
        <v>0</v>
      </c>
      <c r="N22" s="7" t="n">
        <v>0</v>
      </c>
      <c r="O22" s="7" t="n">
        <v>18700</v>
      </c>
      <c r="P22" s="7" t="n">
        <v>20900</v>
      </c>
      <c r="Q22" s="7" t="n">
        <v>15133.2</v>
      </c>
      <c r="R22" s="7" t="n">
        <v>5766.8</v>
      </c>
    </row>
    <row r="23">
      <c r="A23" s="4" t="n">
        <v>36</v>
      </c>
      <c r="B23" s="4" t="inlineStr">
        <is>
          <t>13543834438</t>
        </is>
      </c>
      <c r="C23" s="13" t="inlineStr">
        <is>
          <t>AYSEL ÇETİNTAŞ</t>
        </is>
      </c>
      <c r="D23" s="13" t="inlineStr">
        <is>
          <t>ÜRETİM</t>
        </is>
      </c>
      <c r="E23" s="4" t="n">
        <v>15</v>
      </c>
      <c r="F23" s="7" t="n">
        <v>28075.5</v>
      </c>
      <c r="G23" s="7" t="n">
        <v>124.78</v>
      </c>
      <c r="H23" s="7" t="n">
        <v>187.17</v>
      </c>
      <c r="I23" s="5" t="n">
        <v>30</v>
      </c>
      <c r="J23" s="5" t="n">
        <v>0</v>
      </c>
      <c r="K23" s="5" t="n">
        <v>30</v>
      </c>
      <c r="L23" s="7" t="n">
        <v>5615.1</v>
      </c>
      <c r="M23" s="5" t="n">
        <v>0</v>
      </c>
      <c r="N23" s="7" t="n">
        <v>0</v>
      </c>
      <c r="O23" s="7" t="n">
        <v>14037.75</v>
      </c>
      <c r="P23" s="7" t="n">
        <v>19652.85</v>
      </c>
      <c r="Q23" s="7" t="n">
        <v>31624.92</v>
      </c>
      <c r="R23" s="7" t="n">
        <v>0</v>
      </c>
    </row>
    <row r="24">
      <c r="A24" s="4" t="n">
        <v>41</v>
      </c>
      <c r="B24" s="4" t="inlineStr">
        <is>
          <t>11284759850</t>
        </is>
      </c>
      <c r="C24" s="13" t="inlineStr">
        <is>
          <t>AYŞE ÇENECİOĞLU</t>
        </is>
      </c>
      <c r="D24" s="13" t="inlineStr">
        <is>
          <t>AMBAR</t>
        </is>
      </c>
      <c r="E24" s="4" t="n">
        <v>18</v>
      </c>
      <c r="F24" s="7" t="n">
        <v>28075.5</v>
      </c>
      <c r="G24" s="7" t="n">
        <v>124.78</v>
      </c>
      <c r="H24" s="7" t="n">
        <v>187.17</v>
      </c>
      <c r="I24" s="5" t="n">
        <v>11.5</v>
      </c>
      <c r="J24" s="5" t="n">
        <v>7.5</v>
      </c>
      <c r="K24" s="5" t="n">
        <v>19</v>
      </c>
      <c r="L24" s="7" t="n">
        <v>3556.23</v>
      </c>
      <c r="M24" s="5" t="n">
        <v>0</v>
      </c>
      <c r="N24" s="7" t="n">
        <v>0</v>
      </c>
      <c r="O24" s="7" t="n">
        <v>16845.3</v>
      </c>
      <c r="P24" s="7" t="n">
        <v>20401.53</v>
      </c>
      <c r="Q24" s="7" t="n">
        <v>25017.89</v>
      </c>
      <c r="R24" s="7" t="n">
        <v>0</v>
      </c>
    </row>
    <row r="25">
      <c r="A25" s="4" t="n">
        <v>44</v>
      </c>
      <c r="B25" s="4" t="inlineStr">
        <is>
          <t>24280352994</t>
        </is>
      </c>
      <c r="C25" s="13" t="inlineStr">
        <is>
          <t>AYŞE KARAMAN</t>
        </is>
      </c>
      <c r="D25" s="13" t="inlineStr">
        <is>
          <t>BALIK TEMİZLEME</t>
        </is>
      </c>
      <c r="E25" s="4" t="n">
        <v>14</v>
      </c>
      <c r="F25" s="7" t="n">
        <v>33000</v>
      </c>
      <c r="G25" s="7" t="n">
        <v>146.67</v>
      </c>
      <c r="H25" s="7" t="n">
        <v>220</v>
      </c>
      <c r="I25" s="5" t="n">
        <v>6</v>
      </c>
      <c r="J25" s="5" t="n">
        <v>0</v>
      </c>
      <c r="K25" s="5" t="n">
        <v>6</v>
      </c>
      <c r="L25" s="7" t="n">
        <v>1320</v>
      </c>
      <c r="M25" s="5" t="n">
        <v>0</v>
      </c>
      <c r="N25" s="7" t="n">
        <v>0</v>
      </c>
      <c r="O25" s="7" t="n">
        <v>15400</v>
      </c>
      <c r="P25" s="7" t="n">
        <v>16720</v>
      </c>
      <c r="Q25" s="7" t="n">
        <v>30199.6</v>
      </c>
      <c r="R25" s="7" t="n">
        <v>0</v>
      </c>
    </row>
    <row r="26">
      <c r="A26" s="4" t="n">
        <v>45</v>
      </c>
      <c r="B26" s="4" t="inlineStr">
        <is>
          <t>33253033204</t>
        </is>
      </c>
      <c r="C26" s="13" t="inlineStr">
        <is>
          <t>AYŞE KURT</t>
        </is>
      </c>
      <c r="D26" s="13" t="inlineStr">
        <is>
          <t>ÜRETİM</t>
        </is>
      </c>
      <c r="E26" s="4" t="n">
        <v>8</v>
      </c>
      <c r="F26" s="7" t="n">
        <v>28075.5</v>
      </c>
      <c r="G26" s="7" t="n">
        <v>124.78</v>
      </c>
      <c r="H26" s="7" t="n">
        <v>187.17</v>
      </c>
      <c r="I26" s="5" t="n">
        <v>0</v>
      </c>
      <c r="J26" s="5" t="n">
        <v>0</v>
      </c>
      <c r="K26" s="5" t="n">
        <v>0</v>
      </c>
      <c r="L26" s="7" t="n">
        <v>0</v>
      </c>
      <c r="M26" s="5" t="n">
        <v>0</v>
      </c>
      <c r="N26" s="7" t="n">
        <v>0</v>
      </c>
      <c r="O26" s="7" t="n">
        <v>7486.8</v>
      </c>
      <c r="P26" s="7" t="n">
        <v>7486.8</v>
      </c>
      <c r="Q26" s="7" t="n">
        <v>28200.28</v>
      </c>
      <c r="R26" s="7" t="n">
        <v>0</v>
      </c>
    </row>
    <row r="27">
      <c r="A27" s="4" t="n">
        <v>46</v>
      </c>
      <c r="B27" s="4" t="inlineStr">
        <is>
          <t>34120156552</t>
        </is>
      </c>
      <c r="C27" s="13" t="inlineStr">
        <is>
          <t>AYŞE YILMAZ-MKP</t>
        </is>
      </c>
      <c r="D27" s="13" t="inlineStr">
        <is>
          <t>BALIK DOLUM</t>
        </is>
      </c>
      <c r="E27" s="4" t="n">
        <v>17</v>
      </c>
      <c r="F27" s="7" t="n">
        <v>33000</v>
      </c>
      <c r="G27" s="7" t="n">
        <v>146.67</v>
      </c>
      <c r="H27" s="7" t="n">
        <v>220</v>
      </c>
      <c r="I27" s="5" t="n">
        <v>65</v>
      </c>
      <c r="J27" s="5" t="n">
        <v>0</v>
      </c>
      <c r="K27" s="5" t="n">
        <v>65</v>
      </c>
      <c r="L27" s="7" t="n">
        <v>14300</v>
      </c>
      <c r="M27" s="5" t="n">
        <v>34</v>
      </c>
      <c r="N27" s="7" t="n">
        <v>7480</v>
      </c>
      <c r="O27" s="7" t="n">
        <v>18700</v>
      </c>
      <c r="P27" s="7" t="n">
        <v>33000</v>
      </c>
      <c r="Q27" s="7" t="n">
        <v>34817.5</v>
      </c>
      <c r="R27" s="7" t="n">
        <v>0</v>
      </c>
    </row>
    <row r="28">
      <c r="A28" s="4" t="n">
        <v>51</v>
      </c>
      <c r="B28" s="4" t="inlineStr">
        <is>
          <t>25610607388</t>
        </is>
      </c>
      <c r="C28" s="13" t="inlineStr">
        <is>
          <t>BAHAR FİDAN</t>
        </is>
      </c>
      <c r="D28" s="13" t="inlineStr">
        <is>
          <t>ÜRETİM</t>
        </is>
      </c>
      <c r="E28" s="4" t="n">
        <v>19</v>
      </c>
      <c r="F28" s="7" t="n">
        <v>28075.5</v>
      </c>
      <c r="G28" s="7" t="n">
        <v>124.78</v>
      </c>
      <c r="H28" s="7" t="n">
        <v>187.17</v>
      </c>
      <c r="I28" s="5" t="n">
        <v>51</v>
      </c>
      <c r="J28" s="5" t="n">
        <v>23.5</v>
      </c>
      <c r="K28" s="5" t="n">
        <v>74.5</v>
      </c>
      <c r="L28" s="7" t="n">
        <v>13944.17</v>
      </c>
      <c r="M28" s="5" t="n">
        <v>12</v>
      </c>
      <c r="N28" s="7" t="n">
        <v>2246.04</v>
      </c>
      <c r="O28" s="7" t="n">
        <v>17781.15</v>
      </c>
      <c r="P28" s="7" t="n">
        <v>31725.32</v>
      </c>
      <c r="Q28" s="7" t="n">
        <v>14926.72</v>
      </c>
      <c r="R28" s="7" t="n">
        <v>16798.6</v>
      </c>
    </row>
    <row r="29">
      <c r="A29" s="4" t="n">
        <v>54</v>
      </c>
      <c r="B29" s="4" t="inlineStr">
        <is>
          <t>12496719380</t>
        </is>
      </c>
      <c r="C29" s="13" t="inlineStr">
        <is>
          <t>BEDİA KAYMAZ</t>
        </is>
      </c>
      <c r="D29" s="13" t="inlineStr">
        <is>
          <t>AMBAR</t>
        </is>
      </c>
      <c r="E29" s="4" t="n">
        <v>18</v>
      </c>
      <c r="F29" s="7" t="n">
        <v>28075.5</v>
      </c>
      <c r="G29" s="7" t="n">
        <v>124.78</v>
      </c>
      <c r="H29" s="7" t="n">
        <v>187.17</v>
      </c>
      <c r="I29" s="5" t="n">
        <v>11.5</v>
      </c>
      <c r="J29" s="5" t="n">
        <v>7.5</v>
      </c>
      <c r="K29" s="5" t="n">
        <v>19</v>
      </c>
      <c r="L29" s="7" t="n">
        <v>3556.23</v>
      </c>
      <c r="M29" s="5" t="n">
        <v>0</v>
      </c>
      <c r="N29" s="7" t="n">
        <v>0</v>
      </c>
      <c r="O29" s="7" t="n">
        <v>16845.3</v>
      </c>
      <c r="P29" s="7" t="n">
        <v>20401.53</v>
      </c>
      <c r="Q29" s="7" t="n">
        <v>28574.62</v>
      </c>
      <c r="R29" s="7" t="n">
        <v>0</v>
      </c>
    </row>
    <row r="30">
      <c r="A30" s="4" t="n">
        <v>56</v>
      </c>
      <c r="B30" s="4" t="inlineStr">
        <is>
          <t>14725695762</t>
        </is>
      </c>
      <c r="C30" s="13" t="inlineStr">
        <is>
          <t>BEHİCE YALMAN</t>
        </is>
      </c>
      <c r="D30" s="13" t="inlineStr">
        <is>
          <t>BALIK DOLUM</t>
        </is>
      </c>
      <c r="E30" s="4" t="n">
        <v>14</v>
      </c>
      <c r="F30" s="7" t="n">
        <v>33000</v>
      </c>
      <c r="G30" s="7" t="n">
        <v>146.67</v>
      </c>
      <c r="H30" s="7" t="n">
        <v>220</v>
      </c>
      <c r="I30" s="5" t="n">
        <v>50.5</v>
      </c>
      <c r="J30" s="5" t="n">
        <v>0</v>
      </c>
      <c r="K30" s="5" t="n">
        <v>50.5</v>
      </c>
      <c r="L30" s="7" t="n">
        <v>11110</v>
      </c>
      <c r="M30" s="5" t="n">
        <v>28</v>
      </c>
      <c r="N30" s="7" t="n">
        <v>6160</v>
      </c>
      <c r="O30" s="7" t="n">
        <v>15400</v>
      </c>
      <c r="P30" s="7" t="n">
        <v>26510</v>
      </c>
      <c r="Q30" s="7" t="n">
        <v>32032.1</v>
      </c>
      <c r="R30" s="7" t="n">
        <v>0</v>
      </c>
    </row>
    <row r="31">
      <c r="A31" s="4" t="n">
        <v>59</v>
      </c>
      <c r="B31" s="4" t="inlineStr">
        <is>
          <t>11206757414</t>
        </is>
      </c>
      <c r="C31" s="13" t="inlineStr">
        <is>
          <t>BERK BERBER</t>
        </is>
      </c>
      <c r="D31" s="13" t="inlineStr">
        <is>
          <t>ÇEVRE MÜHENDİSİ</t>
        </is>
      </c>
      <c r="E31" s="4" t="n">
        <v>14</v>
      </c>
      <c r="F31" s="7" t="n">
        <v>50000</v>
      </c>
      <c r="G31" s="7" t="n">
        <v>222.22</v>
      </c>
      <c r="H31" s="7" t="n">
        <v>333.33</v>
      </c>
      <c r="I31" s="5" t="n">
        <v>24.5</v>
      </c>
      <c r="J31" s="5" t="n">
        <v>0</v>
      </c>
      <c r="K31" s="5" t="n">
        <v>24.5</v>
      </c>
      <c r="L31" s="7" t="n">
        <v>8166.67</v>
      </c>
      <c r="M31" s="5" t="n">
        <v>0</v>
      </c>
      <c r="N31" s="7" t="n">
        <v>0</v>
      </c>
      <c r="O31" s="7" t="n">
        <v>23333.33</v>
      </c>
      <c r="P31" s="7" t="n">
        <v>31500</v>
      </c>
      <c r="Q31" s="7" t="n">
        <v>53550.2</v>
      </c>
      <c r="R31" s="7" t="n">
        <v>0</v>
      </c>
    </row>
    <row r="32">
      <c r="A32" s="4" t="n">
        <v>60</v>
      </c>
      <c r="B32" s="4" t="inlineStr">
        <is>
          <t>25297298992</t>
        </is>
      </c>
      <c r="C32" s="13" t="inlineStr">
        <is>
          <t>BETÜL TUNÇ</t>
        </is>
      </c>
      <c r="D32" s="13" t="inlineStr">
        <is>
          <t>BALIK TEMİZLEME</t>
        </is>
      </c>
      <c r="E32" s="4" t="n">
        <v>14</v>
      </c>
      <c r="F32" s="7" t="n">
        <v>33000</v>
      </c>
      <c r="G32" s="7" t="n">
        <v>146.67</v>
      </c>
      <c r="H32" s="7" t="n">
        <v>220</v>
      </c>
      <c r="I32" s="5" t="n">
        <v>6.5</v>
      </c>
      <c r="J32" s="5" t="n">
        <v>0</v>
      </c>
      <c r="K32" s="5" t="n">
        <v>6.5</v>
      </c>
      <c r="L32" s="7" t="n">
        <v>1430</v>
      </c>
      <c r="M32" s="5" t="n">
        <v>0</v>
      </c>
      <c r="N32" s="7" t="n">
        <v>0</v>
      </c>
      <c r="O32" s="7" t="n">
        <v>15400</v>
      </c>
      <c r="P32" s="7" t="n">
        <v>16830</v>
      </c>
      <c r="Q32" s="7" t="n">
        <v>18739.5</v>
      </c>
      <c r="R32" s="7" t="n">
        <v>0</v>
      </c>
    </row>
    <row r="33">
      <c r="A33" s="4" t="n">
        <v>61</v>
      </c>
      <c r="B33" s="4" t="inlineStr">
        <is>
          <t>13741828666</t>
        </is>
      </c>
      <c r="C33" s="13" t="inlineStr">
        <is>
          <t>BEYZA YAĞMUR HAN</t>
        </is>
      </c>
      <c r="D33" s="13" t="inlineStr">
        <is>
          <t>ÜRETİM</t>
        </is>
      </c>
      <c r="E33" s="4" t="n">
        <v>4</v>
      </c>
      <c r="F33" s="7" t="n">
        <v>28075.5</v>
      </c>
      <c r="G33" s="7" t="n">
        <v>124.78</v>
      </c>
      <c r="H33" s="7" t="n">
        <v>187.17</v>
      </c>
      <c r="I33" s="5" t="n">
        <v>8</v>
      </c>
      <c r="J33" s="5" t="n">
        <v>0</v>
      </c>
      <c r="K33" s="5" t="n">
        <v>8</v>
      </c>
      <c r="L33" s="7" t="n">
        <v>1497.36</v>
      </c>
      <c r="M33" s="5" t="n">
        <v>0</v>
      </c>
      <c r="N33" s="7" t="n">
        <v>0</v>
      </c>
      <c r="O33" s="7" t="n">
        <v>3743.4</v>
      </c>
      <c r="P33" s="7" t="n">
        <v>5240.76</v>
      </c>
      <c r="Q33" s="7" t="n">
        <v>22691.03</v>
      </c>
      <c r="R33" s="7" t="n">
        <v>0</v>
      </c>
    </row>
    <row r="34">
      <c r="A34" s="4" t="n">
        <v>63</v>
      </c>
      <c r="B34" s="4" t="inlineStr">
        <is>
          <t>33316051664</t>
        </is>
      </c>
      <c r="C34" s="13" t="inlineStr">
        <is>
          <t>BİLGİNUR SÜMER</t>
        </is>
      </c>
      <c r="D34" s="13" t="inlineStr">
        <is>
          <t>BALIK TEMİZLEME</t>
        </is>
      </c>
      <c r="E34" s="4" t="n">
        <v>14</v>
      </c>
      <c r="F34" s="7" t="n">
        <v>33000</v>
      </c>
      <c r="G34" s="7" t="n">
        <v>146.67</v>
      </c>
      <c r="H34" s="7" t="n">
        <v>220</v>
      </c>
      <c r="I34" s="5" t="n">
        <v>7.5</v>
      </c>
      <c r="J34" s="5" t="n">
        <v>0</v>
      </c>
      <c r="K34" s="5" t="n">
        <v>7.5</v>
      </c>
      <c r="L34" s="7" t="n">
        <v>1650</v>
      </c>
      <c r="M34" s="5" t="n">
        <v>0</v>
      </c>
      <c r="N34" s="7" t="n">
        <v>0</v>
      </c>
      <c r="O34" s="7" t="n">
        <v>15400</v>
      </c>
      <c r="P34" s="7" t="n">
        <v>17050</v>
      </c>
      <c r="Q34" s="7" t="n">
        <v>16785.7</v>
      </c>
      <c r="R34" s="7" t="n">
        <v>264.3</v>
      </c>
    </row>
    <row r="35">
      <c r="A35" s="4" t="n">
        <v>64</v>
      </c>
      <c r="B35" s="4" t="inlineStr">
        <is>
          <t>11950763822</t>
        </is>
      </c>
      <c r="C35" s="13" t="inlineStr">
        <is>
          <t>BİLGİYE TOPAL</t>
        </is>
      </c>
      <c r="D35" s="13" t="inlineStr">
        <is>
          <t>BALIK TEMİZLEME</t>
        </is>
      </c>
      <c r="E35" s="4" t="n">
        <v>16</v>
      </c>
      <c r="F35" s="7" t="n">
        <v>33000</v>
      </c>
      <c r="G35" s="7" t="n">
        <v>146.67</v>
      </c>
      <c r="H35" s="7" t="n">
        <v>220</v>
      </c>
      <c r="I35" s="5" t="n">
        <v>5.5</v>
      </c>
      <c r="J35" s="5" t="n">
        <v>0</v>
      </c>
      <c r="K35" s="5" t="n">
        <v>5.5</v>
      </c>
      <c r="L35" s="7" t="n">
        <v>1210</v>
      </c>
      <c r="M35" s="5" t="n">
        <v>0</v>
      </c>
      <c r="N35" s="7" t="n">
        <v>0</v>
      </c>
      <c r="O35" s="7" t="n">
        <v>17600</v>
      </c>
      <c r="P35" s="7" t="n">
        <v>18810</v>
      </c>
      <c r="Q35" s="7" t="n">
        <v>14001.4</v>
      </c>
      <c r="R35" s="7" t="n">
        <v>4808.6</v>
      </c>
    </row>
    <row r="36">
      <c r="A36" s="4" t="n">
        <v>67</v>
      </c>
      <c r="B36" s="4" t="inlineStr">
        <is>
          <t>36388061296</t>
        </is>
      </c>
      <c r="C36" s="13" t="inlineStr">
        <is>
          <t>BUKET SARİBAL</t>
        </is>
      </c>
      <c r="D36" s="13" t="inlineStr">
        <is>
          <t>BALIK TEMİZLEME</t>
        </is>
      </c>
      <c r="E36" s="4" t="n">
        <v>4</v>
      </c>
      <c r="F36" s="7" t="n">
        <v>33000</v>
      </c>
      <c r="G36" s="7" t="n">
        <v>146.67</v>
      </c>
      <c r="H36" s="7" t="n">
        <v>220</v>
      </c>
      <c r="I36" s="5" t="n">
        <v>2.5</v>
      </c>
      <c r="J36" s="5" t="n">
        <v>0</v>
      </c>
      <c r="K36" s="5" t="n">
        <v>2.5</v>
      </c>
      <c r="L36" s="7" t="n">
        <v>550</v>
      </c>
      <c r="M36" s="5" t="n">
        <v>0</v>
      </c>
      <c r="N36" s="7" t="n">
        <v>0</v>
      </c>
      <c r="O36" s="7" t="n">
        <v>4400</v>
      </c>
      <c r="P36" s="7" t="n">
        <v>4950</v>
      </c>
      <c r="Q36" s="7" t="n">
        <v>4024.67</v>
      </c>
      <c r="R36" s="7" t="n">
        <v>925.33</v>
      </c>
    </row>
    <row r="37">
      <c r="A37" s="4" t="n">
        <v>68</v>
      </c>
      <c r="B37" s="4" t="inlineStr">
        <is>
          <t>10201948476</t>
        </is>
      </c>
      <c r="C37" s="13" t="inlineStr">
        <is>
          <t>BUKET DÖNMEZ</t>
        </is>
      </c>
      <c r="D37" s="13" t="inlineStr">
        <is>
          <t>KALİTE</t>
        </is>
      </c>
      <c r="E37" s="4" t="n">
        <v>16</v>
      </c>
      <c r="F37" s="7" t="n">
        <v>28075.5</v>
      </c>
      <c r="G37" s="7" t="n">
        <v>124.78</v>
      </c>
      <c r="H37" s="7" t="n">
        <v>187.17</v>
      </c>
      <c r="I37" s="5" t="n">
        <v>5</v>
      </c>
      <c r="J37" s="5" t="n">
        <v>7.5</v>
      </c>
      <c r="K37" s="5" t="n">
        <v>12.5</v>
      </c>
      <c r="L37" s="7" t="n">
        <v>2339.62</v>
      </c>
      <c r="M37" s="5" t="n">
        <v>0</v>
      </c>
      <c r="N37" s="7" t="n">
        <v>0</v>
      </c>
      <c r="O37" s="7" t="n">
        <v>14973.6</v>
      </c>
      <c r="P37" s="7" t="n">
        <v>17313.22</v>
      </c>
      <c r="Q37" s="7" t="n">
        <v>28758.42</v>
      </c>
      <c r="R37" s="7" t="n">
        <v>0</v>
      </c>
    </row>
    <row r="38">
      <c r="A38" s="4" t="n">
        <v>71</v>
      </c>
      <c r="B38" s="4" t="inlineStr">
        <is>
          <t>28103495080</t>
        </is>
      </c>
      <c r="C38" s="13" t="inlineStr">
        <is>
          <t>BÜŞRA YAVRUKURT</t>
        </is>
      </c>
      <c r="D38" s="13" t="inlineStr">
        <is>
          <t>ÜRETİM</t>
        </is>
      </c>
      <c r="E38" s="4" t="n">
        <v>4</v>
      </c>
      <c r="F38" s="7" t="n">
        <v>28075.5</v>
      </c>
      <c r="G38" s="7" t="n">
        <v>124.78</v>
      </c>
      <c r="H38" s="7" t="n">
        <v>187.17</v>
      </c>
      <c r="I38" s="5" t="n">
        <v>3</v>
      </c>
      <c r="J38" s="5" t="n">
        <v>0</v>
      </c>
      <c r="K38" s="5" t="n">
        <v>3</v>
      </c>
      <c r="L38" s="7" t="n">
        <v>561.51</v>
      </c>
      <c r="M38" s="5" t="n">
        <v>0</v>
      </c>
      <c r="N38" s="7" t="n">
        <v>0</v>
      </c>
      <c r="O38" s="7" t="n">
        <v>3743.4</v>
      </c>
      <c r="P38" s="7" t="n">
        <v>4304.91</v>
      </c>
      <c r="Q38" s="7" t="n">
        <v>25391.15</v>
      </c>
      <c r="R38" s="7" t="n">
        <v>0</v>
      </c>
    </row>
    <row r="39">
      <c r="A39" s="4" t="n">
        <v>72</v>
      </c>
      <c r="B39" s="4" t="inlineStr">
        <is>
          <t>18844853416</t>
        </is>
      </c>
      <c r="C39" s="13" t="inlineStr">
        <is>
          <t>CANER BALABAN</t>
        </is>
      </c>
      <c r="D39" s="13" t="inlineStr">
        <is>
          <t>Bilinmeyen</t>
        </is>
      </c>
      <c r="E39" s="4" t="n">
        <v>2</v>
      </c>
      <c r="F39" s="7" t="n">
        <v>28075.5</v>
      </c>
      <c r="G39" s="7" t="n">
        <v>124.78</v>
      </c>
      <c r="H39" s="7" t="n">
        <v>187.17</v>
      </c>
      <c r="I39" s="5" t="n">
        <v>8</v>
      </c>
      <c r="J39" s="5" t="n">
        <v>0</v>
      </c>
      <c r="K39" s="5" t="n">
        <v>8</v>
      </c>
      <c r="L39" s="7" t="n">
        <v>1497.36</v>
      </c>
      <c r="M39" s="5" t="n">
        <v>0</v>
      </c>
      <c r="N39" s="7" t="n">
        <v>0</v>
      </c>
      <c r="O39" s="7" t="n">
        <v>1871.7</v>
      </c>
      <c r="P39" s="7" t="n">
        <v>3369.06</v>
      </c>
      <c r="Q39" s="7" t="n">
        <v>9982.4</v>
      </c>
      <c r="R39" s="7" t="n">
        <v>0</v>
      </c>
    </row>
    <row r="40">
      <c r="A40" s="4" t="n">
        <v>73</v>
      </c>
      <c r="B40" s="4" t="inlineStr">
        <is>
          <t>31678238334</t>
        </is>
      </c>
      <c r="C40" s="13" t="inlineStr">
        <is>
          <t>CANSEL AKCAN</t>
        </is>
      </c>
      <c r="D40" s="13" t="inlineStr">
        <is>
          <t>BALIK TEMİZLEME</t>
        </is>
      </c>
      <c r="E40" s="4" t="n">
        <v>13</v>
      </c>
      <c r="F40" s="7" t="n">
        <v>33000</v>
      </c>
      <c r="G40" s="7" t="n">
        <v>146.67</v>
      </c>
      <c r="H40" s="7" t="n">
        <v>220</v>
      </c>
      <c r="I40" s="5" t="n">
        <v>7.5</v>
      </c>
      <c r="J40" s="5" t="n">
        <v>0</v>
      </c>
      <c r="K40" s="5" t="n">
        <v>7.5</v>
      </c>
      <c r="L40" s="7" t="n">
        <v>1650</v>
      </c>
      <c r="M40" s="5" t="n">
        <v>0</v>
      </c>
      <c r="N40" s="7" t="n">
        <v>0</v>
      </c>
      <c r="O40" s="7" t="n">
        <v>14300</v>
      </c>
      <c r="P40" s="7" t="n">
        <v>15950</v>
      </c>
      <c r="Q40" s="7" t="n">
        <v>33204.9</v>
      </c>
      <c r="R40" s="7" t="n">
        <v>0</v>
      </c>
    </row>
    <row r="41">
      <c r="A41" s="4" t="n">
        <v>74</v>
      </c>
      <c r="B41" s="4" t="inlineStr">
        <is>
          <t>16933572286</t>
        </is>
      </c>
      <c r="C41" s="13" t="inlineStr">
        <is>
          <t>CANSEVER ÇÇAKMAK</t>
        </is>
      </c>
      <c r="D41" s="13" t="inlineStr">
        <is>
          <t>AMBAR</t>
        </is>
      </c>
      <c r="E41" s="4" t="n">
        <v>17</v>
      </c>
      <c r="F41" s="7" t="n">
        <v>28075.5</v>
      </c>
      <c r="G41" s="7" t="n">
        <v>124.78</v>
      </c>
      <c r="H41" s="7" t="n">
        <v>187.17</v>
      </c>
      <c r="I41" s="5" t="n">
        <v>11.5</v>
      </c>
      <c r="J41" s="5" t="n">
        <v>0</v>
      </c>
      <c r="K41" s="5" t="n">
        <v>11.5</v>
      </c>
      <c r="L41" s="7" t="n">
        <v>2152.46</v>
      </c>
      <c r="M41" s="5" t="n">
        <v>0</v>
      </c>
      <c r="N41" s="7" t="n">
        <v>0</v>
      </c>
      <c r="O41" s="7" t="n">
        <v>15909.45</v>
      </c>
      <c r="P41" s="7" t="n">
        <v>18061.91</v>
      </c>
      <c r="Q41" s="7" t="n">
        <v>26889.55</v>
      </c>
      <c r="R41" s="7" t="n">
        <v>0</v>
      </c>
    </row>
    <row r="42">
      <c r="A42" s="4" t="n">
        <v>76</v>
      </c>
      <c r="B42" s="4" t="inlineStr">
        <is>
          <t>33154180038</t>
        </is>
      </c>
      <c r="C42" s="13" t="inlineStr">
        <is>
          <t>CEMALETTİN BEDİZCİ</t>
        </is>
      </c>
      <c r="D42" s="13" t="inlineStr">
        <is>
          <t>BAKIM</t>
        </is>
      </c>
      <c r="E42" s="4" t="n">
        <v>19</v>
      </c>
      <c r="F42" s="7" t="n">
        <v>60000</v>
      </c>
      <c r="G42" s="7" t="n">
        <v>266.67</v>
      </c>
      <c r="H42" s="7" t="n">
        <v>400</v>
      </c>
      <c r="I42" s="5" t="n">
        <v>28.5</v>
      </c>
      <c r="J42" s="5" t="n">
        <v>14.5</v>
      </c>
      <c r="K42" s="5" t="n">
        <v>43</v>
      </c>
      <c r="L42" s="7" t="n">
        <v>17200</v>
      </c>
      <c r="M42" s="5" t="n">
        <v>0</v>
      </c>
      <c r="N42" s="7" t="n">
        <v>0</v>
      </c>
      <c r="O42" s="7" t="n">
        <v>38000</v>
      </c>
      <c r="P42" s="7" t="n">
        <v>55200</v>
      </c>
      <c r="Q42" s="7" t="n">
        <v>4024.67</v>
      </c>
      <c r="R42" s="7" t="n">
        <v>51175.33</v>
      </c>
    </row>
    <row r="43">
      <c r="A43" s="4" t="n">
        <v>77</v>
      </c>
      <c r="B43" s="4" t="inlineStr">
        <is>
          <t>17488585028</t>
        </is>
      </c>
      <c r="C43" s="13" t="inlineStr">
        <is>
          <t>CEMİLE KARAN</t>
        </is>
      </c>
      <c r="D43" s="13" t="inlineStr">
        <is>
          <t>BALIK TEMİZLEME</t>
        </is>
      </c>
      <c r="E43" s="4" t="n">
        <v>11</v>
      </c>
      <c r="F43" s="7" t="n">
        <v>33000</v>
      </c>
      <c r="G43" s="7" t="n">
        <v>146.67</v>
      </c>
      <c r="H43" s="7" t="n">
        <v>220</v>
      </c>
      <c r="I43" s="5" t="n">
        <v>6.5</v>
      </c>
      <c r="J43" s="5" t="n">
        <v>0</v>
      </c>
      <c r="K43" s="5" t="n">
        <v>6.5</v>
      </c>
      <c r="L43" s="7" t="n">
        <v>1430</v>
      </c>
      <c r="M43" s="5" t="n">
        <v>0</v>
      </c>
      <c r="N43" s="7" t="n">
        <v>0</v>
      </c>
      <c r="O43" s="7" t="n">
        <v>12100</v>
      </c>
      <c r="P43" s="7" t="n">
        <v>13530</v>
      </c>
      <c r="Q43" s="7" t="n">
        <v>31299.1</v>
      </c>
      <c r="R43" s="7" t="n">
        <v>0</v>
      </c>
    </row>
    <row r="44">
      <c r="A44" s="4" t="n">
        <v>81</v>
      </c>
      <c r="B44" s="4" t="inlineStr">
        <is>
          <t>23083367440</t>
        </is>
      </c>
      <c r="C44" s="13" t="inlineStr">
        <is>
          <t>CEYDA ÖZ</t>
        </is>
      </c>
      <c r="D44" s="13" t="inlineStr">
        <is>
          <t>KALİTE</t>
        </is>
      </c>
      <c r="E44" s="4" t="n">
        <v>16</v>
      </c>
      <c r="F44" s="7" t="n">
        <v>28075.5</v>
      </c>
      <c r="G44" s="7" t="n">
        <v>124.78</v>
      </c>
      <c r="H44" s="7" t="n">
        <v>187.17</v>
      </c>
      <c r="I44" s="5" t="n">
        <v>5</v>
      </c>
      <c r="J44" s="5" t="n">
        <v>0</v>
      </c>
      <c r="K44" s="5" t="n">
        <v>5</v>
      </c>
      <c r="L44" s="7" t="n">
        <v>935.85</v>
      </c>
      <c r="M44" s="5" t="n">
        <v>0</v>
      </c>
      <c r="N44" s="7" t="n">
        <v>0</v>
      </c>
      <c r="O44" s="7" t="n">
        <v>14973.6</v>
      </c>
      <c r="P44" s="7" t="n">
        <v>15909.45</v>
      </c>
      <c r="Q44" s="7" t="n">
        <v>24496.73</v>
      </c>
      <c r="R44" s="7" t="n">
        <v>0</v>
      </c>
    </row>
    <row r="45">
      <c r="A45" s="4" t="n">
        <v>82</v>
      </c>
      <c r="B45" s="4" t="inlineStr">
        <is>
          <t>16699736366</t>
        </is>
      </c>
      <c r="C45" s="13" t="inlineStr">
        <is>
          <t>CEYLAN BATAN</t>
        </is>
      </c>
      <c r="D45" s="13" t="inlineStr">
        <is>
          <t>BALIK TEMİZLEME</t>
        </is>
      </c>
      <c r="E45" s="4" t="n">
        <v>16</v>
      </c>
      <c r="F45" s="7" t="n">
        <v>33000</v>
      </c>
      <c r="G45" s="7" t="n">
        <v>146.67</v>
      </c>
      <c r="H45" s="7" t="n">
        <v>220</v>
      </c>
      <c r="I45" s="5" t="n">
        <v>10</v>
      </c>
      <c r="J45" s="5" t="n">
        <v>0</v>
      </c>
      <c r="K45" s="5" t="n">
        <v>10</v>
      </c>
      <c r="L45" s="7" t="n">
        <v>2200</v>
      </c>
      <c r="M45" s="5" t="n">
        <v>0</v>
      </c>
      <c r="N45" s="7" t="n">
        <v>0</v>
      </c>
      <c r="O45" s="7" t="n">
        <v>17600</v>
      </c>
      <c r="P45" s="7" t="n">
        <v>19800</v>
      </c>
      <c r="Q45" s="7" t="n">
        <v>21567.5</v>
      </c>
      <c r="R45" s="7" t="n">
        <v>0</v>
      </c>
    </row>
    <row r="46">
      <c r="A46" s="4" t="n">
        <v>83</v>
      </c>
      <c r="B46" s="4" t="inlineStr">
        <is>
          <t>19313787324</t>
        </is>
      </c>
      <c r="C46" s="13" t="inlineStr">
        <is>
          <t>CİHAN YILMAZ</t>
        </is>
      </c>
      <c r="D46" s="13" t="inlineStr">
        <is>
          <t>BALIK</t>
        </is>
      </c>
      <c r="E46" s="4" t="n">
        <v>18</v>
      </c>
      <c r="F46" s="7" t="n">
        <v>33000</v>
      </c>
      <c r="G46" s="7" t="n">
        <v>146.67</v>
      </c>
      <c r="H46" s="7" t="n">
        <v>220</v>
      </c>
      <c r="I46" s="5" t="n">
        <v>8.5</v>
      </c>
      <c r="J46" s="5" t="n">
        <v>11</v>
      </c>
      <c r="K46" s="5" t="n">
        <v>19.5</v>
      </c>
      <c r="L46" s="7" t="n">
        <v>4290</v>
      </c>
      <c r="M46" s="5" t="n">
        <v>0</v>
      </c>
      <c r="N46" s="7" t="n">
        <v>0</v>
      </c>
      <c r="O46" s="7" t="n">
        <v>19800</v>
      </c>
      <c r="P46" s="7" t="n">
        <v>24090</v>
      </c>
      <c r="Q46" s="7" t="n">
        <v>26362.82</v>
      </c>
      <c r="R46" s="7" t="n">
        <v>0</v>
      </c>
    </row>
    <row r="47">
      <c r="A47" s="4" t="n">
        <v>85</v>
      </c>
      <c r="B47" s="4" t="inlineStr">
        <is>
          <t>22319750032</t>
        </is>
      </c>
      <c r="C47" s="13" t="inlineStr">
        <is>
          <t>ÇİDEM FİDAN</t>
        </is>
      </c>
      <c r="D47" s="13" t="inlineStr">
        <is>
          <t>BALIK TEMİZLEME</t>
        </is>
      </c>
      <c r="E47" s="4" t="n">
        <v>16</v>
      </c>
      <c r="F47" s="7" t="n">
        <v>33000</v>
      </c>
      <c r="G47" s="7" t="n">
        <v>146.67</v>
      </c>
      <c r="H47" s="7" t="n">
        <v>220</v>
      </c>
      <c r="I47" s="5" t="n">
        <v>10</v>
      </c>
      <c r="J47" s="5" t="n">
        <v>0</v>
      </c>
      <c r="K47" s="5" t="n">
        <v>10</v>
      </c>
      <c r="L47" s="7" t="n">
        <v>2200</v>
      </c>
      <c r="M47" s="5" t="n">
        <v>0</v>
      </c>
      <c r="N47" s="7" t="n">
        <v>0</v>
      </c>
      <c r="O47" s="7" t="n">
        <v>17600</v>
      </c>
      <c r="P47" s="7" t="n">
        <v>19800</v>
      </c>
      <c r="Q47" s="7" t="n">
        <v>14440.1</v>
      </c>
      <c r="R47" s="7" t="n">
        <v>5359.9</v>
      </c>
    </row>
    <row r="48">
      <c r="A48" s="4" t="n">
        <v>87</v>
      </c>
      <c r="B48" s="4" t="inlineStr">
        <is>
          <t>17749594400</t>
        </is>
      </c>
      <c r="C48" s="13" t="inlineStr">
        <is>
          <t>ÇİSEM BÇAKIR</t>
        </is>
      </c>
      <c r="D48" s="13" t="inlineStr">
        <is>
          <t>KALİTE</t>
        </is>
      </c>
      <c r="E48" s="4" t="n">
        <v>18</v>
      </c>
      <c r="F48" s="7" t="n">
        <v>35000</v>
      </c>
      <c r="G48" s="7" t="n">
        <v>155.56</v>
      </c>
      <c r="H48" s="7" t="n">
        <v>233.33</v>
      </c>
      <c r="I48" s="5" t="n">
        <v>2</v>
      </c>
      <c r="J48" s="5" t="n">
        <v>8</v>
      </c>
      <c r="K48" s="5" t="n">
        <v>10</v>
      </c>
      <c r="L48" s="7" t="n">
        <v>2333.33</v>
      </c>
      <c r="M48" s="5" t="n">
        <v>0</v>
      </c>
      <c r="N48" s="7" t="n">
        <v>0</v>
      </c>
      <c r="O48" s="7" t="n">
        <v>21000</v>
      </c>
      <c r="P48" s="7" t="n">
        <v>23333.33</v>
      </c>
      <c r="Q48" s="7" t="n">
        <v>36177</v>
      </c>
      <c r="R48" s="7" t="n">
        <v>0</v>
      </c>
    </row>
    <row r="49">
      <c r="A49" s="4" t="n">
        <v>88</v>
      </c>
      <c r="B49" s="4" t="inlineStr">
        <is>
          <t>22634353154</t>
        </is>
      </c>
      <c r="C49" s="13" t="inlineStr">
        <is>
          <t>DAİMİLA GÖKÇE</t>
        </is>
      </c>
      <c r="D49" s="13" t="inlineStr">
        <is>
          <t>ÜRETİM</t>
        </is>
      </c>
      <c r="E49" s="4" t="n">
        <v>3</v>
      </c>
      <c r="F49" s="7" t="n">
        <v>28075.5</v>
      </c>
      <c r="G49" s="7" t="n">
        <v>124.78</v>
      </c>
      <c r="H49" s="7" t="n">
        <v>187.17</v>
      </c>
      <c r="I49" s="5" t="n">
        <v>3</v>
      </c>
      <c r="J49" s="5" t="n">
        <v>0</v>
      </c>
      <c r="K49" s="5" t="n">
        <v>3</v>
      </c>
      <c r="L49" s="7" t="n">
        <v>561.51</v>
      </c>
      <c r="M49" s="5" t="n">
        <v>0</v>
      </c>
      <c r="N49" s="7" t="n">
        <v>0</v>
      </c>
      <c r="O49" s="7" t="n">
        <v>2807.55</v>
      </c>
      <c r="P49" s="7" t="n">
        <v>3369.06</v>
      </c>
      <c r="Q49" s="7" t="n">
        <v>39577.01</v>
      </c>
      <c r="R49" s="7" t="n">
        <v>0</v>
      </c>
    </row>
    <row r="50">
      <c r="A50" s="4" t="n">
        <v>89</v>
      </c>
      <c r="B50" s="4" t="inlineStr"/>
      <c r="C50" s="13" t="inlineStr">
        <is>
          <t>DEMİRHAN GÖKGÖZ</t>
        </is>
      </c>
      <c r="D50" s="13" t="inlineStr">
        <is>
          <t>Bilinmeyen</t>
        </is>
      </c>
      <c r="E50" s="4" t="n">
        <v>6</v>
      </c>
      <c r="F50" s="7" t="n">
        <v>28075.5</v>
      </c>
      <c r="G50" s="7" t="n">
        <v>124.78</v>
      </c>
      <c r="H50" s="7" t="n">
        <v>187.17</v>
      </c>
      <c r="I50" s="5" t="n">
        <v>18</v>
      </c>
      <c r="J50" s="5" t="n">
        <v>0</v>
      </c>
      <c r="K50" s="5" t="n">
        <v>18</v>
      </c>
      <c r="L50" s="7" t="n">
        <v>3369.06</v>
      </c>
      <c r="M50" s="5" t="n">
        <v>0</v>
      </c>
      <c r="N50" s="7" t="n">
        <v>0</v>
      </c>
      <c r="O50" s="7" t="n">
        <v>5615.1</v>
      </c>
      <c r="P50" s="7" t="n">
        <v>8984.16</v>
      </c>
      <c r="Q50" s="7" t="n">
        <v>0</v>
      </c>
      <c r="R50" s="7" t="n">
        <v>8984.16</v>
      </c>
    </row>
    <row r="51">
      <c r="A51" s="4" t="n">
        <v>92</v>
      </c>
      <c r="B51" s="4" t="inlineStr">
        <is>
          <t>37525041782</t>
        </is>
      </c>
      <c r="C51" s="13" t="inlineStr">
        <is>
          <t>DERYA SEVİNÇ</t>
        </is>
      </c>
      <c r="D51" s="13" t="inlineStr">
        <is>
          <t>FORMEN</t>
        </is>
      </c>
      <c r="E51" s="4" t="n">
        <v>17</v>
      </c>
      <c r="F51" s="7" t="n">
        <v>35000</v>
      </c>
      <c r="G51" s="7" t="n">
        <v>155.56</v>
      </c>
      <c r="H51" s="7" t="n">
        <v>233.33</v>
      </c>
      <c r="I51" s="5" t="n">
        <v>10.5</v>
      </c>
      <c r="J51" s="5" t="n">
        <v>0</v>
      </c>
      <c r="K51" s="5" t="n">
        <v>10.5</v>
      </c>
      <c r="L51" s="7" t="n">
        <v>2450</v>
      </c>
      <c r="M51" s="5" t="n">
        <v>0</v>
      </c>
      <c r="N51" s="7" t="n">
        <v>0</v>
      </c>
      <c r="O51" s="7" t="n">
        <v>19833.33</v>
      </c>
      <c r="P51" s="7" t="n">
        <v>22283.33</v>
      </c>
      <c r="Q51" s="7" t="n">
        <v>36566</v>
      </c>
      <c r="R51" s="7" t="n">
        <v>0</v>
      </c>
    </row>
    <row r="52">
      <c r="A52" s="4" t="n">
        <v>94</v>
      </c>
      <c r="B52" s="4" t="inlineStr">
        <is>
          <t>17329708456</t>
        </is>
      </c>
      <c r="C52" s="13" t="inlineStr">
        <is>
          <t>DİLEK ÇEKİN</t>
        </is>
      </c>
      <c r="D52" s="13" t="inlineStr">
        <is>
          <t>BALIK TEMİZLEME</t>
        </is>
      </c>
      <c r="E52" s="4" t="n">
        <v>9</v>
      </c>
      <c r="F52" s="7" t="n">
        <v>33000</v>
      </c>
      <c r="G52" s="7" t="n">
        <v>146.67</v>
      </c>
      <c r="H52" s="7" t="n">
        <v>220</v>
      </c>
      <c r="I52" s="5" t="n">
        <v>3.5</v>
      </c>
      <c r="J52" s="5" t="n">
        <v>0</v>
      </c>
      <c r="K52" s="5" t="n">
        <v>3.5</v>
      </c>
      <c r="L52" s="7" t="n">
        <v>770</v>
      </c>
      <c r="M52" s="5" t="n">
        <v>0</v>
      </c>
      <c r="N52" s="7" t="n">
        <v>0</v>
      </c>
      <c r="O52" s="7" t="n">
        <v>9900</v>
      </c>
      <c r="P52" s="7" t="n">
        <v>10670</v>
      </c>
      <c r="Q52" s="7" t="n">
        <v>25952.1</v>
      </c>
      <c r="R52" s="7" t="n">
        <v>0</v>
      </c>
    </row>
    <row r="53">
      <c r="A53" s="4" t="n">
        <v>95</v>
      </c>
      <c r="B53" s="4" t="inlineStr">
        <is>
          <t>10456937386</t>
        </is>
      </c>
      <c r="C53" s="13" t="inlineStr">
        <is>
          <t>DİLEK ÇETİN</t>
        </is>
      </c>
      <c r="D53" s="13" t="inlineStr">
        <is>
          <t>Bilinmeyen</t>
        </is>
      </c>
      <c r="E53" s="4" t="n">
        <v>14</v>
      </c>
      <c r="F53" s="7" t="n">
        <v>28075.5</v>
      </c>
      <c r="G53" s="7" t="n">
        <v>124.78</v>
      </c>
      <c r="H53" s="7" t="n">
        <v>187.17</v>
      </c>
      <c r="I53" s="5" t="n">
        <v>15</v>
      </c>
      <c r="J53" s="5" t="n">
        <v>0</v>
      </c>
      <c r="K53" s="5" t="n">
        <v>15</v>
      </c>
      <c r="L53" s="7" t="n">
        <v>2807.55</v>
      </c>
      <c r="M53" s="5" t="n">
        <v>0</v>
      </c>
      <c r="N53" s="7" t="n">
        <v>0</v>
      </c>
      <c r="O53" s="7" t="n">
        <v>13101.9</v>
      </c>
      <c r="P53" s="7" t="n">
        <v>15909.45</v>
      </c>
      <c r="Q53" s="7" t="n">
        <v>7222.8</v>
      </c>
      <c r="R53" s="7" t="n">
        <v>8686.65</v>
      </c>
    </row>
    <row r="54">
      <c r="A54" s="4" t="n">
        <v>97</v>
      </c>
      <c r="B54" s="4" t="inlineStr">
        <is>
          <t>23509358892</t>
        </is>
      </c>
      <c r="C54" s="13" t="inlineStr">
        <is>
          <t>DÖNDÜ ŞAHİN</t>
        </is>
      </c>
      <c r="D54" s="13" t="inlineStr">
        <is>
          <t>KALİTE</t>
        </is>
      </c>
      <c r="E54" s="4" t="n">
        <v>15</v>
      </c>
      <c r="F54" s="7" t="n">
        <v>28075.5</v>
      </c>
      <c r="G54" s="7" t="n">
        <v>124.78</v>
      </c>
      <c r="H54" s="7" t="n">
        <v>187.17</v>
      </c>
      <c r="I54" s="5" t="n">
        <v>2</v>
      </c>
      <c r="J54" s="5" t="n">
        <v>8.5</v>
      </c>
      <c r="K54" s="5" t="n">
        <v>10.5</v>
      </c>
      <c r="L54" s="7" t="n">
        <v>1965.29</v>
      </c>
      <c r="M54" s="5" t="n">
        <v>0</v>
      </c>
      <c r="N54" s="7" t="n">
        <v>0</v>
      </c>
      <c r="O54" s="7" t="n">
        <v>14037.75</v>
      </c>
      <c r="P54" s="7" t="n">
        <v>16003.03</v>
      </c>
      <c r="Q54" s="7" t="n">
        <v>21836.5</v>
      </c>
      <c r="R54" s="7" t="n">
        <v>0</v>
      </c>
    </row>
    <row r="55">
      <c r="A55" s="4" t="n">
        <v>98</v>
      </c>
      <c r="B55" s="4" t="inlineStr">
        <is>
          <t>24961035246</t>
        </is>
      </c>
      <c r="C55" s="13" t="inlineStr">
        <is>
          <t>DUDU ÖRENGÜL</t>
        </is>
      </c>
      <c r="D55" s="13" t="inlineStr">
        <is>
          <t>KALİTE</t>
        </is>
      </c>
      <c r="E55" s="4" t="n">
        <v>15</v>
      </c>
      <c r="F55" s="7" t="n">
        <v>28075.5</v>
      </c>
      <c r="G55" s="7" t="n">
        <v>124.78</v>
      </c>
      <c r="H55" s="7" t="n">
        <v>187.17</v>
      </c>
      <c r="I55" s="5" t="n">
        <v>18</v>
      </c>
      <c r="J55" s="5" t="n">
        <v>0</v>
      </c>
      <c r="K55" s="5" t="n">
        <v>18</v>
      </c>
      <c r="L55" s="7" t="n">
        <v>3369.06</v>
      </c>
      <c r="M55" s="5" t="n">
        <v>0</v>
      </c>
      <c r="N55" s="7" t="n">
        <v>0</v>
      </c>
      <c r="O55" s="7" t="n">
        <v>14037.75</v>
      </c>
      <c r="P55" s="7" t="n">
        <v>17406.81</v>
      </c>
      <c r="Q55" s="7" t="n">
        <v>20224.04</v>
      </c>
      <c r="R55" s="7" t="n">
        <v>0</v>
      </c>
    </row>
    <row r="56">
      <c r="A56" s="4" t="n">
        <v>99</v>
      </c>
      <c r="B56" s="4" t="inlineStr">
        <is>
          <t>99848635024</t>
        </is>
      </c>
      <c r="C56" s="13" t="inlineStr">
        <is>
          <t>DUHA EL MUFADDİ</t>
        </is>
      </c>
      <c r="D56" s="13" t="inlineStr">
        <is>
          <t>BALIK TEMİZLEME</t>
        </is>
      </c>
      <c r="E56" s="4" t="n">
        <v>17</v>
      </c>
      <c r="F56" s="7" t="n">
        <v>33000</v>
      </c>
      <c r="G56" s="7" t="n">
        <v>146.67</v>
      </c>
      <c r="H56" s="7" t="n">
        <v>220</v>
      </c>
      <c r="I56" s="5" t="n">
        <v>10.5</v>
      </c>
      <c r="J56" s="5" t="n">
        <v>0</v>
      </c>
      <c r="K56" s="5" t="n">
        <v>10.5</v>
      </c>
      <c r="L56" s="7" t="n">
        <v>2310</v>
      </c>
      <c r="M56" s="5" t="n">
        <v>0</v>
      </c>
      <c r="N56" s="7" t="n">
        <v>0</v>
      </c>
      <c r="O56" s="7" t="n">
        <v>18700</v>
      </c>
      <c r="P56" s="7" t="n">
        <v>21010</v>
      </c>
      <c r="Q56" s="7" t="n">
        <v>30199.6</v>
      </c>
      <c r="R56" s="7" t="n">
        <v>0</v>
      </c>
    </row>
    <row r="57">
      <c r="A57" s="4" t="n">
        <v>100</v>
      </c>
      <c r="B57" s="4" t="inlineStr">
        <is>
          <t>12562741222</t>
        </is>
      </c>
      <c r="C57" s="13" t="inlineStr">
        <is>
          <t>EBRU ÖÖZALP</t>
        </is>
      </c>
      <c r="D57" s="13" t="inlineStr">
        <is>
          <t>BALIK TEMİZLEME</t>
        </is>
      </c>
      <c r="E57" s="4" t="n">
        <v>14</v>
      </c>
      <c r="F57" s="7" t="n">
        <v>33000</v>
      </c>
      <c r="G57" s="7" t="n">
        <v>146.67</v>
      </c>
      <c r="H57" s="7" t="n">
        <v>220</v>
      </c>
      <c r="I57" s="5" t="n">
        <v>7.5</v>
      </c>
      <c r="J57" s="5" t="n">
        <v>0</v>
      </c>
      <c r="K57" s="5" t="n">
        <v>7.5</v>
      </c>
      <c r="L57" s="7" t="n">
        <v>1650</v>
      </c>
      <c r="M57" s="5" t="n">
        <v>0</v>
      </c>
      <c r="N57" s="7" t="n">
        <v>0</v>
      </c>
      <c r="O57" s="7" t="n">
        <v>15400</v>
      </c>
      <c r="P57" s="7" t="n">
        <v>17050</v>
      </c>
      <c r="Q57" s="7" t="n">
        <v>22699.3</v>
      </c>
      <c r="R57" s="7" t="n">
        <v>0</v>
      </c>
    </row>
    <row r="58">
      <c r="A58" s="4" t="n">
        <v>102</v>
      </c>
      <c r="B58" s="4" t="inlineStr">
        <is>
          <t>29563469352</t>
        </is>
      </c>
      <c r="C58" s="13" t="inlineStr">
        <is>
          <t>EDİP EKİNCİ</t>
        </is>
      </c>
      <c r="D58" s="13" t="inlineStr">
        <is>
          <t>KAZAN</t>
        </is>
      </c>
      <c r="E58" s="4" t="n">
        <v>20</v>
      </c>
      <c r="F58" s="7" t="n">
        <v>32000</v>
      </c>
      <c r="G58" s="7" t="n">
        <v>142.22</v>
      </c>
      <c r="H58" s="7" t="n">
        <v>213.33</v>
      </c>
      <c r="I58" s="5" t="n">
        <v>100</v>
      </c>
      <c r="J58" s="5" t="n">
        <v>31.5</v>
      </c>
      <c r="K58" s="5" t="n">
        <v>131.5</v>
      </c>
      <c r="L58" s="7" t="n">
        <v>28053.33</v>
      </c>
      <c r="M58" s="5" t="n">
        <v>0</v>
      </c>
      <c r="N58" s="7" t="n">
        <v>0</v>
      </c>
      <c r="O58" s="7" t="n">
        <v>21333.33</v>
      </c>
      <c r="P58" s="7" t="n">
        <v>49386.67</v>
      </c>
      <c r="Q58" s="7" t="n">
        <v>4024.67</v>
      </c>
      <c r="R58" s="7" t="n">
        <v>45362</v>
      </c>
    </row>
    <row r="59">
      <c r="A59" s="4" t="n">
        <v>103</v>
      </c>
      <c r="B59" s="4" t="inlineStr">
        <is>
          <t>10066843626</t>
        </is>
      </c>
      <c r="C59" s="13" t="inlineStr">
        <is>
          <t>EFE EVİM</t>
        </is>
      </c>
      <c r="D59" s="13" t="inlineStr">
        <is>
          <t>AMBAR</t>
        </is>
      </c>
      <c r="E59" s="4" t="n">
        <v>17</v>
      </c>
      <c r="F59" s="7" t="n">
        <v>28075.5</v>
      </c>
      <c r="G59" s="7" t="n">
        <v>124.78</v>
      </c>
      <c r="H59" s="7" t="n">
        <v>187.17</v>
      </c>
      <c r="I59" s="5" t="n">
        <v>11</v>
      </c>
      <c r="J59" s="5" t="n">
        <v>0</v>
      </c>
      <c r="K59" s="5" t="n">
        <v>11</v>
      </c>
      <c r="L59" s="7" t="n">
        <v>2058.87</v>
      </c>
      <c r="M59" s="5" t="n">
        <v>0</v>
      </c>
      <c r="N59" s="7" t="n">
        <v>0</v>
      </c>
      <c r="O59" s="7" t="n">
        <v>15909.45</v>
      </c>
      <c r="P59" s="7" t="n">
        <v>17968.32</v>
      </c>
      <c r="Q59" s="7" t="n">
        <v>24135.89</v>
      </c>
      <c r="R59" s="7" t="n">
        <v>0</v>
      </c>
    </row>
    <row r="60">
      <c r="A60" s="4" t="n">
        <v>104</v>
      </c>
      <c r="B60" s="4" t="inlineStr">
        <is>
          <t>14266711334</t>
        </is>
      </c>
      <c r="C60" s="13" t="inlineStr">
        <is>
          <t>EFRAİM DUMAN</t>
        </is>
      </c>
      <c r="D60" s="13" t="inlineStr">
        <is>
          <t>AMBAR</t>
        </is>
      </c>
      <c r="E60" s="4" t="n">
        <v>18</v>
      </c>
      <c r="F60" s="7" t="n">
        <v>36000</v>
      </c>
      <c r="G60" s="7" t="n">
        <v>160</v>
      </c>
      <c r="H60" s="7" t="n">
        <v>240</v>
      </c>
      <c r="I60" s="5" t="n">
        <v>92</v>
      </c>
      <c r="J60" s="5" t="n">
        <v>12</v>
      </c>
      <c r="K60" s="5" t="n">
        <v>104</v>
      </c>
      <c r="L60" s="7" t="n">
        <v>24960</v>
      </c>
      <c r="M60" s="5" t="n">
        <v>0</v>
      </c>
      <c r="N60" s="7" t="n">
        <v>0</v>
      </c>
      <c r="O60" s="7" t="n">
        <v>21600</v>
      </c>
      <c r="P60" s="7" t="n">
        <v>46560</v>
      </c>
      <c r="Q60" s="7" t="n">
        <v>4024.67</v>
      </c>
      <c r="R60" s="7" t="n">
        <v>42535.33</v>
      </c>
    </row>
    <row r="61">
      <c r="A61" s="4" t="n">
        <v>106</v>
      </c>
      <c r="B61" s="4" t="inlineStr">
        <is>
          <t>16591633060</t>
        </is>
      </c>
      <c r="C61" s="13" t="inlineStr">
        <is>
          <t>ELİF TUNÇ</t>
        </is>
      </c>
      <c r="D61" s="13" t="inlineStr">
        <is>
          <t>KALİTE</t>
        </is>
      </c>
      <c r="E61" s="4" t="n">
        <v>13</v>
      </c>
      <c r="F61" s="7" t="n">
        <v>87500</v>
      </c>
      <c r="G61" s="7" t="n">
        <v>388.89</v>
      </c>
      <c r="H61" s="7" t="n">
        <v>583.33</v>
      </c>
      <c r="I61" s="5" t="n">
        <v>20</v>
      </c>
      <c r="J61" s="5" t="n">
        <v>0</v>
      </c>
      <c r="K61" s="5" t="n">
        <v>20</v>
      </c>
      <c r="L61" s="7" t="n">
        <v>11666.67</v>
      </c>
      <c r="M61" s="5" t="n">
        <v>0</v>
      </c>
      <c r="N61" s="7" t="n">
        <v>0</v>
      </c>
      <c r="O61" s="7" t="n">
        <v>37916.67</v>
      </c>
      <c r="P61" s="7" t="n">
        <v>49583.33</v>
      </c>
      <c r="Q61" s="7" t="n">
        <v>87500</v>
      </c>
      <c r="R61" s="7" t="n">
        <v>0</v>
      </c>
    </row>
    <row r="62">
      <c r="A62" s="4" t="n">
        <v>107</v>
      </c>
      <c r="B62" s="4" t="inlineStr">
        <is>
          <t>20266511430</t>
        </is>
      </c>
      <c r="C62" s="13" t="inlineStr">
        <is>
          <t>ELİF YAVAŞ</t>
        </is>
      </c>
      <c r="D62" s="13" t="inlineStr">
        <is>
          <t>MUHASEBE</t>
        </is>
      </c>
      <c r="E62" s="4" t="n">
        <v>16</v>
      </c>
      <c r="F62" s="7" t="n">
        <v>35000</v>
      </c>
      <c r="G62" s="7" t="n">
        <v>155.56</v>
      </c>
      <c r="H62" s="7" t="n">
        <v>233.33</v>
      </c>
      <c r="I62" s="5" t="n">
        <v>9</v>
      </c>
      <c r="J62" s="5" t="n">
        <v>0</v>
      </c>
      <c r="K62" s="5" t="n">
        <v>9</v>
      </c>
      <c r="L62" s="7" t="n">
        <v>2100</v>
      </c>
      <c r="M62" s="5" t="n">
        <v>0</v>
      </c>
      <c r="N62" s="7" t="n">
        <v>0</v>
      </c>
      <c r="O62" s="7" t="n">
        <v>18666.67</v>
      </c>
      <c r="P62" s="7" t="n">
        <v>20766.67</v>
      </c>
      <c r="Q62" s="7" t="n">
        <v>36153.75</v>
      </c>
      <c r="R62" s="7" t="n">
        <v>0</v>
      </c>
    </row>
    <row r="63">
      <c r="A63" s="4" t="n">
        <v>110</v>
      </c>
      <c r="B63" s="4" t="inlineStr">
        <is>
          <t>20036722080</t>
        </is>
      </c>
      <c r="C63" s="13" t="inlineStr">
        <is>
          <t>ELMAS OMAY</t>
        </is>
      </c>
      <c r="D63" s="13" t="inlineStr">
        <is>
          <t>AMBAR</t>
        </is>
      </c>
      <c r="E63" s="4" t="n">
        <v>17</v>
      </c>
      <c r="F63" s="7" t="n">
        <v>28075.5</v>
      </c>
      <c r="G63" s="7" t="n">
        <v>124.78</v>
      </c>
      <c r="H63" s="7" t="n">
        <v>187.17</v>
      </c>
      <c r="I63" s="5" t="n">
        <v>16.5</v>
      </c>
      <c r="J63" s="5" t="n">
        <v>7.5</v>
      </c>
      <c r="K63" s="5" t="n">
        <v>24</v>
      </c>
      <c r="L63" s="7" t="n">
        <v>4492.08</v>
      </c>
      <c r="M63" s="5" t="n">
        <v>0</v>
      </c>
      <c r="N63" s="7" t="n">
        <v>0</v>
      </c>
      <c r="O63" s="7" t="n">
        <v>15909.45</v>
      </c>
      <c r="P63" s="7" t="n">
        <v>20401.53</v>
      </c>
      <c r="Q63" s="7" t="n">
        <v>22008.1</v>
      </c>
      <c r="R63" s="7" t="n">
        <v>0</v>
      </c>
    </row>
    <row r="64">
      <c r="A64" s="4" t="n">
        <v>111</v>
      </c>
      <c r="B64" s="4" t="inlineStr">
        <is>
          <t>31009103096</t>
        </is>
      </c>
      <c r="C64" s="13" t="inlineStr">
        <is>
          <t>EMEL SANAN</t>
        </is>
      </c>
      <c r="D64" s="13" t="inlineStr">
        <is>
          <t>AMBAR</t>
        </is>
      </c>
      <c r="E64" s="4" t="n">
        <v>18</v>
      </c>
      <c r="F64" s="7" t="n">
        <v>35000</v>
      </c>
      <c r="G64" s="7" t="n">
        <v>155.56</v>
      </c>
      <c r="H64" s="7" t="n">
        <v>233.33</v>
      </c>
      <c r="I64" s="5" t="n">
        <v>11.5</v>
      </c>
      <c r="J64" s="5" t="n">
        <v>7.5</v>
      </c>
      <c r="K64" s="5" t="n">
        <v>19</v>
      </c>
      <c r="L64" s="7" t="n">
        <v>4433.33</v>
      </c>
      <c r="M64" s="5" t="n">
        <v>0</v>
      </c>
      <c r="N64" s="7" t="n">
        <v>0</v>
      </c>
      <c r="O64" s="7" t="n">
        <v>21000</v>
      </c>
      <c r="P64" s="7" t="n">
        <v>25433.33</v>
      </c>
      <c r="Q64" s="7" t="n">
        <v>33277</v>
      </c>
      <c r="R64" s="7" t="n">
        <v>0</v>
      </c>
    </row>
    <row r="65">
      <c r="A65" s="4" t="n">
        <v>112</v>
      </c>
      <c r="B65" s="4" t="inlineStr">
        <is>
          <t>20584476770</t>
        </is>
      </c>
      <c r="C65" s="13" t="inlineStr">
        <is>
          <t>EMİNE ATEŞ</t>
        </is>
      </c>
      <c r="D65" s="13" t="inlineStr">
        <is>
          <t>BALIK TEMİZLEME</t>
        </is>
      </c>
      <c r="E65" s="4" t="n">
        <v>13</v>
      </c>
      <c r="F65" s="7" t="n">
        <v>33000</v>
      </c>
      <c r="G65" s="7" t="n">
        <v>146.67</v>
      </c>
      <c r="H65" s="7" t="n">
        <v>220</v>
      </c>
      <c r="I65" s="5" t="n">
        <v>8</v>
      </c>
      <c r="J65" s="5" t="n">
        <v>0</v>
      </c>
      <c r="K65" s="5" t="n">
        <v>8</v>
      </c>
      <c r="L65" s="7" t="n">
        <v>1760</v>
      </c>
      <c r="M65" s="5" t="n">
        <v>0</v>
      </c>
      <c r="N65" s="7" t="n">
        <v>0</v>
      </c>
      <c r="O65" s="7" t="n">
        <v>14300</v>
      </c>
      <c r="P65" s="7" t="n">
        <v>16060</v>
      </c>
      <c r="Q65" s="7" t="n">
        <v>30199.6</v>
      </c>
      <c r="R65" s="7" t="n">
        <v>0</v>
      </c>
    </row>
    <row r="66">
      <c r="A66" s="4" t="n">
        <v>113</v>
      </c>
      <c r="B66" s="4" t="inlineStr">
        <is>
          <t>12523718256</t>
        </is>
      </c>
      <c r="C66" s="13" t="inlineStr">
        <is>
          <t>EMİNE BAYER</t>
        </is>
      </c>
      <c r="D66" s="13" t="inlineStr">
        <is>
          <t>AMBAR</t>
        </is>
      </c>
      <c r="E66" s="4" t="n">
        <v>18</v>
      </c>
      <c r="F66" s="7" t="n">
        <v>28075.5</v>
      </c>
      <c r="G66" s="7" t="n">
        <v>124.78</v>
      </c>
      <c r="H66" s="7" t="n">
        <v>187.17</v>
      </c>
      <c r="I66" s="5" t="n">
        <v>11.5</v>
      </c>
      <c r="J66" s="5" t="n">
        <v>7.5</v>
      </c>
      <c r="K66" s="5" t="n">
        <v>19</v>
      </c>
      <c r="L66" s="7" t="n">
        <v>3556.23</v>
      </c>
      <c r="M66" s="5" t="n">
        <v>0</v>
      </c>
      <c r="N66" s="7" t="n">
        <v>0</v>
      </c>
      <c r="O66" s="7" t="n">
        <v>16845.3</v>
      </c>
      <c r="P66" s="7" t="n">
        <v>20401.53</v>
      </c>
      <c r="Q66" s="7" t="n">
        <v>24135.89</v>
      </c>
      <c r="R66" s="7" t="n">
        <v>0</v>
      </c>
    </row>
    <row r="67">
      <c r="A67" s="4" t="n">
        <v>114</v>
      </c>
      <c r="B67" s="4" t="inlineStr">
        <is>
          <t>20503503198</t>
        </is>
      </c>
      <c r="C67" s="13" t="inlineStr">
        <is>
          <t>EMİNE ÇAPAR</t>
        </is>
      </c>
      <c r="D67" s="13" t="inlineStr">
        <is>
          <t>YEMEKHANE</t>
        </is>
      </c>
      <c r="E67" s="4" t="n">
        <v>20</v>
      </c>
      <c r="F67" s="7" t="n">
        <v>28075.5</v>
      </c>
      <c r="G67" s="7" t="n">
        <v>124.78</v>
      </c>
      <c r="H67" s="7" t="n">
        <v>187.17</v>
      </c>
      <c r="I67" s="5" t="n">
        <v>69.5</v>
      </c>
      <c r="J67" s="5" t="n">
        <v>18.5</v>
      </c>
      <c r="K67" s="5" t="n">
        <v>88</v>
      </c>
      <c r="L67" s="7" t="n">
        <v>16470.96</v>
      </c>
      <c r="M67" s="5" t="n">
        <v>0</v>
      </c>
      <c r="N67" s="7" t="n">
        <v>0</v>
      </c>
      <c r="O67" s="7" t="n">
        <v>18717</v>
      </c>
      <c r="P67" s="7" t="n">
        <v>35187.96</v>
      </c>
      <c r="Q67" s="7" t="n">
        <v>33939.64</v>
      </c>
      <c r="R67" s="7" t="n">
        <v>1248.32</v>
      </c>
    </row>
    <row r="68">
      <c r="A68" s="4" t="n">
        <v>116</v>
      </c>
      <c r="B68" s="4" t="inlineStr">
        <is>
          <t>16111749134</t>
        </is>
      </c>
      <c r="C68" s="13" t="inlineStr">
        <is>
          <t>EMİNE KARAMAN</t>
        </is>
      </c>
      <c r="D68" s="13" t="inlineStr">
        <is>
          <t>BALIK TEMİZLEME</t>
        </is>
      </c>
      <c r="E68" s="4" t="n">
        <v>17</v>
      </c>
      <c r="F68" s="7" t="n">
        <v>33000</v>
      </c>
      <c r="G68" s="7" t="n">
        <v>146.67</v>
      </c>
      <c r="H68" s="7" t="n">
        <v>220</v>
      </c>
      <c r="I68" s="5" t="n">
        <v>10.5</v>
      </c>
      <c r="J68" s="5" t="n">
        <v>0</v>
      </c>
      <c r="K68" s="5" t="n">
        <v>10.5</v>
      </c>
      <c r="L68" s="7" t="n">
        <v>2310</v>
      </c>
      <c r="M68" s="5" t="n">
        <v>0</v>
      </c>
      <c r="N68" s="7" t="n">
        <v>0</v>
      </c>
      <c r="O68" s="7" t="n">
        <v>18700</v>
      </c>
      <c r="P68" s="7" t="n">
        <v>21010</v>
      </c>
      <c r="Q68" s="7" t="n">
        <v>20157.5</v>
      </c>
      <c r="R68" s="7" t="n">
        <v>852.5</v>
      </c>
    </row>
    <row r="69">
      <c r="A69" s="4" t="n">
        <v>117</v>
      </c>
      <c r="B69" s="4" t="inlineStr">
        <is>
          <t>12379749978</t>
        </is>
      </c>
      <c r="C69" s="13" t="inlineStr">
        <is>
          <t>EMİNE SARI</t>
        </is>
      </c>
      <c r="D69" s="13" t="inlineStr">
        <is>
          <t>YEMEKHANE</t>
        </is>
      </c>
      <c r="E69" s="4" t="n">
        <v>15</v>
      </c>
      <c r="F69" s="7" t="n">
        <v>33000</v>
      </c>
      <c r="G69" s="7" t="n">
        <v>146.67</v>
      </c>
      <c r="H69" s="7" t="n">
        <v>220</v>
      </c>
      <c r="I69" s="5" t="n">
        <v>7</v>
      </c>
      <c r="J69" s="5" t="n">
        <v>0</v>
      </c>
      <c r="K69" s="5" t="n">
        <v>7</v>
      </c>
      <c r="L69" s="7" t="n">
        <v>1540</v>
      </c>
      <c r="M69" s="5" t="n">
        <v>0</v>
      </c>
      <c r="N69" s="7" t="n">
        <v>0</v>
      </c>
      <c r="O69" s="7" t="n">
        <v>16500</v>
      </c>
      <c r="P69" s="7" t="n">
        <v>18040</v>
      </c>
      <c r="Q69" s="7" t="n">
        <v>34670.9</v>
      </c>
      <c r="R69" s="7" t="n">
        <v>0</v>
      </c>
    </row>
    <row r="70">
      <c r="A70" s="4" t="n">
        <v>118</v>
      </c>
      <c r="B70" s="4" t="inlineStr">
        <is>
          <t>37030668238</t>
        </is>
      </c>
      <c r="C70" s="13" t="inlineStr">
        <is>
          <t>EMİNE ŞENTÜRK CİNGÖZ</t>
        </is>
      </c>
      <c r="D70" s="13" t="inlineStr">
        <is>
          <t>BALIK TEMİZLEME</t>
        </is>
      </c>
      <c r="E70" s="4" t="n">
        <v>14</v>
      </c>
      <c r="F70" s="7" t="n">
        <v>33000</v>
      </c>
      <c r="G70" s="7" t="n">
        <v>146.67</v>
      </c>
      <c r="H70" s="7" t="n">
        <v>220</v>
      </c>
      <c r="I70" s="5" t="n">
        <v>8.5</v>
      </c>
      <c r="J70" s="5" t="n">
        <v>0</v>
      </c>
      <c r="K70" s="5" t="n">
        <v>8.5</v>
      </c>
      <c r="L70" s="7" t="n">
        <v>1870</v>
      </c>
      <c r="M70" s="5" t="n">
        <v>0</v>
      </c>
      <c r="N70" s="7" t="n">
        <v>0</v>
      </c>
      <c r="O70" s="7" t="n">
        <v>15400</v>
      </c>
      <c r="P70" s="7" t="n">
        <v>17270</v>
      </c>
      <c r="Q70" s="7" t="n">
        <v>16264</v>
      </c>
      <c r="R70" s="7" t="n">
        <v>1006</v>
      </c>
    </row>
    <row r="71">
      <c r="A71" s="4" t="n">
        <v>120</v>
      </c>
      <c r="B71" s="4" t="inlineStr">
        <is>
          <t>45328882280</t>
        </is>
      </c>
      <c r="C71" s="13" t="inlineStr">
        <is>
          <t>EMİNE YAVUZ</t>
        </is>
      </c>
      <c r="D71" s="13" t="inlineStr">
        <is>
          <t>BALIK TEMİZLEME</t>
        </is>
      </c>
      <c r="E71" s="4" t="n">
        <v>17</v>
      </c>
      <c r="F71" s="7" t="n">
        <v>33000</v>
      </c>
      <c r="G71" s="7" t="n">
        <v>146.67</v>
      </c>
      <c r="H71" s="7" t="n">
        <v>220</v>
      </c>
      <c r="I71" s="5" t="n">
        <v>10</v>
      </c>
      <c r="J71" s="5" t="n">
        <v>0</v>
      </c>
      <c r="K71" s="5" t="n">
        <v>10</v>
      </c>
      <c r="L71" s="7" t="n">
        <v>2200</v>
      </c>
      <c r="M71" s="5" t="n">
        <v>0</v>
      </c>
      <c r="N71" s="7" t="n">
        <v>0</v>
      </c>
      <c r="O71" s="7" t="n">
        <v>18700</v>
      </c>
      <c r="P71" s="7" t="n">
        <v>20900</v>
      </c>
      <c r="Q71" s="7" t="n">
        <v>26607.9</v>
      </c>
      <c r="R71" s="7" t="n">
        <v>0</v>
      </c>
    </row>
    <row r="72">
      <c r="A72" s="4" t="n">
        <v>122</v>
      </c>
      <c r="B72" s="4" t="inlineStr">
        <is>
          <t>10036852948</t>
        </is>
      </c>
      <c r="C72" s="13" t="inlineStr">
        <is>
          <t>EMİRHAN MUTLU</t>
        </is>
      </c>
      <c r="D72" s="13" t="inlineStr">
        <is>
          <t>BAKIM</t>
        </is>
      </c>
      <c r="E72" s="4" t="n">
        <v>19</v>
      </c>
      <c r="F72" s="7" t="n">
        <v>36000</v>
      </c>
      <c r="G72" s="7" t="n">
        <v>160</v>
      </c>
      <c r="H72" s="7" t="n">
        <v>240</v>
      </c>
      <c r="I72" s="5" t="n">
        <v>27.5</v>
      </c>
      <c r="J72" s="5" t="n">
        <v>16.5</v>
      </c>
      <c r="K72" s="5" t="n">
        <v>44</v>
      </c>
      <c r="L72" s="7" t="n">
        <v>10560</v>
      </c>
      <c r="M72" s="5" t="n">
        <v>0</v>
      </c>
      <c r="N72" s="7" t="n">
        <v>0</v>
      </c>
      <c r="O72" s="7" t="n">
        <v>22800</v>
      </c>
      <c r="P72" s="7" t="n">
        <v>33360</v>
      </c>
      <c r="Q72" s="7" t="n">
        <v>43360</v>
      </c>
      <c r="R72" s="7" t="n">
        <v>0</v>
      </c>
    </row>
    <row r="73">
      <c r="A73" s="4" t="n">
        <v>124</v>
      </c>
      <c r="B73" s="4" t="inlineStr">
        <is>
          <t>21550576494</t>
        </is>
      </c>
      <c r="C73" s="13" t="inlineStr">
        <is>
          <t>EMRE BAŞAR</t>
        </is>
      </c>
      <c r="D73" s="13" t="inlineStr">
        <is>
          <t>ÜRETİM</t>
        </is>
      </c>
      <c r="E73" s="4" t="n">
        <v>7</v>
      </c>
      <c r="F73" s="7" t="n">
        <v>28075.5</v>
      </c>
      <c r="G73" s="7" t="n">
        <v>124.78</v>
      </c>
      <c r="H73" s="7" t="n">
        <v>187.17</v>
      </c>
      <c r="I73" s="5" t="n">
        <v>13.5</v>
      </c>
      <c r="J73" s="5" t="n">
        <v>0</v>
      </c>
      <c r="K73" s="5" t="n">
        <v>13.5</v>
      </c>
      <c r="L73" s="7" t="n">
        <v>2526.8</v>
      </c>
      <c r="M73" s="5" t="n">
        <v>0</v>
      </c>
      <c r="N73" s="7" t="n">
        <v>0</v>
      </c>
      <c r="O73" s="7" t="n">
        <v>6550.95</v>
      </c>
      <c r="P73" s="7" t="n">
        <v>9077.74</v>
      </c>
      <c r="Q73" s="7" t="n">
        <v>13381.47</v>
      </c>
      <c r="R73" s="7" t="n">
        <v>0</v>
      </c>
    </row>
    <row r="74">
      <c r="A74" s="4" t="n">
        <v>126</v>
      </c>
      <c r="B74" s="4" t="inlineStr">
        <is>
          <t>29470204244</t>
        </is>
      </c>
      <c r="C74" s="13" t="inlineStr">
        <is>
          <t>ENDER BİLBAY</t>
        </is>
      </c>
      <c r="D74" s="13" t="inlineStr">
        <is>
          <t>KAPI GÖREVLİSİ</t>
        </is>
      </c>
      <c r="E74" s="4" t="n">
        <v>19</v>
      </c>
      <c r="F74" s="7" t="n">
        <v>30185</v>
      </c>
      <c r="G74" s="7" t="n">
        <v>134.16</v>
      </c>
      <c r="H74" s="7" t="n">
        <v>201.23</v>
      </c>
      <c r="I74" s="5" t="n">
        <v>0</v>
      </c>
      <c r="J74" s="5" t="n">
        <v>22.5</v>
      </c>
      <c r="K74" s="5" t="n">
        <v>22.5</v>
      </c>
      <c r="L74" s="7" t="n">
        <v>4527.75</v>
      </c>
      <c r="M74" s="5" t="n">
        <v>0</v>
      </c>
      <c r="N74" s="7" t="n">
        <v>0</v>
      </c>
      <c r="O74" s="7" t="n">
        <v>19117.17</v>
      </c>
      <c r="P74" s="7" t="n">
        <v>23644.92</v>
      </c>
      <c r="Q74" s="7" t="n">
        <v>4024.67</v>
      </c>
      <c r="R74" s="7" t="n">
        <v>19620.25</v>
      </c>
    </row>
    <row r="75">
      <c r="A75" s="4" t="n">
        <v>127</v>
      </c>
      <c r="B75" s="4" t="inlineStr">
        <is>
          <t>98284188514</t>
        </is>
      </c>
      <c r="C75" s="13" t="inlineStr">
        <is>
          <t>ENES ABDE</t>
        </is>
      </c>
      <c r="D75" s="13" t="inlineStr">
        <is>
          <t>BALIK TEMİZLEME</t>
        </is>
      </c>
      <c r="E75" s="4" t="n">
        <v>14</v>
      </c>
      <c r="F75" s="7" t="n">
        <v>33000</v>
      </c>
      <c r="G75" s="7" t="n">
        <v>146.67</v>
      </c>
      <c r="H75" s="7" t="n">
        <v>220</v>
      </c>
      <c r="I75" s="5" t="n">
        <v>7.5</v>
      </c>
      <c r="J75" s="5" t="n">
        <v>0</v>
      </c>
      <c r="K75" s="5" t="n">
        <v>7.5</v>
      </c>
      <c r="L75" s="7" t="n">
        <v>1650</v>
      </c>
      <c r="M75" s="5" t="n">
        <v>0</v>
      </c>
      <c r="N75" s="7" t="n">
        <v>0</v>
      </c>
      <c r="O75" s="7" t="n">
        <v>15400</v>
      </c>
      <c r="P75" s="7" t="n">
        <v>17050</v>
      </c>
      <c r="Q75" s="7" t="n">
        <v>15466.3</v>
      </c>
      <c r="R75" s="7" t="n">
        <v>1583.7</v>
      </c>
    </row>
    <row r="76">
      <c r="A76" s="4" t="n">
        <v>129</v>
      </c>
      <c r="B76" s="4" t="inlineStr">
        <is>
          <t>34795126850</t>
        </is>
      </c>
      <c r="C76" s="13" t="inlineStr">
        <is>
          <t>ERCAN POLAT</t>
        </is>
      </c>
      <c r="D76" s="13" t="inlineStr">
        <is>
          <t>BİLGİSAYAR MÜHENDİSİ</t>
        </is>
      </c>
      <c r="E76" s="4" t="n">
        <v>17</v>
      </c>
      <c r="F76" s="7" t="n">
        <v>35000</v>
      </c>
      <c r="G76" s="7" t="n">
        <v>155.56</v>
      </c>
      <c r="H76" s="7" t="n">
        <v>233.33</v>
      </c>
      <c r="I76" s="5" t="n">
        <v>19</v>
      </c>
      <c r="J76" s="5" t="n">
        <v>0</v>
      </c>
      <c r="K76" s="5" t="n">
        <v>19</v>
      </c>
      <c r="L76" s="7" t="n">
        <v>4433.33</v>
      </c>
      <c r="M76" s="5" t="n">
        <v>0</v>
      </c>
      <c r="N76" s="7" t="n">
        <v>0</v>
      </c>
      <c r="O76" s="7" t="n">
        <v>19833.33</v>
      </c>
      <c r="P76" s="7" t="n">
        <v>24266.67</v>
      </c>
      <c r="Q76" s="7" t="n">
        <v>17863.4</v>
      </c>
      <c r="R76" s="7" t="n">
        <v>6403.27</v>
      </c>
    </row>
    <row r="77">
      <c r="A77" s="4" t="n">
        <v>130</v>
      </c>
      <c r="B77" s="4" t="inlineStr">
        <is>
          <t>35581001238</t>
        </is>
      </c>
      <c r="C77" s="13" t="inlineStr">
        <is>
          <t>ERCÜMENT AYGÜL</t>
        </is>
      </c>
      <c r="D77" s="13" t="inlineStr">
        <is>
          <t>AMBAR</t>
        </is>
      </c>
      <c r="E77" s="4" t="n">
        <v>10</v>
      </c>
      <c r="F77" s="7" t="n">
        <v>36000</v>
      </c>
      <c r="G77" s="7" t="n">
        <v>160</v>
      </c>
      <c r="H77" s="7" t="n">
        <v>240</v>
      </c>
      <c r="I77" s="5" t="n">
        <v>22.5</v>
      </c>
      <c r="J77" s="5" t="n">
        <v>0</v>
      </c>
      <c r="K77" s="5" t="n">
        <v>22.5</v>
      </c>
      <c r="L77" s="7" t="n">
        <v>5400</v>
      </c>
      <c r="M77" s="5" t="n">
        <v>0</v>
      </c>
      <c r="N77" s="7" t="n">
        <v>0</v>
      </c>
      <c r="O77" s="7" t="n">
        <v>12000</v>
      </c>
      <c r="P77" s="7" t="n">
        <v>17400</v>
      </c>
      <c r="Q77" s="7" t="n">
        <v>24040</v>
      </c>
      <c r="R77" s="7" t="n">
        <v>0</v>
      </c>
    </row>
    <row r="78">
      <c r="A78" s="4" t="n">
        <v>133</v>
      </c>
      <c r="B78" s="4" t="inlineStr">
        <is>
          <t>11633067636</t>
        </is>
      </c>
      <c r="C78" s="13" t="inlineStr">
        <is>
          <t>EİREMŞAH KIZILKAYA</t>
        </is>
      </c>
      <c r="D78" s="13" t="inlineStr">
        <is>
          <t>BALIK DOLUM</t>
        </is>
      </c>
      <c r="E78" s="4" t="n">
        <v>12</v>
      </c>
      <c r="F78" s="7" t="n">
        <v>33000</v>
      </c>
      <c r="G78" s="7" t="n">
        <v>146.67</v>
      </c>
      <c r="H78" s="7" t="n">
        <v>220</v>
      </c>
      <c r="I78" s="5" t="n">
        <v>45</v>
      </c>
      <c r="J78" s="5" t="n">
        <v>0</v>
      </c>
      <c r="K78" s="5" t="n">
        <v>45</v>
      </c>
      <c r="L78" s="7" t="n">
        <v>9900</v>
      </c>
      <c r="M78" s="5" t="n">
        <v>24</v>
      </c>
      <c r="N78" s="7" t="n">
        <v>5280</v>
      </c>
      <c r="O78" s="7" t="n">
        <v>13200</v>
      </c>
      <c r="P78" s="7" t="n">
        <v>23100</v>
      </c>
      <c r="Q78" s="7" t="n">
        <v>35477.2</v>
      </c>
      <c r="R78" s="7" t="n">
        <v>0</v>
      </c>
    </row>
    <row r="79">
      <c r="A79" s="4" t="n">
        <v>135</v>
      </c>
      <c r="B79" s="4" t="inlineStr">
        <is>
          <t>23131415628</t>
        </is>
      </c>
      <c r="C79" s="13" t="inlineStr">
        <is>
          <t>ERDİN TETİK</t>
        </is>
      </c>
      <c r="D79" s="13" t="inlineStr">
        <is>
          <t>MEYDAN</t>
        </is>
      </c>
      <c r="E79" s="4" t="n">
        <v>17</v>
      </c>
      <c r="F79" s="7" t="n">
        <v>30185</v>
      </c>
      <c r="G79" s="7" t="n">
        <v>134.16</v>
      </c>
      <c r="H79" s="7" t="n">
        <v>201.23</v>
      </c>
      <c r="I79" s="5" t="n">
        <v>1</v>
      </c>
      <c r="J79" s="5" t="n">
        <v>0</v>
      </c>
      <c r="K79" s="5" t="n">
        <v>1</v>
      </c>
      <c r="L79" s="7" t="n">
        <v>201.23</v>
      </c>
      <c r="M79" s="5" t="n">
        <v>0</v>
      </c>
      <c r="N79" s="7" t="n">
        <v>0</v>
      </c>
      <c r="O79" s="7" t="n">
        <v>17104.83</v>
      </c>
      <c r="P79" s="7" t="n">
        <v>17306.07</v>
      </c>
      <c r="Q79" s="7" t="n">
        <v>4024.67</v>
      </c>
      <c r="R79" s="7" t="n">
        <v>13281.4</v>
      </c>
    </row>
    <row r="80">
      <c r="A80" s="4" t="n">
        <v>139</v>
      </c>
      <c r="B80" s="4" t="inlineStr">
        <is>
          <t>32372355358</t>
        </is>
      </c>
      <c r="C80" s="13" t="inlineStr">
        <is>
          <t>ESMER BİÇER</t>
        </is>
      </c>
      <c r="D80" s="13" t="inlineStr">
        <is>
          <t>ÜRETİM</t>
        </is>
      </c>
      <c r="E80" s="4" t="n">
        <v>5</v>
      </c>
      <c r="F80" s="7" t="n">
        <v>28075.5</v>
      </c>
      <c r="G80" s="7" t="n">
        <v>124.78</v>
      </c>
      <c r="H80" s="7" t="n">
        <v>187.17</v>
      </c>
      <c r="I80" s="5" t="n">
        <v>3</v>
      </c>
      <c r="J80" s="5" t="n">
        <v>0</v>
      </c>
      <c r="K80" s="5" t="n">
        <v>3</v>
      </c>
      <c r="L80" s="7" t="n">
        <v>561.51</v>
      </c>
      <c r="M80" s="5" t="n">
        <v>0</v>
      </c>
      <c r="N80" s="7" t="n">
        <v>0</v>
      </c>
      <c r="O80" s="7" t="n">
        <v>4679.25</v>
      </c>
      <c r="P80" s="7" t="n">
        <v>5240.76</v>
      </c>
      <c r="Q80" s="7" t="n">
        <v>39517.62</v>
      </c>
      <c r="R80" s="7" t="n">
        <v>0</v>
      </c>
    </row>
    <row r="81">
      <c r="A81" s="4" t="n">
        <v>141</v>
      </c>
      <c r="B81" s="4" t="inlineStr">
        <is>
          <t>10177848602</t>
        </is>
      </c>
      <c r="C81" s="13" t="inlineStr">
        <is>
          <t>EYÜP EKİNCİ</t>
        </is>
      </c>
      <c r="D81" s="13" t="inlineStr">
        <is>
          <t>ELEKTRİK</t>
        </is>
      </c>
      <c r="E81" s="4" t="n">
        <v>4</v>
      </c>
      <c r="F81" s="7" t="n">
        <v>28075.5</v>
      </c>
      <c r="G81" s="7" t="n">
        <v>124.78</v>
      </c>
      <c r="H81" s="7" t="n">
        <v>187.17</v>
      </c>
      <c r="I81" s="5" t="n">
        <v>0</v>
      </c>
      <c r="J81" s="5" t="n">
        <v>0</v>
      </c>
      <c r="K81" s="5" t="n">
        <v>0</v>
      </c>
      <c r="L81" s="7" t="n">
        <v>0</v>
      </c>
      <c r="M81" s="5" t="n">
        <v>0</v>
      </c>
      <c r="N81" s="7" t="n">
        <v>0</v>
      </c>
      <c r="O81" s="7" t="n">
        <v>3743.4</v>
      </c>
      <c r="P81" s="7" t="n">
        <v>3743.4</v>
      </c>
      <c r="Q81" s="7" t="n">
        <v>18899.46</v>
      </c>
      <c r="R81" s="7" t="n">
        <v>0</v>
      </c>
    </row>
    <row r="82">
      <c r="A82" s="4" t="n">
        <v>144</v>
      </c>
      <c r="B82" s="4" t="inlineStr">
        <is>
          <t>32986036254</t>
        </is>
      </c>
      <c r="C82" s="13" t="inlineStr">
        <is>
          <t>FATMA ÇAM</t>
        </is>
      </c>
      <c r="D82" s="13" t="inlineStr">
        <is>
          <t>ÜRETİM</t>
        </is>
      </c>
      <c r="E82" s="4" t="n">
        <v>17</v>
      </c>
      <c r="F82" s="7" t="n">
        <v>30185</v>
      </c>
      <c r="G82" s="7" t="n">
        <v>134.16</v>
      </c>
      <c r="H82" s="7" t="n">
        <v>201.23</v>
      </c>
      <c r="I82" s="5" t="n">
        <v>5</v>
      </c>
      <c r="J82" s="5" t="n">
        <v>7.5</v>
      </c>
      <c r="K82" s="5" t="n">
        <v>12.5</v>
      </c>
      <c r="L82" s="7" t="n">
        <v>2515.42</v>
      </c>
      <c r="M82" s="5" t="n">
        <v>0</v>
      </c>
      <c r="N82" s="7" t="n">
        <v>0</v>
      </c>
      <c r="O82" s="7" t="n">
        <v>17104.83</v>
      </c>
      <c r="P82" s="7" t="n">
        <v>19620.25</v>
      </c>
      <c r="Q82" s="7" t="n">
        <v>4024.67</v>
      </c>
      <c r="R82" s="7" t="n">
        <v>15595.58</v>
      </c>
    </row>
    <row r="83">
      <c r="A83" s="4" t="n">
        <v>145</v>
      </c>
      <c r="B83" s="4" t="inlineStr">
        <is>
          <t>35183294274</t>
        </is>
      </c>
      <c r="C83" s="13" t="inlineStr">
        <is>
          <t>FATMA DEMİRER</t>
        </is>
      </c>
      <c r="D83" s="13" t="inlineStr">
        <is>
          <t>BALIK TEMİZLEME</t>
        </is>
      </c>
      <c r="E83" s="4" t="n">
        <v>17</v>
      </c>
      <c r="F83" s="7" t="n">
        <v>33000</v>
      </c>
      <c r="G83" s="7" t="n">
        <v>146.67</v>
      </c>
      <c r="H83" s="7" t="n">
        <v>220</v>
      </c>
      <c r="I83" s="5" t="n">
        <v>9.5</v>
      </c>
      <c r="J83" s="5" t="n">
        <v>0</v>
      </c>
      <c r="K83" s="5" t="n">
        <v>9.5</v>
      </c>
      <c r="L83" s="7" t="n">
        <v>2090</v>
      </c>
      <c r="M83" s="5" t="n">
        <v>0</v>
      </c>
      <c r="N83" s="7" t="n">
        <v>0</v>
      </c>
      <c r="O83" s="7" t="n">
        <v>18700</v>
      </c>
      <c r="P83" s="7" t="n">
        <v>20790</v>
      </c>
      <c r="Q83" s="7" t="n">
        <v>29906.4</v>
      </c>
      <c r="R83" s="7" t="n">
        <v>0</v>
      </c>
    </row>
    <row r="84">
      <c r="A84" s="4" t="n">
        <v>147</v>
      </c>
      <c r="B84" s="4" t="inlineStr">
        <is>
          <t>31594082608</t>
        </is>
      </c>
      <c r="C84" s="13" t="inlineStr">
        <is>
          <t>FATMA ÖZÇAM</t>
        </is>
      </c>
      <c r="D84" s="13" t="inlineStr">
        <is>
          <t>ÜRETİM</t>
        </is>
      </c>
      <c r="E84" s="4" t="n">
        <v>18</v>
      </c>
      <c r="F84" s="7" t="n">
        <v>30185</v>
      </c>
      <c r="G84" s="7" t="n">
        <v>134.16</v>
      </c>
      <c r="H84" s="7" t="n">
        <v>201.23</v>
      </c>
      <c r="I84" s="5" t="n">
        <v>5</v>
      </c>
      <c r="J84" s="5" t="n">
        <v>7.5</v>
      </c>
      <c r="K84" s="5" t="n">
        <v>12.5</v>
      </c>
      <c r="L84" s="7" t="n">
        <v>2515.42</v>
      </c>
      <c r="M84" s="5" t="n">
        <v>0</v>
      </c>
      <c r="N84" s="7" t="n">
        <v>0</v>
      </c>
      <c r="O84" s="7" t="n">
        <v>18111</v>
      </c>
      <c r="P84" s="7" t="n">
        <v>20626.42</v>
      </c>
      <c r="Q84" s="7" t="n">
        <v>4024.67</v>
      </c>
      <c r="R84" s="7" t="n">
        <v>16601.75</v>
      </c>
    </row>
    <row r="85">
      <c r="A85" s="4" t="n">
        <v>151</v>
      </c>
      <c r="B85" s="4" t="inlineStr">
        <is>
          <t>11890896888</t>
        </is>
      </c>
      <c r="C85" s="13" t="inlineStr">
        <is>
          <t>FATMAGÜL ÇEKİ</t>
        </is>
      </c>
      <c r="D85" s="13" t="inlineStr">
        <is>
          <t>BALIK DOLUM</t>
        </is>
      </c>
      <c r="E85" s="4" t="n">
        <v>17</v>
      </c>
      <c r="F85" s="7" t="n">
        <v>33000</v>
      </c>
      <c r="G85" s="7" t="n">
        <v>146.67</v>
      </c>
      <c r="H85" s="7" t="n">
        <v>220</v>
      </c>
      <c r="I85" s="5" t="n">
        <v>65</v>
      </c>
      <c r="J85" s="5" t="n">
        <v>0</v>
      </c>
      <c r="K85" s="5" t="n">
        <v>65</v>
      </c>
      <c r="L85" s="7" t="n">
        <v>14300</v>
      </c>
      <c r="M85" s="5" t="n">
        <v>34</v>
      </c>
      <c r="N85" s="7" t="n">
        <v>7480</v>
      </c>
      <c r="O85" s="7" t="n">
        <v>18700</v>
      </c>
      <c r="P85" s="7" t="n">
        <v>33000</v>
      </c>
      <c r="Q85" s="7" t="n">
        <v>36869.9</v>
      </c>
      <c r="R85" s="7" t="n">
        <v>0</v>
      </c>
    </row>
    <row r="86">
      <c r="A86" s="4" t="n">
        <v>153</v>
      </c>
      <c r="B86" s="4" t="inlineStr">
        <is>
          <t>21898406446</t>
        </is>
      </c>
      <c r="C86" s="13" t="inlineStr">
        <is>
          <t>FERUDUN BAKAN</t>
        </is>
      </c>
      <c r="D86" s="13" t="inlineStr">
        <is>
          <t>ÜRETİM</t>
        </is>
      </c>
      <c r="E86" s="4" t="n">
        <v>17</v>
      </c>
      <c r="F86" s="7" t="n">
        <v>28075.5</v>
      </c>
      <c r="G86" s="7" t="n">
        <v>124.78</v>
      </c>
      <c r="H86" s="7" t="n">
        <v>187.17</v>
      </c>
      <c r="I86" s="5" t="n">
        <v>5</v>
      </c>
      <c r="J86" s="5" t="n">
        <v>0</v>
      </c>
      <c r="K86" s="5" t="n">
        <v>5</v>
      </c>
      <c r="L86" s="7" t="n">
        <v>935.85</v>
      </c>
      <c r="M86" s="5" t="n">
        <v>0</v>
      </c>
      <c r="N86" s="7" t="n">
        <v>0</v>
      </c>
      <c r="O86" s="7" t="n">
        <v>15909.45</v>
      </c>
      <c r="P86" s="7" t="n">
        <v>16845.3</v>
      </c>
      <c r="Q86" s="7" t="n">
        <v>23521.03</v>
      </c>
      <c r="R86" s="7" t="n">
        <v>0</v>
      </c>
    </row>
    <row r="87">
      <c r="A87" s="4" t="n">
        <v>155</v>
      </c>
      <c r="B87" s="4" t="inlineStr">
        <is>
          <t>31933222184</t>
        </is>
      </c>
      <c r="C87" s="13" t="inlineStr">
        <is>
          <t>FEVZİYE EREL</t>
        </is>
      </c>
      <c r="D87" s="13" t="inlineStr">
        <is>
          <t>BALIK TEMİZLEME</t>
        </is>
      </c>
      <c r="E87" s="4" t="n">
        <v>16</v>
      </c>
      <c r="F87" s="7" t="n">
        <v>33000</v>
      </c>
      <c r="G87" s="7" t="n">
        <v>146.67</v>
      </c>
      <c r="H87" s="7" t="n">
        <v>220</v>
      </c>
      <c r="I87" s="5" t="n">
        <v>10</v>
      </c>
      <c r="J87" s="5" t="n">
        <v>0</v>
      </c>
      <c r="K87" s="5" t="n">
        <v>10</v>
      </c>
      <c r="L87" s="7" t="n">
        <v>2200</v>
      </c>
      <c r="M87" s="5" t="n">
        <v>0</v>
      </c>
      <c r="N87" s="7" t="n">
        <v>0</v>
      </c>
      <c r="O87" s="7" t="n">
        <v>17600</v>
      </c>
      <c r="P87" s="7" t="n">
        <v>19800</v>
      </c>
      <c r="Q87" s="7" t="n">
        <v>18911.4</v>
      </c>
      <c r="R87" s="7" t="n">
        <v>888.6</v>
      </c>
    </row>
    <row r="88">
      <c r="A88" s="4" t="n">
        <v>156</v>
      </c>
      <c r="B88" s="4" t="inlineStr">
        <is>
          <t>17431713232</t>
        </is>
      </c>
      <c r="C88" s="13" t="inlineStr">
        <is>
          <t>FİSUN ETİLER</t>
        </is>
      </c>
      <c r="D88" s="13" t="inlineStr">
        <is>
          <t>Bilinmeyen</t>
        </is>
      </c>
      <c r="E88" s="4" t="n">
        <v>15</v>
      </c>
      <c r="F88" s="7" t="n">
        <v>33000</v>
      </c>
      <c r="G88" s="7" t="n">
        <v>146.67</v>
      </c>
      <c r="H88" s="7" t="n">
        <v>220</v>
      </c>
      <c r="I88" s="5" t="n">
        <v>8.5</v>
      </c>
      <c r="J88" s="5" t="n">
        <v>0</v>
      </c>
      <c r="K88" s="5" t="n">
        <v>8.5</v>
      </c>
      <c r="L88" s="7" t="n">
        <v>1870</v>
      </c>
      <c r="M88" s="5" t="n">
        <v>0</v>
      </c>
      <c r="N88" s="7" t="n">
        <v>0</v>
      </c>
      <c r="O88" s="7" t="n">
        <v>16500</v>
      </c>
      <c r="P88" s="7" t="n">
        <v>18370</v>
      </c>
      <c r="Q88" s="7" t="n">
        <v>28440.4</v>
      </c>
      <c r="R88" s="7" t="n">
        <v>0</v>
      </c>
    </row>
    <row r="89">
      <c r="A89" s="4" t="n">
        <v>160</v>
      </c>
      <c r="B89" s="4" t="inlineStr">
        <is>
          <t>33739783340</t>
        </is>
      </c>
      <c r="C89" s="13" t="inlineStr">
        <is>
          <t>GURBET DUMAN</t>
        </is>
      </c>
      <c r="D89" s="13" t="inlineStr">
        <is>
          <t>BALIK TEMİZLEME</t>
        </is>
      </c>
      <c r="E89" s="4" t="n">
        <v>15</v>
      </c>
      <c r="F89" s="7" t="n">
        <v>33000</v>
      </c>
      <c r="G89" s="7" t="n">
        <v>146.67</v>
      </c>
      <c r="H89" s="7" t="n">
        <v>220</v>
      </c>
      <c r="I89" s="5" t="n">
        <v>9.5</v>
      </c>
      <c r="J89" s="5" t="n">
        <v>0</v>
      </c>
      <c r="K89" s="5" t="n">
        <v>9.5</v>
      </c>
      <c r="L89" s="7" t="n">
        <v>2090</v>
      </c>
      <c r="M89" s="5" t="n">
        <v>0</v>
      </c>
      <c r="N89" s="7" t="n">
        <v>0</v>
      </c>
      <c r="O89" s="7" t="n">
        <v>16500</v>
      </c>
      <c r="P89" s="7" t="n">
        <v>18590</v>
      </c>
      <c r="Q89" s="7" t="n">
        <v>16264</v>
      </c>
      <c r="R89" s="7" t="n">
        <v>2326</v>
      </c>
    </row>
    <row r="90">
      <c r="A90" s="4" t="n">
        <v>162</v>
      </c>
      <c r="B90" s="4" t="inlineStr">
        <is>
          <t>33379057108</t>
        </is>
      </c>
      <c r="C90" s="13" t="inlineStr">
        <is>
          <t>GÜLAY GÜNDOĞDU</t>
        </is>
      </c>
      <c r="D90" s="13" t="inlineStr">
        <is>
          <t>BALIK TEMİZLEME</t>
        </is>
      </c>
      <c r="E90" s="4" t="n">
        <v>13</v>
      </c>
      <c r="F90" s="7" t="n">
        <v>33000</v>
      </c>
      <c r="G90" s="7" t="n">
        <v>146.67</v>
      </c>
      <c r="H90" s="7" t="n">
        <v>220</v>
      </c>
      <c r="I90" s="5" t="n">
        <v>9</v>
      </c>
      <c r="J90" s="5" t="n">
        <v>0</v>
      </c>
      <c r="K90" s="5" t="n">
        <v>9</v>
      </c>
      <c r="L90" s="7" t="n">
        <v>1980</v>
      </c>
      <c r="M90" s="5" t="n">
        <v>0</v>
      </c>
      <c r="N90" s="7" t="n">
        <v>0</v>
      </c>
      <c r="O90" s="7" t="n">
        <v>14300</v>
      </c>
      <c r="P90" s="7" t="n">
        <v>16280</v>
      </c>
      <c r="Q90" s="7" t="n">
        <v>26827.8</v>
      </c>
      <c r="R90" s="7" t="n">
        <v>0</v>
      </c>
    </row>
    <row r="91">
      <c r="A91" s="4" t="n">
        <v>163</v>
      </c>
      <c r="B91" s="4" t="inlineStr">
        <is>
          <t>24541318660</t>
        </is>
      </c>
      <c r="C91" s="13" t="inlineStr">
        <is>
          <t>GÜLCAN BİLGİÇ</t>
        </is>
      </c>
      <c r="D91" s="13" t="inlineStr">
        <is>
          <t>AMBAR</t>
        </is>
      </c>
      <c r="E91" s="4" t="n">
        <v>16</v>
      </c>
      <c r="F91" s="7" t="n">
        <v>28075.5</v>
      </c>
      <c r="G91" s="7" t="n">
        <v>124.78</v>
      </c>
      <c r="H91" s="7" t="n">
        <v>187.17</v>
      </c>
      <c r="I91" s="5" t="n">
        <v>8.5</v>
      </c>
      <c r="J91" s="5" t="n">
        <v>7.5</v>
      </c>
      <c r="K91" s="5" t="n">
        <v>16</v>
      </c>
      <c r="L91" s="7" t="n">
        <v>2994.72</v>
      </c>
      <c r="M91" s="5" t="n">
        <v>0</v>
      </c>
      <c r="N91" s="7" t="n">
        <v>0</v>
      </c>
      <c r="O91" s="7" t="n">
        <v>14973.6</v>
      </c>
      <c r="P91" s="7" t="n">
        <v>17968.32</v>
      </c>
      <c r="Q91" s="7" t="n">
        <v>24705.94</v>
      </c>
      <c r="R91" s="7" t="n">
        <v>0</v>
      </c>
    </row>
    <row r="92">
      <c r="A92" s="4" t="n">
        <v>164</v>
      </c>
      <c r="B92" s="4" t="inlineStr">
        <is>
          <t>33211034366</t>
        </is>
      </c>
      <c r="C92" s="13" t="inlineStr">
        <is>
          <t>GÜLER ÇAPKIN</t>
        </is>
      </c>
      <c r="D92" s="13" t="inlineStr">
        <is>
          <t>BALIK TEMİZLEME</t>
        </is>
      </c>
      <c r="E92" s="4" t="n">
        <v>9</v>
      </c>
      <c r="F92" s="7" t="n">
        <v>33000</v>
      </c>
      <c r="G92" s="7" t="n">
        <v>146.67</v>
      </c>
      <c r="H92" s="7" t="n">
        <v>220</v>
      </c>
      <c r="I92" s="5" t="n">
        <v>5.5</v>
      </c>
      <c r="J92" s="5" t="n">
        <v>0</v>
      </c>
      <c r="K92" s="5" t="n">
        <v>5.5</v>
      </c>
      <c r="L92" s="7" t="n">
        <v>1210</v>
      </c>
      <c r="M92" s="5" t="n">
        <v>0</v>
      </c>
      <c r="N92" s="7" t="n">
        <v>0</v>
      </c>
      <c r="O92" s="7" t="n">
        <v>9900</v>
      </c>
      <c r="P92" s="7" t="n">
        <v>11110</v>
      </c>
      <c r="Q92" s="7" t="n">
        <v>20230.8</v>
      </c>
      <c r="R92" s="7" t="n">
        <v>0</v>
      </c>
    </row>
    <row r="93">
      <c r="A93" s="4" t="n">
        <v>165</v>
      </c>
      <c r="B93" s="4" t="inlineStr">
        <is>
          <t>15041774032</t>
        </is>
      </c>
      <c r="C93" s="13" t="inlineStr">
        <is>
          <t>GÜLPERİ KALENDER</t>
        </is>
      </c>
      <c r="D93" s="13" t="inlineStr">
        <is>
          <t>BALIK TEMİZLEME</t>
        </is>
      </c>
      <c r="E93" s="4" t="n">
        <v>12</v>
      </c>
      <c r="F93" s="7" t="n">
        <v>33000</v>
      </c>
      <c r="G93" s="7" t="n">
        <v>146.67</v>
      </c>
      <c r="H93" s="7" t="n">
        <v>220</v>
      </c>
      <c r="I93" s="5" t="n">
        <v>8</v>
      </c>
      <c r="J93" s="5" t="n">
        <v>0</v>
      </c>
      <c r="K93" s="5" t="n">
        <v>8</v>
      </c>
      <c r="L93" s="7" t="n">
        <v>1760</v>
      </c>
      <c r="M93" s="5" t="n">
        <v>0</v>
      </c>
      <c r="N93" s="7" t="n">
        <v>0</v>
      </c>
      <c r="O93" s="7" t="n">
        <v>13200</v>
      </c>
      <c r="P93" s="7" t="n">
        <v>14960</v>
      </c>
      <c r="Q93" s="7" t="n">
        <v>20010.9</v>
      </c>
      <c r="R93" s="7" t="n">
        <v>0</v>
      </c>
    </row>
    <row r="94">
      <c r="A94" s="4" t="n">
        <v>167</v>
      </c>
      <c r="B94" s="4" t="inlineStr">
        <is>
          <t>53689106020</t>
        </is>
      </c>
      <c r="C94" s="13" t="inlineStr">
        <is>
          <t>GÜLSÜM GÖRGÜLÜ</t>
        </is>
      </c>
      <c r="D94" s="13" t="inlineStr">
        <is>
          <t>AMBAR</t>
        </is>
      </c>
      <c r="E94" s="4" t="n">
        <v>18</v>
      </c>
      <c r="F94" s="7" t="n">
        <v>28075.5</v>
      </c>
      <c r="G94" s="7" t="n">
        <v>124.78</v>
      </c>
      <c r="H94" s="7" t="n">
        <v>187.17</v>
      </c>
      <c r="I94" s="5" t="n">
        <v>11</v>
      </c>
      <c r="J94" s="5" t="n">
        <v>7.5</v>
      </c>
      <c r="K94" s="5" t="n">
        <v>18.5</v>
      </c>
      <c r="L94" s="7" t="n">
        <v>3462.65</v>
      </c>
      <c r="M94" s="5" t="n">
        <v>0</v>
      </c>
      <c r="N94" s="7" t="n">
        <v>0</v>
      </c>
      <c r="O94" s="7" t="n">
        <v>16845.3</v>
      </c>
      <c r="P94" s="7" t="n">
        <v>20307.94</v>
      </c>
      <c r="Q94" s="7" t="n">
        <v>25017.89</v>
      </c>
      <c r="R94" s="7" t="n">
        <v>0</v>
      </c>
    </row>
    <row r="95">
      <c r="A95" s="4" t="n">
        <v>168</v>
      </c>
      <c r="B95" s="4" t="inlineStr">
        <is>
          <t>11257940650</t>
        </is>
      </c>
      <c r="C95" s="13" t="inlineStr">
        <is>
          <t>GÜLŞEN YAĞMUR YÜKSEL</t>
        </is>
      </c>
      <c r="D95" s="13" t="inlineStr">
        <is>
          <t>ÜRETİM</t>
        </is>
      </c>
      <c r="E95" s="4" t="n">
        <v>8</v>
      </c>
      <c r="F95" s="7" t="n">
        <v>28075.5</v>
      </c>
      <c r="G95" s="7" t="n">
        <v>124.78</v>
      </c>
      <c r="H95" s="7" t="n">
        <v>187.17</v>
      </c>
      <c r="I95" s="5" t="n">
        <v>12</v>
      </c>
      <c r="J95" s="5" t="n">
        <v>0</v>
      </c>
      <c r="K95" s="5" t="n">
        <v>12</v>
      </c>
      <c r="L95" s="7" t="n">
        <v>2246.04</v>
      </c>
      <c r="M95" s="5" t="n">
        <v>0</v>
      </c>
      <c r="N95" s="7" t="n">
        <v>0</v>
      </c>
      <c r="O95" s="7" t="n">
        <v>7486.8</v>
      </c>
      <c r="P95" s="7" t="n">
        <v>9732.84</v>
      </c>
      <c r="Q95" s="7" t="n">
        <v>35580.2</v>
      </c>
      <c r="R95" s="7" t="n">
        <v>0</v>
      </c>
    </row>
    <row r="96">
      <c r="A96" s="4" t="n">
        <v>170</v>
      </c>
      <c r="B96" s="4" t="inlineStr">
        <is>
          <t>45184908278</t>
        </is>
      </c>
      <c r="C96" s="13" t="inlineStr">
        <is>
          <t>GÜLTEN DURMAZ</t>
        </is>
      </c>
      <c r="D96" s="13" t="inlineStr">
        <is>
          <t>BALIK DOLUM</t>
        </is>
      </c>
      <c r="E96" s="4" t="n">
        <v>17</v>
      </c>
      <c r="F96" s="7" t="n">
        <v>33000</v>
      </c>
      <c r="G96" s="7" t="n">
        <v>146.67</v>
      </c>
      <c r="H96" s="7" t="n">
        <v>220</v>
      </c>
      <c r="I96" s="5" t="n">
        <v>65</v>
      </c>
      <c r="J96" s="5" t="n">
        <v>0</v>
      </c>
      <c r="K96" s="5" t="n">
        <v>65</v>
      </c>
      <c r="L96" s="7" t="n">
        <v>14300</v>
      </c>
      <c r="M96" s="5" t="n">
        <v>34</v>
      </c>
      <c r="N96" s="7" t="n">
        <v>7480</v>
      </c>
      <c r="O96" s="7" t="n">
        <v>18700</v>
      </c>
      <c r="P96" s="7" t="n">
        <v>33000</v>
      </c>
      <c r="Q96" s="7" t="n">
        <v>38409.2</v>
      </c>
      <c r="R96" s="7" t="n">
        <v>0</v>
      </c>
    </row>
    <row r="97">
      <c r="A97" s="4" t="n">
        <v>171</v>
      </c>
      <c r="B97" s="4" t="inlineStr">
        <is>
          <t>10996768938</t>
        </is>
      </c>
      <c r="C97" s="13" t="inlineStr">
        <is>
          <t>GÜLTEN GİDER</t>
        </is>
      </c>
      <c r="D97" s="13" t="inlineStr">
        <is>
          <t>AMBAR</t>
        </is>
      </c>
      <c r="E97" s="4" t="n">
        <v>18</v>
      </c>
      <c r="F97" s="7" t="n">
        <v>28075.5</v>
      </c>
      <c r="G97" s="7" t="n">
        <v>124.78</v>
      </c>
      <c r="H97" s="7" t="n">
        <v>187.17</v>
      </c>
      <c r="I97" s="5" t="n">
        <v>11.5</v>
      </c>
      <c r="J97" s="5" t="n">
        <v>7.5</v>
      </c>
      <c r="K97" s="5" t="n">
        <v>19</v>
      </c>
      <c r="L97" s="7" t="n">
        <v>3556.23</v>
      </c>
      <c r="M97" s="5" t="n">
        <v>0</v>
      </c>
      <c r="N97" s="7" t="n">
        <v>0</v>
      </c>
      <c r="O97" s="7" t="n">
        <v>16845.3</v>
      </c>
      <c r="P97" s="7" t="n">
        <v>20401.53</v>
      </c>
      <c r="Q97" s="7" t="n">
        <v>25017.89</v>
      </c>
      <c r="R97" s="7" t="n">
        <v>0</v>
      </c>
    </row>
    <row r="98">
      <c r="A98" s="4" t="n">
        <v>172</v>
      </c>
      <c r="B98" s="4" t="inlineStr">
        <is>
          <t>21010592606</t>
        </is>
      </c>
      <c r="C98" s="13" t="inlineStr">
        <is>
          <t>GÜLÜMSER KARABIYIK</t>
        </is>
      </c>
      <c r="D98" s="13" t="inlineStr">
        <is>
          <t>BALIK TEMİZLEME</t>
        </is>
      </c>
      <c r="E98" s="4" t="n">
        <v>12</v>
      </c>
      <c r="F98" s="7" t="n">
        <v>33000</v>
      </c>
      <c r="G98" s="7" t="n">
        <v>146.67</v>
      </c>
      <c r="H98" s="7" t="n">
        <v>220</v>
      </c>
      <c r="I98" s="5" t="n">
        <v>6</v>
      </c>
      <c r="J98" s="5" t="n">
        <v>0</v>
      </c>
      <c r="K98" s="5" t="n">
        <v>6</v>
      </c>
      <c r="L98" s="7" t="n">
        <v>1320</v>
      </c>
      <c r="M98" s="5" t="n">
        <v>0</v>
      </c>
      <c r="N98" s="7" t="n">
        <v>0</v>
      </c>
      <c r="O98" s="7" t="n">
        <v>13200</v>
      </c>
      <c r="P98" s="7" t="n">
        <v>14520</v>
      </c>
      <c r="Q98" s="7" t="n">
        <v>16491.86</v>
      </c>
      <c r="R98" s="7" t="n">
        <v>0</v>
      </c>
    </row>
    <row r="99">
      <c r="A99" s="4" t="n">
        <v>173</v>
      </c>
      <c r="B99" s="4" t="inlineStr">
        <is>
          <t>11593899780</t>
        </is>
      </c>
      <c r="C99" s="13" t="inlineStr">
        <is>
          <t>GÜRAY PALA</t>
        </is>
      </c>
      <c r="D99" s="13" t="inlineStr">
        <is>
          <t>BALIK KESİM</t>
        </is>
      </c>
      <c r="E99" s="4" t="n">
        <v>14</v>
      </c>
      <c r="F99" s="7" t="n">
        <v>28075.5</v>
      </c>
      <c r="G99" s="7" t="n">
        <v>124.78</v>
      </c>
      <c r="H99" s="7" t="n">
        <v>187.17</v>
      </c>
      <c r="I99" s="5" t="n">
        <v>69.5</v>
      </c>
      <c r="J99" s="5" t="n">
        <v>32</v>
      </c>
      <c r="K99" s="5" t="n">
        <v>101.5</v>
      </c>
      <c r="L99" s="7" t="n">
        <v>18997.76</v>
      </c>
      <c r="M99" s="5" t="n">
        <v>28</v>
      </c>
      <c r="N99" s="7" t="n">
        <v>5240.76</v>
      </c>
      <c r="O99" s="7" t="n">
        <v>13101.9</v>
      </c>
      <c r="P99" s="7" t="n">
        <v>32099.65</v>
      </c>
      <c r="Q99" s="7" t="n">
        <v>35241.7</v>
      </c>
      <c r="R99" s="7" t="n">
        <v>0</v>
      </c>
    </row>
    <row r="100">
      <c r="A100" s="4" t="n">
        <v>175</v>
      </c>
      <c r="B100" s="4" t="inlineStr">
        <is>
          <t>22639531168</t>
        </is>
      </c>
      <c r="C100" s="13" t="inlineStr">
        <is>
          <t>HAFİZE AVCIOĞLU</t>
        </is>
      </c>
      <c r="D100" s="13" t="inlineStr">
        <is>
          <t>BALIK TEMİZLEME</t>
        </is>
      </c>
      <c r="E100" s="4" t="n">
        <v>17</v>
      </c>
      <c r="F100" s="7" t="n">
        <v>33000</v>
      </c>
      <c r="G100" s="7" t="n">
        <v>146.67</v>
      </c>
      <c r="H100" s="7" t="n">
        <v>220</v>
      </c>
      <c r="I100" s="5" t="n">
        <v>10</v>
      </c>
      <c r="J100" s="5" t="n">
        <v>0</v>
      </c>
      <c r="K100" s="5" t="n">
        <v>10</v>
      </c>
      <c r="L100" s="7" t="n">
        <v>2200</v>
      </c>
      <c r="M100" s="5" t="n">
        <v>0</v>
      </c>
      <c r="N100" s="7" t="n">
        <v>0</v>
      </c>
      <c r="O100" s="7" t="n">
        <v>18700</v>
      </c>
      <c r="P100" s="7" t="n">
        <v>20900</v>
      </c>
      <c r="Q100" s="7" t="n">
        <v>24608.4</v>
      </c>
      <c r="R100" s="7" t="n">
        <v>0</v>
      </c>
    </row>
    <row r="101">
      <c r="A101" s="4" t="n">
        <v>176</v>
      </c>
      <c r="B101" s="4" t="inlineStr">
        <is>
          <t>23638497776</t>
        </is>
      </c>
      <c r="C101" s="13" t="inlineStr">
        <is>
          <t>HACER BEYHAN</t>
        </is>
      </c>
      <c r="D101" s="13" t="inlineStr">
        <is>
          <t>BALIK TEMİZLEME</t>
        </is>
      </c>
      <c r="E101" s="4" t="n">
        <v>10</v>
      </c>
      <c r="F101" s="7" t="n">
        <v>33000</v>
      </c>
      <c r="G101" s="7" t="n">
        <v>146.67</v>
      </c>
      <c r="H101" s="7" t="n">
        <v>220</v>
      </c>
      <c r="I101" s="5" t="n">
        <v>6.5</v>
      </c>
      <c r="J101" s="5" t="n">
        <v>0</v>
      </c>
      <c r="K101" s="5" t="n">
        <v>6.5</v>
      </c>
      <c r="L101" s="7" t="n">
        <v>1430</v>
      </c>
      <c r="M101" s="5" t="n">
        <v>0</v>
      </c>
      <c r="N101" s="7" t="n">
        <v>0</v>
      </c>
      <c r="O101" s="7" t="n">
        <v>11000</v>
      </c>
      <c r="P101" s="7" t="n">
        <v>12430</v>
      </c>
      <c r="Q101" s="7" t="n">
        <v>11141.6</v>
      </c>
      <c r="R101" s="7" t="n">
        <v>1288.4</v>
      </c>
    </row>
    <row r="102">
      <c r="A102" s="4" t="n">
        <v>178</v>
      </c>
      <c r="B102" s="4" t="inlineStr"/>
      <c r="C102" s="13" t="inlineStr">
        <is>
          <t>HAMİDE DURAK</t>
        </is>
      </c>
      <c r="D102" s="13" t="inlineStr">
        <is>
          <t>Bilinmeyen</t>
        </is>
      </c>
      <c r="E102" s="4" t="n">
        <v>3</v>
      </c>
      <c r="F102" s="7" t="n">
        <v>28075.5</v>
      </c>
      <c r="G102" s="7" t="n">
        <v>124.78</v>
      </c>
      <c r="H102" s="7" t="n">
        <v>187.17</v>
      </c>
      <c r="I102" s="5" t="n">
        <v>3</v>
      </c>
      <c r="J102" s="5" t="n">
        <v>0</v>
      </c>
      <c r="K102" s="5" t="n">
        <v>3</v>
      </c>
      <c r="L102" s="7" t="n">
        <v>561.51</v>
      </c>
      <c r="M102" s="5" t="n">
        <v>0</v>
      </c>
      <c r="N102" s="7" t="n">
        <v>0</v>
      </c>
      <c r="O102" s="7" t="n">
        <v>2807.55</v>
      </c>
      <c r="P102" s="7" t="n">
        <v>3369.06</v>
      </c>
      <c r="Q102" s="7" t="n">
        <v>0</v>
      </c>
      <c r="R102" s="7" t="n">
        <v>3369.06</v>
      </c>
    </row>
    <row r="103">
      <c r="A103" s="4" t="n">
        <v>179</v>
      </c>
      <c r="B103" s="4" t="inlineStr">
        <is>
          <t>13708835836</t>
        </is>
      </c>
      <c r="C103" s="13" t="inlineStr">
        <is>
          <t>HAMİT GİRGİN</t>
        </is>
      </c>
      <c r="D103" s="13" t="inlineStr">
        <is>
          <t>BALIK TEMİZLEME</t>
        </is>
      </c>
      <c r="E103" s="4" t="n">
        <v>12</v>
      </c>
      <c r="F103" s="7" t="n">
        <v>33000</v>
      </c>
      <c r="G103" s="7" t="n">
        <v>146.67</v>
      </c>
      <c r="H103" s="7" t="n">
        <v>220</v>
      </c>
      <c r="I103" s="5" t="n">
        <v>12.5</v>
      </c>
      <c r="J103" s="5" t="n">
        <v>0</v>
      </c>
      <c r="K103" s="5" t="n">
        <v>12.5</v>
      </c>
      <c r="L103" s="7" t="n">
        <v>2750</v>
      </c>
      <c r="M103" s="5" t="n">
        <v>0</v>
      </c>
      <c r="N103" s="7" t="n">
        <v>0</v>
      </c>
      <c r="O103" s="7" t="n">
        <v>13200</v>
      </c>
      <c r="P103" s="7" t="n">
        <v>15950</v>
      </c>
      <c r="Q103" s="7" t="n">
        <v>8053.5</v>
      </c>
      <c r="R103" s="7" t="n">
        <v>7896.5</v>
      </c>
    </row>
    <row r="104">
      <c r="A104" s="4" t="n">
        <v>180</v>
      </c>
      <c r="B104" s="4" t="inlineStr">
        <is>
          <t>52240399666</t>
        </is>
      </c>
      <c r="C104" s="13" t="inlineStr">
        <is>
          <t>HANDAN TOPTİK</t>
        </is>
      </c>
      <c r="D104" s="13" t="inlineStr">
        <is>
          <t>ÜRETİM</t>
        </is>
      </c>
      <c r="E104" s="4" t="n">
        <v>5</v>
      </c>
      <c r="F104" s="7" t="n">
        <v>28075.5</v>
      </c>
      <c r="G104" s="7" t="n">
        <v>124.78</v>
      </c>
      <c r="H104" s="7" t="n">
        <v>187.17</v>
      </c>
      <c r="I104" s="5" t="n">
        <v>15</v>
      </c>
      <c r="J104" s="5" t="n">
        <v>0</v>
      </c>
      <c r="K104" s="5" t="n">
        <v>15</v>
      </c>
      <c r="L104" s="7" t="n">
        <v>2807.55</v>
      </c>
      <c r="M104" s="5" t="n">
        <v>0</v>
      </c>
      <c r="N104" s="7" t="n">
        <v>0</v>
      </c>
      <c r="O104" s="7" t="n">
        <v>4679.25</v>
      </c>
      <c r="P104" s="7" t="n">
        <v>7486.8</v>
      </c>
      <c r="Q104" s="7" t="n">
        <v>34501.67</v>
      </c>
      <c r="R104" s="7" t="n">
        <v>0</v>
      </c>
    </row>
    <row r="105">
      <c r="A105" s="4" t="n">
        <v>184</v>
      </c>
      <c r="B105" s="4" t="inlineStr">
        <is>
          <t>20290485820</t>
        </is>
      </c>
      <c r="C105" s="13" t="inlineStr">
        <is>
          <t>HANİFE YILDIRIM</t>
        </is>
      </c>
      <c r="D105" s="13" t="inlineStr">
        <is>
          <t>BALIK TEMİZLEME</t>
        </is>
      </c>
      <c r="E105" s="4" t="n">
        <v>14</v>
      </c>
      <c r="F105" s="7" t="n">
        <v>33000</v>
      </c>
      <c r="G105" s="7" t="n">
        <v>146.67</v>
      </c>
      <c r="H105" s="7" t="n">
        <v>220</v>
      </c>
      <c r="I105" s="5" t="n">
        <v>8</v>
      </c>
      <c r="J105" s="5" t="n">
        <v>0</v>
      </c>
      <c r="K105" s="5" t="n">
        <v>8</v>
      </c>
      <c r="L105" s="7" t="n">
        <v>1760</v>
      </c>
      <c r="M105" s="5" t="n">
        <v>0</v>
      </c>
      <c r="N105" s="7" t="n">
        <v>0</v>
      </c>
      <c r="O105" s="7" t="n">
        <v>15400</v>
      </c>
      <c r="P105" s="7" t="n">
        <v>17160</v>
      </c>
      <c r="Q105" s="7" t="n">
        <v>21403.6</v>
      </c>
      <c r="R105" s="7" t="n">
        <v>0</v>
      </c>
    </row>
    <row r="106">
      <c r="A106" s="4" t="n">
        <v>186</v>
      </c>
      <c r="B106" s="4" t="inlineStr">
        <is>
          <t>14779989510</t>
        </is>
      </c>
      <c r="C106" s="13" t="inlineStr">
        <is>
          <t>HARUN YAHYA DURSUN</t>
        </is>
      </c>
      <c r="D106" s="13" t="inlineStr">
        <is>
          <t>BALIK DOLUM</t>
        </is>
      </c>
      <c r="E106" s="4" t="n">
        <v>17</v>
      </c>
      <c r="F106" s="7" t="n">
        <v>33000</v>
      </c>
      <c r="G106" s="7" t="n">
        <v>146.67</v>
      </c>
      <c r="H106" s="7" t="n">
        <v>220</v>
      </c>
      <c r="I106" s="5" t="n">
        <v>81.5</v>
      </c>
      <c r="J106" s="5" t="n">
        <v>2.5</v>
      </c>
      <c r="K106" s="5" t="n">
        <v>84</v>
      </c>
      <c r="L106" s="7" t="n">
        <v>18480</v>
      </c>
      <c r="M106" s="5" t="n">
        <v>34</v>
      </c>
      <c r="N106" s="7" t="n">
        <v>7480</v>
      </c>
      <c r="O106" s="7" t="n">
        <v>18700</v>
      </c>
      <c r="P106" s="7" t="n">
        <v>37180</v>
      </c>
      <c r="Q106" s="7" t="n">
        <v>48232.5</v>
      </c>
      <c r="R106" s="7" t="n">
        <v>0</v>
      </c>
    </row>
    <row r="107">
      <c r="A107" s="4" t="n">
        <v>189</v>
      </c>
      <c r="B107" s="4" t="inlineStr">
        <is>
          <t>32194063110</t>
        </is>
      </c>
      <c r="C107" s="13" t="inlineStr">
        <is>
          <t>HATİCE ERBAŞ</t>
        </is>
      </c>
      <c r="D107" s="13" t="inlineStr">
        <is>
          <t>AMBAR</t>
        </is>
      </c>
      <c r="E107" s="4" t="n">
        <v>6</v>
      </c>
      <c r="F107" s="7" t="n">
        <v>30185</v>
      </c>
      <c r="G107" s="7" t="n">
        <v>134.16</v>
      </c>
      <c r="H107" s="7" t="n">
        <v>201.23</v>
      </c>
      <c r="I107" s="5" t="n">
        <v>9</v>
      </c>
      <c r="J107" s="5" t="n">
        <v>0</v>
      </c>
      <c r="K107" s="5" t="n">
        <v>9</v>
      </c>
      <c r="L107" s="7" t="n">
        <v>1811.1</v>
      </c>
      <c r="M107" s="5" t="n">
        <v>0</v>
      </c>
      <c r="N107" s="7" t="n">
        <v>0</v>
      </c>
      <c r="O107" s="7" t="n">
        <v>6037</v>
      </c>
      <c r="P107" s="7" t="n">
        <v>7848.1</v>
      </c>
      <c r="Q107" s="7" t="n">
        <v>4024.67</v>
      </c>
      <c r="R107" s="7" t="n">
        <v>3823.43</v>
      </c>
    </row>
    <row r="108">
      <c r="A108" s="4" t="n">
        <v>190</v>
      </c>
      <c r="B108" s="4" t="inlineStr">
        <is>
          <t>45823635220</t>
        </is>
      </c>
      <c r="C108" s="13" t="inlineStr">
        <is>
          <t>HATİCE GÖLBAŞ</t>
        </is>
      </c>
      <c r="D108" s="13" t="inlineStr">
        <is>
          <t>ÜRETİM</t>
        </is>
      </c>
      <c r="E108" s="4" t="n">
        <v>12</v>
      </c>
      <c r="F108" s="7" t="n">
        <v>28075.5</v>
      </c>
      <c r="G108" s="7" t="n">
        <v>124.78</v>
      </c>
      <c r="H108" s="7" t="n">
        <v>187.17</v>
      </c>
      <c r="I108" s="5" t="n">
        <v>27</v>
      </c>
      <c r="J108" s="5" t="n">
        <v>10.5</v>
      </c>
      <c r="K108" s="5" t="n">
        <v>37.5</v>
      </c>
      <c r="L108" s="7" t="n">
        <v>7018.88</v>
      </c>
      <c r="M108" s="5" t="n">
        <v>0</v>
      </c>
      <c r="N108" s="7" t="n">
        <v>0</v>
      </c>
      <c r="O108" s="7" t="n">
        <v>11230.2</v>
      </c>
      <c r="P108" s="7" t="n">
        <v>18249.08</v>
      </c>
      <c r="Q108" s="7" t="n">
        <v>29655.27</v>
      </c>
      <c r="R108" s="7" t="n">
        <v>0</v>
      </c>
    </row>
    <row r="109">
      <c r="A109" s="4" t="n">
        <v>191</v>
      </c>
      <c r="B109" s="4" t="inlineStr">
        <is>
          <t>31324091924</t>
        </is>
      </c>
      <c r="C109" s="13" t="inlineStr">
        <is>
          <t>HATİCE KURT</t>
        </is>
      </c>
      <c r="D109" s="13" t="inlineStr">
        <is>
          <t>ÜRETİM</t>
        </is>
      </c>
      <c r="E109" s="4" t="n">
        <v>16</v>
      </c>
      <c r="F109" s="7" t="n">
        <v>28075.5</v>
      </c>
      <c r="G109" s="7" t="n">
        <v>124.78</v>
      </c>
      <c r="H109" s="7" t="n">
        <v>187.17</v>
      </c>
      <c r="I109" s="5" t="n">
        <v>5</v>
      </c>
      <c r="J109" s="5" t="n">
        <v>7.5</v>
      </c>
      <c r="K109" s="5" t="n">
        <v>12.5</v>
      </c>
      <c r="L109" s="7" t="n">
        <v>2339.62</v>
      </c>
      <c r="M109" s="5" t="n">
        <v>0</v>
      </c>
      <c r="N109" s="7" t="n">
        <v>0</v>
      </c>
      <c r="O109" s="7" t="n">
        <v>14973.6</v>
      </c>
      <c r="P109" s="7" t="n">
        <v>17313.22</v>
      </c>
      <c r="Q109" s="7" t="n">
        <v>24456.39</v>
      </c>
      <c r="R109" s="7" t="n">
        <v>0</v>
      </c>
    </row>
    <row r="110">
      <c r="A110" s="4" t="n">
        <v>192</v>
      </c>
      <c r="B110" s="4" t="inlineStr">
        <is>
          <t>10817807990</t>
        </is>
      </c>
      <c r="C110" s="13" t="inlineStr">
        <is>
          <t>HATİCE ONUK</t>
        </is>
      </c>
      <c r="D110" s="13" t="inlineStr">
        <is>
          <t>ÜRETİM</t>
        </is>
      </c>
      <c r="E110" s="4" t="n">
        <v>17</v>
      </c>
      <c r="F110" s="7" t="n">
        <v>28075.5</v>
      </c>
      <c r="G110" s="7" t="n">
        <v>124.78</v>
      </c>
      <c r="H110" s="7" t="n">
        <v>187.17</v>
      </c>
      <c r="I110" s="5" t="n">
        <v>6</v>
      </c>
      <c r="J110" s="5" t="n">
        <v>7.5</v>
      </c>
      <c r="K110" s="5" t="n">
        <v>13.5</v>
      </c>
      <c r="L110" s="7" t="n">
        <v>2526.8</v>
      </c>
      <c r="M110" s="5" t="n">
        <v>0</v>
      </c>
      <c r="N110" s="7" t="n">
        <v>0</v>
      </c>
      <c r="O110" s="7" t="n">
        <v>15909.45</v>
      </c>
      <c r="P110" s="7" t="n">
        <v>18436.25</v>
      </c>
      <c r="Q110" s="7" t="n">
        <v>36029.69</v>
      </c>
      <c r="R110" s="7" t="n">
        <v>0</v>
      </c>
    </row>
    <row r="111">
      <c r="A111" s="4" t="n">
        <v>193</v>
      </c>
      <c r="B111" s="4" t="inlineStr">
        <is>
          <t>33850041688</t>
        </is>
      </c>
      <c r="C111" s="13" t="inlineStr">
        <is>
          <t>HATİCE SAVAŞÇI</t>
        </is>
      </c>
      <c r="D111" s="13" t="inlineStr">
        <is>
          <t>BALIK TEMİZLEME</t>
        </is>
      </c>
      <c r="E111" s="4" t="n">
        <v>16</v>
      </c>
      <c r="F111" s="7" t="n">
        <v>33000</v>
      </c>
      <c r="G111" s="7" t="n">
        <v>146.67</v>
      </c>
      <c r="H111" s="7" t="n">
        <v>220</v>
      </c>
      <c r="I111" s="5" t="n">
        <v>8.5</v>
      </c>
      <c r="J111" s="5" t="n">
        <v>0</v>
      </c>
      <c r="K111" s="5" t="n">
        <v>8.5</v>
      </c>
      <c r="L111" s="7" t="n">
        <v>1870</v>
      </c>
      <c r="M111" s="5" t="n">
        <v>0</v>
      </c>
      <c r="N111" s="7" t="n">
        <v>0</v>
      </c>
      <c r="O111" s="7" t="n">
        <v>17600</v>
      </c>
      <c r="P111" s="7" t="n">
        <v>19470</v>
      </c>
      <c r="Q111" s="7" t="n">
        <v>29100.1</v>
      </c>
      <c r="R111" s="7" t="n">
        <v>0</v>
      </c>
    </row>
    <row r="112">
      <c r="A112" s="4" t="n">
        <v>194</v>
      </c>
      <c r="B112" s="4" t="inlineStr">
        <is>
          <t>26002427744</t>
        </is>
      </c>
      <c r="C112" s="13" t="inlineStr">
        <is>
          <t>HAVVA ALPER</t>
        </is>
      </c>
      <c r="D112" s="13" t="inlineStr">
        <is>
          <t>BALIK DOLUM</t>
        </is>
      </c>
      <c r="E112" s="4" t="n">
        <v>17</v>
      </c>
      <c r="F112" s="7" t="n">
        <v>33000</v>
      </c>
      <c r="G112" s="7" t="n">
        <v>146.67</v>
      </c>
      <c r="H112" s="7" t="n">
        <v>220</v>
      </c>
      <c r="I112" s="5" t="n">
        <v>65</v>
      </c>
      <c r="J112" s="5" t="n">
        <v>0</v>
      </c>
      <c r="K112" s="5" t="n">
        <v>65</v>
      </c>
      <c r="L112" s="7" t="n">
        <v>14300</v>
      </c>
      <c r="M112" s="5" t="n">
        <v>34</v>
      </c>
      <c r="N112" s="7" t="n">
        <v>7480</v>
      </c>
      <c r="O112" s="7" t="n">
        <v>18700</v>
      </c>
      <c r="P112" s="7" t="n">
        <v>33000</v>
      </c>
      <c r="Q112" s="7" t="n">
        <v>39508.7</v>
      </c>
      <c r="R112" s="7" t="n">
        <v>0</v>
      </c>
    </row>
    <row r="113">
      <c r="A113" s="4" t="n">
        <v>195</v>
      </c>
      <c r="B113" s="4" t="inlineStr">
        <is>
          <t>26653281238</t>
        </is>
      </c>
      <c r="C113" s="13" t="inlineStr">
        <is>
          <t>HAVVA BAYRAM</t>
        </is>
      </c>
      <c r="D113" s="13" t="inlineStr">
        <is>
          <t>BALIK TEMİZLEME</t>
        </is>
      </c>
      <c r="E113" s="4" t="n">
        <v>14</v>
      </c>
      <c r="F113" s="7" t="n">
        <v>33000</v>
      </c>
      <c r="G113" s="7" t="n">
        <v>146.67</v>
      </c>
      <c r="H113" s="7" t="n">
        <v>220</v>
      </c>
      <c r="I113" s="5" t="n">
        <v>6</v>
      </c>
      <c r="J113" s="5" t="n">
        <v>0</v>
      </c>
      <c r="K113" s="5" t="n">
        <v>6</v>
      </c>
      <c r="L113" s="7" t="n">
        <v>1320</v>
      </c>
      <c r="M113" s="5" t="n">
        <v>0</v>
      </c>
      <c r="N113" s="7" t="n">
        <v>0</v>
      </c>
      <c r="O113" s="7" t="n">
        <v>15400</v>
      </c>
      <c r="P113" s="7" t="n">
        <v>16720</v>
      </c>
      <c r="Q113" s="7" t="n">
        <v>23529.3</v>
      </c>
      <c r="R113" s="7" t="n">
        <v>0</v>
      </c>
    </row>
    <row r="114">
      <c r="A114" s="4" t="n">
        <v>197</v>
      </c>
      <c r="B114" s="4" t="inlineStr">
        <is>
          <t>10156949566</t>
        </is>
      </c>
      <c r="C114" s="13" t="inlineStr">
        <is>
          <t>HAYRİYE BEYİRKEN</t>
        </is>
      </c>
      <c r="D114" s="13" t="inlineStr">
        <is>
          <t>ÜRETİM</t>
        </is>
      </c>
      <c r="E114" s="4" t="n">
        <v>12</v>
      </c>
      <c r="F114" s="7" t="n">
        <v>28075.5</v>
      </c>
      <c r="G114" s="7" t="n">
        <v>124.78</v>
      </c>
      <c r="H114" s="7" t="n">
        <v>187.17</v>
      </c>
      <c r="I114" s="5" t="n">
        <v>24</v>
      </c>
      <c r="J114" s="5" t="n">
        <v>7.5</v>
      </c>
      <c r="K114" s="5" t="n">
        <v>31.5</v>
      </c>
      <c r="L114" s="7" t="n">
        <v>5895.86</v>
      </c>
      <c r="M114" s="5" t="n">
        <v>0</v>
      </c>
      <c r="N114" s="7" t="n">
        <v>0</v>
      </c>
      <c r="O114" s="7" t="n">
        <v>11230.2</v>
      </c>
      <c r="P114" s="7" t="n">
        <v>17126.06</v>
      </c>
      <c r="Q114" s="7" t="n">
        <v>23580.3</v>
      </c>
      <c r="R114" s="7" t="n">
        <v>0</v>
      </c>
    </row>
    <row r="115">
      <c r="A115" s="4" t="n">
        <v>198</v>
      </c>
      <c r="B115" s="4" t="inlineStr">
        <is>
          <t>30367150308</t>
        </is>
      </c>
      <c r="C115" s="13" t="inlineStr">
        <is>
          <t>HAYRULLAH TOPRAK</t>
        </is>
      </c>
      <c r="D115" s="13" t="inlineStr">
        <is>
          <t>AMBAR</t>
        </is>
      </c>
      <c r="E115" s="4" t="n">
        <v>14</v>
      </c>
      <c r="F115" s="7" t="n">
        <v>33000</v>
      </c>
      <c r="G115" s="7" t="n">
        <v>146.67</v>
      </c>
      <c r="H115" s="7" t="n">
        <v>220</v>
      </c>
      <c r="I115" s="5" t="n">
        <v>2.5</v>
      </c>
      <c r="J115" s="5" t="n">
        <v>0</v>
      </c>
      <c r="K115" s="5" t="n">
        <v>2.5</v>
      </c>
      <c r="L115" s="7" t="n">
        <v>550</v>
      </c>
      <c r="M115" s="5" t="n">
        <v>0</v>
      </c>
      <c r="N115" s="7" t="n">
        <v>0</v>
      </c>
      <c r="O115" s="7" t="n">
        <v>15400</v>
      </c>
      <c r="P115" s="7" t="n">
        <v>15950</v>
      </c>
      <c r="Q115" s="7" t="n">
        <v>32841.5</v>
      </c>
      <c r="R115" s="7" t="n">
        <v>0</v>
      </c>
    </row>
    <row r="116">
      <c r="A116" s="4" t="n">
        <v>200</v>
      </c>
      <c r="B116" s="4" t="inlineStr">
        <is>
          <t>30856107820</t>
        </is>
      </c>
      <c r="C116" s="13" t="inlineStr">
        <is>
          <t>HÜLYA ÜÜNAL</t>
        </is>
      </c>
      <c r="D116" s="13" t="inlineStr">
        <is>
          <t>AMBAR</t>
        </is>
      </c>
      <c r="E116" s="4" t="n">
        <v>14</v>
      </c>
      <c r="F116" s="7" t="n">
        <v>28075.5</v>
      </c>
      <c r="G116" s="7" t="n">
        <v>124.78</v>
      </c>
      <c r="H116" s="7" t="n">
        <v>187.17</v>
      </c>
      <c r="I116" s="5" t="n">
        <v>9</v>
      </c>
      <c r="J116" s="5" t="n">
        <v>0</v>
      </c>
      <c r="K116" s="5" t="n">
        <v>9</v>
      </c>
      <c r="L116" s="7" t="n">
        <v>1684.53</v>
      </c>
      <c r="M116" s="5" t="n">
        <v>0</v>
      </c>
      <c r="N116" s="7" t="n">
        <v>0</v>
      </c>
      <c r="O116" s="7" t="n">
        <v>13101.9</v>
      </c>
      <c r="P116" s="7" t="n">
        <v>14786.43</v>
      </c>
      <c r="Q116" s="7" t="n">
        <v>28574.05</v>
      </c>
      <c r="R116" s="7" t="n">
        <v>0</v>
      </c>
    </row>
    <row r="117">
      <c r="A117" s="4" t="n">
        <v>201</v>
      </c>
      <c r="B117" s="4" t="inlineStr">
        <is>
          <t>11284916406</t>
        </is>
      </c>
      <c r="C117" s="13" t="inlineStr">
        <is>
          <t>HÜLYA TANIŞ</t>
        </is>
      </c>
      <c r="D117" s="13" t="inlineStr">
        <is>
          <t>BALIK TEMİZLEME</t>
        </is>
      </c>
      <c r="E117" s="4" t="n">
        <v>11</v>
      </c>
      <c r="F117" s="7" t="n">
        <v>33000</v>
      </c>
      <c r="G117" s="7" t="n">
        <v>146.67</v>
      </c>
      <c r="H117" s="7" t="n">
        <v>220</v>
      </c>
      <c r="I117" s="5" t="n">
        <v>4</v>
      </c>
      <c r="J117" s="5" t="n">
        <v>0</v>
      </c>
      <c r="K117" s="5" t="n">
        <v>4</v>
      </c>
      <c r="L117" s="7" t="n">
        <v>880</v>
      </c>
      <c r="M117" s="5" t="n">
        <v>0</v>
      </c>
      <c r="N117" s="7" t="n">
        <v>0</v>
      </c>
      <c r="O117" s="7" t="n">
        <v>12100</v>
      </c>
      <c r="P117" s="7" t="n">
        <v>12980</v>
      </c>
      <c r="Q117" s="7" t="n">
        <v>24482.2</v>
      </c>
      <c r="R117" s="7" t="n">
        <v>0</v>
      </c>
    </row>
    <row r="118">
      <c r="A118" s="4" t="n">
        <v>202</v>
      </c>
      <c r="B118" s="4" t="inlineStr">
        <is>
          <t>33289026430</t>
        </is>
      </c>
      <c r="C118" s="13" t="inlineStr">
        <is>
          <t>HÜLYA TOPAL</t>
        </is>
      </c>
      <c r="D118" s="13" t="inlineStr">
        <is>
          <t>AMBAR</t>
        </is>
      </c>
      <c r="E118" s="4" t="n">
        <v>13</v>
      </c>
      <c r="F118" s="7" t="n">
        <v>30185</v>
      </c>
      <c r="G118" s="7" t="n">
        <v>134.16</v>
      </c>
      <c r="H118" s="7" t="n">
        <v>201.23</v>
      </c>
      <c r="I118" s="5" t="n">
        <v>9</v>
      </c>
      <c r="J118" s="5" t="n">
        <v>0</v>
      </c>
      <c r="K118" s="5" t="n">
        <v>9</v>
      </c>
      <c r="L118" s="7" t="n">
        <v>1811.1</v>
      </c>
      <c r="M118" s="5" t="n">
        <v>0</v>
      </c>
      <c r="N118" s="7" t="n">
        <v>0</v>
      </c>
      <c r="O118" s="7" t="n">
        <v>13080.17</v>
      </c>
      <c r="P118" s="7" t="n">
        <v>14891.27</v>
      </c>
      <c r="Q118" s="7" t="n">
        <v>4024.67</v>
      </c>
      <c r="R118" s="7" t="n">
        <v>10866.6</v>
      </c>
    </row>
    <row r="119">
      <c r="A119" s="4" t="n">
        <v>205</v>
      </c>
      <c r="B119" s="4" t="inlineStr">
        <is>
          <t>29515203096</t>
        </is>
      </c>
      <c r="C119" s="13" t="inlineStr">
        <is>
          <t>İBÜŞRAHİM YILDIRIM</t>
        </is>
      </c>
      <c r="D119" s="13" t="inlineStr">
        <is>
          <t>MEYDAN</t>
        </is>
      </c>
      <c r="E119" s="4" t="n">
        <v>20</v>
      </c>
      <c r="F119" s="7" t="n">
        <v>33000</v>
      </c>
      <c r="G119" s="7" t="n">
        <v>146.67</v>
      </c>
      <c r="H119" s="7" t="n">
        <v>220</v>
      </c>
      <c r="I119" s="5" t="n">
        <v>28.5</v>
      </c>
      <c r="J119" s="5" t="n">
        <v>28.5</v>
      </c>
      <c r="K119" s="5" t="n">
        <v>57</v>
      </c>
      <c r="L119" s="7" t="n">
        <v>12540</v>
      </c>
      <c r="M119" s="5" t="n">
        <v>0</v>
      </c>
      <c r="N119" s="7" t="n">
        <v>0</v>
      </c>
      <c r="O119" s="7" t="n">
        <v>22000</v>
      </c>
      <c r="P119" s="7" t="n">
        <v>34540</v>
      </c>
      <c r="Q119" s="7" t="n">
        <v>4024.67</v>
      </c>
      <c r="R119" s="7" t="n">
        <v>30515.33</v>
      </c>
    </row>
    <row r="120">
      <c r="A120" s="4" t="n">
        <v>208</v>
      </c>
      <c r="B120" s="4" t="inlineStr">
        <is>
          <t>42844787082</t>
        </is>
      </c>
      <c r="C120" s="13" t="inlineStr">
        <is>
          <t>İSMAİL BARAK</t>
        </is>
      </c>
      <c r="D120" s="13" t="inlineStr">
        <is>
          <t>BALIK KESİM</t>
        </is>
      </c>
      <c r="E120" s="4" t="n">
        <v>9</v>
      </c>
      <c r="F120" s="7" t="n">
        <v>28075.5</v>
      </c>
      <c r="G120" s="7" t="n">
        <v>124.78</v>
      </c>
      <c r="H120" s="7" t="n">
        <v>187.17</v>
      </c>
      <c r="I120" s="5" t="n">
        <v>27</v>
      </c>
      <c r="J120" s="5" t="n">
        <v>11</v>
      </c>
      <c r="K120" s="5" t="n">
        <v>38</v>
      </c>
      <c r="L120" s="7" t="n">
        <v>7112.46</v>
      </c>
      <c r="M120" s="5" t="n">
        <v>18</v>
      </c>
      <c r="N120" s="7" t="n">
        <v>3369.06</v>
      </c>
      <c r="O120" s="7" t="n">
        <v>8422.65</v>
      </c>
      <c r="P120" s="7" t="n">
        <v>15535.11</v>
      </c>
      <c r="Q120" s="7" t="n">
        <v>30157</v>
      </c>
      <c r="R120" s="7" t="n">
        <v>0</v>
      </c>
    </row>
    <row r="121">
      <c r="A121" s="4" t="n">
        <v>209</v>
      </c>
      <c r="B121" s="4" t="inlineStr">
        <is>
          <t>25060351046</t>
        </is>
      </c>
      <c r="C121" s="13" t="inlineStr">
        <is>
          <t>İSMAİL İMİR</t>
        </is>
      </c>
      <c r="D121" s="13" t="inlineStr">
        <is>
          <t>OTOKLAV OPERATÖRÜ</t>
        </is>
      </c>
      <c r="E121" s="4" t="n">
        <v>16</v>
      </c>
      <c r="F121" s="7" t="n">
        <v>61000</v>
      </c>
      <c r="G121" s="7" t="n">
        <v>271.11</v>
      </c>
      <c r="H121" s="7" t="n">
        <v>406.67</v>
      </c>
      <c r="I121" s="5" t="n">
        <v>25</v>
      </c>
      <c r="J121" s="5" t="n">
        <v>0</v>
      </c>
      <c r="K121" s="5" t="n">
        <v>25</v>
      </c>
      <c r="L121" s="7" t="n">
        <v>10166.67</v>
      </c>
      <c r="M121" s="5" t="n">
        <v>0</v>
      </c>
      <c r="N121" s="7" t="n">
        <v>0</v>
      </c>
      <c r="O121" s="7" t="n">
        <v>32533.33</v>
      </c>
      <c r="P121" s="7" t="n">
        <v>42700</v>
      </c>
      <c r="Q121" s="7" t="n">
        <v>4024.67</v>
      </c>
      <c r="R121" s="7" t="n">
        <v>38675.33</v>
      </c>
    </row>
    <row r="122">
      <c r="A122" s="4" t="n">
        <v>210</v>
      </c>
      <c r="B122" s="4" t="inlineStr">
        <is>
          <t>49981303052</t>
        </is>
      </c>
      <c r="C122" s="13" t="inlineStr">
        <is>
          <t>KADİR AZAR</t>
        </is>
      </c>
      <c r="D122" s="13" t="inlineStr">
        <is>
          <t>AMBAR</t>
        </is>
      </c>
      <c r="E122" s="4" t="n">
        <v>17</v>
      </c>
      <c r="F122" s="7" t="n">
        <v>36000</v>
      </c>
      <c r="G122" s="7" t="n">
        <v>160</v>
      </c>
      <c r="H122" s="7" t="n">
        <v>240</v>
      </c>
      <c r="I122" s="5" t="n">
        <v>14.5</v>
      </c>
      <c r="J122" s="5" t="n">
        <v>7.5</v>
      </c>
      <c r="K122" s="5" t="n">
        <v>22</v>
      </c>
      <c r="L122" s="7" t="n">
        <v>5280</v>
      </c>
      <c r="M122" s="5" t="n">
        <v>0</v>
      </c>
      <c r="N122" s="7" t="n">
        <v>0</v>
      </c>
      <c r="O122" s="7" t="n">
        <v>20400</v>
      </c>
      <c r="P122" s="7" t="n">
        <v>25680</v>
      </c>
      <c r="Q122" s="7" t="n">
        <v>38400</v>
      </c>
      <c r="R122" s="7" t="n">
        <v>0</v>
      </c>
    </row>
    <row r="123">
      <c r="A123" s="4" t="n">
        <v>214</v>
      </c>
      <c r="B123" s="4" t="inlineStr">
        <is>
          <t>23524501518</t>
        </is>
      </c>
      <c r="C123" s="13" t="inlineStr">
        <is>
          <t>KADRİYE BEYHAN</t>
        </is>
      </c>
      <c r="D123" s="13" t="inlineStr">
        <is>
          <t>BALIK TEMİZLEME</t>
        </is>
      </c>
      <c r="E123" s="4" t="n">
        <v>15</v>
      </c>
      <c r="F123" s="7" t="n">
        <v>33000</v>
      </c>
      <c r="G123" s="7" t="n">
        <v>146.67</v>
      </c>
      <c r="H123" s="7" t="n">
        <v>220</v>
      </c>
      <c r="I123" s="5" t="n">
        <v>9</v>
      </c>
      <c r="J123" s="5" t="n">
        <v>0</v>
      </c>
      <c r="K123" s="5" t="n">
        <v>9</v>
      </c>
      <c r="L123" s="7" t="n">
        <v>1980</v>
      </c>
      <c r="M123" s="5" t="n">
        <v>0</v>
      </c>
      <c r="N123" s="7" t="n">
        <v>0</v>
      </c>
      <c r="O123" s="7" t="n">
        <v>16500</v>
      </c>
      <c r="P123" s="7" t="n">
        <v>18480</v>
      </c>
      <c r="Q123" s="7" t="n">
        <v>18031.8</v>
      </c>
      <c r="R123" s="7" t="n">
        <v>448.2</v>
      </c>
    </row>
    <row r="124">
      <c r="A124" s="4" t="n">
        <v>216</v>
      </c>
      <c r="B124" s="4" t="inlineStr">
        <is>
          <t>27448226656</t>
        </is>
      </c>
      <c r="C124" s="13" t="inlineStr">
        <is>
          <t>KAMİLE DAĞDÇELEN</t>
        </is>
      </c>
      <c r="D124" s="13" t="inlineStr">
        <is>
          <t>AMBAR</t>
        </is>
      </c>
      <c r="E124" s="4" t="n">
        <v>16</v>
      </c>
      <c r="F124" s="7" t="n">
        <v>28075.5</v>
      </c>
      <c r="G124" s="7" t="n">
        <v>124.78</v>
      </c>
      <c r="H124" s="7" t="n">
        <v>187.17</v>
      </c>
      <c r="I124" s="5" t="n">
        <v>6</v>
      </c>
      <c r="J124" s="5" t="n">
        <v>7.5</v>
      </c>
      <c r="K124" s="5" t="n">
        <v>13.5</v>
      </c>
      <c r="L124" s="7" t="n">
        <v>2526.8</v>
      </c>
      <c r="M124" s="5" t="n">
        <v>0</v>
      </c>
      <c r="N124" s="7" t="n">
        <v>0</v>
      </c>
      <c r="O124" s="7" t="n">
        <v>14973.6</v>
      </c>
      <c r="P124" s="7" t="n">
        <v>17500.4</v>
      </c>
      <c r="Q124" s="7" t="n">
        <v>23832.5</v>
      </c>
      <c r="R124" s="7" t="n">
        <v>0</v>
      </c>
    </row>
    <row r="125">
      <c r="A125" s="4" t="n">
        <v>218</v>
      </c>
      <c r="B125" s="4" t="inlineStr">
        <is>
          <t>99656887974</t>
        </is>
      </c>
      <c r="C125" s="13" t="inlineStr">
        <is>
          <t>KEFA EL HUDUR</t>
        </is>
      </c>
      <c r="D125" s="13" t="inlineStr">
        <is>
          <t>BALIK TEMİZLEME</t>
        </is>
      </c>
      <c r="E125" s="4" t="n">
        <v>16</v>
      </c>
      <c r="F125" s="7" t="n">
        <v>33000</v>
      </c>
      <c r="G125" s="7" t="n">
        <v>146.67</v>
      </c>
      <c r="H125" s="7" t="n">
        <v>220</v>
      </c>
      <c r="I125" s="5" t="n">
        <v>10</v>
      </c>
      <c r="J125" s="5" t="n">
        <v>0</v>
      </c>
      <c r="K125" s="5" t="n">
        <v>10</v>
      </c>
      <c r="L125" s="7" t="n">
        <v>2200</v>
      </c>
      <c r="M125" s="5" t="n">
        <v>0</v>
      </c>
      <c r="N125" s="7" t="n">
        <v>0</v>
      </c>
      <c r="O125" s="7" t="n">
        <v>17600</v>
      </c>
      <c r="P125" s="7" t="n">
        <v>19800</v>
      </c>
      <c r="Q125" s="7" t="n">
        <v>17395.8</v>
      </c>
      <c r="R125" s="7" t="n">
        <v>2404.2</v>
      </c>
    </row>
    <row r="126">
      <c r="A126" s="4" t="n">
        <v>219</v>
      </c>
      <c r="B126" s="4" t="inlineStr">
        <is>
          <t>33067084584</t>
        </is>
      </c>
      <c r="C126" s="13" t="inlineStr">
        <is>
          <t>KEMAL DURMUŞ</t>
        </is>
      </c>
      <c r="D126" s="13" t="inlineStr">
        <is>
          <t>İŞLETME</t>
        </is>
      </c>
      <c r="E126" s="4" t="n">
        <v>17</v>
      </c>
      <c r="F126" s="7" t="n">
        <v>33000</v>
      </c>
      <c r="G126" s="7" t="n">
        <v>146.67</v>
      </c>
      <c r="H126" s="7" t="n">
        <v>220</v>
      </c>
      <c r="I126" s="5" t="n">
        <v>71</v>
      </c>
      <c r="J126" s="5" t="n">
        <v>12</v>
      </c>
      <c r="K126" s="5" t="n">
        <v>83</v>
      </c>
      <c r="L126" s="7" t="n">
        <v>18260</v>
      </c>
      <c r="M126" s="5" t="n">
        <v>0</v>
      </c>
      <c r="N126" s="7" t="n">
        <v>0</v>
      </c>
      <c r="O126" s="7" t="n">
        <v>18700</v>
      </c>
      <c r="P126" s="7" t="n">
        <v>36960</v>
      </c>
      <c r="Q126" s="7" t="n">
        <v>4024.67</v>
      </c>
      <c r="R126" s="7" t="n">
        <v>32935.33</v>
      </c>
    </row>
    <row r="127">
      <c r="A127" s="4" t="n">
        <v>224</v>
      </c>
      <c r="B127" s="4" t="inlineStr">
        <is>
          <t>37573316870</t>
        </is>
      </c>
      <c r="C127" s="13" t="inlineStr">
        <is>
          <t>KEZİBAN ARAS</t>
        </is>
      </c>
      <c r="D127" s="13" t="inlineStr">
        <is>
          <t>ÜRETİM</t>
        </is>
      </c>
      <c r="E127" s="4" t="n">
        <v>8</v>
      </c>
      <c r="F127" s="7" t="n">
        <v>28075.5</v>
      </c>
      <c r="G127" s="7" t="n">
        <v>124.78</v>
      </c>
      <c r="H127" s="7" t="n">
        <v>187.17</v>
      </c>
      <c r="I127" s="5" t="n">
        <v>28.5</v>
      </c>
      <c r="J127" s="5" t="n">
        <v>0</v>
      </c>
      <c r="K127" s="5" t="n">
        <v>28.5</v>
      </c>
      <c r="L127" s="7" t="n">
        <v>5334.35</v>
      </c>
      <c r="M127" s="5" t="n">
        <v>4</v>
      </c>
      <c r="N127" s="7" t="n">
        <v>748.6799999999999</v>
      </c>
      <c r="O127" s="7" t="n">
        <v>7486.8</v>
      </c>
      <c r="P127" s="7" t="n">
        <v>12821.15</v>
      </c>
      <c r="Q127" s="7" t="n">
        <v>17334.32</v>
      </c>
      <c r="R127" s="7" t="n">
        <v>0</v>
      </c>
    </row>
    <row r="128">
      <c r="A128" s="4" t="n">
        <v>225</v>
      </c>
      <c r="B128" s="4" t="inlineStr">
        <is>
          <t>33397029286</t>
        </is>
      </c>
      <c r="C128" s="13" t="inlineStr">
        <is>
          <t>KÜBÜŞRA ALTAY</t>
        </is>
      </c>
      <c r="D128" s="13" t="inlineStr">
        <is>
          <t>SATIN ALMA</t>
        </is>
      </c>
      <c r="E128" s="4" t="n">
        <v>17</v>
      </c>
      <c r="F128" s="7" t="n">
        <v>30000</v>
      </c>
      <c r="G128" s="7" t="n">
        <v>133.33</v>
      </c>
      <c r="H128" s="7" t="n">
        <v>200</v>
      </c>
      <c r="I128" s="5" t="n">
        <v>6.5</v>
      </c>
      <c r="J128" s="5" t="n">
        <v>0</v>
      </c>
      <c r="K128" s="5" t="n">
        <v>6.5</v>
      </c>
      <c r="L128" s="7" t="n">
        <v>1300</v>
      </c>
      <c r="M128" s="5" t="n">
        <v>0</v>
      </c>
      <c r="N128" s="7" t="n">
        <v>0</v>
      </c>
      <c r="O128" s="7" t="n">
        <v>17000</v>
      </c>
      <c r="P128" s="7" t="n">
        <v>18300</v>
      </c>
      <c r="Q128" s="7" t="n">
        <v>29199.27</v>
      </c>
      <c r="R128" s="7" t="n">
        <v>0</v>
      </c>
    </row>
    <row r="129">
      <c r="A129" s="4" t="n">
        <v>226</v>
      </c>
      <c r="B129" s="4" t="inlineStr">
        <is>
          <t>11840814962</t>
        </is>
      </c>
      <c r="C129" s="13" t="inlineStr">
        <is>
          <t>LEYLA KOYUN</t>
        </is>
      </c>
      <c r="D129" s="13" t="inlineStr">
        <is>
          <t>ÜRETİM</t>
        </is>
      </c>
      <c r="E129" s="4" t="n">
        <v>2</v>
      </c>
      <c r="F129" s="7" t="n">
        <v>28075.5</v>
      </c>
      <c r="G129" s="7" t="n">
        <v>124.78</v>
      </c>
      <c r="H129" s="7" t="n">
        <v>187.17</v>
      </c>
      <c r="I129" s="5" t="n">
        <v>0</v>
      </c>
      <c r="J129" s="5" t="n">
        <v>0</v>
      </c>
      <c r="K129" s="5" t="n">
        <v>0</v>
      </c>
      <c r="L129" s="7" t="n">
        <v>0</v>
      </c>
      <c r="M129" s="5" t="n">
        <v>0</v>
      </c>
      <c r="N129" s="7" t="n">
        <v>0</v>
      </c>
      <c r="O129" s="7" t="n">
        <v>1871.7</v>
      </c>
      <c r="P129" s="7" t="n">
        <v>1871.7</v>
      </c>
      <c r="Q129" s="7" t="n">
        <v>36887.46</v>
      </c>
      <c r="R129" s="7" t="n">
        <v>0</v>
      </c>
    </row>
    <row r="130">
      <c r="A130" s="4" t="n">
        <v>228</v>
      </c>
      <c r="B130" s="4" t="inlineStr">
        <is>
          <t>19783626574</t>
        </is>
      </c>
      <c r="C130" s="13" t="inlineStr">
        <is>
          <t>MACİDE PIRLAK</t>
        </is>
      </c>
      <c r="D130" s="13" t="inlineStr">
        <is>
          <t>BALIK TEMİZLEME</t>
        </is>
      </c>
      <c r="E130" s="4" t="n">
        <v>4</v>
      </c>
      <c r="F130" s="7" t="n">
        <v>33000</v>
      </c>
      <c r="G130" s="7" t="n">
        <v>146.67</v>
      </c>
      <c r="H130" s="7" t="n">
        <v>220</v>
      </c>
      <c r="I130" s="5" t="n">
        <v>1.5</v>
      </c>
      <c r="J130" s="5" t="n">
        <v>0</v>
      </c>
      <c r="K130" s="5" t="n">
        <v>1.5</v>
      </c>
      <c r="L130" s="7" t="n">
        <v>330</v>
      </c>
      <c r="M130" s="5" t="n">
        <v>0</v>
      </c>
      <c r="N130" s="7" t="n">
        <v>0</v>
      </c>
      <c r="O130" s="7" t="n">
        <v>4400</v>
      </c>
      <c r="P130" s="7" t="n">
        <v>4730</v>
      </c>
      <c r="Q130" s="7" t="n">
        <v>3426.8</v>
      </c>
      <c r="R130" s="7" t="n">
        <v>0</v>
      </c>
    </row>
    <row r="131">
      <c r="A131" s="4" t="n">
        <v>229</v>
      </c>
      <c r="B131" s="4" t="inlineStr">
        <is>
          <t>29749160806</t>
        </is>
      </c>
      <c r="C131" s="13" t="inlineStr">
        <is>
          <t>MAHİR HİLMİ ULUKÖK</t>
        </is>
      </c>
      <c r="D131" s="13" t="inlineStr">
        <is>
          <t>YENİ BALIK HATTI</t>
        </is>
      </c>
      <c r="E131" s="4" t="n">
        <v>18</v>
      </c>
      <c r="F131" s="7" t="n">
        <v>61000</v>
      </c>
      <c r="G131" s="7" t="n">
        <v>271.11</v>
      </c>
      <c r="H131" s="7" t="n">
        <v>406.67</v>
      </c>
      <c r="I131" s="5" t="n">
        <v>23</v>
      </c>
      <c r="J131" s="5" t="n">
        <v>7.5</v>
      </c>
      <c r="K131" s="5" t="n">
        <v>30.5</v>
      </c>
      <c r="L131" s="7" t="n">
        <v>12403.33</v>
      </c>
      <c r="M131" s="5" t="n">
        <v>0</v>
      </c>
      <c r="N131" s="7" t="n">
        <v>0</v>
      </c>
      <c r="O131" s="7" t="n">
        <v>36600</v>
      </c>
      <c r="P131" s="7" t="n">
        <v>49003.33</v>
      </c>
      <c r="Q131" s="7" t="n">
        <v>4024.67</v>
      </c>
      <c r="R131" s="7" t="n">
        <v>44978.66</v>
      </c>
    </row>
    <row r="132">
      <c r="A132" s="4" t="n">
        <v>230</v>
      </c>
      <c r="B132" s="4" t="inlineStr">
        <is>
          <t>54871132810</t>
        </is>
      </c>
      <c r="C132" s="13" t="inlineStr">
        <is>
          <t>MAHİZER BAĞ</t>
        </is>
      </c>
      <c r="D132" s="13" t="inlineStr">
        <is>
          <t>BALIK TEMİZLEME</t>
        </is>
      </c>
      <c r="E132" s="4" t="n">
        <v>6</v>
      </c>
      <c r="F132" s="7" t="n">
        <v>33000</v>
      </c>
      <c r="G132" s="7" t="n">
        <v>146.67</v>
      </c>
      <c r="H132" s="7" t="n">
        <v>220</v>
      </c>
      <c r="I132" s="5" t="n">
        <v>3.5</v>
      </c>
      <c r="J132" s="5" t="n">
        <v>0</v>
      </c>
      <c r="K132" s="5" t="n">
        <v>3.5</v>
      </c>
      <c r="L132" s="7" t="n">
        <v>770</v>
      </c>
      <c r="M132" s="5" t="n">
        <v>0</v>
      </c>
      <c r="N132" s="7" t="n">
        <v>0</v>
      </c>
      <c r="O132" s="7" t="n">
        <v>6600</v>
      </c>
      <c r="P132" s="7" t="n">
        <v>7370</v>
      </c>
      <c r="Q132" s="7" t="n">
        <v>10335.3</v>
      </c>
      <c r="R132" s="7" t="n">
        <v>0</v>
      </c>
    </row>
    <row r="133">
      <c r="A133" s="4" t="n">
        <v>231</v>
      </c>
      <c r="B133" s="4" t="inlineStr">
        <is>
          <t>20458603738</t>
        </is>
      </c>
      <c r="C133" s="13" t="inlineStr">
        <is>
          <t>MAHMURE ESEN</t>
        </is>
      </c>
      <c r="D133" s="13" t="inlineStr">
        <is>
          <t>BALIK TEMİZLEME</t>
        </is>
      </c>
      <c r="E133" s="4" t="n">
        <v>11</v>
      </c>
      <c r="F133" s="7" t="n">
        <v>33000</v>
      </c>
      <c r="G133" s="7" t="n">
        <v>146.67</v>
      </c>
      <c r="H133" s="7" t="n">
        <v>220</v>
      </c>
      <c r="I133" s="5" t="n">
        <v>6</v>
      </c>
      <c r="J133" s="5" t="n">
        <v>0</v>
      </c>
      <c r="K133" s="5" t="n">
        <v>6</v>
      </c>
      <c r="L133" s="7" t="n">
        <v>1320</v>
      </c>
      <c r="M133" s="5" t="n">
        <v>0</v>
      </c>
      <c r="N133" s="7" t="n">
        <v>0</v>
      </c>
      <c r="O133" s="7" t="n">
        <v>12100</v>
      </c>
      <c r="P133" s="7" t="n">
        <v>13420</v>
      </c>
      <c r="Q133" s="7" t="n">
        <v>19131.3</v>
      </c>
      <c r="R133" s="7" t="n">
        <v>0</v>
      </c>
    </row>
    <row r="134">
      <c r="A134" s="4" t="n">
        <v>232</v>
      </c>
      <c r="B134" s="4" t="inlineStr">
        <is>
          <t>99959615564</t>
        </is>
      </c>
      <c r="C134" s="13" t="inlineStr">
        <is>
          <t>MAHMOUD ALZALEK</t>
        </is>
      </c>
      <c r="D134" s="13" t="inlineStr">
        <is>
          <t>ELEKTRİK</t>
        </is>
      </c>
      <c r="E134" s="4" t="n">
        <v>17</v>
      </c>
      <c r="F134" s="7" t="n">
        <v>28075.5</v>
      </c>
      <c r="G134" s="7" t="n">
        <v>124.78</v>
      </c>
      <c r="H134" s="7" t="n">
        <v>187.17</v>
      </c>
      <c r="I134" s="5" t="n">
        <v>64</v>
      </c>
      <c r="J134" s="5" t="n">
        <v>32.5</v>
      </c>
      <c r="K134" s="5" t="n">
        <v>96.5</v>
      </c>
      <c r="L134" s="7" t="n">
        <v>18061.91</v>
      </c>
      <c r="M134" s="5" t="n">
        <v>0</v>
      </c>
      <c r="N134" s="7" t="n">
        <v>0</v>
      </c>
      <c r="O134" s="7" t="n">
        <v>15909.45</v>
      </c>
      <c r="P134" s="7" t="n">
        <v>33971.36</v>
      </c>
      <c r="Q134" s="7" t="n">
        <v>42207.17</v>
      </c>
      <c r="R134" s="7" t="n">
        <v>0</v>
      </c>
    </row>
    <row r="135">
      <c r="A135" s="4" t="n">
        <v>238</v>
      </c>
      <c r="B135" s="4" t="inlineStr"/>
      <c r="C135" s="13" t="inlineStr">
        <is>
          <t>MEHMET EMİN BATUR</t>
        </is>
      </c>
      <c r="D135" s="13" t="inlineStr">
        <is>
          <t>Bilinmeyen</t>
        </is>
      </c>
      <c r="E135" s="4" t="n">
        <v>7</v>
      </c>
      <c r="F135" s="7" t="n">
        <v>28075.5</v>
      </c>
      <c r="G135" s="7" t="n">
        <v>124.78</v>
      </c>
      <c r="H135" s="7" t="n">
        <v>187.17</v>
      </c>
      <c r="I135" s="5" t="n">
        <v>18</v>
      </c>
      <c r="J135" s="5" t="n">
        <v>0</v>
      </c>
      <c r="K135" s="5" t="n">
        <v>18</v>
      </c>
      <c r="L135" s="7" t="n">
        <v>3369.06</v>
      </c>
      <c r="M135" s="5" t="n">
        <v>0</v>
      </c>
      <c r="N135" s="7" t="n">
        <v>0</v>
      </c>
      <c r="O135" s="7" t="n">
        <v>6550.95</v>
      </c>
      <c r="P135" s="7" t="n">
        <v>9920.01</v>
      </c>
      <c r="Q135" s="7" t="n">
        <v>0</v>
      </c>
      <c r="R135" s="7" t="n">
        <v>9920.01</v>
      </c>
    </row>
    <row r="136">
      <c r="A136" s="4" t="n">
        <v>240</v>
      </c>
      <c r="B136" s="4" t="inlineStr">
        <is>
          <t>13876724772</t>
        </is>
      </c>
      <c r="C136" s="13" t="inlineStr">
        <is>
          <t>MEHMET KARTAL</t>
        </is>
      </c>
      <c r="D136" s="13" t="inlineStr">
        <is>
          <t>AMBAR</t>
        </is>
      </c>
      <c r="E136" s="4" t="n">
        <v>15</v>
      </c>
      <c r="F136" s="7" t="n">
        <v>30185</v>
      </c>
      <c r="G136" s="7" t="n">
        <v>134.16</v>
      </c>
      <c r="H136" s="7" t="n">
        <v>201.23</v>
      </c>
      <c r="I136" s="5" t="n">
        <v>34</v>
      </c>
      <c r="J136" s="5" t="n">
        <v>7.5</v>
      </c>
      <c r="K136" s="5" t="n">
        <v>41.5</v>
      </c>
      <c r="L136" s="7" t="n">
        <v>8351.18</v>
      </c>
      <c r="M136" s="5" t="n">
        <v>0</v>
      </c>
      <c r="N136" s="7" t="n">
        <v>0</v>
      </c>
      <c r="O136" s="7" t="n">
        <v>15092.5</v>
      </c>
      <c r="P136" s="7" t="n">
        <v>23443.68</v>
      </c>
      <c r="Q136" s="7" t="n">
        <v>4024.67</v>
      </c>
      <c r="R136" s="7" t="n">
        <v>19419.01</v>
      </c>
    </row>
    <row r="137">
      <c r="A137" s="4" t="n">
        <v>243</v>
      </c>
      <c r="B137" s="4" t="inlineStr"/>
      <c r="C137" s="13" t="inlineStr">
        <is>
          <t>MENEKŞE DURMAN</t>
        </is>
      </c>
      <c r="D137" s="13" t="inlineStr">
        <is>
          <t>Bilinmeyen</t>
        </is>
      </c>
      <c r="E137" s="4" t="n">
        <v>7</v>
      </c>
      <c r="F137" s="7" t="n">
        <v>28075.5</v>
      </c>
      <c r="G137" s="7" t="n">
        <v>124.78</v>
      </c>
      <c r="H137" s="7" t="n">
        <v>187.17</v>
      </c>
      <c r="I137" s="5" t="n">
        <v>18</v>
      </c>
      <c r="J137" s="5" t="n">
        <v>0</v>
      </c>
      <c r="K137" s="5" t="n">
        <v>18</v>
      </c>
      <c r="L137" s="7" t="n">
        <v>3369.06</v>
      </c>
      <c r="M137" s="5" t="n">
        <v>0</v>
      </c>
      <c r="N137" s="7" t="n">
        <v>0</v>
      </c>
      <c r="O137" s="7" t="n">
        <v>6550.95</v>
      </c>
      <c r="P137" s="7" t="n">
        <v>9920.01</v>
      </c>
      <c r="Q137" s="7" t="n">
        <v>0</v>
      </c>
      <c r="R137" s="7" t="n">
        <v>9920.01</v>
      </c>
    </row>
    <row r="138">
      <c r="A138" s="4" t="n">
        <v>245</v>
      </c>
      <c r="B138" s="4" t="inlineStr">
        <is>
          <t>40483844500</t>
        </is>
      </c>
      <c r="C138" s="13" t="inlineStr">
        <is>
          <t>MELİSA YILMAZ</t>
        </is>
      </c>
      <c r="D138" s="13" t="inlineStr">
        <is>
          <t>ÜRETİM</t>
        </is>
      </c>
      <c r="E138" s="4" t="n">
        <v>9</v>
      </c>
      <c r="F138" s="7" t="n">
        <v>28075.5</v>
      </c>
      <c r="G138" s="7" t="n">
        <v>124.78</v>
      </c>
      <c r="H138" s="7" t="n">
        <v>187.17</v>
      </c>
      <c r="I138" s="5" t="n">
        <v>12</v>
      </c>
      <c r="J138" s="5" t="n">
        <v>10.5</v>
      </c>
      <c r="K138" s="5" t="n">
        <v>22.5</v>
      </c>
      <c r="L138" s="7" t="n">
        <v>4211.33</v>
      </c>
      <c r="M138" s="5" t="n">
        <v>0</v>
      </c>
      <c r="N138" s="7" t="n">
        <v>0</v>
      </c>
      <c r="O138" s="7" t="n">
        <v>8422.65</v>
      </c>
      <c r="P138" s="7" t="n">
        <v>12633.98</v>
      </c>
      <c r="Q138" s="7" t="n">
        <v>19727.11</v>
      </c>
      <c r="R138" s="7" t="n">
        <v>0</v>
      </c>
    </row>
    <row r="139">
      <c r="A139" s="4" t="n">
        <v>249</v>
      </c>
      <c r="B139" s="4" t="inlineStr">
        <is>
          <t>61984174392</t>
        </is>
      </c>
      <c r="C139" s="13" t="inlineStr">
        <is>
          <t>MESERRET DAĞ</t>
        </is>
      </c>
      <c r="D139" s="13" t="inlineStr">
        <is>
          <t>ÜRETİM</t>
        </is>
      </c>
      <c r="E139" s="4" t="n">
        <v>10</v>
      </c>
      <c r="F139" s="7" t="n">
        <v>28075.5</v>
      </c>
      <c r="G139" s="7" t="n">
        <v>124.78</v>
      </c>
      <c r="H139" s="7" t="n">
        <v>187.17</v>
      </c>
      <c r="I139" s="5" t="n">
        <v>60</v>
      </c>
      <c r="J139" s="5" t="n">
        <v>0</v>
      </c>
      <c r="K139" s="5" t="n">
        <v>60</v>
      </c>
      <c r="L139" s="7" t="n">
        <v>11230.2</v>
      </c>
      <c r="M139" s="5" t="n">
        <v>12</v>
      </c>
      <c r="N139" s="7" t="n">
        <v>2246.04</v>
      </c>
      <c r="O139" s="7" t="n">
        <v>9358.5</v>
      </c>
      <c r="P139" s="7" t="n">
        <v>20588.7</v>
      </c>
      <c r="Q139" s="7" t="n">
        <v>11978.88</v>
      </c>
      <c r="R139" s="7" t="n">
        <v>8609.82</v>
      </c>
    </row>
    <row r="140">
      <c r="A140" s="4" t="n">
        <v>250</v>
      </c>
      <c r="B140" s="4" t="inlineStr">
        <is>
          <t>28027546004</t>
        </is>
      </c>
      <c r="C140" s="13" t="inlineStr">
        <is>
          <t>MESUT ERDEL</t>
        </is>
      </c>
      <c r="D140" s="13" t="inlineStr">
        <is>
          <t>BAKIM</t>
        </is>
      </c>
      <c r="E140" s="4" t="n">
        <v>18</v>
      </c>
      <c r="F140" s="7" t="n">
        <v>30185</v>
      </c>
      <c r="G140" s="7" t="n">
        <v>134.16</v>
      </c>
      <c r="H140" s="7" t="n">
        <v>201.23</v>
      </c>
      <c r="I140" s="5" t="n">
        <v>9</v>
      </c>
      <c r="J140" s="5" t="n">
        <v>25</v>
      </c>
      <c r="K140" s="5" t="n">
        <v>34</v>
      </c>
      <c r="L140" s="7" t="n">
        <v>6841.93</v>
      </c>
      <c r="M140" s="5" t="n">
        <v>0</v>
      </c>
      <c r="N140" s="7" t="n">
        <v>0</v>
      </c>
      <c r="O140" s="7" t="n">
        <v>18111</v>
      </c>
      <c r="P140" s="7" t="n">
        <v>24952.93</v>
      </c>
      <c r="Q140" s="7" t="n">
        <v>4024.67</v>
      </c>
      <c r="R140" s="7" t="n">
        <v>20928.26</v>
      </c>
    </row>
    <row r="141">
      <c r="A141" s="4" t="n">
        <v>251</v>
      </c>
      <c r="B141" s="4" t="inlineStr">
        <is>
          <t>25354441064</t>
        </is>
      </c>
      <c r="C141" s="13" t="inlineStr">
        <is>
          <t>METANET DİNÇER</t>
        </is>
      </c>
      <c r="D141" s="13" t="inlineStr">
        <is>
          <t>ÜRETİM</t>
        </is>
      </c>
      <c r="E141" s="4" t="n">
        <v>6</v>
      </c>
      <c r="F141" s="7" t="n">
        <v>28075.5</v>
      </c>
      <c r="G141" s="7" t="n">
        <v>124.78</v>
      </c>
      <c r="H141" s="7" t="n">
        <v>187.17</v>
      </c>
      <c r="I141" s="5" t="n">
        <v>16.5</v>
      </c>
      <c r="J141" s="5" t="n">
        <v>0</v>
      </c>
      <c r="K141" s="5" t="n">
        <v>16.5</v>
      </c>
      <c r="L141" s="7" t="n">
        <v>3088.31</v>
      </c>
      <c r="M141" s="5" t="n">
        <v>0</v>
      </c>
      <c r="N141" s="7" t="n">
        <v>0</v>
      </c>
      <c r="O141" s="7" t="n">
        <v>5615.1</v>
      </c>
      <c r="P141" s="7" t="n">
        <v>8703.41</v>
      </c>
      <c r="Q141" s="7" t="n">
        <v>5989.44</v>
      </c>
      <c r="R141" s="7" t="n">
        <v>2713.97</v>
      </c>
    </row>
    <row r="142">
      <c r="A142" s="4" t="n">
        <v>253</v>
      </c>
      <c r="B142" s="4" t="inlineStr">
        <is>
          <t>99248627704</t>
        </is>
      </c>
      <c r="C142" s="13" t="inlineStr">
        <is>
          <t>MHD BASSEL ALZALEK(BASİL)</t>
        </is>
      </c>
      <c r="D142" s="13" t="inlineStr">
        <is>
          <t>ELEKTRİK</t>
        </is>
      </c>
      <c r="E142" s="4" t="n">
        <v>19</v>
      </c>
      <c r="F142" s="7" t="n">
        <v>36000</v>
      </c>
      <c r="G142" s="7" t="n">
        <v>160</v>
      </c>
      <c r="H142" s="7" t="n">
        <v>240</v>
      </c>
      <c r="I142" s="5" t="n">
        <v>23</v>
      </c>
      <c r="J142" s="5" t="n">
        <v>28</v>
      </c>
      <c r="K142" s="5" t="n">
        <v>51</v>
      </c>
      <c r="L142" s="7" t="n">
        <v>12240</v>
      </c>
      <c r="M142" s="5" t="n">
        <v>0</v>
      </c>
      <c r="N142" s="7" t="n">
        <v>0</v>
      </c>
      <c r="O142" s="7" t="n">
        <v>22800</v>
      </c>
      <c r="P142" s="7" t="n">
        <v>35040</v>
      </c>
      <c r="Q142" s="7" t="n">
        <v>54800</v>
      </c>
      <c r="R142" s="7" t="n">
        <v>0</v>
      </c>
    </row>
    <row r="143">
      <c r="A143" s="4" t="n">
        <v>255</v>
      </c>
      <c r="B143" s="4" t="inlineStr">
        <is>
          <t>99347757876</t>
        </is>
      </c>
      <c r="C143" s="13" t="inlineStr">
        <is>
          <t>MUHAMMED SAMİH SERHAN(SEMİH)</t>
        </is>
      </c>
      <c r="D143" s="13" t="inlineStr">
        <is>
          <t>AMBAR</t>
        </is>
      </c>
      <c r="E143" s="4" t="n">
        <v>17</v>
      </c>
      <c r="F143" s="7" t="n">
        <v>36000</v>
      </c>
      <c r="G143" s="7" t="n">
        <v>160</v>
      </c>
      <c r="H143" s="7" t="n">
        <v>240</v>
      </c>
      <c r="I143" s="5" t="n">
        <v>31</v>
      </c>
      <c r="J143" s="5" t="n">
        <v>13</v>
      </c>
      <c r="K143" s="5" t="n">
        <v>44</v>
      </c>
      <c r="L143" s="7" t="n">
        <v>10560</v>
      </c>
      <c r="M143" s="5" t="n">
        <v>0</v>
      </c>
      <c r="N143" s="7" t="n">
        <v>0</v>
      </c>
      <c r="O143" s="7" t="n">
        <v>20400</v>
      </c>
      <c r="P143" s="7" t="n">
        <v>30960</v>
      </c>
      <c r="Q143" s="7" t="n">
        <v>42000</v>
      </c>
      <c r="R143" s="7" t="n">
        <v>0</v>
      </c>
    </row>
    <row r="144">
      <c r="A144" s="4" t="n">
        <v>256</v>
      </c>
      <c r="B144" s="4" t="inlineStr">
        <is>
          <t>23329391024</t>
        </is>
      </c>
      <c r="C144" s="13" t="inlineStr">
        <is>
          <t>MUKATDES KARAMANOĞLU</t>
        </is>
      </c>
      <c r="D144" s="13" t="inlineStr">
        <is>
          <t>BALIK TEMİZLEME</t>
        </is>
      </c>
      <c r="E144" s="4" t="n">
        <v>16</v>
      </c>
      <c r="F144" s="7" t="n">
        <v>33000</v>
      </c>
      <c r="G144" s="7" t="n">
        <v>146.67</v>
      </c>
      <c r="H144" s="7" t="n">
        <v>220</v>
      </c>
      <c r="I144" s="5" t="n">
        <v>9</v>
      </c>
      <c r="J144" s="5" t="n">
        <v>0</v>
      </c>
      <c r="K144" s="5" t="n">
        <v>9</v>
      </c>
      <c r="L144" s="7" t="n">
        <v>1980</v>
      </c>
      <c r="M144" s="5" t="n">
        <v>0</v>
      </c>
      <c r="N144" s="7" t="n">
        <v>0</v>
      </c>
      <c r="O144" s="7" t="n">
        <v>17600</v>
      </c>
      <c r="P144" s="7" t="n">
        <v>19580</v>
      </c>
      <c r="Q144" s="7" t="n">
        <v>4024.67</v>
      </c>
      <c r="R144" s="7" t="n">
        <v>15555.33</v>
      </c>
    </row>
    <row r="145">
      <c r="A145" s="4" t="n">
        <v>257</v>
      </c>
      <c r="B145" s="4" t="inlineStr">
        <is>
          <t>15205679746</t>
        </is>
      </c>
      <c r="C145" s="13" t="inlineStr">
        <is>
          <t>MURAT YONSUL</t>
        </is>
      </c>
      <c r="D145" s="13" t="inlineStr">
        <is>
          <t>AMBAR</t>
        </is>
      </c>
      <c r="E145" s="4" t="n">
        <v>15</v>
      </c>
      <c r="F145" s="7" t="n">
        <v>36000</v>
      </c>
      <c r="G145" s="7" t="n">
        <v>160</v>
      </c>
      <c r="H145" s="7" t="n">
        <v>240</v>
      </c>
      <c r="I145" s="5" t="n">
        <v>57.5</v>
      </c>
      <c r="J145" s="5" t="n">
        <v>26</v>
      </c>
      <c r="K145" s="5" t="n">
        <v>83.5</v>
      </c>
      <c r="L145" s="7" t="n">
        <v>20040</v>
      </c>
      <c r="M145" s="5" t="n">
        <v>0</v>
      </c>
      <c r="N145" s="7" t="n">
        <v>0</v>
      </c>
      <c r="O145" s="7" t="n">
        <v>18000</v>
      </c>
      <c r="P145" s="7" t="n">
        <v>38040</v>
      </c>
      <c r="Q145" s="7" t="n">
        <v>3024.67</v>
      </c>
      <c r="R145" s="7" t="n">
        <v>34009.17</v>
      </c>
    </row>
    <row r="146">
      <c r="A146" s="4" t="n">
        <v>260</v>
      </c>
      <c r="B146" s="4" t="inlineStr">
        <is>
          <t>25621221832</t>
        </is>
      </c>
      <c r="C146" s="13" t="inlineStr">
        <is>
          <t>MUSTAFA KAYA</t>
        </is>
      </c>
      <c r="D146" s="13" t="inlineStr">
        <is>
          <t>İŞLETME</t>
        </is>
      </c>
      <c r="E146" s="4" t="n">
        <v>19</v>
      </c>
      <c r="F146" s="7" t="n">
        <v>34000</v>
      </c>
      <c r="G146" s="7" t="n">
        <v>151.11</v>
      </c>
      <c r="H146" s="7" t="n">
        <v>226.67</v>
      </c>
      <c r="I146" s="5" t="n">
        <v>35</v>
      </c>
      <c r="J146" s="5" t="n">
        <v>15.5</v>
      </c>
      <c r="K146" s="5" t="n">
        <v>50.5</v>
      </c>
      <c r="L146" s="7" t="n">
        <v>11446.67</v>
      </c>
      <c r="M146" s="5" t="n">
        <v>0</v>
      </c>
      <c r="N146" s="7" t="n">
        <v>0</v>
      </c>
      <c r="O146" s="7" t="n">
        <v>21533.33</v>
      </c>
      <c r="P146" s="7" t="n">
        <v>32980</v>
      </c>
      <c r="Q146" s="7" t="n">
        <v>4024.67</v>
      </c>
      <c r="R146" s="7" t="n">
        <v>28955.33</v>
      </c>
    </row>
    <row r="147">
      <c r="A147" s="4" t="n">
        <v>261</v>
      </c>
      <c r="B147" s="4" t="inlineStr"/>
      <c r="C147" s="13" t="inlineStr">
        <is>
          <t>MUSTAFA KURT</t>
        </is>
      </c>
      <c r="D147" s="13" t="inlineStr">
        <is>
          <t>Bilinmeyen</t>
        </is>
      </c>
      <c r="E147" s="4" t="n">
        <v>11</v>
      </c>
      <c r="F147" s="7" t="n">
        <v>28075.5</v>
      </c>
      <c r="G147" s="7" t="n">
        <v>124.78</v>
      </c>
      <c r="H147" s="7" t="n">
        <v>187.17</v>
      </c>
      <c r="I147" s="5" t="n">
        <v>4.5</v>
      </c>
      <c r="J147" s="5" t="n">
        <v>0</v>
      </c>
      <c r="K147" s="5" t="n">
        <v>4.5</v>
      </c>
      <c r="L147" s="7" t="n">
        <v>842.27</v>
      </c>
      <c r="M147" s="5" t="n">
        <v>0</v>
      </c>
      <c r="N147" s="7" t="n">
        <v>0</v>
      </c>
      <c r="O147" s="7" t="n">
        <v>10294.35</v>
      </c>
      <c r="P147" s="7" t="n">
        <v>11136.61</v>
      </c>
      <c r="Q147" s="7" t="n">
        <v>0</v>
      </c>
      <c r="R147" s="7" t="n">
        <v>11136.61</v>
      </c>
    </row>
    <row r="148">
      <c r="A148" s="4" t="n">
        <v>262</v>
      </c>
      <c r="B148" s="4" t="inlineStr">
        <is>
          <t>21976553468</t>
        </is>
      </c>
      <c r="C148" s="13" t="inlineStr">
        <is>
          <t>MÜCAHİT ÇOLAK</t>
        </is>
      </c>
      <c r="D148" s="13" t="inlineStr">
        <is>
          <t>BALIK TEMİZLEME</t>
        </is>
      </c>
      <c r="E148" s="4" t="n">
        <v>17</v>
      </c>
      <c r="F148" s="7" t="n">
        <v>33000</v>
      </c>
      <c r="G148" s="7" t="n">
        <v>146.67</v>
      </c>
      <c r="H148" s="7" t="n">
        <v>220</v>
      </c>
      <c r="I148" s="5" t="n">
        <v>10</v>
      </c>
      <c r="J148" s="5" t="n">
        <v>0</v>
      </c>
      <c r="K148" s="5" t="n">
        <v>10</v>
      </c>
      <c r="L148" s="7" t="n">
        <v>2200</v>
      </c>
      <c r="M148" s="5" t="n">
        <v>0</v>
      </c>
      <c r="N148" s="7" t="n">
        <v>0</v>
      </c>
      <c r="O148" s="7" t="n">
        <v>18700</v>
      </c>
      <c r="P148" s="7" t="n">
        <v>20900</v>
      </c>
      <c r="Q148" s="7" t="n">
        <v>31100</v>
      </c>
      <c r="R148" s="7" t="n">
        <v>0</v>
      </c>
    </row>
    <row r="149">
      <c r="A149" s="4" t="n">
        <v>265</v>
      </c>
      <c r="B149" s="4" t="inlineStr">
        <is>
          <t>31195265912</t>
        </is>
      </c>
      <c r="C149" s="13" t="inlineStr">
        <is>
          <t>MÜRVET ÇAKAN</t>
        </is>
      </c>
      <c r="D149" s="13" t="inlineStr">
        <is>
          <t>BALIK TEMİZLEME</t>
        </is>
      </c>
      <c r="E149" s="4" t="n">
        <v>15</v>
      </c>
      <c r="F149" s="7" t="n">
        <v>33000</v>
      </c>
      <c r="G149" s="7" t="n">
        <v>146.67</v>
      </c>
      <c r="H149" s="7" t="n">
        <v>220</v>
      </c>
      <c r="I149" s="5" t="n">
        <v>7.5</v>
      </c>
      <c r="J149" s="5" t="n">
        <v>0</v>
      </c>
      <c r="K149" s="5" t="n">
        <v>7.5</v>
      </c>
      <c r="L149" s="7" t="n">
        <v>1650</v>
      </c>
      <c r="M149" s="5" t="n">
        <v>0</v>
      </c>
      <c r="N149" s="7" t="n">
        <v>0</v>
      </c>
      <c r="O149" s="7" t="n">
        <v>16500</v>
      </c>
      <c r="P149" s="7" t="n">
        <v>18150</v>
      </c>
      <c r="Q149" s="7" t="n">
        <v>24891.6</v>
      </c>
      <c r="R149" s="7" t="n">
        <v>0</v>
      </c>
    </row>
    <row r="150">
      <c r="A150" s="4" t="n">
        <v>266</v>
      </c>
      <c r="B150" s="4" t="inlineStr">
        <is>
          <t>23539402008</t>
        </is>
      </c>
      <c r="C150" s="13" t="inlineStr">
        <is>
          <t>MÜRVET ŞAFAK</t>
        </is>
      </c>
      <c r="D150" s="13" t="inlineStr">
        <is>
          <t>ÜRETİM</t>
        </is>
      </c>
      <c r="E150" s="4" t="n">
        <v>11</v>
      </c>
      <c r="F150" s="7" t="n">
        <v>28075.5</v>
      </c>
      <c r="G150" s="7" t="n">
        <v>124.78</v>
      </c>
      <c r="H150" s="7" t="n">
        <v>187.17</v>
      </c>
      <c r="I150" s="5" t="n">
        <v>3</v>
      </c>
      <c r="J150" s="5" t="n">
        <v>0</v>
      </c>
      <c r="K150" s="5" t="n">
        <v>3</v>
      </c>
      <c r="L150" s="7" t="n">
        <v>561.51</v>
      </c>
      <c r="M150" s="5" t="n">
        <v>0</v>
      </c>
      <c r="N150" s="7" t="n">
        <v>0</v>
      </c>
      <c r="O150" s="7" t="n">
        <v>10294.35</v>
      </c>
      <c r="P150" s="7" t="n">
        <v>10855.86</v>
      </c>
      <c r="Q150" s="7" t="n">
        <v>20775.87</v>
      </c>
      <c r="R150" s="7" t="n">
        <v>0</v>
      </c>
    </row>
    <row r="151">
      <c r="A151" s="4" t="n">
        <v>268</v>
      </c>
      <c r="B151" s="4" t="inlineStr">
        <is>
          <t>33124024560</t>
        </is>
      </c>
      <c r="C151" s="13" t="inlineStr">
        <is>
          <t>MÜZEYYEN ERDİNÇ</t>
        </is>
      </c>
      <c r="D151" s="13" t="inlineStr">
        <is>
          <t>BALIK TEMİZLEME</t>
        </is>
      </c>
      <c r="E151" s="4" t="n">
        <v>17</v>
      </c>
      <c r="F151" s="7" t="n">
        <v>33000</v>
      </c>
      <c r="G151" s="7" t="n">
        <v>146.67</v>
      </c>
      <c r="H151" s="7" t="n">
        <v>220</v>
      </c>
      <c r="I151" s="5" t="n">
        <v>10</v>
      </c>
      <c r="J151" s="5" t="n">
        <v>0</v>
      </c>
      <c r="K151" s="5" t="n">
        <v>10</v>
      </c>
      <c r="L151" s="7" t="n">
        <v>2200</v>
      </c>
      <c r="M151" s="5" t="n">
        <v>0</v>
      </c>
      <c r="N151" s="7" t="n">
        <v>0</v>
      </c>
      <c r="O151" s="7" t="n">
        <v>18700</v>
      </c>
      <c r="P151" s="7" t="n">
        <v>20900</v>
      </c>
      <c r="Q151" s="7" t="n">
        <v>4024.67</v>
      </c>
      <c r="R151" s="7" t="n">
        <v>16875.33</v>
      </c>
    </row>
    <row r="152">
      <c r="A152" s="4" t="n">
        <v>270</v>
      </c>
      <c r="B152" s="4" t="inlineStr">
        <is>
          <t>12556753194</t>
        </is>
      </c>
      <c r="C152" s="13" t="inlineStr">
        <is>
          <t>NACİYE KARABULUT</t>
        </is>
      </c>
      <c r="D152" s="13" t="inlineStr">
        <is>
          <t>BALIK TEMİZLEME</t>
        </is>
      </c>
      <c r="E152" s="4" t="n">
        <v>17</v>
      </c>
      <c r="F152" s="7" t="n">
        <v>33000</v>
      </c>
      <c r="G152" s="7" t="n">
        <v>146.67</v>
      </c>
      <c r="H152" s="7" t="n">
        <v>220</v>
      </c>
      <c r="I152" s="5" t="n">
        <v>9.5</v>
      </c>
      <c r="J152" s="5" t="n">
        <v>0</v>
      </c>
      <c r="K152" s="5" t="n">
        <v>9.5</v>
      </c>
      <c r="L152" s="7" t="n">
        <v>2090</v>
      </c>
      <c r="M152" s="5" t="n">
        <v>0</v>
      </c>
      <c r="N152" s="7" t="n">
        <v>0</v>
      </c>
      <c r="O152" s="7" t="n">
        <v>18700</v>
      </c>
      <c r="P152" s="7" t="n">
        <v>20790</v>
      </c>
      <c r="Q152" s="7" t="n">
        <v>30126.3</v>
      </c>
      <c r="R152" s="7" t="n">
        <v>0</v>
      </c>
    </row>
    <row r="153">
      <c r="A153" s="4" t="n">
        <v>271</v>
      </c>
      <c r="B153" s="4" t="inlineStr">
        <is>
          <t>28510235804</t>
        </is>
      </c>
      <c r="C153" s="13" t="inlineStr">
        <is>
          <t>NAİL AKSOY</t>
        </is>
      </c>
      <c r="D153" s="13" t="inlineStr">
        <is>
          <t>ŞÖFÖR</t>
        </is>
      </c>
      <c r="E153" s="4" t="n">
        <v>18</v>
      </c>
      <c r="F153" s="7" t="n">
        <v>30185</v>
      </c>
      <c r="G153" s="7" t="n">
        <v>134.16</v>
      </c>
      <c r="H153" s="7" t="n">
        <v>201.23</v>
      </c>
      <c r="I153" s="5" t="n">
        <v>1</v>
      </c>
      <c r="J153" s="5" t="n">
        <v>15</v>
      </c>
      <c r="K153" s="5" t="n">
        <v>16</v>
      </c>
      <c r="L153" s="7" t="n">
        <v>3219.73</v>
      </c>
      <c r="M153" s="5" t="n">
        <v>0</v>
      </c>
      <c r="N153" s="7" t="n">
        <v>0</v>
      </c>
      <c r="O153" s="7" t="n">
        <v>18111</v>
      </c>
      <c r="P153" s="7" t="n">
        <v>21330.73</v>
      </c>
      <c r="Q153" s="7" t="n">
        <v>4024.67</v>
      </c>
      <c r="R153" s="7" t="n">
        <v>17306.06</v>
      </c>
    </row>
    <row r="154">
      <c r="A154" s="4" t="n">
        <v>273</v>
      </c>
      <c r="B154" s="4" t="inlineStr">
        <is>
          <t>16324748870</t>
        </is>
      </c>
      <c r="C154" s="13" t="inlineStr">
        <is>
          <t>NAZMİYE ÇELİK</t>
        </is>
      </c>
      <c r="D154" s="13" t="inlineStr">
        <is>
          <t>BALIK TEMİZLEME</t>
        </is>
      </c>
      <c r="E154" s="4" t="n">
        <v>17</v>
      </c>
      <c r="F154" s="7" t="n">
        <v>33000</v>
      </c>
      <c r="G154" s="7" t="n">
        <v>146.67</v>
      </c>
      <c r="H154" s="7" t="n">
        <v>220</v>
      </c>
      <c r="I154" s="5" t="n">
        <v>10</v>
      </c>
      <c r="J154" s="5" t="n">
        <v>0</v>
      </c>
      <c r="K154" s="5" t="n">
        <v>10</v>
      </c>
      <c r="L154" s="7" t="n">
        <v>2200</v>
      </c>
      <c r="M154" s="5" t="n">
        <v>0</v>
      </c>
      <c r="N154" s="7" t="n">
        <v>0</v>
      </c>
      <c r="O154" s="7" t="n">
        <v>18700</v>
      </c>
      <c r="P154" s="7" t="n">
        <v>20900</v>
      </c>
      <c r="Q154" s="7" t="n">
        <v>29050.3</v>
      </c>
      <c r="R154" s="7" t="n">
        <v>0</v>
      </c>
    </row>
    <row r="155">
      <c r="A155" s="4" t="n">
        <v>274</v>
      </c>
      <c r="B155" s="4" t="inlineStr">
        <is>
          <t>54874132756</t>
        </is>
      </c>
      <c r="C155" s="13" t="inlineStr">
        <is>
          <t>NECİFE BAĞ</t>
        </is>
      </c>
      <c r="D155" s="13" t="inlineStr">
        <is>
          <t>BALIK TEMİZLEME</t>
        </is>
      </c>
      <c r="E155" s="4" t="n">
        <v>14</v>
      </c>
      <c r="F155" s="7" t="n">
        <v>33000</v>
      </c>
      <c r="G155" s="7" t="n">
        <v>146.67</v>
      </c>
      <c r="H155" s="7" t="n">
        <v>220</v>
      </c>
      <c r="I155" s="5" t="n">
        <v>8.5</v>
      </c>
      <c r="J155" s="5" t="n">
        <v>0</v>
      </c>
      <c r="K155" s="5" t="n">
        <v>8.5</v>
      </c>
      <c r="L155" s="7" t="n">
        <v>1870</v>
      </c>
      <c r="M155" s="5" t="n">
        <v>0</v>
      </c>
      <c r="N155" s="7" t="n">
        <v>0</v>
      </c>
      <c r="O155" s="7" t="n">
        <v>15400</v>
      </c>
      <c r="P155" s="7" t="n">
        <v>17270</v>
      </c>
      <c r="Q155" s="7" t="n">
        <v>18911.4</v>
      </c>
      <c r="R155" s="7" t="n">
        <v>0</v>
      </c>
    </row>
    <row r="156">
      <c r="A156" s="4" t="n">
        <v>275</v>
      </c>
      <c r="B156" s="4" t="inlineStr">
        <is>
          <t>38710924712</t>
        </is>
      </c>
      <c r="C156" s="13" t="inlineStr">
        <is>
          <t>NECLA ABİ</t>
        </is>
      </c>
      <c r="D156" s="13" t="inlineStr">
        <is>
          <t>BALIK TEMİZLEME</t>
        </is>
      </c>
      <c r="E156" s="4" t="n">
        <v>17</v>
      </c>
      <c r="F156" s="7" t="n">
        <v>33000</v>
      </c>
      <c r="G156" s="7" t="n">
        <v>146.67</v>
      </c>
      <c r="H156" s="7" t="n">
        <v>220</v>
      </c>
      <c r="I156" s="5" t="n">
        <v>10.5</v>
      </c>
      <c r="J156" s="5" t="n">
        <v>0</v>
      </c>
      <c r="K156" s="5" t="n">
        <v>10.5</v>
      </c>
      <c r="L156" s="7" t="n">
        <v>2310</v>
      </c>
      <c r="M156" s="5" t="n">
        <v>0</v>
      </c>
      <c r="N156" s="7" t="n">
        <v>0</v>
      </c>
      <c r="O156" s="7" t="n">
        <v>18700</v>
      </c>
      <c r="P156" s="7" t="n">
        <v>21010</v>
      </c>
      <c r="Q156" s="7" t="n">
        <v>5717.4</v>
      </c>
      <c r="R156" s="7" t="n">
        <v>15292.6</v>
      </c>
    </row>
    <row r="157">
      <c r="A157" s="4" t="n">
        <v>276</v>
      </c>
      <c r="B157" s="4" t="inlineStr">
        <is>
          <t>24031385950</t>
        </is>
      </c>
      <c r="C157" s="13" t="inlineStr">
        <is>
          <t>NECMİ SEVER</t>
        </is>
      </c>
      <c r="D157" s="13" t="inlineStr">
        <is>
          <t>MEYDAN</t>
        </is>
      </c>
      <c r="E157" s="4" t="n">
        <v>18</v>
      </c>
      <c r="F157" s="7" t="n">
        <v>28075.5</v>
      </c>
      <c r="G157" s="7" t="n">
        <v>124.78</v>
      </c>
      <c r="H157" s="7" t="n">
        <v>187.17</v>
      </c>
      <c r="I157" s="5" t="n">
        <v>0.5</v>
      </c>
      <c r="J157" s="5" t="n">
        <v>7.5</v>
      </c>
      <c r="K157" s="5" t="n">
        <v>8</v>
      </c>
      <c r="L157" s="7" t="n">
        <v>1497.36</v>
      </c>
      <c r="M157" s="5" t="n">
        <v>0</v>
      </c>
      <c r="N157" s="7" t="n">
        <v>0</v>
      </c>
      <c r="O157" s="7" t="n">
        <v>16845.3</v>
      </c>
      <c r="P157" s="7" t="n">
        <v>18342.66</v>
      </c>
      <c r="Q157" s="7" t="n">
        <v>26640.48</v>
      </c>
      <c r="R157" s="7" t="n">
        <v>0</v>
      </c>
    </row>
    <row r="158">
      <c r="A158" s="4" t="n">
        <v>277</v>
      </c>
      <c r="B158" s="4" t="inlineStr">
        <is>
          <t>21991561554</t>
        </is>
      </c>
      <c r="C158" s="13" t="inlineStr">
        <is>
          <t>NECMİYE ÜÜLKER</t>
        </is>
      </c>
      <c r="D158" s="13" t="inlineStr">
        <is>
          <t>BALIK TEMİZLEME</t>
        </is>
      </c>
      <c r="E158" s="4" t="n">
        <v>17</v>
      </c>
      <c r="F158" s="7" t="n">
        <v>33000</v>
      </c>
      <c r="G158" s="7" t="n">
        <v>146.67</v>
      </c>
      <c r="H158" s="7" t="n">
        <v>220</v>
      </c>
      <c r="I158" s="5" t="n">
        <v>9.5</v>
      </c>
      <c r="J158" s="5" t="n">
        <v>0</v>
      </c>
      <c r="K158" s="5" t="n">
        <v>9.5</v>
      </c>
      <c r="L158" s="7" t="n">
        <v>2090</v>
      </c>
      <c r="M158" s="5" t="n">
        <v>0</v>
      </c>
      <c r="N158" s="7" t="n">
        <v>0</v>
      </c>
      <c r="O158" s="7" t="n">
        <v>18700</v>
      </c>
      <c r="P158" s="7" t="n">
        <v>20790</v>
      </c>
      <c r="Q158" s="7" t="n">
        <v>32325.3</v>
      </c>
      <c r="R158" s="7" t="n">
        <v>0</v>
      </c>
    </row>
    <row r="159">
      <c r="A159" s="4" t="n">
        <v>278</v>
      </c>
      <c r="B159" s="4" t="inlineStr">
        <is>
          <t>15842906410</t>
        </is>
      </c>
      <c r="C159" s="13" t="inlineStr">
        <is>
          <t>NERMİN BİÇER</t>
        </is>
      </c>
      <c r="D159" s="13" t="inlineStr">
        <is>
          <t>ÜRETİM</t>
        </is>
      </c>
      <c r="E159" s="4" t="n">
        <v>5</v>
      </c>
      <c r="F159" s="7" t="n">
        <v>28075.5</v>
      </c>
      <c r="G159" s="7" t="n">
        <v>124.78</v>
      </c>
      <c r="H159" s="7" t="n">
        <v>187.17</v>
      </c>
      <c r="I159" s="5" t="n">
        <v>0</v>
      </c>
      <c r="J159" s="5" t="n">
        <v>0</v>
      </c>
      <c r="K159" s="5" t="n">
        <v>0</v>
      </c>
      <c r="L159" s="7" t="n">
        <v>0</v>
      </c>
      <c r="M159" s="5" t="n">
        <v>0</v>
      </c>
      <c r="N159" s="7" t="n">
        <v>0</v>
      </c>
      <c r="O159" s="7" t="n">
        <v>4679.25</v>
      </c>
      <c r="P159" s="7" t="n">
        <v>4679.25</v>
      </c>
      <c r="Q159" s="7" t="n">
        <v>34855.2</v>
      </c>
      <c r="R159" s="7" t="n">
        <v>0</v>
      </c>
    </row>
    <row r="160">
      <c r="A160" s="4" t="n">
        <v>279</v>
      </c>
      <c r="B160" s="4" t="inlineStr">
        <is>
          <t>14452686422</t>
        </is>
      </c>
      <c r="C160" s="13" t="inlineStr">
        <is>
          <t>NESRİN GÜZEL</t>
        </is>
      </c>
      <c r="D160" s="13" t="inlineStr">
        <is>
          <t>BALIK TEMİZLEME</t>
        </is>
      </c>
      <c r="E160" s="4" t="n">
        <v>17</v>
      </c>
      <c r="F160" s="7" t="n">
        <v>33000</v>
      </c>
      <c r="G160" s="7" t="n">
        <v>146.67</v>
      </c>
      <c r="H160" s="7" t="n">
        <v>220</v>
      </c>
      <c r="I160" s="5" t="n">
        <v>9.5</v>
      </c>
      <c r="J160" s="5" t="n">
        <v>0</v>
      </c>
      <c r="K160" s="5" t="n">
        <v>9.5</v>
      </c>
      <c r="L160" s="7" t="n">
        <v>2090</v>
      </c>
      <c r="M160" s="5" t="n">
        <v>0</v>
      </c>
      <c r="N160" s="7" t="n">
        <v>0</v>
      </c>
      <c r="O160" s="7" t="n">
        <v>18700</v>
      </c>
      <c r="P160" s="7" t="n">
        <v>20790</v>
      </c>
      <c r="Q160" s="7" t="n">
        <v>34597.6</v>
      </c>
      <c r="R160" s="7" t="n">
        <v>0</v>
      </c>
    </row>
    <row r="161">
      <c r="A161" s="4" t="n">
        <v>284</v>
      </c>
      <c r="B161" s="4" t="inlineStr">
        <is>
          <t>17902565544</t>
        </is>
      </c>
      <c r="C161" s="13" t="inlineStr">
        <is>
          <t>NURAY AVCI</t>
        </is>
      </c>
      <c r="D161" s="13" t="inlineStr">
        <is>
          <t>YEMEKHANE</t>
        </is>
      </c>
      <c r="E161" s="4" t="n">
        <v>16</v>
      </c>
      <c r="F161" s="7" t="n">
        <v>28075.5</v>
      </c>
      <c r="G161" s="7" t="n">
        <v>124.78</v>
      </c>
      <c r="H161" s="7" t="n">
        <v>187.17</v>
      </c>
      <c r="I161" s="5" t="n">
        <v>8.5</v>
      </c>
      <c r="J161" s="5" t="n">
        <v>0</v>
      </c>
      <c r="K161" s="5" t="n">
        <v>8.5</v>
      </c>
      <c r="L161" s="7" t="n">
        <v>1590.95</v>
      </c>
      <c r="M161" s="5" t="n">
        <v>0</v>
      </c>
      <c r="N161" s="7" t="n">
        <v>0</v>
      </c>
      <c r="O161" s="7" t="n">
        <v>14973.6</v>
      </c>
      <c r="P161" s="7" t="n">
        <v>16564.55</v>
      </c>
      <c r="Q161" s="7" t="n">
        <v>23770.11</v>
      </c>
      <c r="R161" s="7" t="n">
        <v>0</v>
      </c>
    </row>
    <row r="162">
      <c r="A162" s="4" t="n">
        <v>285</v>
      </c>
      <c r="B162" s="4" t="inlineStr">
        <is>
          <t>25970637896</t>
        </is>
      </c>
      <c r="C162" s="13" t="inlineStr">
        <is>
          <t>NURAY ELİSÇIKIŞ</t>
        </is>
      </c>
      <c r="D162" s="13" t="inlineStr">
        <is>
          <t>AMBAR</t>
        </is>
      </c>
      <c r="E162" s="4" t="n">
        <v>16</v>
      </c>
      <c r="F162" s="7" t="n">
        <v>28075.5</v>
      </c>
      <c r="G162" s="7" t="n">
        <v>124.78</v>
      </c>
      <c r="H162" s="7" t="n">
        <v>187.17</v>
      </c>
      <c r="I162" s="5" t="n">
        <v>8</v>
      </c>
      <c r="J162" s="5" t="n">
        <v>0</v>
      </c>
      <c r="K162" s="5" t="n">
        <v>8</v>
      </c>
      <c r="L162" s="7" t="n">
        <v>1497.36</v>
      </c>
      <c r="M162" s="5" t="n">
        <v>0</v>
      </c>
      <c r="N162" s="7" t="n">
        <v>0</v>
      </c>
      <c r="O162" s="7" t="n">
        <v>14973.6</v>
      </c>
      <c r="P162" s="7" t="n">
        <v>16470.96</v>
      </c>
      <c r="Q162" s="7" t="n">
        <v>21898.45</v>
      </c>
      <c r="R162" s="7" t="n">
        <v>0</v>
      </c>
    </row>
    <row r="163">
      <c r="A163" s="4" t="n">
        <v>286</v>
      </c>
      <c r="B163" s="4" t="inlineStr">
        <is>
          <t>38449011448</t>
        </is>
      </c>
      <c r="C163" s="13" t="inlineStr">
        <is>
          <t>NURAY LAÇİN</t>
        </is>
      </c>
      <c r="D163" s="13" t="inlineStr">
        <is>
          <t>ÜRETİM</t>
        </is>
      </c>
      <c r="E163" s="4" t="n">
        <v>7</v>
      </c>
      <c r="F163" s="7" t="n">
        <v>28075.5</v>
      </c>
      <c r="G163" s="7" t="n">
        <v>124.78</v>
      </c>
      <c r="H163" s="7" t="n">
        <v>187.17</v>
      </c>
      <c r="I163" s="5" t="n">
        <v>5.5</v>
      </c>
      <c r="J163" s="5" t="n">
        <v>0</v>
      </c>
      <c r="K163" s="5" t="n">
        <v>5.5</v>
      </c>
      <c r="L163" s="7" t="n">
        <v>1029.44</v>
      </c>
      <c r="M163" s="5" t="n">
        <v>0</v>
      </c>
      <c r="N163" s="7" t="n">
        <v>0</v>
      </c>
      <c r="O163" s="7" t="n">
        <v>6550.95</v>
      </c>
      <c r="P163" s="7" t="n">
        <v>7580.39</v>
      </c>
      <c r="Q163" s="7" t="n">
        <v>21728.79</v>
      </c>
      <c r="R163" s="7" t="n">
        <v>0</v>
      </c>
    </row>
    <row r="164">
      <c r="A164" s="4" t="n">
        <v>287</v>
      </c>
      <c r="B164" s="4" t="inlineStr">
        <is>
          <t>21478446602</t>
        </is>
      </c>
      <c r="C164" s="13" t="inlineStr">
        <is>
          <t>NURCAN EREN</t>
        </is>
      </c>
      <c r="D164" s="13" t="inlineStr">
        <is>
          <t>BALIK TEMİZLEME</t>
        </is>
      </c>
      <c r="E164" s="4" t="n">
        <v>16</v>
      </c>
      <c r="F164" s="7" t="n">
        <v>33000</v>
      </c>
      <c r="G164" s="7" t="n">
        <v>146.67</v>
      </c>
      <c r="H164" s="7" t="n">
        <v>220</v>
      </c>
      <c r="I164" s="5" t="n">
        <v>8.5</v>
      </c>
      <c r="J164" s="5" t="n">
        <v>0</v>
      </c>
      <c r="K164" s="5" t="n">
        <v>8.5</v>
      </c>
      <c r="L164" s="7" t="n">
        <v>1870</v>
      </c>
      <c r="M164" s="5" t="n">
        <v>0</v>
      </c>
      <c r="N164" s="7" t="n">
        <v>0</v>
      </c>
      <c r="O164" s="7" t="n">
        <v>17600</v>
      </c>
      <c r="P164" s="7" t="n">
        <v>19470</v>
      </c>
      <c r="Q164" s="7" t="n">
        <v>26681.2</v>
      </c>
      <c r="R164" s="7" t="n">
        <v>0</v>
      </c>
    </row>
    <row r="165">
      <c r="A165" s="4" t="n">
        <v>289</v>
      </c>
      <c r="B165" s="4" t="inlineStr">
        <is>
          <t>15736612786</t>
        </is>
      </c>
      <c r="C165" s="13" t="inlineStr">
        <is>
          <t>NURGÜL ADIGÜL</t>
        </is>
      </c>
      <c r="D165" s="13" t="inlineStr">
        <is>
          <t>ÜRETİM</t>
        </is>
      </c>
      <c r="E165" s="4" t="n">
        <v>17</v>
      </c>
      <c r="F165" s="7" t="n">
        <v>28075.5</v>
      </c>
      <c r="G165" s="7" t="n">
        <v>124.78</v>
      </c>
      <c r="H165" s="7" t="n">
        <v>187.17</v>
      </c>
      <c r="I165" s="5" t="n">
        <v>5</v>
      </c>
      <c r="J165" s="5" t="n">
        <v>0</v>
      </c>
      <c r="K165" s="5" t="n">
        <v>5</v>
      </c>
      <c r="L165" s="7" t="n">
        <v>935.85</v>
      </c>
      <c r="M165" s="5" t="n">
        <v>0</v>
      </c>
      <c r="N165" s="7" t="n">
        <v>0</v>
      </c>
      <c r="O165" s="7" t="n">
        <v>15909.45</v>
      </c>
      <c r="P165" s="7" t="n">
        <v>16845.3</v>
      </c>
      <c r="Q165" s="7" t="n">
        <v>11737.05</v>
      </c>
      <c r="R165" s="7" t="n">
        <v>5108.25</v>
      </c>
    </row>
    <row r="166">
      <c r="A166" s="4" t="n">
        <v>290</v>
      </c>
      <c r="B166" s="4" t="inlineStr">
        <is>
          <t>13318692676</t>
        </is>
      </c>
      <c r="C166" s="13" t="inlineStr">
        <is>
          <t>NURGÜL PARLAS</t>
        </is>
      </c>
      <c r="D166" s="13" t="inlineStr">
        <is>
          <t>ÜRETİM</t>
        </is>
      </c>
      <c r="E166" s="4" t="n">
        <v>17</v>
      </c>
      <c r="F166" s="7" t="n">
        <v>28075.5</v>
      </c>
      <c r="G166" s="7" t="n">
        <v>124.78</v>
      </c>
      <c r="H166" s="7" t="n">
        <v>187.17</v>
      </c>
      <c r="I166" s="5" t="n">
        <v>5</v>
      </c>
      <c r="J166" s="5" t="n">
        <v>0</v>
      </c>
      <c r="K166" s="5" t="n">
        <v>5</v>
      </c>
      <c r="L166" s="7" t="n">
        <v>935.85</v>
      </c>
      <c r="M166" s="5" t="n">
        <v>0</v>
      </c>
      <c r="N166" s="7" t="n">
        <v>0</v>
      </c>
      <c r="O166" s="7" t="n">
        <v>15909.45</v>
      </c>
      <c r="P166" s="7" t="n">
        <v>16845.3</v>
      </c>
      <c r="Q166" s="7" t="n">
        <v>15085.18</v>
      </c>
      <c r="R166" s="7" t="n">
        <v>1760.12</v>
      </c>
    </row>
    <row r="167">
      <c r="A167" s="4" t="n">
        <v>292</v>
      </c>
      <c r="B167" s="4" t="inlineStr">
        <is>
          <t>13420739290</t>
        </is>
      </c>
      <c r="C167" s="13" t="inlineStr">
        <is>
          <t>NURİ GÜLSER</t>
        </is>
      </c>
      <c r="D167" s="13" t="inlineStr">
        <is>
          <t>KAPI GÖREVLİSİ</t>
        </is>
      </c>
      <c r="E167" s="4" t="n">
        <v>19</v>
      </c>
      <c r="F167" s="7" t="n">
        <v>30185</v>
      </c>
      <c r="G167" s="7" t="n">
        <v>134.16</v>
      </c>
      <c r="H167" s="7" t="n">
        <v>201.23</v>
      </c>
      <c r="I167" s="5" t="n">
        <v>0</v>
      </c>
      <c r="J167" s="5" t="n">
        <v>22.5</v>
      </c>
      <c r="K167" s="5" t="n">
        <v>22.5</v>
      </c>
      <c r="L167" s="7" t="n">
        <v>4527.75</v>
      </c>
      <c r="M167" s="5" t="n">
        <v>0</v>
      </c>
      <c r="N167" s="7" t="n">
        <v>0</v>
      </c>
      <c r="O167" s="7" t="n">
        <v>19117.17</v>
      </c>
      <c r="P167" s="7" t="n">
        <v>23644.92</v>
      </c>
      <c r="Q167" s="7" t="n">
        <v>4024.67</v>
      </c>
      <c r="R167" s="7" t="n">
        <v>19620.25</v>
      </c>
    </row>
    <row r="168">
      <c r="A168" s="4" t="n">
        <v>293</v>
      </c>
      <c r="B168" s="4" t="inlineStr">
        <is>
          <t>52996654668</t>
        </is>
      </c>
      <c r="C168" s="13" t="inlineStr">
        <is>
          <t>NURİYE AKKUŞ</t>
        </is>
      </c>
      <c r="D168" s="13" t="inlineStr">
        <is>
          <t>BALIK TEMİZLEME</t>
        </is>
      </c>
      <c r="E168" s="4" t="n">
        <v>15</v>
      </c>
      <c r="F168" s="7" t="n">
        <v>33000</v>
      </c>
      <c r="G168" s="7" t="n">
        <v>146.67</v>
      </c>
      <c r="H168" s="7" t="n">
        <v>220</v>
      </c>
      <c r="I168" s="5" t="n">
        <v>9.5</v>
      </c>
      <c r="J168" s="5" t="n">
        <v>0</v>
      </c>
      <c r="K168" s="5" t="n">
        <v>9.5</v>
      </c>
      <c r="L168" s="7" t="n">
        <v>2090</v>
      </c>
      <c r="M168" s="5" t="n">
        <v>0</v>
      </c>
      <c r="N168" s="7" t="n">
        <v>0</v>
      </c>
      <c r="O168" s="7" t="n">
        <v>16500</v>
      </c>
      <c r="P168" s="7" t="n">
        <v>18590</v>
      </c>
      <c r="Q168" s="7" t="n">
        <v>14513.4</v>
      </c>
      <c r="R168" s="7" t="n">
        <v>4076.6</v>
      </c>
    </row>
    <row r="169">
      <c r="A169" s="4" t="n">
        <v>297</v>
      </c>
      <c r="B169" s="4" t="inlineStr">
        <is>
          <t>22186447318</t>
        </is>
      </c>
      <c r="C169" s="13" t="inlineStr">
        <is>
          <t>NURTEN CAN</t>
        </is>
      </c>
      <c r="D169" s="13" t="inlineStr">
        <is>
          <t>ÜRETİM</t>
        </is>
      </c>
      <c r="E169" s="4" t="n">
        <v>14</v>
      </c>
      <c r="F169" s="7" t="n">
        <v>28075.5</v>
      </c>
      <c r="G169" s="7" t="n">
        <v>124.78</v>
      </c>
      <c r="H169" s="7" t="n">
        <v>187.17</v>
      </c>
      <c r="I169" s="5" t="n">
        <v>5</v>
      </c>
      <c r="J169" s="5" t="n">
        <v>0</v>
      </c>
      <c r="K169" s="5" t="n">
        <v>5</v>
      </c>
      <c r="L169" s="7" t="n">
        <v>935.85</v>
      </c>
      <c r="M169" s="5" t="n">
        <v>0</v>
      </c>
      <c r="N169" s="7" t="n">
        <v>0</v>
      </c>
      <c r="O169" s="7" t="n">
        <v>13101.9</v>
      </c>
      <c r="P169" s="7" t="n">
        <v>14037.75</v>
      </c>
      <c r="Q169" s="7" t="n">
        <v>22459.95</v>
      </c>
      <c r="R169" s="7" t="n">
        <v>0</v>
      </c>
    </row>
    <row r="170">
      <c r="A170" s="4" t="n">
        <v>298</v>
      </c>
      <c r="B170" s="4" t="inlineStr">
        <is>
          <t>27289383990</t>
        </is>
      </c>
      <c r="C170" s="13" t="inlineStr">
        <is>
          <t>NURTEN ERDEM</t>
        </is>
      </c>
      <c r="D170" s="13" t="inlineStr">
        <is>
          <t>BALIK TEMİZLEME</t>
        </is>
      </c>
      <c r="E170" s="4" t="n">
        <v>12</v>
      </c>
      <c r="F170" s="7" t="n">
        <v>33000</v>
      </c>
      <c r="G170" s="7" t="n">
        <v>146.67</v>
      </c>
      <c r="H170" s="7" t="n">
        <v>220</v>
      </c>
      <c r="I170" s="5" t="n">
        <v>9</v>
      </c>
      <c r="J170" s="5" t="n">
        <v>0</v>
      </c>
      <c r="K170" s="5" t="n">
        <v>9</v>
      </c>
      <c r="L170" s="7" t="n">
        <v>1980</v>
      </c>
      <c r="M170" s="5" t="n">
        <v>0</v>
      </c>
      <c r="N170" s="7" t="n">
        <v>0</v>
      </c>
      <c r="O170" s="7" t="n">
        <v>13200</v>
      </c>
      <c r="P170" s="7" t="n">
        <v>15180</v>
      </c>
      <c r="Q170" s="7" t="n">
        <v>32105.4</v>
      </c>
      <c r="R170" s="7" t="n">
        <v>0</v>
      </c>
    </row>
    <row r="171">
      <c r="A171" s="4" t="n">
        <v>302</v>
      </c>
      <c r="B171" s="4" t="inlineStr">
        <is>
          <t>13189854302</t>
        </is>
      </c>
      <c r="C171" s="13" t="inlineStr">
        <is>
          <t>OZAN BUĞA</t>
        </is>
      </c>
      <c r="D171" s="13" t="inlineStr">
        <is>
          <t>BAKIM</t>
        </is>
      </c>
      <c r="E171" s="4" t="n">
        <v>18</v>
      </c>
      <c r="F171" s="7" t="n">
        <v>42000</v>
      </c>
      <c r="G171" s="7" t="n">
        <v>186.67</v>
      </c>
      <c r="H171" s="7" t="n">
        <v>280</v>
      </c>
      <c r="I171" s="5" t="n">
        <v>4.5</v>
      </c>
      <c r="J171" s="5" t="n">
        <v>7</v>
      </c>
      <c r="K171" s="5" t="n">
        <v>11.5</v>
      </c>
      <c r="L171" s="7" t="n">
        <v>3220</v>
      </c>
      <c r="M171" s="5" t="n">
        <v>0</v>
      </c>
      <c r="N171" s="7" t="n">
        <v>0</v>
      </c>
      <c r="O171" s="7" t="n">
        <v>25200</v>
      </c>
      <c r="P171" s="7" t="n">
        <v>28420</v>
      </c>
      <c r="Q171" s="7" t="n">
        <v>40607.25</v>
      </c>
      <c r="R171" s="7" t="n">
        <v>0</v>
      </c>
    </row>
    <row r="172">
      <c r="A172" s="4" t="n">
        <v>305</v>
      </c>
      <c r="B172" s="4" t="inlineStr">
        <is>
          <t>33037193346</t>
        </is>
      </c>
      <c r="C172" s="13" t="inlineStr">
        <is>
          <t>ÖMÜR SEPETÇİ</t>
        </is>
      </c>
      <c r="D172" s="13" t="inlineStr">
        <is>
          <t>ÜRETİM</t>
        </is>
      </c>
      <c r="E172" s="4" t="n">
        <v>16</v>
      </c>
      <c r="F172" s="7" t="n">
        <v>33000</v>
      </c>
      <c r="G172" s="7" t="n">
        <v>146.67</v>
      </c>
      <c r="H172" s="7" t="n">
        <v>220</v>
      </c>
      <c r="I172" s="5" t="n">
        <v>11</v>
      </c>
      <c r="J172" s="5" t="n">
        <v>10</v>
      </c>
      <c r="K172" s="5" t="n">
        <v>21</v>
      </c>
      <c r="L172" s="7" t="n">
        <v>4620</v>
      </c>
      <c r="M172" s="5" t="n">
        <v>0</v>
      </c>
      <c r="N172" s="7" t="n">
        <v>0</v>
      </c>
      <c r="O172" s="7" t="n">
        <v>17600</v>
      </c>
      <c r="P172" s="7" t="n">
        <v>22220</v>
      </c>
      <c r="Q172" s="7" t="n">
        <v>16052.1</v>
      </c>
      <c r="R172" s="7" t="n">
        <v>6167.9</v>
      </c>
    </row>
    <row r="173">
      <c r="A173" s="4" t="n">
        <v>306</v>
      </c>
      <c r="B173" s="4" t="inlineStr">
        <is>
          <t>27235386938</t>
        </is>
      </c>
      <c r="C173" s="13" t="inlineStr">
        <is>
          <t>ÖMÜRLÜ FERİK</t>
        </is>
      </c>
      <c r="D173" s="13" t="inlineStr">
        <is>
          <t>KAZAN</t>
        </is>
      </c>
      <c r="E173" s="4" t="n">
        <v>18</v>
      </c>
      <c r="F173" s="7" t="n">
        <v>30185</v>
      </c>
      <c r="G173" s="7" t="n">
        <v>134.16</v>
      </c>
      <c r="H173" s="7" t="n">
        <v>201.23</v>
      </c>
      <c r="I173" s="5" t="n">
        <v>35</v>
      </c>
      <c r="J173" s="5" t="n">
        <v>19.5</v>
      </c>
      <c r="K173" s="5" t="n">
        <v>54.5</v>
      </c>
      <c r="L173" s="7" t="n">
        <v>10967.22</v>
      </c>
      <c r="M173" s="5" t="n">
        <v>0</v>
      </c>
      <c r="N173" s="7" t="n">
        <v>0</v>
      </c>
      <c r="O173" s="7" t="n">
        <v>18111</v>
      </c>
      <c r="P173" s="7" t="n">
        <v>29078.22</v>
      </c>
      <c r="Q173" s="7" t="n">
        <v>4024.67</v>
      </c>
      <c r="R173" s="7" t="n">
        <v>25053.55</v>
      </c>
    </row>
    <row r="174">
      <c r="A174" s="4" t="n">
        <v>314</v>
      </c>
      <c r="B174" s="4" t="inlineStr">
        <is>
          <t>29677146866</t>
        </is>
      </c>
      <c r="C174" s="13" t="inlineStr">
        <is>
          <t>RABİYE ÇENECİOĞLU</t>
        </is>
      </c>
      <c r="D174" s="13" t="inlineStr">
        <is>
          <t>BALIK TEMİZLEME</t>
        </is>
      </c>
      <c r="E174" s="4" t="n">
        <v>15</v>
      </c>
      <c r="F174" s="7" t="n">
        <v>33000</v>
      </c>
      <c r="G174" s="7" t="n">
        <v>146.67</v>
      </c>
      <c r="H174" s="7" t="n">
        <v>220</v>
      </c>
      <c r="I174" s="5" t="n">
        <v>6.5</v>
      </c>
      <c r="J174" s="5" t="n">
        <v>0</v>
      </c>
      <c r="K174" s="5" t="n">
        <v>6.5</v>
      </c>
      <c r="L174" s="7" t="n">
        <v>1430</v>
      </c>
      <c r="M174" s="5" t="n">
        <v>0</v>
      </c>
      <c r="N174" s="7" t="n">
        <v>0</v>
      </c>
      <c r="O174" s="7" t="n">
        <v>16500</v>
      </c>
      <c r="P174" s="7" t="n">
        <v>17930</v>
      </c>
      <c r="Q174" s="7" t="n">
        <v>30126.3</v>
      </c>
      <c r="R174" s="7" t="n">
        <v>0</v>
      </c>
    </row>
    <row r="175">
      <c r="A175" s="4" t="n">
        <v>315</v>
      </c>
      <c r="B175" s="4" t="inlineStr">
        <is>
          <t>29359208356</t>
        </is>
      </c>
      <c r="C175" s="13" t="inlineStr">
        <is>
          <t>RAMAZAN KÜÇÜKÇÇAKIR</t>
        </is>
      </c>
      <c r="D175" s="13" t="inlineStr">
        <is>
          <t>ŞÖFÖR</t>
        </is>
      </c>
      <c r="E175" s="4" t="n">
        <v>17</v>
      </c>
      <c r="F175" s="7" t="n">
        <v>30000</v>
      </c>
      <c r="G175" s="7" t="n">
        <v>133.33</v>
      </c>
      <c r="H175" s="7" t="n">
        <v>200</v>
      </c>
      <c r="I175" s="5" t="n">
        <v>0</v>
      </c>
      <c r="J175" s="5" t="n">
        <v>10.5</v>
      </c>
      <c r="K175" s="5" t="n">
        <v>10.5</v>
      </c>
      <c r="L175" s="7" t="n">
        <v>2100</v>
      </c>
      <c r="M175" s="5" t="n">
        <v>0</v>
      </c>
      <c r="N175" s="7" t="n">
        <v>0</v>
      </c>
      <c r="O175" s="7" t="n">
        <v>17000</v>
      </c>
      <c r="P175" s="7" t="n">
        <v>19100</v>
      </c>
      <c r="Q175" s="7" t="n">
        <v>4024.67</v>
      </c>
      <c r="R175" s="7" t="n">
        <v>15075.33</v>
      </c>
    </row>
    <row r="176">
      <c r="A176" s="4" t="n">
        <v>316</v>
      </c>
      <c r="B176" s="4" t="inlineStr">
        <is>
          <t>24022385860</t>
        </is>
      </c>
      <c r="C176" s="13" t="inlineStr">
        <is>
          <t>RECEP İÇÖZ</t>
        </is>
      </c>
      <c r="D176" s="13" t="inlineStr">
        <is>
          <t>MEYDAN</t>
        </is>
      </c>
      <c r="E176" s="4" t="n">
        <v>19</v>
      </c>
      <c r="F176" s="7" t="n">
        <v>33000</v>
      </c>
      <c r="G176" s="7" t="n">
        <v>146.67</v>
      </c>
      <c r="H176" s="7" t="n">
        <v>220</v>
      </c>
      <c r="I176" s="5" t="n">
        <v>0</v>
      </c>
      <c r="J176" s="5" t="n">
        <v>22.5</v>
      </c>
      <c r="K176" s="5" t="n">
        <v>22.5</v>
      </c>
      <c r="L176" s="7" t="n">
        <v>4950</v>
      </c>
      <c r="M176" s="5" t="n">
        <v>0</v>
      </c>
      <c r="N176" s="7" t="n">
        <v>0</v>
      </c>
      <c r="O176" s="7" t="n">
        <v>20900</v>
      </c>
      <c r="P176" s="7" t="n">
        <v>25850</v>
      </c>
      <c r="Q176" s="7" t="n">
        <v>28217</v>
      </c>
      <c r="R176" s="7" t="n">
        <v>0</v>
      </c>
    </row>
    <row r="177">
      <c r="A177" s="4" t="n">
        <v>318</v>
      </c>
      <c r="B177" s="4" t="inlineStr">
        <is>
          <t>28108249688</t>
        </is>
      </c>
      <c r="C177" s="13" t="inlineStr">
        <is>
          <t>RIDVAN DEMİRDAK</t>
        </is>
      </c>
      <c r="D177" s="13" t="inlineStr">
        <is>
          <t>ŞÖFÖR</t>
        </is>
      </c>
      <c r="E177" s="4" t="n">
        <v>17</v>
      </c>
      <c r="F177" s="7" t="n">
        <v>30185</v>
      </c>
      <c r="G177" s="7" t="n">
        <v>134.16</v>
      </c>
      <c r="H177" s="7" t="n">
        <v>201.23</v>
      </c>
      <c r="I177" s="5" t="n">
        <v>1</v>
      </c>
      <c r="J177" s="5" t="n">
        <v>22</v>
      </c>
      <c r="K177" s="5" t="n">
        <v>23</v>
      </c>
      <c r="L177" s="7" t="n">
        <v>4628.37</v>
      </c>
      <c r="M177" s="5" t="n">
        <v>0</v>
      </c>
      <c r="N177" s="7" t="n">
        <v>0</v>
      </c>
      <c r="O177" s="7" t="n">
        <v>17104.83</v>
      </c>
      <c r="P177" s="7" t="n">
        <v>21733.2</v>
      </c>
      <c r="Q177" s="7" t="n">
        <v>4024.67</v>
      </c>
      <c r="R177" s="7" t="n">
        <v>17708.53</v>
      </c>
    </row>
    <row r="178">
      <c r="A178" s="4" t="n">
        <v>320</v>
      </c>
      <c r="B178" s="4" t="inlineStr"/>
      <c r="C178" s="13" t="inlineStr">
        <is>
          <t>ROJDA DAĞ</t>
        </is>
      </c>
      <c r="D178" s="13" t="inlineStr">
        <is>
          <t>Bilinmeyen</t>
        </is>
      </c>
      <c r="E178" s="4" t="n">
        <v>6</v>
      </c>
      <c r="F178" s="7" t="n">
        <v>28075.5</v>
      </c>
      <c r="G178" s="7" t="n">
        <v>124.78</v>
      </c>
      <c r="H178" s="7" t="n">
        <v>187.17</v>
      </c>
      <c r="I178" s="5" t="n">
        <v>32</v>
      </c>
      <c r="J178" s="5" t="n">
        <v>0</v>
      </c>
      <c r="K178" s="5" t="n">
        <v>32</v>
      </c>
      <c r="L178" s="7" t="n">
        <v>5989.44</v>
      </c>
      <c r="M178" s="5" t="n">
        <v>0</v>
      </c>
      <c r="N178" s="7" t="n">
        <v>0</v>
      </c>
      <c r="O178" s="7" t="n">
        <v>5615.1</v>
      </c>
      <c r="P178" s="7" t="n">
        <v>11604.54</v>
      </c>
      <c r="Q178" s="7" t="n">
        <v>0</v>
      </c>
      <c r="R178" s="7" t="n">
        <v>11604.54</v>
      </c>
    </row>
    <row r="179">
      <c r="A179" s="4" t="n">
        <v>322</v>
      </c>
      <c r="B179" s="4" t="inlineStr">
        <is>
          <t>16561742068</t>
        </is>
      </c>
      <c r="C179" s="13" t="inlineStr">
        <is>
          <t>RUKİYE UZUN</t>
        </is>
      </c>
      <c r="D179" s="13" t="inlineStr">
        <is>
          <t>BALIK TEMİZLEME</t>
        </is>
      </c>
      <c r="E179" s="4" t="n">
        <v>10</v>
      </c>
      <c r="F179" s="7" t="n">
        <v>33000</v>
      </c>
      <c r="G179" s="7" t="n">
        <v>146.67</v>
      </c>
      <c r="H179" s="7" t="n">
        <v>220</v>
      </c>
      <c r="I179" s="5" t="n">
        <v>5.5</v>
      </c>
      <c r="J179" s="5" t="n">
        <v>0</v>
      </c>
      <c r="K179" s="5" t="n">
        <v>5.5</v>
      </c>
      <c r="L179" s="7" t="n">
        <v>1210</v>
      </c>
      <c r="M179" s="5" t="n">
        <v>0</v>
      </c>
      <c r="N179" s="7" t="n">
        <v>0</v>
      </c>
      <c r="O179" s="7" t="n">
        <v>11000</v>
      </c>
      <c r="P179" s="7" t="n">
        <v>12210</v>
      </c>
      <c r="Q179" s="7" t="n">
        <v>24891.6</v>
      </c>
      <c r="R179" s="7" t="n">
        <v>0</v>
      </c>
    </row>
    <row r="180">
      <c r="A180" s="4" t="n">
        <v>323</v>
      </c>
      <c r="B180" s="4" t="inlineStr">
        <is>
          <t>17335367982</t>
        </is>
      </c>
      <c r="C180" s="13" t="inlineStr">
        <is>
          <t>SABİHA AKIN</t>
        </is>
      </c>
      <c r="D180" s="13" t="inlineStr">
        <is>
          <t>ÜRETİM</t>
        </is>
      </c>
      <c r="E180" s="4" t="n">
        <v>6</v>
      </c>
      <c r="F180" s="7" t="n">
        <v>28075.5</v>
      </c>
      <c r="G180" s="7" t="n">
        <v>124.78</v>
      </c>
      <c r="H180" s="7" t="n">
        <v>187.17</v>
      </c>
      <c r="I180" s="5" t="n">
        <v>12</v>
      </c>
      <c r="J180" s="5" t="n">
        <v>0</v>
      </c>
      <c r="K180" s="5" t="n">
        <v>12</v>
      </c>
      <c r="L180" s="7" t="n">
        <v>2246.04</v>
      </c>
      <c r="M180" s="5" t="n">
        <v>0</v>
      </c>
      <c r="N180" s="7" t="n">
        <v>0</v>
      </c>
      <c r="O180" s="7" t="n">
        <v>5615.1</v>
      </c>
      <c r="P180" s="7" t="n">
        <v>7861.14</v>
      </c>
      <c r="Q180" s="7" t="n">
        <v>34018.74</v>
      </c>
      <c r="R180" s="7" t="n">
        <v>0</v>
      </c>
    </row>
    <row r="181">
      <c r="A181" s="4" t="n">
        <v>324</v>
      </c>
      <c r="B181" s="4" t="inlineStr">
        <is>
          <t>31027151864</t>
        </is>
      </c>
      <c r="C181" s="13" t="inlineStr">
        <is>
          <t>SABİHA GİRGİN</t>
        </is>
      </c>
      <c r="D181" s="13" t="inlineStr">
        <is>
          <t>ÜRETİM</t>
        </is>
      </c>
      <c r="E181" s="4" t="n">
        <v>10</v>
      </c>
      <c r="F181" s="7" t="n">
        <v>28075.5</v>
      </c>
      <c r="G181" s="7" t="n">
        <v>124.78</v>
      </c>
      <c r="H181" s="7" t="n">
        <v>187.17</v>
      </c>
      <c r="I181" s="5" t="n">
        <v>1</v>
      </c>
      <c r="J181" s="5" t="n">
        <v>0</v>
      </c>
      <c r="K181" s="5" t="n">
        <v>1</v>
      </c>
      <c r="L181" s="7" t="n">
        <v>187.17</v>
      </c>
      <c r="M181" s="5" t="n">
        <v>0</v>
      </c>
      <c r="N181" s="7" t="n">
        <v>0</v>
      </c>
      <c r="O181" s="7" t="n">
        <v>9358.5</v>
      </c>
      <c r="P181" s="7" t="n">
        <v>9545.67</v>
      </c>
      <c r="Q181" s="7" t="n">
        <v>11229.97</v>
      </c>
      <c r="R181" s="7" t="n">
        <v>0</v>
      </c>
    </row>
    <row r="182">
      <c r="A182" s="4" t="n">
        <v>325</v>
      </c>
      <c r="B182" s="4" t="inlineStr">
        <is>
          <t>34807027090</t>
        </is>
      </c>
      <c r="C182" s="13" t="inlineStr">
        <is>
          <t>SABRİ ACAR</t>
        </is>
      </c>
      <c r="D182" s="13" t="inlineStr">
        <is>
          <t>YENİ BALIK HATTI</t>
        </is>
      </c>
      <c r="E182" s="4" t="n">
        <v>17</v>
      </c>
      <c r="F182" s="7" t="n">
        <v>32500</v>
      </c>
      <c r="G182" s="7" t="n">
        <v>144.44</v>
      </c>
      <c r="H182" s="7" t="n">
        <v>216.67</v>
      </c>
      <c r="I182" s="5" t="n">
        <v>0</v>
      </c>
      <c r="J182" s="5" t="n">
        <v>22.5</v>
      </c>
      <c r="K182" s="5" t="n">
        <v>22.5</v>
      </c>
      <c r="L182" s="7" t="n">
        <v>4875</v>
      </c>
      <c r="M182" s="5" t="n">
        <v>0</v>
      </c>
      <c r="N182" s="7" t="n">
        <v>0</v>
      </c>
      <c r="O182" s="7" t="n">
        <v>18416.67</v>
      </c>
      <c r="P182" s="7" t="n">
        <v>23291.67</v>
      </c>
      <c r="Q182" s="7" t="n">
        <v>4024.67</v>
      </c>
      <c r="R182" s="7" t="n">
        <v>19267</v>
      </c>
    </row>
    <row r="183">
      <c r="A183" s="4" t="n">
        <v>328</v>
      </c>
      <c r="B183" s="4" t="inlineStr">
        <is>
          <t>16579732808</t>
        </is>
      </c>
      <c r="C183" s="13" t="inlineStr">
        <is>
          <t>SANİYE AKBAY</t>
        </is>
      </c>
      <c r="D183" s="13" t="inlineStr">
        <is>
          <t>ÜRETİM</t>
        </is>
      </c>
      <c r="E183" s="4" t="n">
        <v>3</v>
      </c>
      <c r="F183" s="7" t="n">
        <v>28075.5</v>
      </c>
      <c r="G183" s="7" t="n">
        <v>124.78</v>
      </c>
      <c r="H183" s="7" t="n">
        <v>187.17</v>
      </c>
      <c r="I183" s="5" t="n">
        <v>8</v>
      </c>
      <c r="J183" s="5" t="n">
        <v>0</v>
      </c>
      <c r="K183" s="5" t="n">
        <v>8</v>
      </c>
      <c r="L183" s="7" t="n">
        <v>1497.36</v>
      </c>
      <c r="M183" s="5" t="n">
        <v>0</v>
      </c>
      <c r="N183" s="7" t="n">
        <v>0</v>
      </c>
      <c r="O183" s="7" t="n">
        <v>2807.55</v>
      </c>
      <c r="P183" s="7" t="n">
        <v>4304.91</v>
      </c>
      <c r="Q183" s="7" t="n">
        <v>15971.84</v>
      </c>
      <c r="R183" s="7" t="n">
        <v>0</v>
      </c>
    </row>
    <row r="184">
      <c r="A184" s="4" t="n">
        <v>329</v>
      </c>
      <c r="B184" s="4" t="inlineStr">
        <is>
          <t>33640164108</t>
        </is>
      </c>
      <c r="C184" s="13" t="inlineStr">
        <is>
          <t>SAMET YUMİTKAN</t>
        </is>
      </c>
      <c r="D184" s="13" t="inlineStr">
        <is>
          <t>ÜRETİM</t>
        </is>
      </c>
      <c r="E184" s="4" t="n">
        <v>15</v>
      </c>
      <c r="F184" s="7" t="n">
        <v>28075.5</v>
      </c>
      <c r="G184" s="7" t="n">
        <v>124.78</v>
      </c>
      <c r="H184" s="7" t="n">
        <v>187.17</v>
      </c>
      <c r="I184" s="5" t="n">
        <v>30.5</v>
      </c>
      <c r="J184" s="5" t="n">
        <v>0</v>
      </c>
      <c r="K184" s="5" t="n">
        <v>30.5</v>
      </c>
      <c r="L184" s="7" t="n">
        <v>5708.69</v>
      </c>
      <c r="M184" s="5" t="n">
        <v>0</v>
      </c>
      <c r="N184" s="7" t="n">
        <v>0</v>
      </c>
      <c r="O184" s="7" t="n">
        <v>14037.75</v>
      </c>
      <c r="P184" s="7" t="n">
        <v>19746.44</v>
      </c>
      <c r="Q184" s="7" t="n">
        <v>36469.73</v>
      </c>
      <c r="R184" s="7" t="n">
        <v>0</v>
      </c>
    </row>
    <row r="185">
      <c r="A185" s="4" t="n">
        <v>330</v>
      </c>
      <c r="B185" s="4" t="inlineStr">
        <is>
          <t>30373124058</t>
        </is>
      </c>
      <c r="C185" s="13" t="inlineStr">
        <is>
          <t>SANİYE CEYLAN</t>
        </is>
      </c>
      <c r="D185" s="13" t="inlineStr">
        <is>
          <t>AMBAR</t>
        </is>
      </c>
      <c r="E185" s="4" t="n">
        <v>16</v>
      </c>
      <c r="F185" s="7" t="n">
        <v>28075.5</v>
      </c>
      <c r="G185" s="7" t="n">
        <v>124.78</v>
      </c>
      <c r="H185" s="7" t="n">
        <v>187.17</v>
      </c>
      <c r="I185" s="5" t="n">
        <v>11.5</v>
      </c>
      <c r="J185" s="5" t="n">
        <v>0</v>
      </c>
      <c r="K185" s="5" t="n">
        <v>11.5</v>
      </c>
      <c r="L185" s="7" t="n">
        <v>2152.46</v>
      </c>
      <c r="M185" s="5" t="n">
        <v>0</v>
      </c>
      <c r="N185" s="7" t="n">
        <v>0</v>
      </c>
      <c r="O185" s="7" t="n">
        <v>14973.6</v>
      </c>
      <c r="P185" s="7" t="n">
        <v>17126.06</v>
      </c>
      <c r="Q185" s="7" t="n">
        <v>27638.22</v>
      </c>
      <c r="R185" s="7" t="n">
        <v>0</v>
      </c>
    </row>
    <row r="186">
      <c r="A186" s="4" t="n">
        <v>331</v>
      </c>
      <c r="B186" s="4" t="inlineStr">
        <is>
          <t>14164714154</t>
        </is>
      </c>
      <c r="C186" s="13" t="inlineStr">
        <is>
          <t>SARA EROĞLU</t>
        </is>
      </c>
      <c r="D186" s="13" t="inlineStr">
        <is>
          <t>AMBAR</t>
        </is>
      </c>
      <c r="E186" s="4" t="n">
        <v>16</v>
      </c>
      <c r="F186" s="7" t="n">
        <v>28075.5</v>
      </c>
      <c r="G186" s="7" t="n">
        <v>124.78</v>
      </c>
      <c r="H186" s="7" t="n">
        <v>187.17</v>
      </c>
      <c r="I186" s="5" t="n">
        <v>13</v>
      </c>
      <c r="J186" s="5" t="n">
        <v>0</v>
      </c>
      <c r="K186" s="5" t="n">
        <v>13</v>
      </c>
      <c r="L186" s="7" t="n">
        <v>2433.21</v>
      </c>
      <c r="M186" s="5" t="n">
        <v>0</v>
      </c>
      <c r="N186" s="7" t="n">
        <v>0</v>
      </c>
      <c r="O186" s="7" t="n">
        <v>14973.6</v>
      </c>
      <c r="P186" s="7" t="n">
        <v>17406.81</v>
      </c>
      <c r="Q186" s="7" t="n">
        <v>26016.63</v>
      </c>
      <c r="R186" s="7" t="n">
        <v>0</v>
      </c>
    </row>
    <row r="187">
      <c r="A187" s="4" t="n">
        <v>332</v>
      </c>
      <c r="B187" s="4" t="inlineStr">
        <is>
          <t>18847656960</t>
        </is>
      </c>
      <c r="C187" s="13" t="inlineStr">
        <is>
          <t>SEÇİL ARIBOĞA</t>
        </is>
      </c>
      <c r="D187" s="13" t="inlineStr">
        <is>
          <t>ÜRETİM</t>
        </is>
      </c>
      <c r="E187" s="4" t="n">
        <v>9</v>
      </c>
      <c r="F187" s="7" t="n">
        <v>28075.5</v>
      </c>
      <c r="G187" s="7" t="n">
        <v>124.78</v>
      </c>
      <c r="H187" s="7" t="n">
        <v>187.17</v>
      </c>
      <c r="I187" s="5" t="n">
        <v>18</v>
      </c>
      <c r="J187" s="5" t="n">
        <v>0</v>
      </c>
      <c r="K187" s="5" t="n">
        <v>18</v>
      </c>
      <c r="L187" s="7" t="n">
        <v>3369.06</v>
      </c>
      <c r="M187" s="5" t="n">
        <v>0</v>
      </c>
      <c r="N187" s="7" t="n">
        <v>0</v>
      </c>
      <c r="O187" s="7" t="n">
        <v>8422.65</v>
      </c>
      <c r="P187" s="7" t="n">
        <v>11791.71</v>
      </c>
      <c r="Q187" s="7" t="n">
        <v>24269.71</v>
      </c>
      <c r="R187" s="7" t="n">
        <v>0</v>
      </c>
    </row>
    <row r="188">
      <c r="A188" s="4" t="n">
        <v>335</v>
      </c>
      <c r="B188" s="4" t="inlineStr">
        <is>
          <t>24178356332</t>
        </is>
      </c>
      <c r="C188" s="13" t="inlineStr">
        <is>
          <t>SEHER ÖZDEN</t>
        </is>
      </c>
      <c r="D188" s="13" t="inlineStr">
        <is>
          <t>YEMEKHANE</t>
        </is>
      </c>
      <c r="E188" s="4" t="n">
        <v>14</v>
      </c>
      <c r="F188" s="7" t="n">
        <v>28075.5</v>
      </c>
      <c r="G188" s="7" t="n">
        <v>124.78</v>
      </c>
      <c r="H188" s="7" t="n">
        <v>187.17</v>
      </c>
      <c r="I188" s="5" t="n">
        <v>6.5</v>
      </c>
      <c r="J188" s="5" t="n">
        <v>7.5</v>
      </c>
      <c r="K188" s="5" t="n">
        <v>14</v>
      </c>
      <c r="L188" s="7" t="n">
        <v>2620.38</v>
      </c>
      <c r="M188" s="5" t="n">
        <v>0</v>
      </c>
      <c r="N188" s="7" t="n">
        <v>0</v>
      </c>
      <c r="O188" s="7" t="n">
        <v>13101.9</v>
      </c>
      <c r="P188" s="7" t="n">
        <v>15722.28</v>
      </c>
      <c r="Q188" s="7" t="n">
        <v>30196.15</v>
      </c>
      <c r="R188" s="7" t="n">
        <v>0</v>
      </c>
    </row>
    <row r="189">
      <c r="A189" s="4" t="n">
        <v>336</v>
      </c>
      <c r="B189" s="4" t="inlineStr">
        <is>
          <t>11248811624</t>
        </is>
      </c>
      <c r="C189" s="13" t="inlineStr">
        <is>
          <t>SELAHATTİN SÜGÜT</t>
        </is>
      </c>
      <c r="D189" s="13" t="inlineStr">
        <is>
          <t>ŞÖFÖR</t>
        </is>
      </c>
      <c r="E189" s="4" t="n">
        <v>20</v>
      </c>
      <c r="F189" s="7" t="n">
        <v>30185</v>
      </c>
      <c r="G189" s="7" t="n">
        <v>134.16</v>
      </c>
      <c r="H189" s="7" t="n">
        <v>201.23</v>
      </c>
      <c r="I189" s="5" t="n">
        <v>58.5</v>
      </c>
      <c r="J189" s="5" t="n">
        <v>22.5</v>
      </c>
      <c r="K189" s="5" t="n">
        <v>81</v>
      </c>
      <c r="L189" s="7" t="n">
        <v>16299.9</v>
      </c>
      <c r="M189" s="5" t="n">
        <v>0</v>
      </c>
      <c r="N189" s="7" t="n">
        <v>0</v>
      </c>
      <c r="O189" s="7" t="n">
        <v>20123.33</v>
      </c>
      <c r="P189" s="7" t="n">
        <v>36423.23</v>
      </c>
      <c r="Q189" s="7" t="n">
        <v>4024.67</v>
      </c>
      <c r="R189" s="7" t="n">
        <v>32398.56</v>
      </c>
    </row>
    <row r="190">
      <c r="A190" s="4" t="n">
        <v>337</v>
      </c>
      <c r="B190" s="4" t="inlineStr">
        <is>
          <t>19723478966</t>
        </is>
      </c>
      <c r="C190" s="13" t="inlineStr">
        <is>
          <t>SELMA AYHAN</t>
        </is>
      </c>
      <c r="D190" s="13" t="inlineStr">
        <is>
          <t>ÜRETİM</t>
        </is>
      </c>
      <c r="E190" s="4" t="n">
        <v>18</v>
      </c>
      <c r="F190" s="7" t="n">
        <v>28075.5</v>
      </c>
      <c r="G190" s="7" t="n">
        <v>124.78</v>
      </c>
      <c r="H190" s="7" t="n">
        <v>187.17</v>
      </c>
      <c r="I190" s="5" t="n">
        <v>5</v>
      </c>
      <c r="J190" s="5" t="n">
        <v>7.5</v>
      </c>
      <c r="K190" s="5" t="n">
        <v>12.5</v>
      </c>
      <c r="L190" s="7" t="n">
        <v>2339.62</v>
      </c>
      <c r="M190" s="5" t="n">
        <v>0</v>
      </c>
      <c r="N190" s="7" t="n">
        <v>0</v>
      </c>
      <c r="O190" s="7" t="n">
        <v>16845.3</v>
      </c>
      <c r="P190" s="7" t="n">
        <v>19184.92</v>
      </c>
      <c r="Q190" s="7" t="n">
        <v>26328.58</v>
      </c>
      <c r="R190" s="7" t="n">
        <v>0</v>
      </c>
    </row>
    <row r="191">
      <c r="A191" s="4" t="n">
        <v>338</v>
      </c>
      <c r="B191" s="4" t="inlineStr">
        <is>
          <t>49369567458</t>
        </is>
      </c>
      <c r="C191" s="13" t="inlineStr">
        <is>
          <t>SELMA TUNÇ</t>
        </is>
      </c>
      <c r="D191" s="13" t="inlineStr">
        <is>
          <t>BALIK TEMİZLEME</t>
        </is>
      </c>
      <c r="E191" s="4" t="n">
        <v>17</v>
      </c>
      <c r="F191" s="7" t="n">
        <v>33000</v>
      </c>
      <c r="G191" s="7" t="n">
        <v>146.67</v>
      </c>
      <c r="H191" s="7" t="n">
        <v>220</v>
      </c>
      <c r="I191" s="5" t="n">
        <v>9</v>
      </c>
      <c r="J191" s="5" t="n">
        <v>0</v>
      </c>
      <c r="K191" s="5" t="n">
        <v>9</v>
      </c>
      <c r="L191" s="7" t="n">
        <v>1980</v>
      </c>
      <c r="M191" s="5" t="n">
        <v>0</v>
      </c>
      <c r="N191" s="7" t="n">
        <v>0</v>
      </c>
      <c r="O191" s="7" t="n">
        <v>18700</v>
      </c>
      <c r="P191" s="7" t="n">
        <v>20680</v>
      </c>
      <c r="Q191" s="7" t="n">
        <v>24555.5</v>
      </c>
      <c r="R191" s="7" t="n">
        <v>0</v>
      </c>
    </row>
    <row r="192">
      <c r="A192" s="4" t="n">
        <v>339</v>
      </c>
      <c r="B192" s="4" t="inlineStr">
        <is>
          <t>33451458564</t>
        </is>
      </c>
      <c r="C192" s="13" t="inlineStr">
        <is>
          <t>SELMATA ANIK</t>
        </is>
      </c>
      <c r="D192" s="13" t="inlineStr">
        <is>
          <t>ÜRETİM</t>
        </is>
      </c>
      <c r="E192" s="4" t="n">
        <v>16</v>
      </c>
      <c r="F192" s="7" t="n">
        <v>28075.5</v>
      </c>
      <c r="G192" s="7" t="n">
        <v>124.78</v>
      </c>
      <c r="H192" s="7" t="n">
        <v>187.17</v>
      </c>
      <c r="I192" s="5" t="n">
        <v>60.5</v>
      </c>
      <c r="J192" s="5" t="n">
        <v>0</v>
      </c>
      <c r="K192" s="5" t="n">
        <v>60.5</v>
      </c>
      <c r="L192" s="7" t="n">
        <v>11323.79</v>
      </c>
      <c r="M192" s="5" t="n">
        <v>12</v>
      </c>
      <c r="N192" s="7" t="n">
        <v>2246.04</v>
      </c>
      <c r="O192" s="7" t="n">
        <v>14973.6</v>
      </c>
      <c r="P192" s="7" t="n">
        <v>26297.39</v>
      </c>
      <c r="Q192" s="7" t="n">
        <v>44573.1</v>
      </c>
      <c r="R192" s="7" t="n">
        <v>0</v>
      </c>
    </row>
    <row r="193">
      <c r="A193" s="4" t="n">
        <v>340</v>
      </c>
      <c r="B193" s="4" t="inlineStr">
        <is>
          <t>46825626414</t>
        </is>
      </c>
      <c r="C193" s="13" t="inlineStr">
        <is>
          <t>SEMANUR GÜLIŞIK</t>
        </is>
      </c>
      <c r="D193" s="13" t="inlineStr">
        <is>
          <t>FORMEN</t>
        </is>
      </c>
      <c r="E193" s="4" t="n">
        <v>10</v>
      </c>
      <c r="F193" s="7" t="n">
        <v>34000</v>
      </c>
      <c r="G193" s="7" t="n">
        <v>151.11</v>
      </c>
      <c r="H193" s="7" t="n">
        <v>226.67</v>
      </c>
      <c r="I193" s="5" t="n">
        <v>5</v>
      </c>
      <c r="J193" s="5" t="n">
        <v>0</v>
      </c>
      <c r="K193" s="5" t="n">
        <v>5</v>
      </c>
      <c r="L193" s="7" t="n">
        <v>1133.33</v>
      </c>
      <c r="M193" s="5" t="n">
        <v>0</v>
      </c>
      <c r="N193" s="7" t="n">
        <v>0</v>
      </c>
      <c r="O193" s="7" t="n">
        <v>11333.33</v>
      </c>
      <c r="P193" s="7" t="n">
        <v>12466.67</v>
      </c>
      <c r="Q193" s="7" t="n">
        <v>34235.47</v>
      </c>
      <c r="R193" s="7" t="n">
        <v>0</v>
      </c>
    </row>
    <row r="194">
      <c r="A194" s="4" t="n">
        <v>341</v>
      </c>
      <c r="B194" s="4" t="inlineStr">
        <is>
          <t>19633628390</t>
        </is>
      </c>
      <c r="C194" s="13" t="inlineStr">
        <is>
          <t>SERAP KURUMLU</t>
        </is>
      </c>
      <c r="D194" s="13" t="inlineStr">
        <is>
          <t>BALIK TEMİZLEME</t>
        </is>
      </c>
      <c r="E194" s="4" t="n">
        <v>7</v>
      </c>
      <c r="F194" s="7" t="n">
        <v>33000</v>
      </c>
      <c r="G194" s="7" t="n">
        <v>146.67</v>
      </c>
      <c r="H194" s="7" t="n">
        <v>220</v>
      </c>
      <c r="I194" s="5" t="n">
        <v>4</v>
      </c>
      <c r="J194" s="5" t="n">
        <v>0</v>
      </c>
      <c r="K194" s="5" t="n">
        <v>4</v>
      </c>
      <c r="L194" s="7" t="n">
        <v>880</v>
      </c>
      <c r="M194" s="5" t="n">
        <v>0</v>
      </c>
      <c r="N194" s="7" t="n">
        <v>0</v>
      </c>
      <c r="O194" s="7" t="n">
        <v>7700</v>
      </c>
      <c r="P194" s="7" t="n">
        <v>8580</v>
      </c>
      <c r="Q194" s="7" t="n">
        <v>23618.2</v>
      </c>
      <c r="R194" s="7" t="n">
        <v>0</v>
      </c>
    </row>
    <row r="195">
      <c r="A195" s="4" t="n">
        <v>342</v>
      </c>
      <c r="B195" s="4" t="inlineStr">
        <is>
          <t>24136488860</t>
        </is>
      </c>
      <c r="C195" s="13" t="inlineStr">
        <is>
          <t>SEREN BURHAN</t>
        </is>
      </c>
      <c r="D195" s="13" t="inlineStr">
        <is>
          <t>BALIK TEMİZLEME</t>
        </is>
      </c>
      <c r="E195" s="4" t="n">
        <v>12</v>
      </c>
      <c r="F195" s="7" t="n">
        <v>33000</v>
      </c>
      <c r="G195" s="7" t="n">
        <v>146.67</v>
      </c>
      <c r="H195" s="7" t="n">
        <v>220</v>
      </c>
      <c r="I195" s="5" t="n">
        <v>6.5</v>
      </c>
      <c r="J195" s="5" t="n">
        <v>0</v>
      </c>
      <c r="K195" s="5" t="n">
        <v>6.5</v>
      </c>
      <c r="L195" s="7" t="n">
        <v>1430</v>
      </c>
      <c r="M195" s="5" t="n">
        <v>0</v>
      </c>
      <c r="N195" s="7" t="n">
        <v>0</v>
      </c>
      <c r="O195" s="7" t="n">
        <v>13200</v>
      </c>
      <c r="P195" s="7" t="n">
        <v>14630</v>
      </c>
      <c r="Q195" s="7" t="n">
        <v>28980</v>
      </c>
      <c r="R195" s="7" t="n">
        <v>0</v>
      </c>
    </row>
    <row r="196">
      <c r="A196" s="4" t="n">
        <v>344</v>
      </c>
      <c r="B196" s="4" t="inlineStr">
        <is>
          <t>16231745504</t>
        </is>
      </c>
      <c r="C196" s="13" t="inlineStr">
        <is>
          <t>SERKAN YUMİTKAN</t>
        </is>
      </c>
      <c r="D196" s="13" t="inlineStr">
        <is>
          <t>ÜRETİM</t>
        </is>
      </c>
      <c r="E196" s="4" t="n">
        <v>9</v>
      </c>
      <c r="F196" s="7" t="n">
        <v>28075.5</v>
      </c>
      <c r="G196" s="7" t="n">
        <v>124.78</v>
      </c>
      <c r="H196" s="7" t="n">
        <v>187.17</v>
      </c>
      <c r="I196" s="5" t="n">
        <v>18</v>
      </c>
      <c r="J196" s="5" t="n">
        <v>0</v>
      </c>
      <c r="K196" s="5" t="n">
        <v>18</v>
      </c>
      <c r="L196" s="7" t="n">
        <v>3369.06</v>
      </c>
      <c r="M196" s="5" t="n">
        <v>0</v>
      </c>
      <c r="N196" s="7" t="n">
        <v>0</v>
      </c>
      <c r="O196" s="7" t="n">
        <v>8422.65</v>
      </c>
      <c r="P196" s="7" t="n">
        <v>11791.71</v>
      </c>
      <c r="Q196" s="7" t="n">
        <v>32883.33</v>
      </c>
      <c r="R196" s="7" t="n">
        <v>0</v>
      </c>
    </row>
    <row r="197">
      <c r="A197" s="4" t="n">
        <v>345</v>
      </c>
      <c r="B197" s="4" t="inlineStr">
        <is>
          <t>13696829374</t>
        </is>
      </c>
      <c r="C197" s="13" t="inlineStr">
        <is>
          <t>SERPİL İİPEK</t>
        </is>
      </c>
      <c r="D197" s="13" t="inlineStr">
        <is>
          <t>Bilinmeyen</t>
        </is>
      </c>
      <c r="E197" s="4" t="n">
        <v>15</v>
      </c>
      <c r="F197" s="7" t="n">
        <v>28075.5</v>
      </c>
      <c r="G197" s="7" t="n">
        <v>124.78</v>
      </c>
      <c r="H197" s="7" t="n">
        <v>187.17</v>
      </c>
      <c r="I197" s="5" t="n">
        <v>42</v>
      </c>
      <c r="J197" s="5" t="n">
        <v>0</v>
      </c>
      <c r="K197" s="5" t="n">
        <v>42</v>
      </c>
      <c r="L197" s="7" t="n">
        <v>7861.14</v>
      </c>
      <c r="M197" s="5" t="n">
        <v>0</v>
      </c>
      <c r="N197" s="7" t="n">
        <v>0</v>
      </c>
      <c r="O197" s="7" t="n">
        <v>14037.75</v>
      </c>
      <c r="P197" s="7" t="n">
        <v>21898.89</v>
      </c>
      <c r="Q197" s="7" t="n">
        <v>7222.8</v>
      </c>
      <c r="R197" s="7" t="n">
        <v>14676.09</v>
      </c>
    </row>
    <row r="198">
      <c r="A198" s="4" t="n">
        <v>346</v>
      </c>
      <c r="B198" s="4" t="inlineStr"/>
      <c r="C198" s="13" t="inlineStr">
        <is>
          <t>SELİM KIRAY</t>
        </is>
      </c>
      <c r="D198" s="13" t="inlineStr">
        <is>
          <t>Bilinmeyen</t>
        </is>
      </c>
      <c r="E198" s="4" t="n">
        <v>8</v>
      </c>
      <c r="F198" s="7" t="n">
        <v>28075.5</v>
      </c>
      <c r="G198" s="7" t="n">
        <v>124.78</v>
      </c>
      <c r="H198" s="7" t="n">
        <v>187.17</v>
      </c>
      <c r="I198" s="5" t="n">
        <v>13.5</v>
      </c>
      <c r="J198" s="5" t="n">
        <v>0</v>
      </c>
      <c r="K198" s="5" t="n">
        <v>13.5</v>
      </c>
      <c r="L198" s="7" t="n">
        <v>2526.8</v>
      </c>
      <c r="M198" s="5" t="n">
        <v>0</v>
      </c>
      <c r="N198" s="7" t="n">
        <v>0</v>
      </c>
      <c r="O198" s="7" t="n">
        <v>7486.8</v>
      </c>
      <c r="P198" s="7" t="n">
        <v>10013.6</v>
      </c>
      <c r="Q198" s="7" t="n">
        <v>0</v>
      </c>
      <c r="R198" s="7" t="n">
        <v>10013.6</v>
      </c>
    </row>
    <row r="199">
      <c r="A199" s="4" t="n">
        <v>348</v>
      </c>
      <c r="B199" s="4" t="inlineStr">
        <is>
          <t>13498698468</t>
        </is>
      </c>
      <c r="C199" s="13" t="inlineStr">
        <is>
          <t>SEVGİ AYCAN</t>
        </is>
      </c>
      <c r="D199" s="13" t="inlineStr">
        <is>
          <t>BALIK TEMİZLEME</t>
        </is>
      </c>
      <c r="E199" s="4" t="n">
        <v>13</v>
      </c>
      <c r="F199" s="7" t="n">
        <v>33000</v>
      </c>
      <c r="G199" s="7" t="n">
        <v>146.67</v>
      </c>
      <c r="H199" s="7" t="n">
        <v>220</v>
      </c>
      <c r="I199" s="5" t="n">
        <v>6.5</v>
      </c>
      <c r="J199" s="5" t="n">
        <v>0</v>
      </c>
      <c r="K199" s="5" t="n">
        <v>6.5</v>
      </c>
      <c r="L199" s="7" t="n">
        <v>1430</v>
      </c>
      <c r="M199" s="5" t="n">
        <v>0</v>
      </c>
      <c r="N199" s="7" t="n">
        <v>0</v>
      </c>
      <c r="O199" s="7" t="n">
        <v>14300</v>
      </c>
      <c r="P199" s="7" t="n">
        <v>15730</v>
      </c>
      <c r="Q199" s="7" t="n">
        <v>10042.1</v>
      </c>
      <c r="R199" s="7" t="n">
        <v>5687.9</v>
      </c>
    </row>
    <row r="200">
      <c r="A200" s="4" t="n">
        <v>350</v>
      </c>
      <c r="B200" s="4" t="inlineStr">
        <is>
          <t>17611699134</t>
        </is>
      </c>
      <c r="C200" s="13" t="inlineStr">
        <is>
          <t>SEVİLAY DÖNMEZ</t>
        </is>
      </c>
      <c r="D200" s="13" t="inlineStr">
        <is>
          <t>BALIK TEMİZLEME</t>
        </is>
      </c>
      <c r="E200" s="4" t="n">
        <v>16</v>
      </c>
      <c r="F200" s="7" t="n">
        <v>33000</v>
      </c>
      <c r="G200" s="7" t="n">
        <v>146.67</v>
      </c>
      <c r="H200" s="7" t="n">
        <v>220</v>
      </c>
      <c r="I200" s="5" t="n">
        <v>10.5</v>
      </c>
      <c r="J200" s="5" t="n">
        <v>0</v>
      </c>
      <c r="K200" s="5" t="n">
        <v>10.5</v>
      </c>
      <c r="L200" s="7" t="n">
        <v>2310</v>
      </c>
      <c r="M200" s="5" t="n">
        <v>0</v>
      </c>
      <c r="N200" s="7" t="n">
        <v>0</v>
      </c>
      <c r="O200" s="7" t="n">
        <v>17600</v>
      </c>
      <c r="P200" s="7" t="n">
        <v>19910</v>
      </c>
      <c r="Q200" s="7" t="n">
        <v>15589.5</v>
      </c>
      <c r="R200" s="7" t="n">
        <v>4320.5</v>
      </c>
    </row>
    <row r="201">
      <c r="A201" s="4" t="n">
        <v>352</v>
      </c>
      <c r="B201" s="4" t="inlineStr">
        <is>
          <t>42014033940</t>
        </is>
      </c>
      <c r="C201" s="13" t="inlineStr">
        <is>
          <t>SÇEVİKAT ÇELİK</t>
        </is>
      </c>
      <c r="D201" s="13" t="inlineStr">
        <is>
          <t>ÜRETİM</t>
        </is>
      </c>
      <c r="E201" s="4" t="n">
        <v>11</v>
      </c>
      <c r="F201" s="7" t="n">
        <v>28075.5</v>
      </c>
      <c r="G201" s="7" t="n">
        <v>124.78</v>
      </c>
      <c r="H201" s="7" t="n">
        <v>187.17</v>
      </c>
      <c r="I201" s="5" t="n">
        <v>46.5</v>
      </c>
      <c r="J201" s="5" t="n">
        <v>0</v>
      </c>
      <c r="K201" s="5" t="n">
        <v>46.5</v>
      </c>
      <c r="L201" s="7" t="n">
        <v>8703.41</v>
      </c>
      <c r="M201" s="5" t="n">
        <v>4</v>
      </c>
      <c r="N201" s="7" t="n">
        <v>748.6799999999999</v>
      </c>
      <c r="O201" s="7" t="n">
        <v>10294.35</v>
      </c>
      <c r="P201" s="7" t="n">
        <v>18997.76</v>
      </c>
      <c r="Q201" s="7" t="n">
        <v>18237.17</v>
      </c>
      <c r="R201" s="7" t="n">
        <v>760.59</v>
      </c>
    </row>
    <row r="202">
      <c r="A202" s="4" t="n">
        <v>353</v>
      </c>
      <c r="B202" s="4" t="inlineStr">
        <is>
          <t>15250777510</t>
        </is>
      </c>
      <c r="C202" s="13" t="inlineStr">
        <is>
          <t>SEZAİ ÇELİK</t>
        </is>
      </c>
      <c r="D202" s="13" t="inlineStr">
        <is>
          <t>BALIK</t>
        </is>
      </c>
      <c r="E202" s="4" t="n">
        <v>15</v>
      </c>
      <c r="F202" s="7" t="n">
        <v>33000</v>
      </c>
      <c r="G202" s="7" t="n">
        <v>146.67</v>
      </c>
      <c r="H202" s="7" t="n">
        <v>220</v>
      </c>
      <c r="I202" s="5" t="n">
        <v>2</v>
      </c>
      <c r="J202" s="5" t="n">
        <v>11</v>
      </c>
      <c r="K202" s="5" t="n">
        <v>13</v>
      </c>
      <c r="L202" s="7" t="n">
        <v>2860</v>
      </c>
      <c r="M202" s="5" t="n">
        <v>0</v>
      </c>
      <c r="N202" s="7" t="n">
        <v>0</v>
      </c>
      <c r="O202" s="7" t="n">
        <v>16500</v>
      </c>
      <c r="P202" s="7" t="n">
        <v>19360</v>
      </c>
      <c r="Q202" s="7" t="n">
        <v>14019.5</v>
      </c>
      <c r="R202" s="7" t="n">
        <v>5340.5</v>
      </c>
    </row>
    <row r="203">
      <c r="A203" s="4" t="n">
        <v>354</v>
      </c>
      <c r="B203" s="4" t="inlineStr">
        <is>
          <t>29200163070</t>
        </is>
      </c>
      <c r="C203" s="13" t="inlineStr">
        <is>
          <t>SEZGİN YILDIRIM</t>
        </is>
      </c>
      <c r="D203" s="13" t="inlineStr">
        <is>
          <t>ÜRETİM</t>
        </is>
      </c>
      <c r="E203" s="4" t="n">
        <v>18</v>
      </c>
      <c r="F203" s="7" t="n">
        <v>30185</v>
      </c>
      <c r="G203" s="7" t="n">
        <v>134.16</v>
      </c>
      <c r="H203" s="7" t="n">
        <v>201.23</v>
      </c>
      <c r="I203" s="5" t="n">
        <v>5</v>
      </c>
      <c r="J203" s="5" t="n">
        <v>15</v>
      </c>
      <c r="K203" s="5" t="n">
        <v>20</v>
      </c>
      <c r="L203" s="7" t="n">
        <v>4024.67</v>
      </c>
      <c r="M203" s="5" t="n">
        <v>0</v>
      </c>
      <c r="N203" s="7" t="n">
        <v>0</v>
      </c>
      <c r="O203" s="7" t="n">
        <v>18111</v>
      </c>
      <c r="P203" s="7" t="n">
        <v>22135.67</v>
      </c>
      <c r="Q203" s="7" t="n">
        <v>4024.67</v>
      </c>
      <c r="R203" s="7" t="n">
        <v>18111</v>
      </c>
    </row>
    <row r="204">
      <c r="A204" s="4" t="n">
        <v>358</v>
      </c>
      <c r="B204" s="4" t="inlineStr">
        <is>
          <t>18442962398</t>
        </is>
      </c>
      <c r="C204" s="13" t="inlineStr">
        <is>
          <t>SILA GÜNEŞ</t>
        </is>
      </c>
      <c r="D204" s="13" t="inlineStr">
        <is>
          <t>ÜRETİM</t>
        </is>
      </c>
      <c r="E204" s="4" t="n">
        <v>5</v>
      </c>
      <c r="F204" s="7" t="n">
        <v>28075.5</v>
      </c>
      <c r="G204" s="7" t="n">
        <v>124.78</v>
      </c>
      <c r="H204" s="7" t="n">
        <v>187.17</v>
      </c>
      <c r="I204" s="5" t="n">
        <v>28.5</v>
      </c>
      <c r="J204" s="5" t="n">
        <v>0</v>
      </c>
      <c r="K204" s="5" t="n">
        <v>28.5</v>
      </c>
      <c r="L204" s="7" t="n">
        <v>5334.35</v>
      </c>
      <c r="M204" s="5" t="n">
        <v>4</v>
      </c>
      <c r="N204" s="7" t="n">
        <v>748.6799999999999</v>
      </c>
      <c r="O204" s="7" t="n">
        <v>4679.25</v>
      </c>
      <c r="P204" s="7" t="n">
        <v>10013.6</v>
      </c>
      <c r="Q204" s="7" t="n">
        <v>15408.84</v>
      </c>
      <c r="R204" s="7" t="n">
        <v>0</v>
      </c>
    </row>
    <row r="205">
      <c r="A205" s="4" t="n">
        <v>360</v>
      </c>
      <c r="B205" s="4" t="inlineStr">
        <is>
          <t>10582783284</t>
        </is>
      </c>
      <c r="C205" s="13" t="inlineStr">
        <is>
          <t>SİBEL ÇÇAKIR</t>
        </is>
      </c>
      <c r="D205" s="13" t="inlineStr">
        <is>
          <t>ÜRETİM</t>
        </is>
      </c>
      <c r="E205" s="4" t="n">
        <v>18</v>
      </c>
      <c r="F205" s="7" t="n">
        <v>28075.5</v>
      </c>
      <c r="G205" s="7" t="n">
        <v>124.78</v>
      </c>
      <c r="H205" s="7" t="n">
        <v>187.17</v>
      </c>
      <c r="I205" s="5" t="n">
        <v>5</v>
      </c>
      <c r="J205" s="5" t="n">
        <v>7.5</v>
      </c>
      <c r="K205" s="5" t="n">
        <v>12.5</v>
      </c>
      <c r="L205" s="7" t="n">
        <v>2339.62</v>
      </c>
      <c r="M205" s="5" t="n">
        <v>0</v>
      </c>
      <c r="N205" s="7" t="n">
        <v>0</v>
      </c>
      <c r="O205" s="7" t="n">
        <v>16845.3</v>
      </c>
      <c r="P205" s="7" t="n">
        <v>19184.92</v>
      </c>
      <c r="Q205" s="7" t="n">
        <v>28012.55</v>
      </c>
      <c r="R205" s="7" t="n">
        <v>0</v>
      </c>
    </row>
    <row r="206">
      <c r="A206" s="4" t="n">
        <v>361</v>
      </c>
      <c r="B206" s="4" t="inlineStr">
        <is>
          <t>10780950730</t>
        </is>
      </c>
      <c r="C206" s="13" t="inlineStr">
        <is>
          <t>SİBEL ÇİFTÇİ</t>
        </is>
      </c>
      <c r="D206" s="13" t="inlineStr">
        <is>
          <t>BALIK TEMİZLEME</t>
        </is>
      </c>
      <c r="E206" s="4" t="n">
        <v>4</v>
      </c>
      <c r="F206" s="7" t="n">
        <v>33000</v>
      </c>
      <c r="G206" s="7" t="n">
        <v>146.67</v>
      </c>
      <c r="H206" s="7" t="n">
        <v>220</v>
      </c>
      <c r="I206" s="5" t="n">
        <v>1</v>
      </c>
      <c r="J206" s="5" t="n">
        <v>0</v>
      </c>
      <c r="K206" s="5" t="n">
        <v>1</v>
      </c>
      <c r="L206" s="7" t="n">
        <v>220</v>
      </c>
      <c r="M206" s="5" t="n">
        <v>0</v>
      </c>
      <c r="N206" s="7" t="n">
        <v>0</v>
      </c>
      <c r="O206" s="7" t="n">
        <v>4400</v>
      </c>
      <c r="P206" s="7" t="n">
        <v>4620</v>
      </c>
      <c r="Q206" s="7" t="n">
        <v>26314.7</v>
      </c>
      <c r="R206" s="7" t="n">
        <v>0</v>
      </c>
    </row>
    <row r="207">
      <c r="A207" s="4" t="n">
        <v>362</v>
      </c>
      <c r="B207" s="4" t="inlineStr">
        <is>
          <t>28979029792</t>
        </is>
      </c>
      <c r="C207" s="13" t="inlineStr">
        <is>
          <t>SİNEM PİRİZOĞLU</t>
        </is>
      </c>
      <c r="D207" s="13" t="inlineStr">
        <is>
          <t>ÜRETİM</t>
        </is>
      </c>
      <c r="E207" s="4" t="n">
        <v>1</v>
      </c>
      <c r="F207" s="7" t="n">
        <v>28075.5</v>
      </c>
      <c r="G207" s="7" t="n">
        <v>124.78</v>
      </c>
      <c r="H207" s="7" t="n">
        <v>187.17</v>
      </c>
      <c r="I207" s="5" t="n">
        <v>0</v>
      </c>
      <c r="J207" s="5" t="n">
        <v>0</v>
      </c>
      <c r="K207" s="5" t="n">
        <v>0</v>
      </c>
      <c r="L207" s="7" t="n">
        <v>0</v>
      </c>
      <c r="M207" s="5" t="n">
        <v>0</v>
      </c>
      <c r="N207" s="7" t="n">
        <v>0</v>
      </c>
      <c r="O207" s="7" t="n">
        <v>935.85</v>
      </c>
      <c r="P207" s="7" t="n">
        <v>935.85</v>
      </c>
      <c r="Q207" s="7" t="n">
        <v>25941.09</v>
      </c>
      <c r="R207" s="7" t="n">
        <v>0</v>
      </c>
    </row>
    <row r="208">
      <c r="A208" s="4" t="n">
        <v>364</v>
      </c>
      <c r="B208" s="4" t="inlineStr">
        <is>
          <t>55963096430</t>
        </is>
      </c>
      <c r="C208" s="13" t="inlineStr">
        <is>
          <t>SULTAN BAĞ</t>
        </is>
      </c>
      <c r="D208" s="13" t="inlineStr">
        <is>
          <t>BALIK TEMİZLEME</t>
        </is>
      </c>
      <c r="E208" s="4" t="n">
        <v>14</v>
      </c>
      <c r="F208" s="7" t="n">
        <v>33000</v>
      </c>
      <c r="G208" s="7" t="n">
        <v>146.67</v>
      </c>
      <c r="H208" s="7" t="n">
        <v>220</v>
      </c>
      <c r="I208" s="5" t="n">
        <v>8.5</v>
      </c>
      <c r="J208" s="5" t="n">
        <v>0</v>
      </c>
      <c r="K208" s="5" t="n">
        <v>8.5</v>
      </c>
      <c r="L208" s="7" t="n">
        <v>1870</v>
      </c>
      <c r="M208" s="5" t="n">
        <v>0</v>
      </c>
      <c r="N208" s="7" t="n">
        <v>0</v>
      </c>
      <c r="O208" s="7" t="n">
        <v>15400</v>
      </c>
      <c r="P208" s="7" t="n">
        <v>17270</v>
      </c>
      <c r="Q208" s="7" t="n">
        <v>18911.4</v>
      </c>
      <c r="R208" s="7" t="n">
        <v>0</v>
      </c>
    </row>
    <row r="209">
      <c r="A209" s="4" t="n">
        <v>365</v>
      </c>
      <c r="B209" s="4" t="inlineStr">
        <is>
          <t>13720827796</t>
        </is>
      </c>
      <c r="C209" s="13" t="inlineStr">
        <is>
          <t>ŞADİ BAŞARICI</t>
        </is>
      </c>
      <c r="D209" s="13" t="inlineStr">
        <is>
          <t>BAKIM</t>
        </is>
      </c>
      <c r="E209" s="4" t="n">
        <v>15</v>
      </c>
      <c r="F209" s="7" t="n">
        <v>42000</v>
      </c>
      <c r="G209" s="7" t="n">
        <v>186.67</v>
      </c>
      <c r="H209" s="7" t="n">
        <v>280</v>
      </c>
      <c r="I209" s="5" t="n">
        <v>4.5</v>
      </c>
      <c r="J209" s="5" t="n">
        <v>9</v>
      </c>
      <c r="K209" s="5" t="n">
        <v>13.5</v>
      </c>
      <c r="L209" s="7" t="n">
        <v>3780</v>
      </c>
      <c r="M209" s="5" t="n">
        <v>0</v>
      </c>
      <c r="N209" s="7" t="n">
        <v>0</v>
      </c>
      <c r="O209" s="7" t="n">
        <v>21000</v>
      </c>
      <c r="P209" s="7" t="n">
        <v>24780</v>
      </c>
      <c r="Q209" s="7" t="n">
        <v>46021.55</v>
      </c>
      <c r="R209" s="7" t="n">
        <v>0</v>
      </c>
    </row>
    <row r="210">
      <c r="A210" s="4" t="n">
        <v>370</v>
      </c>
      <c r="B210" s="4" t="inlineStr">
        <is>
          <t>38233180558</t>
        </is>
      </c>
      <c r="C210" s="13" t="inlineStr">
        <is>
          <t>ŞAKİR KARAKAŞ</t>
        </is>
      </c>
      <c r="D210" s="13" t="inlineStr">
        <is>
          <t>AMBAR</t>
        </is>
      </c>
      <c r="E210" s="4" t="n">
        <v>14</v>
      </c>
      <c r="F210" s="7" t="n">
        <v>37000</v>
      </c>
      <c r="G210" s="7" t="n">
        <v>164.44</v>
      </c>
      <c r="H210" s="7" t="n">
        <v>246.67</v>
      </c>
      <c r="I210" s="5" t="n">
        <v>7.5</v>
      </c>
      <c r="J210" s="5" t="n">
        <v>0</v>
      </c>
      <c r="K210" s="5" t="n">
        <v>7.5</v>
      </c>
      <c r="L210" s="7" t="n">
        <v>1850</v>
      </c>
      <c r="M210" s="5" t="n">
        <v>0</v>
      </c>
      <c r="N210" s="7" t="n">
        <v>0</v>
      </c>
      <c r="O210" s="7" t="n">
        <v>17266.67</v>
      </c>
      <c r="P210" s="7" t="n">
        <v>19116.67</v>
      </c>
      <c r="Q210" s="7" t="n">
        <v>4024.67</v>
      </c>
      <c r="R210" s="7" t="n">
        <v>15092</v>
      </c>
    </row>
    <row r="211">
      <c r="A211" s="4" t="n">
        <v>372</v>
      </c>
      <c r="B211" s="4" t="inlineStr">
        <is>
          <t>25192322242</t>
        </is>
      </c>
      <c r="C211" s="13" t="inlineStr">
        <is>
          <t>ŞAYİKA KOPARAN</t>
        </is>
      </c>
      <c r="D211" s="13" t="inlineStr">
        <is>
          <t>AMBAR</t>
        </is>
      </c>
      <c r="E211" s="4" t="n">
        <v>16</v>
      </c>
      <c r="F211" s="7" t="n">
        <v>28075.5</v>
      </c>
      <c r="G211" s="7" t="n">
        <v>124.78</v>
      </c>
      <c r="H211" s="7" t="n">
        <v>187.17</v>
      </c>
      <c r="I211" s="5" t="n">
        <v>6.5</v>
      </c>
      <c r="J211" s="5" t="n">
        <v>7.5</v>
      </c>
      <c r="K211" s="5" t="n">
        <v>14</v>
      </c>
      <c r="L211" s="7" t="n">
        <v>2620.38</v>
      </c>
      <c r="M211" s="5" t="n">
        <v>0</v>
      </c>
      <c r="N211" s="7" t="n">
        <v>0</v>
      </c>
      <c r="O211" s="7" t="n">
        <v>14973.6</v>
      </c>
      <c r="P211" s="7" t="n">
        <v>17593.98</v>
      </c>
      <c r="Q211" s="7" t="n">
        <v>27575.83</v>
      </c>
      <c r="R211" s="7" t="n">
        <v>0</v>
      </c>
    </row>
    <row r="212">
      <c r="A212" s="4" t="n">
        <v>373</v>
      </c>
      <c r="B212" s="4" t="inlineStr">
        <is>
          <t>38240191356</t>
        </is>
      </c>
      <c r="C212" s="13" t="inlineStr">
        <is>
          <t>ŞENGÜL ALEMİN</t>
        </is>
      </c>
      <c r="D212" s="13" t="inlineStr">
        <is>
          <t>ÜRETİM</t>
        </is>
      </c>
      <c r="E212" s="4" t="n">
        <v>10</v>
      </c>
      <c r="F212" s="7" t="n">
        <v>28075.5</v>
      </c>
      <c r="G212" s="7" t="n">
        <v>124.78</v>
      </c>
      <c r="H212" s="7" t="n">
        <v>187.17</v>
      </c>
      <c r="I212" s="5" t="n">
        <v>21</v>
      </c>
      <c r="J212" s="5" t="n">
        <v>0</v>
      </c>
      <c r="K212" s="5" t="n">
        <v>21</v>
      </c>
      <c r="L212" s="7" t="n">
        <v>3930.57</v>
      </c>
      <c r="M212" s="5" t="n">
        <v>4</v>
      </c>
      <c r="N212" s="7" t="n">
        <v>748.6799999999999</v>
      </c>
      <c r="O212" s="7" t="n">
        <v>9358.5</v>
      </c>
      <c r="P212" s="7" t="n">
        <v>13289.07</v>
      </c>
      <c r="Q212" s="7" t="n">
        <v>27950.72</v>
      </c>
      <c r="R212" s="7" t="n">
        <v>0</v>
      </c>
    </row>
    <row r="213">
      <c r="A213" s="4" t="n">
        <v>375</v>
      </c>
      <c r="B213" s="4" t="inlineStr">
        <is>
          <t>10255820520</t>
        </is>
      </c>
      <c r="C213" s="13" t="inlineStr">
        <is>
          <t>ŞERBANE SARAN</t>
        </is>
      </c>
      <c r="D213" s="13" t="inlineStr">
        <is>
          <t>BALIK TEMİZLEME</t>
        </is>
      </c>
      <c r="E213" s="4" t="n">
        <v>11</v>
      </c>
      <c r="F213" s="7" t="n">
        <v>33000</v>
      </c>
      <c r="G213" s="7" t="n">
        <v>146.67</v>
      </c>
      <c r="H213" s="7" t="n">
        <v>220</v>
      </c>
      <c r="I213" s="5" t="n">
        <v>6.5</v>
      </c>
      <c r="J213" s="5" t="n">
        <v>0</v>
      </c>
      <c r="K213" s="5" t="n">
        <v>6.5</v>
      </c>
      <c r="L213" s="7" t="n">
        <v>1430</v>
      </c>
      <c r="M213" s="5" t="n">
        <v>0</v>
      </c>
      <c r="N213" s="7" t="n">
        <v>0</v>
      </c>
      <c r="O213" s="7" t="n">
        <v>12100</v>
      </c>
      <c r="P213" s="7" t="n">
        <v>13530</v>
      </c>
      <c r="Q213" s="7" t="n">
        <v>34597.6</v>
      </c>
      <c r="R213" s="7" t="n">
        <v>0</v>
      </c>
    </row>
    <row r="214">
      <c r="A214" s="4" t="n">
        <v>378</v>
      </c>
      <c r="B214" s="4" t="inlineStr"/>
      <c r="C214" s="13" t="inlineStr">
        <is>
          <t>ŞEYMA İİPEK</t>
        </is>
      </c>
      <c r="D214" s="13" t="inlineStr">
        <is>
          <t>Bilinmeyen</t>
        </is>
      </c>
      <c r="E214" s="4" t="n">
        <v>6</v>
      </c>
      <c r="F214" s="7" t="n">
        <v>28075.5</v>
      </c>
      <c r="G214" s="7" t="n">
        <v>124.78</v>
      </c>
      <c r="H214" s="7" t="n">
        <v>187.17</v>
      </c>
      <c r="I214" s="5" t="n">
        <v>6</v>
      </c>
      <c r="J214" s="5" t="n">
        <v>0</v>
      </c>
      <c r="K214" s="5" t="n">
        <v>6</v>
      </c>
      <c r="L214" s="7" t="n">
        <v>1123.02</v>
      </c>
      <c r="M214" s="5" t="n">
        <v>0</v>
      </c>
      <c r="N214" s="7" t="n">
        <v>0</v>
      </c>
      <c r="O214" s="7" t="n">
        <v>5615.1</v>
      </c>
      <c r="P214" s="7" t="n">
        <v>6738.12</v>
      </c>
      <c r="Q214" s="7" t="n">
        <v>0</v>
      </c>
      <c r="R214" s="7" t="n">
        <v>6738.12</v>
      </c>
    </row>
    <row r="215">
      <c r="A215" s="4" t="n">
        <v>380</v>
      </c>
      <c r="B215" s="4" t="inlineStr">
        <is>
          <t>29761139378</t>
        </is>
      </c>
      <c r="C215" s="13" t="inlineStr">
        <is>
          <t>TALHA YAVAŞ</t>
        </is>
      </c>
      <c r="D215" s="13" t="inlineStr">
        <is>
          <t>KALİTE</t>
        </is>
      </c>
      <c r="E215" s="4" t="n">
        <v>16</v>
      </c>
      <c r="F215" s="7" t="n">
        <v>30000</v>
      </c>
      <c r="G215" s="7" t="n">
        <v>133.33</v>
      </c>
      <c r="H215" s="7" t="n">
        <v>200</v>
      </c>
      <c r="I215" s="5" t="n">
        <v>11</v>
      </c>
      <c r="J215" s="5" t="n">
        <v>8.5</v>
      </c>
      <c r="K215" s="5" t="n">
        <v>19.5</v>
      </c>
      <c r="L215" s="7" t="n">
        <v>3900</v>
      </c>
      <c r="M215" s="5" t="n">
        <v>0</v>
      </c>
      <c r="N215" s="7" t="n">
        <v>0</v>
      </c>
      <c r="O215" s="7" t="n">
        <v>16000</v>
      </c>
      <c r="P215" s="7" t="n">
        <v>19900</v>
      </c>
      <c r="Q215" s="7" t="n">
        <v>24626.95</v>
      </c>
      <c r="R215" s="7" t="n">
        <v>0</v>
      </c>
    </row>
    <row r="216">
      <c r="A216" s="4" t="n">
        <v>381</v>
      </c>
      <c r="B216" s="4" t="inlineStr">
        <is>
          <t>20374606288</t>
        </is>
      </c>
      <c r="C216" s="13" t="inlineStr">
        <is>
          <t>TANER BEYİRKEN</t>
        </is>
      </c>
      <c r="D216" s="13" t="inlineStr">
        <is>
          <t>ÜRETİM</t>
        </is>
      </c>
      <c r="E216" s="4" t="n">
        <v>9</v>
      </c>
      <c r="F216" s="7" t="n">
        <v>28075.5</v>
      </c>
      <c r="G216" s="7" t="n">
        <v>124.78</v>
      </c>
      <c r="H216" s="7" t="n">
        <v>187.17</v>
      </c>
      <c r="I216" s="5" t="n">
        <v>12</v>
      </c>
      <c r="J216" s="5" t="n">
        <v>0</v>
      </c>
      <c r="K216" s="5" t="n">
        <v>12</v>
      </c>
      <c r="L216" s="7" t="n">
        <v>2246.04</v>
      </c>
      <c r="M216" s="5" t="n">
        <v>0</v>
      </c>
      <c r="N216" s="7" t="n">
        <v>0</v>
      </c>
      <c r="O216" s="7" t="n">
        <v>8422.65</v>
      </c>
      <c r="P216" s="7" t="n">
        <v>10668.69</v>
      </c>
      <c r="Q216" s="7" t="n">
        <v>22751.42</v>
      </c>
      <c r="R216" s="7" t="n">
        <v>0</v>
      </c>
    </row>
    <row r="217">
      <c r="A217" s="4" t="n">
        <v>382</v>
      </c>
      <c r="B217" s="4" t="inlineStr">
        <is>
          <t>32938871292</t>
        </is>
      </c>
      <c r="C217" s="13" t="inlineStr">
        <is>
          <t>TAYFUN ÇELİK</t>
        </is>
      </c>
      <c r="D217" s="13" t="inlineStr">
        <is>
          <t>MEYDAN</t>
        </is>
      </c>
      <c r="E217" s="4" t="n">
        <v>17</v>
      </c>
      <c r="F217" s="7" t="n">
        <v>28075.5</v>
      </c>
      <c r="G217" s="7" t="n">
        <v>124.78</v>
      </c>
      <c r="H217" s="7" t="n">
        <v>187.17</v>
      </c>
      <c r="I217" s="5" t="n">
        <v>23</v>
      </c>
      <c r="J217" s="5" t="n">
        <v>9.5</v>
      </c>
      <c r="K217" s="5" t="n">
        <v>32.5</v>
      </c>
      <c r="L217" s="7" t="n">
        <v>6083.03</v>
      </c>
      <c r="M217" s="5" t="n">
        <v>0</v>
      </c>
      <c r="N217" s="7" t="n">
        <v>0</v>
      </c>
      <c r="O217" s="7" t="n">
        <v>15909.45</v>
      </c>
      <c r="P217" s="7" t="n">
        <v>21992.48</v>
      </c>
      <c r="Q217" s="7" t="n">
        <v>34126.65</v>
      </c>
      <c r="R217" s="7" t="n">
        <v>0</v>
      </c>
    </row>
    <row r="218">
      <c r="A218" s="4" t="n">
        <v>383</v>
      </c>
      <c r="B218" s="4" t="inlineStr">
        <is>
          <t>10705928394</t>
        </is>
      </c>
      <c r="C218" s="13" t="inlineStr">
        <is>
          <t>TAYFUN GÜNCÜ</t>
        </is>
      </c>
      <c r="D218" s="13" t="inlineStr">
        <is>
          <t>BALIK TEMİZLEME</t>
        </is>
      </c>
      <c r="E218" s="4" t="n">
        <v>17</v>
      </c>
      <c r="F218" s="7" t="n">
        <v>33000</v>
      </c>
      <c r="G218" s="7" t="n">
        <v>146.67</v>
      </c>
      <c r="H218" s="7" t="n">
        <v>220</v>
      </c>
      <c r="I218" s="5" t="n">
        <v>9.5</v>
      </c>
      <c r="J218" s="5" t="n">
        <v>0</v>
      </c>
      <c r="K218" s="5" t="n">
        <v>9.5</v>
      </c>
      <c r="L218" s="7" t="n">
        <v>2090</v>
      </c>
      <c r="M218" s="5" t="n">
        <v>0</v>
      </c>
      <c r="N218" s="7" t="n">
        <v>0</v>
      </c>
      <c r="O218" s="7" t="n">
        <v>18700</v>
      </c>
      <c r="P218" s="7" t="n">
        <v>20790</v>
      </c>
      <c r="Q218" s="7" t="n">
        <v>14526.9</v>
      </c>
      <c r="R218" s="7" t="n">
        <v>6263.1</v>
      </c>
    </row>
    <row r="219">
      <c r="A219" s="4" t="n">
        <v>384</v>
      </c>
      <c r="B219" s="4" t="inlineStr">
        <is>
          <t>13252843738</t>
        </is>
      </c>
      <c r="C219" s="13" t="inlineStr">
        <is>
          <t>TAYFUN TIĞRAK</t>
        </is>
      </c>
      <c r="D219" s="13" t="inlineStr">
        <is>
          <t>FORMEN</t>
        </is>
      </c>
      <c r="E219" s="4" t="n">
        <v>16</v>
      </c>
      <c r="F219" s="7" t="n">
        <v>55000</v>
      </c>
      <c r="G219" s="7" t="n">
        <v>244.44</v>
      </c>
      <c r="H219" s="7" t="n">
        <v>366.67</v>
      </c>
      <c r="I219" s="5" t="n">
        <v>28.5</v>
      </c>
      <c r="J219" s="5" t="n">
        <v>0</v>
      </c>
      <c r="K219" s="5" t="n">
        <v>28.5</v>
      </c>
      <c r="L219" s="7" t="n">
        <v>10450</v>
      </c>
      <c r="M219" s="5" t="n">
        <v>0</v>
      </c>
      <c r="N219" s="7" t="n">
        <v>0</v>
      </c>
      <c r="O219" s="7" t="n">
        <v>29333.33</v>
      </c>
      <c r="P219" s="7" t="n">
        <v>39783.33</v>
      </c>
      <c r="Q219" s="7" t="n">
        <v>4024.67</v>
      </c>
      <c r="R219" s="7" t="n">
        <v>35758.66</v>
      </c>
    </row>
    <row r="220">
      <c r="A220" s="4" t="n">
        <v>387</v>
      </c>
      <c r="B220" s="4" t="inlineStr">
        <is>
          <t>30925156292</t>
        </is>
      </c>
      <c r="C220" s="13" t="inlineStr">
        <is>
          <t>TUNCAY METİN</t>
        </is>
      </c>
      <c r="D220" s="13" t="inlineStr">
        <is>
          <t>KAPI GÖREVLİSİ</t>
        </is>
      </c>
      <c r="E220" s="4" t="n">
        <v>17</v>
      </c>
      <c r="F220" s="7" t="n">
        <v>28075.5</v>
      </c>
      <c r="G220" s="7" t="n">
        <v>124.78</v>
      </c>
      <c r="H220" s="7" t="n">
        <v>187.17</v>
      </c>
      <c r="I220" s="5" t="n">
        <v>0</v>
      </c>
      <c r="J220" s="5" t="n">
        <v>22.5</v>
      </c>
      <c r="K220" s="5" t="n">
        <v>22.5</v>
      </c>
      <c r="L220" s="7" t="n">
        <v>4211.33</v>
      </c>
      <c r="M220" s="5" t="n">
        <v>0</v>
      </c>
      <c r="N220" s="7" t="n">
        <v>0</v>
      </c>
      <c r="O220" s="7" t="n">
        <v>15909.45</v>
      </c>
      <c r="P220" s="7" t="n">
        <v>20120.78</v>
      </c>
      <c r="Q220" s="7" t="n">
        <v>20978.77</v>
      </c>
      <c r="R220" s="7" t="n">
        <v>0</v>
      </c>
    </row>
    <row r="221">
      <c r="A221" s="4" t="n">
        <v>389</v>
      </c>
      <c r="B221" s="4" t="inlineStr">
        <is>
          <t>10198947728</t>
        </is>
      </c>
      <c r="C221" s="13" t="inlineStr">
        <is>
          <t>ÜMİT BATIN TÜRKAN</t>
        </is>
      </c>
      <c r="D221" s="13" t="inlineStr">
        <is>
          <t>BAKIM</t>
        </is>
      </c>
      <c r="E221" s="4" t="n">
        <v>16</v>
      </c>
      <c r="F221" s="7" t="n">
        <v>28075.5</v>
      </c>
      <c r="G221" s="7" t="n">
        <v>124.78</v>
      </c>
      <c r="H221" s="7" t="n">
        <v>187.17</v>
      </c>
      <c r="I221" s="5" t="n">
        <v>17.5</v>
      </c>
      <c r="J221" s="5" t="n">
        <v>18.5</v>
      </c>
      <c r="K221" s="5" t="n">
        <v>36</v>
      </c>
      <c r="L221" s="7" t="n">
        <v>6738.12</v>
      </c>
      <c r="M221" s="5" t="n">
        <v>0</v>
      </c>
      <c r="N221" s="7" t="n">
        <v>0</v>
      </c>
      <c r="O221" s="7" t="n">
        <v>14973.6</v>
      </c>
      <c r="P221" s="7" t="n">
        <v>21711.72</v>
      </c>
      <c r="Q221" s="7" t="n">
        <v>23292.93</v>
      </c>
      <c r="R221" s="7" t="n">
        <v>0</v>
      </c>
    </row>
    <row r="222">
      <c r="A222" s="4" t="n">
        <v>390</v>
      </c>
      <c r="B222" s="4" t="inlineStr">
        <is>
          <t>12268777280</t>
        </is>
      </c>
      <c r="C222" s="13" t="inlineStr">
        <is>
          <t>ÜMMÜ AYDOĞAN</t>
        </is>
      </c>
      <c r="D222" s="13" t="inlineStr">
        <is>
          <t>ÜRETİM</t>
        </is>
      </c>
      <c r="E222" s="4" t="n">
        <v>17</v>
      </c>
      <c r="F222" s="7" t="n">
        <v>28075.5</v>
      </c>
      <c r="G222" s="7" t="n">
        <v>124.78</v>
      </c>
      <c r="H222" s="7" t="n">
        <v>187.17</v>
      </c>
      <c r="I222" s="5" t="n">
        <v>5.5</v>
      </c>
      <c r="J222" s="5" t="n">
        <v>0</v>
      </c>
      <c r="K222" s="5" t="n">
        <v>5.5</v>
      </c>
      <c r="L222" s="7" t="n">
        <v>1029.44</v>
      </c>
      <c r="M222" s="5" t="n">
        <v>0</v>
      </c>
      <c r="N222" s="7" t="n">
        <v>0</v>
      </c>
      <c r="O222" s="7" t="n">
        <v>15909.45</v>
      </c>
      <c r="P222" s="7" t="n">
        <v>16938.89</v>
      </c>
      <c r="Q222" s="7" t="n">
        <v>28137.33</v>
      </c>
      <c r="R222" s="7" t="n">
        <v>0</v>
      </c>
    </row>
    <row r="223">
      <c r="A223" s="4" t="n">
        <v>391</v>
      </c>
      <c r="B223" s="4" t="inlineStr">
        <is>
          <t>57541044000</t>
        </is>
      </c>
      <c r="C223" s="13" t="inlineStr">
        <is>
          <t>ÜMMÜGÜLSÜM BAĞ</t>
        </is>
      </c>
      <c r="D223" s="13" t="inlineStr">
        <is>
          <t>BALIK TEMİZLEME</t>
        </is>
      </c>
      <c r="E223" s="4" t="n">
        <v>14</v>
      </c>
      <c r="F223" s="7" t="n">
        <v>33000</v>
      </c>
      <c r="G223" s="7" t="n">
        <v>146.67</v>
      </c>
      <c r="H223" s="7" t="n">
        <v>220</v>
      </c>
      <c r="I223" s="5" t="n">
        <v>9.5</v>
      </c>
      <c r="J223" s="5" t="n">
        <v>0</v>
      </c>
      <c r="K223" s="5" t="n">
        <v>9.5</v>
      </c>
      <c r="L223" s="7" t="n">
        <v>2090</v>
      </c>
      <c r="M223" s="5" t="n">
        <v>0</v>
      </c>
      <c r="N223" s="7" t="n">
        <v>0</v>
      </c>
      <c r="O223" s="7" t="n">
        <v>15400</v>
      </c>
      <c r="P223" s="7" t="n">
        <v>17490</v>
      </c>
      <c r="Q223" s="7" t="n">
        <v>19446.5</v>
      </c>
      <c r="R223" s="7" t="n">
        <v>0</v>
      </c>
    </row>
    <row r="224">
      <c r="A224" s="4" t="n">
        <v>393</v>
      </c>
      <c r="B224" s="4" t="inlineStr">
        <is>
          <t>37075059770</t>
        </is>
      </c>
      <c r="C224" s="13" t="inlineStr">
        <is>
          <t>ÜVEYS SEPETÇİ</t>
        </is>
      </c>
      <c r="D224" s="13" t="inlineStr">
        <is>
          <t>ÜRETİM</t>
        </is>
      </c>
      <c r="E224" s="4" t="n">
        <v>17</v>
      </c>
      <c r="F224" s="7" t="n">
        <v>33000</v>
      </c>
      <c r="G224" s="7" t="n">
        <v>146.67</v>
      </c>
      <c r="H224" s="7" t="n">
        <v>220</v>
      </c>
      <c r="I224" s="5" t="n">
        <v>11.5</v>
      </c>
      <c r="J224" s="5" t="n">
        <v>10</v>
      </c>
      <c r="K224" s="5" t="n">
        <v>21.5</v>
      </c>
      <c r="L224" s="7" t="n">
        <v>4730</v>
      </c>
      <c r="M224" s="5" t="n">
        <v>0</v>
      </c>
      <c r="N224" s="7" t="n">
        <v>0</v>
      </c>
      <c r="O224" s="7" t="n">
        <v>18700</v>
      </c>
      <c r="P224" s="7" t="n">
        <v>23430</v>
      </c>
      <c r="Q224" s="7" t="n">
        <v>13931.1</v>
      </c>
      <c r="R224" s="7" t="n">
        <v>9498.9</v>
      </c>
    </row>
    <row r="225">
      <c r="A225" s="4" t="n">
        <v>394</v>
      </c>
      <c r="B225" s="4" t="inlineStr">
        <is>
          <t>23077372900</t>
        </is>
      </c>
      <c r="C225" s="13" t="inlineStr">
        <is>
          <t>VAHİDE YAŞAR</t>
        </is>
      </c>
      <c r="D225" s="13" t="inlineStr">
        <is>
          <t>ÜRETİM</t>
        </is>
      </c>
      <c r="E225" s="4" t="n">
        <v>8</v>
      </c>
      <c r="F225" s="7" t="n">
        <v>28075.5</v>
      </c>
      <c r="G225" s="7" t="n">
        <v>124.78</v>
      </c>
      <c r="H225" s="7" t="n">
        <v>187.17</v>
      </c>
      <c r="I225" s="5" t="n">
        <v>0</v>
      </c>
      <c r="J225" s="5" t="n">
        <v>0</v>
      </c>
      <c r="K225" s="5" t="n">
        <v>0</v>
      </c>
      <c r="L225" s="7" t="n">
        <v>0</v>
      </c>
      <c r="M225" s="5" t="n">
        <v>0</v>
      </c>
      <c r="N225" s="7" t="n">
        <v>0</v>
      </c>
      <c r="O225" s="7" t="n">
        <v>7486.8</v>
      </c>
      <c r="P225" s="7" t="n">
        <v>7486.8</v>
      </c>
      <c r="Q225" s="7" t="n">
        <v>27264.43</v>
      </c>
      <c r="R225" s="7" t="n">
        <v>0</v>
      </c>
    </row>
    <row r="226">
      <c r="A226" s="4" t="n">
        <v>396</v>
      </c>
      <c r="B226" s="4" t="inlineStr">
        <is>
          <t>18364673952</t>
        </is>
      </c>
      <c r="C226" s="13" t="inlineStr">
        <is>
          <t>YEŞİM BEYİRKEN</t>
        </is>
      </c>
      <c r="D226" s="13" t="inlineStr">
        <is>
          <t>ÜRETİM</t>
        </is>
      </c>
      <c r="E226" s="4" t="n">
        <v>4</v>
      </c>
      <c r="F226" s="7" t="n">
        <v>28075.5</v>
      </c>
      <c r="G226" s="7" t="n">
        <v>124.78</v>
      </c>
      <c r="H226" s="7" t="n">
        <v>187.17</v>
      </c>
      <c r="I226" s="5" t="n">
        <v>6</v>
      </c>
      <c r="J226" s="5" t="n">
        <v>0</v>
      </c>
      <c r="K226" s="5" t="n">
        <v>6</v>
      </c>
      <c r="L226" s="7" t="n">
        <v>1123.02</v>
      </c>
      <c r="M226" s="5" t="n">
        <v>0</v>
      </c>
      <c r="N226" s="7" t="n">
        <v>0</v>
      </c>
      <c r="O226" s="7" t="n">
        <v>3743.4</v>
      </c>
      <c r="P226" s="7" t="n">
        <v>4866.42</v>
      </c>
      <c r="Q226" s="7" t="n">
        <v>21380.75</v>
      </c>
      <c r="R226" s="7" t="n">
        <v>0</v>
      </c>
    </row>
    <row r="227">
      <c r="A227" s="4" t="n">
        <v>399</v>
      </c>
      <c r="B227" s="4" t="inlineStr">
        <is>
          <t>17096459292</t>
        </is>
      </c>
      <c r="C227" s="13" t="inlineStr">
        <is>
          <t>YURDANUR ÇELİK</t>
        </is>
      </c>
      <c r="D227" s="13" t="inlineStr">
        <is>
          <t>BALIK TEMİZLEME</t>
        </is>
      </c>
      <c r="E227" s="4" t="n">
        <v>4</v>
      </c>
      <c r="F227" s="7" t="n">
        <v>33000</v>
      </c>
      <c r="G227" s="7" t="n">
        <v>146.67</v>
      </c>
      <c r="H227" s="7" t="n">
        <v>220</v>
      </c>
      <c r="I227" s="5" t="n">
        <v>1</v>
      </c>
      <c r="J227" s="5" t="n">
        <v>0</v>
      </c>
      <c r="K227" s="5" t="n">
        <v>1</v>
      </c>
      <c r="L227" s="7" t="n">
        <v>220</v>
      </c>
      <c r="M227" s="5" t="n">
        <v>0</v>
      </c>
      <c r="N227" s="7" t="n">
        <v>0</v>
      </c>
      <c r="O227" s="7" t="n">
        <v>4400</v>
      </c>
      <c r="P227" s="7" t="n">
        <v>4620</v>
      </c>
      <c r="Q227" s="7" t="n">
        <v>10607</v>
      </c>
      <c r="R227" s="7" t="n">
        <v>0</v>
      </c>
    </row>
    <row r="228">
      <c r="A228" s="4" t="n">
        <v>400</v>
      </c>
      <c r="B228" s="4" t="inlineStr">
        <is>
          <t>10528936408</t>
        </is>
      </c>
      <c r="C228" s="13" t="inlineStr">
        <is>
          <t>YUSUF ÇETİN</t>
        </is>
      </c>
      <c r="D228" s="13" t="inlineStr">
        <is>
          <t>Bilinmeyen</t>
        </is>
      </c>
      <c r="E228" s="4" t="n">
        <v>15</v>
      </c>
      <c r="F228" s="7" t="n">
        <v>28075.5</v>
      </c>
      <c r="G228" s="7" t="n">
        <v>124.78</v>
      </c>
      <c r="H228" s="7" t="n">
        <v>187.17</v>
      </c>
      <c r="I228" s="5" t="n">
        <v>33</v>
      </c>
      <c r="J228" s="5" t="n">
        <v>0</v>
      </c>
      <c r="K228" s="5" t="n">
        <v>33</v>
      </c>
      <c r="L228" s="7" t="n">
        <v>6176.61</v>
      </c>
      <c r="M228" s="5" t="n">
        <v>0</v>
      </c>
      <c r="N228" s="7" t="n">
        <v>0</v>
      </c>
      <c r="O228" s="7" t="n">
        <v>14037.75</v>
      </c>
      <c r="P228" s="7" t="n">
        <v>20214.36</v>
      </c>
      <c r="Q228" s="7" t="n">
        <v>5417.1</v>
      </c>
      <c r="R228" s="7" t="n">
        <v>14797.26</v>
      </c>
    </row>
    <row r="229">
      <c r="A229" s="4" t="n">
        <v>401</v>
      </c>
      <c r="B229" s="4" t="inlineStr">
        <is>
          <t>14701796544</t>
        </is>
      </c>
      <c r="C229" s="13" t="inlineStr">
        <is>
          <t>YUSUF SAMAR</t>
        </is>
      </c>
      <c r="D229" s="13" t="inlineStr">
        <is>
          <t>MUHASEBE</t>
        </is>
      </c>
      <c r="E229" s="4" t="n">
        <v>17</v>
      </c>
      <c r="F229" s="7" t="n">
        <v>40000</v>
      </c>
      <c r="G229" s="7" t="n">
        <v>177.78</v>
      </c>
      <c r="H229" s="7" t="n">
        <v>266.67</v>
      </c>
      <c r="I229" s="5" t="n">
        <v>10.5</v>
      </c>
      <c r="J229" s="5" t="n">
        <v>0</v>
      </c>
      <c r="K229" s="5" t="n">
        <v>10.5</v>
      </c>
      <c r="L229" s="7" t="n">
        <v>2800</v>
      </c>
      <c r="M229" s="5" t="n">
        <v>0</v>
      </c>
      <c r="N229" s="7" t="n">
        <v>0</v>
      </c>
      <c r="O229" s="7" t="n">
        <v>22666.67</v>
      </c>
      <c r="P229" s="7" t="n">
        <v>25466.67</v>
      </c>
      <c r="Q229" s="7" t="n">
        <v>37426.9</v>
      </c>
      <c r="R229" s="7" t="n">
        <v>0</v>
      </c>
    </row>
    <row r="230">
      <c r="A230" s="4" t="n">
        <v>403</v>
      </c>
      <c r="B230" s="4" t="inlineStr">
        <is>
          <t>31861120316</t>
        </is>
      </c>
      <c r="C230" s="13" t="inlineStr">
        <is>
          <t>ZAHİDE GÜRBÜZ</t>
        </is>
      </c>
      <c r="D230" s="13" t="inlineStr">
        <is>
          <t>BALIK TEMİZLEME</t>
        </is>
      </c>
      <c r="E230" s="4" t="n">
        <v>17</v>
      </c>
      <c r="F230" s="7" t="n">
        <v>33000</v>
      </c>
      <c r="G230" s="7" t="n">
        <v>146.67</v>
      </c>
      <c r="H230" s="7" t="n">
        <v>220</v>
      </c>
      <c r="I230" s="5" t="n">
        <v>10</v>
      </c>
      <c r="J230" s="5" t="n">
        <v>0</v>
      </c>
      <c r="K230" s="5" t="n">
        <v>10</v>
      </c>
      <c r="L230" s="7" t="n">
        <v>2200</v>
      </c>
      <c r="M230" s="5" t="n">
        <v>0</v>
      </c>
      <c r="N230" s="7" t="n">
        <v>0</v>
      </c>
      <c r="O230" s="7" t="n">
        <v>18700</v>
      </c>
      <c r="P230" s="7" t="n">
        <v>20900</v>
      </c>
      <c r="Q230" s="7" t="n">
        <v>4024.67</v>
      </c>
      <c r="R230" s="7" t="n">
        <v>16875.33</v>
      </c>
    </row>
    <row r="231">
      <c r="A231" s="4" t="n">
        <v>404</v>
      </c>
      <c r="B231" s="4" t="inlineStr">
        <is>
          <t>27560597764</t>
        </is>
      </c>
      <c r="C231" s="13" t="inlineStr">
        <is>
          <t>ZAHİDE HAĞİ</t>
        </is>
      </c>
      <c r="D231" s="13" t="inlineStr">
        <is>
          <t>BALIK TEMİZLEME</t>
        </is>
      </c>
      <c r="E231" s="4" t="n">
        <v>16</v>
      </c>
      <c r="F231" s="7" t="n">
        <v>33000</v>
      </c>
      <c r="G231" s="7" t="n">
        <v>146.67</v>
      </c>
      <c r="H231" s="7" t="n">
        <v>220</v>
      </c>
      <c r="I231" s="5" t="n">
        <v>10.5</v>
      </c>
      <c r="J231" s="5" t="n">
        <v>0</v>
      </c>
      <c r="K231" s="5" t="n">
        <v>10.5</v>
      </c>
      <c r="L231" s="7" t="n">
        <v>2310</v>
      </c>
      <c r="M231" s="5" t="n">
        <v>0</v>
      </c>
      <c r="N231" s="7" t="n">
        <v>0</v>
      </c>
      <c r="O231" s="7" t="n">
        <v>17600</v>
      </c>
      <c r="P231" s="7" t="n">
        <v>19910</v>
      </c>
      <c r="Q231" s="7" t="n">
        <v>22356.5</v>
      </c>
      <c r="R231" s="7" t="n">
        <v>0</v>
      </c>
    </row>
    <row r="232">
      <c r="A232" s="4" t="n">
        <v>405</v>
      </c>
      <c r="B232" s="4" t="inlineStr">
        <is>
          <t>31552110794</t>
        </is>
      </c>
      <c r="C232" s="13" t="inlineStr">
        <is>
          <t>ZAHİDE KALDEMİR</t>
        </is>
      </c>
      <c r="D232" s="13" t="inlineStr">
        <is>
          <t>BALIK TEMİZLEME</t>
        </is>
      </c>
      <c r="E232" s="4" t="n">
        <v>17</v>
      </c>
      <c r="F232" s="7" t="n">
        <v>33000</v>
      </c>
      <c r="G232" s="7" t="n">
        <v>146.67</v>
      </c>
      <c r="H232" s="7" t="n">
        <v>220</v>
      </c>
      <c r="I232" s="5" t="n">
        <v>10.5</v>
      </c>
      <c r="J232" s="5" t="n">
        <v>0</v>
      </c>
      <c r="K232" s="5" t="n">
        <v>10.5</v>
      </c>
      <c r="L232" s="7" t="n">
        <v>2310</v>
      </c>
      <c r="M232" s="5" t="n">
        <v>0</v>
      </c>
      <c r="N232" s="7" t="n">
        <v>0</v>
      </c>
      <c r="O232" s="7" t="n">
        <v>18700</v>
      </c>
      <c r="P232" s="7" t="n">
        <v>21010</v>
      </c>
      <c r="Q232" s="7" t="n">
        <v>32178.7</v>
      </c>
      <c r="R232" s="7" t="n">
        <v>0</v>
      </c>
    </row>
    <row r="233">
      <c r="A233" s="4" t="n">
        <v>406</v>
      </c>
      <c r="B233" s="4" t="inlineStr">
        <is>
          <t>34486535794</t>
        </is>
      </c>
      <c r="C233" s="13" t="inlineStr">
        <is>
          <t>ZAHİDE ÖKÇE</t>
        </is>
      </c>
      <c r="D233" s="13" t="inlineStr">
        <is>
          <t>ÜRETİM</t>
        </is>
      </c>
      <c r="E233" s="4" t="n">
        <v>4</v>
      </c>
      <c r="F233" s="7" t="n">
        <v>28075.5</v>
      </c>
      <c r="G233" s="7" t="n">
        <v>124.78</v>
      </c>
      <c r="H233" s="7" t="n">
        <v>187.17</v>
      </c>
      <c r="I233" s="5" t="n">
        <v>15.5</v>
      </c>
      <c r="J233" s="5" t="n">
        <v>0</v>
      </c>
      <c r="K233" s="5" t="n">
        <v>15.5</v>
      </c>
      <c r="L233" s="7" t="n">
        <v>2901.14</v>
      </c>
      <c r="M233" s="5" t="n">
        <v>4</v>
      </c>
      <c r="N233" s="7" t="n">
        <v>748.6799999999999</v>
      </c>
      <c r="O233" s="7" t="n">
        <v>3743.4</v>
      </c>
      <c r="P233" s="7" t="n">
        <v>6644.53</v>
      </c>
      <c r="Q233" s="7" t="n">
        <v>9982.4</v>
      </c>
      <c r="R233" s="7" t="n">
        <v>0</v>
      </c>
    </row>
    <row r="234">
      <c r="A234" s="4" t="n">
        <v>407</v>
      </c>
      <c r="B234" s="4" t="inlineStr">
        <is>
          <t>22249543988</t>
        </is>
      </c>
      <c r="C234" s="13" t="inlineStr">
        <is>
          <t>ZAHİDE NEDİRLİ</t>
        </is>
      </c>
      <c r="D234" s="13" t="inlineStr">
        <is>
          <t>KALİTE</t>
        </is>
      </c>
      <c r="E234" s="4" t="n">
        <v>17</v>
      </c>
      <c r="F234" s="7" t="n">
        <v>50000</v>
      </c>
      <c r="G234" s="7" t="n">
        <v>222.22</v>
      </c>
      <c r="H234" s="7" t="n">
        <v>333.33</v>
      </c>
      <c r="I234" s="5" t="n">
        <v>6.5</v>
      </c>
      <c r="J234" s="5" t="n">
        <v>7.5</v>
      </c>
      <c r="K234" s="5" t="n">
        <v>14</v>
      </c>
      <c r="L234" s="7" t="n">
        <v>4666.67</v>
      </c>
      <c r="M234" s="5" t="n">
        <v>0</v>
      </c>
      <c r="N234" s="7" t="n">
        <v>0</v>
      </c>
      <c r="O234" s="7" t="n">
        <v>28333.33</v>
      </c>
      <c r="P234" s="7" t="n">
        <v>33000</v>
      </c>
      <c r="Q234" s="7" t="n">
        <v>4024.67</v>
      </c>
      <c r="R234" s="7" t="n">
        <v>28975.33</v>
      </c>
    </row>
    <row r="235">
      <c r="A235" s="4" t="n">
        <v>410</v>
      </c>
      <c r="B235" s="4" t="inlineStr">
        <is>
          <t>10820807680</t>
        </is>
      </c>
      <c r="C235" s="13" t="inlineStr">
        <is>
          <t>ZEHRA ONUK</t>
        </is>
      </c>
      <c r="D235" s="13" t="inlineStr">
        <is>
          <t>ÜRETİM</t>
        </is>
      </c>
      <c r="E235" s="4" t="n">
        <v>17</v>
      </c>
      <c r="F235" s="7" t="n">
        <v>28075.5</v>
      </c>
      <c r="G235" s="7" t="n">
        <v>124.78</v>
      </c>
      <c r="H235" s="7" t="n">
        <v>187.17</v>
      </c>
      <c r="I235" s="5" t="n">
        <v>6</v>
      </c>
      <c r="J235" s="5" t="n">
        <v>7.5</v>
      </c>
      <c r="K235" s="5" t="n">
        <v>13.5</v>
      </c>
      <c r="L235" s="7" t="n">
        <v>2526.8</v>
      </c>
      <c r="M235" s="5" t="n">
        <v>0</v>
      </c>
      <c r="N235" s="7" t="n">
        <v>0</v>
      </c>
      <c r="O235" s="7" t="n">
        <v>15909.45</v>
      </c>
      <c r="P235" s="7" t="n">
        <v>18436.25</v>
      </c>
      <c r="Q235" s="7" t="n">
        <v>41310.32</v>
      </c>
      <c r="R235" s="7" t="n">
        <v>0</v>
      </c>
    </row>
    <row r="236">
      <c r="A236" s="4" t="n">
        <v>411</v>
      </c>
      <c r="B236" s="4" t="inlineStr">
        <is>
          <t>23782492962</t>
        </is>
      </c>
      <c r="C236" s="13" t="inlineStr">
        <is>
          <t>ZEKİYE ŞEKER</t>
        </is>
      </c>
      <c r="D236" s="13" t="inlineStr">
        <is>
          <t>BALIK TEMİZLEME</t>
        </is>
      </c>
      <c r="E236" s="4" t="n">
        <v>3</v>
      </c>
      <c r="F236" s="7" t="n">
        <v>33000</v>
      </c>
      <c r="G236" s="7" t="n">
        <v>146.67</v>
      </c>
      <c r="H236" s="7" t="n">
        <v>220</v>
      </c>
      <c r="I236" s="5" t="n">
        <v>3</v>
      </c>
      <c r="J236" s="5" t="n">
        <v>0</v>
      </c>
      <c r="K236" s="5" t="n">
        <v>3</v>
      </c>
      <c r="L236" s="7" t="n">
        <v>660</v>
      </c>
      <c r="M236" s="5" t="n">
        <v>0</v>
      </c>
      <c r="N236" s="7" t="n">
        <v>0</v>
      </c>
      <c r="O236" s="7" t="n">
        <v>3300</v>
      </c>
      <c r="P236" s="7" t="n">
        <v>3960</v>
      </c>
      <c r="Q236" s="7" t="n">
        <v>21330.3</v>
      </c>
      <c r="R236" s="7" t="n">
        <v>0</v>
      </c>
    </row>
    <row r="237">
      <c r="A237" s="4" t="n">
        <v>413</v>
      </c>
      <c r="B237" s="4" t="inlineStr">
        <is>
          <t>28729335166</t>
        </is>
      </c>
      <c r="C237" s="13" t="inlineStr">
        <is>
          <t>ZELİHA KEİREMETÇİ</t>
        </is>
      </c>
      <c r="D237" s="13" t="inlineStr">
        <is>
          <t>BALIK TEMİZLEME</t>
        </is>
      </c>
      <c r="E237" s="4" t="n">
        <v>14</v>
      </c>
      <c r="F237" s="7" t="n">
        <v>33000</v>
      </c>
      <c r="G237" s="7" t="n">
        <v>146.67</v>
      </c>
      <c r="H237" s="7" t="n">
        <v>220</v>
      </c>
      <c r="I237" s="5" t="n">
        <v>7</v>
      </c>
      <c r="J237" s="5" t="n">
        <v>0</v>
      </c>
      <c r="K237" s="5" t="n">
        <v>7</v>
      </c>
      <c r="L237" s="7" t="n">
        <v>1540</v>
      </c>
      <c r="M237" s="5" t="n">
        <v>0</v>
      </c>
      <c r="N237" s="7" t="n">
        <v>0</v>
      </c>
      <c r="O237" s="7" t="n">
        <v>15400</v>
      </c>
      <c r="P237" s="7" t="n">
        <v>16940</v>
      </c>
      <c r="Q237" s="7" t="n">
        <v>26607.9</v>
      </c>
      <c r="R237" s="7" t="n">
        <v>0</v>
      </c>
    </row>
    <row r="238">
      <c r="A238" s="4" t="n">
        <v>414</v>
      </c>
      <c r="B238" s="4" t="inlineStr">
        <is>
          <t>14047825472</t>
        </is>
      </c>
      <c r="C238" s="13" t="inlineStr">
        <is>
          <t>ZELİHA ORUÇ</t>
        </is>
      </c>
      <c r="D238" s="13" t="inlineStr">
        <is>
          <t>BALIK TEMİZLEME</t>
        </is>
      </c>
      <c r="E238" s="4" t="n">
        <v>15</v>
      </c>
      <c r="F238" s="7" t="n">
        <v>33000</v>
      </c>
      <c r="G238" s="7" t="n">
        <v>146.67</v>
      </c>
      <c r="H238" s="7" t="n">
        <v>220</v>
      </c>
      <c r="I238" s="5" t="n">
        <v>9</v>
      </c>
      <c r="J238" s="5" t="n">
        <v>0</v>
      </c>
      <c r="K238" s="5" t="n">
        <v>9</v>
      </c>
      <c r="L238" s="7" t="n">
        <v>1980</v>
      </c>
      <c r="M238" s="5" t="n">
        <v>0</v>
      </c>
      <c r="N238" s="7" t="n">
        <v>0</v>
      </c>
      <c r="O238" s="7" t="n">
        <v>16500</v>
      </c>
      <c r="P238" s="7" t="n">
        <v>18480</v>
      </c>
      <c r="Q238" s="7" t="n">
        <v>32105.4</v>
      </c>
      <c r="R238" s="7" t="n">
        <v>0</v>
      </c>
    </row>
    <row r="239">
      <c r="A239" s="4" t="n">
        <v>417</v>
      </c>
      <c r="B239" s="4" t="inlineStr">
        <is>
          <t>24289352612</t>
        </is>
      </c>
      <c r="C239" s="13" t="inlineStr">
        <is>
          <t>ZEYNEP KARAMAN</t>
        </is>
      </c>
      <c r="D239" s="13" t="inlineStr">
        <is>
          <t>BALIK TEMİZLEME</t>
        </is>
      </c>
      <c r="E239" s="4" t="n">
        <v>15</v>
      </c>
      <c r="F239" s="7" t="n">
        <v>33000</v>
      </c>
      <c r="G239" s="7" t="n">
        <v>146.67</v>
      </c>
      <c r="H239" s="7" t="n">
        <v>220</v>
      </c>
      <c r="I239" s="5" t="n">
        <v>9</v>
      </c>
      <c r="J239" s="5" t="n">
        <v>0</v>
      </c>
      <c r="K239" s="5" t="n">
        <v>9</v>
      </c>
      <c r="L239" s="7" t="n">
        <v>1980</v>
      </c>
      <c r="M239" s="5" t="n">
        <v>0</v>
      </c>
      <c r="N239" s="7" t="n">
        <v>0</v>
      </c>
      <c r="O239" s="7" t="n">
        <v>16500</v>
      </c>
      <c r="P239" s="7" t="n">
        <v>18480</v>
      </c>
      <c r="Q239" s="7" t="n">
        <v>36796.6</v>
      </c>
      <c r="R239" s="7" t="n">
        <v>0</v>
      </c>
    </row>
    <row r="240">
      <c r="A240" s="4" t="n">
        <v>418</v>
      </c>
      <c r="B240" s="4" t="inlineStr">
        <is>
          <t>33742169780</t>
        </is>
      </c>
      <c r="C240" s="13" t="inlineStr">
        <is>
          <t>ZEYNEP KURT</t>
        </is>
      </c>
      <c r="D240" s="13" t="inlineStr">
        <is>
          <t>BALIK DOLUM</t>
        </is>
      </c>
      <c r="E240" s="4" t="n">
        <v>14</v>
      </c>
      <c r="F240" s="7" t="n">
        <v>33000</v>
      </c>
      <c r="G240" s="7" t="n">
        <v>146.67</v>
      </c>
      <c r="H240" s="7" t="n">
        <v>220</v>
      </c>
      <c r="I240" s="5" t="n">
        <v>53</v>
      </c>
      <c r="J240" s="5" t="n">
        <v>0</v>
      </c>
      <c r="K240" s="5" t="n">
        <v>53</v>
      </c>
      <c r="L240" s="7" t="n">
        <v>11660</v>
      </c>
      <c r="M240" s="5" t="n">
        <v>28</v>
      </c>
      <c r="N240" s="7" t="n">
        <v>6160</v>
      </c>
      <c r="O240" s="7" t="n">
        <v>15400</v>
      </c>
      <c r="P240" s="7" t="n">
        <v>27060</v>
      </c>
      <c r="Q240" s="7" t="n">
        <v>35697.1</v>
      </c>
      <c r="R240" s="7" t="n">
        <v>0</v>
      </c>
    </row>
    <row r="241">
      <c r="A241" s="4" t="n">
        <v>419</v>
      </c>
      <c r="B241" s="4" t="inlineStr">
        <is>
          <t>22498412394</t>
        </is>
      </c>
      <c r="C241" s="13" t="inlineStr">
        <is>
          <t>ZEYNEP ONBAŞI</t>
        </is>
      </c>
      <c r="D241" s="13" t="inlineStr">
        <is>
          <t>YEMEKHANE</t>
        </is>
      </c>
      <c r="E241" s="4" t="n">
        <v>17</v>
      </c>
      <c r="F241" s="7" t="n">
        <v>28075.5</v>
      </c>
      <c r="G241" s="7" t="n">
        <v>124.78</v>
      </c>
      <c r="H241" s="7" t="n">
        <v>187.17</v>
      </c>
      <c r="I241" s="5" t="n">
        <v>7</v>
      </c>
      <c r="J241" s="5" t="n">
        <v>7.5</v>
      </c>
      <c r="K241" s="5" t="n">
        <v>14.5</v>
      </c>
      <c r="L241" s="7" t="n">
        <v>2713.97</v>
      </c>
      <c r="M241" s="5" t="n">
        <v>0</v>
      </c>
      <c r="N241" s="7" t="n">
        <v>0</v>
      </c>
      <c r="O241" s="7" t="n">
        <v>15909.45</v>
      </c>
      <c r="P241" s="7" t="n">
        <v>18623.42</v>
      </c>
      <c r="Q241" s="7" t="n">
        <v>28512.23</v>
      </c>
      <c r="R241" s="7" t="n">
        <v>0</v>
      </c>
    </row>
    <row r="242">
      <c r="A242" s="4" t="n">
        <v>420</v>
      </c>
      <c r="B242" s="4" t="inlineStr">
        <is>
          <t>25657430024</t>
        </is>
      </c>
      <c r="C242" s="13" t="inlineStr">
        <is>
          <t>KÜRŞAT TÜRKAN</t>
        </is>
      </c>
      <c r="D242" s="13" t="inlineStr">
        <is>
          <t>BAKIM</t>
        </is>
      </c>
      <c r="E242" s="4" t="n">
        <v>20</v>
      </c>
      <c r="F242" s="7" t="n">
        <v>95000</v>
      </c>
      <c r="G242" s="7" t="n">
        <v>422.22</v>
      </c>
      <c r="H242" s="7" t="n">
        <v>633.33</v>
      </c>
      <c r="I242" s="5" t="n">
        <v>21.5</v>
      </c>
      <c r="J242" s="5" t="n">
        <v>27</v>
      </c>
      <c r="K242" s="5" t="n">
        <v>48.5</v>
      </c>
      <c r="L242" s="7" t="n">
        <v>30716.67</v>
      </c>
      <c r="M242" s="5" t="n">
        <v>0</v>
      </c>
      <c r="N242" s="7" t="n">
        <v>0</v>
      </c>
      <c r="O242" s="7" t="n">
        <v>63333.33</v>
      </c>
      <c r="P242" s="7" t="n">
        <v>94050</v>
      </c>
      <c r="Q242" s="7" t="n">
        <v>25579.9</v>
      </c>
      <c r="R242" s="7" t="n">
        <v>68470.10000000001</v>
      </c>
    </row>
    <row r="243">
      <c r="A243" s="4" t="n">
        <v>484</v>
      </c>
      <c r="B243" s="4" t="inlineStr">
        <is>
          <t>22260441248</t>
        </is>
      </c>
      <c r="C243" s="13" t="inlineStr">
        <is>
          <t>ERSİN ESER</t>
        </is>
      </c>
      <c r="D243" s="13" t="inlineStr">
        <is>
          <t>BAKIM</t>
        </is>
      </c>
      <c r="E243" s="4" t="n">
        <v>18</v>
      </c>
      <c r="F243" s="7" t="n">
        <v>38000</v>
      </c>
      <c r="G243" s="7" t="n">
        <v>168.89</v>
      </c>
      <c r="H243" s="7" t="n">
        <v>253.33</v>
      </c>
      <c r="I243" s="5" t="n">
        <v>66.5</v>
      </c>
      <c r="J243" s="5" t="n">
        <v>11.5</v>
      </c>
      <c r="K243" s="5" t="n">
        <v>78</v>
      </c>
      <c r="L243" s="7" t="n">
        <v>19760</v>
      </c>
      <c r="M243" s="5" t="n">
        <v>0</v>
      </c>
      <c r="N243" s="7" t="n">
        <v>0</v>
      </c>
      <c r="O243" s="7" t="n">
        <v>22800</v>
      </c>
      <c r="P243" s="7" t="n">
        <v>42560</v>
      </c>
      <c r="Q243" s="7" t="n">
        <v>0</v>
      </c>
      <c r="R243" s="7" t="n">
        <v>42560</v>
      </c>
    </row>
    <row r="244">
      <c r="A244" s="4" t="n">
        <v>492</v>
      </c>
      <c r="B244" s="4" t="inlineStr">
        <is>
          <t>30181166332</t>
        </is>
      </c>
      <c r="C244" s="13" t="inlineStr">
        <is>
          <t>MEMNUNE KARAMAN</t>
        </is>
      </c>
      <c r="D244" s="13" t="inlineStr">
        <is>
          <t>BALIK TEMİZLEME</t>
        </is>
      </c>
      <c r="E244" s="4" t="n">
        <v>13</v>
      </c>
      <c r="F244" s="7" t="n">
        <v>33000</v>
      </c>
      <c r="G244" s="7" t="n">
        <v>146.67</v>
      </c>
      <c r="H244" s="7" t="n">
        <v>220</v>
      </c>
      <c r="I244" s="5" t="n">
        <v>6</v>
      </c>
      <c r="J244" s="5" t="n">
        <v>0</v>
      </c>
      <c r="K244" s="5" t="n">
        <v>6</v>
      </c>
      <c r="L244" s="7" t="n">
        <v>1320</v>
      </c>
      <c r="M244" s="5" t="n">
        <v>0</v>
      </c>
      <c r="N244" s="7" t="n">
        <v>0</v>
      </c>
      <c r="O244" s="7" t="n">
        <v>14300</v>
      </c>
      <c r="P244" s="7" t="n">
        <v>15620</v>
      </c>
      <c r="Q244" s="7" t="n">
        <v>0</v>
      </c>
      <c r="R244" s="7" t="n">
        <v>15620</v>
      </c>
    </row>
    <row r="245">
      <c r="A245" s="4" t="n">
        <v>494</v>
      </c>
      <c r="B245" s="4" t="inlineStr">
        <is>
          <t>01025</t>
        </is>
      </c>
      <c r="C245" s="13" t="inlineStr">
        <is>
          <t>AYSEL GİRGİN</t>
        </is>
      </c>
      <c r="D245" s="13" t="inlineStr">
        <is>
          <t>DİĞER</t>
        </is>
      </c>
      <c r="E245" s="4" t="n">
        <v>1</v>
      </c>
      <c r="F245" s="7" t="n">
        <v>28075.5</v>
      </c>
      <c r="G245" s="7" t="n">
        <v>124.78</v>
      </c>
      <c r="H245" s="7" t="n">
        <v>187.17</v>
      </c>
      <c r="I245" s="5" t="n">
        <v>1</v>
      </c>
      <c r="J245" s="5" t="n">
        <v>0</v>
      </c>
      <c r="K245" s="5" t="n">
        <v>1</v>
      </c>
      <c r="L245" s="7" t="n">
        <v>187.17</v>
      </c>
      <c r="M245" s="5" t="n">
        <v>0</v>
      </c>
      <c r="N245" s="7" t="n">
        <v>0</v>
      </c>
      <c r="O245" s="7" t="n">
        <v>935.85</v>
      </c>
      <c r="P245" s="7" t="n">
        <v>1123.02</v>
      </c>
      <c r="Q245" s="7" t="n">
        <v>0</v>
      </c>
      <c r="R245" s="7" t="n">
        <v>1123.02</v>
      </c>
    </row>
    <row r="246">
      <c r="A246" s="4" t="n">
        <v>495</v>
      </c>
      <c r="B246" s="4" t="inlineStr">
        <is>
          <t>00949</t>
        </is>
      </c>
      <c r="C246" s="13" t="inlineStr">
        <is>
          <t>ELMAS OLTAN</t>
        </is>
      </c>
      <c r="D246" s="13" t="inlineStr">
        <is>
          <t>DİĞER</t>
        </is>
      </c>
      <c r="E246" s="4" t="n">
        <v>1</v>
      </c>
      <c r="F246" s="7" t="n">
        <v>28075.5</v>
      </c>
      <c r="G246" s="7" t="n">
        <v>124.78</v>
      </c>
      <c r="H246" s="7" t="n">
        <v>187.17</v>
      </c>
      <c r="I246" s="5" t="n">
        <v>3</v>
      </c>
      <c r="J246" s="5" t="n">
        <v>0</v>
      </c>
      <c r="K246" s="5" t="n">
        <v>3</v>
      </c>
      <c r="L246" s="7" t="n">
        <v>561.51</v>
      </c>
      <c r="M246" s="5" t="n">
        <v>0</v>
      </c>
      <c r="N246" s="7" t="n">
        <v>0</v>
      </c>
      <c r="O246" s="7" t="n">
        <v>935.85</v>
      </c>
      <c r="P246" s="7" t="n">
        <v>1497.36</v>
      </c>
      <c r="Q246" s="7" t="n">
        <v>0</v>
      </c>
      <c r="R246" s="7" t="n">
        <v>1497.36</v>
      </c>
    </row>
    <row r="247">
      <c r="A247" s="4" t="n">
        <v>496</v>
      </c>
      <c r="B247" s="4" t="inlineStr">
        <is>
          <t>01377</t>
        </is>
      </c>
      <c r="C247" s="13" t="inlineStr">
        <is>
          <t>EMRİCAN DURMAN</t>
        </is>
      </c>
      <c r="D247" s="13" t="inlineStr">
        <is>
          <t>DİĞER</t>
        </is>
      </c>
      <c r="E247" s="4" t="n">
        <v>7</v>
      </c>
      <c r="F247" s="7" t="n">
        <v>28075.5</v>
      </c>
      <c r="G247" s="7" t="n">
        <v>124.78</v>
      </c>
      <c r="H247" s="7" t="n">
        <v>187.17</v>
      </c>
      <c r="I247" s="5" t="n">
        <v>21</v>
      </c>
      <c r="J247" s="5" t="n">
        <v>0</v>
      </c>
      <c r="K247" s="5" t="n">
        <v>21</v>
      </c>
      <c r="L247" s="7" t="n">
        <v>3930.57</v>
      </c>
      <c r="M247" s="5" t="n">
        <v>0</v>
      </c>
      <c r="N247" s="7" t="n">
        <v>0</v>
      </c>
      <c r="O247" s="7" t="n">
        <v>6550.95</v>
      </c>
      <c r="P247" s="7" t="n">
        <v>10481.52</v>
      </c>
      <c r="Q247" s="7" t="n">
        <v>0</v>
      </c>
      <c r="R247" s="7" t="n">
        <v>10481.52</v>
      </c>
    </row>
    <row r="248">
      <c r="A248" s="4" t="n">
        <v>497</v>
      </c>
      <c r="B248" s="4" t="inlineStr">
        <is>
          <t>01345</t>
        </is>
      </c>
      <c r="C248" s="13" t="inlineStr">
        <is>
          <t>MELEK CEYHAN</t>
        </is>
      </c>
      <c r="D248" s="13" t="inlineStr">
        <is>
          <t>DİĞER</t>
        </is>
      </c>
      <c r="E248" s="4" t="n">
        <v>1</v>
      </c>
      <c r="F248" s="7" t="n">
        <v>28075.5</v>
      </c>
      <c r="G248" s="7" t="n">
        <v>124.78</v>
      </c>
      <c r="H248" s="7" t="n">
        <v>187.17</v>
      </c>
      <c r="I248" s="5" t="n">
        <v>8</v>
      </c>
      <c r="J248" s="5" t="n">
        <v>0</v>
      </c>
      <c r="K248" s="5" t="n">
        <v>8</v>
      </c>
      <c r="L248" s="7" t="n">
        <v>1497.36</v>
      </c>
      <c r="M248" s="5" t="n">
        <v>0</v>
      </c>
      <c r="N248" s="7" t="n">
        <v>0</v>
      </c>
      <c r="O248" s="7" t="n">
        <v>935.85</v>
      </c>
      <c r="P248" s="7" t="n">
        <v>2433.21</v>
      </c>
      <c r="Q248" s="7" t="n">
        <v>0</v>
      </c>
      <c r="R248" s="7" t="n">
        <v>2433.21</v>
      </c>
    </row>
    <row r="249">
      <c r="A249" s="4" t="n">
        <v>498</v>
      </c>
      <c r="B249" s="4" t="inlineStr">
        <is>
          <t>01376</t>
        </is>
      </c>
      <c r="C249" s="13" t="inlineStr">
        <is>
          <t>PERİHAN YOZAN</t>
        </is>
      </c>
      <c r="D249" s="13" t="inlineStr">
        <is>
          <t>DİĞER</t>
        </is>
      </c>
      <c r="E249" s="4" t="n">
        <v>2</v>
      </c>
      <c r="F249" s="7" t="n">
        <v>28075.5</v>
      </c>
      <c r="G249" s="7" t="n">
        <v>124.78</v>
      </c>
      <c r="H249" s="7" t="n">
        <v>187.17</v>
      </c>
      <c r="I249" s="5" t="n">
        <v>1.5</v>
      </c>
      <c r="J249" s="5" t="n">
        <v>0</v>
      </c>
      <c r="K249" s="5" t="n">
        <v>1.5</v>
      </c>
      <c r="L249" s="7" t="n">
        <v>280.75</v>
      </c>
      <c r="M249" s="5" t="n">
        <v>0</v>
      </c>
      <c r="N249" s="7" t="n">
        <v>0</v>
      </c>
      <c r="O249" s="7" t="n">
        <v>1871.7</v>
      </c>
      <c r="P249" s="7" t="n">
        <v>2152.45</v>
      </c>
      <c r="Q249" s="7" t="n">
        <v>0</v>
      </c>
      <c r="R249" s="7" t="n">
        <v>2152.45</v>
      </c>
    </row>
    <row r="250">
      <c r="A250" s="4" t="n">
        <v>499</v>
      </c>
      <c r="B250" s="4" t="inlineStr">
        <is>
          <t>01370</t>
        </is>
      </c>
      <c r="C250" s="13" t="inlineStr">
        <is>
          <t>SEZGİN İRGÖREN</t>
        </is>
      </c>
      <c r="D250" s="13" t="inlineStr">
        <is>
          <t>DİĞER</t>
        </is>
      </c>
      <c r="E250" s="4" t="n">
        <v>13</v>
      </c>
      <c r="F250" s="7" t="n">
        <v>28075.5</v>
      </c>
      <c r="G250" s="7" t="n">
        <v>124.78</v>
      </c>
      <c r="H250" s="7" t="n">
        <v>187.17</v>
      </c>
      <c r="I250" s="5" t="n">
        <v>14</v>
      </c>
      <c r="J250" s="5" t="n">
        <v>0</v>
      </c>
      <c r="K250" s="5" t="n">
        <v>14</v>
      </c>
      <c r="L250" s="7" t="n">
        <v>2620.38</v>
      </c>
      <c r="M250" s="5" t="n">
        <v>0</v>
      </c>
      <c r="N250" s="7" t="n">
        <v>0</v>
      </c>
      <c r="O250" s="7" t="n">
        <v>12166.05</v>
      </c>
      <c r="P250" s="7" t="n">
        <v>14786.43</v>
      </c>
      <c r="Q250" s="7" t="n">
        <v>0</v>
      </c>
      <c r="R250" s="7" t="n">
        <v>14786.43</v>
      </c>
    </row>
    <row r="251">
      <c r="A251" s="4" t="n">
        <v>500</v>
      </c>
      <c r="B251" s="4" t="inlineStr">
        <is>
          <t>01374</t>
        </is>
      </c>
      <c r="C251" s="13" t="inlineStr">
        <is>
          <t>SUZAN ÇİFTÇİ</t>
        </is>
      </c>
      <c r="D251" s="13" t="inlineStr">
        <is>
          <t>DİĞER</t>
        </is>
      </c>
      <c r="E251" s="4" t="n">
        <v>2</v>
      </c>
      <c r="F251" s="7" t="n">
        <v>28075.5</v>
      </c>
      <c r="G251" s="7" t="n">
        <v>124.78</v>
      </c>
      <c r="H251" s="7" t="n">
        <v>187.17</v>
      </c>
      <c r="I251" s="5" t="n">
        <v>3</v>
      </c>
      <c r="J251" s="5" t="n">
        <v>0</v>
      </c>
      <c r="K251" s="5" t="n">
        <v>3</v>
      </c>
      <c r="L251" s="7" t="n">
        <v>561.51</v>
      </c>
      <c r="M251" s="5" t="n">
        <v>0</v>
      </c>
      <c r="N251" s="7" t="n">
        <v>0</v>
      </c>
      <c r="O251" s="7" t="n">
        <v>1871.7</v>
      </c>
      <c r="P251" s="7" t="n">
        <v>2433.21</v>
      </c>
      <c r="Q251" s="7" t="n">
        <v>0</v>
      </c>
      <c r="R251" s="7" t="n">
        <v>2433.21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2026-09-26T18:02:08Z</dcterms:created>
  <dcterms:modified xmlns:dcterms="http://purl.org/dc/terms/" xmlns:xsi="http://www.w3.org/2001/XMLSchema-instance" xsi:type="dcterms:W3CDTF">2026-09-26T18:02:08Z</dcterms:modified>
</cp:coreProperties>
</file>